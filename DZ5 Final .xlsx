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ublinbus.sharepoint.com/sites/Shedulesoffice/Bus Connects/Phase 8 - D Spine/BAU - D-Spine/"/>
    </mc:Choice>
  </mc:AlternateContent>
  <xr:revisionPtr revIDLastSave="6597" documentId="13_ncr:1_{D6D87A9B-AAE2-4832-93B8-4A37FC63F941}" xr6:coauthVersionLast="47" xr6:coauthVersionMax="47" xr10:uidLastSave="{00E43CF3-5536-4E91-841F-E48C932B4DE3}"/>
  <bookViews>
    <workbookView xWindow="-120" yWindow="-120" windowWidth="29040" windowHeight="15720" firstSheet="4" activeTab="11" xr2:uid="{FD7C5C3F-B677-4A8C-B6E8-232DD7759236}"/>
    <workbookView xWindow="28680" yWindow="-120" windowWidth="29040" windowHeight="15720" activeTab="4" xr2:uid="{AEF4DBBF-7785-429F-B472-493F2E08A8D3}"/>
  </bookViews>
  <sheets>
    <sheet name="Like for Likes" sheetId="17" r:id="rId1"/>
    <sheet name="OVN &amp; KMs" sheetId="10" r:id="rId2"/>
    <sheet name="M-F CTT Final" sheetId="2" r:id="rId3"/>
    <sheet name="Sat CTT Final" sheetId="3" r:id="rId4"/>
    <sheet name="Sun CTT Final" sheetId="4" r:id="rId5"/>
    <sheet name="M-F Boards" sheetId="7" r:id="rId6"/>
    <sheet name="Sat Boards" sheetId="9" r:id="rId7"/>
    <sheet name="Sun Boards" sheetId="8" r:id="rId8"/>
    <sheet name="M-F AVL" sheetId="11" r:id="rId9"/>
    <sheet name="Sat AVL (New)" sheetId="12" r:id="rId10"/>
    <sheet name="Sun AVL" sheetId="13" r:id="rId11"/>
    <sheet name="Proposed Roster" sheetId="5" r:id="rId12"/>
    <sheet name="Proposed BH Roster" sheetId="6" r:id="rId13"/>
    <sheet name="M-F Prop. Bus Out" sheetId="14" r:id="rId14"/>
    <sheet name="Sat Prop. Bus Out" sheetId="15" r:id="rId15"/>
    <sheet name="Sun Prop. Bus Out" sheetId="16" r:id="rId16"/>
  </sheets>
  <externalReferences>
    <externalReference r:id="rId17"/>
  </externalReferences>
  <definedNames>
    <definedName name="_xlnm._FilterDatabase" localSheetId="8" hidden="1">'M-F AVL'!$A$2:$BO$79</definedName>
    <definedName name="_xlnm._FilterDatabase" localSheetId="2" hidden="1">'M-F CTT Final'!$A$35:$N$36</definedName>
    <definedName name="_xlnm._FilterDatabase" localSheetId="9" hidden="1">'Sat AVL (New)'!$A$2:$BO$70</definedName>
    <definedName name="_xlnm._FilterDatabase" localSheetId="10" hidden="1">'Sun AVL'!$A$2:$BO$54</definedName>
    <definedName name="_xlnm._FilterDatabase" localSheetId="4" hidden="1">'Sun CTT Final'!$V$43:$AK$44</definedName>
    <definedName name="CALC1A">'[1]Calc 1A'!$A$15:$AO$38</definedName>
    <definedName name="CALC2A">'[1]Calc 2A'!$A$15:$AN$44</definedName>
    <definedName name="CALC2B">'[1]Calc 2B'!$B$16:$Q$49</definedName>
    <definedName name="CALC3A">'[1]Calc 3A'!$A$5:$AC$39</definedName>
    <definedName name="INPUT2">'[1]Non Direct'!$B$16:$C$41</definedName>
    <definedName name="KMUPLIFT">[1]CONTROL!$B$25</definedName>
    <definedName name="_xlnm.Print_Area" localSheetId="5">'M-F Boards'!$A$1:$L$1040</definedName>
    <definedName name="_xlnm.Print_Area" localSheetId="2">'M-F CTT Final'!$A$1:$AA$58,'M-F CTT Final'!$L$60:$AB$124</definedName>
    <definedName name="_xlnm.Print_Area" localSheetId="3">'Sat CTT Final'!$A$1:$X$54,'Sat CTT Final'!$H$61:$X$110</definedName>
    <definedName name="_xlnm.Print_Area" localSheetId="7">'Sun Boards'!$A$1:$L$680</definedName>
    <definedName name="_xlnm.Print_Area" localSheetId="4">'Sun CTT Final'!$A$1:$P$41,'Sun CTT Final'!$V$43:$AL$84</definedName>
    <definedName name="REPORT2">'[1]Report 2'!$C$5:$I$41</definedName>
    <definedName name="REPORT3">'[1]Report 3'!$C$5:$AL$35</definedName>
    <definedName name="REPORT4">'[1]Report 4'!$C$5:$AL$27</definedName>
    <definedName name="RPSASC">'[1]RPS - ASC'!$A$6:$AJ$26</definedName>
    <definedName name="SCHEXIST">'[1]Schedule Exist'!$A$6:$Z$30</definedName>
    <definedName name="SCHNEW" localSheetId="1">'OVN &amp; KMs'!#REF!</definedName>
    <definedName name="TITLE1">[1]CONTROL!$B$2</definedName>
    <definedName name="TITLE2">[1]CONTROL!$B$3</definedName>
    <definedName name="TITLE3">[1]CONTROL!$B$4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1" i="4" l="1"/>
  <c r="AN66" i="4"/>
  <c r="AN65" i="4"/>
  <c r="AN52" i="4"/>
  <c r="AN51" i="4"/>
  <c r="AN50" i="4"/>
  <c r="AN49" i="4"/>
  <c r="AN46" i="4"/>
  <c r="AO83" i="4"/>
  <c r="AN83" i="4"/>
  <c r="AO82" i="4"/>
  <c r="AN82" i="4"/>
  <c r="AO80" i="4"/>
  <c r="AN80" i="4"/>
  <c r="AO76" i="4"/>
  <c r="AN76" i="4"/>
  <c r="AO75" i="4"/>
  <c r="AN75" i="4"/>
  <c r="AO74" i="4"/>
  <c r="AN74" i="4"/>
  <c r="AO73" i="4"/>
  <c r="AN73" i="4"/>
  <c r="AO72" i="4"/>
  <c r="AN72" i="4"/>
  <c r="AO71" i="4"/>
  <c r="AN71" i="4"/>
  <c r="AO70" i="4"/>
  <c r="AN70" i="4"/>
  <c r="AO64" i="4"/>
  <c r="AN64" i="4"/>
  <c r="AO63" i="4"/>
  <c r="AN63" i="4"/>
  <c r="AO62" i="4"/>
  <c r="AN62" i="4"/>
  <c r="AO61" i="4"/>
  <c r="AN61" i="4"/>
  <c r="AO60" i="4"/>
  <c r="AN60" i="4"/>
  <c r="AO59" i="4"/>
  <c r="AN59" i="4"/>
  <c r="AO58" i="4"/>
  <c r="AN58" i="4"/>
  <c r="AO57" i="4"/>
  <c r="AN57" i="4"/>
  <c r="AO56" i="4"/>
  <c r="AN56" i="4"/>
  <c r="AO55" i="4"/>
  <c r="AN55" i="4"/>
  <c r="AO54" i="4"/>
  <c r="AN54" i="4"/>
  <c r="AO53" i="4"/>
  <c r="AN53" i="4"/>
  <c r="AO48" i="4"/>
  <c r="AN48" i="4"/>
  <c r="AO47" i="4"/>
  <c r="AN47" i="4"/>
  <c r="AO45" i="4"/>
  <c r="AN45" i="4"/>
  <c r="Z104" i="3"/>
  <c r="Z91" i="3"/>
  <c r="Z90" i="3"/>
  <c r="Z75" i="3"/>
  <c r="Z63" i="3"/>
  <c r="AA109" i="3"/>
  <c r="Z109" i="3"/>
  <c r="AA108" i="3"/>
  <c r="Z108" i="3"/>
  <c r="AA107" i="3"/>
  <c r="Z107" i="3"/>
  <c r="AA106" i="3"/>
  <c r="Z106" i="3"/>
  <c r="AA105" i="3"/>
  <c r="Z105" i="3"/>
  <c r="AA100" i="3"/>
  <c r="Z100" i="3"/>
  <c r="AA99" i="3"/>
  <c r="Z99" i="3"/>
  <c r="AA98" i="3"/>
  <c r="Z98" i="3"/>
  <c r="AA97" i="3"/>
  <c r="Z97" i="3"/>
  <c r="AA96" i="3"/>
  <c r="Z96" i="3"/>
  <c r="AA95" i="3"/>
  <c r="Z95" i="3"/>
  <c r="AA89" i="3"/>
  <c r="Z89" i="3"/>
  <c r="AA88" i="3"/>
  <c r="Z88" i="3"/>
  <c r="AA87" i="3"/>
  <c r="Z87" i="3"/>
  <c r="AA86" i="3"/>
  <c r="Z86" i="3"/>
  <c r="AA85" i="3"/>
  <c r="Z85" i="3"/>
  <c r="AA84" i="3"/>
  <c r="Z84" i="3"/>
  <c r="AA83" i="3"/>
  <c r="Z83" i="3"/>
  <c r="AA82" i="3"/>
  <c r="Z82" i="3"/>
  <c r="AA81" i="3"/>
  <c r="Z81" i="3"/>
  <c r="AA80" i="3"/>
  <c r="Z80" i="3"/>
  <c r="AA79" i="3"/>
  <c r="Z79" i="3"/>
  <c r="AA78" i="3"/>
  <c r="Z78" i="3"/>
  <c r="AA77" i="3"/>
  <c r="Z77" i="3"/>
  <c r="AA76" i="3"/>
  <c r="Z76" i="3"/>
  <c r="AA74" i="3"/>
  <c r="Z74" i="3"/>
  <c r="AA73" i="3"/>
  <c r="Z73" i="3"/>
  <c r="AA72" i="3"/>
  <c r="Z72" i="3"/>
  <c r="AA71" i="3"/>
  <c r="Z71" i="3"/>
  <c r="AA70" i="3"/>
  <c r="Z70" i="3"/>
  <c r="AA69" i="3"/>
  <c r="Z69" i="3"/>
  <c r="AA68" i="3"/>
  <c r="Z68" i="3"/>
  <c r="AA67" i="3"/>
  <c r="Z67" i="3"/>
  <c r="AA66" i="3"/>
  <c r="Z66" i="3"/>
  <c r="AA65" i="3"/>
  <c r="Z65" i="3"/>
  <c r="AA64" i="3"/>
  <c r="Z64" i="3"/>
  <c r="AD117" i="2"/>
  <c r="AD116" i="2"/>
  <c r="AD91" i="2"/>
  <c r="AD89" i="2"/>
  <c r="AD78" i="2"/>
  <c r="AD72" i="2"/>
  <c r="AD69" i="2"/>
  <c r="AD68" i="2"/>
  <c r="AD67" i="2"/>
  <c r="AD66" i="2"/>
  <c r="AD65" i="2"/>
  <c r="AD64" i="2"/>
  <c r="AD63" i="2"/>
  <c r="AE63" i="2"/>
  <c r="AD70" i="2"/>
  <c r="AE70" i="2"/>
  <c r="AD71" i="2"/>
  <c r="AE71" i="2"/>
  <c r="AD73" i="2"/>
  <c r="AE73" i="2"/>
  <c r="AD74" i="2"/>
  <c r="AE74" i="2"/>
  <c r="AD75" i="2"/>
  <c r="AE75" i="2"/>
  <c r="AD76" i="2"/>
  <c r="AE76" i="2"/>
  <c r="AD77" i="2"/>
  <c r="AE77" i="2"/>
  <c r="AD79" i="2"/>
  <c r="AE79" i="2"/>
  <c r="AD80" i="2"/>
  <c r="AE80" i="2"/>
  <c r="AD81" i="2"/>
  <c r="AE81" i="2"/>
  <c r="AD82" i="2"/>
  <c r="AE82" i="2"/>
  <c r="AD83" i="2"/>
  <c r="AE83" i="2"/>
  <c r="AD84" i="2"/>
  <c r="AE84" i="2"/>
  <c r="AD85" i="2"/>
  <c r="AE85" i="2"/>
  <c r="AD86" i="2"/>
  <c r="AE86" i="2"/>
  <c r="AD87" i="2"/>
  <c r="AE87" i="2"/>
  <c r="AD88" i="2"/>
  <c r="AE88" i="2"/>
  <c r="AD90" i="2"/>
  <c r="AE90" i="2"/>
  <c r="AD92" i="2"/>
  <c r="AE92" i="2"/>
  <c r="AD93" i="2"/>
  <c r="AE93" i="2"/>
  <c r="AD94" i="2"/>
  <c r="AE94" i="2"/>
  <c r="AD95" i="2"/>
  <c r="AE95" i="2"/>
  <c r="AD96" i="2"/>
  <c r="AE96" i="2"/>
  <c r="AD97" i="2"/>
  <c r="AE97" i="2"/>
  <c r="AD102" i="2"/>
  <c r="AE102" i="2"/>
  <c r="AD103" i="2"/>
  <c r="AE103" i="2"/>
  <c r="AD104" i="2"/>
  <c r="AE104" i="2"/>
  <c r="AD105" i="2"/>
  <c r="AE105" i="2"/>
  <c r="AD106" i="2"/>
  <c r="AE106" i="2"/>
  <c r="AD107" i="2"/>
  <c r="AE107" i="2"/>
  <c r="AD108" i="2"/>
  <c r="AE108" i="2"/>
  <c r="AD109" i="2"/>
  <c r="AE109" i="2"/>
  <c r="AD110" i="2"/>
  <c r="AE110" i="2"/>
  <c r="AD111" i="2"/>
  <c r="AE111" i="2"/>
  <c r="AD112" i="2"/>
  <c r="AE112" i="2"/>
  <c r="AD113" i="2"/>
  <c r="AE113" i="2"/>
  <c r="AD118" i="2"/>
  <c r="AE118" i="2"/>
  <c r="AD119" i="2"/>
  <c r="AE119" i="2"/>
  <c r="AD120" i="2"/>
  <c r="AE120" i="2"/>
  <c r="AD121" i="2"/>
  <c r="AE121" i="2"/>
  <c r="AD122" i="2"/>
  <c r="AE122" i="2"/>
  <c r="AD123" i="2"/>
  <c r="AE123" i="2"/>
  <c r="AE62" i="2"/>
  <c r="AD62" i="2"/>
  <c r="O3" i="11"/>
  <c r="N3" i="11"/>
  <c r="L3" i="11"/>
  <c r="J3" i="11"/>
  <c r="AI73" i="17"/>
  <c r="AG73" i="17"/>
  <c r="AH73" i="17" s="1"/>
  <c r="AG14" i="17"/>
  <c r="AI14" i="17"/>
  <c r="V92" i="3"/>
  <c r="Q101" i="17"/>
  <c r="O101" i="17"/>
  <c r="Q100" i="17"/>
  <c r="O100" i="17"/>
  <c r="Q99" i="17"/>
  <c r="O99" i="17"/>
  <c r="Q98" i="17"/>
  <c r="O98" i="17"/>
  <c r="Q97" i="17"/>
  <c r="O97" i="17"/>
  <c r="Q96" i="17"/>
  <c r="O96" i="17"/>
  <c r="Q95" i="17"/>
  <c r="O95" i="17"/>
  <c r="Q94" i="17"/>
  <c r="O94" i="17"/>
  <c r="Q93" i="17"/>
  <c r="O93" i="17"/>
  <c r="Q92" i="17"/>
  <c r="O92" i="17"/>
  <c r="Q91" i="17"/>
  <c r="O91" i="17"/>
  <c r="Q90" i="17"/>
  <c r="O90" i="17"/>
  <c r="Q89" i="17"/>
  <c r="O89" i="17"/>
  <c r="Q88" i="17"/>
  <c r="O88" i="17"/>
  <c r="Q87" i="17"/>
  <c r="P87" i="17" s="1"/>
  <c r="O87" i="17"/>
  <c r="Q86" i="17"/>
  <c r="O86" i="17"/>
  <c r="Q85" i="17"/>
  <c r="O85" i="17"/>
  <c r="Q84" i="17"/>
  <c r="O84" i="17"/>
  <c r="Q83" i="17"/>
  <c r="O83" i="17"/>
  <c r="Q82" i="17"/>
  <c r="O82" i="17"/>
  <c r="Q81" i="17"/>
  <c r="O81" i="17"/>
  <c r="Q80" i="17"/>
  <c r="O80" i="17"/>
  <c r="Q79" i="17"/>
  <c r="O79" i="17"/>
  <c r="Q78" i="17"/>
  <c r="O78" i="17"/>
  <c r="Q77" i="17"/>
  <c r="O77" i="17"/>
  <c r="Q76" i="17"/>
  <c r="O76" i="17"/>
  <c r="Q75" i="17"/>
  <c r="O75" i="17"/>
  <c r="Q74" i="17"/>
  <c r="O74" i="17"/>
  <c r="Q73" i="17"/>
  <c r="O73" i="17"/>
  <c r="AG72" i="17"/>
  <c r="AI72" i="17"/>
  <c r="AI51" i="17"/>
  <c r="AG51" i="17"/>
  <c r="AI48" i="17"/>
  <c r="AG48" i="17"/>
  <c r="AI52" i="17"/>
  <c r="AG52" i="17"/>
  <c r="AI49" i="17"/>
  <c r="AG49" i="17"/>
  <c r="AI50" i="17"/>
  <c r="AG50" i="17"/>
  <c r="AI46" i="17"/>
  <c r="AG46" i="17"/>
  <c r="AG59" i="17"/>
  <c r="AI59" i="17"/>
  <c r="AG61" i="17"/>
  <c r="AI61" i="17"/>
  <c r="AG62" i="17"/>
  <c r="AH62" i="17" s="1"/>
  <c r="AI62" i="17"/>
  <c r="AG63" i="17"/>
  <c r="AI63" i="17"/>
  <c r="AG64" i="17"/>
  <c r="AI64" i="17"/>
  <c r="AG65" i="17"/>
  <c r="AI65" i="17"/>
  <c r="Q119" i="17"/>
  <c r="O119" i="17"/>
  <c r="Q118" i="17"/>
  <c r="O118" i="17"/>
  <c r="Q117" i="17"/>
  <c r="O117" i="17"/>
  <c r="Q116" i="17"/>
  <c r="O116" i="17"/>
  <c r="Q115" i="17"/>
  <c r="O115" i="17"/>
  <c r="Q114" i="17"/>
  <c r="O114" i="17"/>
  <c r="Q110" i="17"/>
  <c r="O110" i="17"/>
  <c r="Q109" i="17"/>
  <c r="O109" i="17"/>
  <c r="Q108" i="17"/>
  <c r="O108" i="17"/>
  <c r="Q107" i="17"/>
  <c r="O107" i="17"/>
  <c r="Q106" i="17"/>
  <c r="O106" i="17"/>
  <c r="Q105" i="17"/>
  <c r="O105" i="17"/>
  <c r="AI41" i="17"/>
  <c r="AG41" i="17"/>
  <c r="AI78" i="17"/>
  <c r="AG78" i="17"/>
  <c r="AI40" i="17"/>
  <c r="AG40" i="17"/>
  <c r="AI37" i="17"/>
  <c r="AG37" i="17"/>
  <c r="AI36" i="17"/>
  <c r="AG36" i="17"/>
  <c r="AI39" i="17"/>
  <c r="AG39" i="17"/>
  <c r="AI77" i="17"/>
  <c r="AG77" i="17"/>
  <c r="AI31" i="17"/>
  <c r="AG31" i="17"/>
  <c r="AI76" i="17"/>
  <c r="AG76" i="17"/>
  <c r="AI29" i="17"/>
  <c r="AG29" i="17"/>
  <c r="AI28" i="17"/>
  <c r="AG28" i="17"/>
  <c r="AI27" i="17"/>
  <c r="AG27" i="17"/>
  <c r="AI23" i="17"/>
  <c r="AG23" i="17"/>
  <c r="AI24" i="17"/>
  <c r="AG24" i="17"/>
  <c r="AI22" i="17"/>
  <c r="AG22" i="17"/>
  <c r="AI75" i="17"/>
  <c r="AG75" i="17"/>
  <c r="AI10" i="17"/>
  <c r="AG10" i="17"/>
  <c r="AI74" i="17"/>
  <c r="AG74" i="17"/>
  <c r="AI20" i="17"/>
  <c r="AG20" i="17"/>
  <c r="AI71" i="17"/>
  <c r="AG71" i="17"/>
  <c r="AI18" i="17"/>
  <c r="AG18" i="17"/>
  <c r="AI16" i="17"/>
  <c r="AG16" i="17"/>
  <c r="AI13" i="17"/>
  <c r="AG13" i="17"/>
  <c r="AI5" i="17"/>
  <c r="AG5" i="17"/>
  <c r="AI6" i="17"/>
  <c r="AG6" i="17"/>
  <c r="AI9" i="17"/>
  <c r="AG9" i="17"/>
  <c r="Q66" i="17"/>
  <c r="O66" i="17"/>
  <c r="Q65" i="17"/>
  <c r="O65" i="17"/>
  <c r="Q64" i="17"/>
  <c r="O64" i="17"/>
  <c r="Q63" i="17"/>
  <c r="O63" i="17"/>
  <c r="Q62" i="17"/>
  <c r="O62" i="17"/>
  <c r="Q61" i="17"/>
  <c r="O61" i="17"/>
  <c r="Q60" i="17"/>
  <c r="O60" i="17"/>
  <c r="Q59" i="17"/>
  <c r="O59" i="17"/>
  <c r="Q55" i="17"/>
  <c r="O55" i="17"/>
  <c r="Q54" i="17"/>
  <c r="O54" i="17"/>
  <c r="Q53" i="17"/>
  <c r="O53" i="17"/>
  <c r="Q52" i="17"/>
  <c r="O52" i="17"/>
  <c r="Q51" i="17"/>
  <c r="O51" i="17"/>
  <c r="Q50" i="17"/>
  <c r="O50" i="17"/>
  <c r="Q49" i="17"/>
  <c r="O49" i="17"/>
  <c r="Q48" i="17"/>
  <c r="O48" i="17"/>
  <c r="Q47" i="17"/>
  <c r="O47" i="17"/>
  <c r="Q46" i="17"/>
  <c r="O46" i="17"/>
  <c r="Q45" i="17"/>
  <c r="O45" i="17"/>
  <c r="Q41" i="17"/>
  <c r="O41" i="17"/>
  <c r="Q40" i="17"/>
  <c r="O40" i="17"/>
  <c r="Q39" i="17"/>
  <c r="O39" i="17"/>
  <c r="Q38" i="17"/>
  <c r="O38" i="17"/>
  <c r="Q37" i="17"/>
  <c r="O37" i="17"/>
  <c r="Q36" i="17"/>
  <c r="O36" i="17"/>
  <c r="Q35" i="17"/>
  <c r="O35" i="17"/>
  <c r="Q34" i="17"/>
  <c r="O34" i="17"/>
  <c r="Q33" i="17"/>
  <c r="O33" i="17"/>
  <c r="Q32" i="17"/>
  <c r="O32" i="17"/>
  <c r="Q31" i="17"/>
  <c r="O31" i="17"/>
  <c r="Q30" i="17"/>
  <c r="O30" i="17"/>
  <c r="Q29" i="17"/>
  <c r="O29" i="17"/>
  <c r="Q28" i="17"/>
  <c r="O28" i="17"/>
  <c r="Q27" i="17"/>
  <c r="O27" i="17"/>
  <c r="Q26" i="17"/>
  <c r="O26" i="17"/>
  <c r="Q25" i="17"/>
  <c r="O25" i="17"/>
  <c r="Q24" i="17"/>
  <c r="O24" i="17"/>
  <c r="Q23" i="17"/>
  <c r="O23" i="17"/>
  <c r="Q22" i="17"/>
  <c r="O22" i="17"/>
  <c r="Q21" i="17"/>
  <c r="O21" i="17"/>
  <c r="Q20" i="17"/>
  <c r="O20" i="17"/>
  <c r="Q19" i="17"/>
  <c r="O19" i="17"/>
  <c r="Q18" i="17"/>
  <c r="O18" i="17"/>
  <c r="Q17" i="17"/>
  <c r="O17" i="17"/>
  <c r="Q16" i="17"/>
  <c r="O16" i="17"/>
  <c r="Q15" i="17"/>
  <c r="O15" i="17"/>
  <c r="Q14" i="17"/>
  <c r="O14" i="17"/>
  <c r="Q13" i="17"/>
  <c r="O13" i="17"/>
  <c r="Q12" i="17"/>
  <c r="O12" i="17"/>
  <c r="Q11" i="17"/>
  <c r="O11" i="17"/>
  <c r="Q10" i="17"/>
  <c r="O10" i="17"/>
  <c r="Q9" i="17"/>
  <c r="O9" i="17"/>
  <c r="Q8" i="17"/>
  <c r="O8" i="17"/>
  <c r="Q7" i="17"/>
  <c r="O7" i="17"/>
  <c r="Q6" i="17"/>
  <c r="O6" i="17"/>
  <c r="Q5" i="17"/>
  <c r="O5" i="17"/>
  <c r="P101" i="17" l="1"/>
  <c r="P63" i="17"/>
  <c r="AH14" i="17"/>
  <c r="P105" i="17"/>
  <c r="P76" i="17"/>
  <c r="P80" i="17"/>
  <c r="P84" i="17"/>
  <c r="P88" i="17"/>
  <c r="P92" i="17"/>
  <c r="P96" i="17"/>
  <c r="P108" i="17"/>
  <c r="P16" i="17"/>
  <c r="P20" i="17"/>
  <c r="P47" i="17"/>
  <c r="P51" i="17"/>
  <c r="P55" i="17"/>
  <c r="P75" i="17"/>
  <c r="P5" i="17"/>
  <c r="P100" i="17"/>
  <c r="P18" i="17"/>
  <c r="P30" i="17"/>
  <c r="P45" i="17"/>
  <c r="P93" i="17"/>
  <c r="P23" i="17"/>
  <c r="P27" i="17"/>
  <c r="P39" i="17"/>
  <c r="P118" i="17"/>
  <c r="P74" i="17"/>
  <c r="P78" i="17"/>
  <c r="P82" i="17"/>
  <c r="P86" i="17"/>
  <c r="P94" i="17"/>
  <c r="AH72" i="17"/>
  <c r="AH61" i="17"/>
  <c r="P49" i="17"/>
  <c r="P53" i="17"/>
  <c r="P60" i="17"/>
  <c r="P110" i="17"/>
  <c r="P117" i="17"/>
  <c r="AH64" i="17"/>
  <c r="P73" i="17"/>
  <c r="P81" i="17"/>
  <c r="P90" i="17"/>
  <c r="P15" i="17"/>
  <c r="P83" i="17"/>
  <c r="P9" i="17"/>
  <c r="P13" i="17"/>
  <c r="P21" i="17"/>
  <c r="P25" i="17"/>
  <c r="P29" i="17"/>
  <c r="P37" i="17"/>
  <c r="P91" i="17"/>
  <c r="P98" i="17"/>
  <c r="P7" i="17"/>
  <c r="P11" i="17"/>
  <c r="P116" i="17"/>
  <c r="P79" i="17"/>
  <c r="P89" i="17"/>
  <c r="P99" i="17"/>
  <c r="P32" i="17"/>
  <c r="P36" i="17"/>
  <c r="P54" i="17"/>
  <c r="P61" i="17"/>
  <c r="P65" i="17"/>
  <c r="P107" i="17"/>
  <c r="AH59" i="17"/>
  <c r="P77" i="17"/>
  <c r="P97" i="17"/>
  <c r="P31" i="17"/>
  <c r="P14" i="17"/>
  <c r="P41" i="17"/>
  <c r="P115" i="17"/>
  <c r="P85" i="17"/>
  <c r="P95" i="17"/>
  <c r="AH63" i="17"/>
  <c r="P22" i="17"/>
  <c r="P46" i="17"/>
  <c r="P50" i="17"/>
  <c r="P64" i="17"/>
  <c r="P109" i="17"/>
  <c r="P119" i="17"/>
  <c r="P8" i="17"/>
  <c r="P12" i="17"/>
  <c r="P19" i="17"/>
  <c r="P26" i="17"/>
  <c r="P33" i="17"/>
  <c r="P40" i="17"/>
  <c r="P106" i="17"/>
  <c r="P34" i="17"/>
  <c r="AH65" i="17"/>
  <c r="P6" i="17"/>
  <c r="P38" i="17"/>
  <c r="P48" i="17"/>
  <c r="P52" i="17"/>
  <c r="P62" i="17"/>
  <c r="P10" i="17"/>
  <c r="P17" i="17"/>
  <c r="P24" i="17"/>
  <c r="P28" i="17"/>
  <c r="P35" i="17"/>
  <c r="P59" i="17"/>
  <c r="P66" i="17"/>
  <c r="P114" i="17"/>
  <c r="AH6" i="17"/>
  <c r="AH10" i="17"/>
  <c r="AH23" i="17"/>
  <c r="AH75" i="17"/>
  <c r="AH27" i="17"/>
  <c r="AH31" i="17"/>
  <c r="AH5" i="17"/>
  <c r="AH29" i="17"/>
  <c r="AH37" i="17"/>
  <c r="AH18" i="17"/>
  <c r="AH20" i="17"/>
  <c r="AH13" i="17"/>
  <c r="AH74" i="17"/>
  <c r="AH39" i="17"/>
  <c r="AH78" i="17"/>
  <c r="AH41" i="17"/>
  <c r="AH22" i="17"/>
  <c r="AH28" i="17"/>
  <c r="AH77" i="17"/>
  <c r="AH40" i="17"/>
  <c r="AH16" i="17"/>
  <c r="AH76" i="17"/>
  <c r="AH36" i="17"/>
  <c r="AH71" i="17"/>
  <c r="AH9" i="17"/>
  <c r="AH24" i="17"/>
  <c r="AH52" i="17"/>
  <c r="AH49" i="17"/>
  <c r="AH46" i="17"/>
  <c r="AH48" i="17"/>
  <c r="AH50" i="17"/>
  <c r="AH51" i="17"/>
  <c r="P111" i="17" l="1"/>
  <c r="P56" i="17"/>
  <c r="P120" i="17"/>
  <c r="P67" i="17"/>
  <c r="P102" i="17"/>
  <c r="P42" i="17"/>
  <c r="Z42" i="3" l="1"/>
  <c r="AC45" i="16"/>
  <c r="AC44" i="16"/>
  <c r="AC43" i="16"/>
  <c r="AC42" i="16"/>
  <c r="AC41" i="16"/>
  <c r="AC40" i="16"/>
  <c r="AC39" i="16"/>
  <c r="AC38" i="16"/>
  <c r="AE38" i="16" s="1"/>
  <c r="AC37" i="16"/>
  <c r="AC36" i="16"/>
  <c r="AC35" i="16"/>
  <c r="AC34" i="16"/>
  <c r="AC33" i="16"/>
  <c r="AC32" i="16"/>
  <c r="AC31" i="16"/>
  <c r="AC30" i="16"/>
  <c r="AC29" i="16"/>
  <c r="AC28" i="16"/>
  <c r="AC27" i="16"/>
  <c r="AC26" i="16"/>
  <c r="AC25" i="16"/>
  <c r="AC24" i="16"/>
  <c r="AC23" i="16"/>
  <c r="AC22" i="16"/>
  <c r="AE22" i="16" s="1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AC9" i="16"/>
  <c r="AC8" i="16"/>
  <c r="Q11" i="16"/>
  <c r="Q10" i="16"/>
  <c r="Q9" i="16"/>
  <c r="Q8" i="16"/>
  <c r="Q7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8" i="16"/>
  <c r="Q17" i="16"/>
  <c r="Q16" i="16"/>
  <c r="Q15" i="16"/>
  <c r="Q14" i="16"/>
  <c r="Q13" i="16"/>
  <c r="Q12" i="16"/>
  <c r="AK32" i="15"/>
  <c r="AK31" i="15"/>
  <c r="AK30" i="15"/>
  <c r="AK29" i="15"/>
  <c r="AK28" i="15"/>
  <c r="AK27" i="15"/>
  <c r="AK26" i="15"/>
  <c r="AK25" i="15"/>
  <c r="AK24" i="15"/>
  <c r="AK23" i="15"/>
  <c r="AI9" i="15"/>
  <c r="AI8" i="15"/>
  <c r="AK22" i="15"/>
  <c r="AK21" i="15"/>
  <c r="AK20" i="15"/>
  <c r="AK19" i="15"/>
  <c r="Y45" i="15"/>
  <c r="Y44" i="15"/>
  <c r="Y43" i="15"/>
  <c r="Y42" i="15"/>
  <c r="Y41" i="15"/>
  <c r="AK41" i="15" s="1"/>
  <c r="Y40" i="15"/>
  <c r="Y39" i="15"/>
  <c r="Y38" i="15"/>
  <c r="Y37" i="15"/>
  <c r="AK37" i="15" s="1"/>
  <c r="Y36" i="15"/>
  <c r="Y35" i="15"/>
  <c r="Y34" i="15"/>
  <c r="Y33" i="15"/>
  <c r="AK33" i="15" s="1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4" i="15"/>
  <c r="Y13" i="15"/>
  <c r="Y12" i="15"/>
  <c r="Y11" i="15"/>
  <c r="Y10" i="15"/>
  <c r="Y9" i="15"/>
  <c r="Y8" i="15"/>
  <c r="Y7" i="15"/>
  <c r="Y6" i="15"/>
  <c r="Y5" i="15"/>
  <c r="AK11" i="15"/>
  <c r="Y15" i="15"/>
  <c r="AK35" i="15"/>
  <c r="AC52" i="16"/>
  <c r="Q52" i="16"/>
  <c r="AC51" i="16"/>
  <c r="Q51" i="16"/>
  <c r="AC50" i="16"/>
  <c r="Q50" i="16"/>
  <c r="AC49" i="16"/>
  <c r="Q49" i="16"/>
  <c r="AC48" i="16"/>
  <c r="Q48" i="16"/>
  <c r="AC47" i="16"/>
  <c r="Q47" i="16"/>
  <c r="AC46" i="16"/>
  <c r="Q46" i="16"/>
  <c r="Q45" i="16"/>
  <c r="Q19" i="16"/>
  <c r="AC7" i="16"/>
  <c r="AC6" i="16"/>
  <c r="Q6" i="16"/>
  <c r="AC5" i="16"/>
  <c r="Q5" i="16"/>
  <c r="AC4" i="16"/>
  <c r="Q4" i="16"/>
  <c r="AC3" i="16"/>
  <c r="Q3" i="16"/>
  <c r="AE3" i="16" s="1"/>
  <c r="AI52" i="15"/>
  <c r="Y52" i="15"/>
  <c r="AI51" i="15"/>
  <c r="Y51" i="15"/>
  <c r="AI50" i="15"/>
  <c r="Y50" i="15"/>
  <c r="AI49" i="15"/>
  <c r="Y49" i="15"/>
  <c r="AK49" i="15" s="1"/>
  <c r="AI48" i="15"/>
  <c r="Y48" i="15"/>
  <c r="AI47" i="15"/>
  <c r="Y47" i="15"/>
  <c r="AK47" i="15" s="1"/>
  <c r="AI46" i="15"/>
  <c r="Y46" i="15"/>
  <c r="AI45" i="15"/>
  <c r="AK45" i="15"/>
  <c r="AI44" i="15"/>
  <c r="AI43" i="15"/>
  <c r="AK43" i="15"/>
  <c r="AI42" i="15"/>
  <c r="AI41" i="15"/>
  <c r="AI40" i="15"/>
  <c r="AI39" i="15"/>
  <c r="AK39" i="15"/>
  <c r="AI38" i="15"/>
  <c r="AI37" i="15"/>
  <c r="AI36" i="15"/>
  <c r="AI35" i="15"/>
  <c r="AI34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K15" i="15"/>
  <c r="AI14" i="15"/>
  <c r="AI13" i="15"/>
  <c r="AI12" i="15"/>
  <c r="AI11" i="15"/>
  <c r="AI10" i="15"/>
  <c r="AI7" i="15"/>
  <c r="AI6" i="15"/>
  <c r="AI5" i="15"/>
  <c r="AI4" i="15"/>
  <c r="Y4" i="15"/>
  <c r="AI3" i="15"/>
  <c r="Y3" i="15"/>
  <c r="AL52" i="14"/>
  <c r="AN52" i="14" s="1"/>
  <c r="AA52" i="14"/>
  <c r="AL51" i="14"/>
  <c r="AN51" i="14" s="1"/>
  <c r="AA51" i="14"/>
  <c r="AL50" i="14"/>
  <c r="AA50" i="14"/>
  <c r="AL49" i="14"/>
  <c r="AN49" i="14" s="1"/>
  <c r="AA49" i="14"/>
  <c r="AL48" i="14"/>
  <c r="AA48" i="14"/>
  <c r="AL47" i="14"/>
  <c r="AA47" i="14"/>
  <c r="AN47" i="14" s="1"/>
  <c r="AL46" i="14"/>
  <c r="AA46" i="14"/>
  <c r="AL45" i="14"/>
  <c r="AA45" i="14"/>
  <c r="AL44" i="14"/>
  <c r="AA44" i="14"/>
  <c r="AL43" i="14"/>
  <c r="AA43" i="14"/>
  <c r="AL42" i="14"/>
  <c r="AA42" i="14"/>
  <c r="AL41" i="14"/>
  <c r="AN41" i="14" s="1"/>
  <c r="AA41" i="14"/>
  <c r="AL40" i="14"/>
  <c r="AA40" i="14"/>
  <c r="AN40" i="14" s="1"/>
  <c r="AL39" i="14"/>
  <c r="AN39" i="14" s="1"/>
  <c r="AA39" i="14"/>
  <c r="AL38" i="14"/>
  <c r="AN38" i="14" s="1"/>
  <c r="AA38" i="14"/>
  <c r="AL37" i="14"/>
  <c r="AA37" i="14"/>
  <c r="AL36" i="14"/>
  <c r="AN36" i="14" s="1"/>
  <c r="AA36" i="14"/>
  <c r="AL35" i="14"/>
  <c r="AA35" i="14"/>
  <c r="AL34" i="14"/>
  <c r="AN34" i="14" s="1"/>
  <c r="AA34" i="14"/>
  <c r="AL33" i="14"/>
  <c r="AA33" i="14"/>
  <c r="AL32" i="14"/>
  <c r="AA32" i="14"/>
  <c r="AN32" i="14" s="1"/>
  <c r="AL31" i="14"/>
  <c r="AA31" i="14"/>
  <c r="AL30" i="14"/>
  <c r="AA30" i="14"/>
  <c r="AL29" i="14"/>
  <c r="AA29" i="14"/>
  <c r="AL28" i="14"/>
  <c r="AA28" i="14"/>
  <c r="AL27" i="14"/>
  <c r="AA27" i="14"/>
  <c r="AL26" i="14"/>
  <c r="AA26" i="14"/>
  <c r="AL25" i="14"/>
  <c r="AA25" i="14"/>
  <c r="AL24" i="14"/>
  <c r="AA24" i="14"/>
  <c r="AN24" i="14" s="1"/>
  <c r="AL23" i="14"/>
  <c r="AA23" i="14"/>
  <c r="AL22" i="14"/>
  <c r="AA22" i="14"/>
  <c r="AL21" i="14"/>
  <c r="AA21" i="14"/>
  <c r="AL20" i="14"/>
  <c r="AA20" i="14"/>
  <c r="AL19" i="14"/>
  <c r="AA19" i="14"/>
  <c r="AL18" i="14"/>
  <c r="AA18" i="14"/>
  <c r="AL17" i="14"/>
  <c r="AA17" i="14"/>
  <c r="AL16" i="14"/>
  <c r="AA16" i="14"/>
  <c r="AN16" i="14" s="1"/>
  <c r="AL15" i="14"/>
  <c r="AA15" i="14"/>
  <c r="AN15" i="14" s="1"/>
  <c r="AL14" i="14"/>
  <c r="AA14" i="14"/>
  <c r="AL13" i="14"/>
  <c r="AA13" i="14"/>
  <c r="AL12" i="14"/>
  <c r="AA12" i="14"/>
  <c r="AL11" i="14"/>
  <c r="AA11" i="14"/>
  <c r="AL10" i="14"/>
  <c r="AA10" i="14"/>
  <c r="AL9" i="14"/>
  <c r="AA9" i="14"/>
  <c r="AL8" i="14"/>
  <c r="AA8" i="14"/>
  <c r="AN8" i="14" s="1"/>
  <c r="AL7" i="14"/>
  <c r="AA7" i="14"/>
  <c r="AL6" i="14"/>
  <c r="AA6" i="14"/>
  <c r="AL5" i="14"/>
  <c r="AA5" i="14"/>
  <c r="AL4" i="14"/>
  <c r="AN4" i="14" s="1"/>
  <c r="AA4" i="14"/>
  <c r="AL3" i="14"/>
  <c r="AA3" i="14"/>
  <c r="AE17" i="16" l="1"/>
  <c r="AE18" i="16"/>
  <c r="AE35" i="16"/>
  <c r="AE43" i="16"/>
  <c r="AE46" i="16"/>
  <c r="AE50" i="16"/>
  <c r="AE20" i="16"/>
  <c r="AE28" i="16"/>
  <c r="AE36" i="16"/>
  <c r="AE44" i="16"/>
  <c r="AE9" i="16"/>
  <c r="AE12" i="16"/>
  <c r="AE21" i="16"/>
  <c r="AE37" i="16"/>
  <c r="AE16" i="16"/>
  <c r="AE25" i="16"/>
  <c r="AE33" i="16"/>
  <c r="AE6" i="16"/>
  <c r="AE45" i="16"/>
  <c r="AE49" i="16"/>
  <c r="AE26" i="16"/>
  <c r="AE42" i="16"/>
  <c r="AE51" i="16"/>
  <c r="AE13" i="16"/>
  <c r="AE30" i="16"/>
  <c r="AE8" i="16"/>
  <c r="AE4" i="16"/>
  <c r="AE14" i="16"/>
  <c r="AE52" i="16"/>
  <c r="AE24" i="16"/>
  <c r="AE32" i="16"/>
  <c r="AE40" i="16"/>
  <c r="AE10" i="16"/>
  <c r="AE7" i="16"/>
  <c r="AE47" i="16"/>
  <c r="AE11" i="16"/>
  <c r="AE19" i="16"/>
  <c r="AE27" i="16"/>
  <c r="AE34" i="16"/>
  <c r="AE48" i="16"/>
  <c r="AE5" i="16"/>
  <c r="AE31" i="16"/>
  <c r="AE29" i="16"/>
  <c r="AE41" i="16"/>
  <c r="AE39" i="16"/>
  <c r="AE23" i="16"/>
  <c r="AE15" i="16"/>
  <c r="AK8" i="15"/>
  <c r="AK12" i="15"/>
  <c r="AK16" i="15"/>
  <c r="AK36" i="15"/>
  <c r="AK7" i="15"/>
  <c r="AK6" i="15"/>
  <c r="AK14" i="15"/>
  <c r="AK5" i="15"/>
  <c r="AK40" i="15"/>
  <c r="AK44" i="15"/>
  <c r="AK51" i="15"/>
  <c r="AK50" i="15"/>
  <c r="AK4" i="15"/>
  <c r="AK9" i="15"/>
  <c r="AK13" i="15"/>
  <c r="AK17" i="15"/>
  <c r="AK48" i="15"/>
  <c r="AK52" i="15"/>
  <c r="AK3" i="15"/>
  <c r="AK18" i="15"/>
  <c r="AK38" i="15"/>
  <c r="AK46" i="15"/>
  <c r="AK42" i="15"/>
  <c r="AK34" i="15"/>
  <c r="AK10" i="15"/>
  <c r="AN17" i="14"/>
  <c r="AN18" i="14"/>
  <c r="AN9" i="14"/>
  <c r="AN6" i="14"/>
  <c r="AN7" i="14"/>
  <c r="AN19" i="14"/>
  <c r="AN33" i="14"/>
  <c r="AN22" i="14"/>
  <c r="AN23" i="14"/>
  <c r="AN31" i="14"/>
  <c r="AN28" i="14"/>
  <c r="AN11" i="14"/>
  <c r="AN26" i="14"/>
  <c r="AN30" i="14"/>
  <c r="AN45" i="14"/>
  <c r="AN12" i="14"/>
  <c r="AN27" i="14"/>
  <c r="AN42" i="14"/>
  <c r="AN46" i="14"/>
  <c r="AN5" i="14"/>
  <c r="AN20" i="14"/>
  <c r="AN35" i="14"/>
  <c r="AN50" i="14"/>
  <c r="AN13" i="14"/>
  <c r="AN43" i="14"/>
  <c r="AN21" i="14"/>
  <c r="AN10" i="14"/>
  <c r="AN14" i="14"/>
  <c r="AN25" i="14"/>
  <c r="AN29" i="14"/>
  <c r="AN44" i="14"/>
  <c r="AN48" i="14"/>
  <c r="AN3" i="14"/>
  <c r="AN37" i="14"/>
  <c r="O34" i="4" l="1"/>
  <c r="N38" i="4"/>
  <c r="N34" i="4"/>
  <c r="M34" i="4"/>
  <c r="L38" i="4"/>
  <c r="L34" i="4"/>
  <c r="K38" i="4"/>
  <c r="K34" i="4"/>
  <c r="J38" i="4"/>
  <c r="J34" i="4"/>
  <c r="I38" i="4"/>
  <c r="I34" i="4"/>
  <c r="H34" i="4"/>
  <c r="G34" i="4"/>
  <c r="F38" i="4"/>
  <c r="F34" i="4"/>
  <c r="E38" i="4"/>
  <c r="E34" i="4"/>
  <c r="D34" i="4"/>
  <c r="C34" i="4"/>
  <c r="B38" i="4"/>
  <c r="B34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X51" i="3"/>
  <c r="V46" i="3"/>
  <c r="V42" i="3"/>
  <c r="V38" i="3"/>
  <c r="U50" i="3"/>
  <c r="U46" i="3"/>
  <c r="U42" i="3"/>
  <c r="U38" i="3"/>
  <c r="T50" i="3"/>
  <c r="T46" i="3"/>
  <c r="T42" i="3"/>
  <c r="T38" i="3"/>
  <c r="S42" i="3"/>
  <c r="S38" i="3"/>
  <c r="R42" i="3"/>
  <c r="R46" i="3"/>
  <c r="R38" i="3"/>
  <c r="N42" i="3"/>
  <c r="N38" i="3"/>
  <c r="M54" i="3"/>
  <c r="M50" i="3"/>
  <c r="M46" i="3"/>
  <c r="M42" i="3"/>
  <c r="M38" i="3"/>
  <c r="O38" i="3"/>
  <c r="P38" i="3"/>
  <c r="Q38" i="3"/>
  <c r="W38" i="3"/>
  <c r="L38" i="3"/>
  <c r="K54" i="3"/>
  <c r="K50" i="3"/>
  <c r="K46" i="3"/>
  <c r="K42" i="3"/>
  <c r="K38" i="3"/>
  <c r="I50" i="3"/>
  <c r="J54" i="3"/>
  <c r="J50" i="3"/>
  <c r="J46" i="3"/>
  <c r="J42" i="3"/>
  <c r="I42" i="3"/>
  <c r="I38" i="3"/>
  <c r="H50" i="3"/>
  <c r="H46" i="3"/>
  <c r="H42" i="3"/>
  <c r="H38" i="3"/>
  <c r="G42" i="3"/>
  <c r="G38" i="3"/>
  <c r="F58" i="3"/>
  <c r="F54" i="3"/>
  <c r="F50" i="3"/>
  <c r="F46" i="3"/>
  <c r="F42" i="3"/>
  <c r="F38" i="3"/>
  <c r="E42" i="3"/>
  <c r="E38" i="3"/>
  <c r="D46" i="3"/>
  <c r="D42" i="3"/>
  <c r="D38" i="3"/>
  <c r="C50" i="3"/>
  <c r="C46" i="3"/>
  <c r="C42" i="3"/>
  <c r="B46" i="3"/>
  <c r="B42" i="3"/>
  <c r="B38" i="3"/>
  <c r="J38" i="3"/>
  <c r="C38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V44" i="2"/>
  <c r="V40" i="2"/>
  <c r="S44" i="2"/>
  <c r="S40" i="2"/>
  <c r="R48" i="2"/>
  <c r="R44" i="2"/>
  <c r="R40" i="2"/>
  <c r="Q44" i="2"/>
  <c r="Q40" i="2"/>
  <c r="J40" i="2"/>
  <c r="J48" i="2"/>
  <c r="J44" i="2"/>
  <c r="I44" i="2"/>
  <c r="I40" i="2"/>
  <c r="E40" i="2"/>
  <c r="E44" i="2"/>
  <c r="D40" i="2"/>
  <c r="D44" i="2"/>
  <c r="C44" i="2"/>
  <c r="C40" i="2"/>
  <c r="O40" i="2"/>
  <c r="N40" i="2"/>
  <c r="M40" i="2"/>
  <c r="L40" i="2"/>
  <c r="K40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D60" i="10"/>
  <c r="D58" i="10"/>
  <c r="D56" i="10"/>
  <c r="U29" i="10"/>
  <c r="U30" i="10" s="1"/>
  <c r="T29" i="10"/>
  <c r="T30" i="10" s="1"/>
  <c r="S29" i="10"/>
  <c r="S30" i="10" s="1"/>
  <c r="R29" i="10"/>
  <c r="R30" i="10" s="1"/>
  <c r="Q29" i="10"/>
  <c r="Q30" i="10" s="1"/>
  <c r="P29" i="10"/>
  <c r="P30" i="10" s="1"/>
  <c r="O29" i="10"/>
  <c r="N29" i="10"/>
  <c r="N30" i="10" s="1"/>
  <c r="M29" i="10"/>
  <c r="M30" i="10" s="1"/>
  <c r="L29" i="10"/>
  <c r="K29" i="10"/>
  <c r="J29" i="10"/>
  <c r="J30" i="10" s="1"/>
  <c r="I29" i="10"/>
  <c r="I30" i="10" s="1"/>
  <c r="H29" i="10"/>
  <c r="H30" i="10" s="1"/>
  <c r="G29" i="10"/>
  <c r="G30" i="10" s="1"/>
  <c r="F29" i="10"/>
  <c r="F30" i="10" s="1"/>
  <c r="E29" i="10"/>
  <c r="E30" i="10" s="1"/>
  <c r="D29" i="10"/>
  <c r="D30" i="10" s="1"/>
  <c r="C29" i="10"/>
  <c r="Z28" i="10"/>
  <c r="Y28" i="10"/>
  <c r="X28" i="10"/>
  <c r="W28" i="10"/>
  <c r="V28" i="10"/>
  <c r="Z27" i="10"/>
  <c r="Y27" i="10"/>
  <c r="X27" i="10"/>
  <c r="W27" i="10"/>
  <c r="V27" i="10"/>
  <c r="F68" i="4"/>
  <c r="E68" i="4"/>
  <c r="D68" i="4"/>
  <c r="C68" i="4"/>
  <c r="B68" i="4"/>
  <c r="D87" i="3"/>
  <c r="C87" i="3"/>
  <c r="B87" i="3"/>
  <c r="H83" i="2"/>
  <c r="G83" i="2"/>
  <c r="F83" i="2"/>
  <c r="E83" i="2"/>
  <c r="D83" i="2"/>
  <c r="C83" i="2"/>
  <c r="B83" i="2"/>
  <c r="I83" i="2"/>
  <c r="W49" i="10"/>
  <c r="U49" i="10"/>
  <c r="S49" i="10"/>
  <c r="W48" i="10"/>
  <c r="U48" i="10"/>
  <c r="S48" i="10"/>
  <c r="W47" i="10"/>
  <c r="U47" i="10"/>
  <c r="S47" i="10"/>
  <c r="W46" i="10"/>
  <c r="U46" i="10"/>
  <c r="S46" i="10"/>
  <c r="Z29" i="10" l="1"/>
  <c r="Z30" i="10" s="1"/>
  <c r="Y29" i="10"/>
  <c r="Y30" i="10" s="1"/>
  <c r="X29" i="10"/>
  <c r="X30" i="10" s="1"/>
  <c r="V29" i="10"/>
  <c r="V30" i="10" s="1"/>
  <c r="C30" i="10"/>
  <c r="K30" i="10"/>
  <c r="L30" i="10"/>
  <c r="W29" i="10"/>
  <c r="W30" i="10" s="1"/>
  <c r="O30" i="10"/>
  <c r="W51" i="10"/>
  <c r="U51" i="10"/>
  <c r="S51" i="10"/>
  <c r="S80" i="10"/>
  <c r="U80" i="10"/>
  <c r="S81" i="10"/>
  <c r="U81" i="10"/>
  <c r="W82" i="10"/>
  <c r="S88" i="10"/>
  <c r="U88" i="10"/>
  <c r="W88" i="10"/>
  <c r="S89" i="10"/>
  <c r="U89" i="10"/>
  <c r="W89" i="10"/>
  <c r="S90" i="10"/>
  <c r="U90" i="10"/>
  <c r="W90" i="10"/>
  <c r="S91" i="10"/>
  <c r="U91" i="10"/>
  <c r="W91" i="10"/>
  <c r="S98" i="10"/>
  <c r="S99" i="10" s="1"/>
  <c r="U98" i="10"/>
  <c r="U99" i="10" s="1"/>
  <c r="W98" i="10"/>
  <c r="W99" i="10" s="1"/>
  <c r="S70" i="10"/>
  <c r="S71" i="10"/>
  <c r="E41" i="10"/>
  <c r="D41" i="10"/>
  <c r="C41" i="10"/>
  <c r="AT17" i="13"/>
  <c r="AW17" i="13" s="1"/>
  <c r="AO17" i="13"/>
  <c r="AP17" i="13" s="1"/>
  <c r="AR17" i="13" s="1"/>
  <c r="AN17" i="13"/>
  <c r="AT16" i="13"/>
  <c r="AW16" i="13" s="1"/>
  <c r="AO16" i="13"/>
  <c r="AP16" i="13" s="1"/>
  <c r="AN16" i="13"/>
  <c r="AT15" i="13"/>
  <c r="AW15" i="13" s="1"/>
  <c r="AO15" i="13"/>
  <c r="AP15" i="13" s="1"/>
  <c r="AQ15" i="13" s="1"/>
  <c r="AN15" i="13"/>
  <c r="AT14" i="13"/>
  <c r="AU14" i="13" s="1"/>
  <c r="AO14" i="13"/>
  <c r="AP14" i="13" s="1"/>
  <c r="AN14" i="13"/>
  <c r="AT13" i="13"/>
  <c r="AW13" i="13" s="1"/>
  <c r="AO13" i="13"/>
  <c r="AP13" i="13" s="1"/>
  <c r="AN13" i="13"/>
  <c r="AT12" i="13"/>
  <c r="AU12" i="13" s="1"/>
  <c r="AO12" i="13"/>
  <c r="AP12" i="13" s="1"/>
  <c r="AN12" i="13"/>
  <c r="AT11" i="13"/>
  <c r="AW11" i="13" s="1"/>
  <c r="AO11" i="13"/>
  <c r="AP11" i="13" s="1"/>
  <c r="AR11" i="13" s="1"/>
  <c r="AN11" i="13"/>
  <c r="AT10" i="13"/>
  <c r="AU10" i="13" s="1"/>
  <c r="AO10" i="13"/>
  <c r="AP10" i="13" s="1"/>
  <c r="AN10" i="13"/>
  <c r="AT9" i="13"/>
  <c r="AW9" i="13" s="1"/>
  <c r="AO9" i="13"/>
  <c r="AP9" i="13" s="1"/>
  <c r="AQ9" i="13" s="1"/>
  <c r="AN9" i="13"/>
  <c r="AT8" i="13"/>
  <c r="AO8" i="13"/>
  <c r="AP8" i="13" s="1"/>
  <c r="AR8" i="13" s="1"/>
  <c r="AN8" i="13"/>
  <c r="AT7" i="13"/>
  <c r="AW7" i="13" s="1"/>
  <c r="AO7" i="13"/>
  <c r="AP7" i="13" s="1"/>
  <c r="AN7" i="13"/>
  <c r="BD26" i="13"/>
  <c r="BE26" i="13"/>
  <c r="BF26" i="13" s="1"/>
  <c r="BJ26" i="13"/>
  <c r="BK26" i="13" s="1"/>
  <c r="BD27" i="13"/>
  <c r="BE27" i="13"/>
  <c r="BF27" i="13" s="1"/>
  <c r="BJ27" i="13"/>
  <c r="BK27" i="13" s="1"/>
  <c r="BD28" i="13"/>
  <c r="BE28" i="13"/>
  <c r="BF28" i="13" s="1"/>
  <c r="BJ28" i="13"/>
  <c r="BK28" i="13" s="1"/>
  <c r="BD29" i="13"/>
  <c r="BE29" i="13"/>
  <c r="BF29" i="13" s="1"/>
  <c r="BJ29" i="13"/>
  <c r="BK29" i="13" s="1"/>
  <c r="BD24" i="13"/>
  <c r="BE24" i="13"/>
  <c r="BF24" i="13" s="1"/>
  <c r="BJ24" i="13"/>
  <c r="BM24" i="13" s="1"/>
  <c r="BD25" i="13"/>
  <c r="BE25" i="13"/>
  <c r="BF25" i="13" s="1"/>
  <c r="BJ25" i="13"/>
  <c r="BK25" i="13" s="1"/>
  <c r="BD22" i="13"/>
  <c r="BE22" i="13"/>
  <c r="BF22" i="13" s="1"/>
  <c r="BG22" i="13" s="1"/>
  <c r="BJ22" i="13"/>
  <c r="BM22" i="13" s="1"/>
  <c r="BD23" i="13"/>
  <c r="BE23" i="13"/>
  <c r="BF23" i="13" s="1"/>
  <c r="BJ23" i="13"/>
  <c r="BD20" i="13"/>
  <c r="BE20" i="13"/>
  <c r="BF20" i="13" s="1"/>
  <c r="BG20" i="13" s="1"/>
  <c r="BJ20" i="13"/>
  <c r="BM20" i="13" s="1"/>
  <c r="BD21" i="13"/>
  <c r="BE21" i="13"/>
  <c r="BF21" i="13" s="1"/>
  <c r="BJ21" i="13"/>
  <c r="BK21" i="13" s="1"/>
  <c r="BD18" i="13"/>
  <c r="BE18" i="13"/>
  <c r="BF18" i="13" s="1"/>
  <c r="BG18" i="13" s="1"/>
  <c r="BJ18" i="13"/>
  <c r="BM18" i="13" s="1"/>
  <c r="BD19" i="13"/>
  <c r="BE19" i="13"/>
  <c r="BF19" i="13" s="1"/>
  <c r="BJ19" i="13"/>
  <c r="BD16" i="13"/>
  <c r="BE16" i="13"/>
  <c r="BF16" i="13" s="1"/>
  <c r="BG16" i="13" s="1"/>
  <c r="BJ16" i="13"/>
  <c r="BM16" i="13" s="1"/>
  <c r="BD17" i="13"/>
  <c r="BE17" i="13"/>
  <c r="BF17" i="13" s="1"/>
  <c r="BJ17" i="13"/>
  <c r="BD14" i="13"/>
  <c r="BE14" i="13"/>
  <c r="BF14" i="13" s="1"/>
  <c r="BJ14" i="13"/>
  <c r="BM14" i="13" s="1"/>
  <c r="BD15" i="13"/>
  <c r="BE15" i="13"/>
  <c r="BF15" i="13" s="1"/>
  <c r="BJ15" i="13"/>
  <c r="BK15" i="13" s="1"/>
  <c r="BD12" i="13"/>
  <c r="BE12" i="13"/>
  <c r="BF12" i="13" s="1"/>
  <c r="BJ12" i="13"/>
  <c r="BM12" i="13" s="1"/>
  <c r="BD13" i="13"/>
  <c r="BE13" i="13"/>
  <c r="BF13" i="13" s="1"/>
  <c r="BG13" i="13" s="1"/>
  <c r="BJ13" i="13"/>
  <c r="BD10" i="13"/>
  <c r="BE10" i="13"/>
  <c r="BF10" i="13" s="1"/>
  <c r="BG10" i="13" s="1"/>
  <c r="BJ10" i="13"/>
  <c r="BM10" i="13" s="1"/>
  <c r="BD11" i="13"/>
  <c r="BE11" i="13"/>
  <c r="BF11" i="13" s="1"/>
  <c r="BJ11" i="13"/>
  <c r="BD8" i="13"/>
  <c r="BE8" i="13"/>
  <c r="BF8" i="13" s="1"/>
  <c r="BG8" i="13" s="1"/>
  <c r="BJ8" i="13"/>
  <c r="BM8" i="13" s="1"/>
  <c r="BD9" i="13"/>
  <c r="BE9" i="13"/>
  <c r="BF9" i="13" s="1"/>
  <c r="BJ9" i="13"/>
  <c r="BD6" i="13"/>
  <c r="BE6" i="13"/>
  <c r="BF6" i="13" s="1"/>
  <c r="BG6" i="13" s="1"/>
  <c r="BJ6" i="13"/>
  <c r="BM6" i="13" s="1"/>
  <c r="BD7" i="13"/>
  <c r="BE7" i="13"/>
  <c r="BF7" i="13" s="1"/>
  <c r="BJ7" i="13"/>
  <c r="BD4" i="13"/>
  <c r="BE4" i="13"/>
  <c r="BF4" i="13" s="1"/>
  <c r="BH4" i="13" s="1"/>
  <c r="BJ4" i="13"/>
  <c r="BM4" i="13" s="1"/>
  <c r="BD5" i="13"/>
  <c r="BE5" i="13"/>
  <c r="BF5" i="13" s="1"/>
  <c r="BJ5" i="13"/>
  <c r="H98" i="10"/>
  <c r="H101" i="10" s="1"/>
  <c r="F98" i="10"/>
  <c r="F101" i="10" s="1"/>
  <c r="D98" i="10"/>
  <c r="D101" i="10" s="1"/>
  <c r="L54" i="13"/>
  <c r="O54" i="13" s="1"/>
  <c r="G54" i="13"/>
  <c r="H54" i="13" s="1"/>
  <c r="J54" i="13" s="1"/>
  <c r="F54" i="13"/>
  <c r="L53" i="13"/>
  <c r="O53" i="13" s="1"/>
  <c r="G53" i="13"/>
  <c r="H53" i="13" s="1"/>
  <c r="F53" i="13"/>
  <c r="L52" i="13"/>
  <c r="G52" i="13"/>
  <c r="H52" i="13" s="1"/>
  <c r="F52" i="13"/>
  <c r="L51" i="13"/>
  <c r="G51" i="13"/>
  <c r="H51" i="13" s="1"/>
  <c r="J51" i="13" s="1"/>
  <c r="F51" i="13"/>
  <c r="L50" i="13"/>
  <c r="O50" i="13" s="1"/>
  <c r="G50" i="13"/>
  <c r="H50" i="13" s="1"/>
  <c r="I50" i="13" s="1"/>
  <c r="F50" i="13"/>
  <c r="AB49" i="13"/>
  <c r="AC49" i="13" s="1"/>
  <c r="W49" i="13"/>
  <c r="X49" i="13" s="1"/>
  <c r="Z49" i="13" s="1"/>
  <c r="V49" i="13"/>
  <c r="L49" i="13"/>
  <c r="M49" i="13" s="1"/>
  <c r="G49" i="13"/>
  <c r="H49" i="13" s="1"/>
  <c r="J49" i="13" s="1"/>
  <c r="F49" i="13"/>
  <c r="AB48" i="13"/>
  <c r="W48" i="13"/>
  <c r="X48" i="13" s="1"/>
  <c r="V48" i="13"/>
  <c r="L48" i="13"/>
  <c r="M48" i="13" s="1"/>
  <c r="G48" i="13"/>
  <c r="H48" i="13" s="1"/>
  <c r="J48" i="13" s="1"/>
  <c r="F48" i="13"/>
  <c r="AB47" i="13"/>
  <c r="AE47" i="13" s="1"/>
  <c r="W47" i="13"/>
  <c r="X47" i="13" s="1"/>
  <c r="Z47" i="13" s="1"/>
  <c r="V47" i="13"/>
  <c r="L47" i="13"/>
  <c r="O47" i="13" s="1"/>
  <c r="G47" i="13"/>
  <c r="H47" i="13" s="1"/>
  <c r="I47" i="13" s="1"/>
  <c r="F47" i="13"/>
  <c r="AB46" i="13"/>
  <c r="AC46" i="13" s="1"/>
  <c r="W46" i="13"/>
  <c r="X46" i="13" s="1"/>
  <c r="Z46" i="13" s="1"/>
  <c r="V46" i="13"/>
  <c r="L46" i="13"/>
  <c r="O46" i="13" s="1"/>
  <c r="G46" i="13"/>
  <c r="H46" i="13" s="1"/>
  <c r="I46" i="13" s="1"/>
  <c r="F46" i="13"/>
  <c r="AB45" i="13"/>
  <c r="AC45" i="13" s="1"/>
  <c r="W45" i="13"/>
  <c r="X45" i="13" s="1"/>
  <c r="V45" i="13"/>
  <c r="L45" i="13"/>
  <c r="O45" i="13" s="1"/>
  <c r="G45" i="13"/>
  <c r="H45" i="13" s="1"/>
  <c r="I45" i="13" s="1"/>
  <c r="F45" i="13"/>
  <c r="AB44" i="13"/>
  <c r="W44" i="13"/>
  <c r="X44" i="13" s="1"/>
  <c r="V44" i="13"/>
  <c r="L44" i="13"/>
  <c r="O44" i="13" s="1"/>
  <c r="G44" i="13"/>
  <c r="H44" i="13" s="1"/>
  <c r="F44" i="13"/>
  <c r="AB43" i="13"/>
  <c r="AE43" i="13" s="1"/>
  <c r="W43" i="13"/>
  <c r="X43" i="13" s="1"/>
  <c r="V43" i="13"/>
  <c r="L43" i="13"/>
  <c r="O43" i="13" s="1"/>
  <c r="G43" i="13"/>
  <c r="H43" i="13" s="1"/>
  <c r="F43" i="13"/>
  <c r="AB42" i="13"/>
  <c r="AC42" i="13" s="1"/>
  <c r="W42" i="13"/>
  <c r="X42" i="13" s="1"/>
  <c r="Z42" i="13" s="1"/>
  <c r="V42" i="13"/>
  <c r="L42" i="13"/>
  <c r="O42" i="13" s="1"/>
  <c r="G42" i="13"/>
  <c r="H42" i="13" s="1"/>
  <c r="I42" i="13" s="1"/>
  <c r="F42" i="13"/>
  <c r="AB41" i="13"/>
  <c r="AC41" i="13" s="1"/>
  <c r="W41" i="13"/>
  <c r="X41" i="13" s="1"/>
  <c r="V41" i="13"/>
  <c r="L41" i="13"/>
  <c r="O41" i="13" s="1"/>
  <c r="G41" i="13"/>
  <c r="H41" i="13" s="1"/>
  <c r="I41" i="13" s="1"/>
  <c r="F41" i="13"/>
  <c r="AB40" i="13"/>
  <c r="W40" i="13"/>
  <c r="X40" i="13" s="1"/>
  <c r="V40" i="13"/>
  <c r="L40" i="13"/>
  <c r="O40" i="13" s="1"/>
  <c r="G40" i="13"/>
  <c r="H40" i="13" s="1"/>
  <c r="J40" i="13" s="1"/>
  <c r="F40" i="13"/>
  <c r="AB39" i="13"/>
  <c r="AE39" i="13" s="1"/>
  <c r="W39" i="13"/>
  <c r="X39" i="13" s="1"/>
  <c r="V39" i="13"/>
  <c r="L39" i="13"/>
  <c r="O39" i="13" s="1"/>
  <c r="G39" i="13"/>
  <c r="H39" i="13" s="1"/>
  <c r="I39" i="13" s="1"/>
  <c r="F39" i="13"/>
  <c r="AB38" i="13"/>
  <c r="AC38" i="13" s="1"/>
  <c r="W38" i="13"/>
  <c r="X38" i="13" s="1"/>
  <c r="Z38" i="13" s="1"/>
  <c r="V38" i="13"/>
  <c r="L38" i="13"/>
  <c r="O38" i="13" s="1"/>
  <c r="G38" i="13"/>
  <c r="H38" i="13" s="1"/>
  <c r="I38" i="13" s="1"/>
  <c r="F38" i="13"/>
  <c r="AB37" i="13"/>
  <c r="AC37" i="13" s="1"/>
  <c r="W37" i="13"/>
  <c r="X37" i="13" s="1"/>
  <c r="Z37" i="13" s="1"/>
  <c r="V37" i="13"/>
  <c r="L37" i="13"/>
  <c r="G37" i="13"/>
  <c r="H37" i="13" s="1"/>
  <c r="I37" i="13" s="1"/>
  <c r="F37" i="13"/>
  <c r="AB36" i="13"/>
  <c r="W36" i="13"/>
  <c r="X36" i="13" s="1"/>
  <c r="V36" i="13"/>
  <c r="L36" i="13"/>
  <c r="O36" i="13" s="1"/>
  <c r="G36" i="13"/>
  <c r="H36" i="13" s="1"/>
  <c r="J36" i="13" s="1"/>
  <c r="F36" i="13"/>
  <c r="AB35" i="13"/>
  <c r="AE35" i="13" s="1"/>
  <c r="W35" i="13"/>
  <c r="X35" i="13" s="1"/>
  <c r="Z35" i="13" s="1"/>
  <c r="V35" i="13"/>
  <c r="L35" i="13"/>
  <c r="G35" i="13"/>
  <c r="H35" i="13" s="1"/>
  <c r="I35" i="13" s="1"/>
  <c r="F35" i="13"/>
  <c r="AB34" i="13"/>
  <c r="W34" i="13"/>
  <c r="X34" i="13" s="1"/>
  <c r="Z34" i="13" s="1"/>
  <c r="V34" i="13"/>
  <c r="L34" i="13"/>
  <c r="O34" i="13" s="1"/>
  <c r="G34" i="13"/>
  <c r="H34" i="13" s="1"/>
  <c r="I34" i="13" s="1"/>
  <c r="F34" i="13"/>
  <c r="AB33" i="13"/>
  <c r="AC33" i="13" s="1"/>
  <c r="W33" i="13"/>
  <c r="X33" i="13" s="1"/>
  <c r="Z33" i="13" s="1"/>
  <c r="V33" i="13"/>
  <c r="L33" i="13"/>
  <c r="M33" i="13" s="1"/>
  <c r="G33" i="13"/>
  <c r="H33" i="13" s="1"/>
  <c r="I33" i="13" s="1"/>
  <c r="F33" i="13"/>
  <c r="AB32" i="13"/>
  <c r="W32" i="13"/>
  <c r="X32" i="13" s="1"/>
  <c r="V32" i="13"/>
  <c r="L32" i="13"/>
  <c r="M32" i="13" s="1"/>
  <c r="G32" i="13"/>
  <c r="H32" i="13" s="1"/>
  <c r="F32" i="13"/>
  <c r="AB31" i="13"/>
  <c r="AE31" i="13" s="1"/>
  <c r="W31" i="13"/>
  <c r="X31" i="13" s="1"/>
  <c r="Y31" i="13" s="1"/>
  <c r="V31" i="13"/>
  <c r="L31" i="13"/>
  <c r="G31" i="13"/>
  <c r="H31" i="13" s="1"/>
  <c r="F31" i="13"/>
  <c r="AB30" i="13"/>
  <c r="AC30" i="13" s="1"/>
  <c r="W30" i="13"/>
  <c r="X30" i="13" s="1"/>
  <c r="Z30" i="13" s="1"/>
  <c r="V30" i="13"/>
  <c r="L30" i="13"/>
  <c r="O30" i="13" s="1"/>
  <c r="G30" i="13"/>
  <c r="H30" i="13" s="1"/>
  <c r="F30" i="13"/>
  <c r="AB29" i="13"/>
  <c r="AC29" i="13" s="1"/>
  <c r="W29" i="13"/>
  <c r="X29" i="13" s="1"/>
  <c r="Z29" i="13" s="1"/>
  <c r="V29" i="13"/>
  <c r="L29" i="13"/>
  <c r="O29" i="13" s="1"/>
  <c r="G29" i="13"/>
  <c r="H29" i="13" s="1"/>
  <c r="I29" i="13" s="1"/>
  <c r="F29" i="13"/>
  <c r="AB28" i="13"/>
  <c r="W28" i="13"/>
  <c r="X28" i="13" s="1"/>
  <c r="V28" i="13"/>
  <c r="L28" i="13"/>
  <c r="O28" i="13" s="1"/>
  <c r="G28" i="13"/>
  <c r="H28" i="13" s="1"/>
  <c r="F28" i="13"/>
  <c r="AB27" i="13"/>
  <c r="AE27" i="13" s="1"/>
  <c r="W27" i="13"/>
  <c r="X27" i="13" s="1"/>
  <c r="Y27" i="13" s="1"/>
  <c r="V27" i="13"/>
  <c r="L27" i="13"/>
  <c r="G27" i="13"/>
  <c r="H27" i="13" s="1"/>
  <c r="I27" i="13" s="1"/>
  <c r="F27" i="13"/>
  <c r="AB26" i="13"/>
  <c r="AC26" i="13" s="1"/>
  <c r="W26" i="13"/>
  <c r="X26" i="13" s="1"/>
  <c r="Z26" i="13" s="1"/>
  <c r="V26" i="13"/>
  <c r="L26" i="13"/>
  <c r="O26" i="13" s="1"/>
  <c r="G26" i="13"/>
  <c r="H26" i="13" s="1"/>
  <c r="I26" i="13" s="1"/>
  <c r="F26" i="13"/>
  <c r="AB25" i="13"/>
  <c r="AC25" i="13" s="1"/>
  <c r="W25" i="13"/>
  <c r="X25" i="13" s="1"/>
  <c r="Z25" i="13" s="1"/>
  <c r="V25" i="13"/>
  <c r="L25" i="13"/>
  <c r="O25" i="13" s="1"/>
  <c r="G25" i="13"/>
  <c r="H25" i="13" s="1"/>
  <c r="I25" i="13" s="1"/>
  <c r="F25" i="13"/>
  <c r="AB24" i="13"/>
  <c r="W24" i="13"/>
  <c r="X24" i="13" s="1"/>
  <c r="V24" i="13"/>
  <c r="L24" i="13"/>
  <c r="G24" i="13"/>
  <c r="H24" i="13" s="1"/>
  <c r="J24" i="13" s="1"/>
  <c r="F24" i="13"/>
  <c r="AB23" i="13"/>
  <c r="W23" i="13"/>
  <c r="X23" i="13" s="1"/>
  <c r="Z23" i="13" s="1"/>
  <c r="V23" i="13"/>
  <c r="L23" i="13"/>
  <c r="O23" i="13" s="1"/>
  <c r="G23" i="13"/>
  <c r="H23" i="13" s="1"/>
  <c r="I23" i="13" s="1"/>
  <c r="F23" i="13"/>
  <c r="AB22" i="13"/>
  <c r="W22" i="13"/>
  <c r="X22" i="13" s="1"/>
  <c r="V22" i="13"/>
  <c r="L22" i="13"/>
  <c r="M22" i="13" s="1"/>
  <c r="G22" i="13"/>
  <c r="H22" i="13" s="1"/>
  <c r="J22" i="13" s="1"/>
  <c r="F22" i="13"/>
  <c r="AB21" i="13"/>
  <c r="AC21" i="13" s="1"/>
  <c r="W21" i="13"/>
  <c r="X21" i="13" s="1"/>
  <c r="Z21" i="13" s="1"/>
  <c r="V21" i="13"/>
  <c r="L21" i="13"/>
  <c r="O21" i="13" s="1"/>
  <c r="G21" i="13"/>
  <c r="H21" i="13" s="1"/>
  <c r="I21" i="13" s="1"/>
  <c r="F21" i="13"/>
  <c r="AB20" i="13"/>
  <c r="W20" i="13"/>
  <c r="X20" i="13" s="1"/>
  <c r="V20" i="13"/>
  <c r="L20" i="13"/>
  <c r="M20" i="13" s="1"/>
  <c r="G20" i="13"/>
  <c r="H20" i="13" s="1"/>
  <c r="J20" i="13" s="1"/>
  <c r="F20" i="13"/>
  <c r="AB19" i="13"/>
  <c r="W19" i="13"/>
  <c r="X19" i="13" s="1"/>
  <c r="Z19" i="13" s="1"/>
  <c r="V19" i="13"/>
  <c r="L19" i="13"/>
  <c r="O19" i="13" s="1"/>
  <c r="G19" i="13"/>
  <c r="H19" i="13" s="1"/>
  <c r="I19" i="13" s="1"/>
  <c r="F19" i="13"/>
  <c r="AB18" i="13"/>
  <c r="W18" i="13"/>
  <c r="X18" i="13" s="1"/>
  <c r="V18" i="13"/>
  <c r="L18" i="13"/>
  <c r="O18" i="13" s="1"/>
  <c r="G18" i="13"/>
  <c r="H18" i="13" s="1"/>
  <c r="J18" i="13" s="1"/>
  <c r="F18" i="13"/>
  <c r="AB17" i="13"/>
  <c r="AC17" i="13" s="1"/>
  <c r="W17" i="13"/>
  <c r="X17" i="13" s="1"/>
  <c r="Z17" i="13" s="1"/>
  <c r="V17" i="13"/>
  <c r="L17" i="13"/>
  <c r="O17" i="13" s="1"/>
  <c r="G17" i="13"/>
  <c r="H17" i="13" s="1"/>
  <c r="I17" i="13" s="1"/>
  <c r="F17" i="13"/>
  <c r="AB16" i="13"/>
  <c r="AC16" i="13" s="1"/>
  <c r="W16" i="13"/>
  <c r="X16" i="13" s="1"/>
  <c r="V16" i="13"/>
  <c r="L16" i="13"/>
  <c r="O16" i="13" s="1"/>
  <c r="G16" i="13"/>
  <c r="H16" i="13" s="1"/>
  <c r="F16" i="13"/>
  <c r="AB15" i="13"/>
  <c r="AC15" i="13" s="1"/>
  <c r="W15" i="13"/>
  <c r="X15" i="13" s="1"/>
  <c r="Z15" i="13" s="1"/>
  <c r="V15" i="13"/>
  <c r="L15" i="13"/>
  <c r="G15" i="13"/>
  <c r="H15" i="13" s="1"/>
  <c r="I15" i="13" s="1"/>
  <c r="F15" i="13"/>
  <c r="AB14" i="13"/>
  <c r="AE14" i="13" s="1"/>
  <c r="W14" i="13"/>
  <c r="X14" i="13" s="1"/>
  <c r="Y14" i="13" s="1"/>
  <c r="V14" i="13"/>
  <c r="L14" i="13"/>
  <c r="G14" i="13"/>
  <c r="H14" i="13" s="1"/>
  <c r="I14" i="13" s="1"/>
  <c r="F14" i="13"/>
  <c r="AB13" i="13"/>
  <c r="AC13" i="13" s="1"/>
  <c r="W13" i="13"/>
  <c r="X13" i="13" s="1"/>
  <c r="Z13" i="13" s="1"/>
  <c r="V13" i="13"/>
  <c r="L13" i="13"/>
  <c r="O13" i="13" s="1"/>
  <c r="G13" i="13"/>
  <c r="H13" i="13" s="1"/>
  <c r="I13" i="13" s="1"/>
  <c r="F13" i="13"/>
  <c r="AB12" i="13"/>
  <c r="AE12" i="13" s="1"/>
  <c r="W12" i="13"/>
  <c r="X12" i="13" s="1"/>
  <c r="Y12" i="13" s="1"/>
  <c r="V12" i="13"/>
  <c r="L12" i="13"/>
  <c r="O12" i="13" s="1"/>
  <c r="G12" i="13"/>
  <c r="H12" i="13" s="1"/>
  <c r="F12" i="13"/>
  <c r="AB11" i="13"/>
  <c r="AC11" i="13" s="1"/>
  <c r="W11" i="13"/>
  <c r="X11" i="13" s="1"/>
  <c r="Z11" i="13" s="1"/>
  <c r="V11" i="13"/>
  <c r="L11" i="13"/>
  <c r="O11" i="13" s="1"/>
  <c r="G11" i="13"/>
  <c r="H11" i="13" s="1"/>
  <c r="F11" i="13"/>
  <c r="AB10" i="13"/>
  <c r="AE10" i="13" s="1"/>
  <c r="W10" i="13"/>
  <c r="X10" i="13" s="1"/>
  <c r="V10" i="13"/>
  <c r="L10" i="13"/>
  <c r="O10" i="13" s="1"/>
  <c r="G10" i="13"/>
  <c r="H10" i="13" s="1"/>
  <c r="F10" i="13"/>
  <c r="AB9" i="13"/>
  <c r="AE9" i="13" s="1"/>
  <c r="W9" i="13"/>
  <c r="X9" i="13" s="1"/>
  <c r="V9" i="13"/>
  <c r="L9" i="13"/>
  <c r="O9" i="13" s="1"/>
  <c r="G9" i="13"/>
  <c r="H9" i="13" s="1"/>
  <c r="F9" i="13"/>
  <c r="AB8" i="13"/>
  <c r="AC8" i="13" s="1"/>
  <c r="W8" i="13"/>
  <c r="X8" i="13" s="1"/>
  <c r="Z8" i="13" s="1"/>
  <c r="V8" i="13"/>
  <c r="L8" i="13"/>
  <c r="O8" i="13" s="1"/>
  <c r="G8" i="13"/>
  <c r="H8" i="13" s="1"/>
  <c r="J8" i="13" s="1"/>
  <c r="F8" i="13"/>
  <c r="AB7" i="13"/>
  <c r="AE7" i="13" s="1"/>
  <c r="W7" i="13"/>
  <c r="X7" i="13" s="1"/>
  <c r="V7" i="13"/>
  <c r="L7" i="13"/>
  <c r="O7" i="13" s="1"/>
  <c r="G7" i="13"/>
  <c r="H7" i="13" s="1"/>
  <c r="F7" i="13"/>
  <c r="AT6" i="13"/>
  <c r="AU6" i="13" s="1"/>
  <c r="AO6" i="13"/>
  <c r="AP6" i="13" s="1"/>
  <c r="AN6" i="13"/>
  <c r="AB6" i="13"/>
  <c r="AC6" i="13" s="1"/>
  <c r="W6" i="13"/>
  <c r="X6" i="13" s="1"/>
  <c r="Z6" i="13" s="1"/>
  <c r="V6" i="13"/>
  <c r="L6" i="13"/>
  <c r="M6" i="13" s="1"/>
  <c r="G6" i="13"/>
  <c r="H6" i="13" s="1"/>
  <c r="F6" i="13"/>
  <c r="AT5" i="13"/>
  <c r="AW5" i="13" s="1"/>
  <c r="AO5" i="13"/>
  <c r="AP5" i="13" s="1"/>
  <c r="AR5" i="13" s="1"/>
  <c r="AN5" i="13"/>
  <c r="AB5" i="13"/>
  <c r="AE5" i="13" s="1"/>
  <c r="W5" i="13"/>
  <c r="X5" i="13" s="1"/>
  <c r="V5" i="13"/>
  <c r="L5" i="13"/>
  <c r="O5" i="13" s="1"/>
  <c r="G5" i="13"/>
  <c r="H5" i="13" s="1"/>
  <c r="F5" i="13"/>
  <c r="AT4" i="13"/>
  <c r="AU4" i="13" s="1"/>
  <c r="AO4" i="13"/>
  <c r="AP4" i="13" s="1"/>
  <c r="AN4" i="13"/>
  <c r="AB4" i="13"/>
  <c r="AE4" i="13" s="1"/>
  <c r="W4" i="13"/>
  <c r="X4" i="13" s="1"/>
  <c r="Z4" i="13" s="1"/>
  <c r="V4" i="13"/>
  <c r="L4" i="13"/>
  <c r="O4" i="13" s="1"/>
  <c r="G4" i="13"/>
  <c r="H4" i="13" s="1"/>
  <c r="F4" i="13"/>
  <c r="BJ3" i="13"/>
  <c r="BM3" i="13" s="1"/>
  <c r="BE3" i="13"/>
  <c r="BF3" i="13" s="1"/>
  <c r="BG3" i="13" s="1"/>
  <c r="BD3" i="13"/>
  <c r="AT3" i="13"/>
  <c r="AW3" i="13" s="1"/>
  <c r="AO3" i="13"/>
  <c r="AP3" i="13" s="1"/>
  <c r="AN3" i="13"/>
  <c r="AB3" i="13"/>
  <c r="AC3" i="13" s="1"/>
  <c r="W3" i="13"/>
  <c r="X3" i="13" s="1"/>
  <c r="V3" i="13"/>
  <c r="L3" i="13"/>
  <c r="M3" i="13" s="1"/>
  <c r="G3" i="13"/>
  <c r="H3" i="13" s="1"/>
  <c r="J3" i="13" s="1"/>
  <c r="F3" i="13"/>
  <c r="AB70" i="12"/>
  <c r="W70" i="12"/>
  <c r="X70" i="12" s="1"/>
  <c r="Y70" i="12" s="1"/>
  <c r="V70" i="12"/>
  <c r="L70" i="12"/>
  <c r="M70" i="12" s="1"/>
  <c r="G70" i="12"/>
  <c r="H70" i="12" s="1"/>
  <c r="F70" i="12"/>
  <c r="AB69" i="12"/>
  <c r="AE69" i="12" s="1"/>
  <c r="W69" i="12"/>
  <c r="X69" i="12" s="1"/>
  <c r="Z69" i="12" s="1"/>
  <c r="V69" i="12"/>
  <c r="L69" i="12"/>
  <c r="M69" i="12" s="1"/>
  <c r="G69" i="12"/>
  <c r="H69" i="12" s="1"/>
  <c r="J69" i="12" s="1"/>
  <c r="F69" i="12"/>
  <c r="AB68" i="12"/>
  <c r="W68" i="12"/>
  <c r="X68" i="12" s="1"/>
  <c r="V68" i="12"/>
  <c r="L68" i="12"/>
  <c r="O68" i="12" s="1"/>
  <c r="G68" i="12"/>
  <c r="H68" i="12" s="1"/>
  <c r="F68" i="12"/>
  <c r="AB67" i="12"/>
  <c r="AC67" i="12" s="1"/>
  <c r="W67" i="12"/>
  <c r="X67" i="12" s="1"/>
  <c r="Z67" i="12" s="1"/>
  <c r="V67" i="12"/>
  <c r="L67" i="12"/>
  <c r="O67" i="12" s="1"/>
  <c r="G67" i="12"/>
  <c r="H67" i="12" s="1"/>
  <c r="F67" i="12"/>
  <c r="AB66" i="12"/>
  <c r="W66" i="12"/>
  <c r="X66" i="12" s="1"/>
  <c r="Y66" i="12" s="1"/>
  <c r="V66" i="12"/>
  <c r="L66" i="12"/>
  <c r="G66" i="12"/>
  <c r="H66" i="12" s="1"/>
  <c r="F66" i="12"/>
  <c r="AB65" i="12"/>
  <c r="AE65" i="12" s="1"/>
  <c r="W65" i="12"/>
  <c r="X65" i="12" s="1"/>
  <c r="V65" i="12"/>
  <c r="L65" i="12"/>
  <c r="M65" i="12" s="1"/>
  <c r="G65" i="12"/>
  <c r="H65" i="12" s="1"/>
  <c r="J65" i="12" s="1"/>
  <c r="F65" i="12"/>
  <c r="AB64" i="12"/>
  <c r="AE64" i="12" s="1"/>
  <c r="W64" i="12"/>
  <c r="X64" i="12" s="1"/>
  <c r="V64" i="12"/>
  <c r="L64" i="12"/>
  <c r="O64" i="12" s="1"/>
  <c r="G64" i="12"/>
  <c r="H64" i="12" s="1"/>
  <c r="F64" i="12"/>
  <c r="AB63" i="12"/>
  <c r="AC63" i="12" s="1"/>
  <c r="W63" i="12"/>
  <c r="X63" i="12" s="1"/>
  <c r="V63" i="12"/>
  <c r="L63" i="12"/>
  <c r="M63" i="12" s="1"/>
  <c r="G63" i="12"/>
  <c r="H63" i="12" s="1"/>
  <c r="F63" i="12"/>
  <c r="AB62" i="12"/>
  <c r="W62" i="12"/>
  <c r="X62" i="12" s="1"/>
  <c r="Y62" i="12" s="1"/>
  <c r="V62" i="12"/>
  <c r="L62" i="12"/>
  <c r="M62" i="12" s="1"/>
  <c r="G62" i="12"/>
  <c r="H62" i="12" s="1"/>
  <c r="F62" i="12"/>
  <c r="AB61" i="12"/>
  <c r="AE61" i="12" s="1"/>
  <c r="W61" i="12"/>
  <c r="X61" i="12" s="1"/>
  <c r="Z61" i="12" s="1"/>
  <c r="V61" i="12"/>
  <c r="L61" i="12"/>
  <c r="M61" i="12" s="1"/>
  <c r="G61" i="12"/>
  <c r="H61" i="12" s="1"/>
  <c r="I61" i="12" s="1"/>
  <c r="F61" i="12"/>
  <c r="AB60" i="12"/>
  <c r="W60" i="12"/>
  <c r="X60" i="12" s="1"/>
  <c r="V60" i="12"/>
  <c r="L60" i="12"/>
  <c r="O60" i="12" s="1"/>
  <c r="G60" i="12"/>
  <c r="H60" i="12" s="1"/>
  <c r="F60" i="12"/>
  <c r="AB59" i="12"/>
  <c r="AC59" i="12" s="1"/>
  <c r="W59" i="12"/>
  <c r="X59" i="12" s="1"/>
  <c r="Z59" i="12" s="1"/>
  <c r="V59" i="12"/>
  <c r="L59" i="12"/>
  <c r="M59" i="12" s="1"/>
  <c r="G59" i="12"/>
  <c r="H59" i="12" s="1"/>
  <c r="F59" i="12"/>
  <c r="AB58" i="12"/>
  <c r="W58" i="12"/>
  <c r="X58" i="12" s="1"/>
  <c r="Y58" i="12" s="1"/>
  <c r="V58" i="12"/>
  <c r="L58" i="12"/>
  <c r="M58" i="12" s="1"/>
  <c r="G58" i="12"/>
  <c r="H58" i="12" s="1"/>
  <c r="F58" i="12"/>
  <c r="AB57" i="12"/>
  <c r="AE57" i="12" s="1"/>
  <c r="W57" i="12"/>
  <c r="X57" i="12" s="1"/>
  <c r="V57" i="12"/>
  <c r="L57" i="12"/>
  <c r="M57" i="12" s="1"/>
  <c r="G57" i="12"/>
  <c r="H57" i="12" s="1"/>
  <c r="F57" i="12"/>
  <c r="AB56" i="12"/>
  <c r="AE56" i="12" s="1"/>
  <c r="W56" i="12"/>
  <c r="X56" i="12" s="1"/>
  <c r="V56" i="12"/>
  <c r="L56" i="12"/>
  <c r="O56" i="12" s="1"/>
  <c r="G56" i="12"/>
  <c r="H56" i="12" s="1"/>
  <c r="F56" i="12"/>
  <c r="AB55" i="12"/>
  <c r="AC55" i="12" s="1"/>
  <c r="W55" i="12"/>
  <c r="X55" i="12" s="1"/>
  <c r="V55" i="12"/>
  <c r="L55" i="12"/>
  <c r="M55" i="12" s="1"/>
  <c r="G55" i="12"/>
  <c r="H55" i="12" s="1"/>
  <c r="F55" i="12"/>
  <c r="AB54" i="12"/>
  <c r="W54" i="12"/>
  <c r="X54" i="12" s="1"/>
  <c r="Y54" i="12" s="1"/>
  <c r="V54" i="12"/>
  <c r="L54" i="12"/>
  <c r="G54" i="12"/>
  <c r="H54" i="12" s="1"/>
  <c r="F54" i="12"/>
  <c r="AB53" i="12"/>
  <c r="AE53" i="12" s="1"/>
  <c r="W53" i="12"/>
  <c r="X53" i="12" s="1"/>
  <c r="V53" i="12"/>
  <c r="L53" i="12"/>
  <c r="M53" i="12" s="1"/>
  <c r="G53" i="12"/>
  <c r="H53" i="12" s="1"/>
  <c r="F53" i="12"/>
  <c r="AB52" i="12"/>
  <c r="AE52" i="12" s="1"/>
  <c r="W52" i="12"/>
  <c r="X52" i="12" s="1"/>
  <c r="V52" i="12"/>
  <c r="L52" i="12"/>
  <c r="O52" i="12" s="1"/>
  <c r="G52" i="12"/>
  <c r="H52" i="12" s="1"/>
  <c r="F52" i="12"/>
  <c r="AB51" i="12"/>
  <c r="AC51" i="12" s="1"/>
  <c r="W51" i="12"/>
  <c r="X51" i="12" s="1"/>
  <c r="V51" i="12"/>
  <c r="L51" i="12"/>
  <c r="O51" i="12" s="1"/>
  <c r="G51" i="12"/>
  <c r="H51" i="12" s="1"/>
  <c r="J51" i="12" s="1"/>
  <c r="F51" i="12"/>
  <c r="AB50" i="12"/>
  <c r="W50" i="12"/>
  <c r="X50" i="12" s="1"/>
  <c r="Y50" i="12" s="1"/>
  <c r="V50" i="12"/>
  <c r="L50" i="12"/>
  <c r="M50" i="12" s="1"/>
  <c r="G50" i="12"/>
  <c r="H50" i="12" s="1"/>
  <c r="F50" i="12"/>
  <c r="AB49" i="12"/>
  <c r="AE49" i="12" s="1"/>
  <c r="W49" i="12"/>
  <c r="X49" i="12" s="1"/>
  <c r="Z49" i="12" s="1"/>
  <c r="V49" i="12"/>
  <c r="L49" i="12"/>
  <c r="M49" i="12" s="1"/>
  <c r="G49" i="12"/>
  <c r="H49" i="12" s="1"/>
  <c r="F49" i="12"/>
  <c r="AB48" i="12"/>
  <c r="W48" i="12"/>
  <c r="X48" i="12" s="1"/>
  <c r="V48" i="12"/>
  <c r="L48" i="12"/>
  <c r="O48" i="12" s="1"/>
  <c r="G48" i="12"/>
  <c r="H48" i="12" s="1"/>
  <c r="F48" i="12"/>
  <c r="AB47" i="12"/>
  <c r="AC47" i="12" s="1"/>
  <c r="W47" i="12"/>
  <c r="X47" i="12" s="1"/>
  <c r="Z47" i="12" s="1"/>
  <c r="V47" i="12"/>
  <c r="L47" i="12"/>
  <c r="M47" i="12" s="1"/>
  <c r="G47" i="12"/>
  <c r="H47" i="12" s="1"/>
  <c r="F47" i="12"/>
  <c r="AB46" i="12"/>
  <c r="W46" i="12"/>
  <c r="X46" i="12" s="1"/>
  <c r="Y46" i="12" s="1"/>
  <c r="V46" i="12"/>
  <c r="L46" i="12"/>
  <c r="G46" i="12"/>
  <c r="H46" i="12" s="1"/>
  <c r="F46" i="12"/>
  <c r="AB45" i="12"/>
  <c r="AE45" i="12" s="1"/>
  <c r="W45" i="12"/>
  <c r="X45" i="12" s="1"/>
  <c r="Z45" i="12" s="1"/>
  <c r="V45" i="12"/>
  <c r="L45" i="12"/>
  <c r="M45" i="12" s="1"/>
  <c r="G45" i="12"/>
  <c r="H45" i="12" s="1"/>
  <c r="I45" i="12" s="1"/>
  <c r="F45" i="12"/>
  <c r="AB44" i="12"/>
  <c r="AE44" i="12" s="1"/>
  <c r="W44" i="12"/>
  <c r="X44" i="12" s="1"/>
  <c r="V44" i="12"/>
  <c r="L44" i="12"/>
  <c r="O44" i="12" s="1"/>
  <c r="G44" i="12"/>
  <c r="H44" i="12" s="1"/>
  <c r="F44" i="12"/>
  <c r="AB43" i="12"/>
  <c r="AC43" i="12" s="1"/>
  <c r="W43" i="12"/>
  <c r="X43" i="12" s="1"/>
  <c r="Z43" i="12" s="1"/>
  <c r="V43" i="12"/>
  <c r="L43" i="12"/>
  <c r="O43" i="12" s="1"/>
  <c r="G43" i="12"/>
  <c r="H43" i="12" s="1"/>
  <c r="J43" i="12" s="1"/>
  <c r="F43" i="12"/>
  <c r="AB42" i="12"/>
  <c r="W42" i="12"/>
  <c r="X42" i="12" s="1"/>
  <c r="Y42" i="12" s="1"/>
  <c r="V42" i="12"/>
  <c r="L42" i="12"/>
  <c r="G42" i="12"/>
  <c r="H42" i="12" s="1"/>
  <c r="F42" i="12"/>
  <c r="AB41" i="12"/>
  <c r="AE41" i="12" s="1"/>
  <c r="W41" i="12"/>
  <c r="X41" i="12" s="1"/>
  <c r="Z41" i="12" s="1"/>
  <c r="V41" i="12"/>
  <c r="L41" i="12"/>
  <c r="M41" i="12" s="1"/>
  <c r="G41" i="12"/>
  <c r="H41" i="12" s="1"/>
  <c r="I41" i="12" s="1"/>
  <c r="F41" i="12"/>
  <c r="AB40" i="12"/>
  <c r="AE40" i="12" s="1"/>
  <c r="W40" i="12"/>
  <c r="X40" i="12" s="1"/>
  <c r="V40" i="12"/>
  <c r="L40" i="12"/>
  <c r="O40" i="12" s="1"/>
  <c r="G40" i="12"/>
  <c r="H40" i="12" s="1"/>
  <c r="F40" i="12"/>
  <c r="AB39" i="12"/>
  <c r="AC39" i="12" s="1"/>
  <c r="W39" i="12"/>
  <c r="X39" i="12" s="1"/>
  <c r="V39" i="12"/>
  <c r="L39" i="12"/>
  <c r="G39" i="12"/>
  <c r="H39" i="12" s="1"/>
  <c r="J39" i="12" s="1"/>
  <c r="F39" i="12"/>
  <c r="AB38" i="12"/>
  <c r="W38" i="12"/>
  <c r="X38" i="12" s="1"/>
  <c r="Y38" i="12" s="1"/>
  <c r="V38" i="12"/>
  <c r="L38" i="12"/>
  <c r="G38" i="12"/>
  <c r="H38" i="12" s="1"/>
  <c r="F38" i="12"/>
  <c r="AB37" i="12"/>
  <c r="AC37" i="12" s="1"/>
  <c r="W37" i="12"/>
  <c r="X37" i="12" s="1"/>
  <c r="Z37" i="12" s="1"/>
  <c r="V37" i="12"/>
  <c r="L37" i="12"/>
  <c r="M37" i="12" s="1"/>
  <c r="G37" i="12"/>
  <c r="H37" i="12" s="1"/>
  <c r="I37" i="12" s="1"/>
  <c r="F37" i="12"/>
  <c r="AB36" i="12"/>
  <c r="AE36" i="12" s="1"/>
  <c r="W36" i="12"/>
  <c r="X36" i="12" s="1"/>
  <c r="V36" i="12"/>
  <c r="L36" i="12"/>
  <c r="O36" i="12" s="1"/>
  <c r="G36" i="12"/>
  <c r="H36" i="12" s="1"/>
  <c r="F36" i="12"/>
  <c r="AB35" i="12"/>
  <c r="AC35" i="12" s="1"/>
  <c r="W35" i="12"/>
  <c r="X35" i="12" s="1"/>
  <c r="Z35" i="12" s="1"/>
  <c r="V35" i="12"/>
  <c r="L35" i="12"/>
  <c r="O35" i="12" s="1"/>
  <c r="G35" i="12"/>
  <c r="H35" i="12" s="1"/>
  <c r="J35" i="12" s="1"/>
  <c r="F35" i="12"/>
  <c r="AB34" i="12"/>
  <c r="W34" i="12"/>
  <c r="X34" i="12" s="1"/>
  <c r="Y34" i="12" s="1"/>
  <c r="V34" i="12"/>
  <c r="L34" i="12"/>
  <c r="G34" i="12"/>
  <c r="H34" i="12" s="1"/>
  <c r="F34" i="12"/>
  <c r="AB33" i="12"/>
  <c r="AE33" i="12" s="1"/>
  <c r="W33" i="12"/>
  <c r="X33" i="12" s="1"/>
  <c r="Z33" i="12" s="1"/>
  <c r="V33" i="12"/>
  <c r="L33" i="12"/>
  <c r="M33" i="12" s="1"/>
  <c r="G33" i="12"/>
  <c r="H33" i="12" s="1"/>
  <c r="I33" i="12" s="1"/>
  <c r="F33" i="12"/>
  <c r="AB32" i="12"/>
  <c r="AE32" i="12" s="1"/>
  <c r="W32" i="12"/>
  <c r="X32" i="12" s="1"/>
  <c r="V32" i="12"/>
  <c r="L32" i="12"/>
  <c r="O32" i="12" s="1"/>
  <c r="G32" i="12"/>
  <c r="H32" i="12" s="1"/>
  <c r="F32" i="12"/>
  <c r="AB31" i="12"/>
  <c r="AC31" i="12" s="1"/>
  <c r="W31" i="12"/>
  <c r="X31" i="12" s="1"/>
  <c r="Z31" i="12" s="1"/>
  <c r="V31" i="12"/>
  <c r="L31" i="12"/>
  <c r="O31" i="12" s="1"/>
  <c r="G31" i="12"/>
  <c r="H31" i="12" s="1"/>
  <c r="J31" i="12" s="1"/>
  <c r="F31" i="12"/>
  <c r="AB30" i="12"/>
  <c r="W30" i="12"/>
  <c r="X30" i="12" s="1"/>
  <c r="Y30" i="12" s="1"/>
  <c r="V30" i="12"/>
  <c r="L30" i="12"/>
  <c r="G30" i="12"/>
  <c r="H30" i="12" s="1"/>
  <c r="F30" i="12"/>
  <c r="AB29" i="12"/>
  <c r="AC29" i="12" s="1"/>
  <c r="W29" i="12"/>
  <c r="X29" i="12" s="1"/>
  <c r="Z29" i="12" s="1"/>
  <c r="V29" i="12"/>
  <c r="L29" i="12"/>
  <c r="M29" i="12" s="1"/>
  <c r="G29" i="12"/>
  <c r="H29" i="12" s="1"/>
  <c r="I29" i="12" s="1"/>
  <c r="F29" i="12"/>
  <c r="AB28" i="12"/>
  <c r="AE28" i="12" s="1"/>
  <c r="W28" i="12"/>
  <c r="X28" i="12" s="1"/>
  <c r="V28" i="12"/>
  <c r="L28" i="12"/>
  <c r="O28" i="12" s="1"/>
  <c r="G28" i="12"/>
  <c r="H28" i="12" s="1"/>
  <c r="F28" i="12"/>
  <c r="AB27" i="12"/>
  <c r="AC27" i="12" s="1"/>
  <c r="W27" i="12"/>
  <c r="X27" i="12" s="1"/>
  <c r="Z27" i="12" s="1"/>
  <c r="V27" i="12"/>
  <c r="L27" i="12"/>
  <c r="O27" i="12" s="1"/>
  <c r="G27" i="12"/>
  <c r="H27" i="12" s="1"/>
  <c r="J27" i="12" s="1"/>
  <c r="F27" i="12"/>
  <c r="AB26" i="12"/>
  <c r="W26" i="12"/>
  <c r="X26" i="12" s="1"/>
  <c r="Y26" i="12" s="1"/>
  <c r="V26" i="12"/>
  <c r="L26" i="12"/>
  <c r="G26" i="12"/>
  <c r="H26" i="12" s="1"/>
  <c r="F26" i="12"/>
  <c r="BJ25" i="12"/>
  <c r="BE25" i="12"/>
  <c r="BF25" i="12" s="1"/>
  <c r="BH25" i="12" s="1"/>
  <c r="BD25" i="12"/>
  <c r="AT25" i="12"/>
  <c r="AU25" i="12" s="1"/>
  <c r="AO25" i="12"/>
  <c r="AP25" i="12" s="1"/>
  <c r="AQ25" i="12" s="1"/>
  <c r="AN25" i="12"/>
  <c r="AB25" i="12"/>
  <c r="AE25" i="12" s="1"/>
  <c r="W25" i="12"/>
  <c r="X25" i="12" s="1"/>
  <c r="V25" i="12"/>
  <c r="L25" i="12"/>
  <c r="O25" i="12" s="1"/>
  <c r="G25" i="12"/>
  <c r="H25" i="12" s="1"/>
  <c r="F25" i="12"/>
  <c r="BJ24" i="12"/>
  <c r="BK24" i="12" s="1"/>
  <c r="BE24" i="12"/>
  <c r="BF24" i="12" s="1"/>
  <c r="BH24" i="12" s="1"/>
  <c r="BD24" i="12"/>
  <c r="AT24" i="12"/>
  <c r="AO24" i="12"/>
  <c r="AP24" i="12" s="1"/>
  <c r="AR24" i="12" s="1"/>
  <c r="AN24" i="12"/>
  <c r="AB24" i="12"/>
  <c r="W24" i="12"/>
  <c r="X24" i="12" s="1"/>
  <c r="Y24" i="12" s="1"/>
  <c r="V24" i="12"/>
  <c r="L24" i="12"/>
  <c r="G24" i="12"/>
  <c r="H24" i="12" s="1"/>
  <c r="F24" i="12"/>
  <c r="BJ23" i="12"/>
  <c r="BM23" i="12" s="1"/>
  <c r="BE23" i="12"/>
  <c r="BF23" i="12" s="1"/>
  <c r="BD23" i="12"/>
  <c r="AT23" i="12"/>
  <c r="AU23" i="12" s="1"/>
  <c r="AO23" i="12"/>
  <c r="AP23" i="12" s="1"/>
  <c r="AQ23" i="12" s="1"/>
  <c r="AN23" i="12"/>
  <c r="AB23" i="12"/>
  <c r="W23" i="12"/>
  <c r="X23" i="12" s="1"/>
  <c r="V23" i="12"/>
  <c r="L23" i="12"/>
  <c r="O23" i="12" s="1"/>
  <c r="G23" i="12"/>
  <c r="H23" i="12" s="1"/>
  <c r="F23" i="12"/>
  <c r="BJ22" i="12"/>
  <c r="BM22" i="12" s="1"/>
  <c r="BE22" i="12"/>
  <c r="BF22" i="12" s="1"/>
  <c r="BH22" i="12" s="1"/>
  <c r="BD22" i="12"/>
  <c r="AT22" i="12"/>
  <c r="AW22" i="12" s="1"/>
  <c r="AO22" i="12"/>
  <c r="AP22" i="12" s="1"/>
  <c r="AQ22" i="12" s="1"/>
  <c r="AN22" i="12"/>
  <c r="AB22" i="12"/>
  <c r="W22" i="12"/>
  <c r="X22" i="12" s="1"/>
  <c r="Y22" i="12" s="1"/>
  <c r="V22" i="12"/>
  <c r="L22" i="12"/>
  <c r="M22" i="12" s="1"/>
  <c r="G22" i="12"/>
  <c r="H22" i="12" s="1"/>
  <c r="F22" i="12"/>
  <c r="BJ21" i="12"/>
  <c r="BM21" i="12" s="1"/>
  <c r="BE21" i="12"/>
  <c r="BF21" i="12" s="1"/>
  <c r="BD21" i="12"/>
  <c r="AT21" i="12"/>
  <c r="AU21" i="12" s="1"/>
  <c r="AO21" i="12"/>
  <c r="AP21" i="12" s="1"/>
  <c r="AQ21" i="12" s="1"/>
  <c r="AN21" i="12"/>
  <c r="AB21" i="12"/>
  <c r="AE21" i="12" s="1"/>
  <c r="W21" i="12"/>
  <c r="X21" i="12" s="1"/>
  <c r="V21" i="12"/>
  <c r="L21" i="12"/>
  <c r="O21" i="12" s="1"/>
  <c r="G21" i="12"/>
  <c r="H21" i="12" s="1"/>
  <c r="F21" i="12"/>
  <c r="BJ20" i="12"/>
  <c r="BK20" i="12" s="1"/>
  <c r="BE20" i="12"/>
  <c r="BF20" i="12" s="1"/>
  <c r="BH20" i="12" s="1"/>
  <c r="BD20" i="12"/>
  <c r="AT20" i="12"/>
  <c r="AW20" i="12" s="1"/>
  <c r="AO20" i="12"/>
  <c r="AP20" i="12" s="1"/>
  <c r="AR20" i="12" s="1"/>
  <c r="AN20" i="12"/>
  <c r="AB20" i="12"/>
  <c r="W20" i="12"/>
  <c r="X20" i="12" s="1"/>
  <c r="V20" i="12"/>
  <c r="L20" i="12"/>
  <c r="M20" i="12" s="1"/>
  <c r="G20" i="12"/>
  <c r="H20" i="12" s="1"/>
  <c r="J20" i="12" s="1"/>
  <c r="F20" i="12"/>
  <c r="BJ19" i="12"/>
  <c r="BM19" i="12" s="1"/>
  <c r="BE19" i="12"/>
  <c r="BF19" i="12" s="1"/>
  <c r="BH19" i="12" s="1"/>
  <c r="BD19" i="12"/>
  <c r="AT19" i="12"/>
  <c r="AU19" i="12" s="1"/>
  <c r="AO19" i="12"/>
  <c r="AP19" i="12" s="1"/>
  <c r="AQ19" i="12" s="1"/>
  <c r="AN19" i="12"/>
  <c r="AB19" i="12"/>
  <c r="AE19" i="12" s="1"/>
  <c r="W19" i="12"/>
  <c r="X19" i="12" s="1"/>
  <c r="V19" i="12"/>
  <c r="L19" i="12"/>
  <c r="O19" i="12" s="1"/>
  <c r="G19" i="12"/>
  <c r="H19" i="12" s="1"/>
  <c r="F19" i="12"/>
  <c r="BJ18" i="12"/>
  <c r="BM18" i="12" s="1"/>
  <c r="BE18" i="12"/>
  <c r="BF18" i="12" s="1"/>
  <c r="BH18" i="12" s="1"/>
  <c r="BD18" i="12"/>
  <c r="AT18" i="12"/>
  <c r="AW18" i="12" s="1"/>
  <c r="AO18" i="12"/>
  <c r="AP18" i="12" s="1"/>
  <c r="AN18" i="12"/>
  <c r="AB18" i="12"/>
  <c r="W18" i="12"/>
  <c r="X18" i="12" s="1"/>
  <c r="V18" i="12"/>
  <c r="L18" i="12"/>
  <c r="M18" i="12" s="1"/>
  <c r="G18" i="12"/>
  <c r="H18" i="12" s="1"/>
  <c r="J18" i="12" s="1"/>
  <c r="F18" i="12"/>
  <c r="BJ17" i="12"/>
  <c r="BM17" i="12" s="1"/>
  <c r="BE17" i="12"/>
  <c r="BF17" i="12" s="1"/>
  <c r="BH17" i="12" s="1"/>
  <c r="BD17" i="12"/>
  <c r="AT17" i="12"/>
  <c r="AW17" i="12" s="1"/>
  <c r="AO17" i="12"/>
  <c r="AP17" i="12" s="1"/>
  <c r="AQ17" i="12" s="1"/>
  <c r="AN17" i="12"/>
  <c r="AB17" i="12"/>
  <c r="AE17" i="12" s="1"/>
  <c r="W17" i="12"/>
  <c r="X17" i="12" s="1"/>
  <c r="V17" i="12"/>
  <c r="L17" i="12"/>
  <c r="O17" i="12" s="1"/>
  <c r="G17" i="12"/>
  <c r="H17" i="12" s="1"/>
  <c r="J17" i="12" s="1"/>
  <c r="F17" i="12"/>
  <c r="BJ16" i="12"/>
  <c r="BK16" i="12" s="1"/>
  <c r="BE16" i="12"/>
  <c r="BF16" i="12" s="1"/>
  <c r="BD16" i="12"/>
  <c r="AT16" i="12"/>
  <c r="AW16" i="12" s="1"/>
  <c r="AO16" i="12"/>
  <c r="AP16" i="12" s="1"/>
  <c r="AN16" i="12"/>
  <c r="AB16" i="12"/>
  <c r="AE16" i="12" s="1"/>
  <c r="W16" i="12"/>
  <c r="X16" i="12" s="1"/>
  <c r="Z16" i="12" s="1"/>
  <c r="V16" i="12"/>
  <c r="L16" i="12"/>
  <c r="G16" i="12"/>
  <c r="H16" i="12" s="1"/>
  <c r="J16" i="12" s="1"/>
  <c r="F16" i="12"/>
  <c r="BJ15" i="12"/>
  <c r="BM15" i="12" s="1"/>
  <c r="BE15" i="12"/>
  <c r="BF15" i="12" s="1"/>
  <c r="BD15" i="12"/>
  <c r="AT15" i="12"/>
  <c r="AU15" i="12" s="1"/>
  <c r="AO15" i="12"/>
  <c r="AP15" i="12" s="1"/>
  <c r="AN15" i="12"/>
  <c r="AB15" i="12"/>
  <c r="AE15" i="12" s="1"/>
  <c r="W15" i="12"/>
  <c r="X15" i="12" s="1"/>
  <c r="Z15" i="12" s="1"/>
  <c r="V15" i="12"/>
  <c r="L15" i="12"/>
  <c r="O15" i="12" s="1"/>
  <c r="G15" i="12"/>
  <c r="H15" i="12" s="1"/>
  <c r="F15" i="12"/>
  <c r="BJ14" i="12"/>
  <c r="BK14" i="12" s="1"/>
  <c r="BE14" i="12"/>
  <c r="BF14" i="12" s="1"/>
  <c r="BD14" i="12"/>
  <c r="AT14" i="12"/>
  <c r="AW14" i="12" s="1"/>
  <c r="AO14" i="12"/>
  <c r="AP14" i="12" s="1"/>
  <c r="AN14" i="12"/>
  <c r="AB14" i="12"/>
  <c r="AE14" i="12" s="1"/>
  <c r="W14" i="12"/>
  <c r="X14" i="12" s="1"/>
  <c r="V14" i="12"/>
  <c r="L14" i="12"/>
  <c r="G14" i="12"/>
  <c r="H14" i="12" s="1"/>
  <c r="J14" i="12" s="1"/>
  <c r="F14" i="12"/>
  <c r="BJ13" i="12"/>
  <c r="BK13" i="12" s="1"/>
  <c r="BE13" i="12"/>
  <c r="BF13" i="12" s="1"/>
  <c r="BD13" i="12"/>
  <c r="AT13" i="12"/>
  <c r="AW13" i="12" s="1"/>
  <c r="AO13" i="12"/>
  <c r="AP13" i="12" s="1"/>
  <c r="AN13" i="12"/>
  <c r="AB13" i="12"/>
  <c r="AE13" i="12" s="1"/>
  <c r="W13" i="12"/>
  <c r="X13" i="12" s="1"/>
  <c r="Z13" i="12" s="1"/>
  <c r="V13" i="12"/>
  <c r="L13" i="12"/>
  <c r="O13" i="12" s="1"/>
  <c r="G13" i="12"/>
  <c r="H13" i="12" s="1"/>
  <c r="F13" i="12"/>
  <c r="BJ12" i="12"/>
  <c r="BK12" i="12" s="1"/>
  <c r="BE12" i="12"/>
  <c r="BF12" i="12" s="1"/>
  <c r="BD12" i="12"/>
  <c r="AT12" i="12"/>
  <c r="AW12" i="12" s="1"/>
  <c r="AO12" i="12"/>
  <c r="AP12" i="12" s="1"/>
  <c r="AN12" i="12"/>
  <c r="AB12" i="12"/>
  <c r="AE12" i="12" s="1"/>
  <c r="W12" i="12"/>
  <c r="X12" i="12" s="1"/>
  <c r="V12" i="12"/>
  <c r="L12" i="12"/>
  <c r="O12" i="12" s="1"/>
  <c r="G12" i="12"/>
  <c r="H12" i="12" s="1"/>
  <c r="F12" i="12"/>
  <c r="BJ11" i="12"/>
  <c r="BK11" i="12" s="1"/>
  <c r="BE11" i="12"/>
  <c r="BF11" i="12" s="1"/>
  <c r="BD11" i="12"/>
  <c r="AT11" i="12"/>
  <c r="AW11" i="12" s="1"/>
  <c r="AO11" i="12"/>
  <c r="AP11" i="12" s="1"/>
  <c r="AN11" i="12"/>
  <c r="AB11" i="12"/>
  <c r="AE11" i="12" s="1"/>
  <c r="W11" i="12"/>
  <c r="X11" i="12" s="1"/>
  <c r="Z11" i="12" s="1"/>
  <c r="V11" i="12"/>
  <c r="L11" i="12"/>
  <c r="O11" i="12" s="1"/>
  <c r="G11" i="12"/>
  <c r="H11" i="12" s="1"/>
  <c r="F11" i="12"/>
  <c r="BJ10" i="12"/>
  <c r="BK10" i="12" s="1"/>
  <c r="BE10" i="12"/>
  <c r="BF10" i="12" s="1"/>
  <c r="BD10" i="12"/>
  <c r="AT10" i="12"/>
  <c r="AW10" i="12" s="1"/>
  <c r="AO10" i="12"/>
  <c r="AP10" i="12" s="1"/>
  <c r="AN10" i="12"/>
  <c r="AB10" i="12"/>
  <c r="AE10" i="12" s="1"/>
  <c r="W10" i="12"/>
  <c r="X10" i="12" s="1"/>
  <c r="V10" i="12"/>
  <c r="L10" i="12"/>
  <c r="O10" i="12" s="1"/>
  <c r="G10" i="12"/>
  <c r="H10" i="12" s="1"/>
  <c r="J10" i="12" s="1"/>
  <c r="F10" i="12"/>
  <c r="BJ9" i="12"/>
  <c r="BK9" i="12" s="1"/>
  <c r="BE9" i="12"/>
  <c r="BF9" i="12" s="1"/>
  <c r="BD9" i="12"/>
  <c r="AT9" i="12"/>
  <c r="AW9" i="12" s="1"/>
  <c r="AO9" i="12"/>
  <c r="AP9" i="12" s="1"/>
  <c r="AN9" i="12"/>
  <c r="AB9" i="12"/>
  <c r="AE9" i="12" s="1"/>
  <c r="W9" i="12"/>
  <c r="X9" i="12" s="1"/>
  <c r="Z9" i="12" s="1"/>
  <c r="V9" i="12"/>
  <c r="L9" i="12"/>
  <c r="O9" i="12" s="1"/>
  <c r="G9" i="12"/>
  <c r="H9" i="12" s="1"/>
  <c r="F9" i="12"/>
  <c r="BJ8" i="12"/>
  <c r="BK8" i="12" s="1"/>
  <c r="BE8" i="12"/>
  <c r="BF8" i="12" s="1"/>
  <c r="BD8" i="12"/>
  <c r="AT8" i="12"/>
  <c r="AW8" i="12" s="1"/>
  <c r="AO8" i="12"/>
  <c r="AP8" i="12" s="1"/>
  <c r="AN8" i="12"/>
  <c r="AB8" i="12"/>
  <c r="AE8" i="12" s="1"/>
  <c r="W8" i="12"/>
  <c r="X8" i="12" s="1"/>
  <c r="V8" i="12"/>
  <c r="L8" i="12"/>
  <c r="M8" i="12" s="1"/>
  <c r="G8" i="12"/>
  <c r="H8" i="12" s="1"/>
  <c r="J8" i="12" s="1"/>
  <c r="F8" i="12"/>
  <c r="BJ7" i="12"/>
  <c r="BK7" i="12" s="1"/>
  <c r="BE7" i="12"/>
  <c r="BF7" i="12" s="1"/>
  <c r="BD7" i="12"/>
  <c r="AT7" i="12"/>
  <c r="AW7" i="12" s="1"/>
  <c r="AO7" i="12"/>
  <c r="AP7" i="12" s="1"/>
  <c r="AN7" i="12"/>
  <c r="AB7" i="12"/>
  <c r="AE7" i="12" s="1"/>
  <c r="W7" i="12"/>
  <c r="X7" i="12" s="1"/>
  <c r="Z7" i="12" s="1"/>
  <c r="V7" i="12"/>
  <c r="L7" i="12"/>
  <c r="O7" i="12" s="1"/>
  <c r="G7" i="12"/>
  <c r="H7" i="12" s="1"/>
  <c r="J7" i="12" s="1"/>
  <c r="F7" i="12"/>
  <c r="BJ6" i="12"/>
  <c r="BK6" i="12" s="1"/>
  <c r="BE6" i="12"/>
  <c r="BF6" i="12" s="1"/>
  <c r="BD6" i="12"/>
  <c r="AT6" i="12"/>
  <c r="AW6" i="12" s="1"/>
  <c r="AO6" i="12"/>
  <c r="AP6" i="12" s="1"/>
  <c r="AN6" i="12"/>
  <c r="AB6" i="12"/>
  <c r="AE6" i="12" s="1"/>
  <c r="W6" i="12"/>
  <c r="X6" i="12" s="1"/>
  <c r="V6" i="12"/>
  <c r="L6" i="12"/>
  <c r="O6" i="12" s="1"/>
  <c r="G6" i="12"/>
  <c r="H6" i="12" s="1"/>
  <c r="J6" i="12" s="1"/>
  <c r="F6" i="12"/>
  <c r="BJ5" i="12"/>
  <c r="BM5" i="12" s="1"/>
  <c r="BE5" i="12"/>
  <c r="BF5" i="12" s="1"/>
  <c r="BD5" i="12"/>
  <c r="AT5" i="12"/>
  <c r="AW5" i="12" s="1"/>
  <c r="AO5" i="12"/>
  <c r="AP5" i="12" s="1"/>
  <c r="AR5" i="12" s="1"/>
  <c r="AN5" i="12"/>
  <c r="AB5" i="12"/>
  <c r="AC5" i="12" s="1"/>
  <c r="W5" i="12"/>
  <c r="X5" i="12" s="1"/>
  <c r="V5" i="12"/>
  <c r="L5" i="12"/>
  <c r="O5" i="12" s="1"/>
  <c r="G5" i="12"/>
  <c r="H5" i="12" s="1"/>
  <c r="F5" i="12"/>
  <c r="BJ4" i="12"/>
  <c r="BM4" i="12" s="1"/>
  <c r="BE4" i="12"/>
  <c r="BF4" i="12" s="1"/>
  <c r="BH4" i="12" s="1"/>
  <c r="BD4" i="12"/>
  <c r="AT4" i="12"/>
  <c r="AU4" i="12" s="1"/>
  <c r="AO4" i="12"/>
  <c r="AP4" i="12" s="1"/>
  <c r="AN4" i="12"/>
  <c r="AB4" i="12"/>
  <c r="AE4" i="12" s="1"/>
  <c r="W4" i="12"/>
  <c r="X4" i="12" s="1"/>
  <c r="Z4" i="12" s="1"/>
  <c r="V4" i="12"/>
  <c r="L4" i="12"/>
  <c r="O4" i="12" s="1"/>
  <c r="G4" i="12"/>
  <c r="H4" i="12" s="1"/>
  <c r="F4" i="12"/>
  <c r="BJ3" i="12"/>
  <c r="BK3" i="12" s="1"/>
  <c r="BE3" i="12"/>
  <c r="BF3" i="12" s="1"/>
  <c r="BD3" i="12"/>
  <c r="AT3" i="12"/>
  <c r="AW3" i="12" s="1"/>
  <c r="AO3" i="12"/>
  <c r="AP3" i="12" s="1"/>
  <c r="AN3" i="12"/>
  <c r="AB3" i="12"/>
  <c r="AE3" i="12" s="1"/>
  <c r="W3" i="12"/>
  <c r="X3" i="12" s="1"/>
  <c r="V3" i="12"/>
  <c r="L3" i="12"/>
  <c r="O3" i="12" s="1"/>
  <c r="G3" i="12"/>
  <c r="H3" i="12" s="1"/>
  <c r="J3" i="12" s="1"/>
  <c r="F3" i="12"/>
  <c r="AB89" i="11"/>
  <c r="AE89" i="11" s="1"/>
  <c r="X89" i="11"/>
  <c r="Z89" i="11" s="1"/>
  <c r="W89" i="11"/>
  <c r="V89" i="11"/>
  <c r="AC88" i="11"/>
  <c r="AB88" i="11"/>
  <c r="AE88" i="11" s="1"/>
  <c r="X88" i="11"/>
  <c r="Z88" i="11" s="1"/>
  <c r="W88" i="11"/>
  <c r="V88" i="11"/>
  <c r="N88" i="11"/>
  <c r="M88" i="11"/>
  <c r="L88" i="11"/>
  <c r="O88" i="11" s="1"/>
  <c r="H88" i="11"/>
  <c r="J88" i="11" s="1"/>
  <c r="G88" i="11"/>
  <c r="F88" i="11"/>
  <c r="AE87" i="11"/>
  <c r="AB87" i="11"/>
  <c r="AD87" i="11" s="1"/>
  <c r="Y87" i="11"/>
  <c r="X87" i="11"/>
  <c r="Z87" i="11" s="1"/>
  <c r="W87" i="11"/>
  <c r="V87" i="11"/>
  <c r="M87" i="11"/>
  <c r="L87" i="11"/>
  <c r="O87" i="11" s="1"/>
  <c r="G87" i="11"/>
  <c r="H87" i="11" s="1"/>
  <c r="I87" i="11" s="1"/>
  <c r="F87" i="11"/>
  <c r="AB86" i="11"/>
  <c r="Z86" i="11"/>
  <c r="Y86" i="11"/>
  <c r="X86" i="11"/>
  <c r="W86" i="11"/>
  <c r="V86" i="11"/>
  <c r="N86" i="11"/>
  <c r="L86" i="11"/>
  <c r="J86" i="11"/>
  <c r="H86" i="11"/>
  <c r="I86" i="11" s="1"/>
  <c r="G86" i="11"/>
  <c r="F86" i="11"/>
  <c r="AE85" i="11"/>
  <c r="AC85" i="11"/>
  <c r="AB85" i="11"/>
  <c r="Z85" i="11"/>
  <c r="W85" i="11"/>
  <c r="X85" i="11" s="1"/>
  <c r="Y85" i="11" s="1"/>
  <c r="V85" i="11"/>
  <c r="O85" i="11"/>
  <c r="L85" i="11"/>
  <c r="M85" i="11" s="1"/>
  <c r="H85" i="11"/>
  <c r="G85" i="11"/>
  <c r="F85" i="11"/>
  <c r="AE84" i="11"/>
  <c r="AC84" i="11"/>
  <c r="AB84" i="11"/>
  <c r="W84" i="11"/>
  <c r="X84" i="11" s="1"/>
  <c r="Z84" i="11" s="1"/>
  <c r="V84" i="11"/>
  <c r="M84" i="11"/>
  <c r="L84" i="11"/>
  <c r="O84" i="11" s="1"/>
  <c r="G84" i="11"/>
  <c r="H84" i="11" s="1"/>
  <c r="F84" i="11"/>
  <c r="L79" i="11"/>
  <c r="O79" i="11" s="1"/>
  <c r="G79" i="11"/>
  <c r="H79" i="11" s="1"/>
  <c r="I79" i="11" s="1"/>
  <c r="F79" i="11"/>
  <c r="L78" i="11"/>
  <c r="M78" i="11" s="1"/>
  <c r="G78" i="11"/>
  <c r="H78" i="11" s="1"/>
  <c r="J78" i="11" s="1"/>
  <c r="F78" i="11"/>
  <c r="L77" i="11"/>
  <c r="O77" i="11" s="1"/>
  <c r="G77" i="11"/>
  <c r="H77" i="11" s="1"/>
  <c r="I77" i="11" s="1"/>
  <c r="F77" i="11"/>
  <c r="L76" i="11"/>
  <c r="M76" i="11" s="1"/>
  <c r="G76" i="11"/>
  <c r="H76" i="11" s="1"/>
  <c r="F76" i="11"/>
  <c r="AB75" i="11"/>
  <c r="AC75" i="11" s="1"/>
  <c r="W75" i="11"/>
  <c r="X75" i="11" s="1"/>
  <c r="V75" i="11"/>
  <c r="L75" i="11"/>
  <c r="O75" i="11" s="1"/>
  <c r="G75" i="11"/>
  <c r="H75" i="11" s="1"/>
  <c r="F75" i="11"/>
  <c r="AB74" i="11"/>
  <c r="AE74" i="11" s="1"/>
  <c r="W74" i="11"/>
  <c r="X74" i="11" s="1"/>
  <c r="V74" i="11"/>
  <c r="L74" i="11"/>
  <c r="G74" i="11"/>
  <c r="H74" i="11" s="1"/>
  <c r="J74" i="11" s="1"/>
  <c r="F74" i="11"/>
  <c r="AB73" i="11"/>
  <c r="AE73" i="11" s="1"/>
  <c r="W73" i="11"/>
  <c r="X73" i="11" s="1"/>
  <c r="Y73" i="11" s="1"/>
  <c r="V73" i="11"/>
  <c r="L73" i="11"/>
  <c r="M73" i="11" s="1"/>
  <c r="G73" i="11"/>
  <c r="H73" i="11" s="1"/>
  <c r="F73" i="11"/>
  <c r="AB72" i="11"/>
  <c r="AE72" i="11" s="1"/>
  <c r="W72" i="11"/>
  <c r="X72" i="11" s="1"/>
  <c r="Y72" i="11" s="1"/>
  <c r="V72" i="11"/>
  <c r="L72" i="11"/>
  <c r="M72" i="11" s="1"/>
  <c r="G72" i="11"/>
  <c r="H72" i="11" s="1"/>
  <c r="F72" i="11"/>
  <c r="AB71" i="11"/>
  <c r="W71" i="11"/>
  <c r="X71" i="11" s="1"/>
  <c r="V71" i="11"/>
  <c r="L71" i="11"/>
  <c r="O71" i="11" s="1"/>
  <c r="G71" i="11"/>
  <c r="H71" i="11" s="1"/>
  <c r="F71" i="11"/>
  <c r="AB70" i="11"/>
  <c r="AE70" i="11" s="1"/>
  <c r="W70" i="11"/>
  <c r="X70" i="11" s="1"/>
  <c r="V70" i="11"/>
  <c r="L70" i="11"/>
  <c r="G70" i="11"/>
  <c r="H70" i="11" s="1"/>
  <c r="J70" i="11" s="1"/>
  <c r="F70" i="11"/>
  <c r="AB69" i="11"/>
  <c r="AE69" i="11" s="1"/>
  <c r="W69" i="11"/>
  <c r="X69" i="11" s="1"/>
  <c r="V69" i="11"/>
  <c r="L69" i="11"/>
  <c r="M69" i="11" s="1"/>
  <c r="G69" i="11"/>
  <c r="H69" i="11" s="1"/>
  <c r="J69" i="11" s="1"/>
  <c r="F69" i="11"/>
  <c r="AB68" i="11"/>
  <c r="AE68" i="11" s="1"/>
  <c r="W68" i="11"/>
  <c r="X68" i="11" s="1"/>
  <c r="Y68" i="11" s="1"/>
  <c r="V68" i="11"/>
  <c r="L68" i="11"/>
  <c r="M68" i="11" s="1"/>
  <c r="G68" i="11"/>
  <c r="H68" i="11" s="1"/>
  <c r="F68" i="11"/>
  <c r="AB67" i="11"/>
  <c r="AE67" i="11" s="1"/>
  <c r="W67" i="11"/>
  <c r="X67" i="11" s="1"/>
  <c r="V67" i="11"/>
  <c r="L67" i="11"/>
  <c r="O67" i="11" s="1"/>
  <c r="G67" i="11"/>
  <c r="H67" i="11" s="1"/>
  <c r="F67" i="11"/>
  <c r="AB66" i="11"/>
  <c r="AE66" i="11" s="1"/>
  <c r="W66" i="11"/>
  <c r="X66" i="11" s="1"/>
  <c r="Z66" i="11" s="1"/>
  <c r="V66" i="11"/>
  <c r="L66" i="11"/>
  <c r="G66" i="11"/>
  <c r="H66" i="11" s="1"/>
  <c r="J66" i="11" s="1"/>
  <c r="F66" i="11"/>
  <c r="AB65" i="11"/>
  <c r="AE65" i="11" s="1"/>
  <c r="W65" i="11"/>
  <c r="X65" i="11" s="1"/>
  <c r="V65" i="11"/>
  <c r="L65" i="11"/>
  <c r="M65" i="11" s="1"/>
  <c r="G65" i="11"/>
  <c r="H65" i="11" s="1"/>
  <c r="F65" i="11"/>
  <c r="AB64" i="11"/>
  <c r="AE64" i="11" s="1"/>
  <c r="W64" i="11"/>
  <c r="X64" i="11" s="1"/>
  <c r="Y64" i="11" s="1"/>
  <c r="V64" i="11"/>
  <c r="L64" i="11"/>
  <c r="M64" i="11" s="1"/>
  <c r="G64" i="11"/>
  <c r="H64" i="11" s="1"/>
  <c r="F64" i="11"/>
  <c r="AB63" i="11"/>
  <c r="AC63" i="11" s="1"/>
  <c r="W63" i="11"/>
  <c r="X63" i="11" s="1"/>
  <c r="Z63" i="11" s="1"/>
  <c r="V63" i="11"/>
  <c r="L63" i="11"/>
  <c r="O63" i="11" s="1"/>
  <c r="G63" i="11"/>
  <c r="H63" i="11" s="1"/>
  <c r="J63" i="11" s="1"/>
  <c r="F63" i="11"/>
  <c r="AB62" i="11"/>
  <c r="AE62" i="11" s="1"/>
  <c r="W62" i="11"/>
  <c r="X62" i="11" s="1"/>
  <c r="V62" i="11"/>
  <c r="L62" i="11"/>
  <c r="G62" i="11"/>
  <c r="H62" i="11" s="1"/>
  <c r="J62" i="11" s="1"/>
  <c r="F62" i="11"/>
  <c r="AB61" i="11"/>
  <c r="AE61" i="11" s="1"/>
  <c r="W61" i="11"/>
  <c r="X61" i="11" s="1"/>
  <c r="Y61" i="11" s="1"/>
  <c r="V61" i="11"/>
  <c r="L61" i="11"/>
  <c r="M61" i="11" s="1"/>
  <c r="G61" i="11"/>
  <c r="H61" i="11" s="1"/>
  <c r="J61" i="11" s="1"/>
  <c r="F61" i="11"/>
  <c r="AB60" i="11"/>
  <c r="AC60" i="11" s="1"/>
  <c r="W60" i="11"/>
  <c r="X60" i="11" s="1"/>
  <c r="Y60" i="11" s="1"/>
  <c r="V60" i="11"/>
  <c r="L60" i="11"/>
  <c r="M60" i="11" s="1"/>
  <c r="G60" i="11"/>
  <c r="H60" i="11" s="1"/>
  <c r="F60" i="11"/>
  <c r="AB59" i="11"/>
  <c r="W59" i="11"/>
  <c r="X59" i="11" s="1"/>
  <c r="V59" i="11"/>
  <c r="L59" i="11"/>
  <c r="O59" i="11" s="1"/>
  <c r="G59" i="11"/>
  <c r="H59" i="11" s="1"/>
  <c r="F59" i="11"/>
  <c r="AB58" i="11"/>
  <c r="AE58" i="11" s="1"/>
  <c r="W58" i="11"/>
  <c r="X58" i="11" s="1"/>
  <c r="V58" i="11"/>
  <c r="L58" i="11"/>
  <c r="G58" i="11"/>
  <c r="H58" i="11" s="1"/>
  <c r="J58" i="11" s="1"/>
  <c r="F58" i="11"/>
  <c r="AB57" i="11"/>
  <c r="AE57" i="11" s="1"/>
  <c r="W57" i="11"/>
  <c r="X57" i="11" s="1"/>
  <c r="V57" i="11"/>
  <c r="L57" i="11"/>
  <c r="M57" i="11" s="1"/>
  <c r="G57" i="11"/>
  <c r="H57" i="11" s="1"/>
  <c r="J57" i="11" s="1"/>
  <c r="F57" i="11"/>
  <c r="AB56" i="11"/>
  <c r="AC56" i="11" s="1"/>
  <c r="W56" i="11"/>
  <c r="X56" i="11" s="1"/>
  <c r="Y56" i="11" s="1"/>
  <c r="V56" i="11"/>
  <c r="L56" i="11"/>
  <c r="M56" i="11" s="1"/>
  <c r="G56" i="11"/>
  <c r="H56" i="11" s="1"/>
  <c r="F56" i="11"/>
  <c r="AB55" i="11"/>
  <c r="AC55" i="11" s="1"/>
  <c r="W55" i="11"/>
  <c r="X55" i="11" s="1"/>
  <c r="Z55" i="11" s="1"/>
  <c r="V55" i="11"/>
  <c r="L55" i="11"/>
  <c r="M55" i="11" s="1"/>
  <c r="G55" i="11"/>
  <c r="H55" i="11" s="1"/>
  <c r="F55" i="11"/>
  <c r="AB54" i="11"/>
  <c r="W54" i="11"/>
  <c r="X54" i="11" s="1"/>
  <c r="V54" i="11"/>
  <c r="L54" i="11"/>
  <c r="M54" i="11" s="1"/>
  <c r="G54" i="11"/>
  <c r="H54" i="11" s="1"/>
  <c r="J54" i="11" s="1"/>
  <c r="F54" i="11"/>
  <c r="AB53" i="11"/>
  <c r="W53" i="11"/>
  <c r="X53" i="11" s="1"/>
  <c r="V53" i="11"/>
  <c r="L53" i="11"/>
  <c r="G53" i="11"/>
  <c r="H53" i="11" s="1"/>
  <c r="J53" i="11" s="1"/>
  <c r="F53" i="11"/>
  <c r="AB52" i="11"/>
  <c r="AE52" i="11" s="1"/>
  <c r="W52" i="11"/>
  <c r="X52" i="11" s="1"/>
  <c r="V52" i="11"/>
  <c r="L52" i="11"/>
  <c r="M52" i="11" s="1"/>
  <c r="G52" i="11"/>
  <c r="H52" i="11" s="1"/>
  <c r="F52" i="11"/>
  <c r="AB51" i="11"/>
  <c r="AE51" i="11" s="1"/>
  <c r="W51" i="11"/>
  <c r="X51" i="11" s="1"/>
  <c r="V51" i="11"/>
  <c r="L51" i="11"/>
  <c r="M51" i="11" s="1"/>
  <c r="G51" i="11"/>
  <c r="H51" i="11" s="1"/>
  <c r="F51" i="11"/>
  <c r="AB50" i="11"/>
  <c r="AE50" i="11" s="1"/>
  <c r="W50" i="11"/>
  <c r="X50" i="11" s="1"/>
  <c r="V50" i="11"/>
  <c r="L50" i="11"/>
  <c r="G50" i="11"/>
  <c r="H50" i="11" s="1"/>
  <c r="J50" i="11" s="1"/>
  <c r="F50" i="11"/>
  <c r="AB49" i="11"/>
  <c r="AE49" i="11" s="1"/>
  <c r="W49" i="11"/>
  <c r="X49" i="11" s="1"/>
  <c r="Y49" i="11" s="1"/>
  <c r="V49" i="11"/>
  <c r="L49" i="11"/>
  <c r="O49" i="11" s="1"/>
  <c r="G49" i="11"/>
  <c r="H49" i="11" s="1"/>
  <c r="J49" i="11" s="1"/>
  <c r="F49" i="11"/>
  <c r="AB48" i="11"/>
  <c r="AE48" i="11" s="1"/>
  <c r="W48" i="11"/>
  <c r="X48" i="11" s="1"/>
  <c r="Y48" i="11" s="1"/>
  <c r="V48" i="11"/>
  <c r="L48" i="11"/>
  <c r="M48" i="11" s="1"/>
  <c r="G48" i="11"/>
  <c r="H48" i="11" s="1"/>
  <c r="F48" i="11"/>
  <c r="AB47" i="11"/>
  <c r="AC47" i="11" s="1"/>
  <c r="W47" i="11"/>
  <c r="X47" i="11" s="1"/>
  <c r="V47" i="11"/>
  <c r="L47" i="11"/>
  <c r="O47" i="11" s="1"/>
  <c r="G47" i="11"/>
  <c r="H47" i="11" s="1"/>
  <c r="F47" i="11"/>
  <c r="AB46" i="11"/>
  <c r="AE46" i="11" s="1"/>
  <c r="W46" i="11"/>
  <c r="X46" i="11" s="1"/>
  <c r="Y46" i="11" s="1"/>
  <c r="V46" i="11"/>
  <c r="L46" i="11"/>
  <c r="M46" i="11" s="1"/>
  <c r="G46" i="11"/>
  <c r="H46" i="11" s="1"/>
  <c r="J46" i="11" s="1"/>
  <c r="F46" i="11"/>
  <c r="AB45" i="11"/>
  <c r="W45" i="11"/>
  <c r="X45" i="11" s="1"/>
  <c r="Y45" i="11" s="1"/>
  <c r="V45" i="11"/>
  <c r="L45" i="11"/>
  <c r="G45" i="11"/>
  <c r="H45" i="11" s="1"/>
  <c r="F45" i="11"/>
  <c r="AB44" i="11"/>
  <c r="W44" i="11"/>
  <c r="X44" i="11" s="1"/>
  <c r="Y44" i="11" s="1"/>
  <c r="V44" i="11"/>
  <c r="L44" i="11"/>
  <c r="G44" i="11"/>
  <c r="H44" i="11" s="1"/>
  <c r="F44" i="11"/>
  <c r="AB43" i="11"/>
  <c r="AE43" i="11" s="1"/>
  <c r="W43" i="11"/>
  <c r="X43" i="11" s="1"/>
  <c r="V43" i="11"/>
  <c r="L43" i="11"/>
  <c r="M43" i="11" s="1"/>
  <c r="G43" i="11"/>
  <c r="H43" i="11" s="1"/>
  <c r="I43" i="11" s="1"/>
  <c r="F43" i="11"/>
  <c r="AB42" i="11"/>
  <c r="AE42" i="11" s="1"/>
  <c r="W42" i="11"/>
  <c r="X42" i="11" s="1"/>
  <c r="V42" i="11"/>
  <c r="L42" i="11"/>
  <c r="M42" i="11" s="1"/>
  <c r="G42" i="11"/>
  <c r="H42" i="11" s="1"/>
  <c r="I42" i="11" s="1"/>
  <c r="F42" i="11"/>
  <c r="AB41" i="11"/>
  <c r="AE41" i="11" s="1"/>
  <c r="W41" i="11"/>
  <c r="X41" i="11" s="1"/>
  <c r="Y41" i="11" s="1"/>
  <c r="V41" i="11"/>
  <c r="L41" i="11"/>
  <c r="O41" i="11" s="1"/>
  <c r="G41" i="11"/>
  <c r="H41" i="11" s="1"/>
  <c r="F41" i="11"/>
  <c r="AB40" i="11"/>
  <c r="AE40" i="11" s="1"/>
  <c r="W40" i="11"/>
  <c r="X40" i="11" s="1"/>
  <c r="Y40" i="11" s="1"/>
  <c r="V40" i="11"/>
  <c r="L40" i="11"/>
  <c r="M40" i="11" s="1"/>
  <c r="G40" i="11"/>
  <c r="H40" i="11" s="1"/>
  <c r="F40" i="11"/>
  <c r="AB39" i="11"/>
  <c r="AE39" i="11" s="1"/>
  <c r="W39" i="11"/>
  <c r="X39" i="11" s="1"/>
  <c r="Z39" i="11" s="1"/>
  <c r="V39" i="11"/>
  <c r="L39" i="11"/>
  <c r="O39" i="11" s="1"/>
  <c r="G39" i="11"/>
  <c r="H39" i="11" s="1"/>
  <c r="F39" i="11"/>
  <c r="AB38" i="11"/>
  <c r="AE38" i="11" s="1"/>
  <c r="W38" i="11"/>
  <c r="X38" i="11" s="1"/>
  <c r="V38" i="11"/>
  <c r="L38" i="11"/>
  <c r="M38" i="11" s="1"/>
  <c r="G38" i="11"/>
  <c r="H38" i="11" s="1"/>
  <c r="F38" i="11"/>
  <c r="AB37" i="11"/>
  <c r="AE37" i="11" s="1"/>
  <c r="W37" i="11"/>
  <c r="X37" i="11" s="1"/>
  <c r="V37" i="11"/>
  <c r="L37" i="11"/>
  <c r="O37" i="11" s="1"/>
  <c r="G37" i="11"/>
  <c r="H37" i="11" s="1"/>
  <c r="F37" i="11"/>
  <c r="AB36" i="11"/>
  <c r="W36" i="11"/>
  <c r="X36" i="11" s="1"/>
  <c r="Y36" i="11" s="1"/>
  <c r="V36" i="11"/>
  <c r="L36" i="11"/>
  <c r="M36" i="11" s="1"/>
  <c r="G36" i="11"/>
  <c r="H36" i="11" s="1"/>
  <c r="F36" i="11"/>
  <c r="AB35" i="11"/>
  <c r="AE35" i="11" s="1"/>
  <c r="W35" i="11"/>
  <c r="X35" i="11" s="1"/>
  <c r="V35" i="11"/>
  <c r="L35" i="11"/>
  <c r="M35" i="11" s="1"/>
  <c r="G35" i="11"/>
  <c r="H35" i="11" s="1"/>
  <c r="F35" i="11"/>
  <c r="AB34" i="11"/>
  <c r="W34" i="11"/>
  <c r="X34" i="11" s="1"/>
  <c r="V34" i="11"/>
  <c r="L34" i="11"/>
  <c r="M34" i="11" s="1"/>
  <c r="G34" i="11"/>
  <c r="H34" i="11" s="1"/>
  <c r="J34" i="11" s="1"/>
  <c r="F34" i="11"/>
  <c r="AB33" i="11"/>
  <c r="AE33" i="11" s="1"/>
  <c r="W33" i="11"/>
  <c r="X33" i="11" s="1"/>
  <c r="V33" i="11"/>
  <c r="L33" i="11"/>
  <c r="O33" i="11" s="1"/>
  <c r="G33" i="11"/>
  <c r="H33" i="11" s="1"/>
  <c r="F33" i="11"/>
  <c r="AB32" i="11"/>
  <c r="AE32" i="11" s="1"/>
  <c r="W32" i="11"/>
  <c r="X32" i="11" s="1"/>
  <c r="Y32" i="11" s="1"/>
  <c r="V32" i="11"/>
  <c r="L32" i="11"/>
  <c r="M32" i="11" s="1"/>
  <c r="G32" i="11"/>
  <c r="H32" i="11" s="1"/>
  <c r="F32" i="11"/>
  <c r="AB31" i="11"/>
  <c r="AE31" i="11" s="1"/>
  <c r="W31" i="11"/>
  <c r="X31" i="11" s="1"/>
  <c r="V31" i="11"/>
  <c r="L31" i="11"/>
  <c r="M31" i="11" s="1"/>
  <c r="G31" i="11"/>
  <c r="H31" i="11" s="1"/>
  <c r="J31" i="11" s="1"/>
  <c r="F31" i="11"/>
  <c r="AB30" i="11"/>
  <c r="AE30" i="11" s="1"/>
  <c r="W30" i="11"/>
  <c r="X30" i="11" s="1"/>
  <c r="V30" i="11"/>
  <c r="L30" i="11"/>
  <c r="G30" i="11"/>
  <c r="H30" i="11" s="1"/>
  <c r="J30" i="11" s="1"/>
  <c r="F30" i="11"/>
  <c r="AB29" i="11"/>
  <c r="AE29" i="11" s="1"/>
  <c r="W29" i="11"/>
  <c r="X29" i="11" s="1"/>
  <c r="Y29" i="11" s="1"/>
  <c r="V29" i="11"/>
  <c r="L29" i="11"/>
  <c r="M29" i="11" s="1"/>
  <c r="G29" i="11"/>
  <c r="H29" i="11" s="1"/>
  <c r="F29" i="11"/>
  <c r="AT28" i="11"/>
  <c r="AW28" i="11" s="1"/>
  <c r="AO28" i="11"/>
  <c r="AP28" i="11" s="1"/>
  <c r="AQ28" i="11" s="1"/>
  <c r="AN28" i="11"/>
  <c r="AB28" i="11"/>
  <c r="AC28" i="11" s="1"/>
  <c r="W28" i="11"/>
  <c r="X28" i="11" s="1"/>
  <c r="V28" i="11"/>
  <c r="L28" i="11"/>
  <c r="O28" i="11" s="1"/>
  <c r="G28" i="11"/>
  <c r="H28" i="11" s="1"/>
  <c r="J28" i="11" s="1"/>
  <c r="F28" i="11"/>
  <c r="BJ27" i="11"/>
  <c r="BM27" i="11" s="1"/>
  <c r="BE27" i="11"/>
  <c r="BF27" i="11" s="1"/>
  <c r="BD27" i="11"/>
  <c r="AT27" i="11"/>
  <c r="AO27" i="11"/>
  <c r="AP27" i="11" s="1"/>
  <c r="AR27" i="11" s="1"/>
  <c r="AN27" i="11"/>
  <c r="AB27" i="11"/>
  <c r="W27" i="11"/>
  <c r="X27" i="11" s="1"/>
  <c r="Z27" i="11" s="1"/>
  <c r="V27" i="11"/>
  <c r="L27" i="11"/>
  <c r="O27" i="11" s="1"/>
  <c r="G27" i="11"/>
  <c r="H27" i="11" s="1"/>
  <c r="I27" i="11" s="1"/>
  <c r="F27" i="11"/>
  <c r="BJ26" i="11"/>
  <c r="BE26" i="11"/>
  <c r="BF26" i="11" s="1"/>
  <c r="BH26" i="11" s="1"/>
  <c r="BD26" i="11"/>
  <c r="AT26" i="11"/>
  <c r="AU26" i="11" s="1"/>
  <c r="AO26" i="11"/>
  <c r="AP26" i="11" s="1"/>
  <c r="AN26" i="11"/>
  <c r="AB26" i="11"/>
  <c r="AC26" i="11" s="1"/>
  <c r="W26" i="11"/>
  <c r="X26" i="11" s="1"/>
  <c r="V26" i="11"/>
  <c r="L26" i="11"/>
  <c r="O26" i="11" s="1"/>
  <c r="G26" i="11"/>
  <c r="H26" i="11" s="1"/>
  <c r="J26" i="11" s="1"/>
  <c r="F26" i="11"/>
  <c r="BJ25" i="11"/>
  <c r="BM25" i="11" s="1"/>
  <c r="BE25" i="11"/>
  <c r="BF25" i="11" s="1"/>
  <c r="BD25" i="11"/>
  <c r="AT25" i="11"/>
  <c r="AO25" i="11"/>
  <c r="AP25" i="11" s="1"/>
  <c r="AN25" i="11"/>
  <c r="AB25" i="11"/>
  <c r="W25" i="11"/>
  <c r="X25" i="11" s="1"/>
  <c r="Y25" i="11" s="1"/>
  <c r="V25" i="11"/>
  <c r="L25" i="11"/>
  <c r="M25" i="11" s="1"/>
  <c r="G25" i="11"/>
  <c r="H25" i="11" s="1"/>
  <c r="F25" i="11"/>
  <c r="BJ24" i="11"/>
  <c r="BK24" i="11" s="1"/>
  <c r="BE24" i="11"/>
  <c r="BF24" i="11" s="1"/>
  <c r="BH24" i="11" s="1"/>
  <c r="BD24" i="11"/>
  <c r="AT24" i="11"/>
  <c r="AW24" i="11" s="1"/>
  <c r="AO24" i="11"/>
  <c r="AP24" i="11" s="1"/>
  <c r="AR24" i="11" s="1"/>
  <c r="AN24" i="11"/>
  <c r="AB24" i="11"/>
  <c r="AC24" i="11" s="1"/>
  <c r="W24" i="11"/>
  <c r="X24" i="11" s="1"/>
  <c r="Z24" i="11" s="1"/>
  <c r="V24" i="11"/>
  <c r="L24" i="11"/>
  <c r="M24" i="11" s="1"/>
  <c r="G24" i="11"/>
  <c r="H24" i="11" s="1"/>
  <c r="J24" i="11" s="1"/>
  <c r="F24" i="11"/>
  <c r="BJ23" i="11"/>
  <c r="BK23" i="11" s="1"/>
  <c r="BE23" i="11"/>
  <c r="BF23" i="11" s="1"/>
  <c r="BD23" i="11"/>
  <c r="AT23" i="11"/>
  <c r="AU23" i="11" s="1"/>
  <c r="AO23" i="11"/>
  <c r="AP23" i="11" s="1"/>
  <c r="AN23" i="11"/>
  <c r="AB23" i="11"/>
  <c r="AC23" i="11" s="1"/>
  <c r="W23" i="11"/>
  <c r="X23" i="11" s="1"/>
  <c r="V23" i="11"/>
  <c r="L23" i="11"/>
  <c r="M23" i="11" s="1"/>
  <c r="G23" i="11"/>
  <c r="H23" i="11" s="1"/>
  <c r="F23" i="11"/>
  <c r="BJ22" i="11"/>
  <c r="BM22" i="11" s="1"/>
  <c r="BE22" i="11"/>
  <c r="BF22" i="11" s="1"/>
  <c r="BD22" i="11"/>
  <c r="AT22" i="11"/>
  <c r="AW22" i="11" s="1"/>
  <c r="AO22" i="11"/>
  <c r="AP22" i="11" s="1"/>
  <c r="AN22" i="11"/>
  <c r="AB22" i="11"/>
  <c r="W22" i="11"/>
  <c r="X22" i="11" s="1"/>
  <c r="V22" i="11"/>
  <c r="L22" i="11"/>
  <c r="O22" i="11" s="1"/>
  <c r="G22" i="11"/>
  <c r="H22" i="11" s="1"/>
  <c r="J22" i="11" s="1"/>
  <c r="F22" i="11"/>
  <c r="BJ21" i="11"/>
  <c r="BM21" i="11" s="1"/>
  <c r="BE21" i="11"/>
  <c r="BF21" i="11" s="1"/>
  <c r="BD21" i="11"/>
  <c r="AT21" i="11"/>
  <c r="AW21" i="11" s="1"/>
  <c r="AO21" i="11"/>
  <c r="AP21" i="11" s="1"/>
  <c r="AN21" i="11"/>
  <c r="AB21" i="11"/>
  <c r="AE21" i="11" s="1"/>
  <c r="W21" i="11"/>
  <c r="X21" i="11" s="1"/>
  <c r="V21" i="11"/>
  <c r="L21" i="11"/>
  <c r="M21" i="11" s="1"/>
  <c r="G21" i="11"/>
  <c r="H21" i="11" s="1"/>
  <c r="F21" i="11"/>
  <c r="BJ20" i="11"/>
  <c r="BK20" i="11" s="1"/>
  <c r="BE20" i="11"/>
  <c r="BF20" i="11" s="1"/>
  <c r="BH20" i="11" s="1"/>
  <c r="BD20" i="11"/>
  <c r="AT20" i="11"/>
  <c r="AW20" i="11" s="1"/>
  <c r="AO20" i="11"/>
  <c r="AP20" i="11" s="1"/>
  <c r="AR20" i="11" s="1"/>
  <c r="AN20" i="11"/>
  <c r="AB20" i="11"/>
  <c r="AE20" i="11" s="1"/>
  <c r="W20" i="11"/>
  <c r="X20" i="11" s="1"/>
  <c r="V20" i="11"/>
  <c r="L20" i="11"/>
  <c r="M20" i="11" s="1"/>
  <c r="G20" i="11"/>
  <c r="H20" i="11" s="1"/>
  <c r="J20" i="11" s="1"/>
  <c r="F20" i="11"/>
  <c r="BJ19" i="11"/>
  <c r="BK19" i="11" s="1"/>
  <c r="BE19" i="11"/>
  <c r="BF19" i="11" s="1"/>
  <c r="BG19" i="11" s="1"/>
  <c r="BD19" i="11"/>
  <c r="AT19" i="11"/>
  <c r="AU19" i="11" s="1"/>
  <c r="AO19" i="11"/>
  <c r="AP19" i="11" s="1"/>
  <c r="AN19" i="11"/>
  <c r="AB19" i="11"/>
  <c r="AE19" i="11" s="1"/>
  <c r="W19" i="11"/>
  <c r="X19" i="11" s="1"/>
  <c r="V19" i="11"/>
  <c r="L19" i="11"/>
  <c r="M19" i="11" s="1"/>
  <c r="G19" i="11"/>
  <c r="H19" i="11" s="1"/>
  <c r="F19" i="11"/>
  <c r="BJ18" i="11"/>
  <c r="BM18" i="11" s="1"/>
  <c r="BE18" i="11"/>
  <c r="BF18" i="11" s="1"/>
  <c r="BD18" i="11"/>
  <c r="AT18" i="11"/>
  <c r="AW18" i="11" s="1"/>
  <c r="AO18" i="11"/>
  <c r="AP18" i="11" s="1"/>
  <c r="AN18" i="11"/>
  <c r="AB18" i="11"/>
  <c r="AE18" i="11" s="1"/>
  <c r="W18" i="11"/>
  <c r="X18" i="11" s="1"/>
  <c r="V18" i="11"/>
  <c r="L18" i="11"/>
  <c r="O18" i="11" s="1"/>
  <c r="G18" i="11"/>
  <c r="H18" i="11" s="1"/>
  <c r="J18" i="11" s="1"/>
  <c r="F18" i="11"/>
  <c r="BJ17" i="11"/>
  <c r="BM17" i="11" s="1"/>
  <c r="BE17" i="11"/>
  <c r="BF17" i="11" s="1"/>
  <c r="BD17" i="11"/>
  <c r="AT17" i="11"/>
  <c r="AW17" i="11" s="1"/>
  <c r="AO17" i="11"/>
  <c r="AP17" i="11" s="1"/>
  <c r="AN17" i="11"/>
  <c r="AB17" i="11"/>
  <c r="AC17" i="11" s="1"/>
  <c r="W17" i="11"/>
  <c r="X17" i="11" s="1"/>
  <c r="Z17" i="11" s="1"/>
  <c r="V17" i="11"/>
  <c r="L17" i="11"/>
  <c r="M17" i="11" s="1"/>
  <c r="G17" i="11"/>
  <c r="H17" i="11" s="1"/>
  <c r="J17" i="11" s="1"/>
  <c r="F17" i="11"/>
  <c r="BJ16" i="11"/>
  <c r="BE16" i="11"/>
  <c r="BF16" i="11" s="1"/>
  <c r="BH16" i="11" s="1"/>
  <c r="BD16" i="11"/>
  <c r="AT16" i="11"/>
  <c r="AW16" i="11" s="1"/>
  <c r="AO16" i="11"/>
  <c r="AP16" i="11" s="1"/>
  <c r="AR16" i="11" s="1"/>
  <c r="AN16" i="11"/>
  <c r="AB16" i="11"/>
  <c r="AC16" i="11" s="1"/>
  <c r="W16" i="11"/>
  <c r="X16" i="11" s="1"/>
  <c r="Y16" i="11" s="1"/>
  <c r="V16" i="11"/>
  <c r="L16" i="11"/>
  <c r="M16" i="11" s="1"/>
  <c r="G16" i="11"/>
  <c r="H16" i="11" s="1"/>
  <c r="I16" i="11" s="1"/>
  <c r="F16" i="11"/>
  <c r="BJ15" i="11"/>
  <c r="BK15" i="11" s="1"/>
  <c r="BE15" i="11"/>
  <c r="BF15" i="11" s="1"/>
  <c r="BD15" i="11"/>
  <c r="AT15" i="11"/>
  <c r="AW15" i="11" s="1"/>
  <c r="AO15" i="11"/>
  <c r="AP15" i="11" s="1"/>
  <c r="AN15" i="11"/>
  <c r="AB15" i="11"/>
  <c r="W15" i="11"/>
  <c r="X15" i="11" s="1"/>
  <c r="V15" i="11"/>
  <c r="L15" i="11"/>
  <c r="O15" i="11" s="1"/>
  <c r="G15" i="11"/>
  <c r="H15" i="11" s="1"/>
  <c r="F15" i="11"/>
  <c r="BJ14" i="11"/>
  <c r="BM14" i="11" s="1"/>
  <c r="BE14" i="11"/>
  <c r="BF14" i="11" s="1"/>
  <c r="BH14" i="11" s="1"/>
  <c r="BD14" i="11"/>
  <c r="AT14" i="11"/>
  <c r="AW14" i="11" s="1"/>
  <c r="AO14" i="11"/>
  <c r="AP14" i="11" s="1"/>
  <c r="AR14" i="11" s="1"/>
  <c r="AN14" i="11"/>
  <c r="AB14" i="11"/>
  <c r="AC14" i="11" s="1"/>
  <c r="W14" i="11"/>
  <c r="X14" i="11" s="1"/>
  <c r="Y14" i="11" s="1"/>
  <c r="V14" i="11"/>
  <c r="L14" i="11"/>
  <c r="O14" i="11" s="1"/>
  <c r="G14" i="11"/>
  <c r="H14" i="11" s="1"/>
  <c r="J14" i="11" s="1"/>
  <c r="F14" i="11"/>
  <c r="BJ13" i="11"/>
  <c r="BM13" i="11" s="1"/>
  <c r="BE13" i="11"/>
  <c r="BF13" i="11" s="1"/>
  <c r="BH13" i="11" s="1"/>
  <c r="BD13" i="11"/>
  <c r="AT13" i="11"/>
  <c r="AU13" i="11" s="1"/>
  <c r="AO13" i="11"/>
  <c r="AP13" i="11" s="1"/>
  <c r="AQ13" i="11" s="1"/>
  <c r="AN13" i="11"/>
  <c r="AB13" i="11"/>
  <c r="AC13" i="11" s="1"/>
  <c r="W13" i="11"/>
  <c r="X13" i="11" s="1"/>
  <c r="Z13" i="11" s="1"/>
  <c r="V13" i="11"/>
  <c r="L13" i="11"/>
  <c r="M13" i="11" s="1"/>
  <c r="G13" i="11"/>
  <c r="H13" i="11" s="1"/>
  <c r="F13" i="11"/>
  <c r="BJ12" i="11"/>
  <c r="BM12" i="11" s="1"/>
  <c r="BE12" i="11"/>
  <c r="BF12" i="11" s="1"/>
  <c r="BD12" i="11"/>
  <c r="AT12" i="11"/>
  <c r="AW12" i="11" s="1"/>
  <c r="AO12" i="11"/>
  <c r="AP12" i="11" s="1"/>
  <c r="AR12" i="11" s="1"/>
  <c r="AN12" i="11"/>
  <c r="AB12" i="11"/>
  <c r="AE12" i="11" s="1"/>
  <c r="W12" i="11"/>
  <c r="X12" i="11" s="1"/>
  <c r="Z12" i="11" s="1"/>
  <c r="V12" i="11"/>
  <c r="L12" i="11"/>
  <c r="M12" i="11" s="1"/>
  <c r="G12" i="11"/>
  <c r="H12" i="11" s="1"/>
  <c r="F12" i="11"/>
  <c r="BJ11" i="11"/>
  <c r="BE11" i="11"/>
  <c r="BF11" i="11" s="1"/>
  <c r="BD11" i="11"/>
  <c r="AT11" i="11"/>
  <c r="AW11" i="11" s="1"/>
  <c r="AO11" i="11"/>
  <c r="AP11" i="11" s="1"/>
  <c r="AR11" i="11" s="1"/>
  <c r="AN11" i="11"/>
  <c r="AB11" i="11"/>
  <c r="AC11" i="11" s="1"/>
  <c r="W11" i="11"/>
  <c r="X11" i="11" s="1"/>
  <c r="Z11" i="11" s="1"/>
  <c r="V11" i="11"/>
  <c r="L11" i="11"/>
  <c r="M11" i="11" s="1"/>
  <c r="G11" i="11"/>
  <c r="H11" i="11" s="1"/>
  <c r="F11" i="11"/>
  <c r="BJ10" i="11"/>
  <c r="BM10" i="11" s="1"/>
  <c r="BE10" i="11"/>
  <c r="BF10" i="11" s="1"/>
  <c r="BD10" i="11"/>
  <c r="AT10" i="11"/>
  <c r="AW10" i="11" s="1"/>
  <c r="AO10" i="11"/>
  <c r="AP10" i="11" s="1"/>
  <c r="AR10" i="11" s="1"/>
  <c r="AN10" i="11"/>
  <c r="AB10" i="11"/>
  <c r="AE10" i="11" s="1"/>
  <c r="W10" i="11"/>
  <c r="X10" i="11" s="1"/>
  <c r="Z10" i="11" s="1"/>
  <c r="V10" i="11"/>
  <c r="L10" i="11"/>
  <c r="M10" i="11" s="1"/>
  <c r="G10" i="11"/>
  <c r="H10" i="11" s="1"/>
  <c r="F10" i="11"/>
  <c r="BJ9" i="11"/>
  <c r="BE9" i="11"/>
  <c r="BF9" i="11" s="1"/>
  <c r="BD9" i="11"/>
  <c r="AT9" i="11"/>
  <c r="AW9" i="11" s="1"/>
  <c r="AO9" i="11"/>
  <c r="AP9" i="11" s="1"/>
  <c r="AR9" i="11" s="1"/>
  <c r="AN9" i="11"/>
  <c r="AB9" i="11"/>
  <c r="AC9" i="11" s="1"/>
  <c r="W9" i="11"/>
  <c r="X9" i="11" s="1"/>
  <c r="Z9" i="11" s="1"/>
  <c r="V9" i="11"/>
  <c r="L9" i="11"/>
  <c r="M9" i="11" s="1"/>
  <c r="G9" i="11"/>
  <c r="H9" i="11" s="1"/>
  <c r="F9" i="11"/>
  <c r="BJ8" i="11"/>
  <c r="BM8" i="11" s="1"/>
  <c r="BE8" i="11"/>
  <c r="BF8" i="11" s="1"/>
  <c r="BD8" i="11"/>
  <c r="AT8" i="11"/>
  <c r="AW8" i="11" s="1"/>
  <c r="AO8" i="11"/>
  <c r="AP8" i="11" s="1"/>
  <c r="AR8" i="11" s="1"/>
  <c r="AN8" i="11"/>
  <c r="AB8" i="11"/>
  <c r="AE8" i="11" s="1"/>
  <c r="W8" i="11"/>
  <c r="X8" i="11" s="1"/>
  <c r="V8" i="11"/>
  <c r="L8" i="11"/>
  <c r="M8" i="11" s="1"/>
  <c r="G8" i="11"/>
  <c r="H8" i="11" s="1"/>
  <c r="F8" i="11"/>
  <c r="BJ7" i="11"/>
  <c r="BE7" i="11"/>
  <c r="BF7" i="11" s="1"/>
  <c r="BD7" i="11"/>
  <c r="AT7" i="11"/>
  <c r="AW7" i="11" s="1"/>
  <c r="AO7" i="11"/>
  <c r="AP7" i="11" s="1"/>
  <c r="AR7" i="11" s="1"/>
  <c r="AN7" i="11"/>
  <c r="AB7" i="11"/>
  <c r="AE7" i="11" s="1"/>
  <c r="W7" i="11"/>
  <c r="X7" i="11" s="1"/>
  <c r="V7" i="11"/>
  <c r="L7" i="11"/>
  <c r="M7" i="11" s="1"/>
  <c r="G7" i="11"/>
  <c r="H7" i="11" s="1"/>
  <c r="F7" i="11"/>
  <c r="BJ6" i="11"/>
  <c r="BM6" i="11" s="1"/>
  <c r="BE6" i="11"/>
  <c r="BF6" i="11" s="1"/>
  <c r="BD6" i="11"/>
  <c r="AT6" i="11"/>
  <c r="AW6" i="11" s="1"/>
  <c r="AO6" i="11"/>
  <c r="AP6" i="11" s="1"/>
  <c r="AR6" i="11" s="1"/>
  <c r="AN6" i="11"/>
  <c r="AB6" i="11"/>
  <c r="AE6" i="11" s="1"/>
  <c r="W6" i="11"/>
  <c r="X6" i="11" s="1"/>
  <c r="Z6" i="11" s="1"/>
  <c r="V6" i="11"/>
  <c r="L6" i="11"/>
  <c r="M6" i="11" s="1"/>
  <c r="G6" i="11"/>
  <c r="H6" i="11" s="1"/>
  <c r="F6" i="11"/>
  <c r="BJ5" i="11"/>
  <c r="BM5" i="11" s="1"/>
  <c r="BE5" i="11"/>
  <c r="BF5" i="11" s="1"/>
  <c r="BH5" i="11" s="1"/>
  <c r="BD5" i="11"/>
  <c r="AT5" i="11"/>
  <c r="AO5" i="11"/>
  <c r="AP5" i="11" s="1"/>
  <c r="AN5" i="11"/>
  <c r="AB5" i="11"/>
  <c r="AE5" i="11" s="1"/>
  <c r="W5" i="11"/>
  <c r="X5" i="11" s="1"/>
  <c r="V5" i="11"/>
  <c r="L5" i="11"/>
  <c r="O5" i="11" s="1"/>
  <c r="G5" i="11"/>
  <c r="H5" i="11" s="1"/>
  <c r="J5" i="11" s="1"/>
  <c r="F5" i="11"/>
  <c r="BJ4" i="11"/>
  <c r="BK4" i="11" s="1"/>
  <c r="BE4" i="11"/>
  <c r="BF4" i="11" s="1"/>
  <c r="BH4" i="11" s="1"/>
  <c r="BD4" i="11"/>
  <c r="AT4" i="11"/>
  <c r="AW4" i="11" s="1"/>
  <c r="AO4" i="11"/>
  <c r="AP4" i="11" s="1"/>
  <c r="AN4" i="11"/>
  <c r="AB4" i="11"/>
  <c r="AE4" i="11" s="1"/>
  <c r="W4" i="11"/>
  <c r="X4" i="11" s="1"/>
  <c r="Z4" i="11" s="1"/>
  <c r="V4" i="11"/>
  <c r="L4" i="11"/>
  <c r="O4" i="11" s="1"/>
  <c r="G4" i="11"/>
  <c r="H4" i="11" s="1"/>
  <c r="F4" i="11"/>
  <c r="BJ3" i="11"/>
  <c r="BE3" i="11"/>
  <c r="BF3" i="11" s="1"/>
  <c r="BD3" i="11"/>
  <c r="AT3" i="11"/>
  <c r="AW3" i="11" s="1"/>
  <c r="AO3" i="11"/>
  <c r="AP3" i="11" s="1"/>
  <c r="AR3" i="11" s="1"/>
  <c r="AN3" i="11"/>
  <c r="AB3" i="11"/>
  <c r="AE3" i="11" s="1"/>
  <c r="W3" i="11"/>
  <c r="X3" i="11" s="1"/>
  <c r="V3" i="11"/>
  <c r="M3" i="11"/>
  <c r="G3" i="11"/>
  <c r="H3" i="11" s="1"/>
  <c r="F3" i="11"/>
  <c r="AD10" i="13" l="1"/>
  <c r="BK20" i="13"/>
  <c r="M45" i="13"/>
  <c r="N16" i="13"/>
  <c r="AC65" i="12"/>
  <c r="AE67" i="12"/>
  <c r="N21" i="11"/>
  <c r="AC61" i="12"/>
  <c r="BM23" i="11"/>
  <c r="W92" i="10"/>
  <c r="S92" i="10"/>
  <c r="U92" i="10"/>
  <c r="M29" i="13"/>
  <c r="O22" i="13"/>
  <c r="M28" i="13"/>
  <c r="M11" i="13"/>
  <c r="AE33" i="13"/>
  <c r="M36" i="13"/>
  <c r="AD33" i="13"/>
  <c r="AD39" i="13"/>
  <c r="O49" i="13"/>
  <c r="BK8" i="13"/>
  <c r="AC39" i="13"/>
  <c r="BK4" i="13"/>
  <c r="O20" i="13"/>
  <c r="AD43" i="13"/>
  <c r="M25" i="13"/>
  <c r="O32" i="13"/>
  <c r="Y35" i="13"/>
  <c r="AD47" i="13"/>
  <c r="BG5" i="13"/>
  <c r="BH5" i="13"/>
  <c r="J28" i="13"/>
  <c r="I28" i="13"/>
  <c r="AD35" i="13"/>
  <c r="Y23" i="13"/>
  <c r="O33" i="13"/>
  <c r="M7" i="13"/>
  <c r="M8" i="13"/>
  <c r="J45" i="13"/>
  <c r="BM26" i="13"/>
  <c r="M17" i="13"/>
  <c r="Z27" i="13"/>
  <c r="N37" i="13"/>
  <c r="N53" i="13"/>
  <c r="BL5" i="13"/>
  <c r="O6" i="13"/>
  <c r="N15" i="13"/>
  <c r="AE15" i="13"/>
  <c r="AD37" i="13"/>
  <c r="BL7" i="13"/>
  <c r="BK12" i="13"/>
  <c r="AV8" i="13"/>
  <c r="AR15" i="13"/>
  <c r="Z45" i="13"/>
  <c r="Y45" i="13"/>
  <c r="AR4" i="13"/>
  <c r="AQ4" i="13"/>
  <c r="Z16" i="13"/>
  <c r="Y16" i="13"/>
  <c r="Y5" i="13"/>
  <c r="Z5" i="13"/>
  <c r="BG24" i="13"/>
  <c r="BH24" i="13"/>
  <c r="I7" i="13"/>
  <c r="J7" i="13"/>
  <c r="J32" i="13"/>
  <c r="I32" i="13"/>
  <c r="I52" i="13"/>
  <c r="J52" i="13"/>
  <c r="I31" i="13"/>
  <c r="J31" i="13"/>
  <c r="Z41" i="13"/>
  <c r="Y41" i="13"/>
  <c r="J44" i="13"/>
  <c r="I44" i="13"/>
  <c r="AR10" i="13"/>
  <c r="AQ10" i="13"/>
  <c r="I9" i="13"/>
  <c r="J9" i="13"/>
  <c r="I12" i="13"/>
  <c r="J12" i="13"/>
  <c r="I30" i="13"/>
  <c r="J30" i="13"/>
  <c r="N10" i="13"/>
  <c r="J10" i="13"/>
  <c r="I10" i="13"/>
  <c r="BH12" i="13"/>
  <c r="BG12" i="13"/>
  <c r="BL12" i="13"/>
  <c r="AR14" i="13"/>
  <c r="AQ14" i="13"/>
  <c r="J6" i="13"/>
  <c r="I6" i="13"/>
  <c r="I43" i="13"/>
  <c r="J43" i="13"/>
  <c r="BG14" i="13"/>
  <c r="BH14" i="13"/>
  <c r="BG26" i="13"/>
  <c r="BL26" i="13"/>
  <c r="M37" i="13"/>
  <c r="M46" i="13"/>
  <c r="M4" i="13"/>
  <c r="AW6" i="13"/>
  <c r="N8" i="13"/>
  <c r="AE11" i="13"/>
  <c r="Z12" i="13"/>
  <c r="J15" i="13"/>
  <c r="AD15" i="13"/>
  <c r="AD18" i="13"/>
  <c r="Y19" i="13"/>
  <c r="M21" i="13"/>
  <c r="Z31" i="13"/>
  <c r="N36" i="13"/>
  <c r="J37" i="13"/>
  <c r="N38" i="13"/>
  <c r="AC47" i="13"/>
  <c r="BG4" i="13"/>
  <c r="BL10" i="13"/>
  <c r="BK24" i="13"/>
  <c r="AD31" i="13"/>
  <c r="AE3" i="13"/>
  <c r="AC5" i="13"/>
  <c r="AC7" i="13"/>
  <c r="Y10" i="13"/>
  <c r="Z14" i="13"/>
  <c r="O15" i="13"/>
  <c r="AE16" i="13"/>
  <c r="M18" i="13"/>
  <c r="Y21" i="13"/>
  <c r="M23" i="13"/>
  <c r="Y25" i="13"/>
  <c r="M26" i="13"/>
  <c r="AD27" i="13"/>
  <c r="M30" i="13"/>
  <c r="O37" i="13"/>
  <c r="Y38" i="13"/>
  <c r="M40" i="13"/>
  <c r="M41" i="13"/>
  <c r="M50" i="13"/>
  <c r="AR9" i="13"/>
  <c r="AU16" i="13"/>
  <c r="BH3" i="13"/>
  <c r="BL3" i="13"/>
  <c r="AD5" i="13"/>
  <c r="AD6" i="13"/>
  <c r="Z10" i="13"/>
  <c r="N24" i="13"/>
  <c r="N26" i="13"/>
  <c r="N30" i="13"/>
  <c r="N50" i="13"/>
  <c r="M54" i="13"/>
  <c r="BL13" i="13"/>
  <c r="BL14" i="13"/>
  <c r="AV10" i="13"/>
  <c r="M15" i="13"/>
  <c r="N6" i="13"/>
  <c r="M9" i="13"/>
  <c r="Y11" i="13"/>
  <c r="AD14" i="13"/>
  <c r="Y17" i="13"/>
  <c r="M19" i="13"/>
  <c r="M24" i="13"/>
  <c r="J25" i="13"/>
  <c r="AD25" i="13"/>
  <c r="J27" i="13"/>
  <c r="Y33" i="13"/>
  <c r="M34" i="13"/>
  <c r="J35" i="13"/>
  <c r="J38" i="13"/>
  <c r="J42" i="13"/>
  <c r="Y43" i="13"/>
  <c r="M44" i="13"/>
  <c r="AE45" i="13"/>
  <c r="Y46" i="13"/>
  <c r="N48" i="13"/>
  <c r="Y49" i="13"/>
  <c r="BK14" i="13"/>
  <c r="AD16" i="13"/>
  <c r="AD12" i="13"/>
  <c r="Y42" i="13"/>
  <c r="N3" i="13"/>
  <c r="N9" i="13"/>
  <c r="M13" i="13"/>
  <c r="J14" i="13"/>
  <c r="Y15" i="13"/>
  <c r="O24" i="13"/>
  <c r="N25" i="13"/>
  <c r="AE25" i="13"/>
  <c r="N34" i="13"/>
  <c r="BL16" i="13"/>
  <c r="BL20" i="13"/>
  <c r="AV4" i="13"/>
  <c r="AC9" i="13"/>
  <c r="J47" i="13"/>
  <c r="N7" i="13"/>
  <c r="I8" i="13"/>
  <c r="AD8" i="13"/>
  <c r="AD11" i="13"/>
  <c r="J17" i="13"/>
  <c r="N32" i="13"/>
  <c r="Y37" i="13"/>
  <c r="M38" i="13"/>
  <c r="AD40" i="13"/>
  <c r="M42" i="13"/>
  <c r="AC43" i="13"/>
  <c r="O48" i="13"/>
  <c r="BK10" i="13"/>
  <c r="BK16" i="13"/>
  <c r="BK22" i="13"/>
  <c r="BL24" i="13"/>
  <c r="BK21" i="12"/>
  <c r="M6" i="12"/>
  <c r="N55" i="12"/>
  <c r="N63" i="12"/>
  <c r="AC10" i="12"/>
  <c r="M44" i="12"/>
  <c r="BK4" i="12"/>
  <c r="O53" i="12"/>
  <c r="N39" i="12"/>
  <c r="AV23" i="12"/>
  <c r="O8" i="12"/>
  <c r="AW25" i="12"/>
  <c r="AE59" i="12"/>
  <c r="O59" i="12"/>
  <c r="M10" i="12"/>
  <c r="BM11" i="12"/>
  <c r="BM20" i="12"/>
  <c r="Z53" i="12"/>
  <c r="Y53" i="12"/>
  <c r="AW23" i="12"/>
  <c r="BM24" i="12"/>
  <c r="AC49" i="12"/>
  <c r="AC6" i="12"/>
  <c r="AD41" i="12"/>
  <c r="AE27" i="12"/>
  <c r="M25" i="12"/>
  <c r="AC8" i="12"/>
  <c r="BK15" i="12"/>
  <c r="AC16" i="12"/>
  <c r="AD19" i="12"/>
  <c r="N59" i="12"/>
  <c r="N67" i="12"/>
  <c r="O69" i="12"/>
  <c r="N14" i="12"/>
  <c r="J57" i="12"/>
  <c r="I57" i="12"/>
  <c r="Z57" i="12"/>
  <c r="Y57" i="12"/>
  <c r="BH21" i="12"/>
  <c r="BL21" i="12"/>
  <c r="Z51" i="12"/>
  <c r="Y51" i="12"/>
  <c r="Z65" i="12"/>
  <c r="AD65" i="12"/>
  <c r="J53" i="12"/>
  <c r="I53" i="12"/>
  <c r="J13" i="12"/>
  <c r="I13" i="12"/>
  <c r="J11" i="12"/>
  <c r="I11" i="12"/>
  <c r="Z63" i="12"/>
  <c r="AD63" i="12"/>
  <c r="BM3" i="12"/>
  <c r="M13" i="12"/>
  <c r="AQ20" i="12"/>
  <c r="O29" i="12"/>
  <c r="O41" i="12"/>
  <c r="AE55" i="12"/>
  <c r="N65" i="12"/>
  <c r="N6" i="12"/>
  <c r="BM7" i="12"/>
  <c r="BM8" i="12"/>
  <c r="AR19" i="12"/>
  <c r="M40" i="12"/>
  <c r="AC45" i="12"/>
  <c r="AC53" i="12"/>
  <c r="M60" i="12"/>
  <c r="O65" i="12"/>
  <c r="AW4" i="12"/>
  <c r="AD53" i="12"/>
  <c r="BL25" i="12"/>
  <c r="M36" i="12"/>
  <c r="AC69" i="12"/>
  <c r="N10" i="12"/>
  <c r="M11" i="12"/>
  <c r="BM13" i="12"/>
  <c r="AC14" i="12"/>
  <c r="N16" i="12"/>
  <c r="BK22" i="12"/>
  <c r="BK23" i="12"/>
  <c r="M21" i="12"/>
  <c r="AV21" i="12"/>
  <c r="AE29" i="12"/>
  <c r="J33" i="12"/>
  <c r="AC41" i="12"/>
  <c r="O47" i="12"/>
  <c r="M48" i="12"/>
  <c r="M56" i="12"/>
  <c r="Y61" i="12"/>
  <c r="N3" i="12"/>
  <c r="M15" i="12"/>
  <c r="BK17" i="12"/>
  <c r="BK18" i="12"/>
  <c r="AC19" i="12"/>
  <c r="AW21" i="12"/>
  <c r="J12" i="12"/>
  <c r="N12" i="12"/>
  <c r="BG23" i="12"/>
  <c r="BL23" i="12"/>
  <c r="BH23" i="12"/>
  <c r="I49" i="12"/>
  <c r="N49" i="12"/>
  <c r="J49" i="12"/>
  <c r="J4" i="12"/>
  <c r="I4" i="12"/>
  <c r="N4" i="12"/>
  <c r="Z55" i="12"/>
  <c r="Y55" i="12"/>
  <c r="J9" i="12"/>
  <c r="I9" i="12"/>
  <c r="I15" i="12"/>
  <c r="J15" i="12"/>
  <c r="Z39" i="12"/>
  <c r="Y39" i="12"/>
  <c r="BH15" i="12"/>
  <c r="BL15" i="12"/>
  <c r="N8" i="12"/>
  <c r="O14" i="12"/>
  <c r="O16" i="12"/>
  <c r="BM25" i="12"/>
  <c r="O33" i="12"/>
  <c r="AE37" i="12"/>
  <c r="AE47" i="12"/>
  <c r="N51" i="12"/>
  <c r="O55" i="12"/>
  <c r="J59" i="12"/>
  <c r="O63" i="12"/>
  <c r="N69" i="12"/>
  <c r="AC3" i="12"/>
  <c r="BM10" i="12"/>
  <c r="N11" i="12"/>
  <c r="M12" i="12"/>
  <c r="AV25" i="12"/>
  <c r="Y31" i="12"/>
  <c r="J37" i="12"/>
  <c r="AE39" i="12"/>
  <c r="O45" i="12"/>
  <c r="I51" i="12"/>
  <c r="N53" i="12"/>
  <c r="N61" i="12"/>
  <c r="AD69" i="12"/>
  <c r="BL17" i="12"/>
  <c r="AD59" i="12"/>
  <c r="O61" i="12"/>
  <c r="AD61" i="12"/>
  <c r="I65" i="12"/>
  <c r="Y65" i="12"/>
  <c r="M67" i="12"/>
  <c r="M3" i="12"/>
  <c r="I7" i="12"/>
  <c r="M9" i="12"/>
  <c r="BM14" i="12"/>
  <c r="N15" i="12"/>
  <c r="AW15" i="12"/>
  <c r="M17" i="12"/>
  <c r="AU17" i="12"/>
  <c r="M19" i="12"/>
  <c r="BG19" i="12"/>
  <c r="I20" i="12"/>
  <c r="M23" i="12"/>
  <c r="BG24" i="12"/>
  <c r="J29" i="12"/>
  <c r="AE31" i="12"/>
  <c r="O37" i="12"/>
  <c r="O39" i="12"/>
  <c r="J41" i="12"/>
  <c r="Y49" i="12"/>
  <c r="AE51" i="12"/>
  <c r="M64" i="12"/>
  <c r="N9" i="12"/>
  <c r="BL16" i="12"/>
  <c r="M28" i="12"/>
  <c r="N31" i="12"/>
  <c r="AC33" i="12"/>
  <c r="AE43" i="12"/>
  <c r="M51" i="12"/>
  <c r="I55" i="12"/>
  <c r="N57" i="12"/>
  <c r="AC57" i="12"/>
  <c r="I63" i="12"/>
  <c r="Y63" i="12"/>
  <c r="AD33" i="12"/>
  <c r="N41" i="12"/>
  <c r="J55" i="12"/>
  <c r="O57" i="12"/>
  <c r="AD57" i="12"/>
  <c r="J63" i="12"/>
  <c r="I69" i="12"/>
  <c r="Y69" i="12"/>
  <c r="BL4" i="12"/>
  <c r="AE5" i="12"/>
  <c r="M7" i="12"/>
  <c r="BM12" i="12"/>
  <c r="N13" i="12"/>
  <c r="M14" i="12"/>
  <c r="M16" i="12"/>
  <c r="BM16" i="12"/>
  <c r="BG17" i="12"/>
  <c r="I18" i="12"/>
  <c r="AV19" i="12"/>
  <c r="BK19" i="12"/>
  <c r="BG21" i="12"/>
  <c r="AR22" i="12"/>
  <c r="AV24" i="12"/>
  <c r="BK25" i="12"/>
  <c r="AE35" i="12"/>
  <c r="M68" i="12"/>
  <c r="M4" i="12"/>
  <c r="BM6" i="12"/>
  <c r="N7" i="12"/>
  <c r="BM9" i="12"/>
  <c r="AC12" i="12"/>
  <c r="AW19" i="12"/>
  <c r="BL19" i="12"/>
  <c r="AV22" i="12"/>
  <c r="AW24" i="12"/>
  <c r="AR25" i="12"/>
  <c r="M32" i="12"/>
  <c r="N33" i="12"/>
  <c r="J45" i="12"/>
  <c r="N47" i="12"/>
  <c r="AD47" i="12"/>
  <c r="O49" i="12"/>
  <c r="AD49" i="12"/>
  <c r="M52" i="12"/>
  <c r="I59" i="12"/>
  <c r="Y59" i="12"/>
  <c r="J61" i="12"/>
  <c r="AE63" i="12"/>
  <c r="I70" i="11"/>
  <c r="AC39" i="11"/>
  <c r="M67" i="11"/>
  <c r="AQ16" i="13"/>
  <c r="AR16" i="13"/>
  <c r="AQ17" i="13"/>
  <c r="AV14" i="13"/>
  <c r="AU15" i="13"/>
  <c r="AW14" i="13"/>
  <c r="AV15" i="13"/>
  <c r="AV16" i="13"/>
  <c r="AU17" i="13"/>
  <c r="AV17" i="13"/>
  <c r="AU13" i="13"/>
  <c r="AR13" i="13"/>
  <c r="AQ13" i="13"/>
  <c r="AV13" i="13"/>
  <c r="AW12" i="13"/>
  <c r="AV12" i="13"/>
  <c r="AR12" i="13"/>
  <c r="AQ12" i="13"/>
  <c r="AW10" i="13"/>
  <c r="AV9" i="13"/>
  <c r="AQ11" i="13"/>
  <c r="AU9" i="13"/>
  <c r="AU11" i="13"/>
  <c r="AV11" i="13"/>
  <c r="AU8" i="13"/>
  <c r="AW8" i="13"/>
  <c r="AQ8" i="13"/>
  <c r="AU7" i="13"/>
  <c r="AV7" i="13"/>
  <c r="AR7" i="13"/>
  <c r="AQ7" i="13"/>
  <c r="AW4" i="13"/>
  <c r="BM29" i="13"/>
  <c r="BH25" i="13"/>
  <c r="BG25" i="13"/>
  <c r="BL25" i="13"/>
  <c r="BL29" i="13"/>
  <c r="BH29" i="13"/>
  <c r="BG29" i="13"/>
  <c r="BG28" i="13"/>
  <c r="BH28" i="13"/>
  <c r="BL27" i="13"/>
  <c r="BG27" i="13"/>
  <c r="BH27" i="13"/>
  <c r="BH26" i="13"/>
  <c r="BM28" i="13"/>
  <c r="BL28" i="13"/>
  <c r="BM27" i="13"/>
  <c r="BM25" i="13"/>
  <c r="BL23" i="13"/>
  <c r="BG23" i="13"/>
  <c r="BH23" i="13"/>
  <c r="BK23" i="13"/>
  <c r="BL22" i="13"/>
  <c r="BH22" i="13"/>
  <c r="BM23" i="13"/>
  <c r="BK18" i="13"/>
  <c r="BG21" i="13"/>
  <c r="BH21" i="13"/>
  <c r="BL21" i="13"/>
  <c r="BH20" i="13"/>
  <c r="BM21" i="13"/>
  <c r="BL19" i="13"/>
  <c r="BH19" i="13"/>
  <c r="BG19" i="13"/>
  <c r="BK19" i="13"/>
  <c r="BL18" i="13"/>
  <c r="BH18" i="13"/>
  <c r="BM19" i="13"/>
  <c r="BG17" i="13"/>
  <c r="BH17" i="13"/>
  <c r="BL17" i="13"/>
  <c r="BK17" i="13"/>
  <c r="BH16" i="13"/>
  <c r="BM17" i="13"/>
  <c r="BK13" i="13"/>
  <c r="BL15" i="13"/>
  <c r="BG15" i="13"/>
  <c r="BH15" i="13"/>
  <c r="BM15" i="13"/>
  <c r="BH13" i="13"/>
  <c r="BM13" i="13"/>
  <c r="BG11" i="13"/>
  <c r="BH11" i="13"/>
  <c r="BL11" i="13"/>
  <c r="BK11" i="13"/>
  <c r="BH10" i="13"/>
  <c r="BM11" i="13"/>
  <c r="BL9" i="13"/>
  <c r="BG9" i="13"/>
  <c r="BH9" i="13"/>
  <c r="BK9" i="13"/>
  <c r="BL8" i="13"/>
  <c r="BH8" i="13"/>
  <c r="BM9" i="13"/>
  <c r="BK6" i="13"/>
  <c r="BG7" i="13"/>
  <c r="BH7" i="13"/>
  <c r="BK7" i="13"/>
  <c r="BL6" i="13"/>
  <c r="BH6" i="13"/>
  <c r="BM7" i="13"/>
  <c r="BK3" i="13"/>
  <c r="BK5" i="13"/>
  <c r="BL4" i="13"/>
  <c r="BM5" i="13"/>
  <c r="J101" i="10"/>
  <c r="I101" i="10"/>
  <c r="J45" i="11"/>
  <c r="I45" i="11"/>
  <c r="AC51" i="11"/>
  <c r="AW26" i="11"/>
  <c r="I46" i="11"/>
  <c r="M26" i="11"/>
  <c r="O35" i="11"/>
  <c r="AC8" i="11"/>
  <c r="Z36" i="11"/>
  <c r="O61" i="11"/>
  <c r="AC41" i="11"/>
  <c r="Z68" i="11"/>
  <c r="M14" i="11"/>
  <c r="BK14" i="11"/>
  <c r="AC72" i="11"/>
  <c r="AD28" i="11"/>
  <c r="I62" i="11"/>
  <c r="M5" i="11"/>
  <c r="AC19" i="11"/>
  <c r="N31" i="11"/>
  <c r="AC33" i="11"/>
  <c r="Z44" i="11"/>
  <c r="O69" i="11"/>
  <c r="I74" i="11"/>
  <c r="M75" i="11"/>
  <c r="AD10" i="11"/>
  <c r="Z16" i="11"/>
  <c r="AD44" i="11"/>
  <c r="O11" i="11"/>
  <c r="Z8" i="11"/>
  <c r="AD8" i="11"/>
  <c r="Y8" i="11"/>
  <c r="AR5" i="11"/>
  <c r="AQ5" i="11"/>
  <c r="J37" i="11"/>
  <c r="I37" i="11"/>
  <c r="Z58" i="11"/>
  <c r="Y58" i="11"/>
  <c r="Z38" i="11"/>
  <c r="Y38" i="11"/>
  <c r="Y37" i="11"/>
  <c r="Z37" i="11"/>
  <c r="AE9" i="11"/>
  <c r="AC10" i="11"/>
  <c r="Y12" i="11"/>
  <c r="AQ14" i="11"/>
  <c r="AU16" i="11"/>
  <c r="AE23" i="11"/>
  <c r="AE24" i="11"/>
  <c r="AU3" i="11"/>
  <c r="M4" i="11"/>
  <c r="AV5" i="11"/>
  <c r="AE11" i="11"/>
  <c r="AC12" i="11"/>
  <c r="O29" i="11"/>
  <c r="O31" i="11"/>
  <c r="AD36" i="11"/>
  <c r="AE47" i="11"/>
  <c r="O56" i="11"/>
  <c r="M59" i="11"/>
  <c r="O64" i="11"/>
  <c r="O78" i="11"/>
  <c r="AU6" i="11"/>
  <c r="O9" i="11"/>
  <c r="AD12" i="11"/>
  <c r="AD16" i="11"/>
  <c r="BK17" i="11"/>
  <c r="I20" i="11"/>
  <c r="O24" i="11"/>
  <c r="BK13" i="11"/>
  <c r="AE16" i="11"/>
  <c r="AE17" i="11"/>
  <c r="AW19" i="11"/>
  <c r="AU20" i="11"/>
  <c r="BL25" i="11"/>
  <c r="AD26" i="11"/>
  <c r="BG26" i="11"/>
  <c r="M39" i="11"/>
  <c r="O52" i="11"/>
  <c r="Y55" i="11"/>
  <c r="AC67" i="11"/>
  <c r="AC7" i="11"/>
  <c r="AC37" i="11"/>
  <c r="AC44" i="11"/>
  <c r="M47" i="11"/>
  <c r="Z56" i="11"/>
  <c r="Z64" i="11"/>
  <c r="AC6" i="11"/>
  <c r="Y10" i="11"/>
  <c r="O13" i="11"/>
  <c r="O16" i="11"/>
  <c r="AD21" i="11"/>
  <c r="Z25" i="11"/>
  <c r="I28" i="11"/>
  <c r="AV28" i="11"/>
  <c r="AC31" i="11"/>
  <c r="AD37" i="11"/>
  <c r="M49" i="11"/>
  <c r="AE56" i="11"/>
  <c r="I61" i="11"/>
  <c r="AC64" i="11"/>
  <c r="AE75" i="11"/>
  <c r="BL27" i="11"/>
  <c r="BG27" i="11"/>
  <c r="Z71" i="11"/>
  <c r="Y71" i="11"/>
  <c r="AR19" i="11"/>
  <c r="AQ19" i="11"/>
  <c r="Y22" i="11"/>
  <c r="Z22" i="11"/>
  <c r="AR23" i="11"/>
  <c r="AQ23" i="11"/>
  <c r="Z30" i="11"/>
  <c r="Y30" i="11"/>
  <c r="Y34" i="11"/>
  <c r="Z34" i="11"/>
  <c r="J41" i="11"/>
  <c r="I41" i="11"/>
  <c r="Z67" i="11"/>
  <c r="Y67" i="11"/>
  <c r="Z70" i="11"/>
  <c r="Y70" i="11"/>
  <c r="Y18" i="11"/>
  <c r="Z18" i="11"/>
  <c r="J29" i="11"/>
  <c r="I29" i="11"/>
  <c r="N29" i="11"/>
  <c r="AQ25" i="11"/>
  <c r="AR25" i="11"/>
  <c r="J65" i="11"/>
  <c r="I65" i="11"/>
  <c r="J75" i="11"/>
  <c r="I75" i="11"/>
  <c r="AD7" i="11"/>
  <c r="Y7" i="11"/>
  <c r="Y33" i="11"/>
  <c r="AD33" i="11"/>
  <c r="Y62" i="11"/>
  <c r="Z62" i="11"/>
  <c r="Y69" i="11"/>
  <c r="Z69" i="11"/>
  <c r="J73" i="11"/>
  <c r="I73" i="11"/>
  <c r="BH15" i="11"/>
  <c r="BG15" i="11"/>
  <c r="Y54" i="11"/>
  <c r="Z54" i="11"/>
  <c r="Z59" i="11"/>
  <c r="Y59" i="11"/>
  <c r="Y65" i="11"/>
  <c r="Z65" i="11"/>
  <c r="BG23" i="11"/>
  <c r="BH23" i="11"/>
  <c r="BL23" i="11"/>
  <c r="Y57" i="11"/>
  <c r="Z57" i="11"/>
  <c r="Z75" i="11"/>
  <c r="Y75" i="11"/>
  <c r="Z31" i="11"/>
  <c r="Y31" i="11"/>
  <c r="J67" i="11"/>
  <c r="I67" i="11"/>
  <c r="N71" i="11"/>
  <c r="J71" i="11"/>
  <c r="I71" i="11"/>
  <c r="Y74" i="11"/>
  <c r="Z74" i="11"/>
  <c r="J33" i="11"/>
  <c r="I33" i="11"/>
  <c r="J59" i="11"/>
  <c r="I59" i="11"/>
  <c r="Z20" i="11"/>
  <c r="Y20" i="11"/>
  <c r="AV26" i="11"/>
  <c r="AQ26" i="11"/>
  <c r="Z50" i="11"/>
  <c r="Y50" i="11"/>
  <c r="AD59" i="11"/>
  <c r="Y4" i="11"/>
  <c r="AD9" i="11"/>
  <c r="AD11" i="11"/>
  <c r="AE13" i="11"/>
  <c r="AV19" i="11"/>
  <c r="BM19" i="11"/>
  <c r="N24" i="11"/>
  <c r="AD24" i="11"/>
  <c r="O25" i="11"/>
  <c r="BK27" i="11"/>
  <c r="AU28" i="11"/>
  <c r="AD29" i="11"/>
  <c r="AE36" i="11"/>
  <c r="Z40" i="11"/>
  <c r="O43" i="11"/>
  <c r="AE44" i="11"/>
  <c r="Z48" i="11"/>
  <c r="O51" i="11"/>
  <c r="O55" i="11"/>
  <c r="AE60" i="11"/>
  <c r="O68" i="11"/>
  <c r="J77" i="11"/>
  <c r="AD71" i="11"/>
  <c r="AC3" i="11"/>
  <c r="BK5" i="11"/>
  <c r="Y6" i="11"/>
  <c r="O7" i="11"/>
  <c r="AU8" i="11"/>
  <c r="AU10" i="11"/>
  <c r="AU12" i="11"/>
  <c r="BG13" i="11"/>
  <c r="J16" i="11"/>
  <c r="AC21" i="11"/>
  <c r="AV23" i="11"/>
  <c r="AE26" i="11"/>
  <c r="AC32" i="11"/>
  <c r="M33" i="11"/>
  <c r="AC40" i="11"/>
  <c r="M41" i="11"/>
  <c r="Z45" i="11"/>
  <c r="AC48" i="11"/>
  <c r="I50" i="11"/>
  <c r="I53" i="11"/>
  <c r="I54" i="11"/>
  <c r="O60" i="11"/>
  <c r="Z61" i="11"/>
  <c r="I63" i="11"/>
  <c r="Y63" i="11"/>
  <c r="Y66" i="11"/>
  <c r="AD67" i="11"/>
  <c r="I69" i="11"/>
  <c r="AC71" i="11"/>
  <c r="Z72" i="11"/>
  <c r="N75" i="11"/>
  <c r="M77" i="11"/>
  <c r="N5" i="11"/>
  <c r="AV13" i="11"/>
  <c r="N17" i="11"/>
  <c r="BK21" i="11"/>
  <c r="AW23" i="11"/>
  <c r="AD32" i="11"/>
  <c r="N33" i="11"/>
  <c r="AD40" i="11"/>
  <c r="AD63" i="11"/>
  <c r="M71" i="11"/>
  <c r="AE71" i="11"/>
  <c r="O73" i="11"/>
  <c r="AD22" i="11"/>
  <c r="AD6" i="11"/>
  <c r="O8" i="11"/>
  <c r="Y9" i="11"/>
  <c r="O10" i="11"/>
  <c r="Y11" i="11"/>
  <c r="O12" i="11"/>
  <c r="Y13" i="11"/>
  <c r="BL13" i="11"/>
  <c r="AU14" i="11"/>
  <c r="BL15" i="11"/>
  <c r="BL16" i="11"/>
  <c r="AU17" i="11"/>
  <c r="M18" i="11"/>
  <c r="O19" i="11"/>
  <c r="BH19" i="11"/>
  <c r="AC20" i="11"/>
  <c r="I24" i="11"/>
  <c r="Y24" i="11"/>
  <c r="Y27" i="11"/>
  <c r="I31" i="11"/>
  <c r="I34" i="11"/>
  <c r="AC35" i="11"/>
  <c r="AC43" i="11"/>
  <c r="Z49" i="11"/>
  <c r="AC52" i="11"/>
  <c r="AD55" i="11"/>
  <c r="I57" i="11"/>
  <c r="AC59" i="11"/>
  <c r="Z60" i="11"/>
  <c r="M63" i="11"/>
  <c r="AE63" i="11"/>
  <c r="O65" i="11"/>
  <c r="I66" i="11"/>
  <c r="N67" i="11"/>
  <c r="AC68" i="11"/>
  <c r="O76" i="11"/>
  <c r="J79" i="11"/>
  <c r="N41" i="11"/>
  <c r="O6" i="11"/>
  <c r="AU7" i="11"/>
  <c r="AU9" i="11"/>
  <c r="AU11" i="11"/>
  <c r="AW13" i="11"/>
  <c r="AV14" i="11"/>
  <c r="AU15" i="11"/>
  <c r="BM15" i="11"/>
  <c r="BK16" i="11"/>
  <c r="N20" i="11"/>
  <c r="AD20" i="11"/>
  <c r="AU24" i="11"/>
  <c r="M28" i="11"/>
  <c r="N32" i="11"/>
  <c r="AC36" i="11"/>
  <c r="N45" i="11"/>
  <c r="AE59" i="11"/>
  <c r="N63" i="11"/>
  <c r="N16" i="11"/>
  <c r="AV3" i="11"/>
  <c r="BM4" i="11"/>
  <c r="BL19" i="11"/>
  <c r="O20" i="11"/>
  <c r="AU21" i="11"/>
  <c r="M22" i="11"/>
  <c r="O23" i="11"/>
  <c r="BK25" i="11"/>
  <c r="AC29" i="11"/>
  <c r="Y39" i="11"/>
  <c r="Z41" i="11"/>
  <c r="I49" i="11"/>
  <c r="AC49" i="11"/>
  <c r="AE55" i="11"/>
  <c r="O57" i="11"/>
  <c r="I58" i="11"/>
  <c r="N59" i="11"/>
  <c r="O72" i="11"/>
  <c r="Z73" i="11"/>
  <c r="AD75" i="11"/>
  <c r="I78" i="11"/>
  <c r="AE14" i="11"/>
  <c r="AR6" i="13"/>
  <c r="AQ6" i="13"/>
  <c r="AV6" i="13"/>
  <c r="I4" i="13"/>
  <c r="J4" i="13"/>
  <c r="Y7" i="13"/>
  <c r="Z7" i="13"/>
  <c r="Z40" i="13"/>
  <c r="Y40" i="13"/>
  <c r="Z3" i="13"/>
  <c r="Y3" i="13"/>
  <c r="AD3" i="13"/>
  <c r="Z44" i="13"/>
  <c r="Y44" i="13"/>
  <c r="AD44" i="13"/>
  <c r="J5" i="13"/>
  <c r="I5" i="13"/>
  <c r="Z32" i="13"/>
  <c r="Y32" i="13"/>
  <c r="AD32" i="13"/>
  <c r="AR3" i="13"/>
  <c r="AQ3" i="13"/>
  <c r="Z9" i="13"/>
  <c r="Y9" i="13"/>
  <c r="I11" i="13"/>
  <c r="J11" i="13"/>
  <c r="Z28" i="13"/>
  <c r="Y28" i="13"/>
  <c r="AD28" i="13"/>
  <c r="Z36" i="13"/>
  <c r="Y36" i="13"/>
  <c r="O3" i="13"/>
  <c r="AU3" i="13"/>
  <c r="Y4" i="13"/>
  <c r="M5" i="13"/>
  <c r="AQ5" i="13"/>
  <c r="AE6" i="13"/>
  <c r="AE8" i="13"/>
  <c r="N11" i="13"/>
  <c r="J13" i="13"/>
  <c r="AD13" i="13"/>
  <c r="I16" i="13"/>
  <c r="J29" i="13"/>
  <c r="AD29" i="13"/>
  <c r="J33" i="13"/>
  <c r="Y39" i="13"/>
  <c r="I40" i="13"/>
  <c r="AE42" i="13"/>
  <c r="AD42" i="13"/>
  <c r="N47" i="13"/>
  <c r="M47" i="13"/>
  <c r="AD49" i="13"/>
  <c r="AC40" i="13"/>
  <c r="AE40" i="13"/>
  <c r="AV3" i="13"/>
  <c r="N5" i="13"/>
  <c r="N13" i="13"/>
  <c r="AE13" i="13"/>
  <c r="J16" i="13"/>
  <c r="Z18" i="13"/>
  <c r="Y18" i="13"/>
  <c r="Z20" i="13"/>
  <c r="Y20" i="13"/>
  <c r="Z22" i="13"/>
  <c r="Y22" i="13"/>
  <c r="N29" i="13"/>
  <c r="AE29" i="13"/>
  <c r="N33" i="13"/>
  <c r="Z39" i="13"/>
  <c r="N40" i="13"/>
  <c r="AC44" i="13"/>
  <c r="AE44" i="13"/>
  <c r="AE49" i="13"/>
  <c r="AE19" i="13"/>
  <c r="AD19" i="13"/>
  <c r="AC20" i="13"/>
  <c r="AE20" i="13"/>
  <c r="AC22" i="13"/>
  <c r="AE22" i="13"/>
  <c r="Z24" i="13"/>
  <c r="Y24" i="13"/>
  <c r="N27" i="13"/>
  <c r="M27" i="13"/>
  <c r="N31" i="13"/>
  <c r="M31" i="13"/>
  <c r="Z48" i="13"/>
  <c r="Y48" i="13"/>
  <c r="O52" i="13"/>
  <c r="N52" i="13"/>
  <c r="M52" i="13"/>
  <c r="I3" i="13"/>
  <c r="N4" i="13"/>
  <c r="AC4" i="13"/>
  <c r="AU5" i="13"/>
  <c r="Y6" i="13"/>
  <c r="AD7" i="13"/>
  <c r="Y8" i="13"/>
  <c r="AD9" i="13"/>
  <c r="N14" i="13"/>
  <c r="M14" i="13"/>
  <c r="I18" i="13"/>
  <c r="J19" i="13"/>
  <c r="AC19" i="13"/>
  <c r="I20" i="13"/>
  <c r="AD20" i="13"/>
  <c r="J21" i="13"/>
  <c r="I22" i="13"/>
  <c r="AD22" i="13"/>
  <c r="J23" i="13"/>
  <c r="AE23" i="13"/>
  <c r="AD23" i="13"/>
  <c r="AC24" i="13"/>
  <c r="AE24" i="13"/>
  <c r="Y26" i="13"/>
  <c r="O27" i="13"/>
  <c r="Y30" i="13"/>
  <c r="O31" i="13"/>
  <c r="N35" i="13"/>
  <c r="M35" i="13"/>
  <c r="AE37" i="13"/>
  <c r="J39" i="13"/>
  <c r="J41" i="13"/>
  <c r="Z43" i="13"/>
  <c r="N44" i="13"/>
  <c r="J46" i="13"/>
  <c r="AC48" i="13"/>
  <c r="AE48" i="13"/>
  <c r="I51" i="13"/>
  <c r="I54" i="13"/>
  <c r="N12" i="13"/>
  <c r="M12" i="13"/>
  <c r="AD4" i="13"/>
  <c r="AV5" i="13"/>
  <c r="M10" i="13"/>
  <c r="AC10" i="13"/>
  <c r="O14" i="13"/>
  <c r="N18" i="13"/>
  <c r="N20" i="13"/>
  <c r="N22" i="13"/>
  <c r="AC23" i="13"/>
  <c r="I24" i="13"/>
  <c r="AD24" i="13"/>
  <c r="J26" i="13"/>
  <c r="AE26" i="13"/>
  <c r="AD26" i="13"/>
  <c r="AC28" i="13"/>
  <c r="AE28" i="13"/>
  <c r="AE30" i="13"/>
  <c r="AD30" i="13"/>
  <c r="AC32" i="13"/>
  <c r="AE32" i="13"/>
  <c r="Y34" i="13"/>
  <c r="O35" i="13"/>
  <c r="N39" i="13"/>
  <c r="M39" i="13"/>
  <c r="N41" i="13"/>
  <c r="AD41" i="13"/>
  <c r="N42" i="13"/>
  <c r="Y47" i="13"/>
  <c r="I48" i="13"/>
  <c r="AD48" i="13"/>
  <c r="O51" i="13"/>
  <c r="N51" i="13"/>
  <c r="N54" i="13"/>
  <c r="AE46" i="13"/>
  <c r="AD46" i="13"/>
  <c r="N17" i="13"/>
  <c r="AE34" i="13"/>
  <c r="AD34" i="13"/>
  <c r="AC36" i="13"/>
  <c r="AE36" i="13"/>
  <c r="AE41" i="13"/>
  <c r="J50" i="13"/>
  <c r="M51" i="13"/>
  <c r="I53" i="13"/>
  <c r="AE17" i="13"/>
  <c r="AD17" i="13"/>
  <c r="AC18" i="13"/>
  <c r="AE18" i="13"/>
  <c r="AE21" i="13"/>
  <c r="AD21" i="13"/>
  <c r="Y13" i="13"/>
  <c r="N19" i="13"/>
  <c r="N21" i="13"/>
  <c r="N23" i="13"/>
  <c r="N28" i="13"/>
  <c r="Y29" i="13"/>
  <c r="J34" i="13"/>
  <c r="AC34" i="13"/>
  <c r="I36" i="13"/>
  <c r="AD36" i="13"/>
  <c r="AE38" i="13"/>
  <c r="AD38" i="13"/>
  <c r="N43" i="13"/>
  <c r="M43" i="13"/>
  <c r="N45" i="13"/>
  <c r="AD45" i="13"/>
  <c r="N46" i="13"/>
  <c r="I49" i="13"/>
  <c r="N49" i="13"/>
  <c r="J53" i="13"/>
  <c r="AC12" i="13"/>
  <c r="AC14" i="13"/>
  <c r="M16" i="13"/>
  <c r="AC27" i="13"/>
  <c r="AC31" i="13"/>
  <c r="AC35" i="13"/>
  <c r="M53" i="13"/>
  <c r="AR6" i="12"/>
  <c r="AQ6" i="12"/>
  <c r="BG8" i="12"/>
  <c r="BL8" i="12"/>
  <c r="BH8" i="12"/>
  <c r="BL11" i="12"/>
  <c r="BH11" i="12"/>
  <c r="BG11" i="12"/>
  <c r="J28" i="12"/>
  <c r="I28" i="12"/>
  <c r="N28" i="12"/>
  <c r="AR3" i="12"/>
  <c r="AQ3" i="12"/>
  <c r="Z8" i="12"/>
  <c r="Y8" i="12"/>
  <c r="AD8" i="12"/>
  <c r="Y18" i="12"/>
  <c r="Z18" i="12"/>
  <c r="J40" i="12"/>
  <c r="I40" i="12"/>
  <c r="N40" i="12"/>
  <c r="AR9" i="12"/>
  <c r="AQ9" i="12"/>
  <c r="Z14" i="12"/>
  <c r="Y14" i="12"/>
  <c r="AD14" i="12"/>
  <c r="Y5" i="12"/>
  <c r="AD5" i="12"/>
  <c r="Z5" i="12"/>
  <c r="BH5" i="12"/>
  <c r="BG5" i="12"/>
  <c r="AR10" i="12"/>
  <c r="AQ10" i="12"/>
  <c r="BG12" i="12"/>
  <c r="BL12" i="12"/>
  <c r="BH12" i="12"/>
  <c r="AR13" i="12"/>
  <c r="AQ13" i="12"/>
  <c r="J32" i="12"/>
  <c r="I32" i="12"/>
  <c r="N32" i="12"/>
  <c r="BG3" i="12"/>
  <c r="BL3" i="12"/>
  <c r="BH3" i="12"/>
  <c r="AV4" i="12"/>
  <c r="AR4" i="12"/>
  <c r="AQ4" i="12"/>
  <c r="Z6" i="12"/>
  <c r="Y6" i="12"/>
  <c r="AD6" i="12"/>
  <c r="AR14" i="12"/>
  <c r="AQ14" i="12"/>
  <c r="AR18" i="12"/>
  <c r="AQ18" i="12"/>
  <c r="J44" i="12"/>
  <c r="I44" i="12"/>
  <c r="N44" i="12"/>
  <c r="Z3" i="12"/>
  <c r="Y3" i="12"/>
  <c r="AD3" i="12"/>
  <c r="AR8" i="12"/>
  <c r="AQ8" i="12"/>
  <c r="BG10" i="12"/>
  <c r="BL10" i="12"/>
  <c r="BH10" i="12"/>
  <c r="AR11" i="12"/>
  <c r="AQ11" i="12"/>
  <c r="BL13" i="12"/>
  <c r="BG13" i="12"/>
  <c r="BH13" i="12"/>
  <c r="AR16" i="12"/>
  <c r="AQ16" i="12"/>
  <c r="J21" i="12"/>
  <c r="I21" i="12"/>
  <c r="N21" i="12"/>
  <c r="J25" i="12"/>
  <c r="I25" i="12"/>
  <c r="N25" i="12"/>
  <c r="AR7" i="12"/>
  <c r="AQ7" i="12"/>
  <c r="Z12" i="12"/>
  <c r="Y12" i="12"/>
  <c r="AD12" i="12"/>
  <c r="J52" i="12"/>
  <c r="I52" i="12"/>
  <c r="N52" i="12"/>
  <c r="BL7" i="12"/>
  <c r="BG7" i="12"/>
  <c r="BH7" i="12"/>
  <c r="Z10" i="12"/>
  <c r="Y10" i="12"/>
  <c r="AD10" i="12"/>
  <c r="Y20" i="12"/>
  <c r="Z20" i="12"/>
  <c r="J36" i="12"/>
  <c r="I36" i="12"/>
  <c r="N36" i="12"/>
  <c r="J56" i="12"/>
  <c r="I56" i="12"/>
  <c r="N56" i="12"/>
  <c r="BG6" i="12"/>
  <c r="BL6" i="12"/>
  <c r="BH6" i="12"/>
  <c r="BL9" i="12"/>
  <c r="BG9" i="12"/>
  <c r="BH9" i="12"/>
  <c r="J5" i="12"/>
  <c r="I5" i="12"/>
  <c r="AR12" i="12"/>
  <c r="AQ12" i="12"/>
  <c r="BG14" i="12"/>
  <c r="BL14" i="12"/>
  <c r="BH14" i="12"/>
  <c r="AV15" i="12"/>
  <c r="AQ15" i="12"/>
  <c r="AR15" i="12"/>
  <c r="J64" i="12"/>
  <c r="I64" i="12"/>
  <c r="N64" i="12"/>
  <c r="AE20" i="12"/>
  <c r="AD20" i="12"/>
  <c r="AC20" i="12"/>
  <c r="J23" i="12"/>
  <c r="I23" i="12"/>
  <c r="N23" i="12"/>
  <c r="J30" i="12"/>
  <c r="I30" i="12"/>
  <c r="J46" i="12"/>
  <c r="I46" i="12"/>
  <c r="O54" i="12"/>
  <c r="N54" i="12"/>
  <c r="J66" i="12"/>
  <c r="I66" i="12"/>
  <c r="AU3" i="12"/>
  <c r="Y4" i="12"/>
  <c r="M5" i="12"/>
  <c r="AQ5" i="12"/>
  <c r="AU6" i="12"/>
  <c r="Y7" i="12"/>
  <c r="AU8" i="12"/>
  <c r="Y9" i="12"/>
  <c r="AU10" i="12"/>
  <c r="Y11" i="12"/>
  <c r="AU12" i="12"/>
  <c r="Y13" i="12"/>
  <c r="AU14" i="12"/>
  <c r="Y15" i="12"/>
  <c r="AD16" i="12"/>
  <c r="AR17" i="12"/>
  <c r="AE18" i="12"/>
  <c r="AD18" i="12"/>
  <c r="AC18" i="12"/>
  <c r="Z19" i="12"/>
  <c r="Y19" i="12"/>
  <c r="J22" i="12"/>
  <c r="I22" i="12"/>
  <c r="BG22" i="12"/>
  <c r="AR23" i="12"/>
  <c r="O24" i="12"/>
  <c r="N24" i="12"/>
  <c r="AQ24" i="12"/>
  <c r="Z26" i="12"/>
  <c r="Y29" i="12"/>
  <c r="O30" i="12"/>
  <c r="N30" i="12"/>
  <c r="I31" i="12"/>
  <c r="Z34" i="12"/>
  <c r="Y37" i="12"/>
  <c r="O38" i="12"/>
  <c r="N38" i="12"/>
  <c r="I39" i="12"/>
  <c r="Z42" i="12"/>
  <c r="Y45" i="12"/>
  <c r="O46" i="12"/>
  <c r="N46" i="12"/>
  <c r="I47" i="12"/>
  <c r="Y47" i="12"/>
  <c r="M54" i="12"/>
  <c r="O66" i="12"/>
  <c r="N66" i="12"/>
  <c r="I67" i="12"/>
  <c r="Y67" i="12"/>
  <c r="J70" i="12"/>
  <c r="I70" i="12"/>
  <c r="J24" i="12"/>
  <c r="I24" i="12"/>
  <c r="J38" i="12"/>
  <c r="I38" i="12"/>
  <c r="O50" i="12"/>
  <c r="N50" i="12"/>
  <c r="O58" i="12"/>
  <c r="N58" i="12"/>
  <c r="O62" i="12"/>
  <c r="N62" i="12"/>
  <c r="J68" i="12"/>
  <c r="I68" i="12"/>
  <c r="N68" i="12"/>
  <c r="AV3" i="12"/>
  <c r="N5" i="12"/>
  <c r="AV6" i="12"/>
  <c r="AV8" i="12"/>
  <c r="AV10" i="12"/>
  <c r="AV12" i="12"/>
  <c r="AV14" i="12"/>
  <c r="Z17" i="12"/>
  <c r="Y17" i="12"/>
  <c r="O18" i="12"/>
  <c r="N18" i="12"/>
  <c r="O20" i="12"/>
  <c r="N20" i="12"/>
  <c r="BG20" i="12"/>
  <c r="AR21" i="12"/>
  <c r="O22" i="12"/>
  <c r="N22" i="12"/>
  <c r="M24" i="12"/>
  <c r="BL24" i="12"/>
  <c r="Z25" i="12"/>
  <c r="Y25" i="12"/>
  <c r="AE26" i="12"/>
  <c r="AD26" i="12"/>
  <c r="AC26" i="12"/>
  <c r="M30" i="12"/>
  <c r="AD31" i="12"/>
  <c r="Z32" i="12"/>
  <c r="Y32" i="12"/>
  <c r="AE34" i="12"/>
  <c r="AD34" i="12"/>
  <c r="AC34" i="12"/>
  <c r="M38" i="12"/>
  <c r="AD39" i="12"/>
  <c r="Z40" i="12"/>
  <c r="Y40" i="12"/>
  <c r="AE42" i="12"/>
  <c r="AD42" i="12"/>
  <c r="AC42" i="12"/>
  <c r="M46" i="12"/>
  <c r="J47" i="12"/>
  <c r="AD51" i="12"/>
  <c r="Z52" i="12"/>
  <c r="Y52" i="12"/>
  <c r="AD55" i="12"/>
  <c r="Z56" i="12"/>
  <c r="Y56" i="12"/>
  <c r="Z64" i="12"/>
  <c r="Y64" i="12"/>
  <c r="M66" i="12"/>
  <c r="J67" i="12"/>
  <c r="O70" i="12"/>
  <c r="N70" i="12"/>
  <c r="J19" i="12"/>
  <c r="I19" i="12"/>
  <c r="I3" i="12"/>
  <c r="AC4" i="12"/>
  <c r="BG4" i="12"/>
  <c r="AU5" i="12"/>
  <c r="I6" i="12"/>
  <c r="AC7" i="12"/>
  <c r="I8" i="12"/>
  <c r="AC9" i="12"/>
  <c r="I10" i="12"/>
  <c r="AC11" i="12"/>
  <c r="I12" i="12"/>
  <c r="AC13" i="12"/>
  <c r="I14" i="12"/>
  <c r="AC15" i="12"/>
  <c r="BG15" i="12"/>
  <c r="I16" i="12"/>
  <c r="BG16" i="12"/>
  <c r="I17" i="12"/>
  <c r="AC17" i="12"/>
  <c r="AV17" i="12"/>
  <c r="BG18" i="12"/>
  <c r="BL22" i="12"/>
  <c r="Z23" i="12"/>
  <c r="Y23" i="12"/>
  <c r="J26" i="12"/>
  <c r="I26" i="12"/>
  <c r="Y27" i="12"/>
  <c r="AD29" i="12"/>
  <c r="J34" i="12"/>
  <c r="I34" i="12"/>
  <c r="Y35" i="12"/>
  <c r="AD37" i="12"/>
  <c r="J42" i="12"/>
  <c r="I42" i="12"/>
  <c r="Y43" i="12"/>
  <c r="AD45" i="12"/>
  <c r="AD48" i="12"/>
  <c r="AC48" i="12"/>
  <c r="Z50" i="12"/>
  <c r="Z54" i="12"/>
  <c r="Z58" i="12"/>
  <c r="AD60" i="12"/>
  <c r="AC60" i="12"/>
  <c r="Z62" i="12"/>
  <c r="AD67" i="12"/>
  <c r="Z68" i="12"/>
  <c r="Y68" i="12"/>
  <c r="AD4" i="12"/>
  <c r="AV5" i="12"/>
  <c r="BK5" i="12"/>
  <c r="AD7" i="12"/>
  <c r="AU7" i="12"/>
  <c r="AD9" i="12"/>
  <c r="AU9" i="12"/>
  <c r="AD11" i="12"/>
  <c r="AU11" i="12"/>
  <c r="AD13" i="12"/>
  <c r="AU13" i="12"/>
  <c r="AD15" i="12"/>
  <c r="Y16" i="12"/>
  <c r="BH16" i="12"/>
  <c r="AD17" i="12"/>
  <c r="AV20" i="12"/>
  <c r="BL20" i="12"/>
  <c r="Z21" i="12"/>
  <c r="Y21" i="12"/>
  <c r="AD23" i="12"/>
  <c r="AC23" i="12"/>
  <c r="Z24" i="12"/>
  <c r="BG25" i="12"/>
  <c r="O26" i="12"/>
  <c r="N26" i="12"/>
  <c r="I27" i="12"/>
  <c r="N29" i="12"/>
  <c r="Z30" i="12"/>
  <c r="Y33" i="12"/>
  <c r="O34" i="12"/>
  <c r="N34" i="12"/>
  <c r="I35" i="12"/>
  <c r="N37" i="12"/>
  <c r="Z38" i="12"/>
  <c r="Y41" i="12"/>
  <c r="O42" i="12"/>
  <c r="N42" i="12"/>
  <c r="I43" i="12"/>
  <c r="N45" i="12"/>
  <c r="Z46" i="12"/>
  <c r="AE48" i="12"/>
  <c r="AE50" i="12"/>
  <c r="AD50" i="12"/>
  <c r="AC50" i="12"/>
  <c r="AE54" i="12"/>
  <c r="AD54" i="12"/>
  <c r="AC54" i="12"/>
  <c r="AE58" i="12"/>
  <c r="AD58" i="12"/>
  <c r="AC58" i="12"/>
  <c r="AE60" i="12"/>
  <c r="AE62" i="12"/>
  <c r="AD62" i="12"/>
  <c r="AC62" i="12"/>
  <c r="Z66" i="12"/>
  <c r="AD68" i="12"/>
  <c r="AC68" i="12"/>
  <c r="AD32" i="12"/>
  <c r="AC32" i="12"/>
  <c r="AD40" i="12"/>
  <c r="AC40" i="12"/>
  <c r="AD52" i="12"/>
  <c r="AC52" i="12"/>
  <c r="AD56" i="12"/>
  <c r="AC56" i="12"/>
  <c r="BL5" i="12"/>
  <c r="AV7" i="12"/>
  <c r="AV9" i="12"/>
  <c r="AV11" i="12"/>
  <c r="AV13" i="12"/>
  <c r="N19" i="12"/>
  <c r="AD21" i="12"/>
  <c r="AC21" i="12"/>
  <c r="Z22" i="12"/>
  <c r="AE23" i="12"/>
  <c r="AE24" i="12"/>
  <c r="AD24" i="12"/>
  <c r="AC24" i="12"/>
  <c r="M26" i="12"/>
  <c r="AD27" i="12"/>
  <c r="Z28" i="12"/>
  <c r="Y28" i="12"/>
  <c r="AE30" i="12"/>
  <c r="AD30" i="12"/>
  <c r="AC30" i="12"/>
  <c r="M34" i="12"/>
  <c r="AD35" i="12"/>
  <c r="Z36" i="12"/>
  <c r="Y36" i="12"/>
  <c r="AE38" i="12"/>
  <c r="AD38" i="12"/>
  <c r="AC38" i="12"/>
  <c r="M42" i="12"/>
  <c r="AD43" i="12"/>
  <c r="Z44" i="12"/>
  <c r="Y44" i="12"/>
  <c r="AE46" i="12"/>
  <c r="AD46" i="12"/>
  <c r="AC46" i="12"/>
  <c r="AE66" i="12"/>
  <c r="AD66" i="12"/>
  <c r="AC66" i="12"/>
  <c r="AE68" i="12"/>
  <c r="Z70" i="12"/>
  <c r="AD25" i="12"/>
  <c r="AC25" i="12"/>
  <c r="Z48" i="12"/>
  <c r="Y48" i="12"/>
  <c r="Z60" i="12"/>
  <c r="Y60" i="12"/>
  <c r="AD64" i="12"/>
  <c r="AC64" i="12"/>
  <c r="AV16" i="12"/>
  <c r="AU16" i="12"/>
  <c r="N17" i="12"/>
  <c r="AV18" i="12"/>
  <c r="BL18" i="12"/>
  <c r="AE22" i="12"/>
  <c r="AD22" i="12"/>
  <c r="AC22" i="12"/>
  <c r="N27" i="12"/>
  <c r="AD28" i="12"/>
  <c r="AC28" i="12"/>
  <c r="N35" i="12"/>
  <c r="AD36" i="12"/>
  <c r="AC36" i="12"/>
  <c r="N43" i="12"/>
  <c r="AD44" i="12"/>
  <c r="AC44" i="12"/>
  <c r="J48" i="12"/>
  <c r="I48" i="12"/>
  <c r="N48" i="12"/>
  <c r="J50" i="12"/>
  <c r="I50" i="12"/>
  <c r="J54" i="12"/>
  <c r="I54" i="12"/>
  <c r="J58" i="12"/>
  <c r="I58" i="12"/>
  <c r="J60" i="12"/>
  <c r="I60" i="12"/>
  <c r="N60" i="12"/>
  <c r="J62" i="12"/>
  <c r="I62" i="12"/>
  <c r="AE70" i="12"/>
  <c r="AD70" i="12"/>
  <c r="AC70" i="12"/>
  <c r="AU18" i="12"/>
  <c r="AU20" i="12"/>
  <c r="AU22" i="12"/>
  <c r="AU24" i="12"/>
  <c r="M27" i="12"/>
  <c r="M31" i="12"/>
  <c r="M35" i="12"/>
  <c r="M39" i="12"/>
  <c r="M43" i="12"/>
  <c r="J12" i="11"/>
  <c r="I12" i="11"/>
  <c r="N12" i="11"/>
  <c r="AR4" i="11"/>
  <c r="AQ4" i="11"/>
  <c r="J36" i="11"/>
  <c r="I36" i="11"/>
  <c r="N36" i="11"/>
  <c r="J6" i="11"/>
  <c r="I6" i="11"/>
  <c r="N6" i="11"/>
  <c r="BG12" i="11"/>
  <c r="BH12" i="11"/>
  <c r="BG6" i="11"/>
  <c r="BH6" i="11"/>
  <c r="AR17" i="11"/>
  <c r="AQ17" i="11"/>
  <c r="J19" i="11"/>
  <c r="I19" i="11"/>
  <c r="Z35" i="11"/>
  <c r="Y35" i="11"/>
  <c r="BG3" i="11"/>
  <c r="BH3" i="11"/>
  <c r="BH22" i="11"/>
  <c r="BG22" i="11"/>
  <c r="J4" i="11"/>
  <c r="N4" i="11"/>
  <c r="I4" i="11"/>
  <c r="AR15" i="11"/>
  <c r="AQ15" i="11"/>
  <c r="AV15" i="11"/>
  <c r="AV18" i="11"/>
  <c r="AR18" i="11"/>
  <c r="AQ18" i="11"/>
  <c r="J40" i="11"/>
  <c r="I40" i="11"/>
  <c r="N40" i="11"/>
  <c r="J8" i="11"/>
  <c r="I8" i="11"/>
  <c r="N8" i="11"/>
  <c r="Y5" i="11"/>
  <c r="Z5" i="11"/>
  <c r="J9" i="11"/>
  <c r="N9" i="11"/>
  <c r="I9" i="11"/>
  <c r="N11" i="11"/>
  <c r="I11" i="11"/>
  <c r="J11" i="11"/>
  <c r="J13" i="11"/>
  <c r="N13" i="11"/>
  <c r="I13" i="11"/>
  <c r="AR21" i="11"/>
  <c r="AQ21" i="11"/>
  <c r="J23" i="11"/>
  <c r="I23" i="11"/>
  <c r="I25" i="11"/>
  <c r="J25" i="11"/>
  <c r="N7" i="11"/>
  <c r="J7" i="11"/>
  <c r="I7" i="11"/>
  <c r="BH9" i="11"/>
  <c r="BG9" i="11"/>
  <c r="BH11" i="11"/>
  <c r="BG11" i="11"/>
  <c r="J15" i="11"/>
  <c r="I15" i="11"/>
  <c r="AR22" i="11"/>
  <c r="AQ22" i="11"/>
  <c r="AV22" i="11"/>
  <c r="N35" i="11"/>
  <c r="J35" i="11"/>
  <c r="I35" i="11"/>
  <c r="J10" i="11"/>
  <c r="I10" i="11"/>
  <c r="N10" i="11"/>
  <c r="Z15" i="11"/>
  <c r="Y15" i="11"/>
  <c r="BG21" i="11"/>
  <c r="BH21" i="11"/>
  <c r="Z23" i="11"/>
  <c r="Y23" i="11"/>
  <c r="AD23" i="11"/>
  <c r="BL3" i="11"/>
  <c r="BG8" i="11"/>
  <c r="BH8" i="11"/>
  <c r="BG10" i="11"/>
  <c r="BH10" i="11"/>
  <c r="Z3" i="11"/>
  <c r="Y3" i="11"/>
  <c r="AD3" i="11"/>
  <c r="BH7" i="11"/>
  <c r="BG7" i="11"/>
  <c r="AV4" i="11"/>
  <c r="BL7" i="11"/>
  <c r="BL9" i="11"/>
  <c r="BL11" i="11"/>
  <c r="BG17" i="11"/>
  <c r="BH17" i="11"/>
  <c r="BH18" i="11"/>
  <c r="BG18" i="11"/>
  <c r="Z19" i="11"/>
  <c r="AD19" i="11"/>
  <c r="Y19" i="11"/>
  <c r="BL4" i="11"/>
  <c r="BM7" i="11"/>
  <c r="BM9" i="11"/>
  <c r="BM11" i="11"/>
  <c r="AE22" i="11"/>
  <c r="BL24" i="11"/>
  <c r="M27" i="11"/>
  <c r="N27" i="11"/>
  <c r="O45" i="11"/>
  <c r="M45" i="11"/>
  <c r="J48" i="11"/>
  <c r="I48" i="11"/>
  <c r="O50" i="11"/>
  <c r="N50" i="11"/>
  <c r="M50" i="11"/>
  <c r="Y52" i="11"/>
  <c r="AD52" i="11"/>
  <c r="Z52" i="11"/>
  <c r="N53" i="11"/>
  <c r="M53" i="11"/>
  <c r="O53" i="11"/>
  <c r="AD54" i="11"/>
  <c r="AC54" i="11"/>
  <c r="AE54" i="11"/>
  <c r="J76" i="11"/>
  <c r="I76" i="11"/>
  <c r="N76" i="11"/>
  <c r="I39" i="11"/>
  <c r="N39" i="11"/>
  <c r="I51" i="11"/>
  <c r="J51" i="11"/>
  <c r="O74" i="11"/>
  <c r="N74" i="11"/>
  <c r="M74" i="11"/>
  <c r="J85" i="11"/>
  <c r="I85" i="11"/>
  <c r="BK3" i="11"/>
  <c r="AC5" i="11"/>
  <c r="BG5" i="11"/>
  <c r="AV6" i="11"/>
  <c r="BK6" i="11"/>
  <c r="Z7" i="11"/>
  <c r="AQ7" i="11"/>
  <c r="AV8" i="11"/>
  <c r="BK8" i="11"/>
  <c r="AQ9" i="11"/>
  <c r="AV10" i="11"/>
  <c r="BK10" i="11"/>
  <c r="AQ11" i="11"/>
  <c r="AV12" i="11"/>
  <c r="BK12" i="11"/>
  <c r="AR13" i="11"/>
  <c r="I14" i="11"/>
  <c r="Z14" i="11"/>
  <c r="BG14" i="11"/>
  <c r="AV16" i="11"/>
  <c r="BM16" i="11"/>
  <c r="O17" i="11"/>
  <c r="AD17" i="11"/>
  <c r="AV17" i="11"/>
  <c r="BL17" i="11"/>
  <c r="N18" i="11"/>
  <c r="AC18" i="11"/>
  <c r="BL18" i="11"/>
  <c r="AQ20" i="11"/>
  <c r="BG20" i="11"/>
  <c r="I21" i="11"/>
  <c r="Y21" i="11"/>
  <c r="I22" i="11"/>
  <c r="AV24" i="11"/>
  <c r="BM24" i="11"/>
  <c r="BG25" i="11"/>
  <c r="I26" i="11"/>
  <c r="Y26" i="11"/>
  <c r="AR26" i="11"/>
  <c r="BK26" i="11"/>
  <c r="BL26" i="11"/>
  <c r="AQ27" i="11"/>
  <c r="BH27" i="11"/>
  <c r="N28" i="11"/>
  <c r="AE28" i="11"/>
  <c r="AD31" i="11"/>
  <c r="O32" i="11"/>
  <c r="J39" i="11"/>
  <c r="Z47" i="11"/>
  <c r="Y47" i="11"/>
  <c r="N55" i="11"/>
  <c r="J55" i="11"/>
  <c r="I55" i="11"/>
  <c r="O70" i="11"/>
  <c r="N70" i="11"/>
  <c r="M70" i="11"/>
  <c r="J72" i="11"/>
  <c r="I72" i="11"/>
  <c r="N72" i="11"/>
  <c r="BL6" i="11"/>
  <c r="BL8" i="11"/>
  <c r="BL10" i="11"/>
  <c r="BL12" i="11"/>
  <c r="AD13" i="11"/>
  <c r="AD18" i="11"/>
  <c r="AU18" i="11"/>
  <c r="BK18" i="11"/>
  <c r="N19" i="11"/>
  <c r="J21" i="11"/>
  <c r="Z21" i="11"/>
  <c r="BH25" i="11"/>
  <c r="Z26" i="11"/>
  <c r="BM26" i="11"/>
  <c r="I30" i="11"/>
  <c r="AD30" i="11"/>
  <c r="AC30" i="11"/>
  <c r="M37" i="11"/>
  <c r="Z42" i="11"/>
  <c r="Y42" i="11"/>
  <c r="J44" i="11"/>
  <c r="I44" i="11"/>
  <c r="Y53" i="11"/>
  <c r="Z53" i="11"/>
  <c r="O66" i="11"/>
  <c r="N66" i="11"/>
  <c r="M66" i="11"/>
  <c r="J68" i="11"/>
  <c r="I68" i="11"/>
  <c r="N68" i="11"/>
  <c r="Y84" i="11"/>
  <c r="N85" i="11"/>
  <c r="AD5" i="11"/>
  <c r="I3" i="11"/>
  <c r="BM3" i="11"/>
  <c r="AC4" i="11"/>
  <c r="BG4" i="11"/>
  <c r="AU5" i="11"/>
  <c r="BL20" i="11"/>
  <c r="AV27" i="11"/>
  <c r="AU27" i="11"/>
  <c r="N37" i="11"/>
  <c r="M44" i="11"/>
  <c r="O44" i="11"/>
  <c r="N44" i="11"/>
  <c r="N51" i="11"/>
  <c r="J52" i="11"/>
  <c r="I52" i="11"/>
  <c r="N52" i="11"/>
  <c r="AE53" i="11"/>
  <c r="AD53" i="11"/>
  <c r="AC53" i="11"/>
  <c r="O62" i="11"/>
  <c r="N62" i="11"/>
  <c r="M62" i="11"/>
  <c r="J64" i="11"/>
  <c r="I64" i="11"/>
  <c r="N64" i="11"/>
  <c r="N14" i="11"/>
  <c r="AD14" i="11"/>
  <c r="AD15" i="11"/>
  <c r="AU25" i="11"/>
  <c r="AV25" i="11"/>
  <c r="AW27" i="11"/>
  <c r="AR28" i="11"/>
  <c r="Z29" i="11"/>
  <c r="O30" i="11"/>
  <c r="N30" i="11"/>
  <c r="M30" i="11"/>
  <c r="J47" i="11"/>
  <c r="I47" i="11"/>
  <c r="N47" i="11"/>
  <c r="O58" i="11"/>
  <c r="N58" i="11"/>
  <c r="M58" i="11"/>
  <c r="J60" i="11"/>
  <c r="I60" i="11"/>
  <c r="N60" i="11"/>
  <c r="J84" i="11"/>
  <c r="N84" i="11"/>
  <c r="AQ3" i="11"/>
  <c r="I5" i="11"/>
  <c r="AW5" i="11"/>
  <c r="AQ6" i="11"/>
  <c r="AV7" i="11"/>
  <c r="BK7" i="11"/>
  <c r="AQ8" i="11"/>
  <c r="AV9" i="11"/>
  <c r="BK9" i="11"/>
  <c r="AQ10" i="11"/>
  <c r="AV11" i="11"/>
  <c r="BK11" i="11"/>
  <c r="AQ12" i="11"/>
  <c r="BL14" i="11"/>
  <c r="M15" i="11"/>
  <c r="AC15" i="11"/>
  <c r="AQ16" i="11"/>
  <c r="BG16" i="11"/>
  <c r="I17" i="11"/>
  <c r="Y17" i="11"/>
  <c r="I18" i="11"/>
  <c r="AV20" i="11"/>
  <c r="BM20" i="11"/>
  <c r="O21" i="11"/>
  <c r="AV21" i="11"/>
  <c r="BL21" i="11"/>
  <c r="N22" i="11"/>
  <c r="AC22" i="11"/>
  <c r="BL22" i="11"/>
  <c r="AQ24" i="11"/>
  <c r="BG24" i="11"/>
  <c r="AD25" i="11"/>
  <c r="AE25" i="11"/>
  <c r="AW25" i="11"/>
  <c r="AE27" i="11"/>
  <c r="AD27" i="11"/>
  <c r="AC27" i="11"/>
  <c r="AD35" i="11"/>
  <c r="O36" i="11"/>
  <c r="J38" i="11"/>
  <c r="I38" i="11"/>
  <c r="Z43" i="11"/>
  <c r="Y43" i="11"/>
  <c r="AE45" i="11"/>
  <c r="AC45" i="11"/>
  <c r="J56" i="11"/>
  <c r="I56" i="11"/>
  <c r="N56" i="11"/>
  <c r="I84" i="11"/>
  <c r="AE86" i="11"/>
  <c r="AE82" i="11" s="1"/>
  <c r="AG85" i="11" s="1"/>
  <c r="AG86" i="11" s="1"/>
  <c r="AD86" i="11"/>
  <c r="AC86" i="11"/>
  <c r="AD4" i="11"/>
  <c r="AU4" i="11"/>
  <c r="BL5" i="11"/>
  <c r="N15" i="11"/>
  <c r="AE15" i="11"/>
  <c r="AU22" i="11"/>
  <c r="BK22" i="11"/>
  <c r="N23" i="11"/>
  <c r="N25" i="11"/>
  <c r="AC25" i="11"/>
  <c r="J27" i="11"/>
  <c r="J32" i="11"/>
  <c r="I32" i="11"/>
  <c r="J43" i="11"/>
  <c r="N43" i="11"/>
  <c r="AD45" i="11"/>
  <c r="Z51" i="11"/>
  <c r="Y51" i="11"/>
  <c r="O86" i="11"/>
  <c r="M86" i="11"/>
  <c r="Z28" i="11"/>
  <c r="Y28" i="11"/>
  <c r="O38" i="11"/>
  <c r="N38" i="11"/>
  <c r="J42" i="11"/>
  <c r="AD42" i="11"/>
  <c r="AC42" i="11"/>
  <c r="Z46" i="11"/>
  <c r="AD47" i="11"/>
  <c r="O48" i="11"/>
  <c r="AD56" i="11"/>
  <c r="N57" i="11"/>
  <c r="AD57" i="11"/>
  <c r="AD60" i="11"/>
  <c r="N61" i="11"/>
  <c r="AD61" i="11"/>
  <c r="AD64" i="11"/>
  <c r="N65" i="11"/>
  <c r="AD65" i="11"/>
  <c r="AD68" i="11"/>
  <c r="N69" i="11"/>
  <c r="AD69" i="11"/>
  <c r="AD72" i="11"/>
  <c r="N73" i="11"/>
  <c r="AD73" i="11"/>
  <c r="N77" i="11"/>
  <c r="N78" i="11"/>
  <c r="N79" i="11"/>
  <c r="J87" i="11"/>
  <c r="O42" i="11"/>
  <c r="N42" i="11"/>
  <c r="AD46" i="11"/>
  <c r="AC46" i="11"/>
  <c r="AD51" i="11"/>
  <c r="O46" i="11"/>
  <c r="N46" i="11"/>
  <c r="AD50" i="11"/>
  <c r="AC50" i="11"/>
  <c r="AD41" i="11"/>
  <c r="O54" i="11"/>
  <c r="N54" i="11"/>
  <c r="AD58" i="11"/>
  <c r="AC58" i="11"/>
  <c r="AD62" i="11"/>
  <c r="AC62" i="11"/>
  <c r="AD66" i="11"/>
  <c r="AC66" i="11"/>
  <c r="AD70" i="11"/>
  <c r="AC70" i="11"/>
  <c r="AD74" i="11"/>
  <c r="AC74" i="11"/>
  <c r="AD85" i="11"/>
  <c r="AD34" i="11"/>
  <c r="AC34" i="11"/>
  <c r="AD39" i="11"/>
  <c r="O40" i="11"/>
  <c r="AD48" i="11"/>
  <c r="N49" i="11"/>
  <c r="AD49" i="11"/>
  <c r="AD84" i="11"/>
  <c r="N26" i="11"/>
  <c r="Z32" i="11"/>
  <c r="Z33" i="11"/>
  <c r="O34" i="11"/>
  <c r="N34" i="11"/>
  <c r="AE34" i="11"/>
  <c r="AD38" i="11"/>
  <c r="AC38" i="11"/>
  <c r="AD43" i="11"/>
  <c r="N48" i="11"/>
  <c r="AC57" i="11"/>
  <c r="AC61" i="11"/>
  <c r="AC65" i="11"/>
  <c r="AC69" i="11"/>
  <c r="AC73" i="11"/>
  <c r="M79" i="11"/>
  <c r="O82" i="11"/>
  <c r="I88" i="11"/>
  <c r="Y88" i="11"/>
  <c r="N87" i="11"/>
  <c r="AC87" i="11"/>
  <c r="Y89" i="11"/>
  <c r="AD88" i="11"/>
  <c r="AC89" i="11"/>
  <c r="AD89" i="11"/>
  <c r="AE1" i="13" l="1"/>
  <c r="O1" i="13"/>
  <c r="O1" i="12"/>
  <c r="AW1" i="12"/>
  <c r="BM1" i="12"/>
  <c r="BO4" i="12" s="1"/>
  <c r="BO5" i="12" s="1"/>
  <c r="AE1" i="12"/>
  <c r="AW1" i="13"/>
  <c r="BM1" i="13"/>
  <c r="AW1" i="11"/>
  <c r="O1" i="11"/>
  <c r="AE1" i="11"/>
  <c r="BM1" i="11"/>
  <c r="AG4" i="12" l="1"/>
  <c r="AG15" i="12" s="1"/>
  <c r="AG16" i="12" s="1"/>
  <c r="AG4" i="13"/>
  <c r="AG5" i="13" s="1"/>
  <c r="AG4" i="11"/>
  <c r="AG5" i="11" s="1"/>
  <c r="BO4" i="13"/>
  <c r="BO4" i="11"/>
  <c r="BO5" i="11" s="1"/>
  <c r="AG5" i="12" l="1"/>
  <c r="AG15" i="13"/>
  <c r="AG16" i="13" s="1"/>
  <c r="AG15" i="11"/>
  <c r="AG16" i="11" s="1"/>
  <c r="H91" i="10" l="1"/>
  <c r="F91" i="10"/>
  <c r="D91" i="10"/>
  <c r="H90" i="10"/>
  <c r="F90" i="10"/>
  <c r="D90" i="10"/>
  <c r="H89" i="10"/>
  <c r="F89" i="10"/>
  <c r="D89" i="10"/>
  <c r="H88" i="10"/>
  <c r="F88" i="10"/>
  <c r="D88" i="10"/>
  <c r="H80" i="10"/>
  <c r="F80" i="10"/>
  <c r="D80" i="10"/>
  <c r="H79" i="10"/>
  <c r="F79" i="10"/>
  <c r="D79" i="10"/>
  <c r="H70" i="10"/>
  <c r="F70" i="10"/>
  <c r="D70" i="10"/>
  <c r="H69" i="10"/>
  <c r="F69" i="10"/>
  <c r="D69" i="10"/>
  <c r="U79" i="10"/>
  <c r="U82" i="10" s="1"/>
  <c r="S79" i="10"/>
  <c r="S82" i="10" s="1"/>
  <c r="W78" i="10"/>
  <c r="U78" i="10"/>
  <c r="S78" i="10"/>
  <c r="H59" i="10"/>
  <c r="F59" i="10"/>
  <c r="D59" i="10"/>
  <c r="W69" i="10"/>
  <c r="U69" i="10"/>
  <c r="S69" i="10"/>
  <c r="H58" i="10"/>
  <c r="F58" i="10"/>
  <c r="W68" i="10"/>
  <c r="W72" i="10" s="1"/>
  <c r="U68" i="10"/>
  <c r="U72" i="10" s="1"/>
  <c r="S68" i="10"/>
  <c r="H57" i="10"/>
  <c r="F57" i="10"/>
  <c r="D57" i="10"/>
  <c r="H56" i="10"/>
  <c r="F56" i="10"/>
  <c r="W60" i="10"/>
  <c r="U60" i="10"/>
  <c r="S60" i="10"/>
  <c r="H49" i="10"/>
  <c r="F49" i="10"/>
  <c r="D49" i="10"/>
  <c r="W59" i="10"/>
  <c r="U59" i="10"/>
  <c r="S59" i="10"/>
  <c r="H48" i="10"/>
  <c r="F48" i="10"/>
  <c r="D48" i="10"/>
  <c r="W58" i="10"/>
  <c r="U58" i="10"/>
  <c r="S58" i="10"/>
  <c r="H47" i="10"/>
  <c r="F47" i="10"/>
  <c r="D47" i="10"/>
  <c r="W57" i="10"/>
  <c r="U57" i="10"/>
  <c r="S57" i="10"/>
  <c r="H46" i="10"/>
  <c r="F46" i="10"/>
  <c r="D46" i="10"/>
  <c r="H45" i="10"/>
  <c r="F45" i="10"/>
  <c r="D45" i="10"/>
  <c r="U36" i="10"/>
  <c r="U37" i="10" s="1"/>
  <c r="T36" i="10"/>
  <c r="T37" i="10" s="1"/>
  <c r="S36" i="10"/>
  <c r="S37" i="10" s="1"/>
  <c r="R36" i="10"/>
  <c r="R37" i="10" s="1"/>
  <c r="Q36" i="10"/>
  <c r="Q37" i="10" s="1"/>
  <c r="P36" i="10"/>
  <c r="P37" i="10" s="1"/>
  <c r="O36" i="10"/>
  <c r="O37" i="10" s="1"/>
  <c r="L36" i="10"/>
  <c r="I36" i="10"/>
  <c r="I37" i="10" s="1"/>
  <c r="H36" i="10"/>
  <c r="H37" i="10" s="1"/>
  <c r="G36" i="10"/>
  <c r="G37" i="10" s="1"/>
  <c r="F36" i="10"/>
  <c r="E36" i="10"/>
  <c r="E37" i="10" s="1"/>
  <c r="D36" i="10"/>
  <c r="D37" i="10" s="1"/>
  <c r="C36" i="10"/>
  <c r="C37" i="10" s="1"/>
  <c r="Z35" i="10"/>
  <c r="Y35" i="10"/>
  <c r="W35" i="10"/>
  <c r="V35" i="10"/>
  <c r="Z34" i="10"/>
  <c r="W34" i="10"/>
  <c r="V34" i="10"/>
  <c r="U23" i="10"/>
  <c r="U24" i="10" s="1"/>
  <c r="T23" i="10"/>
  <c r="T24" i="10" s="1"/>
  <c r="S23" i="10"/>
  <c r="S24" i="10" s="1"/>
  <c r="R23" i="10"/>
  <c r="R24" i="10" s="1"/>
  <c r="Q23" i="10"/>
  <c r="Q24" i="10" s="1"/>
  <c r="P23" i="10"/>
  <c r="P24" i="10" s="1"/>
  <c r="O23" i="10"/>
  <c r="O24" i="10" s="1"/>
  <c r="N23" i="10"/>
  <c r="N24" i="10" s="1"/>
  <c r="M23" i="10"/>
  <c r="M24" i="10" s="1"/>
  <c r="L23" i="10"/>
  <c r="K23" i="10"/>
  <c r="K24" i="10" s="1"/>
  <c r="J23" i="10"/>
  <c r="J24" i="10" s="1"/>
  <c r="I23" i="10"/>
  <c r="I24" i="10" s="1"/>
  <c r="H23" i="10"/>
  <c r="H24" i="10" s="1"/>
  <c r="G23" i="10"/>
  <c r="G24" i="10" s="1"/>
  <c r="F23" i="10"/>
  <c r="E23" i="10"/>
  <c r="E24" i="10" s="1"/>
  <c r="D23" i="10"/>
  <c r="D24" i="10" s="1"/>
  <c r="C23" i="10"/>
  <c r="C24" i="10" s="1"/>
  <c r="Z22" i="10"/>
  <c r="Y22" i="10"/>
  <c r="X22" i="10"/>
  <c r="W22" i="10"/>
  <c r="V22" i="10"/>
  <c r="Z21" i="10"/>
  <c r="Y21" i="10"/>
  <c r="X21" i="10"/>
  <c r="W21" i="10"/>
  <c r="V21" i="10"/>
  <c r="Q18" i="10"/>
  <c r="U17" i="10"/>
  <c r="U18" i="10" s="1"/>
  <c r="T17" i="10"/>
  <c r="T18" i="10" s="1"/>
  <c r="S17" i="10"/>
  <c r="S18" i="10" s="1"/>
  <c r="R17" i="10"/>
  <c r="R18" i="10" s="1"/>
  <c r="P17" i="10"/>
  <c r="O17" i="10"/>
  <c r="O18" i="10" s="1"/>
  <c r="N17" i="10"/>
  <c r="N18" i="10" s="1"/>
  <c r="M17" i="10"/>
  <c r="M18" i="10" s="1"/>
  <c r="L17" i="10"/>
  <c r="L18" i="10" s="1"/>
  <c r="K17" i="10"/>
  <c r="K18" i="10" s="1"/>
  <c r="J17" i="10"/>
  <c r="J18" i="10" s="1"/>
  <c r="I17" i="10"/>
  <c r="H17" i="10"/>
  <c r="H18" i="10" s="1"/>
  <c r="G17" i="10"/>
  <c r="G18" i="10" s="1"/>
  <c r="F17" i="10"/>
  <c r="E17" i="10"/>
  <c r="E18" i="10" s="1"/>
  <c r="D17" i="10"/>
  <c r="D18" i="10" s="1"/>
  <c r="C17" i="10"/>
  <c r="C18" i="10" s="1"/>
  <c r="Z16" i="10"/>
  <c r="Y16" i="10"/>
  <c r="X16" i="10"/>
  <c r="W16" i="10"/>
  <c r="V16" i="10"/>
  <c r="Z15" i="10"/>
  <c r="Y15" i="10"/>
  <c r="X15" i="10"/>
  <c r="W15" i="10"/>
  <c r="V15" i="10"/>
  <c r="U11" i="10"/>
  <c r="U12" i="10" s="1"/>
  <c r="T11" i="10"/>
  <c r="T12" i="10" s="1"/>
  <c r="S11" i="10"/>
  <c r="S12" i="10" s="1"/>
  <c r="R11" i="10"/>
  <c r="R12" i="10" s="1"/>
  <c r="Q11" i="10"/>
  <c r="Q12" i="10" s="1"/>
  <c r="P11" i="10"/>
  <c r="P12" i="10" s="1"/>
  <c r="O11" i="10"/>
  <c r="N11" i="10"/>
  <c r="N12" i="10" s="1"/>
  <c r="M11" i="10"/>
  <c r="M12" i="10" s="1"/>
  <c r="L11" i="10"/>
  <c r="L12" i="10" s="1"/>
  <c r="K11" i="10"/>
  <c r="K12" i="10" s="1"/>
  <c r="J11" i="10"/>
  <c r="J12" i="10" s="1"/>
  <c r="I11" i="10"/>
  <c r="I12" i="10" s="1"/>
  <c r="H11" i="10"/>
  <c r="H12" i="10" s="1"/>
  <c r="G11" i="10"/>
  <c r="G12" i="10" s="1"/>
  <c r="F11" i="10"/>
  <c r="F12" i="10" s="1"/>
  <c r="E11" i="10"/>
  <c r="E12" i="10" s="1"/>
  <c r="D11" i="10"/>
  <c r="D12" i="10" s="1"/>
  <c r="C11" i="10"/>
  <c r="Z10" i="10"/>
  <c r="Y10" i="10"/>
  <c r="X10" i="10"/>
  <c r="W10" i="10"/>
  <c r="V10" i="10"/>
  <c r="Z9" i="10"/>
  <c r="Y9" i="10"/>
  <c r="X9" i="10"/>
  <c r="W9" i="10"/>
  <c r="V9" i="10"/>
  <c r="U5" i="10"/>
  <c r="U6" i="10" s="1"/>
  <c r="T5" i="10"/>
  <c r="T6" i="10" s="1"/>
  <c r="S5" i="10"/>
  <c r="S6" i="10" s="1"/>
  <c r="R5" i="10"/>
  <c r="R6" i="10" s="1"/>
  <c r="Q5" i="10"/>
  <c r="Q6" i="10" s="1"/>
  <c r="P5" i="10"/>
  <c r="P6" i="10" s="1"/>
  <c r="O5" i="10"/>
  <c r="O6" i="10" s="1"/>
  <c r="N5" i="10"/>
  <c r="N6" i="10" s="1"/>
  <c r="M5" i="10"/>
  <c r="M6" i="10" s="1"/>
  <c r="L5" i="10"/>
  <c r="L6" i="10" s="1"/>
  <c r="K5" i="10"/>
  <c r="K6" i="10" s="1"/>
  <c r="J5" i="10"/>
  <c r="J6" i="10" s="1"/>
  <c r="I5" i="10"/>
  <c r="H5" i="10"/>
  <c r="H6" i="10" s="1"/>
  <c r="G5" i="10"/>
  <c r="G6" i="10" s="1"/>
  <c r="F5" i="10"/>
  <c r="F6" i="10" s="1"/>
  <c r="E5" i="10"/>
  <c r="E6" i="10" s="1"/>
  <c r="D5" i="10"/>
  <c r="D6" i="10" s="1"/>
  <c r="C5" i="10"/>
  <c r="Z4" i="10"/>
  <c r="Y4" i="10"/>
  <c r="X4" i="10"/>
  <c r="W4" i="10"/>
  <c r="V4" i="10"/>
  <c r="Z3" i="10"/>
  <c r="Y3" i="10"/>
  <c r="X3" i="10"/>
  <c r="W3" i="10"/>
  <c r="V3" i="10"/>
  <c r="S72" i="10" l="1"/>
  <c r="F83" i="10"/>
  <c r="H74" i="10"/>
  <c r="F74" i="10"/>
  <c r="V11" i="10"/>
  <c r="V12" i="10" s="1"/>
  <c r="H51" i="10"/>
  <c r="H63" i="10"/>
  <c r="W62" i="10"/>
  <c r="H93" i="10"/>
  <c r="D63" i="10"/>
  <c r="F63" i="10"/>
  <c r="X5" i="10"/>
  <c r="X6" i="10" s="1"/>
  <c r="S62" i="10"/>
  <c r="D83" i="10"/>
  <c r="F51" i="10"/>
  <c r="U62" i="10"/>
  <c r="D74" i="10"/>
  <c r="H83" i="10"/>
  <c r="F93" i="10"/>
  <c r="D93" i="10"/>
  <c r="D51" i="10"/>
  <c r="Z36" i="10"/>
  <c r="Z37" i="10" s="1"/>
  <c r="W36" i="10"/>
  <c r="W37" i="10" s="1"/>
  <c r="Y23" i="10"/>
  <c r="Y24" i="10" s="1"/>
  <c r="W23" i="10"/>
  <c r="W24" i="10" s="1"/>
  <c r="Z23" i="10"/>
  <c r="Z24" i="10" s="1"/>
  <c r="X17" i="10"/>
  <c r="X18" i="10" s="1"/>
  <c r="W17" i="10"/>
  <c r="W18" i="10" s="1"/>
  <c r="F18" i="10"/>
  <c r="I18" i="10"/>
  <c r="Z17" i="10"/>
  <c r="Z18" i="10" s="1"/>
  <c r="Z11" i="10"/>
  <c r="Z12" i="10" s="1"/>
  <c r="Y5" i="10"/>
  <c r="Y6" i="10" s="1"/>
  <c r="V5" i="10"/>
  <c r="V6" i="10" s="1"/>
  <c r="X34" i="10"/>
  <c r="N36" i="10"/>
  <c r="N37" i="10" s="1"/>
  <c r="K36" i="10"/>
  <c r="K37" i="10" s="1"/>
  <c r="Z5" i="10"/>
  <c r="Z6" i="10" s="1"/>
  <c r="X11" i="10"/>
  <c r="X12" i="10" s="1"/>
  <c r="L24" i="10"/>
  <c r="L37" i="10"/>
  <c r="C6" i="10"/>
  <c r="Y11" i="10"/>
  <c r="Y12" i="10" s="1"/>
  <c r="P18" i="10"/>
  <c r="V23" i="10"/>
  <c r="V24" i="10" s="1"/>
  <c r="F24" i="10"/>
  <c r="V36" i="10"/>
  <c r="V37" i="10" s="1"/>
  <c r="F37" i="10"/>
  <c r="C12" i="10"/>
  <c r="X23" i="10"/>
  <c r="X24" i="10" s="1"/>
  <c r="W11" i="10"/>
  <c r="W12" i="10" s="1"/>
  <c r="O12" i="10"/>
  <c r="V17" i="10"/>
  <c r="V18" i="10" s="1"/>
  <c r="Y17" i="10"/>
  <c r="Y18" i="10" s="1"/>
  <c r="I6" i="10"/>
  <c r="W5" i="10"/>
  <c r="W6" i="10" s="1"/>
  <c r="J83" i="10" l="1"/>
  <c r="I93" i="10"/>
  <c r="J51" i="10"/>
  <c r="J63" i="10"/>
  <c r="I63" i="10"/>
  <c r="J93" i="10"/>
  <c r="J74" i="10"/>
  <c r="I74" i="10"/>
  <c r="I83" i="10"/>
  <c r="I51" i="10"/>
  <c r="Y34" i="10"/>
  <c r="M36" i="10"/>
  <c r="J36" i="10"/>
  <c r="X35" i="10"/>
  <c r="M37" i="10" l="1"/>
  <c r="Y36" i="10"/>
  <c r="Y37" i="10" s="1"/>
  <c r="J37" i="10"/>
  <c r="X36" i="10"/>
  <c r="X37" i="10" s="1"/>
  <c r="AK83" i="4" l="1"/>
  <c r="AI83" i="4"/>
  <c r="AJ83" i="4" s="1"/>
  <c r="AK82" i="4"/>
  <c r="AI82" i="4"/>
  <c r="AJ82" i="4" s="1"/>
  <c r="AK81" i="4"/>
  <c r="AI81" i="4"/>
  <c r="AK80" i="4"/>
  <c r="AI80" i="4"/>
  <c r="AJ80" i="4" s="1"/>
  <c r="AK76" i="4"/>
  <c r="AI76" i="4"/>
  <c r="AK75" i="4"/>
  <c r="AI75" i="4"/>
  <c r="AJ75" i="4" s="1"/>
  <c r="AK74" i="4"/>
  <c r="AI74" i="4"/>
  <c r="AK73" i="4"/>
  <c r="AI73" i="4"/>
  <c r="AK72" i="4"/>
  <c r="AI72" i="4"/>
  <c r="AJ72" i="4" s="1"/>
  <c r="AK71" i="4"/>
  <c r="AI71" i="4"/>
  <c r="AJ71" i="4" s="1"/>
  <c r="AK70" i="4"/>
  <c r="AI70" i="4"/>
  <c r="AK66" i="4"/>
  <c r="AI66" i="4"/>
  <c r="AJ66" i="4" s="1"/>
  <c r="AK65" i="4"/>
  <c r="AI65" i="4"/>
  <c r="AK64" i="4"/>
  <c r="AI64" i="4"/>
  <c r="AJ64" i="4" s="1"/>
  <c r="AK63" i="4"/>
  <c r="AI63" i="4"/>
  <c r="AJ63" i="4" s="1"/>
  <c r="AK62" i="4"/>
  <c r="AI62" i="4"/>
  <c r="AK61" i="4"/>
  <c r="AI61" i="4"/>
  <c r="AJ61" i="4" s="1"/>
  <c r="AK60" i="4"/>
  <c r="AI60" i="4"/>
  <c r="AJ60" i="4" s="1"/>
  <c r="AK59" i="4"/>
  <c r="AI59" i="4"/>
  <c r="AJ59" i="4" s="1"/>
  <c r="AK58" i="4"/>
  <c r="AI58" i="4"/>
  <c r="AK57" i="4"/>
  <c r="AI57" i="4"/>
  <c r="AK56" i="4"/>
  <c r="AI56" i="4"/>
  <c r="AJ56" i="4" s="1"/>
  <c r="AK55" i="4"/>
  <c r="AI55" i="4"/>
  <c r="AJ55" i="4" s="1"/>
  <c r="AK54" i="4"/>
  <c r="AI54" i="4"/>
  <c r="AK53" i="4"/>
  <c r="AI53" i="4"/>
  <c r="AK52" i="4"/>
  <c r="AI52" i="4"/>
  <c r="AJ52" i="4" s="1"/>
  <c r="AK51" i="4"/>
  <c r="AI51" i="4"/>
  <c r="AJ51" i="4" s="1"/>
  <c r="AK50" i="4"/>
  <c r="AI50" i="4"/>
  <c r="AK49" i="4"/>
  <c r="AI49" i="4"/>
  <c r="AK48" i="4"/>
  <c r="AI48" i="4"/>
  <c r="AJ48" i="4" s="1"/>
  <c r="AK47" i="4"/>
  <c r="AI47" i="4"/>
  <c r="AJ47" i="4" s="1"/>
  <c r="AK46" i="4"/>
  <c r="AI46" i="4"/>
  <c r="AK45" i="4"/>
  <c r="AI45" i="4"/>
  <c r="W109" i="3"/>
  <c r="U109" i="3"/>
  <c r="V109" i="3" s="1"/>
  <c r="W108" i="3"/>
  <c r="U108" i="3"/>
  <c r="V108" i="3" s="1"/>
  <c r="W107" i="3"/>
  <c r="V107" i="3" s="1"/>
  <c r="U107" i="3"/>
  <c r="W106" i="3"/>
  <c r="U106" i="3"/>
  <c r="W105" i="3"/>
  <c r="U105" i="3"/>
  <c r="V105" i="3" s="1"/>
  <c r="W104" i="3"/>
  <c r="U104" i="3"/>
  <c r="W100" i="3"/>
  <c r="U100" i="3"/>
  <c r="W99" i="3"/>
  <c r="U99" i="3"/>
  <c r="W98" i="3"/>
  <c r="U98" i="3"/>
  <c r="V98" i="3" s="1"/>
  <c r="W97" i="3"/>
  <c r="U97" i="3"/>
  <c r="W96" i="3"/>
  <c r="U96" i="3"/>
  <c r="W95" i="3"/>
  <c r="U95" i="3"/>
  <c r="W91" i="3"/>
  <c r="U91" i="3"/>
  <c r="W90" i="3"/>
  <c r="U90" i="3"/>
  <c r="W89" i="3"/>
  <c r="U89" i="3"/>
  <c r="W88" i="3"/>
  <c r="U88" i="3"/>
  <c r="W87" i="3"/>
  <c r="U87" i="3"/>
  <c r="W86" i="3"/>
  <c r="U86" i="3"/>
  <c r="V86" i="3" s="1"/>
  <c r="W85" i="3"/>
  <c r="U85" i="3"/>
  <c r="W84" i="3"/>
  <c r="U84" i="3"/>
  <c r="W83" i="3"/>
  <c r="U83" i="3"/>
  <c r="W82" i="3"/>
  <c r="U82" i="3"/>
  <c r="W81" i="3"/>
  <c r="U81" i="3"/>
  <c r="W80" i="3"/>
  <c r="U80" i="3"/>
  <c r="W79" i="3"/>
  <c r="U79" i="3"/>
  <c r="V79" i="3" s="1"/>
  <c r="W78" i="3"/>
  <c r="U78" i="3"/>
  <c r="V78" i="3" s="1"/>
  <c r="W77" i="3"/>
  <c r="U77" i="3"/>
  <c r="W76" i="3"/>
  <c r="U76" i="3"/>
  <c r="W75" i="3"/>
  <c r="U75" i="3"/>
  <c r="W74" i="3"/>
  <c r="U74" i="3"/>
  <c r="W73" i="3"/>
  <c r="U73" i="3"/>
  <c r="W72" i="3"/>
  <c r="U72" i="3"/>
  <c r="W71" i="3"/>
  <c r="U71" i="3"/>
  <c r="V71" i="3" s="1"/>
  <c r="W70" i="3"/>
  <c r="U70" i="3"/>
  <c r="W69" i="3"/>
  <c r="U69" i="3"/>
  <c r="W68" i="3"/>
  <c r="U68" i="3"/>
  <c r="W67" i="3"/>
  <c r="U67" i="3"/>
  <c r="W66" i="3"/>
  <c r="U66" i="3"/>
  <c r="W65" i="3"/>
  <c r="U65" i="3"/>
  <c r="W64" i="3"/>
  <c r="U64" i="3"/>
  <c r="W63" i="3"/>
  <c r="U63" i="3"/>
  <c r="V63" i="3" s="1"/>
  <c r="AA123" i="2"/>
  <c r="Y123" i="2"/>
  <c r="Z123" i="2" s="1"/>
  <c r="AA122" i="2"/>
  <c r="Y122" i="2"/>
  <c r="Z122" i="2" s="1"/>
  <c r="AA121" i="2"/>
  <c r="Y121" i="2"/>
  <c r="Z121" i="2" s="1"/>
  <c r="AA120" i="2"/>
  <c r="Y120" i="2"/>
  <c r="Z120" i="2" s="1"/>
  <c r="AA119" i="2"/>
  <c r="Y119" i="2"/>
  <c r="Z119" i="2" s="1"/>
  <c r="AA118" i="2"/>
  <c r="Z118" i="2"/>
  <c r="Y118" i="2"/>
  <c r="AA117" i="2"/>
  <c r="Y117" i="2"/>
  <c r="AA116" i="2"/>
  <c r="Y116" i="2"/>
  <c r="AA112" i="2"/>
  <c r="Y112" i="2"/>
  <c r="AA111" i="2"/>
  <c r="Y111" i="2"/>
  <c r="AA110" i="2"/>
  <c r="Y110" i="2"/>
  <c r="AA109" i="2"/>
  <c r="Y109" i="2"/>
  <c r="AA108" i="2"/>
  <c r="Y108" i="2"/>
  <c r="AA107" i="2"/>
  <c r="Y107" i="2"/>
  <c r="AA106" i="2"/>
  <c r="Y106" i="2"/>
  <c r="AA105" i="2"/>
  <c r="Y105" i="2"/>
  <c r="Z105" i="2" s="1"/>
  <c r="AA104" i="2"/>
  <c r="Y104" i="2"/>
  <c r="AA103" i="2"/>
  <c r="Y103" i="2"/>
  <c r="AA102" i="2"/>
  <c r="Y102" i="2"/>
  <c r="Z102" i="2" s="1"/>
  <c r="AA98" i="2"/>
  <c r="Y98" i="2"/>
  <c r="AA97" i="2"/>
  <c r="Y97" i="2"/>
  <c r="AA96" i="2"/>
  <c r="Y96" i="2"/>
  <c r="AA95" i="2"/>
  <c r="Y95" i="2"/>
  <c r="Z95" i="2" s="1"/>
  <c r="AA94" i="2"/>
  <c r="Y94" i="2"/>
  <c r="AA93" i="2"/>
  <c r="Y93" i="2"/>
  <c r="AA92" i="2"/>
  <c r="Y92" i="2"/>
  <c r="AA91" i="2"/>
  <c r="Y91" i="2"/>
  <c r="Z91" i="2" s="1"/>
  <c r="AA90" i="2"/>
  <c r="Y90" i="2"/>
  <c r="AA89" i="2"/>
  <c r="Y89" i="2"/>
  <c r="AA88" i="2"/>
  <c r="Y88" i="2"/>
  <c r="AA87" i="2"/>
  <c r="Y87" i="2"/>
  <c r="Z87" i="2" s="1"/>
  <c r="AA86" i="2"/>
  <c r="Y86" i="2"/>
  <c r="Z86" i="2" s="1"/>
  <c r="AA85" i="2"/>
  <c r="Y85" i="2"/>
  <c r="AA84" i="2"/>
  <c r="Y84" i="2"/>
  <c r="AA83" i="2"/>
  <c r="Y83" i="2"/>
  <c r="AA82" i="2"/>
  <c r="Y82" i="2"/>
  <c r="AA81" i="2"/>
  <c r="Y81" i="2"/>
  <c r="AA80" i="2"/>
  <c r="Y80" i="2"/>
  <c r="AA79" i="2"/>
  <c r="Y79" i="2"/>
  <c r="AA78" i="2"/>
  <c r="Y78" i="2"/>
  <c r="Z78" i="2" s="1"/>
  <c r="AA77" i="2"/>
  <c r="Y77" i="2"/>
  <c r="Z77" i="2" s="1"/>
  <c r="AA76" i="2"/>
  <c r="Y76" i="2"/>
  <c r="AA75" i="2"/>
  <c r="Y75" i="2"/>
  <c r="AA74" i="2"/>
  <c r="Y74" i="2"/>
  <c r="AA73" i="2"/>
  <c r="Y73" i="2"/>
  <c r="Z73" i="2" s="1"/>
  <c r="AA72" i="2"/>
  <c r="Y72" i="2"/>
  <c r="AA71" i="2"/>
  <c r="Y71" i="2"/>
  <c r="AA70" i="2"/>
  <c r="Y70" i="2"/>
  <c r="Z70" i="2" s="1"/>
  <c r="AA69" i="2"/>
  <c r="Y69" i="2"/>
  <c r="Z69" i="2" s="1"/>
  <c r="AA68" i="2"/>
  <c r="Y68" i="2"/>
  <c r="Z68" i="2" s="1"/>
  <c r="AA67" i="2"/>
  <c r="Y67" i="2"/>
  <c r="AA66" i="2"/>
  <c r="Y66" i="2"/>
  <c r="AA65" i="2"/>
  <c r="Y65" i="2"/>
  <c r="AA64" i="2"/>
  <c r="Y64" i="2"/>
  <c r="AA63" i="2"/>
  <c r="Y63" i="2"/>
  <c r="Z63" i="2" s="1"/>
  <c r="AA62" i="2"/>
  <c r="Y62" i="2"/>
  <c r="Z85" i="2" l="1"/>
  <c r="Z109" i="2"/>
  <c r="Z67" i="2"/>
  <c r="Z110" i="2"/>
  <c r="Z80" i="2"/>
  <c r="Z62" i="2"/>
  <c r="Z89" i="2"/>
  <c r="Z93" i="2"/>
  <c r="Z97" i="2"/>
  <c r="Z104" i="2"/>
  <c r="Z108" i="2"/>
  <c r="Z112" i="2"/>
  <c r="Z116" i="2"/>
  <c r="Z98" i="2"/>
  <c r="Z117" i="2"/>
  <c r="Z84" i="2"/>
  <c r="Z88" i="2"/>
  <c r="Z92" i="2"/>
  <c r="Z103" i="2"/>
  <c r="Z107" i="2"/>
  <c r="Z111" i="2"/>
  <c r="Z66" i="2"/>
  <c r="Z81" i="2"/>
  <c r="Z106" i="2"/>
  <c r="Z74" i="2"/>
  <c r="Z64" i="2"/>
  <c r="Z71" i="2"/>
  <c r="Z82" i="2"/>
  <c r="Z65" i="2"/>
  <c r="Z72" i="2"/>
  <c r="Z76" i="2"/>
  <c r="Z79" i="2"/>
  <c r="Z83" i="2"/>
  <c r="Z90" i="2"/>
  <c r="Z94" i="2"/>
  <c r="AJ70" i="4"/>
  <c r="AJ74" i="4"/>
  <c r="AJ45" i="4"/>
  <c r="AJ50" i="4"/>
  <c r="AJ54" i="4"/>
  <c r="AJ58" i="4"/>
  <c r="AJ62" i="4"/>
  <c r="V74" i="3"/>
  <c r="V97" i="3"/>
  <c r="V106" i="3"/>
  <c r="V81" i="3"/>
  <c r="V85" i="3"/>
  <c r="V75" i="3"/>
  <c r="V83" i="3"/>
  <c r="V87" i="3"/>
  <c r="V91" i="3"/>
  <c r="V70" i="3"/>
  <c r="V95" i="3"/>
  <c r="V96" i="3"/>
  <c r="V101" i="3"/>
  <c r="V65" i="3"/>
  <c r="V69" i="3"/>
  <c r="V72" i="3"/>
  <c r="V76" i="3"/>
  <c r="V90" i="3"/>
  <c r="V104" i="3"/>
  <c r="V110" i="3" s="1"/>
  <c r="V66" i="3"/>
  <c r="V73" i="3"/>
  <c r="V77" i="3"/>
  <c r="V80" i="3"/>
  <c r="V84" i="3"/>
  <c r="V88" i="3"/>
  <c r="V67" i="3"/>
  <c r="V64" i="3"/>
  <c r="V68" i="3"/>
  <c r="V82" i="3"/>
  <c r="V89" i="3"/>
  <c r="V99" i="3"/>
  <c r="V100" i="3"/>
  <c r="Z96" i="2"/>
  <c r="Z75" i="2"/>
  <c r="AJ84" i="4"/>
  <c r="AJ57" i="4"/>
  <c r="AJ81" i="4"/>
  <c r="AJ65" i="4"/>
  <c r="AJ76" i="4"/>
  <c r="AJ46" i="4"/>
  <c r="AJ49" i="4"/>
  <c r="AJ67" i="4" s="1"/>
  <c r="AJ53" i="4"/>
  <c r="AJ73" i="4"/>
  <c r="AJ77" i="4"/>
  <c r="Z113" i="2"/>
  <c r="Z124" i="2"/>
  <c r="Z9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Colm Nolan</author>
  </authors>
  <commentList>
    <comment ref="B37" authorId="0" shapeId="0" xr:uid="{709E64AB-B4B7-4800-84E3-06A1706EA5C3}">
      <text>
        <r>
          <rPr>
            <b/>
            <sz val="9"/>
            <color indexed="81"/>
            <rFont val="Tahoma"/>
            <charset val="1"/>
          </rPr>
          <t>Colm Nolan: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Colm Nolan</author>
  </authors>
  <commentList>
    <comment ref="C45" authorId="0" shapeId="0" xr:uid="{F3CC3323-248A-4EBC-89A1-34EF20645F3C}">
      <text>
        <r>
          <rPr>
            <b/>
            <sz val="9"/>
            <color indexed="81"/>
            <rFont val="Tahoma"/>
            <charset val="1"/>
          </rPr>
          <t>Colm Nolan:</t>
        </r>
        <r>
          <rPr>
            <sz val="9"/>
            <color indexed="81"/>
            <rFont val="Tahoma"/>
            <charset val="1"/>
          </rPr>
          <t xml:space="preserve">
Previous Figure Wrong</t>
        </r>
      </text>
    </comment>
    <comment ref="A89" authorId="0" shapeId="0" xr:uid="{DA001C23-ABDE-43AF-B5C9-68F07C9E760D}">
      <text>
        <r>
          <rPr>
            <b/>
            <sz val="9"/>
            <color indexed="81"/>
            <rFont val="Tahoma"/>
            <family val="2"/>
          </rPr>
          <t>Colm Nolan:</t>
        </r>
        <r>
          <rPr>
            <sz val="9"/>
            <color indexed="81"/>
            <rFont val="Tahoma"/>
            <family val="2"/>
          </rPr>
          <t xml:space="preserve">
No longer Cutoff
</t>
        </r>
      </text>
    </comment>
    <comment ref="A98" authorId="0" shapeId="0" xr:uid="{C67B640B-A604-4990-9164-38C874D3A44C}">
      <text>
        <r>
          <rPr>
            <b/>
            <sz val="9"/>
            <color indexed="81"/>
            <rFont val="Tahoma"/>
            <family val="2"/>
          </rPr>
          <t>Colm Nolan:</t>
        </r>
        <r>
          <rPr>
            <sz val="9"/>
            <color indexed="81"/>
            <rFont val="Tahoma"/>
            <family val="2"/>
          </rPr>
          <t xml:space="preserve">
Not (007E1001)?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Colm Nolan</author>
  </authors>
  <commentList>
    <comment ref="L94" authorId="0" shapeId="0" xr:uid="{8FF3D167-5D89-4416-B6B3-6C43275902F8}">
      <text>
        <r>
          <rPr>
            <b/>
            <sz val="9"/>
            <color indexed="81"/>
            <rFont val="Tahoma"/>
            <charset val="1"/>
          </rPr>
          <t>Colm Nolan: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Colm Nolan</author>
  </authors>
  <commentList>
    <comment ref="AZ6" authorId="0" shapeId="0" xr:uid="{051C57B4-0672-4640-8194-75A346B051A0}">
      <text>
        <r>
          <rPr>
            <b/>
            <sz val="9"/>
            <color indexed="81"/>
            <rFont val="Tahoma"/>
            <family val="2"/>
          </rPr>
          <t>Colm Nolan:</t>
        </r>
        <r>
          <rPr>
            <sz val="9"/>
            <color indexed="81"/>
            <rFont val="Tahoma"/>
            <family val="2"/>
          </rPr>
          <t xml:space="preserve">
UNI Board
</t>
        </r>
      </text>
    </comment>
    <comment ref="AJ16" authorId="0" shapeId="0" xr:uid="{F929DFD6-DF90-45B6-87C4-BBF44EBB17DC}">
      <text>
        <r>
          <rPr>
            <b/>
            <sz val="9"/>
            <color indexed="81"/>
            <rFont val="Tahoma"/>
            <family val="2"/>
          </rPr>
          <t>Colm Nolan:</t>
        </r>
        <r>
          <rPr>
            <sz val="9"/>
            <color indexed="81"/>
            <rFont val="Tahoma"/>
            <family val="2"/>
          </rPr>
          <t xml:space="preserve">
30Hr Contract Board
</t>
        </r>
      </text>
    </comment>
  </commentList>
</comments>
</file>

<file path=xl/sharedStrings.xml><?xml version="1.0" encoding="utf-8"?>
<sst xmlns="http://schemas.openxmlformats.org/spreadsheetml/2006/main" count="17396" uniqueCount="1310">
  <si>
    <t>Donnybrook Zone 5 (Routes 7/7A &amp; 47)</t>
  </si>
  <si>
    <t> </t>
  </si>
  <si>
    <t>Donnybrook version</t>
  </si>
  <si>
    <t>Final Version</t>
  </si>
  <si>
    <t>Bus 18</t>
  </si>
  <si>
    <t>Bus 8</t>
  </si>
  <si>
    <t>Bus 2</t>
  </si>
  <si>
    <t>Bus 10</t>
  </si>
  <si>
    <t>Bus 3A</t>
  </si>
  <si>
    <t>Bus 14A</t>
  </si>
  <si>
    <t>Bus 5</t>
  </si>
  <si>
    <t>Bus 13</t>
  </si>
  <si>
    <t>Bus 7A</t>
  </si>
  <si>
    <t>Bus 15A</t>
  </si>
  <si>
    <t>Bus 20A</t>
  </si>
  <si>
    <t>Bus 9A</t>
  </si>
  <si>
    <t>Bus 11A</t>
  </si>
  <si>
    <t>Bus 17A</t>
  </si>
  <si>
    <t>Bus 16</t>
  </si>
  <si>
    <t>Bus 19A</t>
  </si>
  <si>
    <t>Bus 1</t>
  </si>
  <si>
    <t>Bus 12</t>
  </si>
  <si>
    <t>Bus 4</t>
  </si>
  <si>
    <t>Bus 6</t>
  </si>
  <si>
    <t>Bus No</t>
  </si>
  <si>
    <t>121-7:15g</t>
  </si>
  <si>
    <t>109-6:00g</t>
  </si>
  <si>
    <t>102-5:08g</t>
  </si>
  <si>
    <t>111-6:15g</t>
  </si>
  <si>
    <t>103-5:20g</t>
  </si>
  <si>
    <t>116-6:45g</t>
  </si>
  <si>
    <t>105-5:35g</t>
  </si>
  <si>
    <t>115-6:40g</t>
  </si>
  <si>
    <t>107-5:50g</t>
  </si>
  <si>
    <t>118-6:50g</t>
  </si>
  <si>
    <t>153-7:30g</t>
  </si>
  <si>
    <t>110-6:05g</t>
  </si>
  <si>
    <t>113-6:30g</t>
  </si>
  <si>
    <t>120-7:05</t>
  </si>
  <si>
    <t>119-7:05g</t>
  </si>
  <si>
    <t>151-7:20g</t>
  </si>
  <si>
    <t>101-4:50g</t>
  </si>
  <si>
    <t>114-6:40g</t>
  </si>
  <si>
    <t>104-5:30g</t>
  </si>
  <si>
    <t>106-5:45g</t>
  </si>
  <si>
    <t>Garage</t>
  </si>
  <si>
    <t>05:20E</t>
  </si>
  <si>
    <t>Dalkey</t>
  </si>
  <si>
    <t>Loughlinstown</t>
  </si>
  <si>
    <t>06:00A</t>
  </si>
  <si>
    <t>Brides Glen</t>
  </si>
  <si>
    <t>Mountjoy Sq</t>
  </si>
  <si>
    <t>05:45A</t>
  </si>
  <si>
    <t>06:15A</t>
  </si>
  <si>
    <t>06:45A</t>
  </si>
  <si>
    <t>07:20A</t>
  </si>
  <si>
    <t>06:30A</t>
  </si>
  <si>
    <t>07:00A</t>
  </si>
  <si>
    <t>07:30A</t>
  </si>
  <si>
    <t>08:00A</t>
  </si>
  <si>
    <t>08:30A</t>
  </si>
  <si>
    <t>09:00A</t>
  </si>
  <si>
    <t>Shankill</t>
  </si>
  <si>
    <t>06:50 (7b)</t>
  </si>
  <si>
    <t>07:15 (7b)</t>
  </si>
  <si>
    <t>07:30 (7b)</t>
  </si>
  <si>
    <t>08:10 (7b)</t>
  </si>
  <si>
    <t>07:45 (7b)</t>
  </si>
  <si>
    <t>07:15D</t>
  </si>
  <si>
    <t>BUS 14B</t>
  </si>
  <si>
    <t>07:45A</t>
  </si>
  <si>
    <r>
      <rPr>
        <b/>
        <sz val="12"/>
        <rFont val="Aptos Narrow"/>
        <family val="2"/>
      </rPr>
      <t>154</t>
    </r>
    <r>
      <rPr>
        <b/>
        <sz val="12"/>
        <color rgb="FF0070C0"/>
        <rFont val="Aptos Narrow"/>
        <family val="2"/>
      </rPr>
      <t>-8:15A</t>
    </r>
  </si>
  <si>
    <r>
      <rPr>
        <b/>
        <sz val="12"/>
        <rFont val="Aptos Narrow"/>
        <family val="2"/>
      </rPr>
      <t>155</t>
    </r>
    <r>
      <rPr>
        <b/>
        <sz val="12"/>
        <color rgb="FF0070C0"/>
        <rFont val="Aptos Narrow"/>
        <family val="2"/>
      </rPr>
      <t>-8:30</t>
    </r>
  </si>
  <si>
    <r>
      <rPr>
        <b/>
        <sz val="12"/>
        <rFont val="Aptos Narrow"/>
        <family val="2"/>
      </rPr>
      <t>156</t>
    </r>
    <r>
      <rPr>
        <b/>
        <sz val="12"/>
        <color rgb="FF0070C0"/>
        <rFont val="Aptos Narrow"/>
        <family val="2"/>
      </rPr>
      <t>-8:45A</t>
    </r>
  </si>
  <si>
    <t>09:00x</t>
  </si>
  <si>
    <r>
      <rPr>
        <b/>
        <sz val="12"/>
        <rFont val="Aptos Narrow"/>
        <family val="2"/>
      </rPr>
      <t>157</t>
    </r>
    <r>
      <rPr>
        <b/>
        <sz val="12"/>
        <color rgb="FF0070C0"/>
        <rFont val="Aptos Narrow"/>
        <family val="2"/>
      </rPr>
      <t>-9:00</t>
    </r>
  </si>
  <si>
    <r>
      <rPr>
        <b/>
        <sz val="12"/>
        <rFont val="Aptos Narrow"/>
        <family val="2"/>
      </rPr>
      <t>158</t>
    </r>
    <r>
      <rPr>
        <b/>
        <sz val="12"/>
        <color rgb="FF0070C0"/>
        <rFont val="Aptos Narrow"/>
        <family val="2"/>
      </rPr>
      <t>-9:15A</t>
    </r>
  </si>
  <si>
    <t>09:20x</t>
  </si>
  <si>
    <t>10:02X</t>
  </si>
  <si>
    <t>10:05X</t>
  </si>
  <si>
    <t>10:15X</t>
  </si>
  <si>
    <r>
      <rPr>
        <b/>
        <sz val="12"/>
        <rFont val="Aptos Narrow"/>
        <family val="2"/>
      </rPr>
      <t>111</t>
    </r>
    <r>
      <rPr>
        <b/>
        <sz val="12"/>
        <color rgb="FF0070C0"/>
        <rFont val="Aptos Narrow"/>
        <family val="2"/>
      </rPr>
      <t>-9:30</t>
    </r>
  </si>
  <si>
    <t>BUS 7B</t>
  </si>
  <si>
    <r>
      <rPr>
        <b/>
        <sz val="12"/>
        <rFont val="Aptos Narrow"/>
        <family val="2"/>
      </rPr>
      <t>159</t>
    </r>
    <r>
      <rPr>
        <b/>
        <sz val="12"/>
        <color rgb="FF0070C0"/>
        <rFont val="Aptos Narrow"/>
        <family val="2"/>
      </rPr>
      <t>-9:45A</t>
    </r>
  </si>
  <si>
    <r>
      <rPr>
        <b/>
        <sz val="12"/>
        <rFont val="Aptos Narrow"/>
        <family val="2"/>
      </rPr>
      <t>103</t>
    </r>
    <r>
      <rPr>
        <b/>
        <sz val="12"/>
        <color rgb="FF0070C0"/>
        <rFont val="Aptos Narrow"/>
        <family val="2"/>
      </rPr>
      <t>-10:00</t>
    </r>
  </si>
  <si>
    <r>
      <rPr>
        <b/>
        <sz val="12"/>
        <rFont val="Aptos Narrow"/>
        <family val="2"/>
      </rPr>
      <t>117</t>
    </r>
    <r>
      <rPr>
        <b/>
        <sz val="12"/>
        <color rgb="FF0070C0"/>
        <rFont val="Aptos Narrow"/>
        <family val="2"/>
      </rPr>
      <t>-10:15A</t>
    </r>
  </si>
  <si>
    <r>
      <rPr>
        <b/>
        <sz val="12"/>
        <rFont val="Aptos Narrow"/>
        <family val="2"/>
      </rPr>
      <t>115</t>
    </r>
    <r>
      <rPr>
        <b/>
        <sz val="12"/>
        <color rgb="FF0070C0"/>
        <rFont val="Aptos Narrow"/>
        <family val="2"/>
      </rPr>
      <t>-10:30</t>
    </r>
  </si>
  <si>
    <r>
      <rPr>
        <b/>
        <sz val="12"/>
        <rFont val="Aptos Narrow"/>
        <family val="2"/>
      </rPr>
      <t>120</t>
    </r>
    <r>
      <rPr>
        <b/>
        <sz val="12"/>
        <color rgb="FF0070C0"/>
        <rFont val="Aptos Narrow"/>
        <family val="2"/>
      </rPr>
      <t>-10:45A</t>
    </r>
  </si>
  <si>
    <r>
      <rPr>
        <b/>
        <sz val="12"/>
        <rFont val="Aptos Narrow"/>
        <family val="2"/>
      </rPr>
      <t>119</t>
    </r>
    <r>
      <rPr>
        <b/>
        <sz val="12"/>
        <color rgb="FF0070C0"/>
        <rFont val="Aptos Narrow"/>
        <family val="2"/>
      </rPr>
      <t>-11:00</t>
    </r>
  </si>
  <si>
    <t>09:30A</t>
  </si>
  <si>
    <t>10:00A</t>
  </si>
  <si>
    <t>BUS 15B</t>
  </si>
  <si>
    <t>10:30A</t>
  </si>
  <si>
    <t>09:30g</t>
  </si>
  <si>
    <t>11:00A</t>
  </si>
  <si>
    <t>09:50g</t>
  </si>
  <si>
    <t>10:32g</t>
  </si>
  <si>
    <t>10:35g</t>
  </si>
  <si>
    <t>10:45g</t>
  </si>
  <si>
    <t>11:30A</t>
  </si>
  <si>
    <t>161-11:10g</t>
  </si>
  <si>
    <t>12:00A</t>
  </si>
  <si>
    <t>12:30A</t>
  </si>
  <si>
    <t>124-12:25g</t>
  </si>
  <si>
    <t>11:35X</t>
  </si>
  <si>
    <r>
      <rPr>
        <b/>
        <sz val="12"/>
        <rFont val="Aptos Narrow"/>
        <family val="2"/>
      </rPr>
      <t>116</t>
    </r>
    <r>
      <rPr>
        <b/>
        <sz val="12"/>
        <color rgb="FF0070C0"/>
        <rFont val="Aptos Narrow"/>
        <family val="2"/>
      </rPr>
      <t>-11:15A</t>
    </r>
  </si>
  <si>
    <r>
      <rPr>
        <b/>
        <sz val="12"/>
        <rFont val="Aptos Narrow"/>
        <family val="2"/>
      </rPr>
      <t>118</t>
    </r>
    <r>
      <rPr>
        <b/>
        <sz val="12"/>
        <color rgb="FF0070C0"/>
        <rFont val="Aptos Narrow"/>
        <family val="2"/>
      </rPr>
      <t>-11:30</t>
    </r>
  </si>
  <si>
    <r>
      <rPr>
        <b/>
        <sz val="12"/>
        <rFont val="Aptos Narrow"/>
        <family val="2"/>
      </rPr>
      <t>151</t>
    </r>
    <r>
      <rPr>
        <b/>
        <sz val="12"/>
        <color rgb="FF0070C0"/>
        <rFont val="Aptos Narrow"/>
        <family val="2"/>
      </rPr>
      <t>-11:45A</t>
    </r>
  </si>
  <si>
    <r>
      <rPr>
        <b/>
        <sz val="12"/>
        <rFont val="Aptos Narrow"/>
        <family val="2"/>
      </rPr>
      <t>152</t>
    </r>
    <r>
      <rPr>
        <b/>
        <sz val="12"/>
        <color rgb="FF0070C0"/>
        <rFont val="Aptos Narrow"/>
        <family val="2"/>
      </rPr>
      <t>-12:00</t>
    </r>
  </si>
  <si>
    <t>129-13:25g</t>
  </si>
  <si>
    <r>
      <rPr>
        <b/>
        <sz val="12"/>
        <rFont val="Aptos Narrow"/>
        <family val="2"/>
      </rPr>
      <t>112</t>
    </r>
    <r>
      <rPr>
        <b/>
        <sz val="12"/>
        <color rgb="FF0070C0"/>
        <rFont val="Aptos Narrow"/>
        <family val="2"/>
      </rPr>
      <t>-12:15A</t>
    </r>
  </si>
  <si>
    <r>
      <rPr>
        <b/>
        <sz val="12"/>
        <rFont val="Aptos Narrow"/>
        <family val="2"/>
      </rPr>
      <t>122</t>
    </r>
    <r>
      <rPr>
        <b/>
        <sz val="12"/>
        <color rgb="FF0070C0"/>
        <rFont val="Aptos Narrow"/>
        <family val="2"/>
      </rPr>
      <t>-12:30</t>
    </r>
  </si>
  <si>
    <r>
      <rPr>
        <b/>
        <sz val="12"/>
        <rFont val="Aptos Narrow"/>
        <family val="2"/>
      </rPr>
      <t>123</t>
    </r>
    <r>
      <rPr>
        <b/>
        <sz val="12"/>
        <color rgb="FF0070C0"/>
        <rFont val="Aptos Narrow"/>
        <family val="2"/>
      </rPr>
      <t>-12:45A</t>
    </r>
  </si>
  <si>
    <t>BUS 20B</t>
  </si>
  <si>
    <t>BUS 9B</t>
  </si>
  <si>
    <t>BUS 11B</t>
  </si>
  <si>
    <t>BUS 17B</t>
  </si>
  <si>
    <t>BUS 19B</t>
  </si>
  <si>
    <t>12:50x</t>
  </si>
  <si>
    <r>
      <rPr>
        <b/>
        <sz val="12"/>
        <rFont val="Aptos Narrow"/>
        <family val="2"/>
      </rPr>
      <t>125</t>
    </r>
    <r>
      <rPr>
        <b/>
        <sz val="12"/>
        <color rgb="FF0070C0"/>
        <rFont val="Aptos Narrow"/>
        <family val="2"/>
      </rPr>
      <t>-13:15A</t>
    </r>
  </si>
  <si>
    <t>12:05g</t>
  </si>
  <si>
    <r>
      <rPr>
        <b/>
        <sz val="12"/>
        <rFont val="Aptos Narrow"/>
        <family val="2"/>
      </rPr>
      <t>126</t>
    </r>
    <r>
      <rPr>
        <b/>
        <sz val="12"/>
        <color rgb="FF0070C0"/>
        <rFont val="Aptos Narrow"/>
        <family val="2"/>
      </rPr>
      <t>-13:30</t>
    </r>
  </si>
  <si>
    <r>
      <rPr>
        <b/>
        <sz val="12"/>
        <rFont val="Aptos Narrow"/>
        <family val="2"/>
      </rPr>
      <t>156</t>
    </r>
    <r>
      <rPr>
        <b/>
        <sz val="12"/>
        <color rgb="FF0070C0"/>
        <rFont val="Aptos Narrow"/>
        <family val="2"/>
      </rPr>
      <t>-13:45A</t>
    </r>
  </si>
  <si>
    <r>
      <rPr>
        <b/>
        <sz val="12"/>
        <rFont val="Aptos Narrow"/>
        <family val="2"/>
      </rPr>
      <t>128</t>
    </r>
    <r>
      <rPr>
        <b/>
        <sz val="12"/>
        <color rgb="FF0070C0"/>
        <rFont val="Aptos Narrow"/>
        <family val="2"/>
      </rPr>
      <t>-14:00</t>
    </r>
  </si>
  <si>
    <r>
      <rPr>
        <b/>
        <sz val="12"/>
        <rFont val="Aptos Narrow"/>
        <family val="2"/>
      </rPr>
      <t>130</t>
    </r>
    <r>
      <rPr>
        <b/>
        <sz val="12"/>
        <color rgb="FF0070C0"/>
        <rFont val="Aptos Narrow"/>
        <family val="2"/>
      </rPr>
      <t>-14:15A</t>
    </r>
  </si>
  <si>
    <r>
      <rPr>
        <b/>
        <sz val="12"/>
        <rFont val="Aptos Narrow"/>
        <family val="2"/>
      </rPr>
      <t>154</t>
    </r>
    <r>
      <rPr>
        <b/>
        <sz val="12"/>
        <color rgb="FF0070C0"/>
        <rFont val="Aptos Narrow"/>
        <family val="2"/>
      </rPr>
      <t>-14:30</t>
    </r>
  </si>
  <si>
    <t>13:00A</t>
  </si>
  <si>
    <t>13:30A</t>
  </si>
  <si>
    <t>14:00A</t>
  </si>
  <si>
    <t>13:55X</t>
  </si>
  <si>
    <t>14:30A</t>
  </si>
  <si>
    <t>13:20g</t>
  </si>
  <si>
    <t>15:00A</t>
  </si>
  <si>
    <t>15:30A</t>
  </si>
  <si>
    <t>16:00A</t>
  </si>
  <si>
    <t>14:25g</t>
  </si>
  <si>
    <t>153-16:25g</t>
  </si>
  <si>
    <t>141-16:35g</t>
  </si>
  <si>
    <t>158-16:45g</t>
  </si>
  <si>
    <t>143-16:50g</t>
  </si>
  <si>
    <t>161-16:55g</t>
  </si>
  <si>
    <r>
      <rPr>
        <b/>
        <sz val="12"/>
        <rFont val="Aptos Narrow"/>
        <family val="2"/>
      </rPr>
      <t>131-</t>
    </r>
    <r>
      <rPr>
        <b/>
        <sz val="12"/>
        <color rgb="FF0070C0"/>
        <rFont val="Aptos Narrow"/>
        <family val="2"/>
      </rPr>
      <t>14:45A</t>
    </r>
  </si>
  <si>
    <r>
      <rPr>
        <b/>
        <sz val="12"/>
        <rFont val="Aptos Narrow"/>
        <family val="2"/>
      </rPr>
      <t>155</t>
    </r>
    <r>
      <rPr>
        <b/>
        <sz val="12"/>
        <color rgb="FF0070C0"/>
        <rFont val="Aptos Narrow"/>
        <family val="2"/>
      </rPr>
      <t>-15:00</t>
    </r>
  </si>
  <si>
    <r>
      <rPr>
        <b/>
        <sz val="12"/>
        <rFont val="Aptos Narrow"/>
        <family val="2"/>
      </rPr>
      <t>159</t>
    </r>
    <r>
      <rPr>
        <b/>
        <sz val="12"/>
        <color rgb="FF0070C0"/>
        <rFont val="Aptos Narrow"/>
        <family val="2"/>
      </rPr>
      <t>-15:15A</t>
    </r>
  </si>
  <si>
    <r>
      <rPr>
        <b/>
        <sz val="12"/>
        <rFont val="Aptos Narrow"/>
        <family val="2"/>
      </rPr>
      <t>134</t>
    </r>
    <r>
      <rPr>
        <b/>
        <sz val="12"/>
        <color rgb="FF0070C0"/>
        <rFont val="Aptos Narrow"/>
        <family val="2"/>
      </rPr>
      <t>-15:30</t>
    </r>
  </si>
  <si>
    <r>
      <rPr>
        <b/>
        <sz val="12"/>
        <rFont val="Aptos Narrow"/>
        <family val="2"/>
      </rPr>
      <t>157</t>
    </r>
    <r>
      <rPr>
        <b/>
        <sz val="12"/>
        <color rgb="FF0070C0"/>
        <rFont val="Aptos Narrow"/>
        <family val="2"/>
      </rPr>
      <t>-15:45A</t>
    </r>
  </si>
  <si>
    <r>
      <rPr>
        <b/>
        <sz val="12"/>
        <rFont val="Aptos Narrow"/>
        <family val="2"/>
      </rPr>
      <t>136</t>
    </r>
    <r>
      <rPr>
        <b/>
        <sz val="12"/>
        <color rgb="FF0070C0"/>
        <rFont val="Aptos Narrow"/>
        <family val="2"/>
      </rPr>
      <t>-16:00</t>
    </r>
  </si>
  <si>
    <r>
      <rPr>
        <b/>
        <sz val="12"/>
        <rFont val="Aptos Narrow"/>
        <family val="2"/>
      </rPr>
      <t>138</t>
    </r>
    <r>
      <rPr>
        <b/>
        <sz val="12"/>
        <color rgb="FF0070C0"/>
        <rFont val="Aptos Narrow"/>
        <family val="2"/>
      </rPr>
      <t>-16:15A</t>
    </r>
  </si>
  <si>
    <t>17:10 (7b)</t>
  </si>
  <si>
    <t>17:20 (7b)</t>
  </si>
  <si>
    <t>17:30 (7b)</t>
  </si>
  <si>
    <t>17:35D</t>
  </si>
  <si>
    <t>17:40 (7b)</t>
  </si>
  <si>
    <r>
      <rPr>
        <b/>
        <sz val="12"/>
        <rFont val="Aptos Narrow"/>
        <family val="2"/>
      </rPr>
      <t>139</t>
    </r>
    <r>
      <rPr>
        <b/>
        <sz val="12"/>
        <color rgb="FF0070C0"/>
        <rFont val="Aptos Narrow"/>
        <family val="2"/>
      </rPr>
      <t>-16:30</t>
    </r>
  </si>
  <si>
    <r>
      <rPr>
        <b/>
        <sz val="12"/>
        <rFont val="Aptos Narrow"/>
        <family val="2"/>
      </rPr>
      <t>129</t>
    </r>
    <r>
      <rPr>
        <b/>
        <sz val="12"/>
        <color rgb="FF0070C0"/>
        <rFont val="Aptos Narrow"/>
        <family val="2"/>
      </rPr>
      <t>-16:45A</t>
    </r>
  </si>
  <si>
    <r>
      <rPr>
        <b/>
        <sz val="12"/>
        <rFont val="Aptos Narrow"/>
        <family val="2"/>
      </rPr>
      <t>122</t>
    </r>
    <r>
      <rPr>
        <b/>
        <sz val="12"/>
        <color rgb="FF0070C0"/>
        <rFont val="Aptos Narrow"/>
        <family val="2"/>
      </rPr>
      <t>-17:00</t>
    </r>
  </si>
  <si>
    <r>
      <rPr>
        <b/>
        <sz val="12"/>
        <rFont val="Aptos Narrow"/>
        <family val="2"/>
      </rPr>
      <t>142</t>
    </r>
    <r>
      <rPr>
        <b/>
        <sz val="12"/>
        <color rgb="FF0070C0"/>
        <rFont val="Aptos Narrow"/>
        <family val="2"/>
      </rPr>
      <t>-17:15A</t>
    </r>
  </si>
  <si>
    <r>
      <rPr>
        <b/>
        <sz val="12"/>
        <rFont val="Aptos Narrow"/>
        <family val="2"/>
      </rPr>
      <t>127</t>
    </r>
    <r>
      <rPr>
        <b/>
        <sz val="12"/>
        <color rgb="FF0070C0"/>
        <rFont val="Aptos Narrow"/>
        <family val="2"/>
      </rPr>
      <t>-17:25</t>
    </r>
  </si>
  <si>
    <r>
      <rPr>
        <b/>
        <sz val="12"/>
        <rFont val="Aptos Narrow"/>
        <family val="2"/>
      </rPr>
      <t>123</t>
    </r>
    <r>
      <rPr>
        <b/>
        <sz val="12"/>
        <color rgb="FF0070C0"/>
        <rFont val="Aptos Narrow"/>
        <family val="2"/>
      </rPr>
      <t>-17:45A</t>
    </r>
  </si>
  <si>
    <r>
      <rPr>
        <b/>
        <sz val="12"/>
        <rFont val="Aptos Narrow"/>
        <family val="2"/>
      </rPr>
      <t>124</t>
    </r>
    <r>
      <rPr>
        <b/>
        <sz val="12"/>
        <color rgb="FF0070C0"/>
        <rFont val="Aptos Narrow"/>
        <family val="2"/>
      </rPr>
      <t>-18:00</t>
    </r>
  </si>
  <si>
    <t>16:30A</t>
  </si>
  <si>
    <t>17:00A</t>
  </si>
  <si>
    <t>17:30A</t>
  </si>
  <si>
    <t>18:00A</t>
  </si>
  <si>
    <t>18:30A</t>
  </si>
  <si>
    <t>19:00A</t>
  </si>
  <si>
    <t>19:30A</t>
  </si>
  <si>
    <t>BUS 3B</t>
  </si>
  <si>
    <t>BUS 15C</t>
  </si>
  <si>
    <r>
      <rPr>
        <b/>
        <sz val="12"/>
        <rFont val="Aptos Narrow"/>
        <family val="2"/>
      </rPr>
      <t>125</t>
    </r>
    <r>
      <rPr>
        <b/>
        <sz val="12"/>
        <color rgb="FF0070C0"/>
        <rFont val="Aptos Narrow"/>
        <family val="2"/>
      </rPr>
      <t>-18:15A</t>
    </r>
  </si>
  <si>
    <r>
      <rPr>
        <b/>
        <sz val="12"/>
        <rFont val="Aptos Narrow"/>
        <family val="2"/>
      </rPr>
      <t>128</t>
    </r>
    <r>
      <rPr>
        <b/>
        <sz val="12"/>
        <color rgb="FF0070C0"/>
        <rFont val="Aptos Narrow"/>
        <family val="2"/>
      </rPr>
      <t>-18:30</t>
    </r>
  </si>
  <si>
    <r>
      <rPr>
        <b/>
        <sz val="12"/>
        <rFont val="Aptos Narrow"/>
        <family val="2"/>
      </rPr>
      <t>126</t>
    </r>
    <r>
      <rPr>
        <b/>
        <sz val="12"/>
        <color rgb="FF0070C0"/>
        <rFont val="Aptos Narrow"/>
        <family val="2"/>
      </rPr>
      <t>-18:45A</t>
    </r>
  </si>
  <si>
    <t>19:00X</t>
  </si>
  <si>
    <t>19:15A</t>
  </si>
  <si>
    <r>
      <rPr>
        <b/>
        <sz val="12"/>
        <rFont val="Aptos Narrow"/>
        <family val="2"/>
      </rPr>
      <t>132</t>
    </r>
    <r>
      <rPr>
        <b/>
        <sz val="12"/>
        <color rgb="FF0070C0"/>
        <rFont val="Aptos Narrow"/>
        <family val="2"/>
      </rPr>
      <t>-19:30</t>
    </r>
  </si>
  <si>
    <r>
      <rPr>
        <b/>
        <sz val="12"/>
        <rFont val="Aptos Narrow"/>
        <family val="2"/>
      </rPr>
      <t>145</t>
    </r>
    <r>
      <rPr>
        <b/>
        <sz val="12"/>
        <color rgb="FF0070C0"/>
        <rFont val="Aptos Narrow"/>
        <family val="2"/>
      </rPr>
      <t>-19:45A</t>
    </r>
  </si>
  <si>
    <t>20:00X</t>
  </si>
  <si>
    <r>
      <rPr>
        <b/>
        <sz val="12"/>
        <rFont val="Aptos Narrow"/>
        <family val="2"/>
      </rPr>
      <t>135</t>
    </r>
    <r>
      <rPr>
        <b/>
        <sz val="12"/>
        <color rgb="FF0070C0"/>
        <rFont val="Aptos Narrow"/>
        <family val="2"/>
      </rPr>
      <t>-20:15A</t>
    </r>
  </si>
  <si>
    <r>
      <rPr>
        <b/>
        <sz val="12"/>
        <rFont val="Aptos Narrow"/>
        <family val="2"/>
      </rPr>
      <t>139</t>
    </r>
    <r>
      <rPr>
        <b/>
        <sz val="12"/>
        <color rgb="FF0070C0"/>
        <rFont val="Aptos Narrow"/>
        <family val="2"/>
      </rPr>
      <t>-20:45A</t>
    </r>
  </si>
  <si>
    <r>
      <rPr>
        <b/>
        <sz val="12"/>
        <rFont val="Aptos Narrow"/>
        <family val="2"/>
      </rPr>
      <t>141</t>
    </r>
    <r>
      <rPr>
        <b/>
        <sz val="12"/>
        <color rgb="FF0070C0"/>
        <rFont val="Aptos Narrow"/>
        <family val="2"/>
      </rPr>
      <t>-21:00</t>
    </r>
  </si>
  <si>
    <t>20:00A</t>
  </si>
  <si>
    <t>20:30A</t>
  </si>
  <si>
    <t>19:30g</t>
  </si>
  <si>
    <t>20:40X</t>
  </si>
  <si>
    <t>21:00A</t>
  </si>
  <si>
    <t>20:30g</t>
  </si>
  <si>
    <t>133-20:45g</t>
  </si>
  <si>
    <t>21:30A</t>
  </si>
  <si>
    <t>140-21:15g</t>
  </si>
  <si>
    <t>22:00A</t>
  </si>
  <si>
    <t>20:25x</t>
  </si>
  <si>
    <t>21:10g</t>
  </si>
  <si>
    <t>21:15X</t>
  </si>
  <si>
    <t>21:50x</t>
  </si>
  <si>
    <t>20:55g</t>
  </si>
  <si>
    <t>18:45X</t>
  </si>
  <si>
    <t>18:55X</t>
  </si>
  <si>
    <t>19:10X</t>
  </si>
  <si>
    <t>21:45g</t>
  </si>
  <si>
    <t>22:20g</t>
  </si>
  <si>
    <t>19:15g</t>
  </si>
  <si>
    <t>19:25g</t>
  </si>
  <si>
    <t>19:40g</t>
  </si>
  <si>
    <r>
      <rPr>
        <b/>
        <sz val="12"/>
        <rFont val="Aptos Narrow"/>
        <family val="2"/>
      </rPr>
      <t>137</t>
    </r>
    <r>
      <rPr>
        <b/>
        <sz val="12"/>
        <color rgb="FF0070C0"/>
        <rFont val="Aptos Narrow"/>
        <family val="2"/>
      </rPr>
      <t>-21:15A</t>
    </r>
  </si>
  <si>
    <r>
      <rPr>
        <b/>
        <sz val="12"/>
        <rFont val="Aptos Narrow"/>
        <family val="2"/>
      </rPr>
      <t>142</t>
    </r>
    <r>
      <rPr>
        <b/>
        <sz val="12"/>
        <color rgb="FF0070C0"/>
        <rFont val="Aptos Narrow"/>
        <family val="2"/>
      </rPr>
      <t>-21:30</t>
    </r>
  </si>
  <si>
    <r>
      <rPr>
        <b/>
        <sz val="12"/>
        <rFont val="Aptos Narrow"/>
        <family val="2"/>
      </rPr>
      <t>144</t>
    </r>
    <r>
      <rPr>
        <b/>
        <sz val="12"/>
        <color rgb="FF0070C0"/>
        <rFont val="Aptos Narrow"/>
        <family val="2"/>
      </rPr>
      <t>-21:45A</t>
    </r>
  </si>
  <si>
    <t>22:15A</t>
  </si>
  <si>
    <t>22:45A</t>
  </si>
  <si>
    <t>23:15A</t>
  </si>
  <si>
    <t>22:30A</t>
  </si>
  <si>
    <t>23:00A</t>
  </si>
  <si>
    <t>23:30A</t>
  </si>
  <si>
    <t>23:55X</t>
  </si>
  <si>
    <t>00:15X</t>
  </si>
  <si>
    <t>23:40X</t>
  </si>
  <si>
    <t>00:10x</t>
  </si>
  <si>
    <t>00:25X</t>
  </si>
  <si>
    <t>23:35x</t>
  </si>
  <si>
    <t>23:55x</t>
  </si>
  <si>
    <t>00:05X</t>
  </si>
  <si>
    <t>00:05g</t>
  </si>
  <si>
    <t>00:10g</t>
  </si>
  <si>
    <t>00:25g</t>
  </si>
  <si>
    <t>00:30g</t>
  </si>
  <si>
    <t>00:50g</t>
  </si>
  <si>
    <t>00:35g</t>
  </si>
  <si>
    <t>00:40g</t>
  </si>
  <si>
    <t>Route 47</t>
  </si>
  <si>
    <t>Monday to Friday</t>
  </si>
  <si>
    <t>Bus 2A</t>
  </si>
  <si>
    <t>Bus 3</t>
  </si>
  <si>
    <t>Bus 4A</t>
  </si>
  <si>
    <t>108-05:50g</t>
  </si>
  <si>
    <t>112-06:20g</t>
  </si>
  <si>
    <t>117-06:50g</t>
  </si>
  <si>
    <t>152-07:25g</t>
  </si>
  <si>
    <t>Belarmine</t>
  </si>
  <si>
    <t>Poolbeg St</t>
  </si>
  <si>
    <r>
      <rPr>
        <b/>
        <sz val="12"/>
        <rFont val="Aptos Narrow"/>
        <family val="2"/>
      </rPr>
      <t>102</t>
    </r>
    <r>
      <rPr>
        <b/>
        <sz val="12"/>
        <color rgb="FF0070C0"/>
        <rFont val="Aptos Narrow"/>
        <family val="2"/>
      </rPr>
      <t>-09:10</t>
    </r>
  </si>
  <si>
    <t>09:40X</t>
  </si>
  <si>
    <t>10:00X</t>
  </si>
  <si>
    <t>10:30m</t>
  </si>
  <si>
    <t>10:05g</t>
  </si>
  <si>
    <r>
      <rPr>
        <b/>
        <sz val="12"/>
        <rFont val="Aptos Narrow"/>
        <family val="2"/>
      </rPr>
      <t>160</t>
    </r>
    <r>
      <rPr>
        <b/>
        <sz val="12"/>
        <color rgb="FF0070C0"/>
        <rFont val="Aptos Narrow"/>
        <family val="2"/>
      </rPr>
      <t>-10:30m</t>
    </r>
  </si>
  <si>
    <t>Bus 4B</t>
  </si>
  <si>
    <r>
      <rPr>
        <b/>
        <sz val="12"/>
        <rFont val="Aptos Narrow"/>
        <family val="2"/>
      </rPr>
      <t>114</t>
    </r>
    <r>
      <rPr>
        <b/>
        <sz val="12"/>
        <color rgb="FF0070C0"/>
        <rFont val="Aptos Narrow"/>
        <family val="2"/>
      </rPr>
      <t>-12:00m</t>
    </r>
  </si>
  <si>
    <t>Bus 2B</t>
  </si>
  <si>
    <t>12:00m</t>
  </si>
  <si>
    <t>13:30m</t>
  </si>
  <si>
    <r>
      <rPr>
        <b/>
        <sz val="12"/>
        <rFont val="Aptos Narrow"/>
        <family val="2"/>
      </rPr>
      <t>127</t>
    </r>
    <r>
      <rPr>
        <b/>
        <sz val="12"/>
        <color rgb="FF0070C0"/>
        <rFont val="Aptos Narrow"/>
        <family val="2"/>
      </rPr>
      <t>-13:30m</t>
    </r>
  </si>
  <si>
    <t>133-14:45g</t>
  </si>
  <si>
    <r>
      <rPr>
        <b/>
        <sz val="12"/>
        <rFont val="Aptos Narrow"/>
        <family val="2"/>
      </rPr>
      <t>132</t>
    </r>
    <r>
      <rPr>
        <b/>
        <sz val="12"/>
        <color rgb="FF0070C0"/>
        <rFont val="Aptos Narrow"/>
        <family val="2"/>
      </rPr>
      <t>-15:00m</t>
    </r>
  </si>
  <si>
    <t>135-14:55g</t>
  </si>
  <si>
    <t>137-15:25g</t>
  </si>
  <si>
    <t>15:00m</t>
  </si>
  <si>
    <t>15:30m</t>
  </si>
  <si>
    <t>160-16:55g</t>
  </si>
  <si>
    <r>
      <rPr>
        <b/>
        <sz val="12"/>
        <rFont val="Aptos Narrow"/>
        <family val="2"/>
      </rPr>
      <t>140</t>
    </r>
    <r>
      <rPr>
        <b/>
        <sz val="12"/>
        <color rgb="FF0070C0"/>
        <rFont val="Aptos Narrow"/>
        <family val="2"/>
      </rPr>
      <t>-16:30</t>
    </r>
  </si>
  <si>
    <r>
      <rPr>
        <b/>
        <sz val="12"/>
        <rFont val="Aptos Narrow"/>
        <family val="2"/>
      </rPr>
      <t>144</t>
    </r>
    <r>
      <rPr>
        <b/>
        <sz val="12"/>
        <color rgb="FF0070C0"/>
        <rFont val="Aptos Narrow"/>
        <family val="2"/>
      </rPr>
      <t>-18:00</t>
    </r>
  </si>
  <si>
    <r>
      <rPr>
        <b/>
        <sz val="12"/>
        <rFont val="Aptos Narrow"/>
        <family val="2"/>
      </rPr>
      <t>130</t>
    </r>
    <r>
      <rPr>
        <b/>
        <sz val="12"/>
        <color rgb="FF0070C0"/>
        <rFont val="Aptos Narrow"/>
        <family val="2"/>
      </rPr>
      <t>-18:45</t>
    </r>
  </si>
  <si>
    <r>
      <rPr>
        <b/>
        <sz val="12"/>
        <rFont val="Aptos Narrow"/>
        <family val="2"/>
      </rPr>
      <t>131</t>
    </r>
    <r>
      <rPr>
        <b/>
        <sz val="12"/>
        <color rgb="FF0070C0"/>
        <rFont val="Aptos Narrow"/>
        <family val="2"/>
      </rPr>
      <t>-19:30</t>
    </r>
  </si>
  <si>
    <t>19:40X</t>
  </si>
  <si>
    <t>19:20g</t>
  </si>
  <si>
    <t>19:35g</t>
  </si>
  <si>
    <r>
      <rPr>
        <b/>
        <sz val="12"/>
        <rFont val="Aptos Narrow"/>
        <family val="2"/>
      </rPr>
      <t>138</t>
    </r>
    <r>
      <rPr>
        <b/>
        <sz val="12"/>
        <color rgb="FF0070C0"/>
        <rFont val="Aptos Narrow"/>
        <family val="2"/>
      </rPr>
      <t>-20:30</t>
    </r>
  </si>
  <si>
    <t>20:35X</t>
  </si>
  <si>
    <t>20:10g</t>
  </si>
  <si>
    <r>
      <rPr>
        <b/>
        <sz val="12"/>
        <rFont val="Aptos Narrow"/>
        <family val="2"/>
      </rPr>
      <t>143</t>
    </r>
    <r>
      <rPr>
        <b/>
        <sz val="12"/>
        <color rgb="FF0070C0"/>
        <rFont val="Aptos Narrow"/>
        <family val="2"/>
      </rPr>
      <t>-21:30</t>
    </r>
  </si>
  <si>
    <t>21:15g</t>
  </si>
  <si>
    <t>24:20X</t>
  </si>
  <si>
    <t>24:50g</t>
  </si>
  <si>
    <t>24:45g</t>
  </si>
  <si>
    <t>Roster</t>
  </si>
  <si>
    <t>Duty</t>
  </si>
  <si>
    <t>Start</t>
  </si>
  <si>
    <t>Break</t>
  </si>
  <si>
    <t>Finish</t>
  </si>
  <si>
    <t>Spread</t>
  </si>
  <si>
    <t>Work</t>
  </si>
  <si>
    <t>Relief</t>
  </si>
  <si>
    <t>B-Rota</t>
  </si>
  <si>
    <t>Report</t>
  </si>
  <si>
    <t>Depart</t>
  </si>
  <si>
    <t>Location</t>
  </si>
  <si>
    <t>Sign off</t>
  </si>
  <si>
    <t>DZ5/01</t>
  </si>
  <si>
    <t>002102</t>
  </si>
  <si>
    <t>DBRK2PO</t>
  </si>
  <si>
    <t>MONTSQ03</t>
  </si>
  <si>
    <t>PBEGST02</t>
  </si>
  <si>
    <t>DZ5/02</t>
  </si>
  <si>
    <t>002103</t>
  </si>
  <si>
    <t>DBRK2PI</t>
  </si>
  <si>
    <t>DZ5/03</t>
  </si>
  <si>
    <t>002104</t>
  </si>
  <si>
    <t>DZ5/04</t>
  </si>
  <si>
    <t>002106</t>
  </si>
  <si>
    <t>DZ5/05</t>
  </si>
  <si>
    <t>002107</t>
  </si>
  <si>
    <t>DZ5/06</t>
  </si>
  <si>
    <t>002108</t>
  </si>
  <si>
    <t>DZ5/07</t>
  </si>
  <si>
    <t>002109</t>
  </si>
  <si>
    <t>DZ5/08</t>
  </si>
  <si>
    <t>002110</t>
  </si>
  <si>
    <t>DZ5/09</t>
  </si>
  <si>
    <t>002111</t>
  </si>
  <si>
    <t>DZ5/10</t>
  </si>
  <si>
    <t>002112</t>
  </si>
  <si>
    <t>DZ5/11</t>
  </si>
  <si>
    <t>002113</t>
  </si>
  <si>
    <t>DZ5/12</t>
  </si>
  <si>
    <t>002115</t>
  </si>
  <si>
    <t>DZ5/13</t>
  </si>
  <si>
    <t>002116</t>
  </si>
  <si>
    <t>DZ5/14</t>
  </si>
  <si>
    <t>002118</t>
  </si>
  <si>
    <t>MONTSQ02</t>
  </si>
  <si>
    <t>DZ5/15</t>
  </si>
  <si>
    <t>002119</t>
  </si>
  <si>
    <t>DZ5/16</t>
  </si>
  <si>
    <t>002120</t>
  </si>
  <si>
    <t>DZ5/17</t>
  </si>
  <si>
    <t>002121</t>
  </si>
  <si>
    <t>DZ5/18</t>
  </si>
  <si>
    <t>002123</t>
  </si>
  <si>
    <t>DZ5/19</t>
  </si>
  <si>
    <t>002124</t>
  </si>
  <si>
    <t>DZ5/20</t>
  </si>
  <si>
    <t>002125</t>
  </si>
  <si>
    <t>DZ5/21</t>
  </si>
  <si>
    <t>002126</t>
  </si>
  <si>
    <t>DZ5/22</t>
  </si>
  <si>
    <t>002127</t>
  </si>
  <si>
    <t>DZ5/23</t>
  </si>
  <si>
    <t>002128</t>
  </si>
  <si>
    <t>DZ5/24</t>
  </si>
  <si>
    <t>002129</t>
  </si>
  <si>
    <t>DZ5/25</t>
  </si>
  <si>
    <t>002131</t>
  </si>
  <si>
    <t>DZ5/26</t>
  </si>
  <si>
    <t>002132</t>
  </si>
  <si>
    <t>DZ5/27</t>
  </si>
  <si>
    <t>002133</t>
  </si>
  <si>
    <t>DZ5/28</t>
  </si>
  <si>
    <t>002134</t>
  </si>
  <si>
    <t>DZ5/29</t>
  </si>
  <si>
    <t>002135</t>
  </si>
  <si>
    <t>DZ5/30</t>
  </si>
  <si>
    <t>002136</t>
  </si>
  <si>
    <t>DZ5/31</t>
  </si>
  <si>
    <t>002137</t>
  </si>
  <si>
    <t>DZ5/32</t>
  </si>
  <si>
    <t>002139</t>
  </si>
  <si>
    <t>DZ5/33</t>
  </si>
  <si>
    <t>002140</t>
  </si>
  <si>
    <t>DZ5/34</t>
  </si>
  <si>
    <t>002141</t>
  </si>
  <si>
    <t>DZ5/35</t>
  </si>
  <si>
    <t>002142</t>
  </si>
  <si>
    <t>DZ5/36</t>
  </si>
  <si>
    <t>002144</t>
  </si>
  <si>
    <t>DZ5/37</t>
  </si>
  <si>
    <t>002145</t>
  </si>
  <si>
    <t>DZ5/1X</t>
  </si>
  <si>
    <t>002151</t>
  </si>
  <si>
    <t>DZ5/2X</t>
  </si>
  <si>
    <t>002152</t>
  </si>
  <si>
    <t>DZ5/3X</t>
  </si>
  <si>
    <t>002153</t>
  </si>
  <si>
    <t>DZ5/4X</t>
  </si>
  <si>
    <t>002154</t>
  </si>
  <si>
    <t>DZ5/5X</t>
  </si>
  <si>
    <t>002155</t>
  </si>
  <si>
    <t>DZ5/6X</t>
  </si>
  <si>
    <t>002156</t>
  </si>
  <si>
    <t>DZ5/7X</t>
  </si>
  <si>
    <t>002157</t>
  </si>
  <si>
    <t>DZ5/8X</t>
  </si>
  <si>
    <t>002158</t>
  </si>
  <si>
    <t>DZ5/9X</t>
  </si>
  <si>
    <t>002159</t>
  </si>
  <si>
    <t>DZ5/10X</t>
  </si>
  <si>
    <t>002160</t>
  </si>
  <si>
    <t>DZ5/11X</t>
  </si>
  <si>
    <t>002161</t>
  </si>
  <si>
    <t>DZ5/01D</t>
  </si>
  <si>
    <t>002101</t>
  </si>
  <si>
    <t>DZ5/02D</t>
  </si>
  <si>
    <t>002105</t>
  </si>
  <si>
    <t>DZ5/03D</t>
  </si>
  <si>
    <t>002114</t>
  </si>
  <si>
    <t>DZ5/04D</t>
  </si>
  <si>
    <t>002117</t>
  </si>
  <si>
    <t>DZ5/05D</t>
  </si>
  <si>
    <t>002122</t>
  </si>
  <si>
    <t>DZ5/06D</t>
  </si>
  <si>
    <t>002130</t>
  </si>
  <si>
    <t>DZ5/07D</t>
  </si>
  <si>
    <t>002138</t>
  </si>
  <si>
    <t>DZ5/08D</t>
  </si>
  <si>
    <t>002143</t>
  </si>
  <si>
    <t xml:space="preserve">Route 7/7A/47                       </t>
  </si>
  <si>
    <t>Saturday</t>
  </si>
  <si>
    <t>Bus 8A</t>
  </si>
  <si>
    <t>Bus 9</t>
  </si>
  <si>
    <t>Bus 11</t>
  </si>
  <si>
    <t>02007006</t>
  </si>
  <si>
    <t>02007008</t>
  </si>
  <si>
    <t>02007003</t>
  </si>
  <si>
    <t>02007001</t>
  </si>
  <si>
    <t>02007004</t>
  </si>
  <si>
    <t>02007007</t>
  </si>
  <si>
    <t>02007009</t>
  </si>
  <si>
    <t>02007011</t>
  </si>
  <si>
    <t>02007010</t>
  </si>
  <si>
    <t>02007005</t>
  </si>
  <si>
    <t>02007002</t>
  </si>
  <si>
    <t>106-06:15g</t>
  </si>
  <si>
    <t>109-06:30g</t>
  </si>
  <si>
    <t>102-05:45g</t>
  </si>
  <si>
    <t>101-05:15g</t>
  </si>
  <si>
    <t>105-06:00g</t>
  </si>
  <si>
    <t>107-06:15g</t>
  </si>
  <si>
    <t>108-06:30g</t>
  </si>
  <si>
    <t>113-07:50g</t>
  </si>
  <si>
    <t>110-06:45g</t>
  </si>
  <si>
    <t>104-06:00g</t>
  </si>
  <si>
    <t>103-05:45g</t>
  </si>
  <si>
    <t>07:15A</t>
  </si>
  <si>
    <t>05:45E</t>
  </si>
  <si>
    <t>Arr 08:35</t>
  </si>
  <si>
    <t>Bus 13A</t>
  </si>
  <si>
    <t>02007012</t>
  </si>
  <si>
    <t>Bus 14</t>
  </si>
  <si>
    <t>08:10A</t>
  </si>
  <si>
    <r>
      <rPr>
        <b/>
        <sz val="12"/>
        <rFont val="Aptos Narrow"/>
        <family val="2"/>
        <scheme val="minor"/>
      </rPr>
      <t>114</t>
    </r>
    <r>
      <rPr>
        <b/>
        <sz val="12"/>
        <color rgb="FF0070C0"/>
        <rFont val="Aptos Narrow"/>
        <family val="2"/>
        <scheme val="minor"/>
      </rPr>
      <t>-08:45</t>
    </r>
  </si>
  <si>
    <r>
      <rPr>
        <b/>
        <sz val="12"/>
        <rFont val="Aptos Narrow"/>
        <family val="2"/>
        <scheme val="minor"/>
      </rPr>
      <t>115</t>
    </r>
    <r>
      <rPr>
        <b/>
        <sz val="12"/>
        <color rgb="FF0070C0"/>
        <rFont val="Aptos Narrow"/>
        <family val="2"/>
        <scheme val="minor"/>
      </rPr>
      <t>-09:00A</t>
    </r>
  </si>
  <si>
    <t>Bus 15</t>
  </si>
  <si>
    <t>08:15A</t>
  </si>
  <si>
    <t>02007013</t>
  </si>
  <si>
    <t>08:45A</t>
  </si>
  <si>
    <t>08:55X</t>
  </si>
  <si>
    <t>116-08:30g</t>
  </si>
  <si>
    <t>02007014</t>
  </si>
  <si>
    <t>09:15A</t>
  </si>
  <si>
    <t>Bus 7B</t>
  </si>
  <si>
    <t>09:45A</t>
  </si>
  <si>
    <t>10:15A</t>
  </si>
  <si>
    <t>02007015</t>
  </si>
  <si>
    <t>154-9:20g</t>
  </si>
  <si>
    <t>09:25g</t>
  </si>
  <si>
    <t>156-10:00g</t>
  </si>
  <si>
    <t>09:10X</t>
  </si>
  <si>
    <t>02007017</t>
  </si>
  <si>
    <t>02007018</t>
  </si>
  <si>
    <t>112-11:10g</t>
  </si>
  <si>
    <t>Bus 17</t>
  </si>
  <si>
    <r>
      <rPr>
        <b/>
        <sz val="12"/>
        <rFont val="Aptos Narrow"/>
        <family val="2"/>
        <scheme val="minor"/>
      </rPr>
      <t>152</t>
    </r>
    <r>
      <rPr>
        <b/>
        <sz val="12"/>
        <color rgb="FF0070C0"/>
        <rFont val="Aptos Narrow"/>
        <family val="2"/>
        <scheme val="minor"/>
      </rPr>
      <t>-09:30A</t>
    </r>
  </si>
  <si>
    <r>
      <rPr>
        <b/>
        <sz val="12"/>
        <rFont val="Aptos Narrow"/>
        <family val="2"/>
        <scheme val="minor"/>
      </rPr>
      <t>151</t>
    </r>
    <r>
      <rPr>
        <b/>
        <sz val="12"/>
        <color rgb="FF0070C0"/>
        <rFont val="Aptos Narrow"/>
        <family val="2"/>
        <scheme val="minor"/>
      </rPr>
      <t>-09:15</t>
    </r>
  </si>
  <si>
    <r>
      <rPr>
        <b/>
        <sz val="12"/>
        <rFont val="Aptos Narrow"/>
        <family val="2"/>
        <scheme val="minor"/>
      </rPr>
      <t>104</t>
    </r>
    <r>
      <rPr>
        <b/>
        <sz val="12"/>
        <color rgb="FF0070C0"/>
        <rFont val="Aptos Narrow"/>
        <family val="2"/>
        <scheme val="minor"/>
      </rPr>
      <t>-09:40</t>
    </r>
  </si>
  <si>
    <t>09:50A</t>
  </si>
  <si>
    <r>
      <rPr>
        <b/>
        <sz val="12"/>
        <rFont val="Aptos Narrow"/>
        <family val="2"/>
        <scheme val="minor"/>
      </rPr>
      <t>155</t>
    </r>
    <r>
      <rPr>
        <b/>
        <sz val="12"/>
        <color rgb="FF0070C0"/>
        <rFont val="Aptos Narrow"/>
        <family val="2"/>
        <scheme val="minor"/>
      </rPr>
      <t>-10:00</t>
    </r>
  </si>
  <si>
    <t>09:40g</t>
  </si>
  <si>
    <r>
      <rPr>
        <b/>
        <sz val="12"/>
        <rFont val="Aptos Narrow"/>
        <family val="2"/>
        <scheme val="minor"/>
      </rPr>
      <t>106</t>
    </r>
    <r>
      <rPr>
        <b/>
        <sz val="12"/>
        <color rgb="FF0070C0"/>
        <rFont val="Aptos Narrow"/>
        <family val="2"/>
        <scheme val="minor"/>
      </rPr>
      <t>-10:45A</t>
    </r>
  </si>
  <si>
    <r>
      <rPr>
        <b/>
        <sz val="12"/>
        <rFont val="Aptos Narrow"/>
        <family val="2"/>
        <scheme val="minor"/>
      </rPr>
      <t>103</t>
    </r>
    <r>
      <rPr>
        <b/>
        <sz val="12"/>
        <color rgb="FF0070C0"/>
        <rFont val="Aptos Narrow"/>
        <family val="2"/>
        <scheme val="minor"/>
      </rPr>
      <t>-11:00</t>
    </r>
  </si>
  <si>
    <t>02007016</t>
  </si>
  <si>
    <t>111-12:15g</t>
  </si>
  <si>
    <r>
      <rPr>
        <b/>
        <sz val="12"/>
        <rFont val="Aptos Narrow"/>
        <family val="2"/>
        <scheme val="minor"/>
      </rPr>
      <t>105</t>
    </r>
    <r>
      <rPr>
        <b/>
        <sz val="12"/>
        <color rgb="FF0070C0"/>
        <rFont val="Aptos Narrow"/>
        <family val="2"/>
        <scheme val="minor"/>
      </rPr>
      <t>-11:15A</t>
    </r>
  </si>
  <si>
    <r>
      <rPr>
        <b/>
        <sz val="12"/>
        <rFont val="Aptos Narrow"/>
        <family val="2"/>
        <scheme val="minor"/>
      </rPr>
      <t>107</t>
    </r>
    <r>
      <rPr>
        <b/>
        <sz val="12"/>
        <color rgb="FF0070C0"/>
        <rFont val="Aptos Narrow"/>
        <family val="2"/>
        <scheme val="minor"/>
      </rPr>
      <t>-11:30</t>
    </r>
  </si>
  <si>
    <t>120-12:45g</t>
  </si>
  <si>
    <r>
      <rPr>
        <b/>
        <sz val="12"/>
        <rFont val="Aptos Narrow"/>
        <family val="2"/>
        <scheme val="minor"/>
      </rPr>
      <t>108</t>
    </r>
    <r>
      <rPr>
        <b/>
        <sz val="12"/>
        <color rgb="FF0070C0"/>
        <rFont val="Aptos Narrow"/>
        <family val="2"/>
        <scheme val="minor"/>
      </rPr>
      <t>-12:00</t>
    </r>
  </si>
  <si>
    <t>11:45A</t>
  </si>
  <si>
    <t>02007019</t>
  </si>
  <si>
    <t>10:45A</t>
  </si>
  <si>
    <t>11:15A</t>
  </si>
  <si>
    <t>Bus 8B</t>
  </si>
  <si>
    <t>12:15A</t>
  </si>
  <si>
    <t>118-12:00g</t>
  </si>
  <si>
    <t>12:45A</t>
  </si>
  <si>
    <t>12:50X</t>
  </si>
  <si>
    <t>02007020</t>
  </si>
  <si>
    <t>02007021</t>
  </si>
  <si>
    <t>13:15A</t>
  </si>
  <si>
    <t>13:45A</t>
  </si>
  <si>
    <t>122-13:30g</t>
  </si>
  <si>
    <t>02007022</t>
  </si>
  <si>
    <t>12:30X</t>
  </si>
  <si>
    <t>123-14:05g</t>
  </si>
  <si>
    <t>125-14:15g</t>
  </si>
  <si>
    <r>
      <rPr>
        <b/>
        <sz val="12"/>
        <rFont val="Aptos Narrow"/>
        <family val="2"/>
        <scheme val="minor"/>
      </rPr>
      <t>117</t>
    </r>
    <r>
      <rPr>
        <b/>
        <sz val="12"/>
        <color rgb="FF0070C0"/>
        <rFont val="Aptos Narrow"/>
        <family val="2"/>
        <scheme val="minor"/>
      </rPr>
      <t>-12:30</t>
    </r>
  </si>
  <si>
    <r>
      <rPr>
        <b/>
        <sz val="12"/>
        <rFont val="Aptos Narrow"/>
        <family val="2"/>
        <scheme val="minor"/>
      </rPr>
      <t>113</t>
    </r>
    <r>
      <rPr>
        <b/>
        <sz val="12"/>
        <color rgb="FF0070C0"/>
        <rFont val="Aptos Narrow"/>
        <family val="2"/>
        <scheme val="minor"/>
      </rPr>
      <t>-12:15A</t>
    </r>
  </si>
  <si>
    <r>
      <rPr>
        <b/>
        <sz val="12"/>
        <rFont val="Aptos Narrow"/>
        <family val="2"/>
        <scheme val="minor"/>
      </rPr>
      <t>110</t>
    </r>
    <r>
      <rPr>
        <b/>
        <sz val="12"/>
        <color rgb="FF0070C0"/>
        <rFont val="Aptos Narrow"/>
        <family val="2"/>
        <scheme val="minor"/>
      </rPr>
      <t>-12:45A</t>
    </r>
  </si>
  <si>
    <r>
      <rPr>
        <b/>
        <sz val="12"/>
        <rFont val="Aptos Narrow"/>
        <family val="2"/>
        <scheme val="minor"/>
      </rPr>
      <t>114</t>
    </r>
    <r>
      <rPr>
        <b/>
        <sz val="12"/>
        <color rgb="FF0070C0"/>
        <rFont val="Aptos Narrow"/>
        <family val="2"/>
        <scheme val="minor"/>
      </rPr>
      <t>-13:00</t>
    </r>
  </si>
  <si>
    <r>
      <rPr>
        <b/>
        <sz val="12"/>
        <rFont val="Aptos Narrow"/>
        <family val="2"/>
        <scheme val="minor"/>
      </rPr>
      <t>119</t>
    </r>
    <r>
      <rPr>
        <b/>
        <sz val="12"/>
        <color rgb="FF0070C0"/>
        <rFont val="Aptos Narrow"/>
        <family val="2"/>
        <scheme val="minor"/>
      </rPr>
      <t>-13:15A</t>
    </r>
  </si>
  <si>
    <r>
      <rPr>
        <b/>
        <sz val="12"/>
        <rFont val="Aptos Narrow"/>
        <family val="2"/>
        <scheme val="minor"/>
      </rPr>
      <t>121</t>
    </r>
    <r>
      <rPr>
        <b/>
        <sz val="12"/>
        <color rgb="FF0070C0"/>
        <rFont val="Aptos Narrow"/>
        <family val="2"/>
        <scheme val="minor"/>
      </rPr>
      <t>-13:30</t>
    </r>
  </si>
  <si>
    <r>
      <rPr>
        <b/>
        <sz val="12"/>
        <rFont val="Aptos Narrow"/>
        <family val="2"/>
        <scheme val="minor"/>
      </rPr>
      <t>115</t>
    </r>
    <r>
      <rPr>
        <b/>
        <sz val="12"/>
        <color rgb="FF0070C0"/>
        <rFont val="Aptos Narrow"/>
        <family val="2"/>
        <scheme val="minor"/>
      </rPr>
      <t>-13:45A</t>
    </r>
  </si>
  <si>
    <t>126-14:45g</t>
  </si>
  <si>
    <r>
      <rPr>
        <b/>
        <sz val="12"/>
        <rFont val="Aptos Narrow"/>
        <family val="2"/>
        <scheme val="minor"/>
      </rPr>
      <t>152</t>
    </r>
    <r>
      <rPr>
        <b/>
        <sz val="12"/>
        <color rgb="FF0070C0"/>
        <rFont val="Aptos Narrow"/>
        <family val="2"/>
        <scheme val="minor"/>
      </rPr>
      <t>-14:00</t>
    </r>
  </si>
  <si>
    <t>13:00g</t>
  </si>
  <si>
    <t>14:15A</t>
  </si>
  <si>
    <t>02007023</t>
  </si>
  <si>
    <t>14:25X</t>
  </si>
  <si>
    <r>
      <rPr>
        <b/>
        <sz val="12"/>
        <rFont val="Aptos Narrow"/>
        <family val="2"/>
        <scheme val="minor"/>
      </rPr>
      <t>151</t>
    </r>
    <r>
      <rPr>
        <b/>
        <sz val="12"/>
        <color rgb="FF0070C0"/>
        <rFont val="Aptos Narrow"/>
        <family val="2"/>
        <scheme val="minor"/>
      </rPr>
      <t>-14:30</t>
    </r>
  </si>
  <si>
    <t>14:40A</t>
  </si>
  <si>
    <r>
      <rPr>
        <b/>
        <sz val="12"/>
        <rFont val="Aptos Narrow"/>
        <family val="2"/>
        <scheme val="minor"/>
      </rPr>
      <t>155</t>
    </r>
    <r>
      <rPr>
        <b/>
        <sz val="12"/>
        <color rgb="FF0070C0"/>
        <rFont val="Aptos Narrow"/>
        <family val="2"/>
        <scheme val="minor"/>
      </rPr>
      <t>-15:00A</t>
    </r>
  </si>
  <si>
    <r>
      <rPr>
        <b/>
        <sz val="12"/>
        <rFont val="Aptos Narrow"/>
        <family val="2"/>
        <scheme val="minor"/>
      </rPr>
      <t>156</t>
    </r>
    <r>
      <rPr>
        <b/>
        <sz val="12"/>
        <color rgb="FF0070C0"/>
        <rFont val="Aptos Narrow"/>
        <family val="2"/>
        <scheme val="minor"/>
      </rPr>
      <t>-15:15</t>
    </r>
  </si>
  <si>
    <r>
      <rPr>
        <b/>
        <sz val="12"/>
        <rFont val="Aptos Narrow"/>
        <family val="2"/>
        <scheme val="minor"/>
      </rPr>
      <t>127</t>
    </r>
    <r>
      <rPr>
        <b/>
        <sz val="12"/>
        <color rgb="FF0070C0"/>
        <rFont val="Aptos Narrow"/>
        <family val="2"/>
        <scheme val="minor"/>
      </rPr>
      <t>-15:30A</t>
    </r>
  </si>
  <si>
    <r>
      <rPr>
        <b/>
        <sz val="12"/>
        <rFont val="Aptos Narrow"/>
        <family val="2"/>
        <scheme val="minor"/>
      </rPr>
      <t>154</t>
    </r>
    <r>
      <rPr>
        <b/>
        <sz val="12"/>
        <color rgb="FF0070C0"/>
        <rFont val="Aptos Narrow"/>
        <family val="2"/>
        <scheme val="minor"/>
      </rPr>
      <t>-15:45</t>
    </r>
  </si>
  <si>
    <t>13:50X</t>
  </si>
  <si>
    <t>14:45A</t>
  </si>
  <si>
    <t>15:25X</t>
  </si>
  <si>
    <t>15:15A</t>
  </si>
  <si>
    <t>15:45A</t>
  </si>
  <si>
    <t>129-15:30g</t>
  </si>
  <si>
    <t>14:55g</t>
  </si>
  <si>
    <t>16:05X</t>
  </si>
  <si>
    <t>16:15A</t>
  </si>
  <si>
    <t>16:45A</t>
  </si>
  <si>
    <t>17:15A</t>
  </si>
  <si>
    <t>14:20g</t>
  </si>
  <si>
    <t>14:35X</t>
  </si>
  <si>
    <t>15:55g</t>
  </si>
  <si>
    <t>16:35g</t>
  </si>
  <si>
    <r>
      <rPr>
        <b/>
        <sz val="12"/>
        <rFont val="Aptos Narrow"/>
        <family val="2"/>
        <scheme val="minor"/>
      </rPr>
      <t>128</t>
    </r>
    <r>
      <rPr>
        <b/>
        <sz val="12"/>
        <color rgb="FF0070C0"/>
        <rFont val="Aptos Narrow"/>
        <family val="2"/>
        <scheme val="minor"/>
      </rPr>
      <t>-16:00A</t>
    </r>
  </si>
  <si>
    <t>15:50X</t>
  </si>
  <si>
    <t>15:05g</t>
  </si>
  <si>
    <r>
      <rPr>
        <b/>
        <sz val="12"/>
        <rFont val="Aptos Narrow"/>
        <family val="2"/>
        <scheme val="minor"/>
      </rPr>
      <t>130</t>
    </r>
    <r>
      <rPr>
        <b/>
        <sz val="12"/>
        <color rgb="FF0070C0"/>
        <rFont val="Aptos Narrow"/>
        <family val="2"/>
        <scheme val="minor"/>
      </rPr>
      <t>-16:15</t>
    </r>
  </si>
  <si>
    <r>
      <rPr>
        <b/>
        <sz val="12"/>
        <rFont val="Aptos Narrow"/>
        <family val="2"/>
        <scheme val="minor"/>
      </rPr>
      <t>131</t>
    </r>
    <r>
      <rPr>
        <b/>
        <sz val="12"/>
        <color rgb="FF0070C0"/>
        <rFont val="Aptos Narrow"/>
        <family val="2"/>
        <scheme val="minor"/>
      </rPr>
      <t>-16:30A</t>
    </r>
  </si>
  <si>
    <r>
      <rPr>
        <b/>
        <sz val="12"/>
        <rFont val="Aptos Narrow"/>
        <family val="2"/>
        <scheme val="minor"/>
      </rPr>
      <t>120</t>
    </r>
    <r>
      <rPr>
        <b/>
        <sz val="12"/>
        <color rgb="FF0070C0"/>
        <rFont val="Aptos Narrow"/>
        <family val="2"/>
        <scheme val="minor"/>
      </rPr>
      <t>-16:45</t>
    </r>
  </si>
  <si>
    <r>
      <rPr>
        <b/>
        <sz val="12"/>
        <rFont val="Aptos Narrow"/>
        <family val="2"/>
        <scheme val="minor"/>
      </rPr>
      <t>122</t>
    </r>
    <r>
      <rPr>
        <b/>
        <sz val="12"/>
        <color rgb="FF0070C0"/>
        <rFont val="Aptos Narrow"/>
        <family val="2"/>
        <scheme val="minor"/>
      </rPr>
      <t>-17:00A</t>
    </r>
  </si>
  <si>
    <r>
      <rPr>
        <b/>
        <sz val="12"/>
        <rFont val="Aptos Narrow"/>
        <family val="2"/>
        <scheme val="minor"/>
      </rPr>
      <t>133</t>
    </r>
    <r>
      <rPr>
        <b/>
        <sz val="12"/>
        <color rgb="FF0070C0"/>
        <rFont val="Aptos Narrow"/>
        <family val="2"/>
        <scheme val="minor"/>
      </rPr>
      <t>-17:15</t>
    </r>
  </si>
  <si>
    <r>
      <rPr>
        <b/>
        <sz val="12"/>
        <rFont val="Aptos Narrow"/>
        <family val="2"/>
        <scheme val="minor"/>
      </rPr>
      <t>117</t>
    </r>
    <r>
      <rPr>
        <b/>
        <sz val="12"/>
        <color rgb="FF0070C0"/>
        <rFont val="Aptos Narrow"/>
        <family val="2"/>
        <scheme val="minor"/>
      </rPr>
      <t>-17:30A</t>
    </r>
  </si>
  <si>
    <r>
      <rPr>
        <b/>
        <sz val="12"/>
        <rFont val="Aptos Narrow"/>
        <family val="2"/>
        <scheme val="minor"/>
      </rPr>
      <t>121</t>
    </r>
    <r>
      <rPr>
        <b/>
        <sz val="12"/>
        <color rgb="FF0070C0"/>
        <rFont val="Aptos Narrow"/>
        <family val="2"/>
        <scheme val="minor"/>
      </rPr>
      <t>-17:45</t>
    </r>
  </si>
  <si>
    <r>
      <rPr>
        <b/>
        <sz val="12"/>
        <rFont val="Aptos Narrow"/>
        <family val="2"/>
        <scheme val="minor"/>
      </rPr>
      <t>119</t>
    </r>
    <r>
      <rPr>
        <b/>
        <sz val="12"/>
        <color rgb="FF0070C0"/>
        <rFont val="Aptos Narrow"/>
        <family val="2"/>
        <scheme val="minor"/>
      </rPr>
      <t>-18:00A</t>
    </r>
  </si>
  <si>
    <r>
      <rPr>
        <b/>
        <sz val="12"/>
        <rFont val="Aptos Narrow"/>
        <family val="2"/>
        <scheme val="minor"/>
      </rPr>
      <t>124</t>
    </r>
    <r>
      <rPr>
        <b/>
        <sz val="12"/>
        <color rgb="FF0070C0"/>
        <rFont val="Aptos Narrow"/>
        <family val="2"/>
        <scheme val="minor"/>
      </rPr>
      <t>-18:15</t>
    </r>
  </si>
  <si>
    <r>
      <rPr>
        <b/>
        <sz val="12"/>
        <rFont val="Aptos Narrow"/>
        <family val="2"/>
        <scheme val="minor"/>
      </rPr>
      <t>134</t>
    </r>
    <r>
      <rPr>
        <b/>
        <sz val="12"/>
        <color rgb="FF0070C0"/>
        <rFont val="Aptos Narrow"/>
        <family val="2"/>
        <scheme val="minor"/>
      </rPr>
      <t>-18:30A</t>
    </r>
  </si>
  <si>
    <r>
      <rPr>
        <b/>
        <sz val="12"/>
        <rFont val="Aptos Narrow"/>
        <family val="2"/>
        <scheme val="minor"/>
      </rPr>
      <t>123</t>
    </r>
    <r>
      <rPr>
        <b/>
        <sz val="12"/>
        <color rgb="FF0070C0"/>
        <rFont val="Aptos Narrow"/>
        <family val="2"/>
        <scheme val="minor"/>
      </rPr>
      <t>-18:50</t>
    </r>
  </si>
  <si>
    <t>18:50X</t>
  </si>
  <si>
    <t>17:45A</t>
  </si>
  <si>
    <t>16:20g</t>
  </si>
  <si>
    <t>18:15A</t>
  </si>
  <si>
    <t>18:45A</t>
  </si>
  <si>
    <t>19:45A</t>
  </si>
  <si>
    <t>20:20A</t>
  </si>
  <si>
    <r>
      <rPr>
        <b/>
        <sz val="12"/>
        <rFont val="Aptos Narrow"/>
        <family val="2"/>
        <scheme val="minor"/>
      </rPr>
      <t>126</t>
    </r>
    <r>
      <rPr>
        <b/>
        <sz val="12"/>
        <color rgb="FF0070C0"/>
        <rFont val="Aptos Narrow"/>
        <family val="2"/>
        <scheme val="minor"/>
      </rPr>
      <t>-19:10A</t>
    </r>
  </si>
  <si>
    <t>Bus 13B</t>
  </si>
  <si>
    <r>
      <rPr>
        <b/>
        <sz val="12"/>
        <rFont val="Aptos Narrow"/>
        <family val="2"/>
        <scheme val="minor"/>
      </rPr>
      <t>129</t>
    </r>
    <r>
      <rPr>
        <b/>
        <sz val="12"/>
        <color rgb="FF0070C0"/>
        <rFont val="Aptos Narrow"/>
        <family val="2"/>
        <scheme val="minor"/>
      </rPr>
      <t>-19:30</t>
    </r>
  </si>
  <si>
    <t>19:45X</t>
  </si>
  <si>
    <t>19:50A</t>
  </si>
  <si>
    <r>
      <rPr>
        <b/>
        <sz val="12"/>
        <rFont val="Aptos Narrow"/>
        <family val="2"/>
        <scheme val="minor"/>
      </rPr>
      <t>127</t>
    </r>
    <r>
      <rPr>
        <b/>
        <sz val="12"/>
        <color rgb="FF0070C0"/>
        <rFont val="Aptos Narrow"/>
        <family val="2"/>
        <scheme val="minor"/>
      </rPr>
      <t>-20:30A</t>
    </r>
  </si>
  <si>
    <r>
      <rPr>
        <b/>
        <sz val="12"/>
        <rFont val="Aptos Narrow"/>
        <family val="2"/>
        <scheme val="minor"/>
      </rPr>
      <t>128</t>
    </r>
    <r>
      <rPr>
        <b/>
        <sz val="12"/>
        <color rgb="FF0070C0"/>
        <rFont val="Aptos Narrow"/>
        <family val="2"/>
        <scheme val="minor"/>
      </rPr>
      <t>-20:50</t>
    </r>
  </si>
  <si>
    <t>20:55X</t>
  </si>
  <si>
    <r>
      <rPr>
        <b/>
        <sz val="12"/>
        <rFont val="Aptos Narrow"/>
        <family val="2"/>
        <scheme val="minor"/>
      </rPr>
      <t>130</t>
    </r>
    <r>
      <rPr>
        <b/>
        <sz val="12"/>
        <color rgb="FF0070C0"/>
        <rFont val="Aptos Narrow"/>
        <family val="2"/>
        <scheme val="minor"/>
      </rPr>
      <t>-21:10A</t>
    </r>
  </si>
  <si>
    <r>
      <rPr>
        <b/>
        <sz val="12"/>
        <rFont val="Aptos Narrow"/>
        <family val="2"/>
        <scheme val="minor"/>
      </rPr>
      <t>133</t>
    </r>
    <r>
      <rPr>
        <b/>
        <sz val="12"/>
        <color rgb="FF0070C0"/>
        <rFont val="Aptos Narrow"/>
        <family val="2"/>
        <scheme val="minor"/>
      </rPr>
      <t>-21:50A</t>
    </r>
  </si>
  <si>
    <t>02007024</t>
  </si>
  <si>
    <t>20:15g</t>
  </si>
  <si>
    <t>21:20X</t>
  </si>
  <si>
    <t>21:40A</t>
  </si>
  <si>
    <t>21:25g</t>
  </si>
  <si>
    <t>22:20A</t>
  </si>
  <si>
    <t>131-21:40g</t>
  </si>
  <si>
    <t>21:50g</t>
  </si>
  <si>
    <t>21:35X</t>
  </si>
  <si>
    <t>22:10X</t>
  </si>
  <si>
    <t>22:05g</t>
  </si>
  <si>
    <t>23:10A</t>
  </si>
  <si>
    <t>23:30X</t>
  </si>
  <si>
    <t>00:00X</t>
  </si>
  <si>
    <t>22:40g</t>
  </si>
  <si>
    <t>00:20X</t>
  </si>
  <si>
    <t>00:35X</t>
  </si>
  <si>
    <t>00:10X</t>
  </si>
  <si>
    <t>00:55g</t>
  </si>
  <si>
    <t>01:00g</t>
  </si>
  <si>
    <t>00:00g</t>
  </si>
  <si>
    <t>02047001</t>
  </si>
  <si>
    <t>02047002</t>
  </si>
  <si>
    <t>111-07:00g</t>
  </si>
  <si>
    <t>112-07:00g</t>
  </si>
  <si>
    <r>
      <rPr>
        <b/>
        <sz val="12"/>
        <rFont val="Aptos Narrow"/>
        <family val="2"/>
        <scheme val="minor"/>
      </rPr>
      <t>153</t>
    </r>
    <r>
      <rPr>
        <b/>
        <sz val="12"/>
        <color rgb="FF0000FF"/>
        <rFont val="Aptos Narrow"/>
        <family val="2"/>
        <scheme val="minor"/>
      </rPr>
      <t>-09:30</t>
    </r>
  </si>
  <si>
    <r>
      <rPr>
        <b/>
        <sz val="12"/>
        <rFont val="Aptos Narrow"/>
        <family val="2"/>
        <scheme val="minor"/>
      </rPr>
      <t>109</t>
    </r>
    <r>
      <rPr>
        <b/>
        <sz val="12"/>
        <color rgb="FF0000FF"/>
        <rFont val="Aptos Narrow"/>
        <family val="2"/>
        <scheme val="minor"/>
      </rPr>
      <t>-10:45</t>
    </r>
  </si>
  <si>
    <r>
      <rPr>
        <b/>
        <sz val="12"/>
        <rFont val="Aptos Narrow"/>
        <family val="2"/>
        <scheme val="minor"/>
      </rPr>
      <t>124</t>
    </r>
    <r>
      <rPr>
        <b/>
        <sz val="12"/>
        <color rgb="FF0000FF"/>
        <rFont val="Aptos Narrow"/>
        <family val="2"/>
        <scheme val="minor"/>
      </rPr>
      <t>-14:30</t>
    </r>
  </si>
  <si>
    <r>
      <rPr>
        <b/>
        <sz val="12"/>
        <rFont val="Aptos Narrow"/>
        <family val="2"/>
        <scheme val="minor"/>
      </rPr>
      <t>153</t>
    </r>
    <r>
      <rPr>
        <b/>
        <sz val="12"/>
        <color rgb="FF0000FF"/>
        <rFont val="Aptos Narrow"/>
        <family val="2"/>
        <scheme val="minor"/>
      </rPr>
      <t>-15:45</t>
    </r>
  </si>
  <si>
    <r>
      <rPr>
        <b/>
        <sz val="12"/>
        <rFont val="Aptos Narrow"/>
        <family val="2"/>
        <scheme val="minor"/>
      </rPr>
      <t>132</t>
    </r>
    <r>
      <rPr>
        <b/>
        <sz val="12"/>
        <color rgb="FF0000FF"/>
        <rFont val="Aptos Narrow"/>
        <family val="2"/>
        <scheme val="minor"/>
      </rPr>
      <t>-17:00</t>
    </r>
  </si>
  <si>
    <t>02047003</t>
  </si>
  <si>
    <r>
      <rPr>
        <b/>
        <sz val="12"/>
        <rFont val="Aptos Narrow"/>
        <family val="2"/>
        <scheme val="minor"/>
      </rPr>
      <t>118</t>
    </r>
    <r>
      <rPr>
        <b/>
        <sz val="12"/>
        <color rgb="FF0000FF"/>
        <rFont val="Aptos Narrow"/>
        <family val="2"/>
        <scheme val="minor"/>
      </rPr>
      <t>-18:15</t>
    </r>
  </si>
  <si>
    <r>
      <rPr>
        <b/>
        <sz val="12"/>
        <rFont val="Aptos Narrow"/>
        <family val="2"/>
        <scheme val="minor"/>
      </rPr>
      <t>125</t>
    </r>
    <r>
      <rPr>
        <b/>
        <sz val="12"/>
        <color rgb="FF0000FF"/>
        <rFont val="Aptos Narrow"/>
        <family val="2"/>
        <scheme val="minor"/>
      </rPr>
      <t>-19:30</t>
    </r>
  </si>
  <si>
    <t>135-19:55g</t>
  </si>
  <si>
    <t>20:35x</t>
  </si>
  <si>
    <r>
      <rPr>
        <b/>
        <sz val="12"/>
        <rFont val="Aptos Narrow"/>
        <family val="2"/>
        <scheme val="minor"/>
      </rPr>
      <t>132</t>
    </r>
    <r>
      <rPr>
        <b/>
        <sz val="12"/>
        <color rgb="FF0000FF"/>
        <rFont val="Aptos Narrow"/>
        <family val="2"/>
        <scheme val="minor"/>
      </rPr>
      <t>-20:30</t>
    </r>
  </si>
  <si>
    <t>00:25x</t>
  </si>
  <si>
    <t>GARAGE</t>
  </si>
  <si>
    <t>MJSQ</t>
  </si>
  <si>
    <t>POOLBEG</t>
  </si>
  <si>
    <t xml:space="preserve">Route 7/7A   </t>
  </si>
  <si>
    <t xml:space="preserve">Donnybrook </t>
  </si>
  <si>
    <t>Sunday</t>
  </si>
  <si>
    <t>Rte 47</t>
  </si>
  <si>
    <t>Bus 7</t>
  </si>
  <si>
    <t>Bus 1A</t>
  </si>
  <si>
    <t>2047002</t>
  </si>
  <si>
    <t>2047001</t>
  </si>
  <si>
    <t>102-7:30g</t>
  </si>
  <si>
    <t>104-7:50g</t>
  </si>
  <si>
    <t>106-8:10g</t>
  </si>
  <si>
    <t>101-7:20g</t>
  </si>
  <si>
    <t>103-7:40g</t>
  </si>
  <si>
    <t>105-8:00g</t>
  </si>
  <si>
    <t>107-8:20g</t>
  </si>
  <si>
    <t>109-8:40g</t>
  </si>
  <si>
    <t>10-9:00g</t>
  </si>
  <si>
    <t>09-9:00g</t>
  </si>
  <si>
    <t>08:50A</t>
  </si>
  <si>
    <t>08:40A</t>
  </si>
  <si>
    <t>09:20A</t>
  </si>
  <si>
    <t>156-10:50g</t>
  </si>
  <si>
    <r>
      <rPr>
        <b/>
        <sz val="12"/>
        <rFont val="Aptos Narrow"/>
        <family val="2"/>
        <scheme val="minor"/>
      </rPr>
      <t>152</t>
    </r>
    <r>
      <rPr>
        <b/>
        <sz val="12"/>
        <color rgb="FF0070C0"/>
        <rFont val="Aptos Narrow"/>
        <family val="2"/>
        <scheme val="minor"/>
      </rPr>
      <t>-10:10A</t>
    </r>
  </si>
  <si>
    <r>
      <rPr>
        <b/>
        <sz val="12"/>
        <rFont val="Aptos Narrow"/>
        <family val="2"/>
        <scheme val="minor"/>
      </rPr>
      <t>153</t>
    </r>
    <r>
      <rPr>
        <b/>
        <sz val="12"/>
        <color rgb="FF0070C0"/>
        <rFont val="Aptos Narrow"/>
        <family val="2"/>
        <scheme val="minor"/>
      </rPr>
      <t>-10:30</t>
    </r>
  </si>
  <si>
    <r>
      <rPr>
        <b/>
        <sz val="12"/>
        <rFont val="Aptos Narrow"/>
        <family val="2"/>
        <scheme val="minor"/>
      </rPr>
      <t>154</t>
    </r>
    <r>
      <rPr>
        <b/>
        <sz val="12"/>
        <color rgb="FF0070C0"/>
        <rFont val="Aptos Narrow"/>
        <family val="2"/>
        <scheme val="minor"/>
      </rPr>
      <t>-10:50A</t>
    </r>
  </si>
  <si>
    <r>
      <rPr>
        <b/>
        <sz val="12"/>
        <rFont val="Aptos Narrow"/>
        <family val="2"/>
        <scheme val="minor"/>
      </rPr>
      <t>106</t>
    </r>
    <r>
      <rPr>
        <b/>
        <sz val="12"/>
        <color rgb="FF0070C0"/>
        <rFont val="Aptos Narrow"/>
        <family val="2"/>
        <scheme val="minor"/>
      </rPr>
      <t>-11:10</t>
    </r>
  </si>
  <si>
    <t>11:25A</t>
  </si>
  <si>
    <t>114-12:50g</t>
  </si>
  <si>
    <t>10:40A</t>
  </si>
  <si>
    <t>155-10:30g</t>
  </si>
  <si>
    <t>11:20A</t>
  </si>
  <si>
    <t>12:40A</t>
  </si>
  <si>
    <t>13:20A</t>
  </si>
  <si>
    <r>
      <rPr>
        <b/>
        <sz val="12"/>
        <rFont val="Aptos Narrow"/>
        <family val="2"/>
        <scheme val="minor"/>
      </rPr>
      <t>05</t>
    </r>
    <r>
      <rPr>
        <b/>
        <sz val="12"/>
        <color rgb="FF0070C0"/>
        <rFont val="Aptos Narrow"/>
        <family val="2"/>
        <scheme val="minor"/>
      </rPr>
      <t>-12:45</t>
    </r>
  </si>
  <si>
    <t>157-11:30g</t>
  </si>
  <si>
    <t>113-12:45g</t>
  </si>
  <si>
    <t>13:05X</t>
  </si>
  <si>
    <r>
      <rPr>
        <b/>
        <sz val="12"/>
        <rFont val="Aptos Narrow"/>
        <family val="2"/>
        <scheme val="minor"/>
      </rPr>
      <t>101</t>
    </r>
    <r>
      <rPr>
        <b/>
        <sz val="12"/>
        <color rgb="FF0070C0"/>
        <rFont val="Aptos Narrow"/>
        <family val="2"/>
        <scheme val="minor"/>
      </rPr>
      <t>-12:15</t>
    </r>
  </si>
  <si>
    <r>
      <rPr>
        <b/>
        <sz val="12"/>
        <rFont val="Aptos Narrow"/>
        <family val="2"/>
        <scheme val="minor"/>
      </rPr>
      <t>103</t>
    </r>
    <r>
      <rPr>
        <b/>
        <sz val="12"/>
        <color rgb="FF0070C0"/>
        <rFont val="Aptos Narrow"/>
        <family val="2"/>
        <scheme val="minor"/>
      </rPr>
      <t>-12:30A</t>
    </r>
  </si>
  <si>
    <r>
      <rPr>
        <b/>
        <sz val="12"/>
        <rFont val="Aptos Narrow"/>
        <family val="2"/>
        <scheme val="minor"/>
      </rPr>
      <t>111</t>
    </r>
    <r>
      <rPr>
        <b/>
        <sz val="12"/>
        <color rgb="FF0070C0"/>
        <rFont val="Aptos Narrow"/>
        <family val="2"/>
        <scheme val="minor"/>
      </rPr>
      <t>-12:40</t>
    </r>
  </si>
  <si>
    <r>
      <rPr>
        <b/>
        <sz val="12"/>
        <rFont val="Aptos Narrow"/>
        <family val="2"/>
        <scheme val="minor"/>
      </rPr>
      <t>112</t>
    </r>
    <r>
      <rPr>
        <b/>
        <sz val="12"/>
        <color rgb="FF0070C0"/>
        <rFont val="Aptos Narrow"/>
        <family val="2"/>
        <scheme val="minor"/>
      </rPr>
      <t>-13:00A</t>
    </r>
  </si>
  <si>
    <r>
      <rPr>
        <b/>
        <sz val="12"/>
        <rFont val="Aptos Narrow"/>
        <family val="2"/>
        <scheme val="minor"/>
      </rPr>
      <t>115</t>
    </r>
    <r>
      <rPr>
        <b/>
        <sz val="12"/>
        <color rgb="FF0070C0"/>
        <rFont val="Aptos Narrow"/>
        <family val="2"/>
        <scheme val="minor"/>
      </rPr>
      <t>-13:40A</t>
    </r>
  </si>
  <si>
    <r>
      <rPr>
        <b/>
        <sz val="12"/>
        <rFont val="Aptos Narrow"/>
        <family val="2"/>
        <scheme val="minor"/>
      </rPr>
      <t>156</t>
    </r>
    <r>
      <rPr>
        <b/>
        <sz val="12"/>
        <color rgb="FF0070C0"/>
        <rFont val="Aptos Narrow"/>
        <family val="2"/>
        <scheme val="minor"/>
      </rPr>
      <t>-14:00</t>
    </r>
  </si>
  <si>
    <r>
      <rPr>
        <b/>
        <sz val="12"/>
        <rFont val="Aptos Narrow"/>
        <family val="2"/>
        <scheme val="minor"/>
      </rPr>
      <t>116</t>
    </r>
    <r>
      <rPr>
        <b/>
        <sz val="12"/>
        <color rgb="FF0070C0"/>
        <rFont val="Aptos Narrow"/>
        <family val="2"/>
        <scheme val="minor"/>
      </rPr>
      <t>-14:20A</t>
    </r>
  </si>
  <si>
    <r>
      <rPr>
        <b/>
        <sz val="12"/>
        <rFont val="Aptos Narrow"/>
        <family val="2"/>
        <scheme val="minor"/>
      </rPr>
      <t>152</t>
    </r>
    <r>
      <rPr>
        <b/>
        <sz val="12"/>
        <color rgb="FF0070C0"/>
        <rFont val="Aptos Narrow"/>
        <family val="2"/>
        <scheme val="minor"/>
      </rPr>
      <t>-14:40</t>
    </r>
  </si>
  <si>
    <r>
      <rPr>
        <b/>
        <sz val="12"/>
        <rFont val="Aptos Narrow"/>
        <family val="2"/>
        <scheme val="minor"/>
      </rPr>
      <t>153</t>
    </r>
    <r>
      <rPr>
        <b/>
        <sz val="12"/>
        <color rgb="FF0070C0"/>
        <rFont val="Aptos Narrow"/>
        <family val="2"/>
        <scheme val="minor"/>
      </rPr>
      <t>-15:00A</t>
    </r>
  </si>
  <si>
    <t>13:35g</t>
  </si>
  <si>
    <r>
      <rPr>
        <b/>
        <sz val="12"/>
        <rFont val="Aptos Narrow"/>
        <family val="2"/>
        <scheme val="minor"/>
      </rPr>
      <t>4X</t>
    </r>
    <r>
      <rPr>
        <b/>
        <sz val="12"/>
        <color rgb="FF0070C0"/>
        <rFont val="Aptos Narrow"/>
        <family val="2"/>
        <scheme val="minor"/>
      </rPr>
      <t>-14:00</t>
    </r>
  </si>
  <si>
    <r>
      <rPr>
        <b/>
        <sz val="12"/>
        <rFont val="Aptos Narrow"/>
        <family val="2"/>
        <scheme val="minor"/>
      </rPr>
      <t>16</t>
    </r>
    <r>
      <rPr>
        <b/>
        <sz val="12"/>
        <color rgb="FF0070C0"/>
        <rFont val="Aptos Narrow"/>
        <family val="2"/>
        <scheme val="minor"/>
      </rPr>
      <t>-15:15</t>
    </r>
  </si>
  <si>
    <t>14:05X</t>
  </si>
  <si>
    <t>15:20A</t>
  </si>
  <si>
    <t>16:40A</t>
  </si>
  <si>
    <t>122-16:15g</t>
  </si>
  <si>
    <r>
      <rPr>
        <b/>
        <sz val="12"/>
        <rFont val="Aptos Narrow"/>
        <family val="2"/>
        <scheme val="minor"/>
      </rPr>
      <t>20</t>
    </r>
    <r>
      <rPr>
        <b/>
        <sz val="12"/>
        <color rgb="FF0070C0"/>
        <rFont val="Aptos Narrow"/>
        <family val="2"/>
        <scheme val="minor"/>
      </rPr>
      <t>-16:30</t>
    </r>
  </si>
  <si>
    <r>
      <rPr>
        <b/>
        <sz val="12"/>
        <rFont val="Aptos Narrow"/>
        <family val="2"/>
        <scheme val="minor"/>
      </rPr>
      <t>11</t>
    </r>
    <r>
      <rPr>
        <b/>
        <sz val="12"/>
        <color rgb="FF0070C0"/>
        <rFont val="Aptos Narrow"/>
        <family val="2"/>
        <scheme val="minor"/>
      </rPr>
      <t>-17:45</t>
    </r>
  </si>
  <si>
    <r>
      <rPr>
        <b/>
        <sz val="12"/>
        <rFont val="Aptos Narrow"/>
        <family val="2"/>
        <scheme val="minor"/>
      </rPr>
      <t>154</t>
    </r>
    <r>
      <rPr>
        <b/>
        <sz val="12"/>
        <color rgb="FF0070C0"/>
        <rFont val="Aptos Narrow"/>
        <family val="2"/>
        <scheme val="minor"/>
      </rPr>
      <t>-15:20</t>
    </r>
  </si>
  <si>
    <r>
      <rPr>
        <b/>
        <sz val="12"/>
        <rFont val="Aptos Narrow"/>
        <family val="2"/>
        <scheme val="minor"/>
      </rPr>
      <t>118</t>
    </r>
    <r>
      <rPr>
        <b/>
        <sz val="12"/>
        <color rgb="FF0070C0"/>
        <rFont val="Aptos Narrow"/>
        <family val="2"/>
        <scheme val="minor"/>
      </rPr>
      <t>-15:40A</t>
    </r>
  </si>
  <si>
    <r>
      <rPr>
        <b/>
        <sz val="12"/>
        <rFont val="Aptos Narrow"/>
        <family val="2"/>
        <scheme val="minor"/>
      </rPr>
      <t>119</t>
    </r>
    <r>
      <rPr>
        <b/>
        <sz val="12"/>
        <color rgb="FF0070C0"/>
        <rFont val="Aptos Narrow"/>
        <family val="2"/>
        <scheme val="minor"/>
      </rPr>
      <t>-16:00</t>
    </r>
  </si>
  <si>
    <r>
      <rPr>
        <b/>
        <sz val="12"/>
        <rFont val="Aptos Narrow"/>
        <family val="2"/>
        <scheme val="minor"/>
      </rPr>
      <t>120-</t>
    </r>
    <r>
      <rPr>
        <b/>
        <sz val="12"/>
        <color rgb="FF0070C0"/>
        <rFont val="Aptos Narrow"/>
        <family val="2"/>
        <scheme val="minor"/>
      </rPr>
      <t>16:20A</t>
    </r>
  </si>
  <si>
    <r>
      <rPr>
        <b/>
        <sz val="12"/>
        <rFont val="Aptos Narrow"/>
        <family val="2"/>
        <scheme val="minor"/>
      </rPr>
      <t>114</t>
    </r>
    <r>
      <rPr>
        <b/>
        <sz val="12"/>
        <color rgb="FF0070C0"/>
        <rFont val="Aptos Narrow"/>
        <family val="2"/>
        <scheme val="minor"/>
      </rPr>
      <t>-16:35</t>
    </r>
  </si>
  <si>
    <t>16:50A</t>
  </si>
  <si>
    <r>
      <rPr>
        <b/>
        <sz val="12"/>
        <rFont val="Aptos Narrow"/>
        <family val="2"/>
        <scheme val="minor"/>
      </rPr>
      <t>157</t>
    </r>
    <r>
      <rPr>
        <b/>
        <sz val="12"/>
        <color rgb="FF0070C0"/>
        <rFont val="Aptos Narrow"/>
        <family val="2"/>
        <scheme val="minor"/>
      </rPr>
      <t>-17:05</t>
    </r>
  </si>
  <si>
    <t>17:20A</t>
  </si>
  <si>
    <r>
      <rPr>
        <b/>
        <sz val="12"/>
        <rFont val="Aptos Narrow"/>
        <family val="2"/>
        <scheme val="minor"/>
      </rPr>
      <t>124</t>
    </r>
    <r>
      <rPr>
        <b/>
        <sz val="12"/>
        <color rgb="FF0070C0"/>
        <rFont val="Aptos Narrow"/>
        <family val="2"/>
        <scheme val="minor"/>
      </rPr>
      <t>-17:40</t>
    </r>
  </si>
  <si>
    <r>
      <rPr>
        <b/>
        <sz val="12"/>
        <rFont val="Aptos Narrow"/>
        <family val="2"/>
        <scheme val="minor"/>
      </rPr>
      <t>112</t>
    </r>
    <r>
      <rPr>
        <b/>
        <sz val="12"/>
        <color rgb="FF0070C0"/>
        <rFont val="Aptos Narrow"/>
        <family val="2"/>
        <scheme val="minor"/>
      </rPr>
      <t>-18:00A</t>
    </r>
  </si>
  <si>
    <r>
      <rPr>
        <b/>
        <sz val="12"/>
        <rFont val="Aptos Narrow"/>
        <family val="2"/>
        <scheme val="minor"/>
      </rPr>
      <t>113</t>
    </r>
    <r>
      <rPr>
        <b/>
        <sz val="12"/>
        <color rgb="FF0070C0"/>
        <rFont val="Aptos Narrow"/>
        <family val="2"/>
        <scheme val="minor"/>
      </rPr>
      <t>-18:20</t>
    </r>
  </si>
  <si>
    <t>18:40A</t>
  </si>
  <si>
    <t>19:20A</t>
  </si>
  <si>
    <r>
      <rPr>
        <b/>
        <sz val="12"/>
        <rFont val="Aptos Narrow"/>
        <family val="2"/>
        <scheme val="minor"/>
      </rPr>
      <t>15</t>
    </r>
    <r>
      <rPr>
        <b/>
        <sz val="12"/>
        <color rgb="FF0070C0"/>
        <rFont val="Aptos Narrow"/>
        <family val="2"/>
        <scheme val="minor"/>
      </rPr>
      <t>-19:00</t>
    </r>
  </si>
  <si>
    <r>
      <rPr>
        <b/>
        <sz val="12"/>
        <rFont val="Aptos Narrow"/>
        <family val="2"/>
        <scheme val="minor"/>
      </rPr>
      <t>18</t>
    </r>
    <r>
      <rPr>
        <b/>
        <sz val="12"/>
        <color rgb="FF0070C0"/>
        <rFont val="Aptos Narrow"/>
        <family val="2"/>
        <scheme val="minor"/>
      </rPr>
      <t>-20:15</t>
    </r>
  </si>
  <si>
    <t>18:24X</t>
  </si>
  <si>
    <t>18:44X</t>
  </si>
  <si>
    <t>18:19X</t>
  </si>
  <si>
    <r>
      <rPr>
        <b/>
        <sz val="12"/>
        <rFont val="Aptos Narrow"/>
        <family val="2"/>
        <scheme val="minor"/>
      </rPr>
      <t>115</t>
    </r>
    <r>
      <rPr>
        <b/>
        <sz val="12"/>
        <color rgb="FF0070C0"/>
        <rFont val="Aptos Narrow"/>
        <family val="2"/>
        <scheme val="minor"/>
      </rPr>
      <t>-18:40A</t>
    </r>
  </si>
  <si>
    <r>
      <rPr>
        <b/>
        <sz val="12"/>
        <rFont val="Aptos Narrow"/>
        <family val="2"/>
        <scheme val="minor"/>
      </rPr>
      <t>125-</t>
    </r>
    <r>
      <rPr>
        <b/>
        <sz val="12"/>
        <color rgb="FF0070C0"/>
        <rFont val="Aptos Narrow"/>
        <family val="2"/>
        <scheme val="minor"/>
      </rPr>
      <t>19:00</t>
    </r>
  </si>
  <si>
    <r>
      <rPr>
        <b/>
        <sz val="12"/>
        <rFont val="Aptos Narrow"/>
        <family val="2"/>
        <scheme val="minor"/>
      </rPr>
      <t>126</t>
    </r>
    <r>
      <rPr>
        <b/>
        <sz val="12"/>
        <color rgb="FF0070C0"/>
        <rFont val="Aptos Narrow"/>
        <family val="2"/>
        <scheme val="minor"/>
      </rPr>
      <t>-19:20A</t>
    </r>
  </si>
  <si>
    <r>
      <rPr>
        <b/>
        <sz val="12"/>
        <rFont val="Aptos Narrow"/>
        <family val="2"/>
        <scheme val="minor"/>
      </rPr>
      <t>123</t>
    </r>
    <r>
      <rPr>
        <b/>
        <sz val="12"/>
        <color rgb="FF0070C0"/>
        <rFont val="Aptos Narrow"/>
        <family val="2"/>
        <scheme val="minor"/>
      </rPr>
      <t>-19:40</t>
    </r>
  </si>
  <si>
    <r>
      <rPr>
        <b/>
        <sz val="12"/>
        <rFont val="Aptos Narrow"/>
        <family val="2"/>
        <scheme val="minor"/>
      </rPr>
      <t>118</t>
    </r>
    <r>
      <rPr>
        <b/>
        <sz val="12"/>
        <color rgb="FF0070C0"/>
        <rFont val="Aptos Narrow"/>
        <family val="2"/>
        <scheme val="minor"/>
      </rPr>
      <t>-19:55A</t>
    </r>
  </si>
  <si>
    <t>18:54g</t>
  </si>
  <si>
    <t>19:14g</t>
  </si>
  <si>
    <r>
      <rPr>
        <b/>
        <sz val="12"/>
        <rFont val="Aptos Narrow"/>
        <family val="2"/>
        <scheme val="minor"/>
      </rPr>
      <t>119</t>
    </r>
    <r>
      <rPr>
        <b/>
        <sz val="12"/>
        <color rgb="FF0070C0"/>
        <rFont val="Aptos Narrow"/>
        <family val="2"/>
        <scheme val="minor"/>
      </rPr>
      <t>-20:10</t>
    </r>
  </si>
  <si>
    <t>20:25A</t>
  </si>
  <si>
    <r>
      <rPr>
        <b/>
        <sz val="12"/>
        <rFont val="Aptos Narrow"/>
        <family val="2"/>
        <scheme val="minor"/>
      </rPr>
      <t>120</t>
    </r>
    <r>
      <rPr>
        <b/>
        <sz val="12"/>
        <color rgb="FF0070C0"/>
        <rFont val="Aptos Narrow"/>
        <family val="2"/>
        <scheme val="minor"/>
      </rPr>
      <t>-20:40</t>
    </r>
  </si>
  <si>
    <r>
      <rPr>
        <b/>
        <sz val="12"/>
        <rFont val="Aptos Narrow"/>
        <family val="2"/>
        <scheme val="minor"/>
      </rPr>
      <t>22</t>
    </r>
    <r>
      <rPr>
        <b/>
        <sz val="12"/>
        <color rgb="FF0070C0"/>
        <rFont val="Aptos Narrow"/>
        <family val="2"/>
        <scheme val="minor"/>
      </rPr>
      <t>-21:30</t>
    </r>
  </si>
  <si>
    <t>18:49g</t>
  </si>
  <si>
    <t>20:40A</t>
  </si>
  <si>
    <t>21:20A</t>
  </si>
  <si>
    <r>
      <rPr>
        <b/>
        <sz val="12"/>
        <rFont val="Aptos Narrow"/>
        <family val="2"/>
        <scheme val="minor"/>
      </rPr>
      <t>122</t>
    </r>
    <r>
      <rPr>
        <b/>
        <sz val="12"/>
        <color rgb="FF0070C0"/>
        <rFont val="Aptos Narrow"/>
        <family val="2"/>
        <scheme val="minor"/>
      </rPr>
      <t>-21:00A</t>
    </r>
  </si>
  <si>
    <t>22:40A</t>
  </si>
  <si>
    <t>00:45g</t>
  </si>
  <si>
    <t>23:10X</t>
  </si>
  <si>
    <t>23:50X</t>
  </si>
  <si>
    <t>23:40g</t>
  </si>
  <si>
    <t>00:20g</t>
  </si>
  <si>
    <t>2047003</t>
  </si>
  <si>
    <t>151-9:30g</t>
  </si>
  <si>
    <t>110-9:00g</t>
  </si>
  <si>
    <t>108-8:25g</t>
  </si>
  <si>
    <t>2047004</t>
  </si>
  <si>
    <t>105-13:30g</t>
  </si>
  <si>
    <r>
      <rPr>
        <b/>
        <sz val="12"/>
        <rFont val="Aptos Narrow"/>
        <family val="2"/>
        <scheme val="minor"/>
      </rPr>
      <t>155-</t>
    </r>
    <r>
      <rPr>
        <b/>
        <sz val="12"/>
        <color rgb="FF0070C0"/>
        <rFont val="Aptos Narrow"/>
        <family val="2"/>
        <scheme val="minor"/>
      </rPr>
      <t>13:30</t>
    </r>
  </si>
  <si>
    <t>13:45x</t>
  </si>
  <si>
    <t>2047005</t>
  </si>
  <si>
    <r>
      <rPr>
        <b/>
        <sz val="12"/>
        <rFont val="Aptos Narrow"/>
        <family val="2"/>
        <scheme val="minor"/>
      </rPr>
      <t>117</t>
    </r>
    <r>
      <rPr>
        <b/>
        <sz val="12"/>
        <color rgb="FF0070C0"/>
        <rFont val="Aptos Narrow"/>
        <family val="2"/>
        <scheme val="minor"/>
      </rPr>
      <t>-14:30</t>
    </r>
  </si>
  <si>
    <t>14:15g</t>
  </si>
  <si>
    <r>
      <rPr>
        <b/>
        <sz val="12"/>
        <rFont val="Aptos Narrow"/>
        <family val="2"/>
        <scheme val="minor"/>
      </rPr>
      <t>151</t>
    </r>
    <r>
      <rPr>
        <b/>
        <sz val="12"/>
        <color rgb="FF0070C0"/>
        <rFont val="Aptos Narrow"/>
        <family val="2"/>
        <scheme val="minor"/>
      </rPr>
      <t>-15:30</t>
    </r>
  </si>
  <si>
    <t>123-16:25g</t>
  </si>
  <si>
    <r>
      <rPr>
        <b/>
        <sz val="12"/>
        <rFont val="Aptos Narrow"/>
        <family val="2"/>
        <scheme val="minor"/>
      </rPr>
      <t>121</t>
    </r>
    <r>
      <rPr>
        <b/>
        <sz val="12"/>
        <color rgb="FF0070C0"/>
        <rFont val="Aptos Narrow"/>
        <family val="2"/>
        <scheme val="minor"/>
      </rPr>
      <t>-16:30</t>
    </r>
  </si>
  <si>
    <t>16:45x</t>
  </si>
  <si>
    <r>
      <rPr>
        <b/>
        <sz val="12"/>
        <rFont val="Aptos Narrow"/>
        <family val="2"/>
        <scheme val="minor"/>
      </rPr>
      <t>111</t>
    </r>
    <r>
      <rPr>
        <b/>
        <sz val="12"/>
        <color rgb="FF0070C0"/>
        <rFont val="Aptos Narrow"/>
        <family val="2"/>
        <scheme val="minor"/>
      </rPr>
      <t>-17:30</t>
    </r>
  </si>
  <si>
    <t>17:15g</t>
  </si>
  <si>
    <r>
      <rPr>
        <b/>
        <sz val="12"/>
        <rFont val="Aptos Narrow"/>
        <family val="2"/>
        <scheme val="minor"/>
      </rPr>
      <t>117-</t>
    </r>
    <r>
      <rPr>
        <b/>
        <sz val="12"/>
        <color rgb="FF0070C0"/>
        <rFont val="Aptos Narrow"/>
        <family val="2"/>
        <scheme val="minor"/>
      </rPr>
      <t>18:30</t>
    </r>
  </si>
  <si>
    <r>
      <rPr>
        <b/>
        <sz val="12"/>
        <rFont val="Aptos Narrow"/>
        <family val="2"/>
        <scheme val="minor"/>
      </rPr>
      <t>116</t>
    </r>
    <r>
      <rPr>
        <b/>
        <sz val="12"/>
        <color rgb="FF0070C0"/>
        <rFont val="Aptos Narrow"/>
        <family val="2"/>
        <scheme val="minor"/>
      </rPr>
      <t>-19:30</t>
    </r>
  </si>
  <si>
    <r>
      <rPr>
        <b/>
        <sz val="12"/>
        <rFont val="Aptos Narrow"/>
        <family val="2"/>
        <scheme val="minor"/>
      </rPr>
      <t>121</t>
    </r>
    <r>
      <rPr>
        <b/>
        <sz val="12"/>
        <color rgb="FF0070C0"/>
        <rFont val="Aptos Narrow"/>
        <family val="2"/>
        <scheme val="minor"/>
      </rPr>
      <t>-20:30</t>
    </r>
  </si>
  <si>
    <r>
      <rPr>
        <b/>
        <sz val="12"/>
        <rFont val="Aptos Narrow"/>
        <family val="2"/>
        <scheme val="minor"/>
      </rPr>
      <t>124</t>
    </r>
    <r>
      <rPr>
        <b/>
        <sz val="12"/>
        <color rgb="FF0070C0"/>
        <rFont val="Aptos Narrow"/>
        <family val="2"/>
        <scheme val="minor"/>
      </rPr>
      <t>-21:30</t>
    </r>
  </si>
  <si>
    <t>21:05g</t>
  </si>
  <si>
    <t>00:30X</t>
  </si>
  <si>
    <t>RUNNING BOARD</t>
  </si>
  <si>
    <t>BUS ATHA CLIATH   -   DUBLIN BUS</t>
  </si>
  <si>
    <t>Donnybrook 2</t>
  </si>
  <si>
    <t>Route 7 A/B/D/E</t>
  </si>
  <si>
    <t>Donnybrook (002)</t>
  </si>
  <si>
    <t>Monday - Friday</t>
  </si>
  <si>
    <t>BUS 1</t>
  </si>
  <si>
    <t>Route</t>
  </si>
  <si>
    <t>Place</t>
  </si>
  <si>
    <t>Arr</t>
  </si>
  <si>
    <t>Dep</t>
  </si>
  <si>
    <t>Reports at 04:42</t>
  </si>
  <si>
    <t>Takes up at 17:15 Mountjoy Square</t>
  </si>
  <si>
    <t>SPL</t>
  </si>
  <si>
    <t>Departs Garage</t>
  </si>
  <si>
    <t>7A</t>
  </si>
  <si>
    <t>Mountjoy Square</t>
  </si>
  <si>
    <t>7E</t>
  </si>
  <si>
    <t>Takes Bus 8 (Route 7) at 21:30 at Mountjoy Square</t>
  </si>
  <si>
    <t>Takes up at 20:15 Mountjoy Square</t>
  </si>
  <si>
    <t>Takes up at 10:15 Mountjoy Square</t>
  </si>
  <si>
    <t>Donnybrook Garage</t>
  </si>
  <si>
    <t>Takes up at 13:45 Mountjoy Square</t>
  </si>
  <si>
    <t>BUS 2</t>
  </si>
  <si>
    <t>Reports at 05:00</t>
  </si>
  <si>
    <t>Takes up at 18:45 Mountjoy Square</t>
  </si>
  <si>
    <t>Takes Bus 3 (Route 47) at 09:10 at Poolbeg Street</t>
  </si>
  <si>
    <t>Takes up at 21:45 Mountjoy Square</t>
  </si>
  <si>
    <t>Takes up at 08:15 Mountjoy Square</t>
  </si>
  <si>
    <t>Takes Bus 6 (Route 7) at 14:30 at Mountjoy Square</t>
  </si>
  <si>
    <t>Takes up at 11:45 Mountjoy Square</t>
  </si>
  <si>
    <t>Takes up at 15:15 Mountjoy Square</t>
  </si>
  <si>
    <t>BUS 3</t>
  </si>
  <si>
    <t>Reports at 05:12</t>
  </si>
  <si>
    <t>Reports at 20:42</t>
  </si>
  <si>
    <t>Takes Bus 19 (Route 7) at 10:00 at Mountjoy Square</t>
  </si>
  <si>
    <t>Takes up at 08:45 Mountjoy Square</t>
  </si>
  <si>
    <t>Takes Bus 1 (Route 7A) at 13:45 at Mountjoy Square</t>
  </si>
  <si>
    <t>Takes up at 12:15 Mountjoy Square</t>
  </si>
  <si>
    <t>BUS 4</t>
  </si>
  <si>
    <t>Reports at 05:22</t>
  </si>
  <si>
    <t>Takes up at 17:45 Mountjoy Square</t>
  </si>
  <si>
    <t>Takes up at 20:45 Mountjoy Square</t>
  </si>
  <si>
    <t>Takes up at 10:45 Mountjoy Square</t>
  </si>
  <si>
    <t>Takes up at 14:15 Mountjoy Square</t>
  </si>
  <si>
    <t>Takes Bus 2 (Route 47) at 18:45 at Poolbeg Street</t>
  </si>
  <si>
    <t>BUS 5</t>
  </si>
  <si>
    <t>Reports at 05:27</t>
  </si>
  <si>
    <t>Takes up at 16:00 Mountjoy Square</t>
  </si>
  <si>
    <t>Takes up at 09:00 Mountjoy Square</t>
  </si>
  <si>
    <t>Takes Bus 15 (Route 7A) at 15:45 at Mountjoy Square</t>
  </si>
  <si>
    <t>Takes up at 12:30 Mountjoy Square</t>
  </si>
  <si>
    <t>Takes Bus 14 (Route 7) at 17:00 at Mountjoy Square</t>
  </si>
  <si>
    <t>BUS 6</t>
  </si>
  <si>
    <t>Reports at 05:37</t>
  </si>
  <si>
    <t>Takes up at 18:00 Mountjoy Square</t>
  </si>
  <si>
    <t>Takes up at 21:00 Mountjoy Square</t>
  </si>
  <si>
    <t>Takes up at 11:00 Mountjoy Square</t>
  </si>
  <si>
    <t>Takes up at 14:30 Mountjoy Square</t>
  </si>
  <si>
    <t>BUS 7</t>
  </si>
  <si>
    <t>Reports at 05:42</t>
  </si>
  <si>
    <t>Takes up at 19:45 Mountjoy Square</t>
  </si>
  <si>
    <t>Reports at 12:22</t>
  </si>
  <si>
    <t>Takes Bus 6 (Route 7) at 18:00 at Mountjoy Square</t>
  </si>
  <si>
    <t>Takes up at 16:30 Mountjoy Square</t>
  </si>
  <si>
    <t>Takes Bus 4 (Route 7A) at 20:45 at Mountjoy Square</t>
  </si>
  <si>
    <t>BUS 8</t>
  </si>
  <si>
    <t>Reports at 05:52</t>
  </si>
  <si>
    <t>Takes up at 18:30 Mountjoy Square</t>
  </si>
  <si>
    <t>Takes up at 21:30 Mountjoy Square</t>
  </si>
  <si>
    <t>Takes up at 11:30 Mountjoy Square</t>
  </si>
  <si>
    <t>Takes up at 15:00 Mountjoy Square</t>
  </si>
  <si>
    <t>BUS 9</t>
  </si>
  <si>
    <t>Reports at 05:57</t>
  </si>
  <si>
    <t>Reports at 16:32</t>
  </si>
  <si>
    <t>7B</t>
  </si>
  <si>
    <t>Takes Bus 6 (Route 7) at 21:00 at Mountjoy Square</t>
  </si>
  <si>
    <t>BUS 10</t>
  </si>
  <si>
    <t>Reports at 06:07</t>
  </si>
  <si>
    <t>Takes up at 15:30 Mountjoy Square</t>
  </si>
  <si>
    <t>Takes Bus 17 (Route 7) at 09:30 at Mountjoy Square</t>
  </si>
  <si>
    <t>Takes up at 08:30 Mountjoy Square</t>
  </si>
  <si>
    <t>Takes Bus 8 (Route 7) at 15:00 at Mountjoy Square</t>
  </si>
  <si>
    <t>Takes up at 12:00 Mountjoy Square</t>
  </si>
  <si>
    <t>BUS 11</t>
  </si>
  <si>
    <t>Reports at 06:22</t>
  </si>
  <si>
    <t>Reports at 16:42</t>
  </si>
  <si>
    <t>BUS 12</t>
  </si>
  <si>
    <t>Reports at 06:32</t>
  </si>
  <si>
    <t>Takes up at 17:25 Mountjoy Square</t>
  </si>
  <si>
    <t>Takes Bus 3 (Route 47) at 12:00 at Poolbeg Street</t>
  </si>
  <si>
    <t>Takes up at 10:30 Mountjoy Square</t>
  </si>
  <si>
    <t>Takes up at 14:00 Mountjoy Square</t>
  </si>
  <si>
    <t>Takes Bus 8 (Route 7) at 18:30 at Mountjoy Square</t>
  </si>
  <si>
    <t>BUS 13</t>
  </si>
  <si>
    <t>Takes up at 19:30 Mountjoy Square</t>
  </si>
  <si>
    <t>Takes Bus 12 (Route 7) at 10:30 at Mountjoy Square</t>
  </si>
  <si>
    <t>Takes up at 09:15 Mountjoy Square</t>
  </si>
  <si>
    <t>Takes Bus 11 (Route 7B) at 16:42 at Garage</t>
  </si>
  <si>
    <t>Takes up at 12:45 Mountjoy Square</t>
  </si>
  <si>
    <t>Takes Bus 4 (Route 7A) at 17:45 at Mountjoy Square</t>
  </si>
  <si>
    <t>Takes up at 16:15 Mountjoy Square</t>
  </si>
  <si>
    <t>Takes Bus 3 (Route 47) at 20:30 at Poolbeg Street</t>
  </si>
  <si>
    <t>BUS 14</t>
  </si>
  <si>
    <t>Reports at 06:37</t>
  </si>
  <si>
    <t>7D</t>
  </si>
  <si>
    <t>Takes Bus 18 (Route 7A) at 11:15 at Mountjoy Square</t>
  </si>
  <si>
    <t>Reports at 11:07</t>
  </si>
  <si>
    <t>Takes Bus 19 (Route 7B) at 16:52 at Garage</t>
  </si>
  <si>
    <t>Takes up at 13:30 Mountjoy Square</t>
  </si>
  <si>
    <t>Takes Bus 2 (Route 7A) at 18:45 at Mountjoy Square</t>
  </si>
  <si>
    <t>Takes up at 17:00 Mountjoy Square</t>
  </si>
  <si>
    <t>BUS 15</t>
  </si>
  <si>
    <t>Reports at 06:42</t>
  </si>
  <si>
    <t>Reports at 21:12</t>
  </si>
  <si>
    <t>Takes Bus 8 (Route 7) at 11:30 at Mountjoy Square</t>
  </si>
  <si>
    <t>Reports at 13:22</t>
  </si>
  <si>
    <t>Takes Bus 16 (Route 7A) at 16:45 at Mountjoy Square</t>
  </si>
  <si>
    <t>Takes up at 15:45 Mountjoy Square</t>
  </si>
  <si>
    <t>BUS 16</t>
  </si>
  <si>
    <t>Reports at 06:57</t>
  </si>
  <si>
    <t>Takes up at 16:45 Mountjoy Square</t>
  </si>
  <si>
    <t>Takes Bus 6 (Route 7) at 11:00 at Mountjoy Square</t>
  </si>
  <si>
    <t>Takes up at 09:45 Mountjoy Square</t>
  </si>
  <si>
    <t>Takes Bus 2 (Route 7A) at 15:15 at Mountjoy Square</t>
  </si>
  <si>
    <t>Takes up at 13:15 Mountjoy Square</t>
  </si>
  <si>
    <t>Takes Bus 18 (Route 7A) at 18:15 at Mountjoy Square</t>
  </si>
  <si>
    <t>BUS 17</t>
  </si>
  <si>
    <t>Takes Bus 4 (Route 7A) at 10:45 at Mountjoy Square</t>
  </si>
  <si>
    <t>Takes up at 09:30 Mountjoy Square</t>
  </si>
  <si>
    <t>Reports at 16:47</t>
  </si>
  <si>
    <t>Takes Bus 2 (Route 47) at 21:30 at Poolbeg Street</t>
  </si>
  <si>
    <t>BUS 18</t>
  </si>
  <si>
    <t>Reports at 07:07</t>
  </si>
  <si>
    <t>Takes up at 18:15 Mountjoy Square</t>
  </si>
  <si>
    <t>Takes up at 21:15 Mountjoy Square</t>
  </si>
  <si>
    <t>Takes up at 11:15 Mountjoy Square</t>
  </si>
  <si>
    <t>Takes up at 14:45 Mountjoy Square</t>
  </si>
  <si>
    <t>Takes Bus 5 (Route 47) at 19:30 at Poolbeg Street</t>
  </si>
  <si>
    <t>BUS 19</t>
  </si>
  <si>
    <t>Reports at 07:12</t>
  </si>
  <si>
    <t>Takes Bus 2 (Route 7A) at 11:45 at Mountjoy Square</t>
  </si>
  <si>
    <t>Takes up at 10:00 Mountjoy Square</t>
  </si>
  <si>
    <t>Reports at 16:52</t>
  </si>
  <si>
    <t>BUS 20</t>
  </si>
  <si>
    <t>Reports at 07:22</t>
  </si>
  <si>
    <t>Takes Bus 20 (Route 7B) at 16:22 at Garage</t>
  </si>
  <si>
    <t>Reports at 16:22</t>
  </si>
  <si>
    <t>Poolbeg Street</t>
  </si>
  <si>
    <t>Takes Bus 15 (Route 7) at 21:12 at Garage</t>
  </si>
  <si>
    <t>Poolbeg Street (Via Mount Merrion)</t>
  </si>
  <si>
    <t>Belarmine (Via Mount Merrion)</t>
  </si>
  <si>
    <t>Takes Bus 6 (Route 47) at 16:52 at Garage</t>
  </si>
  <si>
    <t>Takes Bus 12 (Route 7) at 17:25 at Mountjoy Square</t>
  </si>
  <si>
    <t>Reports at 06:12</t>
  </si>
  <si>
    <t>Takes Bus 3 (Route 7A) at 12:15 at Mountjoy Square</t>
  </si>
  <si>
    <t>Reports at 14:52</t>
  </si>
  <si>
    <t>Takes Bus 1 (Route 7A) at 20:15 at Mountjoy Square</t>
  </si>
  <si>
    <t>Takes Bus 1 (Route 7A) at 10:15 at Mountjoy Square</t>
  </si>
  <si>
    <t>Takes Bus 2 (Route 7A) at 21:45 at Mountjoy Square</t>
  </si>
  <si>
    <t>Takes up at 09:10 Mountjoy Square</t>
  </si>
  <si>
    <t>Takes up at 20:30 Mountjoy Square</t>
  </si>
  <si>
    <t>Takes Bus 13 (Route 7) at 19:30 at Mountjoy Square</t>
  </si>
  <si>
    <t>Reports at 07:17</t>
  </si>
  <si>
    <t>Takes Bus 10 (Route 7) at 12:00 at Mountjoy Square</t>
  </si>
  <si>
    <t>Reports at 14:42</t>
  </si>
  <si>
    <t>Takes Bus 3 (Route 7) at 20:42 at Garage</t>
  </si>
  <si>
    <t>Reports at 15:22</t>
  </si>
  <si>
    <t>Takes Bus 18 (Route 7A) at 21:15 at Mountjoy Square</t>
  </si>
  <si>
    <t xml:space="preserve">Duty </t>
  </si>
  <si>
    <t>Reports at 05:07</t>
  </si>
  <si>
    <t xml:space="preserve">Departs Garage </t>
  </si>
  <si>
    <t>Mountjoy square</t>
  </si>
  <si>
    <t>7a</t>
  </si>
  <si>
    <t xml:space="preserve">Mountjoy Square </t>
  </si>
  <si>
    <t>Takes Bus 16 (Route 7A) at 15:00 at Mountjoy Square</t>
  </si>
  <si>
    <t>Takes up at 16:15 Mountjoy square</t>
  </si>
  <si>
    <t>Takes Bus 16 (Route 7A) at 21:10 at Mountjoy Square</t>
  </si>
  <si>
    <t>Takes up at 15:15 at Mountjoy Square</t>
  </si>
  <si>
    <t>Takes bus 11 (Route 7) at 11:00 at Mountjoy Square</t>
  </si>
  <si>
    <t xml:space="preserve">Finish </t>
  </si>
  <si>
    <t>Takes up at 18:30 at Mountjoy Square</t>
  </si>
  <si>
    <t>Takes Bus 14 (Route 7A) at 13:45 at Mountjoy Square</t>
  </si>
  <si>
    <t>Takes up at 09:40 at Mountjoy Square</t>
  </si>
  <si>
    <t>Takes up at 12:45 at Mountjoy Square</t>
  </si>
  <si>
    <t>Takes up at 20:30 at Mountjoy Square</t>
  </si>
  <si>
    <t>Reports at 11:57</t>
  </si>
  <si>
    <t>Takes Bus 1 (Route 47) at 18:15 at Poolbeg St.</t>
  </si>
  <si>
    <t>Takes up at 17:15 at Mountjoy Square</t>
  </si>
  <si>
    <t>Takes Bus 15 (Route 7A) at 21:50 at Mountjoy Square</t>
  </si>
  <si>
    <t>Reports at 06:52</t>
  </si>
  <si>
    <t>Reports at 15:27</t>
  </si>
  <si>
    <t>Takes Bus 1 (Route 7) at 19:30 at Mountjoy Square</t>
  </si>
  <si>
    <t>Takes up at 17:30 at Mountjoy Square</t>
  </si>
  <si>
    <t>Takes Bus 3 (Route 7) at 09:40 Mountjoy Square</t>
  </si>
  <si>
    <t>Takes up at 08:45 at Mountjoy Square</t>
  </si>
  <si>
    <t>Takes up at 11:30 at Mountjoy Square</t>
  </si>
  <si>
    <t>Takes up at 14:30 at Mountjoy Square</t>
  </si>
  <si>
    <t>Takes up at 16:00 at Mountjoy Square</t>
  </si>
  <si>
    <t>Takes Bus 9 (Route 7A) at 10:45 at Mountjoy Square</t>
  </si>
  <si>
    <t>Takes up at 19:10 at Mountjoy Square</t>
  </si>
  <si>
    <t>Take up at 09:30 at Mountjoy Square</t>
  </si>
  <si>
    <t>Takes bus 9 (Route 7) at 14:00 at Mountjoy Square</t>
  </si>
  <si>
    <t>Takes up at 12:30 at Mountjoy Square</t>
  </si>
  <si>
    <t>Reports at 11:48</t>
  </si>
  <si>
    <t>Takes Bus 6 (Route 7A) at 19:10 at Mountjoy Square</t>
  </si>
  <si>
    <t>Takes Bus 1 (Route 47) at 10:45 at Poolbeg St.</t>
  </si>
  <si>
    <t>Takes up at 16:45 at Mountjoy Square</t>
  </si>
  <si>
    <t>Takes up at 09:15 at Mountjoy Square</t>
  </si>
  <si>
    <t xml:space="preserve">Takes up at 12:15 at Mountjoy Square </t>
  </si>
  <si>
    <t>Takes Bus 2 (Route 7) at 12:00 at Mountjoy Square</t>
  </si>
  <si>
    <t>Takes up at 10:45 at Mountjoy Square</t>
  </si>
  <si>
    <t>Takes up at 17:00 at Mountjoy Square</t>
  </si>
  <si>
    <t>Takes Bus 3 (Route 7A) at 12:45 at Mountjoy Square</t>
  </si>
  <si>
    <t>Takes up at 11:15 at Mountjoy Square</t>
  </si>
  <si>
    <t>Reports at 07:42</t>
  </si>
  <si>
    <t>Takes up at 11:00 at Mountjoy Square</t>
  </si>
  <si>
    <t>Reports at 08:22</t>
  </si>
  <si>
    <t>Takes up at 13:30 at Mountjoy Square</t>
  </si>
  <si>
    <t>Takes up at 16:30 at Mountjoy Square</t>
  </si>
  <si>
    <t xml:space="preserve">Reports at 09:12 </t>
  </si>
  <si>
    <t>Takes Bus 17 (Route 7) at 15:45 at Mountjoy Square</t>
  </si>
  <si>
    <t>Takes up at 13:00 at Mountjoy Square</t>
  </si>
  <si>
    <t>Reports at 21:37</t>
  </si>
  <si>
    <t>Reports at 09:52</t>
  </si>
  <si>
    <t>Takes Bus 2 (Route 7) at 15:15 at Mountjoy Square</t>
  </si>
  <si>
    <t>Takes up at 13:45 at Mountjoy Square</t>
  </si>
  <si>
    <t>Takes up at 15:30 at Mountjoy Square</t>
  </si>
  <si>
    <t>Takes up at 18:50 at Mountjoy Square</t>
  </si>
  <si>
    <t>Takes up at 21:50 at Mountjoy Square</t>
  </si>
  <si>
    <t>Reports at 12:42</t>
  </si>
  <si>
    <t>Takes up at 15:00 at Mountjoy Square</t>
  </si>
  <si>
    <t>Takes up at 18:15 at Mountjoy Square</t>
  </si>
  <si>
    <t>Takes up at 21:10 at Mountjoy Square</t>
  </si>
  <si>
    <t>Reports at 13:27</t>
  </si>
  <si>
    <t>Takes Bus 9 (Route 7A) at 17:00 at Mountjoy Square</t>
  </si>
  <si>
    <t>Takes up at 15:45 at Mountjoy Square</t>
  </si>
  <si>
    <t xml:space="preserve">Reports at 14:02 </t>
  </si>
  <si>
    <t>Takes Bus 15 (Route 7) at 18:50 at Mountjoy Sqaure</t>
  </si>
  <si>
    <t>Takes up at 17:45 at Mountjoy Square</t>
  </si>
  <si>
    <t>Takes up at 20:50 at Mountjoy Square</t>
  </si>
  <si>
    <t>Reports at 14:12</t>
  </si>
  <si>
    <t>Takes Bus 2 (Route 47) at 19:30 at Poolbeg St.</t>
  </si>
  <si>
    <t>Takes up at 18:00 at Mountjoy Square</t>
  </si>
  <si>
    <t>Takes up at 18:15 at Poolbeg St.</t>
  </si>
  <si>
    <t>Takes up at 20:30 at Poolbeg St</t>
  </si>
  <si>
    <t>Takes up at 10:45 at Poolbeg St.</t>
  </si>
  <si>
    <t>Takes up at 15:45 at Poolbeg St.</t>
  </si>
  <si>
    <t>Takes up at 17:00 at Poolbeg St.</t>
  </si>
  <si>
    <t xml:space="preserve"> </t>
  </si>
  <si>
    <t>Takes up at 19:30 at Poolbeg St.</t>
  </si>
  <si>
    <t>Takes up at 09:30 at Poolbeg St.</t>
  </si>
  <si>
    <t>Takes Bus 1 (Route 47) at 15:45 at Poolbeg St.</t>
  </si>
  <si>
    <t>Takes up at 14:30 at Poolbeg St.</t>
  </si>
  <si>
    <t>Takes Bus 16 (Route 7) at 18:15 at Mountjoy Square</t>
  </si>
  <si>
    <t xml:space="preserve">Reports at 19:52 </t>
  </si>
  <si>
    <t>Route 7/A</t>
  </si>
  <si>
    <t>Takes Bus 2 (Route 7) at 12:15 at Mountjoy Square</t>
  </si>
  <si>
    <t>Takes Bus 12 (Route 7A) at 15:00 at Mountjoy Square</t>
  </si>
  <si>
    <t>Takes up at 15:20 Mountjoy Square</t>
  </si>
  <si>
    <t>Reports at 07:32</t>
  </si>
  <si>
    <t>Takes up at 17:40 Mountjoy Square</t>
  </si>
  <si>
    <t>Takes Bus 9 (Route 7A) at 12:30 at Mountjoy Square</t>
  </si>
  <si>
    <t>Takes up at 20:10 Mountjoy Square</t>
  </si>
  <si>
    <t>Takes up at 10:50 Mountjoy Square</t>
  </si>
  <si>
    <t>Takes Bus 2 (Route 7) at 15:20 at Mountjoy Square</t>
  </si>
  <si>
    <t>Takes up at 14:20 Mountjoy Square</t>
  </si>
  <si>
    <t>Takes Bus 1 (Route 47) at 19:30 at Poolbeg Street</t>
  </si>
  <si>
    <t>Takes up at 19:20 Mountjoy Square</t>
  </si>
  <si>
    <t>Takes up at 13:00 Mountjoy Square</t>
  </si>
  <si>
    <t>Takes Bus 5 (Route 7A) at 18:00 at Mountjoy Square</t>
  </si>
  <si>
    <t>Takes up at 16:20 Mountjoy Square</t>
  </si>
  <si>
    <t>Takes Bus 12 (Route 7) at 20:40 at Mountjoy Square</t>
  </si>
  <si>
    <t>Reports at 07:52</t>
  </si>
  <si>
    <t>Takes Bus 4 (Route 47) at 13:27 at Garage</t>
  </si>
  <si>
    <t>Takes up at 11:10 Mountjoy Square</t>
  </si>
  <si>
    <t>Takes up at 14:40 Mountjoy Square</t>
  </si>
  <si>
    <t>Reports at 08:02</t>
  </si>
  <si>
    <t>Takes Bus 5 (Route 7) at 11:10 at Mountjoy Square</t>
  </si>
  <si>
    <t>Takes up at 10:10 Mountjoy Square</t>
  </si>
  <si>
    <t>Takes Bus 5 (Route 7) at 14:40 at Mountjoy Square</t>
  </si>
  <si>
    <t>Takes up at 13:40 Mountjoy Square</t>
  </si>
  <si>
    <t>Takes Bus 11 (Route 7A) at 18:40 at Mountjoy Square</t>
  </si>
  <si>
    <t>Takes up at 17:05 Mountjoy Square</t>
  </si>
  <si>
    <t>Reports at 08:12</t>
  </si>
  <si>
    <t>Reports at 08:32</t>
  </si>
  <si>
    <t>Takes up at 19:55 Mountjoy Square</t>
  </si>
  <si>
    <t>Reports at 16:12</t>
  </si>
  <si>
    <t>Takes Bus 11 (Route 7A) at 21:00 at Mountjoy Square</t>
  </si>
  <si>
    <t>Reports at 10:22</t>
  </si>
  <si>
    <t>Takes Bus 1 (Route 47) at 13:30 at Poolbeg Street</t>
  </si>
  <si>
    <t>Reports at 10:42</t>
  </si>
  <si>
    <t>Takes up at 19:00 Mountjoy Square</t>
  </si>
  <si>
    <t>Takes Bus 1 (Route 7) at 14:00 at Mountjoy Square</t>
  </si>
  <si>
    <t>Takes up at 12:40 Mountjoy Square</t>
  </si>
  <si>
    <t>Takes Bus 3 (Route 47) at 17:30 at Poolbeg Street</t>
  </si>
  <si>
    <t>Takes Bus 3 (Route 7) at 20:10 at Poolbeg Street</t>
  </si>
  <si>
    <t>Reports at 11:22</t>
  </si>
  <si>
    <t>Takes Bus 6 (Route 7) at 17:05 at Mountjoy Square</t>
  </si>
  <si>
    <t>Takes up at 15:40 Mountjoy Square</t>
  </si>
  <si>
    <t>Takes Bus 8 (Route 7A) at 19:55 at Mountjoy Square</t>
  </si>
  <si>
    <t>Takes up at 18:40 Mountjoy Square</t>
  </si>
  <si>
    <t>Takes up at 20:40 Mountjoy Square</t>
  </si>
  <si>
    <t>Takes Bus 13 (Route 7) at 16:35 at Mountjoy Square</t>
  </si>
  <si>
    <t>Takes up at 18:20 Mountjoy Square</t>
  </si>
  <si>
    <t>Reports at 12:37</t>
  </si>
  <si>
    <t>Takes Bus 12 (Route 7) at 18:20 at Mountjoy Square</t>
  </si>
  <si>
    <t>Takes up at 16:35 Mountjoy Square</t>
  </si>
  <si>
    <t>Takes up at 19:40 Mountjoy Square</t>
  </si>
  <si>
    <t>Reports at 08:17</t>
  </si>
  <si>
    <t>Reports at 08:52</t>
  </si>
  <si>
    <t>Takes Bus 13 (Route 7) at 19:40 at Mountjoy Square</t>
  </si>
  <si>
    <t>Reports at 09:22</t>
  </si>
  <si>
    <t>Takes Bus 4 (Route 47) at 15:30 at Poolbeg Street</t>
  </si>
  <si>
    <t>Takes Bus 2 (Route 47) at 18:30 at Poolbeg Street</t>
  </si>
  <si>
    <t>Takes up at 17:30 Mountjoy Square</t>
  </si>
  <si>
    <t>DBRK Zone 5 Proposed Rota</t>
  </si>
  <si>
    <t>SUN</t>
  </si>
  <si>
    <t>MON</t>
  </si>
  <si>
    <t>TUE</t>
  </si>
  <si>
    <t>WED</t>
  </si>
  <si>
    <t>THU</t>
  </si>
  <si>
    <t>FRI</t>
  </si>
  <si>
    <t>SAT</t>
  </si>
  <si>
    <t>R</t>
  </si>
  <si>
    <t>DZ55/23</t>
  </si>
  <si>
    <t>Dalkey Dalkey Rota</t>
  </si>
  <si>
    <t xml:space="preserve">Donnybrook Zone 5 Route 7/47                                                                                                                                                       </t>
  </si>
  <si>
    <t>Proposed BH Roster</t>
  </si>
  <si>
    <t>M-F Duty</t>
  </si>
  <si>
    <t>To</t>
  </si>
  <si>
    <t xml:space="preserve">BH (Sun) Duty </t>
  </si>
  <si>
    <t>Mon</t>
  </si>
  <si>
    <t>B/Hol</t>
  </si>
  <si>
    <t>Tues</t>
  </si>
  <si>
    <t>Wed</t>
  </si>
  <si>
    <t>Thurs</t>
  </si>
  <si>
    <t>Fri</t>
  </si>
  <si>
    <t>Sat Duty</t>
  </si>
  <si>
    <t>Sat</t>
  </si>
  <si>
    <t>g</t>
  </si>
  <si>
    <t>6E</t>
  </si>
  <si>
    <t>1E</t>
  </si>
  <si>
    <t>2E</t>
  </si>
  <si>
    <t>3E</t>
  </si>
  <si>
    <t>5E</t>
  </si>
  <si>
    <t>4E</t>
  </si>
  <si>
    <t>8E</t>
  </si>
  <si>
    <t>Spare</t>
  </si>
  <si>
    <t xml:space="preserve">Donnybrook Zone 5 Route 7/47   Dalkey - Dalkey                                                                                                                                                    </t>
  </si>
  <si>
    <t>DZ5/3D</t>
  </si>
  <si>
    <t>2L</t>
  </si>
  <si>
    <t>DZ2/04D</t>
  </si>
  <si>
    <t>1L</t>
  </si>
  <si>
    <t>DZ2/03D</t>
  </si>
  <si>
    <t>Route 7</t>
  </si>
  <si>
    <t>Depot</t>
  </si>
  <si>
    <t>Mon-Fri Day Duties</t>
  </si>
  <si>
    <t>Sat Day Duties</t>
  </si>
  <si>
    <t>Sun Day Duties</t>
  </si>
  <si>
    <t>Mon-Fri Night Duties</t>
  </si>
  <si>
    <t>Sat Night Duties</t>
  </si>
  <si>
    <t>Sun Night Duties</t>
  </si>
  <si>
    <t>Mon-Fri Daily Revenue KM</t>
  </si>
  <si>
    <t>Sat Revenue KM</t>
  </si>
  <si>
    <t>Sun Revenue KM</t>
  </si>
  <si>
    <t>Mon-Fri Daily Total KM</t>
  </si>
  <si>
    <t>Sat Daily Total KM</t>
  </si>
  <si>
    <t>Sun Daily Total KM</t>
  </si>
  <si>
    <t>Mon-Fri Daily Veh Hrs</t>
  </si>
  <si>
    <t>Sat Veh Hrs</t>
  </si>
  <si>
    <t>Sun Veh Hrs</t>
  </si>
  <si>
    <t>M-F Ave Run Time Mins</t>
  </si>
  <si>
    <t>Sat Ave Run Time Mins</t>
  </si>
  <si>
    <t>Sun Ave Run Time Mins</t>
  </si>
  <si>
    <t>PVR</t>
  </si>
  <si>
    <t>Weekly Day Duties</t>
  </si>
  <si>
    <t>Weekly Night Duties</t>
  </si>
  <si>
    <t>Weekly Revenue KM</t>
  </si>
  <si>
    <t>Weekly Total KM</t>
  </si>
  <si>
    <t>Weekly Veh Hrs</t>
  </si>
  <si>
    <t>Current Schedule</t>
  </si>
  <si>
    <t>Proposed Schedule for implementation</t>
  </si>
  <si>
    <t>% Change</t>
  </si>
  <si>
    <t>Route 7A</t>
  </si>
  <si>
    <t>Route 7B</t>
  </si>
  <si>
    <t>Route 7D</t>
  </si>
  <si>
    <t>Summary</t>
  </si>
  <si>
    <t>Current</t>
  </si>
  <si>
    <t xml:space="preserve">Proposed </t>
  </si>
  <si>
    <t>(Km's)</t>
  </si>
  <si>
    <t>M-F</t>
  </si>
  <si>
    <t>Sun</t>
  </si>
  <si>
    <t>Distance</t>
  </si>
  <si>
    <t>Trips</t>
  </si>
  <si>
    <t>Occasions</t>
  </si>
  <si>
    <t>(Kms)</t>
  </si>
  <si>
    <t>Daily</t>
  </si>
  <si>
    <t>Fleet St to Belarmine(00470001)</t>
  </si>
  <si>
    <t>Fleet St to Belarmine VIA Mount Merrion(00470002)</t>
  </si>
  <si>
    <t>Garage - M'Joy Sq</t>
  </si>
  <si>
    <t>302/371 Stillorgan to Belarmine(00470003)</t>
  </si>
  <si>
    <t>Garage to Bride's Glen</t>
  </si>
  <si>
    <t>Belarmine to Fleet St(00471001)</t>
  </si>
  <si>
    <t>Bride's Glen to Garage</t>
  </si>
  <si>
    <t>Belarmine to Fleet St via Mount Merrion(00471002)</t>
  </si>
  <si>
    <t>Mountjoy Sq -Gar</t>
  </si>
  <si>
    <t>Total</t>
  </si>
  <si>
    <t>Route 7b</t>
  </si>
  <si>
    <t>Garage - Shankill</t>
  </si>
  <si>
    <t>Bride's Glen to Mountjoy Sq (00071005)</t>
  </si>
  <si>
    <t>Shankill -Garage</t>
  </si>
  <si>
    <t>Garage -M'joy Sq</t>
  </si>
  <si>
    <t>Garage -Dalkey</t>
  </si>
  <si>
    <t>Garage -M'Joy Sq</t>
  </si>
  <si>
    <t>Mountjoy to Shankill(007B0001)</t>
  </si>
  <si>
    <t>Dalkey - Garage</t>
  </si>
  <si>
    <t>Shankill to Mountjoy (007B1002)</t>
  </si>
  <si>
    <t>Garage -Loughlinstown</t>
  </si>
  <si>
    <t>Loughlinstown-Garage</t>
  </si>
  <si>
    <t>Mountjoy to Dalkey(007D0002)</t>
  </si>
  <si>
    <t>M'Joy Sq - Garage</t>
  </si>
  <si>
    <t>Dalkey to Mountjoy Sq(007D1003)</t>
  </si>
  <si>
    <t>Mountjoy Sq to Loughlinstown (007A0001)</t>
  </si>
  <si>
    <t>Loughlinstown to Mountjoy Sq (007A1001)</t>
  </si>
  <si>
    <t>Donnybrook 2  Zone 5 Revenue KM's</t>
  </si>
  <si>
    <t>Donnybrook 2 Zone 5 Non - Revenue KM's</t>
  </si>
  <si>
    <t>Route 7, 7A (Outbound) towards Bride's Glen /Loughlinstown</t>
  </si>
  <si>
    <t>Date: Oct '24</t>
  </si>
  <si>
    <t>Proposed RT (Oct'24) vs Current</t>
  </si>
  <si>
    <t>Route 7, 7A, 7E (Inbound) towards Mountjoy</t>
  </si>
  <si>
    <t>Date: Dec '24</t>
  </si>
  <si>
    <t>Route 47 (Outbound) towards Belarmine</t>
  </si>
  <si>
    <t>Route 47 (Inbound) towards Poolbeg</t>
  </si>
  <si>
    <t>Departure</t>
  </si>
  <si>
    <t xml:space="preserve"> Mins</t>
  </si>
  <si>
    <t xml:space="preserve">Sample Size </t>
  </si>
  <si>
    <t>Time Taken</t>
  </si>
  <si>
    <t>Difference</t>
  </si>
  <si>
    <t>10%+3 (Time Taken)</t>
  </si>
  <si>
    <t>Suggested Runtime</t>
  </si>
  <si>
    <t>Suggested Arrival</t>
  </si>
  <si>
    <t>Proposed Next Trip</t>
  </si>
  <si>
    <t>Proposed RT (Mins)</t>
  </si>
  <si>
    <t>Proposed Diff vs Time Taken</t>
  </si>
  <si>
    <t>Proposed Vs Suggested RT</t>
  </si>
  <si>
    <t>Time Added</t>
  </si>
  <si>
    <t>7/7A RT</t>
  </si>
  <si>
    <t>7:40</t>
  </si>
  <si>
    <t>6:30</t>
  </si>
  <si>
    <t>47 RT</t>
  </si>
  <si>
    <t>8:30</t>
  </si>
  <si>
    <t>7:00</t>
  </si>
  <si>
    <t>9:10</t>
  </si>
  <si>
    <t>7:30</t>
  </si>
  <si>
    <t>10:15</t>
  </si>
  <si>
    <t>7:35</t>
  </si>
  <si>
    <t>8:05</t>
  </si>
  <si>
    <t>11:30</t>
  </si>
  <si>
    <t>9:00</t>
  </si>
  <si>
    <t>12:45</t>
  </si>
  <si>
    <t>14:00</t>
  </si>
  <si>
    <t>Total RT</t>
  </si>
  <si>
    <t>15:40</t>
  </si>
  <si>
    <t>16:00</t>
  </si>
  <si>
    <t>15:15</t>
  </si>
  <si>
    <t>16:30</t>
  </si>
  <si>
    <t>17:00</t>
  </si>
  <si>
    <t>17:30</t>
  </si>
  <si>
    <t>17:15</t>
  </si>
  <si>
    <t>18:00</t>
  </si>
  <si>
    <t>18:30</t>
  </si>
  <si>
    <t>19:30</t>
  </si>
  <si>
    <t>20:30</t>
  </si>
  <si>
    <t>21:30</t>
  </si>
  <si>
    <t>22:30</t>
  </si>
  <si>
    <t>23:30</t>
  </si>
  <si>
    <t>Route 7B, 7D (OB) towards Shankill/Dalkey</t>
  </si>
  <si>
    <t>Route 7B, 7D (Inbound) towards Mountjoy</t>
  </si>
  <si>
    <t>6:50</t>
  </si>
  <si>
    <t>7B/7D RT</t>
  </si>
  <si>
    <t>7:15</t>
  </si>
  <si>
    <t>7:45</t>
  </si>
  <si>
    <t>8:10</t>
  </si>
  <si>
    <t>?</t>
  </si>
  <si>
    <t>Route 7E</t>
  </si>
  <si>
    <t>Duty Increase</t>
  </si>
  <si>
    <t>M'Joy Sq - Gar</t>
  </si>
  <si>
    <t>Mountjoy Sq to Bride's Glen (00070008)</t>
  </si>
  <si>
    <t>Brides Glen to Mountjoy Sq (00071008) via Tara St</t>
  </si>
  <si>
    <t>Dalkey to Mountjoy Sq (007E1002)</t>
  </si>
  <si>
    <t>Brides Glen to Parnell Sq (00071006) 6pm onwards</t>
  </si>
  <si>
    <t>Mountjoy Sq to Bride's Glen (00070009) Mountjoy west after 7pm</t>
  </si>
  <si>
    <t>Donnybrook Zone 5</t>
  </si>
  <si>
    <t>Loughlinstown to Parnell Sq(007A1002) 6pm onwards (5:30 Weekends)</t>
  </si>
  <si>
    <t>Mountjoy Sq-Loughlinstown (007A0002)  Mountjoy west after 7pm (6pm Weekends)</t>
  </si>
  <si>
    <t>Garage - Belarmine</t>
  </si>
  <si>
    <t>Belarmine -Garage</t>
  </si>
  <si>
    <t>Fleet St -Garage</t>
  </si>
  <si>
    <t>Garage - Fleet St</t>
  </si>
  <si>
    <t>Total Change</t>
  </si>
  <si>
    <t>DBRK2</t>
  </si>
  <si>
    <t>Bus out M-F 7</t>
  </si>
  <si>
    <t>Bus out M-F 47</t>
  </si>
  <si>
    <t>Time Band</t>
  </si>
  <si>
    <t>7/20</t>
  </si>
  <si>
    <t>15/9</t>
  </si>
  <si>
    <t>20/11</t>
  </si>
  <si>
    <t>9/17</t>
  </si>
  <si>
    <t>11/19</t>
  </si>
  <si>
    <t>04.00-04.30</t>
  </si>
  <si>
    <t>04:30-05:00</t>
  </si>
  <si>
    <t>05.00-05.30</t>
  </si>
  <si>
    <t>05.30-06.00</t>
  </si>
  <si>
    <t>06.00-06.30</t>
  </si>
  <si>
    <t>06.30-07.00</t>
  </si>
  <si>
    <t>07.00-07.30</t>
  </si>
  <si>
    <t>07.30-08.00</t>
  </si>
  <si>
    <t>08.00-08.30</t>
  </si>
  <si>
    <t>08.30-09.00</t>
  </si>
  <si>
    <t>09.00-09.30</t>
  </si>
  <si>
    <t>09.30-10.00</t>
  </si>
  <si>
    <t>10.00-10.30</t>
  </si>
  <si>
    <t>10.30-11.00</t>
  </si>
  <si>
    <t>11.00-11.30</t>
  </si>
  <si>
    <t>11.30-12.00</t>
  </si>
  <si>
    <t>12.00-12.30</t>
  </si>
  <si>
    <t>12.30-13.00</t>
  </si>
  <si>
    <t>13.00-13.30</t>
  </si>
  <si>
    <t>13.30-14.00</t>
  </si>
  <si>
    <t>14.00-14.30</t>
  </si>
  <si>
    <t>14.30-15.00</t>
  </si>
  <si>
    <t>15.00-15.30</t>
  </si>
  <si>
    <t>15.30-16.00</t>
  </si>
  <si>
    <t>16.00-16.30</t>
  </si>
  <si>
    <t>16.30-17.00</t>
  </si>
  <si>
    <t>17.00-17.30</t>
  </si>
  <si>
    <t>17.30-18.00</t>
  </si>
  <si>
    <t>18.00-18.30</t>
  </si>
  <si>
    <t>18.30-19.00</t>
  </si>
  <si>
    <t>19.00-19.30</t>
  </si>
  <si>
    <t>19.30-20.00</t>
  </si>
  <si>
    <t>20.00-20.30</t>
  </si>
  <si>
    <t>20.30-21.00</t>
  </si>
  <si>
    <t>21.00-21.30</t>
  </si>
  <si>
    <t>21.30-22.00</t>
  </si>
  <si>
    <t>22.00-22.30</t>
  </si>
  <si>
    <t>22.30-23.00</t>
  </si>
  <si>
    <t>23.00-23.30</t>
  </si>
  <si>
    <t>23.30-24.00</t>
  </si>
  <si>
    <t>24.00-24.30</t>
  </si>
  <si>
    <t>24.30-25.00</t>
  </si>
  <si>
    <t>25.00-25.30</t>
  </si>
  <si>
    <t>25:30-26:00</t>
  </si>
  <si>
    <t>26:00-26:30</t>
  </si>
  <si>
    <t>26:30-27:00</t>
  </si>
  <si>
    <t>27:00-27:30</t>
  </si>
  <si>
    <t>27:30-28:00</t>
  </si>
  <si>
    <t>28:00-28:30</t>
  </si>
  <si>
    <t>28:30-29:00</t>
  </si>
  <si>
    <t>Bus out SAT 7/7A</t>
  </si>
  <si>
    <t>Bus out SAT 47</t>
  </si>
  <si>
    <t>3A</t>
  </si>
  <si>
    <t>Bus out SUN 7/7A</t>
  </si>
  <si>
    <t>Bus out SUN 47</t>
  </si>
  <si>
    <t>Bus 11B</t>
  </si>
  <si>
    <t>8/13</t>
  </si>
  <si>
    <t>Bus 10B</t>
  </si>
  <si>
    <t>Bus 10A</t>
  </si>
  <si>
    <t>7/11</t>
  </si>
  <si>
    <t>Takes Bus 18 (Route 7A) at 18:00 at Mountjoy Square</t>
  </si>
  <si>
    <t>Takes Bus 10 (Route 7A) at 11:15 at Mountjoy Square</t>
  </si>
  <si>
    <t>Takes Bus 13 (Route 7) at 13:00 at Mountjoy Square</t>
  </si>
  <si>
    <t>Takes Bus 8 (Route 7A) at 17:30 at Mountjoy Square</t>
  </si>
  <si>
    <t>Takes Bus 10 (Route 7) at 20:50 at Mountjoy Square</t>
  </si>
  <si>
    <t>Takes Bus 5 (Route 7) at 11:30 at Mountjoy Square</t>
  </si>
  <si>
    <t>Takes Bus 5 (Route 7) at 14:30 at Mountjoy Square</t>
  </si>
  <si>
    <t>Takes up at 14:00 at Mountjoy Square</t>
  </si>
  <si>
    <t>Takes Bus 8 (Route 7A) at 12:15 at Mountjoy Square</t>
  </si>
  <si>
    <t>Takes Bus 10 (Route 7) at 17:45 at Mountjoy Square</t>
  </si>
  <si>
    <t>Takes Bus 13 (Route 7) at 21:37 at Garage</t>
  </si>
  <si>
    <t>Takes Bus 4 (Route 7A) at 20:30 at Mountjoy Square</t>
  </si>
  <si>
    <t>Takes Bus 11 (Route 7) at 16:45 at Mountjoy Square</t>
  </si>
  <si>
    <t>Takes Bus 7 (Route 7A) at 12:12 at Garage</t>
  </si>
  <si>
    <t>Takes Bus 15 (Route 7A) at 11:07 at Garage</t>
  </si>
  <si>
    <t>Takes Bus 1 (Route 47) at 20:30 at Poolbeg St.</t>
  </si>
  <si>
    <t>Float Early</t>
  </si>
  <si>
    <t>Float Relief</t>
  </si>
  <si>
    <t>Float Bogey</t>
  </si>
  <si>
    <t>Float Late</t>
  </si>
  <si>
    <t>Float Early WO</t>
  </si>
  <si>
    <t>Float Late WO</t>
  </si>
  <si>
    <t>SPARE</t>
  </si>
  <si>
    <t>B</t>
  </si>
  <si>
    <t>Bogey Rota</t>
  </si>
  <si>
    <t>B-Rota Roster</t>
  </si>
  <si>
    <t>DZ55/22</t>
  </si>
  <si>
    <t xml:space="preserve">Final DBRK Zone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</si>
</sst>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h]:mm"/>
    <numFmt numFmtId="165" formatCode="00"/>
    <numFmt numFmtId="166" formatCode="0.0"/>
    <numFmt numFmtId="167" formatCode="#,##0.0"/>
    <numFmt numFmtId="168" formatCode="0.000"/>
    <numFmt numFmtId="169" formatCode="[$-809]General"/>
  </numFmts>
  <fonts count="1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</font>
    <font>
      <b/>
      <sz val="16"/>
      <name val="Aptos Narrow"/>
      <family val="2"/>
    </font>
    <font>
      <b/>
      <sz val="12"/>
      <name val="Aptos Narrow"/>
      <family val="2"/>
    </font>
    <font>
      <b/>
      <sz val="16"/>
      <color rgb="FFFF0000"/>
      <name val="Aptos Narrow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2"/>
      <color rgb="FF000000"/>
      <name val="Aptos Narrow"/>
      <family val="2"/>
    </font>
    <font>
      <b/>
      <sz val="12"/>
      <color rgb="FF00B050"/>
      <name val="Aptos Narrow"/>
      <family val="2"/>
    </font>
    <font>
      <b/>
      <sz val="12"/>
      <color rgb="FF0070C0"/>
      <name val="Aptos Narrow"/>
      <family val="2"/>
    </font>
    <font>
      <i/>
      <sz val="12"/>
      <color rgb="FF000000"/>
      <name val="Aptos Narrow"/>
      <family val="2"/>
    </font>
    <font>
      <sz val="12"/>
      <name val="Aptos Narrow"/>
      <family val="2"/>
    </font>
    <font>
      <sz val="12"/>
      <color rgb="FF0070C0"/>
      <name val="Aptos Narrow"/>
      <family val="2"/>
    </font>
    <font>
      <i/>
      <sz val="12"/>
      <name val="Aptos Narrow"/>
      <family val="2"/>
    </font>
    <font>
      <b/>
      <sz val="12"/>
      <color rgb="FF4EA72E"/>
      <name val="Aptos Narrow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</font>
    <font>
      <sz val="12"/>
      <color rgb="FF0000FF"/>
      <name val="Aptos Narrow"/>
      <family val="2"/>
    </font>
    <font>
      <i/>
      <sz val="12"/>
      <color rgb="FF0000FF"/>
      <name val="Aptos Narrow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name val="Aptos Narrow"/>
      <family val="2"/>
      <scheme val="minor"/>
    </font>
    <font>
      <b/>
      <i/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Wingdings 3"/>
      <family val="1"/>
      <charset val="2"/>
    </font>
    <font>
      <b/>
      <sz val="12"/>
      <color indexed="8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i/>
      <sz val="12"/>
      <color rgb="FF0000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8"/>
      <name val="Calibri"/>
      <family val="2"/>
    </font>
    <font>
      <sz val="18"/>
      <name val="Calibri"/>
      <family val="2"/>
    </font>
    <font>
      <sz val="10"/>
      <name val="Calibri"/>
      <family val="2"/>
    </font>
    <font>
      <i/>
      <sz val="12"/>
      <name val="Calibri"/>
      <family val="2"/>
    </font>
    <font>
      <i/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rgb="FF0070C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</font>
    <font>
      <b/>
      <sz val="18"/>
      <name val="Calibri"/>
    </font>
    <font>
      <sz val="18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  <font>
      <b/>
      <sz val="12"/>
      <color rgb="FF0070C0"/>
      <name val="Calibri"/>
    </font>
    <font>
      <b/>
      <sz val="12"/>
      <color rgb="FF00B050"/>
      <name val="Calibri"/>
    </font>
    <font>
      <b/>
      <sz val="12"/>
      <color rgb="FF0000FF"/>
      <name val="Calibri"/>
    </font>
    <font>
      <b/>
      <sz val="12"/>
      <color rgb="FF47D359"/>
      <name val="Calibri"/>
      <family val="2"/>
    </font>
    <font>
      <i/>
      <sz val="12"/>
      <color rgb="FF47D359"/>
      <name val="Calibri"/>
      <family val="2"/>
    </font>
    <font>
      <i/>
      <sz val="12"/>
      <color rgb="FFFF0000"/>
      <name val="Calibri"/>
      <family val="2"/>
    </font>
    <font>
      <b/>
      <i/>
      <sz val="12"/>
      <color rgb="FF0070C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name val="Arial"/>
      <family val="2"/>
    </font>
    <font>
      <b/>
      <sz val="10"/>
      <color rgb="FF00B0F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2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70C0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6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0000"/>
        <bgColor rgb="FF000000"/>
      </patternFill>
    </fill>
  </fills>
  <borders count="14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2">
    <xf numFmtId="0" fontId="0" fillId="0" borderId="0"/>
    <xf numFmtId="0" fontId="22" fillId="0" borderId="0"/>
    <xf numFmtId="0" fontId="22" fillId="0" borderId="0"/>
    <xf numFmtId="43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84" fillId="0" borderId="0"/>
    <xf numFmtId="43" fontId="84" fillId="0" borderId="0" applyFont="0" applyFill="0" applyBorder="0" applyAlignment="0" applyProtection="0"/>
    <xf numFmtId="0" fontId="93" fillId="0" borderId="0"/>
    <xf numFmtId="0" fontId="84" fillId="0" borderId="0"/>
    <xf numFmtId="169" fontId="110" fillId="0" borderId="0"/>
    <xf numFmtId="0" fontId="22" fillId="0" borderId="0"/>
    <xf numFmtId="0" fontId="84" fillId="0" borderId="0"/>
  </cellStyleXfs>
  <cellXfs count="1266">
    <xf numFmtId="0" fontId="0" fillId="0" borderId="0" xfId="0"/>
    <xf numFmtId="0" fontId="2" fillId="2" borderId="3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4" fillId="2" borderId="3" xfId="0" applyFont="1" applyFill="1" applyBorder="1"/>
    <xf numFmtId="0" fontId="5" fillId="2" borderId="3" xfId="0" applyFont="1" applyFill="1" applyBorder="1"/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 applyAlignment="1">
      <alignment wrapText="1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15" xfId="0" applyFont="1" applyBorder="1"/>
    <xf numFmtId="0" fontId="4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" xfId="0" applyFont="1" applyBorder="1"/>
    <xf numFmtId="0" fontId="10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0" xfId="0" applyFont="1" applyBorder="1"/>
    <xf numFmtId="0" fontId="8" fillId="0" borderId="10" xfId="0" applyFont="1" applyBorder="1" applyAlignment="1">
      <alignment wrapText="1"/>
    </xf>
    <xf numFmtId="0" fontId="13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10" xfId="0" applyFont="1" applyBorder="1"/>
    <xf numFmtId="0" fontId="10" fillId="0" borderId="10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4" fillId="0" borderId="14" xfId="0" applyFont="1" applyBorder="1" applyAlignment="1">
      <alignment horizontal="center"/>
    </xf>
    <xf numFmtId="0" fontId="11" fillId="0" borderId="10" xfId="0" applyFont="1" applyBorder="1"/>
    <xf numFmtId="0" fontId="7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8" fillId="3" borderId="10" xfId="0" applyFont="1" applyFill="1" applyBorder="1" applyAlignment="1">
      <alignment wrapText="1"/>
    </xf>
    <xf numFmtId="0" fontId="10" fillId="0" borderId="8" xfId="0" applyFont="1" applyBorder="1" applyAlignment="1">
      <alignment horizontal="center"/>
    </xf>
    <xf numFmtId="0" fontId="10" fillId="4" borderId="10" xfId="0" applyFont="1" applyFill="1" applyBorder="1" applyAlignment="1">
      <alignment wrapText="1"/>
    </xf>
    <xf numFmtId="0" fontId="11" fillId="0" borderId="8" xfId="0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4" fillId="0" borderId="12" xfId="0" applyFont="1" applyBorder="1" applyAlignment="1">
      <alignment wrapText="1"/>
    </xf>
    <xf numFmtId="0" fontId="4" fillId="0" borderId="23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4" fillId="0" borderId="12" xfId="0" applyFont="1" applyBorder="1"/>
    <xf numFmtId="20" fontId="18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6" xfId="0" applyFont="1" applyFill="1" applyBorder="1"/>
    <xf numFmtId="0" fontId="4" fillId="0" borderId="27" xfId="0" applyFont="1" applyBorder="1"/>
    <xf numFmtId="0" fontId="11" fillId="0" borderId="18" xfId="0" applyFont="1" applyBorder="1" applyAlignment="1">
      <alignment horizontal="center"/>
    </xf>
    <xf numFmtId="0" fontId="7" fillId="0" borderId="27" xfId="0" applyFont="1" applyBorder="1"/>
    <xf numFmtId="0" fontId="8" fillId="0" borderId="27" xfId="0" applyFont="1" applyBorder="1"/>
    <xf numFmtId="0" fontId="11" fillId="0" borderId="27" xfId="0" applyFont="1" applyBorder="1"/>
    <xf numFmtId="0" fontId="7" fillId="0" borderId="1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19" fillId="0" borderId="14" xfId="0" applyFont="1" applyBorder="1" applyAlignment="1">
      <alignment horizontal="center"/>
    </xf>
    <xf numFmtId="20" fontId="11" fillId="0" borderId="18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3" fillId="0" borderId="27" xfId="0" applyFont="1" applyBorder="1"/>
    <xf numFmtId="0" fontId="13" fillId="0" borderId="28" xfId="0" applyFont="1" applyBorder="1" applyAlignment="1">
      <alignment horizontal="center"/>
    </xf>
    <xf numFmtId="0" fontId="4" fillId="0" borderId="1" xfId="0" applyFont="1" applyBorder="1"/>
    <xf numFmtId="0" fontId="13" fillId="0" borderId="11" xfId="0" applyFont="1" applyBorder="1" applyAlignment="1">
      <alignment horizontal="center"/>
    </xf>
    <xf numFmtId="0" fontId="23" fillId="0" borderId="31" xfId="1" applyFont="1" applyBorder="1" applyAlignment="1">
      <alignment horizontal="center" vertical="center"/>
    </xf>
    <xf numFmtId="49" fontId="23" fillId="0" borderId="31" xfId="1" applyNumberFormat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3" fillId="0" borderId="34" xfId="1" applyFont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49" fontId="23" fillId="0" borderId="12" xfId="1" applyNumberFormat="1" applyFont="1" applyBorder="1" applyAlignment="1">
      <alignment horizontal="center" vertical="center"/>
    </xf>
    <xf numFmtId="0" fontId="23" fillId="0" borderId="35" xfId="1" applyFont="1" applyBorder="1"/>
    <xf numFmtId="0" fontId="23" fillId="0" borderId="36" xfId="1" applyFont="1" applyBorder="1" applyAlignment="1">
      <alignment horizontal="center"/>
    </xf>
    <xf numFmtId="0" fontId="23" fillId="0" borderId="37" xfId="1" applyFont="1" applyBorder="1" applyAlignment="1">
      <alignment horizontal="center"/>
    </xf>
    <xf numFmtId="0" fontId="23" fillId="0" borderId="35" xfId="1" applyFont="1" applyBorder="1" applyAlignment="1">
      <alignment horizontal="center"/>
    </xf>
    <xf numFmtId="164" fontId="22" fillId="0" borderId="38" xfId="1" applyNumberFormat="1" applyBorder="1" applyAlignment="1">
      <alignment horizontal="center"/>
    </xf>
    <xf numFmtId="49" fontId="22" fillId="0" borderId="38" xfId="1" applyNumberFormat="1" applyBorder="1" applyAlignment="1">
      <alignment horizontal="center"/>
    </xf>
    <xf numFmtId="164" fontId="22" fillId="0" borderId="32" xfId="1" applyNumberFormat="1" applyBorder="1" applyAlignment="1">
      <alignment horizontal="center"/>
    </xf>
    <xf numFmtId="164" fontId="22" fillId="0" borderId="42" xfId="1" applyNumberFormat="1" applyBorder="1" applyAlignment="1">
      <alignment horizontal="center"/>
    </xf>
    <xf numFmtId="164" fontId="22" fillId="0" borderId="43" xfId="1" applyNumberFormat="1" applyBorder="1" applyAlignment="1">
      <alignment horizontal="center"/>
    </xf>
    <xf numFmtId="164" fontId="22" fillId="0" borderId="47" xfId="1" applyNumberFormat="1" applyBorder="1" applyAlignment="1">
      <alignment horizontal="center"/>
    </xf>
    <xf numFmtId="164" fontId="22" fillId="0" borderId="48" xfId="1" applyNumberFormat="1" applyBorder="1" applyAlignment="1">
      <alignment horizontal="center"/>
    </xf>
    <xf numFmtId="49" fontId="22" fillId="0" borderId="47" xfId="1" applyNumberFormat="1" applyBorder="1" applyAlignment="1">
      <alignment horizontal="center"/>
    </xf>
    <xf numFmtId="164" fontId="22" fillId="0" borderId="49" xfId="1" applyNumberFormat="1" applyBorder="1" applyAlignment="1">
      <alignment horizontal="center"/>
    </xf>
    <xf numFmtId="164" fontId="22" fillId="0" borderId="50" xfId="1" applyNumberFormat="1" applyBorder="1" applyAlignment="1">
      <alignment horizontal="center"/>
    </xf>
    <xf numFmtId="49" fontId="22" fillId="0" borderId="42" xfId="1" applyNumberFormat="1" applyBorder="1" applyAlignment="1">
      <alignment horizontal="center"/>
    </xf>
    <xf numFmtId="164" fontId="22" fillId="0" borderId="55" xfId="1" applyNumberFormat="1" applyBorder="1" applyAlignment="1">
      <alignment horizontal="center"/>
    </xf>
    <xf numFmtId="164" fontId="22" fillId="0" borderId="56" xfId="1" applyNumberFormat="1" applyBorder="1" applyAlignment="1">
      <alignment horizontal="center"/>
    </xf>
    <xf numFmtId="49" fontId="22" fillId="0" borderId="43" xfId="1" applyNumberFormat="1" applyBorder="1" applyAlignment="1">
      <alignment horizontal="center"/>
    </xf>
    <xf numFmtId="49" fontId="22" fillId="0" borderId="50" xfId="1" applyNumberFormat="1" applyBorder="1" applyAlignment="1">
      <alignment horizontal="center"/>
    </xf>
    <xf numFmtId="164" fontId="22" fillId="0" borderId="59" xfId="1" applyNumberFormat="1" applyBorder="1" applyAlignment="1">
      <alignment horizontal="center"/>
    </xf>
    <xf numFmtId="49" fontId="22" fillId="0" borderId="55" xfId="1" applyNumberFormat="1" applyBorder="1" applyAlignment="1">
      <alignment horizontal="center"/>
    </xf>
    <xf numFmtId="164" fontId="22" fillId="0" borderId="55" xfId="1" applyNumberFormat="1" applyBorder="1"/>
    <xf numFmtId="49" fontId="22" fillId="0" borderId="55" xfId="1" applyNumberFormat="1" applyBorder="1"/>
    <xf numFmtId="164" fontId="22" fillId="0" borderId="51" xfId="1" applyNumberFormat="1" applyBorder="1"/>
    <xf numFmtId="164" fontId="22" fillId="0" borderId="52" xfId="1" applyNumberFormat="1" applyBorder="1"/>
    <xf numFmtId="164" fontId="22" fillId="0" borderId="54" xfId="1" applyNumberFormat="1" applyBorder="1"/>
    <xf numFmtId="0" fontId="22" fillId="0" borderId="52" xfId="1" applyBorder="1"/>
    <xf numFmtId="0" fontId="22" fillId="0" borderId="51" xfId="1" applyBorder="1"/>
    <xf numFmtId="0" fontId="22" fillId="0" borderId="54" xfId="1" applyBorder="1"/>
    <xf numFmtId="10" fontId="23" fillId="0" borderId="59" xfId="1" applyNumberFormat="1" applyFont="1" applyBorder="1" applyAlignment="1">
      <alignment horizontal="center"/>
    </xf>
    <xf numFmtId="164" fontId="23" fillId="0" borderId="59" xfId="1" applyNumberFormat="1" applyFont="1" applyBorder="1" applyAlignment="1">
      <alignment horizontal="center"/>
    </xf>
    <xf numFmtId="164" fontId="22" fillId="0" borderId="56" xfId="1" applyNumberFormat="1" applyBorder="1"/>
    <xf numFmtId="49" fontId="22" fillId="0" borderId="32" xfId="1" applyNumberFormat="1" applyBorder="1" applyAlignment="1">
      <alignment horizontal="center"/>
    </xf>
    <xf numFmtId="164" fontId="22" fillId="0" borderId="49" xfId="1" applyNumberFormat="1" applyBorder="1"/>
    <xf numFmtId="49" fontId="22" fillId="0" borderId="49" xfId="1" applyNumberFormat="1" applyBorder="1"/>
    <xf numFmtId="164" fontId="23" fillId="0" borderId="1" xfId="1" applyNumberFormat="1" applyFont="1" applyBorder="1" applyAlignment="1">
      <alignment horizontal="center"/>
    </xf>
    <xf numFmtId="164" fontId="22" fillId="0" borderId="50" xfId="1" applyNumberFormat="1" applyBorder="1"/>
    <xf numFmtId="164" fontId="22" fillId="0" borderId="63" xfId="1" applyNumberFormat="1" applyBorder="1" applyAlignment="1">
      <alignment horizontal="center"/>
    </xf>
    <xf numFmtId="49" fontId="22" fillId="0" borderId="63" xfId="1" applyNumberFormat="1" applyBorder="1" applyAlignment="1">
      <alignment horizontal="center"/>
    </xf>
    <xf numFmtId="164" fontId="22" fillId="0" borderId="31" xfId="1" applyNumberFormat="1" applyBorder="1" applyAlignment="1">
      <alignment horizontal="center"/>
    </xf>
    <xf numFmtId="49" fontId="22" fillId="0" borderId="49" xfId="1" applyNumberFormat="1" applyBorder="1" applyAlignment="1">
      <alignment horizontal="center"/>
    </xf>
    <xf numFmtId="164" fontId="22" fillId="0" borderId="1" xfId="1" applyNumberFormat="1" applyBorder="1"/>
    <xf numFmtId="49" fontId="22" fillId="0" borderId="1" xfId="1" applyNumberFormat="1" applyBorder="1"/>
    <xf numFmtId="164" fontId="22" fillId="0" borderId="70" xfId="1" applyNumberFormat="1" applyBorder="1"/>
    <xf numFmtId="164" fontId="22" fillId="0" borderId="71" xfId="1" applyNumberFormat="1" applyBorder="1"/>
    <xf numFmtId="164" fontId="22" fillId="0" borderId="72" xfId="1" applyNumberFormat="1" applyBorder="1"/>
    <xf numFmtId="0" fontId="22" fillId="0" borderId="71" xfId="1" applyBorder="1"/>
    <xf numFmtId="0" fontId="22" fillId="0" borderId="70" xfId="1" applyBorder="1"/>
    <xf numFmtId="0" fontId="22" fillId="0" borderId="72" xfId="1" applyBorder="1"/>
    <xf numFmtId="164" fontId="22" fillId="0" borderId="1" xfId="1" applyNumberFormat="1" applyBorder="1" applyAlignment="1">
      <alignment horizontal="center"/>
    </xf>
    <xf numFmtId="164" fontId="22" fillId="0" borderId="12" xfId="1" applyNumberFormat="1" applyBorder="1"/>
    <xf numFmtId="0" fontId="24" fillId="5" borderId="73" xfId="0" applyFont="1" applyFill="1" applyBorder="1"/>
    <xf numFmtId="0" fontId="24" fillId="5" borderId="67" xfId="0" applyFont="1" applyFill="1" applyBorder="1"/>
    <xf numFmtId="0" fontId="24" fillId="5" borderId="3" xfId="0" applyFont="1" applyFill="1" applyBorder="1"/>
    <xf numFmtId="0" fontId="24" fillId="5" borderId="5" xfId="0" applyFont="1" applyFill="1" applyBorder="1"/>
    <xf numFmtId="0" fontId="6" fillId="0" borderId="0" xfId="0" applyFont="1"/>
    <xf numFmtId="0" fontId="25" fillId="0" borderId="74" xfId="0" applyFont="1" applyBorder="1"/>
    <xf numFmtId="0" fontId="25" fillId="5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3" xfId="0" applyFont="1" applyBorder="1"/>
    <xf numFmtId="0" fontId="25" fillId="0" borderId="3" xfId="0" applyFont="1" applyBorder="1" applyAlignment="1">
      <alignment horizontal="center" vertical="center"/>
    </xf>
    <xf numFmtId="0" fontId="25" fillId="0" borderId="31" xfId="0" applyFont="1" applyBorder="1" applyAlignment="1">
      <alignment horizontal="right"/>
    </xf>
    <xf numFmtId="0" fontId="25" fillId="0" borderId="75" xfId="0" applyFont="1" applyBorder="1"/>
    <xf numFmtId="49" fontId="25" fillId="6" borderId="6" xfId="0" applyNumberFormat="1" applyFont="1" applyFill="1" applyBorder="1" applyAlignment="1">
      <alignment horizontal="center" vertical="center"/>
    </xf>
    <xf numFmtId="0" fontId="18" fillId="0" borderId="0" xfId="0" applyFont="1"/>
    <xf numFmtId="49" fontId="25" fillId="0" borderId="0" xfId="0" applyNumberFormat="1" applyFont="1" applyAlignment="1">
      <alignment horizontal="center" vertical="center"/>
    </xf>
    <xf numFmtId="0" fontId="25" fillId="0" borderId="4" xfId="0" applyFont="1" applyBorder="1" applyAlignment="1">
      <alignment horizontal="right"/>
    </xf>
    <xf numFmtId="0" fontId="25" fillId="0" borderId="76" xfId="0" applyFont="1" applyBorder="1"/>
    <xf numFmtId="20" fontId="2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7" xfId="0" applyFont="1" applyBorder="1"/>
    <xf numFmtId="0" fontId="28" fillId="0" borderId="76" xfId="0" applyFont="1" applyBorder="1"/>
    <xf numFmtId="20" fontId="28" fillId="0" borderId="0" xfId="0" applyNumberFormat="1" applyFont="1" applyAlignment="1">
      <alignment horizontal="center" vertical="center"/>
    </xf>
    <xf numFmtId="0" fontId="28" fillId="0" borderId="77" xfId="0" applyFont="1" applyBorder="1" applyAlignment="1">
      <alignment horizontal="right"/>
    </xf>
    <xf numFmtId="0" fontId="26" fillId="0" borderId="76" xfId="0" applyFont="1" applyBorder="1"/>
    <xf numFmtId="0" fontId="26" fillId="0" borderId="77" xfId="0" applyFont="1" applyBorder="1" applyAlignment="1">
      <alignment horizontal="right"/>
    </xf>
    <xf numFmtId="0" fontId="27" fillId="0" borderId="76" xfId="0" applyFont="1" applyBorder="1"/>
    <xf numFmtId="20" fontId="27" fillId="0" borderId="0" xfId="0" applyNumberFormat="1" applyFont="1" applyAlignment="1">
      <alignment horizontal="center" vertical="center"/>
    </xf>
    <xf numFmtId="0" fontId="27" fillId="0" borderId="77" xfId="0" applyFont="1" applyBorder="1" applyAlignment="1">
      <alignment horizontal="right"/>
    </xf>
    <xf numFmtId="0" fontId="27" fillId="7" borderId="76" xfId="0" applyFont="1" applyFill="1" applyBorder="1" applyAlignment="1">
      <alignment horizontal="left"/>
    </xf>
    <xf numFmtId="0" fontId="29" fillId="0" borderId="0" xfId="0" applyFont="1" applyAlignment="1">
      <alignment horizontal="center" vertical="center"/>
    </xf>
    <xf numFmtId="0" fontId="27" fillId="7" borderId="77" xfId="0" applyFont="1" applyFill="1" applyBorder="1" applyAlignment="1">
      <alignment horizontal="right"/>
    </xf>
    <xf numFmtId="0" fontId="28" fillId="0" borderId="0" xfId="0" applyFont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49" fontId="25" fillId="8" borderId="6" xfId="0" applyNumberFormat="1" applyFont="1" applyFill="1" applyBorder="1" applyAlignment="1">
      <alignment horizontal="center" vertical="center"/>
    </xf>
    <xf numFmtId="20" fontId="18" fillId="8" borderId="6" xfId="0" applyNumberFormat="1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" fillId="0" borderId="0" xfId="0" applyFont="1"/>
    <xf numFmtId="0" fontId="31" fillId="0" borderId="0" xfId="0" applyFont="1" applyAlignment="1">
      <alignment horizontal="center" vertical="center"/>
    </xf>
    <xf numFmtId="46" fontId="18" fillId="0" borderId="0" xfId="0" applyNumberFormat="1" applyFont="1" applyAlignment="1">
      <alignment horizontal="center" vertical="center"/>
    </xf>
    <xf numFmtId="0" fontId="25" fillId="0" borderId="78" xfId="0" applyFont="1" applyBorder="1"/>
    <xf numFmtId="0" fontId="25" fillId="0" borderId="2" xfId="0" applyFont="1" applyBorder="1" applyAlignment="1">
      <alignment horizontal="center" vertical="center"/>
    </xf>
    <xf numFmtId="0" fontId="18" fillId="0" borderId="2" xfId="0" applyFont="1" applyBorder="1"/>
    <xf numFmtId="0" fontId="2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5" fillId="0" borderId="79" xfId="0" applyFont="1" applyBorder="1" applyAlignment="1">
      <alignment horizontal="right"/>
    </xf>
    <xf numFmtId="0" fontId="24" fillId="5" borderId="24" xfId="0" applyFont="1" applyFill="1" applyBorder="1"/>
    <xf numFmtId="0" fontId="32" fillId="0" borderId="4" xfId="0" applyFont="1" applyBorder="1" applyAlignment="1">
      <alignment horizontal="center"/>
    </xf>
    <xf numFmtId="0" fontId="25" fillId="5" borderId="5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wrapText="1"/>
    </xf>
    <xf numFmtId="0" fontId="32" fillId="0" borderId="77" xfId="0" applyFont="1" applyBorder="1" applyAlignment="1">
      <alignment horizontal="center"/>
    </xf>
    <xf numFmtId="49" fontId="25" fillId="6" borderId="5" xfId="0" applyNumberFormat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wrapText="1"/>
    </xf>
    <xf numFmtId="0" fontId="25" fillId="0" borderId="77" xfId="0" applyFont="1" applyBorder="1" applyAlignment="1">
      <alignment horizontal="center"/>
    </xf>
    <xf numFmtId="0" fontId="26" fillId="0" borderId="77" xfId="0" applyFont="1" applyBorder="1" applyAlignment="1">
      <alignment horizontal="center"/>
    </xf>
    <xf numFmtId="20" fontId="33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8" fillId="0" borderId="77" xfId="0" applyFont="1" applyBorder="1" applyAlignment="1">
      <alignment horizontal="center"/>
    </xf>
    <xf numFmtId="20" fontId="34" fillId="0" borderId="0" xfId="0" applyNumberFormat="1" applyFont="1" applyAlignment="1">
      <alignment horizontal="center"/>
    </xf>
    <xf numFmtId="0" fontId="25" fillId="0" borderId="0" xfId="0" applyFont="1" applyAlignment="1">
      <alignment horizontal="center" wrapText="1"/>
    </xf>
    <xf numFmtId="20" fontId="35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6" fillId="0" borderId="15" xfId="0" applyFont="1" applyBorder="1"/>
    <xf numFmtId="0" fontId="25" fillId="0" borderId="15" xfId="0" applyFont="1" applyBorder="1" applyAlignment="1">
      <alignment horizontal="center" vertical="center"/>
    </xf>
    <xf numFmtId="49" fontId="25" fillId="0" borderId="15" xfId="0" applyNumberFormat="1" applyFont="1" applyBorder="1" applyAlignment="1">
      <alignment horizontal="center" vertical="center"/>
    </xf>
    <xf numFmtId="20" fontId="25" fillId="0" borderId="15" xfId="0" applyNumberFormat="1" applyFont="1" applyBorder="1" applyAlignment="1">
      <alignment horizontal="center" vertical="center"/>
    </xf>
    <xf numFmtId="20" fontId="26" fillId="0" borderId="15" xfId="0" applyNumberFormat="1" applyFont="1" applyBorder="1" applyAlignment="1">
      <alignment horizontal="center"/>
    </xf>
    <xf numFmtId="20" fontId="28" fillId="0" borderId="15" xfId="0" applyNumberFormat="1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20" fontId="18" fillId="0" borderId="15" xfId="0" applyNumberFormat="1" applyFont="1" applyBorder="1" applyAlignment="1">
      <alignment horizontal="center"/>
    </xf>
    <xf numFmtId="0" fontId="25" fillId="0" borderId="79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20" fontId="6" fillId="0" borderId="2" xfId="0" applyNumberFormat="1" applyFont="1" applyBorder="1"/>
    <xf numFmtId="20" fontId="33" fillId="0" borderId="11" xfId="0" applyNumberFormat="1" applyFont="1" applyBorder="1" applyAlignment="1">
      <alignment horizontal="center"/>
    </xf>
    <xf numFmtId="0" fontId="23" fillId="0" borderId="46" xfId="1" applyFont="1" applyBorder="1"/>
    <xf numFmtId="0" fontId="23" fillId="0" borderId="44" xfId="1" applyFont="1" applyBorder="1" applyAlignment="1">
      <alignment horizontal="center"/>
    </xf>
    <xf numFmtId="0" fontId="23" fillId="0" borderId="45" xfId="1" applyFont="1" applyBorder="1" applyAlignment="1">
      <alignment horizontal="center"/>
    </xf>
    <xf numFmtId="0" fontId="23" fillId="0" borderId="46" xfId="1" applyFont="1" applyBorder="1" applyAlignment="1">
      <alignment horizontal="center"/>
    </xf>
    <xf numFmtId="164" fontId="22" fillId="0" borderId="60" xfId="1" applyNumberFormat="1" applyBorder="1" applyAlignment="1">
      <alignment horizontal="center"/>
    </xf>
    <xf numFmtId="164" fontId="22" fillId="0" borderId="61" xfId="1" applyNumberFormat="1" applyBorder="1" applyAlignment="1">
      <alignment horizontal="center"/>
    </xf>
    <xf numFmtId="164" fontId="22" fillId="0" borderId="62" xfId="1" applyNumberFormat="1" applyBorder="1" applyAlignment="1">
      <alignment horizontal="center"/>
    </xf>
    <xf numFmtId="164" fontId="22" fillId="0" borderId="39" xfId="1" applyNumberFormat="1" applyBorder="1" applyAlignment="1">
      <alignment horizontal="center"/>
    </xf>
    <xf numFmtId="164" fontId="22" fillId="0" borderId="40" xfId="1" applyNumberFormat="1" applyBorder="1" applyAlignment="1">
      <alignment horizontal="center"/>
    </xf>
    <xf numFmtId="164" fontId="22" fillId="0" borderId="41" xfId="1" applyNumberFormat="1" applyBorder="1" applyAlignment="1">
      <alignment horizontal="center"/>
    </xf>
    <xf numFmtId="164" fontId="22" fillId="0" borderId="46" xfId="1" applyNumberFormat="1" applyBorder="1" applyAlignment="1">
      <alignment horizontal="center"/>
    </xf>
    <xf numFmtId="164" fontId="22" fillId="0" borderId="44" xfId="1" applyNumberFormat="1" applyBorder="1" applyAlignment="1">
      <alignment horizontal="center"/>
    </xf>
    <xf numFmtId="164" fontId="22" fillId="0" borderId="45" xfId="1" applyNumberFormat="1" applyBorder="1" applyAlignment="1">
      <alignment horizontal="center"/>
    </xf>
    <xf numFmtId="49" fontId="22" fillId="0" borderId="48" xfId="1" applyNumberFormat="1" applyBorder="1" applyAlignment="1">
      <alignment horizontal="center"/>
    </xf>
    <xf numFmtId="164" fontId="22" fillId="0" borderId="64" xfId="1" applyNumberFormat="1" applyBorder="1" applyAlignment="1">
      <alignment horizontal="center"/>
    </xf>
    <xf numFmtId="164" fontId="22" fillId="0" borderId="57" xfId="1" applyNumberFormat="1" applyBorder="1" applyAlignment="1">
      <alignment horizontal="center"/>
    </xf>
    <xf numFmtId="164" fontId="22" fillId="0" borderId="35" xfId="1" applyNumberFormat="1" applyBorder="1" applyAlignment="1">
      <alignment horizontal="center"/>
    </xf>
    <xf numFmtId="164" fontId="22" fillId="0" borderId="36" xfId="1" applyNumberFormat="1" applyBorder="1" applyAlignment="1">
      <alignment horizontal="center"/>
    </xf>
    <xf numFmtId="164" fontId="22" fillId="0" borderId="37" xfId="1" applyNumberFormat="1" applyBorder="1" applyAlignment="1">
      <alignment horizontal="center"/>
    </xf>
    <xf numFmtId="164" fontId="22" fillId="0" borderId="58" xfId="1" applyNumberFormat="1" applyBorder="1" applyAlignment="1">
      <alignment horizontal="center"/>
    </xf>
    <xf numFmtId="49" fontId="22" fillId="0" borderId="56" xfId="1" applyNumberFormat="1" applyBorder="1" applyAlignment="1">
      <alignment horizontal="center"/>
    </xf>
    <xf numFmtId="164" fontId="22" fillId="0" borderId="51" xfId="1" applyNumberFormat="1" applyBorder="1" applyAlignment="1">
      <alignment horizontal="center"/>
    </xf>
    <xf numFmtId="164" fontId="22" fillId="0" borderId="52" xfId="1" applyNumberFormat="1" applyBorder="1" applyAlignment="1">
      <alignment horizontal="center"/>
    </xf>
    <xf numFmtId="164" fontId="22" fillId="0" borderId="54" xfId="1" applyNumberFormat="1" applyBorder="1" applyAlignment="1">
      <alignment horizontal="center"/>
    </xf>
    <xf numFmtId="49" fontId="22" fillId="0" borderId="59" xfId="1" applyNumberFormat="1" applyBorder="1" applyAlignment="1">
      <alignment horizontal="center"/>
    </xf>
    <xf numFmtId="164" fontId="22" fillId="0" borderId="81" xfId="1" applyNumberFormat="1" applyBorder="1" applyAlignment="1">
      <alignment horizontal="center"/>
    </xf>
    <xf numFmtId="164" fontId="22" fillId="0" borderId="82" xfId="1" applyNumberFormat="1" applyBorder="1" applyAlignment="1">
      <alignment horizontal="center"/>
    </xf>
    <xf numFmtId="164" fontId="22" fillId="0" borderId="74" xfId="1" applyNumberFormat="1" applyBorder="1" applyAlignment="1">
      <alignment horizontal="center"/>
    </xf>
    <xf numFmtId="164" fontId="22" fillId="0" borderId="80" xfId="1" applyNumberFormat="1" applyBorder="1" applyAlignment="1">
      <alignment horizontal="center"/>
    </xf>
    <xf numFmtId="49" fontId="22" fillId="0" borderId="31" xfId="1" applyNumberFormat="1" applyBorder="1" applyAlignment="1">
      <alignment horizontal="center"/>
    </xf>
    <xf numFmtId="49" fontId="22" fillId="0" borderId="12" xfId="1" applyNumberFormat="1" applyBorder="1" applyAlignment="1">
      <alignment horizontal="center"/>
    </xf>
    <xf numFmtId="164" fontId="22" fillId="0" borderId="70" xfId="1" applyNumberFormat="1" applyBorder="1" applyAlignment="1">
      <alignment horizontal="center"/>
    </xf>
    <xf numFmtId="164" fontId="22" fillId="0" borderId="71" xfId="1" applyNumberFormat="1" applyBorder="1" applyAlignment="1">
      <alignment horizontal="center"/>
    </xf>
    <xf numFmtId="164" fontId="22" fillId="0" borderId="72" xfId="1" applyNumberFormat="1" applyBorder="1" applyAlignment="1">
      <alignment horizontal="center"/>
    </xf>
    <xf numFmtId="164" fontId="22" fillId="0" borderId="12" xfId="1" applyNumberFormat="1" applyBorder="1" applyAlignment="1">
      <alignment horizontal="center"/>
    </xf>
    <xf numFmtId="49" fontId="22" fillId="0" borderId="1" xfId="1" applyNumberFormat="1" applyBorder="1" applyAlignment="1">
      <alignment horizontal="center"/>
    </xf>
    <xf numFmtId="0" fontId="24" fillId="5" borderId="25" xfId="0" applyFont="1" applyFill="1" applyBorder="1"/>
    <xf numFmtId="0" fontId="25" fillId="5" borderId="5" xfId="0" applyFont="1" applyFill="1" applyBorder="1" applyAlignment="1">
      <alignment horizontal="center"/>
    </xf>
    <xf numFmtId="0" fontId="36" fillId="0" borderId="0" xfId="0" applyFont="1"/>
    <xf numFmtId="0" fontId="25" fillId="0" borderId="80" xfId="0" applyFont="1" applyBorder="1"/>
    <xf numFmtId="0" fontId="6" fillId="0" borderId="3" xfId="0" applyFont="1" applyBorder="1"/>
    <xf numFmtId="0" fontId="27" fillId="0" borderId="3" xfId="0" applyFont="1" applyBorder="1" applyAlignment="1">
      <alignment horizontal="center"/>
    </xf>
    <xf numFmtId="0" fontId="25" fillId="0" borderId="80" xfId="0" applyFont="1" applyBorder="1" applyAlignment="1">
      <alignment horizontal="right"/>
    </xf>
    <xf numFmtId="0" fontId="29" fillId="0" borderId="31" xfId="0" applyFont="1" applyBorder="1"/>
    <xf numFmtId="0" fontId="27" fillId="0" borderId="0" xfId="0" applyFont="1" applyAlignment="1">
      <alignment horizontal="center"/>
    </xf>
    <xf numFmtId="0" fontId="32" fillId="0" borderId="80" xfId="0" applyFont="1" applyBorder="1"/>
    <xf numFmtId="0" fontId="25" fillId="0" borderId="59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8" fillId="0" borderId="80" xfId="0" applyFont="1" applyBorder="1"/>
    <xf numFmtId="0" fontId="26" fillId="0" borderId="59" xfId="0" applyFont="1" applyBorder="1" applyAlignment="1">
      <alignment horizontal="center"/>
    </xf>
    <xf numFmtId="0" fontId="26" fillId="0" borderId="0" xfId="0" applyFont="1" applyAlignment="1">
      <alignment horizontal="center"/>
    </xf>
    <xf numFmtId="20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80" xfId="0" applyFont="1" applyBorder="1" applyAlignment="1">
      <alignment horizontal="right"/>
    </xf>
    <xf numFmtId="0" fontId="29" fillId="0" borderId="80" xfId="0" applyFont="1" applyBorder="1"/>
    <xf numFmtId="0" fontId="25" fillId="0" borderId="59" xfId="0" applyFont="1" applyBorder="1" applyAlignment="1">
      <alignment horizontal="center" wrapText="1"/>
    </xf>
    <xf numFmtId="0" fontId="26" fillId="0" borderId="80" xfId="0" applyFont="1" applyBorder="1"/>
    <xf numFmtId="0" fontId="29" fillId="0" borderId="0" xfId="0" applyFont="1" applyAlignment="1">
      <alignment horizontal="center"/>
    </xf>
    <xf numFmtId="0" fontId="27" fillId="0" borderId="15" xfId="0" applyFont="1" applyBorder="1" applyAlignment="1">
      <alignment horizontal="center"/>
    </xf>
    <xf numFmtId="0" fontId="26" fillId="0" borderId="80" xfId="0" applyFont="1" applyBorder="1" applyAlignment="1">
      <alignment horizontal="right"/>
    </xf>
    <xf numFmtId="0" fontId="29" fillId="0" borderId="59" xfId="0" applyFont="1" applyBorder="1" applyAlignment="1">
      <alignment horizontal="center"/>
    </xf>
    <xf numFmtId="20" fontId="33" fillId="0" borderId="15" xfId="0" applyNumberFormat="1" applyFont="1" applyBorder="1" applyAlignment="1">
      <alignment horizontal="center"/>
    </xf>
    <xf numFmtId="20" fontId="37" fillId="0" borderId="0" xfId="0" applyNumberFormat="1" applyFont="1" applyAlignment="1">
      <alignment horizontal="center"/>
    </xf>
    <xf numFmtId="0" fontId="27" fillId="0" borderId="80" xfId="0" applyFont="1" applyBorder="1"/>
    <xf numFmtId="20" fontId="27" fillId="0" borderId="0" xfId="0" applyNumberFormat="1" applyFont="1" applyAlignment="1">
      <alignment horizontal="center"/>
    </xf>
    <xf numFmtId="20" fontId="27" fillId="0" borderId="15" xfId="0" applyNumberFormat="1" applyFont="1" applyBorder="1" applyAlignment="1">
      <alignment horizontal="center"/>
    </xf>
    <xf numFmtId="0" fontId="27" fillId="0" borderId="80" xfId="0" applyFont="1" applyBorder="1" applyAlignment="1">
      <alignment horizontal="right"/>
    </xf>
    <xf numFmtId="20" fontId="37" fillId="0" borderId="59" xfId="0" applyNumberFormat="1" applyFont="1" applyBorder="1" applyAlignment="1">
      <alignment horizontal="center"/>
    </xf>
    <xf numFmtId="20" fontId="37" fillId="0" borderId="15" xfId="0" applyNumberFormat="1" applyFont="1" applyBorder="1" applyAlignment="1">
      <alignment horizontal="center"/>
    </xf>
    <xf numFmtId="0" fontId="28" fillId="0" borderId="59" xfId="0" applyFont="1" applyBorder="1" applyAlignment="1">
      <alignment horizontal="center"/>
    </xf>
    <xf numFmtId="20" fontId="33" fillId="0" borderId="59" xfId="0" applyNumberFormat="1" applyFont="1" applyBorder="1" applyAlignment="1">
      <alignment horizontal="center"/>
    </xf>
    <xf numFmtId="20" fontId="28" fillId="0" borderId="59" xfId="0" applyNumberFormat="1" applyFont="1" applyBorder="1" applyAlignment="1">
      <alignment horizontal="center"/>
    </xf>
    <xf numFmtId="0" fontId="25" fillId="8" borderId="6" xfId="0" applyFont="1" applyFill="1" applyBorder="1" applyAlignment="1">
      <alignment horizontal="center"/>
    </xf>
    <xf numFmtId="20" fontId="32" fillId="0" borderId="0" xfId="0" applyNumberFormat="1" applyFont="1" applyAlignment="1">
      <alignment horizontal="center"/>
    </xf>
    <xf numFmtId="20" fontId="27" fillId="0" borderId="59" xfId="0" applyNumberFormat="1" applyFont="1" applyBorder="1" applyAlignment="1">
      <alignment horizontal="center"/>
    </xf>
    <xf numFmtId="0" fontId="6" fillId="0" borderId="59" xfId="0" applyFont="1" applyBorder="1"/>
    <xf numFmtId="0" fontId="26" fillId="0" borderId="59" xfId="0" applyFont="1" applyBorder="1"/>
    <xf numFmtId="0" fontId="29" fillId="0" borderId="15" xfId="0" applyFont="1" applyBorder="1" applyAlignment="1">
      <alignment horizontal="center"/>
    </xf>
    <xf numFmtId="0" fontId="25" fillId="0" borderId="12" xfId="0" applyFont="1" applyBorder="1"/>
    <xf numFmtId="0" fontId="25" fillId="0" borderId="1" xfId="0" applyFont="1" applyBorder="1" applyAlignment="1">
      <alignment horizontal="center"/>
    </xf>
    <xf numFmtId="20" fontId="25" fillId="0" borderId="2" xfId="0" applyNumberFormat="1" applyFont="1" applyBorder="1" applyAlignment="1">
      <alignment horizontal="center"/>
    </xf>
    <xf numFmtId="20" fontId="25" fillId="0" borderId="11" xfId="0" applyNumberFormat="1" applyFont="1" applyBorder="1" applyAlignment="1">
      <alignment horizontal="center"/>
    </xf>
    <xf numFmtId="0" fontId="25" fillId="0" borderId="12" xfId="0" applyFont="1" applyBorder="1" applyAlignment="1">
      <alignment horizontal="right"/>
    </xf>
    <xf numFmtId="0" fontId="25" fillId="0" borderId="2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49" fontId="25" fillId="6" borderId="31" xfId="0" applyNumberFormat="1" applyFont="1" applyFill="1" applyBorder="1" applyAlignment="1">
      <alignment horizontal="center" vertical="center"/>
    </xf>
    <xf numFmtId="0" fontId="22" fillId="0" borderId="0" xfId="1"/>
    <xf numFmtId="164" fontId="6" fillId="0" borderId="0" xfId="0" applyNumberFormat="1" applyFont="1"/>
    <xf numFmtId="20" fontId="6" fillId="0" borderId="0" xfId="0" applyNumberFormat="1" applyFont="1"/>
    <xf numFmtId="164" fontId="38" fillId="0" borderId="40" xfId="1" applyNumberFormat="1" applyFont="1" applyBorder="1" applyAlignment="1">
      <alignment horizontal="center"/>
    </xf>
    <xf numFmtId="164" fontId="38" fillId="0" borderId="41" xfId="1" applyNumberFormat="1" applyFont="1" applyBorder="1" applyAlignment="1">
      <alignment horizontal="center"/>
    </xf>
    <xf numFmtId="164" fontId="38" fillId="0" borderId="39" xfId="1" applyNumberFormat="1" applyFont="1" applyBorder="1" applyAlignment="1">
      <alignment horizontal="center"/>
    </xf>
    <xf numFmtId="164" fontId="38" fillId="0" borderId="36" xfId="1" applyNumberFormat="1" applyFont="1" applyBorder="1" applyAlignment="1">
      <alignment horizontal="center"/>
    </xf>
    <xf numFmtId="164" fontId="38" fillId="0" borderId="37" xfId="1" applyNumberFormat="1" applyFont="1" applyBorder="1" applyAlignment="1">
      <alignment horizontal="center"/>
    </xf>
    <xf numFmtId="164" fontId="38" fillId="0" borderId="35" xfId="1" applyNumberFormat="1" applyFont="1" applyBorder="1" applyAlignment="1">
      <alignment horizontal="center"/>
    </xf>
    <xf numFmtId="164" fontId="22" fillId="0" borderId="24" xfId="1" applyNumberFormat="1" applyBorder="1"/>
    <xf numFmtId="49" fontId="22" fillId="0" borderId="24" xfId="1" applyNumberFormat="1" applyBorder="1"/>
    <xf numFmtId="164" fontId="22" fillId="0" borderId="73" xfId="1" applyNumberFormat="1" applyBorder="1"/>
    <xf numFmtId="164" fontId="22" fillId="0" borderId="83" xfId="1" applyNumberFormat="1" applyBorder="1"/>
    <xf numFmtId="164" fontId="22" fillId="0" borderId="84" xfId="1" applyNumberFormat="1" applyBorder="1"/>
    <xf numFmtId="10" fontId="23" fillId="0" borderId="24" xfId="1" applyNumberFormat="1" applyFont="1" applyBorder="1" applyAlignment="1">
      <alignment horizontal="center"/>
    </xf>
    <xf numFmtId="164" fontId="23" fillId="0" borderId="24" xfId="1" applyNumberFormat="1" applyFont="1" applyBorder="1" applyAlignment="1">
      <alignment horizontal="center"/>
    </xf>
    <xf numFmtId="164" fontId="22" fillId="0" borderId="6" xfId="1" applyNumberFormat="1" applyBorder="1"/>
    <xf numFmtId="164" fontId="22" fillId="0" borderId="24" xfId="1" applyNumberFormat="1" applyBorder="1" applyAlignment="1">
      <alignment horizontal="center"/>
    </xf>
    <xf numFmtId="49" fontId="22" fillId="0" borderId="24" xfId="1" applyNumberFormat="1" applyBorder="1" applyAlignment="1">
      <alignment horizontal="center"/>
    </xf>
    <xf numFmtId="164" fontId="22" fillId="0" borderId="73" xfId="1" applyNumberFormat="1" applyBorder="1" applyAlignment="1">
      <alignment horizontal="center"/>
    </xf>
    <xf numFmtId="164" fontId="22" fillId="0" borderId="83" xfId="1" applyNumberFormat="1" applyBorder="1" applyAlignment="1">
      <alignment horizontal="center"/>
    </xf>
    <xf numFmtId="164" fontId="22" fillId="0" borderId="84" xfId="1" applyNumberFormat="1" applyBorder="1" applyAlignment="1">
      <alignment horizontal="center"/>
    </xf>
    <xf numFmtId="164" fontId="22" fillId="0" borderId="6" xfId="1" applyNumberFormat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20" fontId="10" fillId="0" borderId="14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20" fontId="10" fillId="0" borderId="16" xfId="0" applyNumberFormat="1" applyFont="1" applyBorder="1" applyAlignment="1">
      <alignment horizontal="center"/>
    </xf>
    <xf numFmtId="20" fontId="10" fillId="0" borderId="8" xfId="0" applyNumberFormat="1" applyFont="1" applyBorder="1" applyAlignment="1">
      <alignment horizontal="center"/>
    </xf>
    <xf numFmtId="20" fontId="16" fillId="0" borderId="14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20" fontId="11" fillId="0" borderId="13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0" fontId="10" fillId="0" borderId="13" xfId="0" applyNumberFormat="1" applyFont="1" applyBorder="1" applyAlignment="1">
      <alignment horizontal="center"/>
    </xf>
    <xf numFmtId="20" fontId="11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20" fontId="11" fillId="0" borderId="2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19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20" fontId="19" fillId="0" borderId="14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20" fontId="19" fillId="0" borderId="28" xfId="0" applyNumberFormat="1" applyFont="1" applyBorder="1" applyAlignment="1">
      <alignment horizontal="center"/>
    </xf>
    <xf numFmtId="164" fontId="22" fillId="0" borderId="53" xfId="1" applyNumberFormat="1" applyBorder="1" applyAlignment="1">
      <alignment horizontal="center"/>
    </xf>
    <xf numFmtId="164" fontId="22" fillId="0" borderId="35" xfId="1" applyNumberFormat="1" applyBorder="1"/>
    <xf numFmtId="164" fontId="22" fillId="0" borderId="36" xfId="1" applyNumberFormat="1" applyBorder="1"/>
    <xf numFmtId="164" fontId="22" fillId="0" borderId="37" xfId="1" applyNumberFormat="1" applyBorder="1"/>
    <xf numFmtId="0" fontId="22" fillId="0" borderId="36" xfId="1" applyBorder="1"/>
    <xf numFmtId="0" fontId="22" fillId="0" borderId="35" xfId="1" applyBorder="1"/>
    <xf numFmtId="0" fontId="22" fillId="0" borderId="37" xfId="1" applyBorder="1"/>
    <xf numFmtId="164" fontId="22" fillId="0" borderId="65" xfId="1" applyNumberFormat="1" applyBorder="1" applyAlignment="1">
      <alignment horizontal="center"/>
    </xf>
    <xf numFmtId="164" fontId="22" fillId="0" borderId="66" xfId="1" applyNumberFormat="1" applyBorder="1" applyAlignment="1">
      <alignment horizontal="center"/>
    </xf>
    <xf numFmtId="164" fontId="22" fillId="0" borderId="67" xfId="1" applyNumberFormat="1" applyBorder="1" applyAlignment="1">
      <alignment horizontal="center"/>
    </xf>
    <xf numFmtId="164" fontId="22" fillId="0" borderId="68" xfId="1" applyNumberFormat="1" applyBorder="1" applyAlignment="1">
      <alignment horizontal="center"/>
    </xf>
    <xf numFmtId="164" fontId="22" fillId="0" borderId="69" xfId="1" applyNumberForma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39" fillId="5" borderId="3" xfId="0" applyFont="1" applyFill="1" applyBorder="1"/>
    <xf numFmtId="0" fontId="39" fillId="5" borderId="25" xfId="0" applyFont="1" applyFill="1" applyBorder="1"/>
    <xf numFmtId="164" fontId="22" fillId="9" borderId="32" xfId="1" applyNumberFormat="1" applyFill="1" applyBorder="1" applyAlignment="1">
      <alignment horizontal="center"/>
    </xf>
    <xf numFmtId="164" fontId="22" fillId="9" borderId="47" xfId="1" applyNumberFormat="1" applyFill="1" applyBorder="1" applyAlignment="1">
      <alignment horizontal="center"/>
    </xf>
    <xf numFmtId="164" fontId="22" fillId="9" borderId="55" xfId="1" applyNumberFormat="1" applyFill="1" applyBorder="1" applyAlignment="1">
      <alignment horizontal="center"/>
    </xf>
    <xf numFmtId="164" fontId="22" fillId="9" borderId="38" xfId="1" applyNumberFormat="1" applyFill="1" applyBorder="1" applyAlignment="1">
      <alignment horizontal="center"/>
    </xf>
    <xf numFmtId="164" fontId="22" fillId="9" borderId="43" xfId="1" applyNumberFormat="1" applyFill="1" applyBorder="1" applyAlignment="1">
      <alignment horizontal="center"/>
    </xf>
    <xf numFmtId="164" fontId="22" fillId="9" borderId="24" xfId="1" applyNumberFormat="1" applyFill="1" applyBorder="1" applyAlignment="1">
      <alignment horizontal="center"/>
    </xf>
    <xf numFmtId="164" fontId="22" fillId="9" borderId="42" xfId="1" applyNumberFormat="1" applyFill="1" applyBorder="1" applyAlignment="1">
      <alignment horizontal="center"/>
    </xf>
    <xf numFmtId="164" fontId="22" fillId="9" borderId="50" xfId="1" applyNumberFormat="1" applyFill="1" applyBorder="1" applyAlignment="1">
      <alignment horizontal="center"/>
    </xf>
    <xf numFmtId="164" fontId="22" fillId="9" borderId="63" xfId="1" applyNumberFormat="1" applyFill="1" applyBorder="1" applyAlignment="1">
      <alignment horizontal="center"/>
    </xf>
    <xf numFmtId="164" fontId="22" fillId="9" borderId="49" xfId="1" applyNumberFormat="1" applyFill="1" applyBorder="1" applyAlignment="1">
      <alignment horizontal="center"/>
    </xf>
    <xf numFmtId="164" fontId="22" fillId="9" borderId="1" xfId="1" applyNumberFormat="1" applyFill="1" applyBorder="1" applyAlignment="1">
      <alignment horizontal="center"/>
    </xf>
    <xf numFmtId="164" fontId="22" fillId="10" borderId="38" xfId="1" applyNumberFormat="1" applyFill="1" applyBorder="1" applyAlignment="1">
      <alignment horizontal="center"/>
    </xf>
    <xf numFmtId="0" fontId="41" fillId="0" borderId="0" xfId="0" applyFont="1"/>
    <xf numFmtId="20" fontId="41" fillId="0" borderId="0" xfId="0" applyNumberFormat="1" applyFont="1"/>
    <xf numFmtId="0" fontId="44" fillId="0" borderId="24" xfId="0" applyFont="1" applyBorder="1" applyAlignment="1">
      <alignment vertical="center"/>
    </xf>
    <xf numFmtId="0" fontId="46" fillId="0" borderId="73" xfId="0" applyFont="1" applyBorder="1"/>
    <xf numFmtId="0" fontId="45" fillId="0" borderId="100" xfId="0" applyFont="1" applyBorder="1" applyAlignment="1">
      <alignment horizontal="center"/>
    </xf>
    <xf numFmtId="0" fontId="45" fillId="0" borderId="83" xfId="0" applyFont="1" applyBorder="1" applyAlignment="1">
      <alignment horizontal="center"/>
    </xf>
    <xf numFmtId="0" fontId="45" fillId="0" borderId="84" xfId="0" applyFont="1" applyBorder="1" applyAlignment="1">
      <alignment horizontal="center"/>
    </xf>
    <xf numFmtId="0" fontId="45" fillId="11" borderId="66" xfId="0" applyFont="1" applyFill="1" applyBorder="1" applyAlignment="1">
      <alignment horizontal="center"/>
    </xf>
    <xf numFmtId="0" fontId="45" fillId="0" borderId="67" xfId="0" applyFont="1" applyBorder="1" applyAlignment="1">
      <alignment horizontal="center"/>
    </xf>
    <xf numFmtId="0" fontId="45" fillId="11" borderId="67" xfId="0" applyFont="1" applyFill="1" applyBorder="1" applyAlignment="1">
      <alignment horizontal="left"/>
    </xf>
    <xf numFmtId="0" fontId="45" fillId="0" borderId="68" xfId="0" applyFont="1" applyBorder="1" applyAlignment="1">
      <alignment horizontal="center"/>
    </xf>
    <xf numFmtId="0" fontId="46" fillId="0" borderId="5" xfId="0" applyFont="1" applyBorder="1"/>
    <xf numFmtId="0" fontId="45" fillId="0" borderId="73" xfId="0" applyFont="1" applyBorder="1" applyAlignment="1">
      <alignment horizontal="center"/>
    </xf>
    <xf numFmtId="0" fontId="45" fillId="11" borderId="66" xfId="0" applyFont="1" applyFill="1" applyBorder="1" applyAlignment="1">
      <alignment horizontal="left"/>
    </xf>
    <xf numFmtId="0" fontId="49" fillId="0" borderId="52" xfId="0" applyFont="1" applyBorder="1" applyAlignment="1">
      <alignment horizontal="center"/>
    </xf>
    <xf numFmtId="0" fontId="46" fillId="11" borderId="60" xfId="0" applyFont="1" applyFill="1" applyBorder="1" applyAlignment="1">
      <alignment horizontal="center"/>
    </xf>
    <xf numFmtId="0" fontId="46" fillId="0" borderId="61" xfId="0" applyFont="1" applyBorder="1" applyAlignment="1">
      <alignment horizontal="center"/>
    </xf>
    <xf numFmtId="0" fontId="45" fillId="0" borderId="61" xfId="0" applyFont="1" applyBorder="1" applyAlignment="1">
      <alignment horizontal="center"/>
    </xf>
    <xf numFmtId="0" fontId="46" fillId="11" borderId="61" xfId="0" applyFont="1" applyFill="1" applyBorder="1" applyAlignment="1">
      <alignment horizontal="center"/>
    </xf>
    <xf numFmtId="0" fontId="45" fillId="0" borderId="102" xfId="0" applyFont="1" applyBorder="1" applyAlignment="1">
      <alignment horizontal="center"/>
    </xf>
    <xf numFmtId="0" fontId="46" fillId="0" borderId="102" xfId="0" applyFont="1" applyBorder="1" applyAlignment="1">
      <alignment horizontal="center"/>
    </xf>
    <xf numFmtId="164" fontId="47" fillId="0" borderId="101" xfId="1" applyNumberFormat="1" applyFont="1" applyBorder="1" applyAlignment="1">
      <alignment horizontal="center" vertical="center"/>
    </xf>
    <xf numFmtId="0" fontId="46" fillId="11" borderId="32" xfId="0" applyFont="1" applyFill="1" applyBorder="1" applyAlignment="1">
      <alignment horizontal="center"/>
    </xf>
    <xf numFmtId="0" fontId="51" fillId="0" borderId="61" xfId="0" applyFont="1" applyBorder="1" applyAlignment="1">
      <alignment horizontal="center"/>
    </xf>
    <xf numFmtId="164" fontId="47" fillId="0" borderId="39" xfId="1" applyNumberFormat="1" applyFont="1" applyBorder="1" applyAlignment="1">
      <alignment horizontal="center" vertical="center"/>
    </xf>
    <xf numFmtId="0" fontId="49" fillId="0" borderId="40" xfId="0" applyFont="1" applyBorder="1" applyAlignment="1">
      <alignment horizontal="center"/>
    </xf>
    <xf numFmtId="0" fontId="46" fillId="11" borderId="39" xfId="0" applyFont="1" applyFill="1" applyBorder="1" applyAlignment="1">
      <alignment horizontal="center"/>
    </xf>
    <xf numFmtId="0" fontId="46" fillId="0" borderId="40" xfId="0" applyFont="1" applyBorder="1" applyAlignment="1">
      <alignment horizontal="center"/>
    </xf>
    <xf numFmtId="0" fontId="46" fillId="11" borderId="40" xfId="0" applyFont="1" applyFill="1" applyBorder="1" applyAlignment="1">
      <alignment horizontal="center"/>
    </xf>
    <xf numFmtId="0" fontId="45" fillId="0" borderId="103" xfId="0" applyFont="1" applyBorder="1" applyAlignment="1">
      <alignment horizontal="center"/>
    </xf>
    <xf numFmtId="0" fontId="46" fillId="0" borderId="103" xfId="0" applyFont="1" applyBorder="1" applyAlignment="1">
      <alignment horizontal="center"/>
    </xf>
    <xf numFmtId="164" fontId="47" fillId="0" borderId="103" xfId="1" applyNumberFormat="1" applyFont="1" applyBorder="1" applyAlignment="1">
      <alignment horizontal="center" vertical="center"/>
    </xf>
    <xf numFmtId="0" fontId="46" fillId="11" borderId="38" xfId="0" applyFont="1" applyFill="1" applyBorder="1" applyAlignment="1">
      <alignment horizontal="center"/>
    </xf>
    <xf numFmtId="0" fontId="51" fillId="0" borderId="40" xfId="0" applyFont="1" applyBorder="1" applyAlignment="1">
      <alignment horizontal="center"/>
    </xf>
    <xf numFmtId="164" fontId="50" fillId="13" borderId="104" xfId="1" applyNumberFormat="1" applyFont="1" applyFill="1" applyBorder="1" applyAlignment="1">
      <alignment horizontal="center" vertical="center"/>
    </xf>
    <xf numFmtId="0" fontId="52" fillId="0" borderId="103" xfId="0" applyFont="1" applyBorder="1" applyAlignment="1">
      <alignment horizontal="center"/>
    </xf>
    <xf numFmtId="0" fontId="46" fillId="11" borderId="35" xfId="0" applyFont="1" applyFill="1" applyBorder="1" applyAlignment="1">
      <alignment horizontal="center"/>
    </xf>
    <xf numFmtId="0" fontId="52" fillId="0" borderId="36" xfId="0" applyFont="1" applyBorder="1" applyAlignment="1">
      <alignment horizontal="center"/>
    </xf>
    <xf numFmtId="0" fontId="46" fillId="11" borderId="36" xfId="0" applyFont="1" applyFill="1" applyBorder="1" applyAlignment="1">
      <alignment horizontal="center"/>
    </xf>
    <xf numFmtId="0" fontId="45" fillId="0" borderId="106" xfId="0" applyFont="1" applyBorder="1" applyAlignment="1">
      <alignment horizontal="center"/>
    </xf>
    <xf numFmtId="0" fontId="52" fillId="0" borderId="106" xfId="0" applyFont="1" applyBorder="1" applyAlignment="1">
      <alignment horizontal="center"/>
    </xf>
    <xf numFmtId="0" fontId="46" fillId="11" borderId="49" xfId="0" applyFont="1" applyFill="1" applyBorder="1" applyAlignment="1">
      <alignment horizontal="center"/>
    </xf>
    <xf numFmtId="0" fontId="51" fillId="0" borderId="36" xfId="0" applyFont="1" applyBorder="1" applyAlignment="1">
      <alignment horizontal="center"/>
    </xf>
    <xf numFmtId="164" fontId="50" fillId="0" borderId="39" xfId="1" applyNumberFormat="1" applyFont="1" applyBorder="1" applyAlignment="1">
      <alignment horizontal="center" vertical="center"/>
    </xf>
    <xf numFmtId="164" fontId="50" fillId="0" borderId="104" xfId="1" applyNumberFormat="1" applyFont="1" applyBorder="1" applyAlignment="1">
      <alignment horizontal="center" vertical="center"/>
    </xf>
    <xf numFmtId="164" fontId="50" fillId="0" borderId="103" xfId="1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center"/>
    </xf>
    <xf numFmtId="0" fontId="48" fillId="0" borderId="41" xfId="0" applyFont="1" applyBorder="1"/>
    <xf numFmtId="0" fontId="55" fillId="0" borderId="40" xfId="0" applyFont="1" applyBorder="1" applyAlignment="1">
      <alignment horizontal="center"/>
    </xf>
    <xf numFmtId="164" fontId="50" fillId="14" borderId="104" xfId="1" applyNumberFormat="1" applyFont="1" applyFill="1" applyBorder="1" applyAlignment="1">
      <alignment horizontal="center" vertical="center"/>
    </xf>
    <xf numFmtId="0" fontId="45" fillId="0" borderId="104" xfId="0" applyFont="1" applyBorder="1" applyAlignment="1">
      <alignment horizontal="center"/>
    </xf>
    <xf numFmtId="164" fontId="50" fillId="15" borderId="103" xfId="1" applyNumberFormat="1" applyFont="1" applyFill="1" applyBorder="1" applyAlignment="1">
      <alignment horizontal="center" vertical="center"/>
    </xf>
    <xf numFmtId="164" fontId="47" fillId="0" borderId="103" xfId="2" applyNumberFormat="1" applyFont="1" applyBorder="1" applyAlignment="1">
      <alignment horizontal="center"/>
    </xf>
    <xf numFmtId="164" fontId="53" fillId="12" borderId="40" xfId="2" applyNumberFormat="1" applyFont="1" applyFill="1" applyBorder="1" applyAlignment="1">
      <alignment horizontal="left"/>
    </xf>
    <xf numFmtId="164" fontId="50" fillId="12" borderId="40" xfId="2" applyNumberFormat="1" applyFont="1" applyFill="1" applyBorder="1" applyAlignment="1">
      <alignment horizontal="center"/>
    </xf>
    <xf numFmtId="164" fontId="50" fillId="0" borderId="41" xfId="2" applyNumberFormat="1" applyFont="1" applyBorder="1" applyAlignment="1">
      <alignment horizontal="center" vertical="center"/>
    </xf>
    <xf numFmtId="164" fontId="50" fillId="12" borderId="41" xfId="2" applyNumberFormat="1" applyFont="1" applyFill="1" applyBorder="1" applyAlignment="1">
      <alignment horizontal="center" vertical="center"/>
    </xf>
    <xf numFmtId="164" fontId="47" fillId="0" borderId="39" xfId="2" applyNumberFormat="1" applyFont="1" applyBorder="1" applyAlignment="1">
      <alignment horizontal="center"/>
    </xf>
    <xf numFmtId="164" fontId="53" fillId="12" borderId="103" xfId="2" applyNumberFormat="1" applyFont="1" applyFill="1" applyBorder="1" applyAlignment="1">
      <alignment horizontal="left"/>
    </xf>
    <xf numFmtId="0" fontId="54" fillId="0" borderId="103" xfId="0" applyFont="1" applyBorder="1" applyAlignment="1">
      <alignment horizontal="center"/>
    </xf>
    <xf numFmtId="164" fontId="47" fillId="0" borderId="35" xfId="2" applyNumberFormat="1" applyFont="1" applyBorder="1" applyAlignment="1">
      <alignment horizontal="center"/>
    </xf>
    <xf numFmtId="164" fontId="50" fillId="12" borderId="106" xfId="2" applyNumberFormat="1" applyFont="1" applyFill="1" applyBorder="1" applyAlignment="1">
      <alignment horizontal="center"/>
    </xf>
    <xf numFmtId="0" fontId="54" fillId="0" borderId="36" xfId="0" applyFont="1" applyBorder="1" applyAlignment="1">
      <alignment horizontal="center"/>
    </xf>
    <xf numFmtId="164" fontId="50" fillId="0" borderId="37" xfId="2" applyNumberFormat="1" applyFont="1" applyBorder="1" applyAlignment="1">
      <alignment horizontal="center" vertical="center"/>
    </xf>
    <xf numFmtId="164" fontId="47" fillId="0" borderId="106" xfId="2" applyNumberFormat="1" applyFont="1" applyBorder="1" applyAlignment="1">
      <alignment horizontal="center"/>
    </xf>
    <xf numFmtId="164" fontId="53" fillId="12" borderId="36" xfId="2" applyNumberFormat="1" applyFont="1" applyFill="1" applyBorder="1" applyAlignment="1">
      <alignment horizontal="left"/>
    </xf>
    <xf numFmtId="0" fontId="54" fillId="0" borderId="106" xfId="0" applyFont="1" applyBorder="1" applyAlignment="1">
      <alignment horizontal="center"/>
    </xf>
    <xf numFmtId="164" fontId="50" fillId="12" borderId="37" xfId="2" applyNumberFormat="1" applyFont="1" applyFill="1" applyBorder="1" applyAlignment="1">
      <alignment horizontal="center" vertical="center"/>
    </xf>
    <xf numFmtId="0" fontId="56" fillId="0" borderId="36" xfId="0" applyFont="1" applyBorder="1" applyAlignment="1">
      <alignment horizontal="center"/>
    </xf>
    <xf numFmtId="164" fontId="47" fillId="0" borderId="55" xfId="1" applyNumberFormat="1" applyFont="1" applyBorder="1" applyAlignment="1">
      <alignment horizontal="center" vertical="center"/>
    </xf>
    <xf numFmtId="164" fontId="47" fillId="0" borderId="38" xfId="1" applyNumberFormat="1" applyFont="1" applyBorder="1" applyAlignment="1">
      <alignment horizontal="center" vertical="center"/>
    </xf>
    <xf numFmtId="164" fontId="50" fillId="0" borderId="38" xfId="1" applyNumberFormat="1" applyFont="1" applyBorder="1" applyAlignment="1">
      <alignment horizontal="center" vertical="center"/>
    </xf>
    <xf numFmtId="0" fontId="49" fillId="0" borderId="101" xfId="0" applyFont="1" applyBorder="1" applyAlignment="1">
      <alignment horizontal="center"/>
    </xf>
    <xf numFmtId="0" fontId="49" fillId="0" borderId="103" xfId="0" applyFont="1" applyBorder="1" applyAlignment="1">
      <alignment horizontal="center"/>
    </xf>
    <xf numFmtId="0" fontId="55" fillId="0" borderId="103" xfId="0" applyFont="1" applyBorder="1" applyAlignment="1">
      <alignment horizontal="center"/>
    </xf>
    <xf numFmtId="0" fontId="46" fillId="0" borderId="0" xfId="0" applyFont="1"/>
    <xf numFmtId="0" fontId="55" fillId="0" borderId="0" xfId="0" applyFont="1"/>
    <xf numFmtId="164" fontId="50" fillId="15" borderId="40" xfId="1" applyNumberFormat="1" applyFont="1" applyFill="1" applyBorder="1" applyAlignment="1">
      <alignment horizontal="center" vertical="center"/>
    </xf>
    <xf numFmtId="0" fontId="57" fillId="0" borderId="89" xfId="0" applyFont="1" applyBorder="1" applyAlignment="1">
      <alignment horizontal="center"/>
    </xf>
    <xf numFmtId="0" fontId="57" fillId="0" borderId="92" xfId="0" applyFont="1" applyBorder="1" applyAlignment="1">
      <alignment horizontal="center"/>
    </xf>
    <xf numFmtId="0" fontId="46" fillId="0" borderId="87" xfId="0" applyFont="1" applyBorder="1" applyAlignment="1">
      <alignment horizontal="center"/>
    </xf>
    <xf numFmtId="0" fontId="46" fillId="0" borderId="89" xfId="0" applyFont="1" applyBorder="1" applyAlignment="1">
      <alignment horizontal="center"/>
    </xf>
    <xf numFmtId="164" fontId="48" fillId="13" borderId="42" xfId="1" applyNumberFormat="1" applyFont="1" applyFill="1" applyBorder="1" applyAlignment="1">
      <alignment horizontal="center" vertical="center"/>
    </xf>
    <xf numFmtId="164" fontId="48" fillId="13" borderId="43" xfId="1" applyNumberFormat="1" applyFont="1" applyFill="1" applyBorder="1" applyAlignment="1">
      <alignment horizontal="center" vertical="center"/>
    </xf>
    <xf numFmtId="164" fontId="48" fillId="13" borderId="50" xfId="1" applyNumberFormat="1" applyFont="1" applyFill="1" applyBorder="1" applyAlignment="1">
      <alignment horizontal="center" vertical="center"/>
    </xf>
    <xf numFmtId="164" fontId="50" fillId="16" borderId="42" xfId="1" applyNumberFormat="1" applyFont="1" applyFill="1" applyBorder="1" applyAlignment="1">
      <alignment horizontal="center" vertical="center"/>
    </xf>
    <xf numFmtId="164" fontId="50" fillId="16" borderId="43" xfId="1" applyNumberFormat="1" applyFont="1" applyFill="1" applyBorder="1" applyAlignment="1">
      <alignment horizontal="center" vertical="center"/>
    </xf>
    <xf numFmtId="164" fontId="50" fillId="16" borderId="50" xfId="1" applyNumberFormat="1" applyFont="1" applyFill="1" applyBorder="1" applyAlignment="1">
      <alignment horizontal="center" vertical="center"/>
    </xf>
    <xf numFmtId="164" fontId="50" fillId="16" borderId="104" xfId="1" applyNumberFormat="1" applyFont="1" applyFill="1" applyBorder="1" applyAlignment="1">
      <alignment horizontal="center" vertical="center"/>
    </xf>
    <xf numFmtId="164" fontId="45" fillId="13" borderId="54" xfId="2" applyNumberFormat="1" applyFont="1" applyFill="1" applyBorder="1" applyAlignment="1">
      <alignment horizontal="center"/>
    </xf>
    <xf numFmtId="164" fontId="45" fillId="13" borderId="41" xfId="2" applyNumberFormat="1" applyFont="1" applyFill="1" applyBorder="1" applyAlignment="1">
      <alignment horizontal="center"/>
    </xf>
    <xf numFmtId="164" fontId="52" fillId="13" borderId="104" xfId="1" applyNumberFormat="1" applyFont="1" applyFill="1" applyBorder="1" applyAlignment="1">
      <alignment horizontal="center" vertical="center"/>
    </xf>
    <xf numFmtId="0" fontId="52" fillId="13" borderId="104" xfId="0" applyFont="1" applyFill="1" applyBorder="1" applyAlignment="1">
      <alignment horizontal="center"/>
    </xf>
    <xf numFmtId="164" fontId="50" fillId="16" borderId="41" xfId="1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6" fillId="0" borderId="108" xfId="0" applyFont="1" applyBorder="1" applyAlignment="1">
      <alignment horizontal="center"/>
    </xf>
    <xf numFmtId="0" fontId="46" fillId="0" borderId="109" xfId="0" applyFont="1" applyBorder="1" applyAlignment="1">
      <alignment horizontal="center"/>
    </xf>
    <xf numFmtId="0" fontId="46" fillId="0" borderId="110" xfId="0" applyFont="1" applyBorder="1" applyAlignment="1">
      <alignment horizontal="center"/>
    </xf>
    <xf numFmtId="0" fontId="46" fillId="0" borderId="11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6" fillId="0" borderId="98" xfId="0" applyFont="1" applyBorder="1" applyAlignment="1">
      <alignment horizontal="center"/>
    </xf>
    <xf numFmtId="0" fontId="45" fillId="13" borderId="52" xfId="0" applyFont="1" applyFill="1" applyBorder="1" applyAlignment="1">
      <alignment horizontal="center"/>
    </xf>
    <xf numFmtId="0" fontId="46" fillId="13" borderId="113" xfId="0" applyFont="1" applyFill="1" applyBorder="1" applyAlignment="1">
      <alignment horizontal="center"/>
    </xf>
    <xf numFmtId="0" fontId="46" fillId="13" borderId="108" xfId="0" applyFont="1" applyFill="1" applyBorder="1" applyAlignment="1">
      <alignment horizontal="center"/>
    </xf>
    <xf numFmtId="0" fontId="46" fillId="13" borderId="89" xfId="0" applyFont="1" applyFill="1" applyBorder="1" applyAlignment="1">
      <alignment horizontal="center"/>
    </xf>
    <xf numFmtId="0" fontId="46" fillId="13" borderId="109" xfId="0" applyFont="1" applyFill="1" applyBorder="1" applyAlignment="1">
      <alignment horizontal="center"/>
    </xf>
    <xf numFmtId="0" fontId="46" fillId="16" borderId="89" xfId="0" applyFont="1" applyFill="1" applyBorder="1" applyAlignment="1">
      <alignment horizontal="center"/>
    </xf>
    <xf numFmtId="0" fontId="46" fillId="16" borderId="109" xfId="0" applyFont="1" applyFill="1" applyBorder="1" applyAlignment="1">
      <alignment horizontal="center"/>
    </xf>
    <xf numFmtId="0" fontId="46" fillId="17" borderId="89" xfId="0" applyFont="1" applyFill="1" applyBorder="1" applyAlignment="1">
      <alignment horizontal="center"/>
    </xf>
    <xf numFmtId="0" fontId="46" fillId="17" borderId="108" xfId="0" applyFont="1" applyFill="1" applyBorder="1" applyAlignment="1">
      <alignment horizontal="center"/>
    </xf>
    <xf numFmtId="0" fontId="46" fillId="15" borderId="109" xfId="0" applyFont="1" applyFill="1" applyBorder="1" applyAlignment="1">
      <alignment horizontal="center"/>
    </xf>
    <xf numFmtId="0" fontId="46" fillId="15" borderId="111" xfId="0" applyFont="1" applyFill="1" applyBorder="1" applyAlignment="1">
      <alignment horizontal="center"/>
    </xf>
    <xf numFmtId="0" fontId="46" fillId="15" borderId="89" xfId="0" applyFont="1" applyFill="1" applyBorder="1" applyAlignment="1">
      <alignment horizontal="center"/>
    </xf>
    <xf numFmtId="0" fontId="46" fillId="16" borderId="108" xfId="0" applyFont="1" applyFill="1" applyBorder="1" applyAlignment="1">
      <alignment horizontal="center"/>
    </xf>
    <xf numFmtId="0" fontId="46" fillId="16" borderId="112" xfId="0" applyFont="1" applyFill="1" applyBorder="1" applyAlignment="1">
      <alignment horizontal="center"/>
    </xf>
    <xf numFmtId="0" fontId="57" fillId="0" borderId="88" xfId="0" applyFont="1" applyBorder="1" applyAlignment="1">
      <alignment horizontal="center"/>
    </xf>
    <xf numFmtId="0" fontId="57" fillId="0" borderId="90" xfId="0" applyFont="1" applyBorder="1" applyAlignment="1">
      <alignment horizontal="center"/>
    </xf>
    <xf numFmtId="0" fontId="57" fillId="0" borderId="93" xfId="0" applyFont="1" applyBorder="1" applyAlignment="1">
      <alignment horizontal="center"/>
    </xf>
    <xf numFmtId="0" fontId="57" fillId="0" borderId="94" xfId="0" applyFont="1" applyBorder="1" applyAlignment="1">
      <alignment horizontal="center"/>
    </xf>
    <xf numFmtId="0" fontId="57" fillId="0" borderId="85" xfId="0" applyFont="1" applyBorder="1" applyAlignment="1">
      <alignment horizontal="center"/>
    </xf>
    <xf numFmtId="0" fontId="57" fillId="0" borderId="95" xfId="0" applyFont="1" applyBorder="1" applyAlignment="1">
      <alignment horizontal="center"/>
    </xf>
    <xf numFmtId="0" fontId="57" fillId="0" borderId="96" xfId="0" applyFont="1" applyBorder="1" applyAlignment="1">
      <alignment horizontal="center"/>
    </xf>
    <xf numFmtId="0" fontId="57" fillId="0" borderId="59" xfId="0" applyFont="1" applyBorder="1" applyAlignment="1">
      <alignment horizontal="center"/>
    </xf>
    <xf numFmtId="0" fontId="57" fillId="0" borderId="80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13" borderId="89" xfId="0" applyFont="1" applyFill="1" applyBorder="1" applyAlignment="1">
      <alignment horizontal="center"/>
    </xf>
    <xf numFmtId="0" fontId="57" fillId="16" borderId="89" xfId="0" applyFont="1" applyFill="1" applyBorder="1" applyAlignment="1">
      <alignment horizontal="center"/>
    </xf>
    <xf numFmtId="0" fontId="57" fillId="15" borderId="89" xfId="0" applyFont="1" applyFill="1" applyBorder="1" applyAlignment="1">
      <alignment horizontal="center"/>
    </xf>
    <xf numFmtId="0" fontId="57" fillId="16" borderId="90" xfId="0" applyFont="1" applyFill="1" applyBorder="1" applyAlignment="1">
      <alignment horizontal="center"/>
    </xf>
    <xf numFmtId="0" fontId="57" fillId="13" borderId="98" xfId="0" applyFont="1" applyFill="1" applyBorder="1" applyAlignment="1">
      <alignment horizontal="center"/>
    </xf>
    <xf numFmtId="0" fontId="57" fillId="16" borderId="88" xfId="0" applyFont="1" applyFill="1" applyBorder="1" applyAlignment="1">
      <alignment horizontal="center"/>
    </xf>
    <xf numFmtId="0" fontId="57" fillId="13" borderId="88" xfId="0" applyFont="1" applyFill="1" applyBorder="1" applyAlignment="1">
      <alignment horizontal="center"/>
    </xf>
    <xf numFmtId="0" fontId="57" fillId="15" borderId="88" xfId="0" applyFont="1" applyFill="1" applyBorder="1" applyAlignment="1">
      <alignment horizontal="center"/>
    </xf>
    <xf numFmtId="0" fontId="57" fillId="13" borderId="90" xfId="0" applyFont="1" applyFill="1" applyBorder="1" applyAlignment="1">
      <alignment horizontal="center"/>
    </xf>
    <xf numFmtId="0" fontId="57" fillId="15" borderId="90" xfId="0" applyFont="1" applyFill="1" applyBorder="1" applyAlignment="1">
      <alignment horizontal="center"/>
    </xf>
    <xf numFmtId="0" fontId="57" fillId="15" borderId="99" xfId="0" applyFont="1" applyFill="1" applyBorder="1" applyAlignment="1">
      <alignment horizontal="center"/>
    </xf>
    <xf numFmtId="0" fontId="57" fillId="16" borderId="97" xfId="0" applyFont="1" applyFill="1" applyBorder="1" applyAlignment="1">
      <alignment horizontal="center"/>
    </xf>
    <xf numFmtId="0" fontId="57" fillId="15" borderId="91" xfId="0" applyFont="1" applyFill="1" applyBorder="1" applyAlignment="1">
      <alignment horizontal="center"/>
    </xf>
    <xf numFmtId="0" fontId="49" fillId="0" borderId="105" xfId="0" applyFont="1" applyBorder="1" applyAlignment="1">
      <alignment horizontal="center"/>
    </xf>
    <xf numFmtId="0" fontId="49" fillId="0" borderId="104" xfId="0" applyFont="1" applyBorder="1" applyAlignment="1">
      <alignment horizontal="center"/>
    </xf>
    <xf numFmtId="164" fontId="45" fillId="13" borderId="42" xfId="2" applyNumberFormat="1" applyFont="1" applyFill="1" applyBorder="1" applyAlignment="1">
      <alignment horizontal="center"/>
    </xf>
    <xf numFmtId="164" fontId="45" fillId="13" borderId="43" xfId="2" applyNumberFormat="1" applyFont="1" applyFill="1" applyBorder="1" applyAlignment="1">
      <alignment horizontal="center"/>
    </xf>
    <xf numFmtId="164" fontId="52" fillId="13" borderId="43" xfId="1" applyNumberFormat="1" applyFont="1" applyFill="1" applyBorder="1" applyAlignment="1">
      <alignment horizontal="center" vertical="center"/>
    </xf>
    <xf numFmtId="164" fontId="52" fillId="13" borderId="50" xfId="1" applyNumberFormat="1" applyFont="1" applyFill="1" applyBorder="1" applyAlignment="1">
      <alignment horizontal="center" vertical="center"/>
    </xf>
    <xf numFmtId="164" fontId="48" fillId="16" borderId="42" xfId="1" applyNumberFormat="1" applyFont="1" applyFill="1" applyBorder="1" applyAlignment="1">
      <alignment horizontal="center" vertical="center"/>
    </xf>
    <xf numFmtId="164" fontId="48" fillId="16" borderId="50" xfId="1" applyNumberFormat="1" applyFont="1" applyFill="1" applyBorder="1" applyAlignment="1">
      <alignment horizontal="center" vertical="center"/>
    </xf>
    <xf numFmtId="164" fontId="45" fillId="16" borderId="42" xfId="2" applyNumberFormat="1" applyFont="1" applyFill="1" applyBorder="1" applyAlignment="1">
      <alignment horizontal="center"/>
    </xf>
    <xf numFmtId="164" fontId="45" fillId="15" borderId="42" xfId="2" applyNumberFormat="1" applyFont="1" applyFill="1" applyBorder="1" applyAlignment="1">
      <alignment horizontal="center"/>
    </xf>
    <xf numFmtId="164" fontId="52" fillId="15" borderId="50" xfId="1" applyNumberFormat="1" applyFont="1" applyFill="1" applyBorder="1" applyAlignment="1">
      <alignment horizontal="center" vertical="center"/>
    </xf>
    <xf numFmtId="164" fontId="48" fillId="15" borderId="56" xfId="1" applyNumberFormat="1" applyFont="1" applyFill="1" applyBorder="1" applyAlignment="1">
      <alignment horizontal="center" vertical="center"/>
    </xf>
    <xf numFmtId="164" fontId="48" fillId="15" borderId="43" xfId="1" applyNumberFormat="1" applyFont="1" applyFill="1" applyBorder="1" applyAlignment="1">
      <alignment horizontal="center" vertical="center"/>
    </xf>
    <xf numFmtId="164" fontId="48" fillId="0" borderId="43" xfId="1" applyNumberFormat="1" applyFont="1" applyBorder="1" applyAlignment="1">
      <alignment horizontal="center" vertical="center"/>
    </xf>
    <xf numFmtId="164" fontId="52" fillId="0" borderId="104" xfId="1" applyNumberFormat="1" applyFont="1" applyBorder="1" applyAlignment="1">
      <alignment horizontal="center" vertical="center"/>
    </xf>
    <xf numFmtId="0" fontId="45" fillId="13" borderId="61" xfId="0" applyFont="1" applyFill="1" applyBorder="1" applyAlignment="1">
      <alignment horizontal="center"/>
    </xf>
    <xf numFmtId="164" fontId="48" fillId="13" borderId="48" xfId="1" applyNumberFormat="1" applyFont="1" applyFill="1" applyBorder="1" applyAlignment="1">
      <alignment horizontal="center" vertical="center"/>
    </xf>
    <xf numFmtId="164" fontId="48" fillId="0" borderId="56" xfId="1" applyNumberFormat="1" applyFont="1" applyBorder="1" applyAlignment="1">
      <alignment horizontal="center" vertical="center"/>
    </xf>
    <xf numFmtId="164" fontId="48" fillId="15" borderId="6" xfId="1" applyNumberFormat="1" applyFont="1" applyFill="1" applyBorder="1" applyAlignment="1">
      <alignment horizontal="center" vertical="center"/>
    </xf>
    <xf numFmtId="0" fontId="49" fillId="0" borderId="54" xfId="0" applyFont="1" applyBorder="1" applyAlignment="1">
      <alignment horizontal="center"/>
    </xf>
    <xf numFmtId="0" fontId="49" fillId="0" borderId="41" xfId="0" applyFont="1" applyBorder="1" applyAlignment="1">
      <alignment horizontal="center"/>
    </xf>
    <xf numFmtId="164" fontId="52" fillId="13" borderId="50" xfId="2" applyNumberFormat="1" applyFont="1" applyFill="1" applyBorder="1" applyAlignment="1">
      <alignment horizontal="center"/>
    </xf>
    <xf numFmtId="164" fontId="52" fillId="15" borderId="43" xfId="1" applyNumberFormat="1" applyFont="1" applyFill="1" applyBorder="1" applyAlignment="1">
      <alignment horizontal="center" vertical="center"/>
    </xf>
    <xf numFmtId="164" fontId="45" fillId="16" borderId="6" xfId="2" applyNumberFormat="1" applyFont="1" applyFill="1" applyBorder="1" applyAlignment="1">
      <alignment horizontal="center"/>
    </xf>
    <xf numFmtId="164" fontId="45" fillId="0" borderId="54" xfId="2" applyNumberFormat="1" applyFont="1" applyBorder="1" applyAlignment="1">
      <alignment horizontal="center"/>
    </xf>
    <xf numFmtId="164" fontId="45" fillId="0" borderId="41" xfId="2" applyNumberFormat="1" applyFont="1" applyBorder="1" applyAlignment="1">
      <alignment horizontal="center"/>
    </xf>
    <xf numFmtId="164" fontId="52" fillId="15" borderId="50" xfId="2" applyNumberFormat="1" applyFont="1" applyFill="1" applyBorder="1" applyAlignment="1">
      <alignment horizontal="center"/>
    </xf>
    <xf numFmtId="0" fontId="45" fillId="16" borderId="61" xfId="0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7" fillId="0" borderId="25" xfId="0" applyFont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45" fillId="13" borderId="60" xfId="0" applyFont="1" applyFill="1" applyBorder="1" applyAlignment="1">
      <alignment horizontal="center"/>
    </xf>
    <xf numFmtId="0" fontId="46" fillId="15" borderId="112" xfId="0" applyFont="1" applyFill="1" applyBorder="1" applyAlignment="1">
      <alignment horizontal="center"/>
    </xf>
    <xf numFmtId="0" fontId="58" fillId="18" borderId="0" xfId="0" applyFont="1" applyFill="1" applyAlignment="1">
      <alignment horizontal="center"/>
    </xf>
    <xf numFmtId="0" fontId="58" fillId="18" borderId="59" xfId="0" applyFont="1" applyFill="1" applyBorder="1" applyAlignment="1">
      <alignment horizontal="left"/>
    </xf>
    <xf numFmtId="0" fontId="59" fillId="18" borderId="0" xfId="0" applyFont="1" applyFill="1" applyAlignment="1">
      <alignment horizontal="center"/>
    </xf>
    <xf numFmtId="0" fontId="58" fillId="18" borderId="0" xfId="0" applyFont="1" applyFill="1"/>
    <xf numFmtId="0" fontId="60" fillId="18" borderId="1" xfId="0" applyFont="1" applyFill="1" applyBorder="1" applyAlignment="1">
      <alignment horizontal="center"/>
    </xf>
    <xf numFmtId="0" fontId="60" fillId="18" borderId="2" xfId="0" applyFont="1" applyFill="1" applyBorder="1" applyAlignment="1">
      <alignment horizontal="center"/>
    </xf>
    <xf numFmtId="0" fontId="60" fillId="18" borderId="2" xfId="0" applyFont="1" applyFill="1" applyBorder="1"/>
    <xf numFmtId="0" fontId="60" fillId="18" borderId="11" xfId="0" applyFont="1" applyFill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5" fillId="0" borderId="114" xfId="0" applyFont="1" applyBorder="1" applyAlignment="1">
      <alignment horizontal="center"/>
    </xf>
    <xf numFmtId="0" fontId="45" fillId="0" borderId="80" xfId="0" applyFont="1" applyBorder="1"/>
    <xf numFmtId="0" fontId="45" fillId="0" borderId="80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5" fillId="0" borderId="115" xfId="0" applyFont="1" applyBorder="1" applyAlignment="1">
      <alignment horizontal="center"/>
    </xf>
    <xf numFmtId="0" fontId="45" fillId="0" borderId="12" xfId="0" applyFont="1" applyBorder="1"/>
    <xf numFmtId="0" fontId="45" fillId="0" borderId="75" xfId="0" applyFont="1" applyBorder="1" applyAlignment="1">
      <alignment horizontal="center"/>
    </xf>
    <xf numFmtId="0" fontId="51" fillId="0" borderId="116" xfId="0" applyFont="1" applyBorder="1" applyAlignment="1">
      <alignment horizontal="center"/>
    </xf>
    <xf numFmtId="0" fontId="51" fillId="0" borderId="117" xfId="0" applyFont="1" applyBorder="1" applyAlignment="1">
      <alignment horizontal="center"/>
    </xf>
    <xf numFmtId="0" fontId="51" fillId="0" borderId="117" xfId="0" applyFont="1" applyBorder="1"/>
    <xf numFmtId="0" fontId="61" fillId="0" borderId="117" xfId="0" applyFont="1" applyBorder="1" applyAlignment="1">
      <alignment horizontal="center"/>
    </xf>
    <xf numFmtId="0" fontId="51" fillId="0" borderId="118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45" fillId="0" borderId="116" xfId="0" applyFont="1" applyBorder="1" applyAlignment="1">
      <alignment horizontal="center"/>
    </xf>
    <xf numFmtId="0" fontId="45" fillId="0" borderId="117" xfId="0" applyFont="1" applyBorder="1" applyAlignment="1">
      <alignment horizontal="center"/>
    </xf>
    <xf numFmtId="0" fontId="46" fillId="0" borderId="117" xfId="0" applyFont="1" applyBorder="1"/>
    <xf numFmtId="0" fontId="62" fillId="0" borderId="3" xfId="0" applyFont="1" applyBorder="1" applyAlignment="1">
      <alignment horizontal="center"/>
    </xf>
    <xf numFmtId="0" fontId="56" fillId="0" borderId="26" xfId="0" applyFont="1" applyBorder="1" applyAlignment="1">
      <alignment horizontal="center"/>
    </xf>
    <xf numFmtId="0" fontId="45" fillId="0" borderId="76" xfId="0" applyFont="1" applyBorder="1" applyAlignment="1">
      <alignment horizontal="center"/>
    </xf>
    <xf numFmtId="0" fontId="45" fillId="0" borderId="119" xfId="0" applyFont="1" applyBorder="1" applyAlignment="1">
      <alignment horizontal="center"/>
    </xf>
    <xf numFmtId="165" fontId="45" fillId="0" borderId="7" xfId="0" applyNumberFormat="1" applyFont="1" applyBorder="1" applyAlignment="1">
      <alignment horizontal="center"/>
    </xf>
    <xf numFmtId="0" fontId="45" fillId="0" borderId="7" xfId="0" applyFont="1" applyBorder="1"/>
    <xf numFmtId="0" fontId="61" fillId="0" borderId="7" xfId="0" applyFont="1" applyBorder="1" applyAlignment="1">
      <alignment horizontal="center"/>
    </xf>
    <xf numFmtId="0" fontId="51" fillId="0" borderId="120" xfId="0" applyFont="1" applyBorder="1" applyAlignment="1">
      <alignment horizontal="center"/>
    </xf>
    <xf numFmtId="0" fontId="45" fillId="0" borderId="120" xfId="0" applyFont="1" applyBorder="1" applyAlignment="1">
      <alignment horizontal="center"/>
    </xf>
    <xf numFmtId="0" fontId="51" fillId="0" borderId="119" xfId="0" applyFont="1" applyBorder="1" applyAlignment="1">
      <alignment horizontal="center"/>
    </xf>
    <xf numFmtId="20" fontId="51" fillId="0" borderId="120" xfId="0" applyNumberFormat="1" applyFont="1" applyBorder="1" applyAlignment="1">
      <alignment horizontal="center"/>
    </xf>
    <xf numFmtId="0" fontId="51" fillId="0" borderId="7" xfId="0" applyFont="1" applyBorder="1"/>
    <xf numFmtId="0" fontId="52" fillId="0" borderId="7" xfId="0" applyFont="1" applyBorder="1"/>
    <xf numFmtId="20" fontId="52" fillId="0" borderId="120" xfId="0" applyNumberFormat="1" applyFont="1" applyBorder="1" applyAlignment="1">
      <alignment horizontal="center"/>
    </xf>
    <xf numFmtId="0" fontId="63" fillId="0" borderId="7" xfId="0" applyFont="1" applyBorder="1"/>
    <xf numFmtId="20" fontId="63" fillId="0" borderId="120" xfId="0" applyNumberFormat="1" applyFont="1" applyBorder="1" applyAlignment="1">
      <alignment horizontal="center"/>
    </xf>
    <xf numFmtId="20" fontId="61" fillId="0" borderId="7" xfId="0" applyNumberFormat="1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52" fillId="0" borderId="78" xfId="0" applyFont="1" applyBorder="1" applyAlignment="1">
      <alignment horizontal="center"/>
    </xf>
    <xf numFmtId="0" fontId="45" fillId="0" borderId="121" xfId="0" applyFont="1" applyBorder="1" applyAlignment="1">
      <alignment horizontal="center"/>
    </xf>
    <xf numFmtId="0" fontId="45" fillId="0" borderId="122" xfId="0" applyFont="1" applyBorder="1" applyAlignment="1">
      <alignment horizontal="center"/>
    </xf>
    <xf numFmtId="0" fontId="46" fillId="0" borderId="2" xfId="0" applyFont="1" applyBorder="1"/>
    <xf numFmtId="0" fontId="61" fillId="0" borderId="122" xfId="0" applyFont="1" applyBorder="1" applyAlignment="1">
      <alignment horizontal="center"/>
    </xf>
    <xf numFmtId="0" fontId="51" fillId="0" borderId="123" xfId="0" applyFont="1" applyBorder="1" applyAlignment="1">
      <alignment horizontal="center"/>
    </xf>
    <xf numFmtId="0" fontId="45" fillId="0" borderId="124" xfId="0" applyFont="1" applyBorder="1" applyAlignment="1">
      <alignment horizontal="center"/>
    </xf>
    <xf numFmtId="0" fontId="51" fillId="0" borderId="121" xfId="0" applyFont="1" applyBorder="1" applyAlignment="1">
      <alignment horizontal="center"/>
    </xf>
    <xf numFmtId="0" fontId="51" fillId="0" borderId="122" xfId="0" applyFont="1" applyBorder="1" applyAlignment="1">
      <alignment horizontal="center"/>
    </xf>
    <xf numFmtId="0" fontId="51" fillId="0" borderId="122" xfId="0" applyFont="1" applyBorder="1"/>
    <xf numFmtId="0" fontId="45" fillId="0" borderId="123" xfId="0" applyFont="1" applyBorder="1" applyAlignment="1">
      <alignment horizontal="center"/>
    </xf>
    <xf numFmtId="0" fontId="64" fillId="0" borderId="7" xfId="0" applyFont="1" applyBorder="1"/>
    <xf numFmtId="20" fontId="64" fillId="0" borderId="120" xfId="0" applyNumberFormat="1" applyFont="1" applyBorder="1" applyAlignment="1">
      <alignment horizontal="center"/>
    </xf>
    <xf numFmtId="20" fontId="65" fillId="0" borderId="120" xfId="0" applyNumberFormat="1" applyFont="1" applyBorder="1" applyAlignment="1">
      <alignment horizontal="center"/>
    </xf>
    <xf numFmtId="0" fontId="65" fillId="0" borderId="7" xfId="0" applyFont="1" applyBorder="1"/>
    <xf numFmtId="0" fontId="66" fillId="0" borderId="7" xfId="0" applyFont="1" applyBorder="1"/>
    <xf numFmtId="0" fontId="67" fillId="18" borderId="0" xfId="0" applyFont="1" applyFill="1" applyAlignment="1">
      <alignment horizontal="center"/>
    </xf>
    <xf numFmtId="0" fontId="67" fillId="18" borderId="59" xfId="0" applyFont="1" applyFill="1" applyBorder="1" applyAlignment="1">
      <alignment horizontal="left"/>
    </xf>
    <xf numFmtId="0" fontId="68" fillId="18" borderId="0" xfId="0" applyFont="1" applyFill="1" applyAlignment="1">
      <alignment horizontal="center"/>
    </xf>
    <xf numFmtId="0" fontId="67" fillId="18" borderId="0" xfId="0" applyFont="1" applyFill="1"/>
    <xf numFmtId="0" fontId="69" fillId="18" borderId="1" xfId="0" applyFont="1" applyFill="1" applyBorder="1" applyAlignment="1">
      <alignment horizontal="center"/>
    </xf>
    <xf numFmtId="0" fontId="69" fillId="18" borderId="2" xfId="0" applyFont="1" applyFill="1" applyBorder="1" applyAlignment="1">
      <alignment horizontal="center"/>
    </xf>
    <xf numFmtId="0" fontId="69" fillId="18" borderId="2" xfId="0" applyFont="1" applyFill="1" applyBorder="1"/>
    <xf numFmtId="0" fontId="69" fillId="18" borderId="11" xfId="0" applyFont="1" applyFill="1" applyBorder="1" applyAlignment="1">
      <alignment horizontal="center"/>
    </xf>
    <xf numFmtId="0" fontId="70" fillId="0" borderId="12" xfId="0" applyFont="1" applyBorder="1" applyAlignment="1">
      <alignment horizontal="center"/>
    </xf>
    <xf numFmtId="0" fontId="70" fillId="0" borderId="17" xfId="0" applyFont="1" applyBorder="1" applyAlignment="1">
      <alignment horizontal="center"/>
    </xf>
    <xf numFmtId="0" fontId="70" fillId="0" borderId="114" xfId="0" applyFont="1" applyBorder="1" applyAlignment="1">
      <alignment horizontal="center"/>
    </xf>
    <xf numFmtId="0" fontId="70" fillId="0" borderId="80" xfId="0" applyFont="1" applyBorder="1"/>
    <xf numFmtId="0" fontId="70" fillId="0" borderId="80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0" borderId="23" xfId="0" applyFont="1" applyBorder="1" applyAlignment="1">
      <alignment horizontal="center"/>
    </xf>
    <xf numFmtId="0" fontId="70" fillId="0" borderId="115" xfId="0" applyFont="1" applyBorder="1" applyAlignment="1">
      <alignment horizontal="center"/>
    </xf>
    <xf numFmtId="0" fontId="70" fillId="0" borderId="12" xfId="0" applyFont="1" applyBorder="1"/>
    <xf numFmtId="0" fontId="70" fillId="0" borderId="75" xfId="0" applyFont="1" applyBorder="1" applyAlignment="1">
      <alignment horizontal="center"/>
    </xf>
    <xf numFmtId="0" fontId="71" fillId="0" borderId="116" xfId="0" applyFont="1" applyBorder="1" applyAlignment="1">
      <alignment horizontal="center"/>
    </xf>
    <xf numFmtId="0" fontId="71" fillId="0" borderId="117" xfId="0" applyFont="1" applyBorder="1" applyAlignment="1">
      <alignment horizontal="center"/>
    </xf>
    <xf numFmtId="0" fontId="71" fillId="0" borderId="117" xfId="0" applyFont="1" applyBorder="1"/>
    <xf numFmtId="0" fontId="72" fillId="0" borderId="117" xfId="0" applyFont="1" applyBorder="1" applyAlignment="1">
      <alignment horizontal="center"/>
    </xf>
    <xf numFmtId="0" fontId="71" fillId="0" borderId="118" xfId="0" applyFont="1" applyBorder="1" applyAlignment="1">
      <alignment horizontal="center"/>
    </xf>
    <xf numFmtId="0" fontId="70" fillId="0" borderId="9" xfId="0" applyFont="1" applyBorder="1" applyAlignment="1">
      <alignment horizontal="center"/>
    </xf>
    <xf numFmtId="0" fontId="70" fillId="0" borderId="116" xfId="0" applyFont="1" applyBorder="1" applyAlignment="1">
      <alignment horizontal="center"/>
    </xf>
    <xf numFmtId="0" fontId="70" fillId="0" borderId="117" xfId="0" applyFont="1" applyBorder="1" applyAlignment="1">
      <alignment horizontal="center"/>
    </xf>
    <xf numFmtId="0" fontId="73" fillId="0" borderId="117" xfId="0" applyFont="1" applyBorder="1"/>
    <xf numFmtId="0" fontId="74" fillId="0" borderId="3" xfId="0" applyFont="1" applyBorder="1" applyAlignment="1">
      <alignment horizontal="center"/>
    </xf>
    <xf numFmtId="0" fontId="75" fillId="0" borderId="26" xfId="0" applyFont="1" applyBorder="1" applyAlignment="1">
      <alignment horizontal="center"/>
    </xf>
    <xf numFmtId="0" fontId="70" fillId="0" borderId="76" xfId="0" applyFont="1" applyBorder="1" applyAlignment="1">
      <alignment horizontal="center"/>
    </xf>
    <xf numFmtId="0" fontId="70" fillId="0" borderId="119" xfId="0" applyFont="1" applyBorder="1" applyAlignment="1">
      <alignment horizontal="center"/>
    </xf>
    <xf numFmtId="165" fontId="70" fillId="0" borderId="7" xfId="0" applyNumberFormat="1" applyFont="1" applyBorder="1" applyAlignment="1">
      <alignment horizontal="center"/>
    </xf>
    <xf numFmtId="0" fontId="70" fillId="0" borderId="7" xfId="0" applyFont="1" applyBorder="1"/>
    <xf numFmtId="0" fontId="72" fillId="0" borderId="7" xfId="0" applyFont="1" applyBorder="1" applyAlignment="1">
      <alignment horizontal="center"/>
    </xf>
    <xf numFmtId="0" fontId="71" fillId="0" borderId="120" xfId="0" applyFont="1" applyBorder="1" applyAlignment="1">
      <alignment horizontal="center"/>
    </xf>
    <xf numFmtId="0" fontId="70" fillId="0" borderId="120" xfId="0" applyFont="1" applyBorder="1" applyAlignment="1">
      <alignment horizontal="center"/>
    </xf>
    <xf numFmtId="0" fontId="71" fillId="0" borderId="119" xfId="0" applyFont="1" applyBorder="1" applyAlignment="1">
      <alignment horizontal="center"/>
    </xf>
    <xf numFmtId="20" fontId="71" fillId="0" borderId="120" xfId="0" applyNumberFormat="1" applyFont="1" applyBorder="1" applyAlignment="1">
      <alignment horizontal="center"/>
    </xf>
    <xf numFmtId="0" fontId="76" fillId="0" borderId="7" xfId="0" applyFont="1" applyBorder="1"/>
    <xf numFmtId="20" fontId="76" fillId="0" borderId="120" xfId="0" applyNumberFormat="1" applyFont="1" applyBorder="1" applyAlignment="1">
      <alignment horizontal="center"/>
    </xf>
    <xf numFmtId="20" fontId="66" fillId="0" borderId="120" xfId="0" applyNumberFormat="1" applyFont="1" applyBorder="1" applyAlignment="1">
      <alignment horizontal="center"/>
    </xf>
    <xf numFmtId="0" fontId="77" fillId="0" borderId="7" xfId="0" applyFont="1" applyBorder="1"/>
    <xf numFmtId="20" fontId="77" fillId="0" borderId="120" xfId="0" applyNumberFormat="1" applyFont="1" applyBorder="1" applyAlignment="1">
      <alignment horizontal="center"/>
    </xf>
    <xf numFmtId="0" fontId="71" fillId="0" borderId="7" xfId="0" applyFont="1" applyBorder="1"/>
    <xf numFmtId="20" fontId="72" fillId="0" borderId="7" xfId="0" applyNumberFormat="1" applyFont="1" applyBorder="1" applyAlignment="1">
      <alignment horizontal="center"/>
    </xf>
    <xf numFmtId="0" fontId="78" fillId="0" borderId="7" xfId="0" applyFont="1" applyBorder="1"/>
    <xf numFmtId="20" fontId="78" fillId="0" borderId="120" xfId="0" applyNumberFormat="1" applyFont="1" applyBorder="1" applyAlignment="1">
      <alignment horizontal="center"/>
    </xf>
    <xf numFmtId="0" fontId="70" fillId="0" borderId="7" xfId="0" applyFont="1" applyBorder="1" applyAlignment="1">
      <alignment horizontal="center"/>
    </xf>
    <xf numFmtId="0" fontId="70" fillId="0" borderId="29" xfId="0" applyFont="1" applyBorder="1" applyAlignment="1">
      <alignment horizontal="center"/>
    </xf>
    <xf numFmtId="0" fontId="66" fillId="0" borderId="78" xfId="0" applyFont="1" applyBorder="1" applyAlignment="1">
      <alignment horizontal="center"/>
    </xf>
    <xf numFmtId="0" fontId="70" fillId="0" borderId="121" xfId="0" applyFont="1" applyBorder="1" applyAlignment="1">
      <alignment horizontal="center"/>
    </xf>
    <xf numFmtId="0" fontId="70" fillId="0" borderId="122" xfId="0" applyFont="1" applyBorder="1" applyAlignment="1">
      <alignment horizontal="center"/>
    </xf>
    <xf numFmtId="0" fontId="73" fillId="0" borderId="2" xfId="0" applyFont="1" applyBorder="1"/>
    <xf numFmtId="0" fontId="72" fillId="0" borderId="122" xfId="0" applyFont="1" applyBorder="1" applyAlignment="1">
      <alignment horizontal="center"/>
    </xf>
    <xf numFmtId="0" fontId="71" fillId="0" borderId="123" xfId="0" applyFont="1" applyBorder="1" applyAlignment="1">
      <alignment horizontal="center"/>
    </xf>
    <xf numFmtId="0" fontId="70" fillId="0" borderId="124" xfId="0" applyFont="1" applyBorder="1" applyAlignment="1">
      <alignment horizontal="center"/>
    </xf>
    <xf numFmtId="0" fontId="71" fillId="0" borderId="121" xfId="0" applyFont="1" applyBorder="1" applyAlignment="1">
      <alignment horizontal="center"/>
    </xf>
    <xf numFmtId="0" fontId="71" fillId="0" borderId="122" xfId="0" applyFont="1" applyBorder="1" applyAlignment="1">
      <alignment horizontal="center"/>
    </xf>
    <xf numFmtId="0" fontId="71" fillId="0" borderId="122" xfId="0" applyFont="1" applyBorder="1"/>
    <xf numFmtId="0" fontId="70" fillId="0" borderId="123" xfId="0" applyFont="1" applyBorder="1" applyAlignment="1">
      <alignment horizontal="center"/>
    </xf>
    <xf numFmtId="49" fontId="25" fillId="19" borderId="6" xfId="0" applyNumberFormat="1" applyFont="1" applyFill="1" applyBorder="1" applyAlignment="1">
      <alignment horizontal="center" vertical="center"/>
    </xf>
    <xf numFmtId="0" fontId="45" fillId="0" borderId="17" xfId="0" applyFont="1" applyBorder="1"/>
    <xf numFmtId="0" fontId="51" fillId="0" borderId="125" xfId="0" applyFont="1" applyBorder="1"/>
    <xf numFmtId="0" fontId="45" fillId="0" borderId="14" xfId="0" applyFont="1" applyBorder="1"/>
    <xf numFmtId="0" fontId="46" fillId="0" borderId="14" xfId="0" applyFont="1" applyBorder="1"/>
    <xf numFmtId="0" fontId="61" fillId="0" borderId="14" xfId="0" applyFont="1" applyBorder="1"/>
    <xf numFmtId="0" fontId="61" fillId="0" borderId="8" xfId="0" applyFont="1" applyBorder="1"/>
    <xf numFmtId="0" fontId="64" fillId="0" borderId="14" xfId="0" applyFont="1" applyBorder="1"/>
    <xf numFmtId="0" fontId="52" fillId="0" borderId="14" xfId="0" applyFont="1" applyBorder="1"/>
    <xf numFmtId="0" fontId="51" fillId="0" borderId="14" xfId="0" applyFont="1" applyBorder="1"/>
    <xf numFmtId="0" fontId="79" fillId="0" borderId="14" xfId="0" applyFont="1" applyBorder="1"/>
    <xf numFmtId="20" fontId="61" fillId="0" borderId="14" xfId="0" applyNumberFormat="1" applyFont="1" applyBorder="1"/>
    <xf numFmtId="0" fontId="63" fillId="0" borderId="14" xfId="0" applyFont="1" applyBorder="1"/>
    <xf numFmtId="0" fontId="51" fillId="0" borderId="128" xfId="0" applyFont="1" applyBorder="1"/>
    <xf numFmtId="0" fontId="51" fillId="0" borderId="23" xfId="0" applyFont="1" applyBorder="1"/>
    <xf numFmtId="0" fontId="52" fillId="0" borderId="8" xfId="0" applyFont="1" applyBorder="1"/>
    <xf numFmtId="0" fontId="83" fillId="0" borderId="0" xfId="0" applyFont="1"/>
    <xf numFmtId="0" fontId="64" fillId="0" borderId="8" xfId="0" applyFont="1" applyBorder="1"/>
    <xf numFmtId="0" fontId="45" fillId="0" borderId="8" xfId="0" applyFont="1" applyBorder="1"/>
    <xf numFmtId="0" fontId="45" fillId="0" borderId="28" xfId="0" applyFont="1" applyBorder="1" applyAlignment="1">
      <alignment horizontal="center"/>
    </xf>
    <xf numFmtId="0" fontId="45" fillId="0" borderId="16" xfId="0" applyFont="1" applyBorder="1" applyAlignment="1">
      <alignment horizontal="center"/>
    </xf>
    <xf numFmtId="0" fontId="45" fillId="0" borderId="15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51" fillId="0" borderId="125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45" fillId="0" borderId="128" xfId="0" applyFont="1" applyBorder="1" applyAlignment="1">
      <alignment horizontal="center"/>
    </xf>
    <xf numFmtId="0" fontId="0" fillId="0" borderId="0" xfId="0" applyAlignment="1">
      <alignment horizontal="left"/>
    </xf>
    <xf numFmtId="0" fontId="18" fillId="9" borderId="0" xfId="0" applyFont="1" applyFill="1"/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24" fillId="0" borderId="40" xfId="5" quotePrefix="1" applyFont="1" applyBorder="1" applyAlignment="1">
      <alignment vertical="center" wrapText="1"/>
    </xf>
    <xf numFmtId="0" fontId="85" fillId="0" borderId="40" xfId="5" quotePrefix="1" applyFont="1" applyBorder="1" applyAlignment="1">
      <alignment horizontal="center" vertical="center" wrapText="1"/>
    </xf>
    <xf numFmtId="166" fontId="85" fillId="20" borderId="40" xfId="5" quotePrefix="1" applyNumberFormat="1" applyFont="1" applyFill="1" applyBorder="1" applyAlignment="1">
      <alignment horizontal="right" vertical="center" wrapText="1"/>
    </xf>
    <xf numFmtId="0" fontId="85" fillId="12" borderId="40" xfId="5" quotePrefix="1" applyFont="1" applyFill="1" applyBorder="1" applyAlignment="1">
      <alignment horizontal="right" vertical="center" wrapText="1"/>
    </xf>
    <xf numFmtId="0" fontId="85" fillId="20" borderId="40" xfId="5" quotePrefix="1" applyFont="1" applyFill="1" applyBorder="1" applyAlignment="1">
      <alignment horizontal="right" vertical="center" wrapText="1"/>
    </xf>
    <xf numFmtId="0" fontId="85" fillId="0" borderId="40" xfId="5" quotePrefix="1" applyFont="1" applyBorder="1" applyAlignment="1">
      <alignment horizontal="right" vertical="center" wrapText="1"/>
    </xf>
    <xf numFmtId="0" fontId="1" fillId="0" borderId="40" xfId="5" quotePrefix="1" applyFont="1" applyBorder="1" applyAlignment="1">
      <alignment horizontal="right" vertical="center" wrapText="1"/>
    </xf>
    <xf numFmtId="0" fontId="85" fillId="0" borderId="40" xfId="5" applyFont="1" applyBorder="1" applyAlignment="1">
      <alignment vertical="center"/>
    </xf>
    <xf numFmtId="0" fontId="38" fillId="0" borderId="40" xfId="5" applyFont="1" applyBorder="1" applyAlignment="1">
      <alignment horizontal="center" vertical="center"/>
    </xf>
    <xf numFmtId="4" fontId="38" fillId="0" borderId="40" xfId="3" applyNumberFormat="1" applyFont="1" applyFill="1" applyBorder="1" applyAlignment="1">
      <alignment horizontal="right" vertical="center"/>
    </xf>
    <xf numFmtId="4" fontId="84" fillId="0" borderId="40" xfId="3" applyNumberFormat="1" applyFont="1" applyFill="1" applyBorder="1" applyAlignment="1">
      <alignment horizontal="right" vertical="center"/>
    </xf>
    <xf numFmtId="3" fontId="38" fillId="0" borderId="40" xfId="3" applyNumberFormat="1" applyFont="1" applyFill="1" applyBorder="1" applyAlignment="1">
      <alignment horizontal="right" vertical="center"/>
    </xf>
    <xf numFmtId="3" fontId="84" fillId="0" borderId="40" xfId="3" applyNumberFormat="1" applyFont="1" applyFill="1" applyBorder="1" applyAlignment="1">
      <alignment horizontal="right" vertical="center"/>
    </xf>
    <xf numFmtId="3" fontId="84" fillId="0" borderId="40" xfId="6" applyNumberFormat="1" applyFont="1" applyFill="1" applyBorder="1" applyAlignment="1">
      <alignment horizontal="right" vertical="center"/>
    </xf>
    <xf numFmtId="167" fontId="84" fillId="0" borderId="40" xfId="6" applyNumberFormat="1" applyFont="1" applyFill="1" applyBorder="1" applyAlignment="1">
      <alignment horizontal="right" vertical="center"/>
    </xf>
    <xf numFmtId="167" fontId="38" fillId="0" borderId="40" xfId="3" applyNumberFormat="1" applyFont="1" applyFill="1" applyBorder="1" applyAlignment="1">
      <alignment horizontal="right" vertical="center"/>
    </xf>
    <xf numFmtId="4" fontId="0" fillId="20" borderId="40" xfId="3" applyNumberFormat="1" applyFont="1" applyFill="1" applyBorder="1" applyAlignment="1">
      <alignment horizontal="right" vertical="center"/>
    </xf>
    <xf numFmtId="3" fontId="0" fillId="20" borderId="40" xfId="3" applyNumberFormat="1" applyFont="1" applyFill="1" applyBorder="1" applyAlignment="1">
      <alignment horizontal="right" vertical="center"/>
    </xf>
    <xf numFmtId="0" fontId="1" fillId="20" borderId="40" xfId="5" applyFont="1" applyFill="1" applyBorder="1" applyAlignment="1">
      <alignment vertical="center"/>
    </xf>
    <xf numFmtId="0" fontId="1" fillId="20" borderId="40" xfId="5" applyFont="1" applyFill="1" applyBorder="1" applyAlignment="1">
      <alignment horizontal="center" vertical="center"/>
    </xf>
    <xf numFmtId="4" fontId="1" fillId="20" borderId="40" xfId="3" applyNumberFormat="1" applyFont="1" applyFill="1" applyBorder="1" applyAlignment="1">
      <alignment horizontal="right" vertical="center"/>
    </xf>
    <xf numFmtId="3" fontId="1" fillId="20" borderId="40" xfId="3" applyNumberFormat="1" applyFont="1" applyFill="1" applyBorder="1" applyAlignment="1">
      <alignment horizontal="right" vertical="center"/>
    </xf>
    <xf numFmtId="3" fontId="1" fillId="20" borderId="40" xfId="6" applyNumberFormat="1" applyFont="1" applyFill="1" applyBorder="1" applyAlignment="1">
      <alignment horizontal="right" vertical="center"/>
    </xf>
    <xf numFmtId="167" fontId="1" fillId="20" borderId="40" xfId="6" applyNumberFormat="1" applyFont="1" applyFill="1" applyBorder="1" applyAlignment="1">
      <alignment horizontal="right" vertical="center"/>
    </xf>
    <xf numFmtId="167" fontId="1" fillId="20" borderId="40" xfId="3" applyNumberFormat="1" applyFont="1" applyFill="1" applyBorder="1" applyAlignment="1">
      <alignment horizontal="right" vertical="center"/>
    </xf>
    <xf numFmtId="9" fontId="1" fillId="20" borderId="40" xfId="4" applyFont="1" applyFill="1" applyBorder="1" applyAlignment="1">
      <alignment horizontal="left"/>
    </xf>
    <xf numFmtId="0" fontId="84" fillId="20" borderId="40" xfId="5" applyFill="1" applyBorder="1" applyAlignment="1">
      <alignment horizontal="right" vertical="center"/>
    </xf>
    <xf numFmtId="9" fontId="1" fillId="20" borderId="40" xfId="4" applyFont="1" applyFill="1" applyBorder="1" applyAlignment="1">
      <alignment horizontal="right"/>
    </xf>
    <xf numFmtId="0" fontId="84" fillId="0" borderId="0" xfId="0" applyFont="1" applyAlignment="1">
      <alignment horizontal="right"/>
    </xf>
    <xf numFmtId="0" fontId="86" fillId="0" borderId="0" xfId="0" applyFont="1"/>
    <xf numFmtId="0" fontId="8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1" borderId="0" xfId="0" applyFont="1" applyFill="1" applyAlignment="1">
      <alignment wrapText="1"/>
    </xf>
    <xf numFmtId="0" fontId="88" fillId="0" borderId="73" xfId="0" applyFont="1" applyBorder="1" applyAlignment="1">
      <alignment horizontal="center"/>
    </xf>
    <xf numFmtId="2" fontId="89" fillId="0" borderId="61" xfId="0" applyNumberFormat="1" applyFont="1" applyBorder="1" applyAlignment="1">
      <alignment horizontal="center"/>
    </xf>
    <xf numFmtId="0" fontId="89" fillId="0" borderId="61" xfId="0" applyFont="1" applyBorder="1" applyAlignment="1">
      <alignment horizontal="center"/>
    </xf>
    <xf numFmtId="2" fontId="89" fillId="0" borderId="62" xfId="0" applyNumberFormat="1" applyFont="1" applyBorder="1"/>
    <xf numFmtId="0" fontId="89" fillId="0" borderId="42" xfId="0" applyFont="1" applyBorder="1"/>
    <xf numFmtId="0" fontId="89" fillId="0" borderId="34" xfId="0" applyFont="1" applyBorder="1"/>
    <xf numFmtId="0" fontId="90" fillId="0" borderId="73" xfId="0" applyFont="1" applyBorder="1" applyAlignment="1">
      <alignment horizontal="center"/>
    </xf>
    <xf numFmtId="0" fontId="90" fillId="0" borderId="6" xfId="0" applyFont="1" applyBorder="1" applyAlignment="1">
      <alignment horizontal="center"/>
    </xf>
    <xf numFmtId="0" fontId="90" fillId="0" borderId="100" xfId="0" applyFont="1" applyBorder="1" applyAlignment="1">
      <alignment horizontal="center"/>
    </xf>
    <xf numFmtId="0" fontId="90" fillId="0" borderId="83" xfId="0" applyFont="1" applyBorder="1" applyAlignment="1">
      <alignment horizontal="center"/>
    </xf>
    <xf numFmtId="0" fontId="90" fillId="0" borderId="84" xfId="0" applyFont="1" applyBorder="1" applyAlignment="1">
      <alignment horizontal="center"/>
    </xf>
    <xf numFmtId="0" fontId="90" fillId="0" borderId="130" xfId="0" applyFont="1" applyBorder="1" applyAlignment="1">
      <alignment horizontal="center"/>
    </xf>
    <xf numFmtId="0" fontId="89" fillId="0" borderId="39" xfId="0" applyFont="1" applyBorder="1"/>
    <xf numFmtId="2" fontId="89" fillId="0" borderId="40" xfId="0" applyNumberFormat="1" applyFont="1" applyBorder="1" applyAlignment="1">
      <alignment horizontal="center"/>
    </xf>
    <xf numFmtId="0" fontId="91" fillId="0" borderId="40" xfId="0" applyFont="1" applyBorder="1" applyAlignment="1">
      <alignment horizontal="center"/>
    </xf>
    <xf numFmtId="2" fontId="90" fillId="0" borderId="41" xfId="0" applyNumberFormat="1" applyFont="1" applyBorder="1" applyAlignment="1">
      <alignment horizontal="center"/>
    </xf>
    <xf numFmtId="0" fontId="89" fillId="0" borderId="43" xfId="0" applyFont="1" applyBorder="1"/>
    <xf numFmtId="0" fontId="89" fillId="0" borderId="131" xfId="0" applyFont="1" applyBorder="1"/>
    <xf numFmtId="0" fontId="90" fillId="0" borderId="59" xfId="0" applyFont="1" applyBorder="1"/>
    <xf numFmtId="0" fontId="0" fillId="0" borderId="52" xfId="0" applyBorder="1" applyAlignment="1">
      <alignment horizontal="center"/>
    </xf>
    <xf numFmtId="0" fontId="90" fillId="0" borderId="52" xfId="0" applyFont="1" applyBorder="1" applyAlignment="1">
      <alignment horizontal="center"/>
    </xf>
    <xf numFmtId="0" fontId="0" fillId="0" borderId="53" xfId="0" applyBorder="1"/>
    <xf numFmtId="0" fontId="89" fillId="23" borderId="39" xfId="0" applyFont="1" applyFill="1" applyBorder="1"/>
    <xf numFmtId="2" fontId="89" fillId="23" borderId="40" xfId="0" applyNumberFormat="1" applyFont="1" applyFill="1" applyBorder="1" applyAlignment="1">
      <alignment horizontal="center"/>
    </xf>
    <xf numFmtId="0" fontId="89" fillId="0" borderId="40" xfId="0" applyFont="1" applyBorder="1" applyAlignment="1">
      <alignment horizontal="center"/>
    </xf>
    <xf numFmtId="2" fontId="90" fillId="0" borderId="40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91" fillId="0" borderId="40" xfId="0" applyFont="1" applyBorder="1"/>
    <xf numFmtId="0" fontId="0" fillId="0" borderId="41" xfId="0" applyBorder="1"/>
    <xf numFmtId="0" fontId="0" fillId="0" borderId="57" xfId="0" applyBorder="1"/>
    <xf numFmtId="0" fontId="38" fillId="0" borderId="39" xfId="0" applyFont="1" applyBorder="1"/>
    <xf numFmtId="2" fontId="38" fillId="0" borderId="40" xfId="0" applyNumberFormat="1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90" fillId="0" borderId="40" xfId="0" applyFont="1" applyBorder="1" applyAlignment="1">
      <alignment horizontal="center"/>
    </xf>
    <xf numFmtId="0" fontId="90" fillId="0" borderId="57" xfId="0" applyFont="1" applyBorder="1" applyAlignment="1">
      <alignment horizontal="center"/>
    </xf>
    <xf numFmtId="0" fontId="89" fillId="0" borderId="35" xfId="0" applyFont="1" applyBorder="1"/>
    <xf numFmtId="2" fontId="89" fillId="0" borderId="36" xfId="0" applyNumberFormat="1" applyFont="1" applyBorder="1" applyAlignment="1">
      <alignment horizontal="center"/>
    </xf>
    <xf numFmtId="0" fontId="89" fillId="0" borderId="36" xfId="0" applyFont="1" applyBorder="1"/>
    <xf numFmtId="2" fontId="89" fillId="0" borderId="36" xfId="0" applyNumberFormat="1" applyFont="1" applyBorder="1"/>
    <xf numFmtId="2" fontId="89" fillId="0" borderId="37" xfId="0" applyNumberFormat="1" applyFont="1" applyBorder="1"/>
    <xf numFmtId="0" fontId="89" fillId="0" borderId="50" xfId="0" applyFont="1" applyBorder="1"/>
    <xf numFmtId="0" fontId="89" fillId="0" borderId="132" xfId="0" applyFont="1" applyBorder="1"/>
    <xf numFmtId="0" fontId="38" fillId="0" borderId="59" xfId="0" applyFont="1" applyBorder="1"/>
    <xf numFmtId="0" fontId="38" fillId="0" borderId="44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89" fillId="0" borderId="73" xfId="0" applyFont="1" applyBorder="1"/>
    <xf numFmtId="2" fontId="90" fillId="0" borderId="83" xfId="0" applyNumberFormat="1" applyFont="1" applyBorder="1" applyAlignment="1">
      <alignment horizontal="center"/>
    </xf>
    <xf numFmtId="0" fontId="89" fillId="0" borderId="83" xfId="0" applyFont="1" applyBorder="1"/>
    <xf numFmtId="2" fontId="90" fillId="0" borderId="84" xfId="0" applyNumberFormat="1" applyFont="1" applyBorder="1" applyAlignment="1">
      <alignment horizontal="center"/>
    </xf>
    <xf numFmtId="0" fontId="90" fillId="0" borderId="6" xfId="0" applyFont="1" applyBorder="1"/>
    <xf numFmtId="0" fontId="90" fillId="0" borderId="5" xfId="0" applyFont="1" applyBorder="1"/>
    <xf numFmtId="0" fontId="90" fillId="0" borderId="73" xfId="0" applyFont="1" applyBorder="1"/>
    <xf numFmtId="0" fontId="90" fillId="0" borderId="83" xfId="0" applyFont="1" applyBorder="1"/>
    <xf numFmtId="2" fontId="90" fillId="0" borderId="130" xfId="0" applyNumberFormat="1" applyFont="1" applyBorder="1" applyAlignment="1">
      <alignment horizontal="center"/>
    </xf>
    <xf numFmtId="0" fontId="90" fillId="0" borderId="0" xfId="0" applyFont="1"/>
    <xf numFmtId="2" fontId="0" fillId="0" borderId="0" xfId="0" applyNumberFormat="1" applyAlignment="1">
      <alignment wrapText="1"/>
    </xf>
    <xf numFmtId="2" fontId="89" fillId="0" borderId="62" xfId="0" applyNumberFormat="1" applyFont="1" applyBorder="1" applyAlignment="1">
      <alignment horizontal="center"/>
    </xf>
    <xf numFmtId="0" fontId="90" fillId="0" borderId="39" xfId="0" applyFont="1" applyBorder="1" applyAlignment="1">
      <alignment horizontal="center"/>
    </xf>
    <xf numFmtId="2" fontId="89" fillId="0" borderId="41" xfId="0" applyNumberFormat="1" applyFont="1" applyBorder="1" applyAlignment="1">
      <alignment horizontal="center"/>
    </xf>
    <xf numFmtId="2" fontId="89" fillId="0" borderId="41" xfId="0" applyNumberFormat="1" applyFont="1" applyBorder="1"/>
    <xf numFmtId="0" fontId="90" fillId="0" borderId="51" xfId="0" applyFont="1" applyBorder="1" applyAlignment="1">
      <alignment horizontal="center"/>
    </xf>
    <xf numFmtId="166" fontId="0" fillId="0" borderId="40" xfId="0" applyNumberFormat="1" applyBorder="1" applyAlignment="1">
      <alignment horizontal="center"/>
    </xf>
    <xf numFmtId="0" fontId="89" fillId="0" borderId="46" xfId="0" applyFont="1" applyBorder="1" applyAlignment="1">
      <alignment horizontal="left"/>
    </xf>
    <xf numFmtId="0" fontId="89" fillId="0" borderId="44" xfId="0" applyFont="1" applyBorder="1" applyAlignment="1">
      <alignment horizontal="center"/>
    </xf>
    <xf numFmtId="0" fontId="0" fillId="0" borderId="46" xfId="0" applyBorder="1"/>
    <xf numFmtId="0" fontId="0" fillId="0" borderId="44" xfId="0" applyBorder="1" applyAlignment="1">
      <alignment horizontal="center"/>
    </xf>
    <xf numFmtId="0" fontId="0" fillId="0" borderId="65" xfId="0" applyBorder="1" applyAlignment="1">
      <alignment horizontal="center"/>
    </xf>
    <xf numFmtId="2" fontId="89" fillId="0" borderId="44" xfId="0" applyNumberFormat="1" applyFont="1" applyBorder="1" applyAlignment="1">
      <alignment horizontal="center"/>
    </xf>
    <xf numFmtId="2" fontId="90" fillId="0" borderId="44" xfId="0" applyNumberFormat="1" applyFont="1" applyBorder="1" applyAlignment="1">
      <alignment horizontal="center"/>
    </xf>
    <xf numFmtId="2" fontId="90" fillId="0" borderId="45" xfId="0" applyNumberFormat="1" applyFont="1" applyBorder="1" applyAlignment="1">
      <alignment horizontal="center"/>
    </xf>
    <xf numFmtId="0" fontId="38" fillId="0" borderId="46" xfId="0" applyFont="1" applyBorder="1"/>
    <xf numFmtId="2" fontId="38" fillId="0" borderId="44" xfId="0" applyNumberFormat="1" applyFont="1" applyBorder="1" applyAlignment="1">
      <alignment horizontal="center"/>
    </xf>
    <xf numFmtId="0" fontId="90" fillId="0" borderId="35" xfId="0" applyFont="1" applyBorder="1" applyAlignment="1">
      <alignment horizontal="center"/>
    </xf>
    <xf numFmtId="0" fontId="90" fillId="0" borderId="36" xfId="0" applyFont="1" applyBorder="1" applyAlignment="1">
      <alignment horizontal="center"/>
    </xf>
    <xf numFmtId="0" fontId="89" fillId="0" borderId="36" xfId="0" applyFont="1" applyBorder="1" applyAlignment="1">
      <alignment horizontal="center"/>
    </xf>
    <xf numFmtId="0" fontId="89" fillId="0" borderId="37" xfId="0" applyFont="1" applyBorder="1" applyAlignment="1">
      <alignment horizontal="center"/>
    </xf>
    <xf numFmtId="0" fontId="90" fillId="24" borderId="24" xfId="0" applyFont="1" applyFill="1" applyBorder="1" applyAlignment="1">
      <alignment horizontal="center"/>
    </xf>
    <xf numFmtId="0" fontId="90" fillId="24" borderId="25" xfId="0" applyFont="1" applyFill="1" applyBorder="1" applyAlignment="1">
      <alignment horizontal="center"/>
    </xf>
    <xf numFmtId="2" fontId="90" fillId="24" borderId="25" xfId="0" applyNumberFormat="1" applyFont="1" applyFill="1" applyBorder="1" applyAlignment="1">
      <alignment horizontal="center"/>
    </xf>
    <xf numFmtId="0" fontId="90" fillId="24" borderId="6" xfId="0" applyFont="1" applyFill="1" applyBorder="1"/>
    <xf numFmtId="0" fontId="89" fillId="24" borderId="5" xfId="0" applyFont="1" applyFill="1" applyBorder="1"/>
    <xf numFmtId="0" fontId="90" fillId="0" borderId="60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2" fontId="90" fillId="0" borderId="6" xfId="0" applyNumberFormat="1" applyFont="1" applyBorder="1" applyAlignment="1">
      <alignment horizontal="center"/>
    </xf>
    <xf numFmtId="0" fontId="89" fillId="0" borderId="56" xfId="0" applyFont="1" applyBorder="1"/>
    <xf numFmtId="0" fontId="89" fillId="0" borderId="133" xfId="0" applyFont="1" applyBorder="1"/>
    <xf numFmtId="0" fontId="90" fillId="0" borderId="51" xfId="0" applyFont="1" applyBorder="1"/>
    <xf numFmtId="0" fontId="89" fillId="0" borderId="60" xfId="0" applyFont="1" applyBorder="1"/>
    <xf numFmtId="2" fontId="0" fillId="0" borderId="40" xfId="0" applyNumberFormat="1" applyBorder="1" applyAlignment="1">
      <alignment horizontal="center"/>
    </xf>
    <xf numFmtId="2" fontId="89" fillId="0" borderId="40" xfId="0" applyNumberFormat="1" applyFont="1" applyBorder="1" applyAlignment="1" applyProtection="1">
      <alignment horizontal="center"/>
      <protection locked="0"/>
    </xf>
    <xf numFmtId="2" fontId="0" fillId="0" borderId="44" xfId="0" applyNumberFormat="1" applyBorder="1" applyAlignment="1">
      <alignment horizontal="center"/>
    </xf>
    <xf numFmtId="0" fontId="90" fillId="0" borderId="65" xfId="0" applyFont="1" applyBorder="1" applyAlignment="1">
      <alignment horizontal="center"/>
    </xf>
    <xf numFmtId="2" fontId="89" fillId="0" borderId="44" xfId="0" applyNumberFormat="1" applyFont="1" applyBorder="1" applyAlignment="1" applyProtection="1">
      <alignment horizontal="center"/>
      <protection locked="0"/>
    </xf>
    <xf numFmtId="0" fontId="89" fillId="0" borderId="46" xfId="0" applyFont="1" applyBorder="1"/>
    <xf numFmtId="0" fontId="90" fillId="0" borderId="80" xfId="0" applyFont="1" applyBorder="1"/>
    <xf numFmtId="0" fontId="90" fillId="0" borderId="15" xfId="0" applyFont="1" applyBorder="1"/>
    <xf numFmtId="0" fontId="89" fillId="24" borderId="24" xfId="0" applyFont="1" applyFill="1" applyBorder="1"/>
    <xf numFmtId="2" fontId="89" fillId="24" borderId="25" xfId="0" applyNumberFormat="1" applyFont="1" applyFill="1" applyBorder="1"/>
    <xf numFmtId="0" fontId="89" fillId="24" borderId="25" xfId="0" applyFont="1" applyFill="1" applyBorder="1"/>
    <xf numFmtId="0" fontId="89" fillId="24" borderId="6" xfId="0" applyFont="1" applyFill="1" applyBorder="1"/>
    <xf numFmtId="0" fontId="90" fillId="0" borderId="39" xfId="0" applyFont="1" applyBorder="1"/>
    <xf numFmtId="0" fontId="38" fillId="0" borderId="40" xfId="0" applyFont="1" applyBorder="1"/>
    <xf numFmtId="0" fontId="38" fillId="0" borderId="41" xfId="0" applyFont="1" applyBorder="1"/>
    <xf numFmtId="0" fontId="38" fillId="0" borderId="57" xfId="0" applyFont="1" applyBorder="1"/>
    <xf numFmtId="0" fontId="88" fillId="0" borderId="66" xfId="0" applyFont="1" applyBorder="1" applyAlignment="1">
      <alignment horizontal="center"/>
    </xf>
    <xf numFmtId="2" fontId="90" fillId="0" borderId="31" xfId="0" applyNumberFormat="1" applyFont="1" applyBorder="1" applyAlignment="1">
      <alignment horizontal="center"/>
    </xf>
    <xf numFmtId="0" fontId="89" fillId="0" borderId="48" xfId="0" applyFont="1" applyBorder="1"/>
    <xf numFmtId="0" fontId="89" fillId="0" borderId="135" xfId="0" applyFont="1" applyBorder="1"/>
    <xf numFmtId="2" fontId="89" fillId="0" borderId="40" xfId="0" applyNumberFormat="1" applyFont="1" applyBorder="1"/>
    <xf numFmtId="0" fontId="92" fillId="0" borderId="43" xfId="0" applyFont="1" applyBorder="1"/>
    <xf numFmtId="0" fontId="94" fillId="8" borderId="41" xfId="7" applyFont="1" applyFill="1" applyBorder="1" applyAlignment="1">
      <alignment vertical="center"/>
    </xf>
    <xf numFmtId="0" fontId="94" fillId="8" borderId="104" xfId="7" applyFont="1" applyFill="1" applyBorder="1" applyAlignment="1">
      <alignment vertical="center"/>
    </xf>
    <xf numFmtId="0" fontId="94" fillId="8" borderId="104" xfId="7" applyFont="1" applyFill="1" applyBorder="1" applyAlignment="1">
      <alignment horizontal="center" vertical="center"/>
    </xf>
    <xf numFmtId="0" fontId="94" fillId="8" borderId="103" xfId="7" applyFont="1" applyFill="1" applyBorder="1" applyAlignment="1">
      <alignment vertical="center"/>
    </xf>
    <xf numFmtId="0" fontId="95" fillId="11" borderId="62" xfId="7" applyFont="1" applyFill="1" applyBorder="1" applyAlignment="1">
      <alignment vertical="center"/>
    </xf>
    <xf numFmtId="0" fontId="95" fillId="11" borderId="33" xfId="7" applyFont="1" applyFill="1" applyBorder="1" applyAlignment="1">
      <alignment horizontal="right" vertical="center"/>
    </xf>
    <xf numFmtId="0" fontId="96" fillId="11" borderId="3" xfId="7" applyFont="1" applyFill="1" applyBorder="1"/>
    <xf numFmtId="0" fontId="95" fillId="11" borderId="33" xfId="7" applyFont="1" applyFill="1" applyBorder="1"/>
    <xf numFmtId="0" fontId="95" fillId="11" borderId="102" xfId="7" applyFont="1" applyFill="1" applyBorder="1"/>
    <xf numFmtId="1" fontId="17" fillId="0" borderId="64" xfId="7" applyNumberFormat="1" applyFont="1" applyBorder="1" applyAlignment="1">
      <alignment horizontal="center" vertical="center"/>
    </xf>
    <xf numFmtId="0" fontId="97" fillId="0" borderId="0" xfId="7" applyFont="1"/>
    <xf numFmtId="0" fontId="96" fillId="11" borderId="3" xfId="7" applyFont="1" applyFill="1" applyBorder="1" applyAlignment="1">
      <alignment vertical="center"/>
    </xf>
    <xf numFmtId="0" fontId="95" fillId="11" borderId="33" xfId="7" applyFont="1" applyFill="1" applyBorder="1" applyAlignment="1">
      <alignment vertical="center"/>
    </xf>
    <xf numFmtId="0" fontId="95" fillId="11" borderId="102" xfId="7" applyFont="1" applyFill="1" applyBorder="1" applyAlignment="1">
      <alignment vertical="center"/>
    </xf>
    <xf numFmtId="0" fontId="93" fillId="0" borderId="0" xfId="7"/>
    <xf numFmtId="0" fontId="18" fillId="0" borderId="40" xfId="7" applyFont="1" applyBorder="1" applyAlignment="1">
      <alignment horizontal="center" vertical="center"/>
    </xf>
    <xf numFmtId="0" fontId="18" fillId="0" borderId="40" xfId="7" applyFont="1" applyBorder="1" applyAlignment="1">
      <alignment horizontal="center" vertical="center" wrapText="1"/>
    </xf>
    <xf numFmtId="0" fontId="98" fillId="11" borderId="36" xfId="7" applyFont="1" applyFill="1" applyBorder="1" applyAlignment="1">
      <alignment horizontal="center" vertical="center" wrapText="1"/>
    </xf>
    <xf numFmtId="0" fontId="98" fillId="25" borderId="136" xfId="7" applyFont="1" applyFill="1" applyBorder="1" applyAlignment="1">
      <alignment horizontal="center" vertical="center" wrapText="1"/>
    </xf>
    <xf numFmtId="0" fontId="6" fillId="0" borderId="0" xfId="7" applyFont="1" applyAlignment="1">
      <alignment vertical="center"/>
    </xf>
    <xf numFmtId="0" fontId="48" fillId="0" borderId="40" xfId="0" applyFont="1" applyBorder="1" applyAlignment="1">
      <alignment horizontal="center"/>
    </xf>
    <xf numFmtId="20" fontId="99" fillId="0" borderId="40" xfId="0" applyNumberFormat="1" applyFont="1" applyBorder="1" applyAlignment="1">
      <alignment horizontal="center"/>
    </xf>
    <xf numFmtId="1" fontId="6" fillId="0" borderId="40" xfId="7" applyNumberFormat="1" applyFont="1" applyBorder="1" applyAlignment="1">
      <alignment horizontal="center"/>
    </xf>
    <xf numFmtId="0" fontId="6" fillId="0" borderId="40" xfId="0" applyFont="1" applyBorder="1" applyAlignment="1">
      <alignment horizontal="center" vertical="center"/>
    </xf>
    <xf numFmtId="1" fontId="6" fillId="26" borderId="40" xfId="0" applyNumberFormat="1" applyFont="1" applyFill="1" applyBorder="1" applyAlignment="1">
      <alignment horizontal="center" vertical="center"/>
    </xf>
    <xf numFmtId="1" fontId="27" fillId="0" borderId="40" xfId="7" applyNumberFormat="1" applyFont="1" applyBorder="1" applyAlignment="1">
      <alignment horizontal="center" vertical="center"/>
    </xf>
    <xf numFmtId="1" fontId="6" fillId="0" borderId="40" xfId="7" applyNumberFormat="1" applyFont="1" applyBorder="1" applyAlignment="1">
      <alignment horizontal="center" vertical="center"/>
    </xf>
    <xf numFmtId="20" fontId="93" fillId="0" borderId="0" xfId="7" applyNumberFormat="1"/>
    <xf numFmtId="20" fontId="100" fillId="0" borderId="40" xfId="0" applyNumberFormat="1" applyFont="1" applyBorder="1" applyAlignment="1">
      <alignment horizontal="center"/>
    </xf>
    <xf numFmtId="1" fontId="17" fillId="27" borderId="52" xfId="7" applyNumberFormat="1" applyFont="1" applyFill="1" applyBorder="1" applyAlignment="1">
      <alignment horizontal="center"/>
    </xf>
    <xf numFmtId="1" fontId="17" fillId="27" borderId="52" xfId="7" applyNumberFormat="1" applyFont="1" applyFill="1" applyBorder="1" applyAlignment="1">
      <alignment horizontal="center" vertical="center"/>
    </xf>
    <xf numFmtId="1" fontId="27" fillId="15" borderId="40" xfId="7" applyNumberFormat="1" applyFont="1" applyFill="1" applyBorder="1" applyAlignment="1">
      <alignment horizontal="center" vertical="center"/>
    </xf>
    <xf numFmtId="1" fontId="27" fillId="13" borderId="40" xfId="7" applyNumberFormat="1" applyFont="1" applyFill="1" applyBorder="1" applyAlignment="1">
      <alignment horizontal="center" vertical="center"/>
    </xf>
    <xf numFmtId="0" fontId="48" fillId="0" borderId="40" xfId="0" applyFont="1" applyBorder="1" applyAlignment="1">
      <alignment horizontal="center" vertical="center"/>
    </xf>
    <xf numFmtId="20" fontId="101" fillId="0" borderId="40" xfId="0" applyNumberFormat="1" applyFont="1" applyBorder="1" applyAlignment="1">
      <alignment horizontal="center" vertical="center"/>
    </xf>
    <xf numFmtId="0" fontId="6" fillId="0" borderId="40" xfId="8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20" fontId="93" fillId="0" borderId="0" xfId="7" applyNumberFormat="1" applyAlignment="1">
      <alignment vertical="center"/>
    </xf>
    <xf numFmtId="20" fontId="99" fillId="0" borderId="40" xfId="0" applyNumberFormat="1" applyFont="1" applyBorder="1" applyAlignment="1">
      <alignment horizontal="center" vertical="center"/>
    </xf>
    <xf numFmtId="0" fontId="48" fillId="0" borderId="0" xfId="7" applyFont="1" applyAlignment="1">
      <alignment horizontal="center"/>
    </xf>
    <xf numFmtId="20" fontId="101" fillId="0" borderId="40" xfId="0" applyNumberFormat="1" applyFont="1" applyBorder="1" applyAlignment="1">
      <alignment horizontal="center"/>
    </xf>
    <xf numFmtId="1" fontId="93" fillId="0" borderId="0" xfId="7" applyNumberFormat="1" applyAlignment="1">
      <alignment horizontal="center"/>
    </xf>
    <xf numFmtId="20" fontId="102" fillId="0" borderId="40" xfId="0" applyNumberFormat="1" applyFont="1" applyBorder="1" applyAlignment="1">
      <alignment horizontal="center"/>
    </xf>
    <xf numFmtId="20" fontId="100" fillId="0" borderId="40" xfId="0" applyNumberFormat="1" applyFont="1" applyBorder="1" applyAlignment="1">
      <alignment horizontal="center" vertical="center"/>
    </xf>
    <xf numFmtId="0" fontId="93" fillId="0" borderId="0" xfId="7" applyAlignment="1">
      <alignment horizontal="center"/>
    </xf>
    <xf numFmtId="20" fontId="103" fillId="26" borderId="40" xfId="0" applyNumberFormat="1" applyFont="1" applyFill="1" applyBorder="1" applyAlignment="1">
      <alignment horizontal="center"/>
    </xf>
    <xf numFmtId="20" fontId="101" fillId="9" borderId="40" xfId="0" applyNumberFormat="1" applyFont="1" applyFill="1" applyBorder="1" applyAlignment="1">
      <alignment horizontal="center"/>
    </xf>
    <xf numFmtId="20" fontId="102" fillId="0" borderId="40" xfId="0" applyNumberFormat="1" applyFont="1" applyBorder="1" applyAlignment="1">
      <alignment horizontal="center" vertical="center"/>
    </xf>
    <xf numFmtId="20" fontId="100" fillId="10" borderId="40" xfId="0" applyNumberFormat="1" applyFont="1" applyFill="1" applyBorder="1" applyAlignment="1">
      <alignment horizontal="center"/>
    </xf>
    <xf numFmtId="0" fontId="48" fillId="21" borderId="40" xfId="0" applyFont="1" applyFill="1" applyBorder="1" applyAlignment="1">
      <alignment horizontal="center"/>
    </xf>
    <xf numFmtId="20" fontId="99" fillId="21" borderId="40" xfId="0" applyNumberFormat="1" applyFont="1" applyFill="1" applyBorder="1" applyAlignment="1">
      <alignment horizontal="center"/>
    </xf>
    <xf numFmtId="20" fontId="93" fillId="0" borderId="0" xfId="7" applyNumberFormat="1" applyAlignment="1">
      <alignment horizontal="center" vertical="center"/>
    </xf>
    <xf numFmtId="0" fontId="89" fillId="21" borderId="40" xfId="0" applyFont="1" applyFill="1" applyBorder="1" applyAlignment="1">
      <alignment horizontal="center"/>
    </xf>
    <xf numFmtId="0" fontId="89" fillId="21" borderId="44" xfId="0" applyFont="1" applyFill="1" applyBorder="1" applyAlignment="1">
      <alignment horizontal="center"/>
    </xf>
    <xf numFmtId="0" fontId="9" fillId="28" borderId="14" xfId="0" applyFont="1" applyFill="1" applyBorder="1" applyAlignment="1">
      <alignment horizontal="center"/>
    </xf>
    <xf numFmtId="0" fontId="4" fillId="28" borderId="14" xfId="0" applyFont="1" applyFill="1" applyBorder="1" applyAlignment="1">
      <alignment horizontal="center"/>
    </xf>
    <xf numFmtId="0" fontId="9" fillId="28" borderId="8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9" fillId="13" borderId="8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0" fontId="4" fillId="29" borderId="14" xfId="0" applyFont="1" applyFill="1" applyBorder="1" applyAlignment="1">
      <alignment horizontal="center"/>
    </xf>
    <xf numFmtId="0" fontId="38" fillId="29" borderId="44" xfId="0" applyFont="1" applyFill="1" applyBorder="1" applyAlignment="1">
      <alignment horizontal="center"/>
    </xf>
    <xf numFmtId="0" fontId="38" fillId="28" borderId="40" xfId="0" applyFont="1" applyFill="1" applyBorder="1" applyAlignment="1">
      <alignment horizontal="center"/>
    </xf>
    <xf numFmtId="0" fontId="38" fillId="13" borderId="40" xfId="0" applyFont="1" applyFill="1" applyBorder="1" applyAlignment="1">
      <alignment horizontal="center"/>
    </xf>
    <xf numFmtId="0" fontId="9" fillId="16" borderId="14" xfId="0" applyFont="1" applyFill="1" applyBorder="1" applyAlignment="1">
      <alignment horizontal="center"/>
    </xf>
    <xf numFmtId="0" fontId="4" fillId="16" borderId="14" xfId="0" applyFont="1" applyFill="1" applyBorder="1" applyAlignment="1">
      <alignment horizontal="center"/>
    </xf>
    <xf numFmtId="0" fontId="9" fillId="16" borderId="8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0" fontId="4" fillId="21" borderId="14" xfId="0" applyFont="1" applyFill="1" applyBorder="1" applyAlignment="1">
      <alignment horizontal="center"/>
    </xf>
    <xf numFmtId="0" fontId="38" fillId="21" borderId="40" xfId="0" applyFont="1" applyFill="1" applyBorder="1" applyAlignment="1">
      <alignment horizontal="center"/>
    </xf>
    <xf numFmtId="0" fontId="38" fillId="21" borderId="44" xfId="0" applyFont="1" applyFill="1" applyBorder="1" applyAlignment="1">
      <alignment horizontal="center"/>
    </xf>
    <xf numFmtId="0" fontId="12" fillId="21" borderId="17" xfId="0" applyFont="1" applyFill="1" applyBorder="1" applyAlignment="1">
      <alignment horizontal="center"/>
    </xf>
    <xf numFmtId="0" fontId="12" fillId="21" borderId="0" xfId="0" applyFont="1" applyFill="1" applyAlignment="1">
      <alignment horizontal="center"/>
    </xf>
    <xf numFmtId="0" fontId="0" fillId="21" borderId="44" xfId="0" applyFill="1" applyBorder="1" applyAlignment="1">
      <alignment horizontal="center"/>
    </xf>
    <xf numFmtId="0" fontId="15" fillId="9" borderId="17" xfId="0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/>
    </xf>
    <xf numFmtId="0" fontId="12" fillId="9" borderId="17" xfId="0" applyFont="1" applyFill="1" applyBorder="1" applyAlignment="1">
      <alignment horizontal="center"/>
    </xf>
    <xf numFmtId="0" fontId="38" fillId="9" borderId="40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38" fillId="17" borderId="40" xfId="0" applyFont="1" applyFill="1" applyBorder="1" applyAlignment="1">
      <alignment horizontal="center"/>
    </xf>
    <xf numFmtId="0" fontId="12" fillId="17" borderId="17" xfId="0" applyFont="1" applyFill="1" applyBorder="1" applyAlignment="1">
      <alignment horizontal="center"/>
    </xf>
    <xf numFmtId="0" fontId="0" fillId="17" borderId="44" xfId="0" applyFill="1" applyBorder="1" applyAlignment="1">
      <alignment horizontal="center"/>
    </xf>
    <xf numFmtId="0" fontId="38" fillId="30" borderId="40" xfId="0" applyFont="1" applyFill="1" applyBorder="1" applyAlignment="1">
      <alignment horizontal="center"/>
    </xf>
    <xf numFmtId="0" fontId="15" fillId="31" borderId="14" xfId="0" applyFont="1" applyFill="1" applyBorder="1" applyAlignment="1">
      <alignment horizontal="center"/>
    </xf>
    <xf numFmtId="0" fontId="15" fillId="31" borderId="17" xfId="0" applyFont="1" applyFill="1" applyBorder="1" applyAlignment="1">
      <alignment horizontal="center"/>
    </xf>
    <xf numFmtId="0" fontId="38" fillId="31" borderId="40" xfId="0" applyFont="1" applyFill="1" applyBorder="1" applyAlignment="1">
      <alignment horizontal="center"/>
    </xf>
    <xf numFmtId="0" fontId="12" fillId="32" borderId="21" xfId="0" applyFont="1" applyFill="1" applyBorder="1" applyAlignment="1">
      <alignment horizontal="center"/>
    </xf>
    <xf numFmtId="0" fontId="38" fillId="32" borderId="40" xfId="0" applyFont="1" applyFill="1" applyBorder="1" applyAlignment="1">
      <alignment horizontal="center"/>
    </xf>
    <xf numFmtId="0" fontId="12" fillId="31" borderId="0" xfId="0" applyFont="1" applyFill="1" applyAlignment="1">
      <alignment horizontal="center"/>
    </xf>
    <xf numFmtId="0" fontId="15" fillId="31" borderId="20" xfId="0" applyFont="1" applyFill="1" applyBorder="1" applyAlignment="1">
      <alignment horizontal="center"/>
    </xf>
    <xf numFmtId="0" fontId="12" fillId="32" borderId="14" xfId="0" applyFont="1" applyFill="1" applyBorder="1" applyAlignment="1">
      <alignment horizontal="center"/>
    </xf>
    <xf numFmtId="0" fontId="12" fillId="32" borderId="16" xfId="0" applyFont="1" applyFill="1" applyBorder="1" applyAlignment="1">
      <alignment horizontal="center"/>
    </xf>
    <xf numFmtId="0" fontId="13" fillId="32" borderId="17" xfId="0" applyFont="1" applyFill="1" applyBorder="1" applyAlignment="1">
      <alignment horizontal="center"/>
    </xf>
    <xf numFmtId="0" fontId="15" fillId="32" borderId="17" xfId="0" applyFont="1" applyFill="1" applyBorder="1" applyAlignment="1">
      <alignment horizontal="center"/>
    </xf>
    <xf numFmtId="0" fontId="12" fillId="33" borderId="14" xfId="0" applyFont="1" applyFill="1" applyBorder="1" applyAlignment="1">
      <alignment horizontal="center"/>
    </xf>
    <xf numFmtId="0" fontId="0" fillId="33" borderId="44" xfId="0" applyFill="1" applyBorder="1" applyAlignment="1">
      <alignment horizontal="center"/>
    </xf>
    <xf numFmtId="0" fontId="12" fillId="33" borderId="17" xfId="0" applyFont="1" applyFill="1" applyBorder="1" applyAlignment="1">
      <alignment horizontal="center"/>
    </xf>
    <xf numFmtId="0" fontId="15" fillId="33" borderId="14" xfId="0" applyFont="1" applyFill="1" applyBorder="1" applyAlignment="1">
      <alignment horizontal="center"/>
    </xf>
    <xf numFmtId="0" fontId="38" fillId="29" borderId="40" xfId="0" applyFont="1" applyFill="1" applyBorder="1" applyAlignment="1">
      <alignment horizontal="center"/>
    </xf>
    <xf numFmtId="0" fontId="38" fillId="34" borderId="40" xfId="0" applyFont="1" applyFill="1" applyBorder="1" applyAlignment="1">
      <alignment horizontal="center"/>
    </xf>
    <xf numFmtId="0" fontId="7" fillId="34" borderId="17" xfId="0" applyFont="1" applyFill="1" applyBorder="1" applyAlignment="1">
      <alignment horizontal="center"/>
    </xf>
    <xf numFmtId="0" fontId="12" fillId="34" borderId="0" xfId="0" applyFont="1" applyFill="1" applyAlignment="1">
      <alignment horizontal="center"/>
    </xf>
    <xf numFmtId="0" fontId="12" fillId="34" borderId="14" xfId="0" applyFont="1" applyFill="1" applyBorder="1" applyAlignment="1">
      <alignment horizontal="center"/>
    </xf>
    <xf numFmtId="20" fontId="18" fillId="28" borderId="0" xfId="0" applyNumberFormat="1" applyFont="1" applyFill="1" applyAlignment="1">
      <alignment horizontal="center" vertical="center"/>
    </xf>
    <xf numFmtId="20" fontId="18" fillId="21" borderId="0" xfId="0" applyNumberFormat="1" applyFont="1" applyFill="1" applyAlignment="1">
      <alignment horizontal="center" vertical="center"/>
    </xf>
    <xf numFmtId="20" fontId="18" fillId="29" borderId="0" xfId="0" applyNumberFormat="1" applyFont="1" applyFill="1" applyAlignment="1">
      <alignment horizontal="center" vertical="center"/>
    </xf>
    <xf numFmtId="20" fontId="18" fillId="13" borderId="0" xfId="0" applyNumberFormat="1" applyFont="1" applyFill="1" applyAlignment="1">
      <alignment horizontal="center" vertical="center"/>
    </xf>
    <xf numFmtId="20" fontId="18" fillId="30" borderId="0" xfId="0" applyNumberFormat="1" applyFont="1" applyFill="1" applyAlignment="1">
      <alignment horizontal="center" vertical="center"/>
    </xf>
    <xf numFmtId="0" fontId="89" fillId="30" borderId="39" xfId="0" applyFont="1" applyFill="1" applyBorder="1"/>
    <xf numFmtId="0" fontId="30" fillId="32" borderId="0" xfId="0" applyFont="1" applyFill="1" applyAlignment="1">
      <alignment horizontal="center" vertical="center"/>
    </xf>
    <xf numFmtId="0" fontId="31" fillId="32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/>
    </xf>
    <xf numFmtId="0" fontId="31" fillId="31" borderId="0" xfId="0" applyFont="1" applyFill="1" applyAlignment="1">
      <alignment horizontal="center" vertical="center"/>
    </xf>
    <xf numFmtId="0" fontId="30" fillId="34" borderId="0" xfId="0" applyFont="1" applyFill="1" applyAlignment="1">
      <alignment horizontal="center" vertical="center"/>
    </xf>
    <xf numFmtId="0" fontId="30" fillId="34" borderId="0" xfId="0" applyFont="1" applyFill="1" applyAlignment="1">
      <alignment horizontal="center"/>
    </xf>
    <xf numFmtId="0" fontId="31" fillId="34" borderId="0" xfId="0" applyFont="1" applyFill="1" applyAlignment="1">
      <alignment horizontal="center" vertical="center"/>
    </xf>
    <xf numFmtId="0" fontId="30" fillId="3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 vertical="center"/>
    </xf>
    <xf numFmtId="20" fontId="31" fillId="33" borderId="0" xfId="0" applyNumberFormat="1" applyFont="1" applyFill="1" applyAlignment="1">
      <alignment horizontal="center" vertical="center"/>
    </xf>
    <xf numFmtId="20" fontId="25" fillId="28" borderId="15" xfId="0" applyNumberFormat="1" applyFont="1" applyFill="1" applyBorder="1" applyAlignment="1">
      <alignment horizontal="center"/>
    </xf>
    <xf numFmtId="20" fontId="25" fillId="28" borderId="0" xfId="0" applyNumberFormat="1" applyFont="1" applyFill="1" applyAlignment="1">
      <alignment horizontal="center"/>
    </xf>
    <xf numFmtId="20" fontId="25" fillId="13" borderId="0" xfId="0" applyNumberFormat="1" applyFont="1" applyFill="1" applyAlignment="1">
      <alignment horizontal="center"/>
    </xf>
    <xf numFmtId="20" fontId="25" fillId="30" borderId="0" xfId="0" applyNumberFormat="1" applyFont="1" applyFill="1" applyAlignment="1">
      <alignment horizontal="center"/>
    </xf>
    <xf numFmtId="20" fontId="25" fillId="30" borderId="59" xfId="0" applyNumberFormat="1" applyFont="1" applyFill="1" applyBorder="1" applyAlignment="1">
      <alignment horizontal="center"/>
    </xf>
    <xf numFmtId="20" fontId="25" fillId="29" borderId="0" xfId="0" applyNumberFormat="1" applyFont="1" applyFill="1" applyAlignment="1">
      <alignment horizontal="center"/>
    </xf>
    <xf numFmtId="0" fontId="31" fillId="32" borderId="15" xfId="0" applyFont="1" applyFill="1" applyBorder="1" applyAlignment="1">
      <alignment horizontal="center"/>
    </xf>
    <xf numFmtId="0" fontId="31" fillId="32" borderId="0" xfId="0" applyFont="1" applyFill="1" applyAlignment="1">
      <alignment horizontal="center"/>
    </xf>
    <xf numFmtId="0" fontId="31" fillId="31" borderId="59" xfId="0" applyFont="1" applyFill="1" applyBorder="1" applyAlignment="1">
      <alignment horizontal="center"/>
    </xf>
    <xf numFmtId="0" fontId="31" fillId="31" borderId="0" xfId="0" applyFont="1" applyFill="1" applyAlignment="1">
      <alignment horizontal="center"/>
    </xf>
    <xf numFmtId="0" fontId="31" fillId="34" borderId="0" xfId="0" applyFont="1" applyFill="1" applyAlignment="1">
      <alignment horizontal="center"/>
    </xf>
    <xf numFmtId="0" fontId="31" fillId="33" borderId="0" xfId="0" applyFont="1" applyFill="1" applyAlignment="1">
      <alignment horizontal="center"/>
    </xf>
    <xf numFmtId="0" fontId="89" fillId="21" borderId="39" xfId="0" applyFont="1" applyFill="1" applyBorder="1"/>
    <xf numFmtId="0" fontId="89" fillId="10" borderId="40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4" fillId="35" borderId="14" xfId="0" applyFont="1" applyFill="1" applyBorder="1" applyAlignment="1">
      <alignment horizontal="center"/>
    </xf>
    <xf numFmtId="0" fontId="4" fillId="35" borderId="28" xfId="0" applyFont="1" applyFill="1" applyBorder="1" applyAlignment="1">
      <alignment horizontal="center"/>
    </xf>
    <xf numFmtId="0" fontId="38" fillId="35" borderId="40" xfId="0" applyFont="1" applyFill="1" applyBorder="1" applyAlignment="1">
      <alignment horizontal="center"/>
    </xf>
    <xf numFmtId="0" fontId="4" fillId="30" borderId="13" xfId="0" applyFont="1" applyFill="1" applyBorder="1" applyAlignment="1">
      <alignment horizontal="center"/>
    </xf>
    <xf numFmtId="0" fontId="4" fillId="30" borderId="14" xfId="0" applyFont="1" applyFill="1" applyBorder="1" applyAlignment="1">
      <alignment horizontal="center"/>
    </xf>
    <xf numFmtId="0" fontId="15" fillId="29" borderId="0" xfId="0" applyFont="1" applyFill="1" applyAlignment="1">
      <alignment horizontal="center"/>
    </xf>
    <xf numFmtId="0" fontId="15" fillId="29" borderId="14" xfId="0" applyFont="1" applyFill="1" applyBorder="1" applyAlignment="1">
      <alignment horizontal="center"/>
    </xf>
    <xf numFmtId="0" fontId="15" fillId="29" borderId="15" xfId="0" applyFont="1" applyFill="1" applyBorder="1" applyAlignment="1">
      <alignment horizontal="center"/>
    </xf>
    <xf numFmtId="0" fontId="38" fillId="36" borderId="40" xfId="0" applyFont="1" applyFill="1" applyBorder="1" applyAlignment="1">
      <alignment horizontal="center"/>
    </xf>
    <xf numFmtId="0" fontId="12" fillId="36" borderId="17" xfId="0" applyFont="1" applyFill="1" applyBorder="1" applyAlignment="1">
      <alignment horizontal="center"/>
    </xf>
    <xf numFmtId="0" fontId="15" fillId="36" borderId="17" xfId="0" applyFont="1" applyFill="1" applyBorder="1" applyAlignment="1">
      <alignment horizontal="center"/>
    </xf>
    <xf numFmtId="0" fontId="15" fillId="36" borderId="21" xfId="0" applyFont="1" applyFill="1" applyBorder="1" applyAlignment="1">
      <alignment horizontal="center"/>
    </xf>
    <xf numFmtId="0" fontId="15" fillId="36" borderId="13" xfId="0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20" fontId="18" fillId="35" borderId="0" xfId="0" applyNumberFormat="1" applyFont="1" applyFill="1" applyAlignment="1">
      <alignment horizontal="center" vertical="center"/>
    </xf>
    <xf numFmtId="0" fontId="6" fillId="36" borderId="0" xfId="0" applyFont="1" applyFill="1" applyAlignment="1">
      <alignment horizontal="center"/>
    </xf>
    <xf numFmtId="20" fontId="31" fillId="36" borderId="0" xfId="0" applyNumberFormat="1" applyFont="1" applyFill="1" applyAlignment="1">
      <alignment horizontal="center"/>
    </xf>
    <xf numFmtId="0" fontId="30" fillId="29" borderId="0" xfId="0" applyFont="1" applyFill="1" applyAlignment="1">
      <alignment horizontal="center"/>
    </xf>
    <xf numFmtId="0" fontId="25" fillId="35" borderId="26" xfId="0" applyFont="1" applyFill="1" applyBorder="1" applyAlignment="1">
      <alignment horizontal="center"/>
    </xf>
    <xf numFmtId="0" fontId="25" fillId="35" borderId="63" xfId="0" applyFont="1" applyFill="1" applyBorder="1" applyAlignment="1">
      <alignment horizontal="center"/>
    </xf>
    <xf numFmtId="20" fontId="25" fillId="35" borderId="0" xfId="0" applyNumberFormat="1" applyFont="1" applyFill="1" applyAlignment="1">
      <alignment horizontal="center"/>
    </xf>
    <xf numFmtId="20" fontId="25" fillId="30" borderId="3" xfId="0" applyNumberFormat="1" applyFont="1" applyFill="1" applyBorder="1" applyAlignment="1">
      <alignment horizontal="center"/>
    </xf>
    <xf numFmtId="20" fontId="31" fillId="36" borderId="15" xfId="0" applyNumberFormat="1" applyFont="1" applyFill="1" applyBorder="1" applyAlignment="1">
      <alignment horizontal="center"/>
    </xf>
    <xf numFmtId="0" fontId="31" fillId="36" borderId="0" xfId="0" applyFont="1" applyFill="1" applyAlignment="1">
      <alignment horizontal="center"/>
    </xf>
    <xf numFmtId="0" fontId="30" fillId="36" borderId="0" xfId="0" applyFont="1" applyFill="1" applyAlignment="1">
      <alignment horizontal="center"/>
    </xf>
    <xf numFmtId="0" fontId="31" fillId="29" borderId="59" xfId="0" applyFont="1" applyFill="1" applyBorder="1" applyAlignment="1">
      <alignment horizontal="center"/>
    </xf>
    <xf numFmtId="46" fontId="17" fillId="0" borderId="0" xfId="0" applyNumberFormat="1" applyFont="1" applyAlignment="1">
      <alignment horizontal="center" vertical="center"/>
    </xf>
    <xf numFmtId="20" fontId="17" fillId="0" borderId="0" xfId="0" applyNumberFormat="1" applyFont="1" applyAlignment="1">
      <alignment horizontal="center" vertical="center"/>
    </xf>
    <xf numFmtId="46" fontId="0" fillId="0" borderId="0" xfId="0" applyNumberFormat="1"/>
    <xf numFmtId="20" fontId="0" fillId="0" borderId="0" xfId="0" applyNumberFormat="1"/>
    <xf numFmtId="46" fontId="6" fillId="0" borderId="0" xfId="0" applyNumberFormat="1" applyFont="1"/>
    <xf numFmtId="46" fontId="6" fillId="0" borderId="0" xfId="0" applyNumberFormat="1" applyFont="1" applyAlignment="1">
      <alignment horizontal="center" vertical="center"/>
    </xf>
    <xf numFmtId="46" fontId="26" fillId="0" borderId="0" xfId="0" applyNumberFormat="1" applyFont="1" applyAlignment="1">
      <alignment horizontal="center" vertical="center"/>
    </xf>
    <xf numFmtId="46" fontId="27" fillId="0" borderId="0" xfId="0" applyNumberFormat="1" applyFont="1" applyAlignment="1">
      <alignment horizontal="center" vertical="center"/>
    </xf>
    <xf numFmtId="46" fontId="26" fillId="21" borderId="0" xfId="0" applyNumberFormat="1" applyFont="1" applyFill="1" applyAlignment="1">
      <alignment horizontal="center" vertical="center"/>
    </xf>
    <xf numFmtId="0" fontId="4" fillId="37" borderId="14" xfId="0" applyFont="1" applyFill="1" applyBorder="1" applyAlignment="1">
      <alignment horizontal="center"/>
    </xf>
    <xf numFmtId="46" fontId="26" fillId="37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/>
    </xf>
    <xf numFmtId="20" fontId="1" fillId="0" borderId="0" xfId="0" applyNumberFormat="1" applyFont="1" applyAlignment="1">
      <alignment horizontal="center"/>
    </xf>
    <xf numFmtId="20" fontId="106" fillId="0" borderId="0" xfId="0" applyNumberFormat="1" applyFont="1" applyAlignment="1">
      <alignment horizontal="center"/>
    </xf>
    <xf numFmtId="20" fontId="107" fillId="0" borderId="0" xfId="0" applyNumberFormat="1" applyFont="1" applyAlignment="1">
      <alignment horizontal="center"/>
    </xf>
    <xf numFmtId="20" fontId="106" fillId="21" borderId="0" xfId="0" applyNumberFormat="1" applyFont="1" applyFill="1" applyAlignment="1">
      <alignment horizontal="center"/>
    </xf>
    <xf numFmtId="46" fontId="107" fillId="0" borderId="0" xfId="0" applyNumberFormat="1" applyFont="1" applyAlignment="1">
      <alignment horizontal="center"/>
    </xf>
    <xf numFmtId="46" fontId="106" fillId="0" borderId="0" xfId="0" applyNumberFormat="1" applyFont="1" applyAlignment="1">
      <alignment horizontal="center"/>
    </xf>
    <xf numFmtId="20" fontId="98" fillId="0" borderId="0" xfId="0" applyNumberFormat="1" applyFont="1" applyAlignment="1">
      <alignment horizontal="center" vertical="center"/>
    </xf>
    <xf numFmtId="46" fontId="18" fillId="0" borderId="0" xfId="0" applyNumberFormat="1" applyFont="1"/>
    <xf numFmtId="20" fontId="26" fillId="0" borderId="0" xfId="0" applyNumberFormat="1" applyFont="1" applyAlignment="1">
      <alignment horizontal="center" vertical="center"/>
    </xf>
    <xf numFmtId="46" fontId="27" fillId="0" borderId="0" xfId="0" applyNumberFormat="1" applyFont="1"/>
    <xf numFmtId="46" fontId="26" fillId="0" borderId="0" xfId="0" applyNumberFormat="1" applyFont="1"/>
    <xf numFmtId="0" fontId="0" fillId="0" borderId="0" xfId="0" applyAlignment="1">
      <alignment horizontal="right" wrapText="1"/>
    </xf>
    <xf numFmtId="168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109" fillId="0" borderId="60" xfId="7" applyFont="1" applyBorder="1" applyAlignment="1">
      <alignment horizontal="center"/>
    </xf>
    <xf numFmtId="0" fontId="93" fillId="0" borderId="5" xfId="7" applyBorder="1" applyAlignment="1">
      <alignment horizontal="center"/>
    </xf>
    <xf numFmtId="3" fontId="93" fillId="0" borderId="6" xfId="7" applyNumberFormat="1" applyBorder="1" applyAlignment="1">
      <alignment horizontal="center"/>
    </xf>
    <xf numFmtId="0" fontId="93" fillId="0" borderId="6" xfId="7" applyBorder="1" applyAlignment="1">
      <alignment horizontal="center"/>
    </xf>
    <xf numFmtId="3" fontId="93" fillId="38" borderId="6" xfId="7" quotePrefix="1" applyNumberFormat="1" applyFill="1" applyBorder="1" applyAlignment="1">
      <alignment horizontal="center"/>
    </xf>
    <xf numFmtId="3" fontId="93" fillId="0" borderId="6" xfId="7" quotePrefix="1" applyNumberFormat="1" applyBorder="1" applyAlignment="1">
      <alignment horizontal="center"/>
    </xf>
    <xf numFmtId="3" fontId="93" fillId="38" borderId="6" xfId="7" applyNumberFormat="1" applyFill="1" applyBorder="1" applyAlignment="1">
      <alignment horizontal="center"/>
    </xf>
    <xf numFmtId="169" fontId="111" fillId="0" borderId="26" xfId="9" applyFont="1" applyBorder="1" applyAlignment="1">
      <alignment horizontal="center"/>
    </xf>
    <xf numFmtId="16" fontId="109" fillId="0" borderId="39" xfId="7" applyNumberFormat="1" applyFont="1" applyBorder="1" applyAlignment="1">
      <alignment horizontal="center"/>
    </xf>
    <xf numFmtId="0" fontId="1" fillId="0" borderId="101" xfId="7" applyFont="1" applyBorder="1" applyAlignment="1">
      <alignment horizontal="center"/>
    </xf>
    <xf numFmtId="0" fontId="1" fillId="0" borderId="52" xfId="7" applyFont="1" applyBorder="1" applyAlignment="1">
      <alignment horizontal="center"/>
    </xf>
    <xf numFmtId="169" fontId="111" fillId="0" borderId="57" xfId="9" applyFont="1" applyBorder="1" applyAlignment="1">
      <alignment horizontal="center"/>
    </xf>
    <xf numFmtId="0" fontId="109" fillId="0" borderId="39" xfId="7" applyFont="1" applyBorder="1" applyAlignment="1">
      <alignment horizontal="center"/>
    </xf>
    <xf numFmtId="0" fontId="1" fillId="0" borderId="103" xfId="7" applyFont="1" applyBorder="1" applyAlignment="1">
      <alignment horizontal="center"/>
    </xf>
    <xf numFmtId="0" fontId="1" fillId="0" borderId="40" xfId="7" applyFont="1" applyBorder="1" applyAlignment="1">
      <alignment horizontal="center"/>
    </xf>
    <xf numFmtId="20" fontId="109" fillId="0" borderId="39" xfId="7" applyNumberFormat="1" applyFont="1" applyBorder="1" applyAlignment="1">
      <alignment horizontal="center"/>
    </xf>
    <xf numFmtId="0" fontId="109" fillId="21" borderId="39" xfId="7" applyFont="1" applyFill="1" applyBorder="1" applyAlignment="1">
      <alignment horizontal="center"/>
    </xf>
    <xf numFmtId="0" fontId="1" fillId="21" borderId="103" xfId="7" applyFont="1" applyFill="1" applyBorder="1" applyAlignment="1">
      <alignment horizontal="center"/>
    </xf>
    <xf numFmtId="0" fontId="1" fillId="21" borderId="40" xfId="7" applyFont="1" applyFill="1" applyBorder="1" applyAlignment="1">
      <alignment horizontal="center"/>
    </xf>
    <xf numFmtId="169" fontId="111" fillId="21" borderId="57" xfId="9" applyFont="1" applyFill="1" applyBorder="1" applyAlignment="1">
      <alignment horizontal="center"/>
    </xf>
    <xf numFmtId="0" fontId="109" fillId="0" borderId="35" xfId="7" applyFont="1" applyBorder="1" applyAlignment="1">
      <alignment horizontal="center"/>
    </xf>
    <xf numFmtId="0" fontId="1" fillId="0" borderId="106" xfId="7" applyFont="1" applyBorder="1" applyAlignment="1">
      <alignment horizontal="center"/>
    </xf>
    <xf numFmtId="0" fontId="1" fillId="0" borderId="36" xfId="7" applyFont="1" applyBorder="1" applyAlignment="1">
      <alignment horizontal="center"/>
    </xf>
    <xf numFmtId="0" fontId="56" fillId="0" borderId="0" xfId="0" applyFont="1"/>
    <xf numFmtId="0" fontId="109" fillId="0" borderId="73" xfId="0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111" fillId="0" borderId="6" xfId="0" applyFont="1" applyBorder="1" applyAlignment="1">
      <alignment horizontal="center"/>
    </xf>
    <xf numFmtId="16" fontId="56" fillId="0" borderId="6" xfId="0" applyNumberFormat="1" applyFont="1" applyBorder="1" applyAlignment="1">
      <alignment horizontal="center"/>
    </xf>
    <xf numFmtId="16" fontId="56" fillId="39" borderId="6" xfId="0" applyNumberFormat="1" applyFont="1" applyFill="1" applyBorder="1" applyAlignment="1">
      <alignment horizontal="center"/>
    </xf>
    <xf numFmtId="0" fontId="56" fillId="39" borderId="6" xfId="0" applyFont="1" applyFill="1" applyBorder="1" applyAlignment="1">
      <alignment horizontal="center"/>
    </xf>
    <xf numFmtId="0" fontId="111" fillId="0" borderId="31" xfId="0" applyFont="1" applyBorder="1" applyAlignment="1">
      <alignment horizontal="center"/>
    </xf>
    <xf numFmtId="0" fontId="109" fillId="0" borderId="51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0" fontId="57" fillId="0" borderId="52" xfId="0" applyFont="1" applyBorder="1" applyAlignment="1">
      <alignment horizontal="center"/>
    </xf>
    <xf numFmtId="0" fontId="111" fillId="0" borderId="53" xfId="0" applyFont="1" applyBorder="1" applyAlignment="1">
      <alignment horizontal="center"/>
    </xf>
    <xf numFmtId="0" fontId="109" fillId="0" borderId="60" xfId="0" applyFont="1" applyBorder="1" applyAlignment="1">
      <alignment horizontal="center"/>
    </xf>
    <xf numFmtId="0" fontId="57" fillId="0" borderId="102" xfId="0" applyFont="1" applyBorder="1" applyAlignment="1">
      <alignment horizontal="center"/>
    </xf>
    <xf numFmtId="0" fontId="57" fillId="0" borderId="61" xfId="0" applyFont="1" applyBorder="1" applyAlignment="1">
      <alignment horizontal="center"/>
    </xf>
    <xf numFmtId="0" fontId="111" fillId="0" borderId="64" xfId="0" applyFont="1" applyBorder="1" applyAlignment="1">
      <alignment horizontal="center"/>
    </xf>
    <xf numFmtId="0" fontId="111" fillId="0" borderId="43" xfId="0" applyFont="1" applyBorder="1" applyAlignment="1">
      <alignment horizontal="center"/>
    </xf>
    <xf numFmtId="0" fontId="109" fillId="0" borderId="39" xfId="0" applyFont="1" applyBorder="1" applyAlignment="1">
      <alignment horizontal="center"/>
    </xf>
    <xf numFmtId="0" fontId="57" fillId="0" borderId="103" xfId="0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111" fillId="0" borderId="57" xfId="0" applyFont="1" applyBorder="1" applyAlignment="1">
      <alignment horizontal="center"/>
    </xf>
    <xf numFmtId="0" fontId="109" fillId="21" borderId="39" xfId="0" applyFont="1" applyFill="1" applyBorder="1" applyAlignment="1">
      <alignment horizontal="center"/>
    </xf>
    <xf numFmtId="0" fontId="57" fillId="21" borderId="103" xfId="0" applyFont="1" applyFill="1" applyBorder="1" applyAlignment="1">
      <alignment horizontal="center"/>
    </xf>
    <xf numFmtId="0" fontId="57" fillId="21" borderId="40" xfId="0" applyFont="1" applyFill="1" applyBorder="1" applyAlignment="1">
      <alignment horizontal="center"/>
    </xf>
    <xf numFmtId="0" fontId="111" fillId="21" borderId="57" xfId="0" applyFont="1" applyFill="1" applyBorder="1" applyAlignment="1">
      <alignment horizontal="center"/>
    </xf>
    <xf numFmtId="0" fontId="111" fillId="21" borderId="43" xfId="0" applyFont="1" applyFill="1" applyBorder="1" applyAlignment="1">
      <alignment horizontal="center"/>
    </xf>
    <xf numFmtId="0" fontId="109" fillId="0" borderId="35" xfId="0" applyFont="1" applyBorder="1" applyAlignment="1">
      <alignment horizontal="center"/>
    </xf>
    <xf numFmtId="0" fontId="57" fillId="0" borderId="106" xfId="0" applyFont="1" applyBorder="1" applyAlignment="1">
      <alignment horizontal="center"/>
    </xf>
    <xf numFmtId="0" fontId="57" fillId="0" borderId="36" xfId="0" applyFont="1" applyBorder="1" applyAlignment="1">
      <alignment horizontal="center"/>
    </xf>
    <xf numFmtId="0" fontId="111" fillId="0" borderId="58" xfId="0" applyFont="1" applyBorder="1" applyAlignment="1">
      <alignment horizontal="center"/>
    </xf>
    <xf numFmtId="0" fontId="111" fillId="0" borderId="50" xfId="0" applyFont="1" applyBorder="1" applyAlignment="1">
      <alignment horizontal="center"/>
    </xf>
    <xf numFmtId="16" fontId="56" fillId="0" borderId="6" xfId="0" quotePrefix="1" applyNumberFormat="1" applyFont="1" applyBorder="1" applyAlignment="1">
      <alignment horizontal="center"/>
    </xf>
    <xf numFmtId="0" fontId="56" fillId="0" borderId="5" xfId="0" quotePrefix="1" applyFont="1" applyBorder="1" applyAlignment="1">
      <alignment horizontal="center"/>
    </xf>
    <xf numFmtId="0" fontId="45" fillId="0" borderId="27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45" fillId="0" borderId="78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45" fillId="0" borderId="126" xfId="0" applyFont="1" applyBorder="1" applyAlignment="1">
      <alignment horizontal="center"/>
    </xf>
    <xf numFmtId="0" fontId="51" fillId="0" borderId="126" xfId="0" applyFont="1" applyBorder="1" applyAlignment="1">
      <alignment horizontal="center"/>
    </xf>
    <xf numFmtId="0" fontId="45" fillId="0" borderId="127" xfId="0" applyFont="1" applyBorder="1" applyAlignment="1">
      <alignment horizontal="center"/>
    </xf>
    <xf numFmtId="0" fontId="45" fillId="0" borderId="129" xfId="0" applyFont="1" applyBorder="1" applyAlignment="1">
      <alignment horizontal="center"/>
    </xf>
    <xf numFmtId="0" fontId="51" fillId="0" borderId="128" xfId="0" applyFont="1" applyBorder="1" applyAlignment="1">
      <alignment horizontal="center"/>
    </xf>
    <xf numFmtId="0" fontId="51" fillId="0" borderId="23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51" fillId="0" borderId="9" xfId="0" applyFont="1" applyBorder="1" applyAlignment="1">
      <alignment horizontal="center"/>
    </xf>
    <xf numFmtId="0" fontId="51" fillId="0" borderId="28" xfId="0" applyFont="1" applyBorder="1" applyAlignment="1">
      <alignment horizontal="center"/>
    </xf>
    <xf numFmtId="20" fontId="51" fillId="0" borderId="28" xfId="0" applyNumberFormat="1" applyFont="1" applyBorder="1" applyAlignment="1">
      <alignment horizontal="center"/>
    </xf>
    <xf numFmtId="20" fontId="52" fillId="0" borderId="28" xfId="0" applyNumberFormat="1" applyFont="1" applyBorder="1" applyAlignment="1">
      <alignment horizontal="center"/>
    </xf>
    <xf numFmtId="20" fontId="64" fillId="0" borderId="28" xfId="0" applyNumberFormat="1" applyFont="1" applyBorder="1" applyAlignment="1">
      <alignment horizontal="center"/>
    </xf>
    <xf numFmtId="0" fontId="64" fillId="0" borderId="28" xfId="0" applyFont="1" applyBorder="1" applyAlignment="1">
      <alignment horizontal="center"/>
    </xf>
    <xf numFmtId="20" fontId="79" fillId="0" borderId="28" xfId="0" applyNumberFormat="1" applyFont="1" applyBorder="1" applyAlignment="1">
      <alignment horizontal="center"/>
    </xf>
    <xf numFmtId="0" fontId="51" fillId="0" borderId="124" xfId="0" applyFont="1" applyBorder="1" applyAlignment="1">
      <alignment horizontal="center"/>
    </xf>
    <xf numFmtId="0" fontId="52" fillId="0" borderId="28" xfId="0" applyFont="1" applyBorder="1" applyAlignment="1">
      <alignment horizontal="center"/>
    </xf>
    <xf numFmtId="0" fontId="63" fillId="0" borderId="28" xfId="0" applyFont="1" applyBorder="1" applyAlignment="1">
      <alignment horizontal="center"/>
    </xf>
    <xf numFmtId="0" fontId="51" fillId="0" borderId="11" xfId="0" applyFont="1" applyBorder="1" applyAlignment="1">
      <alignment horizontal="center"/>
    </xf>
    <xf numFmtId="20" fontId="45" fillId="0" borderId="28" xfId="0" applyNumberFormat="1" applyFont="1" applyBorder="1" applyAlignment="1">
      <alignment horizontal="center"/>
    </xf>
    <xf numFmtId="20" fontId="65" fillId="0" borderId="28" xfId="0" applyNumberFormat="1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25" fillId="40" borderId="6" xfId="0" applyFont="1" applyFill="1" applyBorder="1" applyAlignment="1">
      <alignment horizontal="center" vertical="center"/>
    </xf>
    <xf numFmtId="0" fontId="61" fillId="0" borderId="125" xfId="0" applyFont="1" applyBorder="1" applyAlignment="1">
      <alignment horizontal="center"/>
    </xf>
    <xf numFmtId="0" fontId="61" fillId="0" borderId="14" xfId="0" applyFont="1" applyBorder="1" applyAlignment="1">
      <alignment horizontal="center"/>
    </xf>
    <xf numFmtId="20" fontId="61" fillId="0" borderId="14" xfId="0" applyNumberFormat="1" applyFont="1" applyBorder="1" applyAlignment="1">
      <alignment horizontal="center"/>
    </xf>
    <xf numFmtId="0" fontId="80" fillId="0" borderId="14" xfId="0" applyFont="1" applyBorder="1" applyAlignment="1">
      <alignment horizontal="center"/>
    </xf>
    <xf numFmtId="20" fontId="61" fillId="0" borderId="17" xfId="0" applyNumberFormat="1" applyFont="1" applyBorder="1" applyAlignment="1">
      <alignment horizontal="center"/>
    </xf>
    <xf numFmtId="0" fontId="61" fillId="0" borderId="128" xfId="0" applyFont="1" applyBorder="1" applyAlignment="1">
      <alignment horizontal="center"/>
    </xf>
    <xf numFmtId="0" fontId="81" fillId="0" borderId="14" xfId="0" applyFont="1" applyBorder="1" applyAlignment="1">
      <alignment horizontal="center"/>
    </xf>
    <xf numFmtId="0" fontId="82" fillId="0" borderId="14" xfId="0" applyFont="1" applyBorder="1" applyAlignment="1">
      <alignment horizontal="center"/>
    </xf>
    <xf numFmtId="0" fontId="61" fillId="0" borderId="30" xfId="0" applyFont="1" applyBorder="1" applyAlignment="1">
      <alignment horizontal="center"/>
    </xf>
    <xf numFmtId="20" fontId="61" fillId="0" borderId="23" xfId="0" applyNumberFormat="1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1" fillId="0" borderId="8" xfId="0" applyFont="1" applyBorder="1" applyAlignment="1">
      <alignment horizontal="center"/>
    </xf>
    <xf numFmtId="0" fontId="61" fillId="0" borderId="17" xfId="0" applyFont="1" applyBorder="1" applyAlignment="1">
      <alignment horizontal="center"/>
    </xf>
    <xf numFmtId="0" fontId="61" fillId="0" borderId="23" xfId="0" applyFont="1" applyBorder="1" applyAlignment="1">
      <alignment horizontal="center"/>
    </xf>
    <xf numFmtId="0" fontId="25" fillId="23" borderId="6" xfId="0" applyFont="1" applyFill="1" applyBorder="1" applyAlignment="1">
      <alignment horizontal="center" vertical="center"/>
    </xf>
    <xf numFmtId="164" fontId="22" fillId="23" borderId="43" xfId="1" applyNumberFormat="1" applyFill="1" applyBorder="1" applyAlignment="1">
      <alignment horizontal="center"/>
    </xf>
    <xf numFmtId="164" fontId="22" fillId="23" borderId="56" xfId="1" applyNumberFormat="1" applyFill="1" applyBorder="1" applyAlignment="1">
      <alignment horizontal="center"/>
    </xf>
    <xf numFmtId="164" fontId="22" fillId="9" borderId="59" xfId="1" applyNumberFormat="1" applyFill="1" applyBorder="1" applyAlignment="1">
      <alignment horizontal="center"/>
    </xf>
    <xf numFmtId="49" fontId="22" fillId="0" borderId="80" xfId="1" applyNumberFormat="1" applyBorder="1" applyAlignment="1">
      <alignment horizontal="center"/>
    </xf>
    <xf numFmtId="49" fontId="22" fillId="0" borderId="6" xfId="1" applyNumberFormat="1" applyBorder="1" applyAlignment="1">
      <alignment horizontal="center"/>
    </xf>
    <xf numFmtId="0" fontId="57" fillId="0" borderId="137" xfId="0" applyFont="1" applyBorder="1" applyAlignment="1">
      <alignment horizontal="center"/>
    </xf>
    <xf numFmtId="0" fontId="57" fillId="0" borderId="138" xfId="0" applyFont="1" applyBorder="1" applyAlignment="1">
      <alignment horizontal="center"/>
    </xf>
    <xf numFmtId="0" fontId="57" fillId="0" borderId="139" xfId="0" applyFont="1" applyBorder="1" applyAlignment="1">
      <alignment horizontal="center"/>
    </xf>
    <xf numFmtId="0" fontId="57" fillId="0" borderId="140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15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5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39" xfId="0" applyBorder="1" applyAlignment="1">
      <alignment horizontal="center"/>
    </xf>
    <xf numFmtId="0" fontId="0" fillId="0" borderId="137" xfId="0" applyBorder="1" applyAlignment="1">
      <alignment horizontal="center"/>
    </xf>
    <xf numFmtId="0" fontId="0" fillId="0" borderId="138" xfId="0" applyBorder="1" applyAlignment="1">
      <alignment horizontal="center"/>
    </xf>
    <xf numFmtId="0" fontId="0" fillId="0" borderId="140" xfId="0" applyBorder="1" applyAlignment="1">
      <alignment horizontal="center"/>
    </xf>
    <xf numFmtId="0" fontId="1" fillId="0" borderId="143" xfId="0" applyFont="1" applyBorder="1" applyAlignment="1">
      <alignment horizontal="center"/>
    </xf>
    <xf numFmtId="0" fontId="1" fillId="0" borderId="144" xfId="0" applyFont="1" applyBorder="1" applyAlignment="1">
      <alignment horizontal="center"/>
    </xf>
    <xf numFmtId="0" fontId="1" fillId="15" borderId="144" xfId="0" applyFont="1" applyFill="1" applyBorder="1" applyAlignment="1">
      <alignment horizontal="center"/>
    </xf>
    <xf numFmtId="0" fontId="1" fillId="16" borderId="145" xfId="0" applyFont="1" applyFill="1" applyBorder="1" applyAlignment="1">
      <alignment horizontal="center"/>
    </xf>
    <xf numFmtId="0" fontId="1" fillId="0" borderId="109" xfId="0" applyFont="1" applyBorder="1" applyAlignment="1">
      <alignment horizontal="center"/>
    </xf>
    <xf numFmtId="0" fontId="1" fillId="13" borderId="89" xfId="0" applyFont="1" applyFill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16" borderId="108" xfId="0" applyFont="1" applyFill="1" applyBorder="1" applyAlignment="1">
      <alignment horizontal="center"/>
    </xf>
    <xf numFmtId="0" fontId="1" fillId="16" borderId="109" xfId="0" applyFont="1" applyFill="1" applyBorder="1" applyAlignment="1">
      <alignment horizontal="center"/>
    </xf>
    <xf numFmtId="0" fontId="1" fillId="15" borderId="89" xfId="0" applyFont="1" applyFill="1" applyBorder="1" applyAlignment="1">
      <alignment horizontal="center"/>
    </xf>
    <xf numFmtId="0" fontId="1" fillId="16" borderId="89" xfId="0" applyFont="1" applyFill="1" applyBorder="1" applyAlignment="1">
      <alignment horizontal="center"/>
    </xf>
    <xf numFmtId="0" fontId="1" fillId="0" borderId="108" xfId="0" applyFont="1" applyBorder="1" applyAlignment="1">
      <alignment horizontal="center"/>
    </xf>
    <xf numFmtId="0" fontId="1" fillId="13" borderId="108" xfId="0" applyFont="1" applyFill="1" applyBorder="1" applyAlignment="1">
      <alignment horizontal="center"/>
    </xf>
    <xf numFmtId="0" fontId="1" fillId="13" borderId="109" xfId="0" applyFont="1" applyFill="1" applyBorder="1" applyAlignment="1">
      <alignment horizontal="center"/>
    </xf>
    <xf numFmtId="0" fontId="1" fillId="15" borderId="108" xfId="0" applyFont="1" applyFill="1" applyBorder="1" applyAlignment="1">
      <alignment horizontal="center"/>
    </xf>
    <xf numFmtId="0" fontId="1" fillId="15" borderId="109" xfId="0" applyFont="1" applyFill="1" applyBorder="1" applyAlignment="1">
      <alignment horizontal="center"/>
    </xf>
    <xf numFmtId="0" fontId="1" fillId="13" borderId="110" xfId="0" applyFont="1" applyFill="1" applyBorder="1" applyAlignment="1">
      <alignment horizontal="center"/>
    </xf>
    <xf numFmtId="0" fontId="1" fillId="16" borderId="111" xfId="0" applyFont="1" applyFill="1" applyBorder="1" applyAlignment="1">
      <alignment horizontal="center"/>
    </xf>
    <xf numFmtId="0" fontId="1" fillId="0" borderId="111" xfId="0" applyFont="1" applyBorder="1" applyAlignment="1">
      <alignment horizontal="center"/>
    </xf>
    <xf numFmtId="0" fontId="1" fillId="13" borderId="111" xfId="0" applyFont="1" applyFill="1" applyBorder="1" applyAlignment="1">
      <alignment horizontal="center"/>
    </xf>
    <xf numFmtId="0" fontId="1" fillId="0" borderId="112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16" borderId="90" xfId="0" applyFont="1" applyFill="1" applyBorder="1" applyAlignment="1">
      <alignment horizontal="center"/>
    </xf>
    <xf numFmtId="0" fontId="1" fillId="13" borderId="90" xfId="0" applyFont="1" applyFill="1" applyBorder="1" applyAlignment="1">
      <alignment horizontal="center"/>
    </xf>
    <xf numFmtId="0" fontId="1" fillId="15" borderId="88" xfId="0" applyFont="1" applyFill="1" applyBorder="1" applyAlignment="1">
      <alignment horizontal="center"/>
    </xf>
    <xf numFmtId="0" fontId="1" fillId="21" borderId="89" xfId="0" applyFont="1" applyFill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1" fillId="13" borderId="88" xfId="0" applyFont="1" applyFill="1" applyBorder="1" applyAlignment="1">
      <alignment horizontal="center"/>
    </xf>
    <xf numFmtId="0" fontId="1" fillId="15" borderId="90" xfId="0" applyFont="1" applyFill="1" applyBorder="1" applyAlignment="1">
      <alignment horizontal="center"/>
    </xf>
    <xf numFmtId="0" fontId="1" fillId="16" borderId="88" xfId="0" applyFont="1" applyFill="1" applyBorder="1" applyAlignment="1">
      <alignment horizontal="center"/>
    </xf>
    <xf numFmtId="164" fontId="23" fillId="0" borderId="24" xfId="10" applyNumberFormat="1" applyFont="1" applyBorder="1" applyAlignment="1">
      <alignment horizontal="center"/>
    </xf>
    <xf numFmtId="164" fontId="23" fillId="0" borderId="25" xfId="10" applyNumberFormat="1" applyFont="1" applyBorder="1" applyAlignment="1">
      <alignment horizontal="center"/>
    </xf>
    <xf numFmtId="164" fontId="23" fillId="0" borderId="5" xfId="10" applyNumberFormat="1" applyFont="1" applyBorder="1" applyAlignment="1">
      <alignment horizontal="center"/>
    </xf>
    <xf numFmtId="0" fontId="23" fillId="0" borderId="31" xfId="1" applyFont="1" applyBorder="1" applyAlignment="1">
      <alignment horizontal="center" vertical="center"/>
    </xf>
    <xf numFmtId="0" fontId="23" fillId="0" borderId="80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23" fillId="0" borderId="31" xfId="1" applyNumberFormat="1" applyFont="1" applyBorder="1" applyAlignment="1">
      <alignment horizontal="center" vertical="center"/>
    </xf>
    <xf numFmtId="49" fontId="23" fillId="0" borderId="80" xfId="1" applyNumberFormat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3" fillId="0" borderId="34" xfId="1" applyFont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49" fontId="23" fillId="0" borderId="12" xfId="1" applyNumberFormat="1" applyFont="1" applyBorder="1" applyAlignment="1">
      <alignment horizontal="center" vertical="center"/>
    </xf>
    <xf numFmtId="0" fontId="90" fillId="0" borderId="24" xfId="0" applyFont="1" applyBorder="1" applyAlignment="1">
      <alignment horizontal="center"/>
    </xf>
    <xf numFmtId="0" fontId="90" fillId="0" borderId="25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87" fillId="22" borderId="24" xfId="0" applyFont="1" applyFill="1" applyBorder="1" applyAlignment="1">
      <alignment horizontal="center"/>
    </xf>
    <xf numFmtId="0" fontId="87" fillId="22" borderId="25" xfId="0" applyFont="1" applyFill="1" applyBorder="1" applyAlignment="1">
      <alignment horizontal="center"/>
    </xf>
    <xf numFmtId="0" fontId="87" fillId="22" borderId="5" xfId="0" applyFont="1" applyFill="1" applyBorder="1" applyAlignment="1">
      <alignment horizontal="center"/>
    </xf>
    <xf numFmtId="0" fontId="90" fillId="0" borderId="66" xfId="0" applyFont="1" applyBorder="1" applyAlignment="1">
      <alignment horizontal="center"/>
    </xf>
    <xf numFmtId="0" fontId="90" fillId="0" borderId="134" xfId="0" applyFont="1" applyBorder="1" applyAlignment="1">
      <alignment horizontal="center"/>
    </xf>
    <xf numFmtId="0" fontId="90" fillId="0" borderId="67" xfId="0" applyFont="1" applyBorder="1" applyAlignment="1">
      <alignment horizontal="center"/>
    </xf>
    <xf numFmtId="0" fontId="90" fillId="0" borderId="69" xfId="0" applyFont="1" applyBorder="1" applyAlignment="1">
      <alignment horizontal="center"/>
    </xf>
    <xf numFmtId="0" fontId="90" fillId="0" borderId="73" xfId="0" applyFont="1" applyBorder="1" applyAlignment="1">
      <alignment horizontal="center"/>
    </xf>
    <xf numFmtId="0" fontId="90" fillId="0" borderId="100" xfId="0" applyFont="1" applyBorder="1" applyAlignment="1">
      <alignment horizontal="center"/>
    </xf>
    <xf numFmtId="0" fontId="90" fillId="0" borderId="83" xfId="0" applyFont="1" applyBorder="1" applyAlignment="1">
      <alignment horizontal="center"/>
    </xf>
    <xf numFmtId="0" fontId="90" fillId="0" borderId="84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/>
    </xf>
    <xf numFmtId="0" fontId="60" fillId="18" borderId="2" xfId="0" applyFont="1" applyFill="1" applyBorder="1"/>
    <xf numFmtId="0" fontId="58" fillId="18" borderId="63" xfId="0" applyFont="1" applyFill="1" applyBorder="1" applyAlignment="1">
      <alignment horizontal="center"/>
    </xf>
    <xf numFmtId="0" fontId="58" fillId="18" borderId="3" xfId="0" applyFont="1" applyFill="1" applyBorder="1" applyAlignment="1">
      <alignment horizontal="center"/>
    </xf>
    <xf numFmtId="0" fontId="58" fillId="18" borderId="26" xfId="0" applyFont="1" applyFill="1" applyBorder="1" applyAlignment="1">
      <alignment horizontal="center"/>
    </xf>
    <xf numFmtId="0" fontId="58" fillId="18" borderId="59" xfId="0" applyFont="1" applyFill="1" applyBorder="1" applyAlignment="1">
      <alignment horizontal="center"/>
    </xf>
    <xf numFmtId="0" fontId="58" fillId="18" borderId="0" xfId="0" applyFont="1" applyFill="1" applyAlignment="1">
      <alignment horizontal="center"/>
    </xf>
    <xf numFmtId="0" fontId="58" fillId="18" borderId="15" xfId="0" applyFont="1" applyFill="1" applyBorder="1" applyAlignment="1">
      <alignment horizontal="center"/>
    </xf>
    <xf numFmtId="0" fontId="58" fillId="11" borderId="24" xfId="0" applyFont="1" applyFill="1" applyBorder="1" applyAlignment="1">
      <alignment horizontal="center"/>
    </xf>
    <xf numFmtId="0" fontId="58" fillId="11" borderId="25" xfId="0" applyFont="1" applyFill="1" applyBorder="1" applyAlignment="1">
      <alignment horizontal="center"/>
    </xf>
    <xf numFmtId="0" fontId="58" fillId="11" borderId="5" xfId="0" applyFont="1" applyFill="1" applyBorder="1" applyAlignment="1">
      <alignment horizontal="center"/>
    </xf>
    <xf numFmtId="0" fontId="67" fillId="18" borderId="63" xfId="0" applyFont="1" applyFill="1" applyBorder="1" applyAlignment="1">
      <alignment horizontal="center"/>
    </xf>
    <xf numFmtId="0" fontId="67" fillId="18" borderId="3" xfId="0" applyFont="1" applyFill="1" applyBorder="1" applyAlignment="1">
      <alignment horizontal="center"/>
    </xf>
    <xf numFmtId="0" fontId="67" fillId="18" borderId="26" xfId="0" applyFont="1" applyFill="1" applyBorder="1" applyAlignment="1">
      <alignment horizontal="center"/>
    </xf>
    <xf numFmtId="0" fontId="67" fillId="18" borderId="59" xfId="0" applyFont="1" applyFill="1" applyBorder="1" applyAlignment="1">
      <alignment horizontal="center"/>
    </xf>
    <xf numFmtId="0" fontId="67" fillId="18" borderId="0" xfId="0" applyFont="1" applyFill="1" applyAlignment="1">
      <alignment horizontal="center"/>
    </xf>
    <xf numFmtId="0" fontId="67" fillId="18" borderId="15" xfId="0" applyFont="1" applyFill="1" applyBorder="1" applyAlignment="1">
      <alignment horizontal="center"/>
    </xf>
    <xf numFmtId="0" fontId="67" fillId="11" borderId="24" xfId="0" applyFont="1" applyFill="1" applyBorder="1" applyAlignment="1">
      <alignment horizontal="center"/>
    </xf>
    <xf numFmtId="0" fontId="67" fillId="11" borderId="25" xfId="0" applyFont="1" applyFill="1" applyBorder="1" applyAlignment="1">
      <alignment horizontal="center"/>
    </xf>
    <xf numFmtId="0" fontId="67" fillId="11" borderId="5" xfId="0" applyFont="1" applyFill="1" applyBorder="1" applyAlignment="1">
      <alignment horizontal="center"/>
    </xf>
    <xf numFmtId="0" fontId="69" fillId="18" borderId="2" xfId="0" applyFont="1" applyFill="1" applyBorder="1"/>
    <xf numFmtId="0" fontId="57" fillId="41" borderId="85" xfId="0" applyFont="1" applyFill="1" applyBorder="1" applyAlignment="1">
      <alignment horizontal="center"/>
    </xf>
    <xf numFmtId="0" fontId="57" fillId="41" borderId="86" xfId="0" applyFont="1" applyFill="1" applyBorder="1" applyAlignment="1">
      <alignment horizontal="center"/>
    </xf>
    <xf numFmtId="0" fontId="57" fillId="0" borderId="94" xfId="0" applyFont="1" applyBorder="1" applyAlignment="1">
      <alignment horizontal="center"/>
    </xf>
    <xf numFmtId="0" fontId="57" fillId="0" borderId="86" xfId="0" applyFont="1" applyBorder="1" applyAlignment="1">
      <alignment horizontal="center"/>
    </xf>
    <xf numFmtId="0" fontId="1" fillId="21" borderId="85" xfId="0" applyFont="1" applyFill="1" applyBorder="1" applyAlignment="1">
      <alignment horizontal="center"/>
    </xf>
    <xf numFmtId="0" fontId="1" fillId="21" borderId="86" xfId="0" applyFont="1" applyFill="1" applyBorder="1" applyAlignment="1">
      <alignment horizontal="center"/>
    </xf>
    <xf numFmtId="0" fontId="1" fillId="21" borderId="141" xfId="0" applyFont="1" applyFill="1" applyBorder="1" applyAlignment="1">
      <alignment horizontal="center"/>
    </xf>
    <xf numFmtId="0" fontId="0" fillId="0" borderId="139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42" xfId="0" applyBorder="1" applyAlignment="1">
      <alignment horizontal="center"/>
    </xf>
    <xf numFmtId="0" fontId="45" fillId="0" borderId="24" xfId="0" applyFont="1" applyBorder="1" applyAlignment="1">
      <alignment horizontal="left" vertical="center"/>
    </xf>
    <xf numFmtId="0" fontId="45" fillId="0" borderId="25" xfId="0" applyFont="1" applyBorder="1" applyAlignment="1">
      <alignment horizontal="left" vertical="center"/>
    </xf>
    <xf numFmtId="0" fontId="45" fillId="0" borderId="5" xfId="0" applyFont="1" applyBorder="1" applyAlignment="1">
      <alignment horizontal="left" vertical="center"/>
    </xf>
    <xf numFmtId="0" fontId="57" fillId="11" borderId="107" xfId="0" applyFont="1" applyFill="1" applyBorder="1" applyAlignment="1">
      <alignment horizontal="center"/>
    </xf>
    <xf numFmtId="0" fontId="57" fillId="11" borderId="63" xfId="0" applyFont="1" applyFill="1" applyBorder="1" applyAlignment="1">
      <alignment horizontal="center"/>
    </xf>
    <xf numFmtId="0" fontId="57" fillId="11" borderId="3" xfId="0" applyFont="1" applyFill="1" applyBorder="1" applyAlignment="1">
      <alignment horizontal="center"/>
    </xf>
    <xf numFmtId="0" fontId="57" fillId="11" borderId="26" xfId="0" applyFont="1" applyFill="1" applyBorder="1" applyAlignment="1">
      <alignment horizontal="center"/>
    </xf>
    <xf numFmtId="0" fontId="108" fillId="0" borderId="0" xfId="7" applyFont="1" applyAlignment="1">
      <alignment horizontal="center"/>
    </xf>
    <xf numFmtId="0" fontId="112" fillId="0" borderId="2" xfId="0" applyFont="1" applyBorder="1" applyAlignment="1">
      <alignment horizontal="center"/>
    </xf>
  </cellXfs>
  <cellStyles count="12">
    <cellStyle name="Comma" xfId="3" builtinId="3"/>
    <cellStyle name="Comma 3" xfId="6" xr:uid="{F420560A-F4FA-488C-AD88-6E6496D0FF3C}"/>
    <cellStyle name="Normal" xfId="0" builtinId="0"/>
    <cellStyle name="Normal 2" xfId="1" xr:uid="{016B8BA1-EFC4-4D7D-9574-A9F22FB10BD0}"/>
    <cellStyle name="Normal 2 2" xfId="2" xr:uid="{54F9741D-8CBF-43A9-A27B-16FBA15A11AD}"/>
    <cellStyle name="Normal 2 2 2" xfId="9" xr:uid="{0647CA84-7B81-41A6-9E53-83BADF1E9C17}"/>
    <cellStyle name="Normal 2 3 2" xfId="10" xr:uid="{1938A428-B00A-4F00-8948-12BC1867512A}"/>
    <cellStyle name="Normal 3" xfId="7" xr:uid="{8C960541-C9E6-4957-B334-5471C457DBF3}"/>
    <cellStyle name="Normal 3 2" xfId="11" xr:uid="{665B5B54-A580-4C8A-B4BC-FFED8BC9C884}"/>
    <cellStyle name="Normal 5" xfId="8" xr:uid="{56845918-D4CA-45E9-A89B-F4D389D3A430}"/>
    <cellStyle name="Normal 6" xfId="5" xr:uid="{BD51014D-2E63-4EC5-8EF1-E7B29C07CACD}"/>
    <cellStyle name="Percent" xfId="4" builtinId="5"/>
  </cellStyles>
  <dxfs count="14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Operations%20Finance\OVNs\00%20BusConnects\Phase%204%20-%20G%20Spine\2022-06\OVN%20Costing%20-%20BC%20Phase%204%20-%20Recurring%20Route%20Costs%20-%202022-06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CONTROL"/>
      <sheetName val="CHECK"/>
      <sheetName val="OVNs"/>
      <sheetName val="Summary"/>
      <sheetName val="Report 1"/>
      <sheetName val="Report 2"/>
      <sheetName val="Report 3"/>
      <sheetName val="Report 4"/>
      <sheetName val="Calc 3C"/>
      <sheetName val="Calc 3B"/>
      <sheetName val="Calc 3A"/>
      <sheetName val="Calc 2B"/>
      <sheetName val="Calc 2A"/>
      <sheetName val="Calc 1B"/>
      <sheetName val="Calc 1A"/>
      <sheetName val="Non Direct"/>
      <sheetName val="Schedule Exist"/>
      <sheetName val="Schedule New"/>
      <sheetName val="RPS - ASC"/>
      <sheetName val="PayPension"/>
      <sheetName val="Report_1"/>
      <sheetName val="Report_2"/>
      <sheetName val="Report_3"/>
      <sheetName val="Report_4"/>
      <sheetName val="Calc_3C"/>
      <sheetName val="Calc_3B"/>
      <sheetName val="Calc_3A"/>
      <sheetName val="Calc_2B"/>
      <sheetName val="Calc_2A"/>
      <sheetName val="Calc_1B"/>
      <sheetName val="Calc_1A"/>
      <sheetName val="Non_Direct"/>
      <sheetName val="Schedule_Exist"/>
      <sheetName val="Schedule_New"/>
      <sheetName val="RPS_-_ASC"/>
    </sheetNames>
    <sheetDataSet>
      <sheetData sheetId="0" refreshError="1"/>
      <sheetData sheetId="1">
        <row r="2">
          <cell r="B2" t="str">
            <v>BusConnects Route Costing</v>
          </cell>
        </row>
        <row r="3">
          <cell r="B3" t="str">
            <v>Phase 4</v>
          </cell>
        </row>
        <row r="4">
          <cell r="B4" t="str">
            <v>Existing Rostering</v>
          </cell>
        </row>
        <row r="25">
          <cell r="B25">
            <v>4.37894303869093E-2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5">
          <cell r="D5" t="str">
            <v>Net OVN Cost</v>
          </cell>
          <cell r="F5" t="str">
            <v>New Routes Costs</v>
          </cell>
          <cell r="G5" t="str">
            <v>New Route Cost Allocation Bases</v>
          </cell>
          <cell r="I5" t="str">
            <v>Existing Routes Costs</v>
          </cell>
        </row>
        <row r="6">
          <cell r="D6" t="str">
            <v>€</v>
          </cell>
          <cell r="F6" t="str">
            <v>€</v>
          </cell>
          <cell r="I6" t="str">
            <v>€</v>
          </cell>
        </row>
        <row r="7">
          <cell r="C7" t="str">
            <v>Driver Payroll</v>
          </cell>
          <cell r="D7">
            <v>4065318.1814848743</v>
          </cell>
          <cell r="F7">
            <v>12446921.181484874</v>
          </cell>
          <cell r="G7" t="str">
            <v>Driver Cost Rate - Pre-Pension % element</v>
          </cell>
          <cell r="I7">
            <v>8381603</v>
          </cell>
        </row>
        <row r="8">
          <cell r="C8" t="str">
            <v>Direct Material Costs</v>
          </cell>
          <cell r="D8">
            <v>103346.43429866887</v>
          </cell>
          <cell r="F8">
            <v>609937.43429866887</v>
          </cell>
          <cell r="G8" t="str">
            <v>Total KM x ASC rate for Existing Routes</v>
          </cell>
          <cell r="I8">
            <v>506591</v>
          </cell>
        </row>
        <row r="9">
          <cell r="C9" t="str">
            <v>Tyres</v>
          </cell>
          <cell r="D9">
            <v>26511.91179587954</v>
          </cell>
          <cell r="F9">
            <v>156469.91179587954</v>
          </cell>
          <cell r="G9" t="str">
            <v>Total KM x ASC rate for Existing Routes</v>
          </cell>
          <cell r="I9">
            <v>129958</v>
          </cell>
        </row>
        <row r="10">
          <cell r="C10" t="str">
            <v>Fuel</v>
          </cell>
          <cell r="D10">
            <v>376487.18142785644</v>
          </cell>
          <cell r="F10">
            <v>2221979.1814278564</v>
          </cell>
          <cell r="G10" t="str">
            <v>Total KM x ASC rate for Existing Routes</v>
          </cell>
          <cell r="I10">
            <v>1845492</v>
          </cell>
        </row>
        <row r="11">
          <cell r="C11" t="str">
            <v>Bus Hire</v>
          </cell>
          <cell r="D11">
            <v>0</v>
          </cell>
          <cell r="F11">
            <v>0</v>
          </cell>
          <cell r="G11" t="str">
            <v>N/A</v>
          </cell>
          <cell r="I11">
            <v>0</v>
          </cell>
        </row>
        <row r="12">
          <cell r="C12" t="str">
            <v>Staff Costs</v>
          </cell>
          <cell r="D12">
            <v>24484.52310547611</v>
          </cell>
          <cell r="F12">
            <v>144504.52310547611</v>
          </cell>
          <cell r="G12" t="str">
            <v>Total KM x ASC rate for Existing Routes</v>
          </cell>
          <cell r="I12">
            <v>120020</v>
          </cell>
        </row>
        <row r="13">
          <cell r="C13" t="str">
            <v>Direct Staff Pension Cost</v>
          </cell>
          <cell r="D13">
            <v>225131.94323367591</v>
          </cell>
          <cell r="F13">
            <v>766370.94323367591</v>
          </cell>
          <cell r="G13" t="str">
            <v>Driver Cost Rate - Pension % element</v>
          </cell>
          <cell r="I13">
            <v>541239</v>
          </cell>
        </row>
        <row r="14">
          <cell r="C14" t="str">
            <v>Vehicle Costs</v>
          </cell>
          <cell r="D14">
            <v>27234.288869004813</v>
          </cell>
          <cell r="F14">
            <v>160733.28886900481</v>
          </cell>
          <cell r="G14" t="str">
            <v>Total KM x ASC rate for Existing Routes</v>
          </cell>
          <cell r="I14">
            <v>133499</v>
          </cell>
        </row>
        <row r="15">
          <cell r="C15" t="str">
            <v>Direct Costs</v>
          </cell>
          <cell r="D15">
            <v>4848514.464215437</v>
          </cell>
          <cell r="F15">
            <v>16506916.464215435</v>
          </cell>
          <cell r="G15" t="str">
            <v>Subtotal</v>
          </cell>
          <cell r="I15">
            <v>11658402</v>
          </cell>
        </row>
        <row r="16">
          <cell r="C16" t="str">
            <v>Craftworkers Payroll</v>
          </cell>
          <cell r="D16">
            <v>113746.26709688698</v>
          </cell>
          <cell r="F16">
            <v>113746.26709688698</v>
          </cell>
          <cell r="G16" t="str">
            <v>2 Craftworkers</v>
          </cell>
        </row>
        <row r="17">
          <cell r="C17" t="str">
            <v>Engineering Operatives Payroll</v>
          </cell>
          <cell r="D17">
            <v>97337.31446988543</v>
          </cell>
          <cell r="F17">
            <v>97337.31446988543</v>
          </cell>
          <cell r="G17" t="str">
            <v>0 Day Operative, 2 Night Operatives</v>
          </cell>
        </row>
        <row r="18">
          <cell r="C18" t="str">
            <v>Maintenance Supervisors Payroll</v>
          </cell>
          <cell r="D18">
            <v>0</v>
          </cell>
          <cell r="F18">
            <v>0</v>
          </cell>
          <cell r="G18" t="str">
            <v/>
          </cell>
        </row>
        <row r="19">
          <cell r="C19" t="str">
            <v>Apprentices Payroll</v>
          </cell>
          <cell r="D19">
            <v>0</v>
          </cell>
          <cell r="F19">
            <v>0</v>
          </cell>
          <cell r="G19" t="str">
            <v/>
          </cell>
        </row>
        <row r="20">
          <cell r="C20" t="str">
            <v>Supervisors Payroll</v>
          </cell>
          <cell r="D20">
            <v>296834.43569644832</v>
          </cell>
          <cell r="F20">
            <v>296834.43569644832</v>
          </cell>
          <cell r="G20" t="str">
            <v>2 Additional Night Supervision Duties, 7 days p/wk</v>
          </cell>
        </row>
        <row r="21">
          <cell r="C21" t="str">
            <v>ITS Costs</v>
          </cell>
          <cell r="D21">
            <v>0</v>
          </cell>
          <cell r="F21">
            <v>0</v>
          </cell>
          <cell r="G21" t="str">
            <v>N/A</v>
          </cell>
        </row>
        <row r="22">
          <cell r="C22" t="str">
            <v>Claims</v>
          </cell>
          <cell r="D22">
            <v>0</v>
          </cell>
          <cell r="F22">
            <v>0</v>
          </cell>
          <cell r="G22" t="str">
            <v>To be reviewed at Year End</v>
          </cell>
        </row>
        <row r="23">
          <cell r="C23" t="str">
            <v>Other Route Costs</v>
          </cell>
          <cell r="D23">
            <v>507918.01726322074</v>
          </cell>
          <cell r="F23">
            <v>507918.01726322074</v>
          </cell>
          <cell r="G23" t="str">
            <v>Subtotal</v>
          </cell>
        </row>
        <row r="24">
          <cell r="C24" t="str">
            <v>Executive &amp; Clerical Payroll</v>
          </cell>
          <cell r="D24">
            <v>0</v>
          </cell>
          <cell r="F24">
            <v>0</v>
          </cell>
          <cell r="G24" t="str">
            <v/>
          </cell>
        </row>
        <row r="25">
          <cell r="C25" t="str">
            <v>Engineering Ops Overhead Payroll</v>
          </cell>
          <cell r="D25">
            <v>0</v>
          </cell>
          <cell r="F25">
            <v>0</v>
          </cell>
          <cell r="G25" t="str">
            <v/>
          </cell>
        </row>
        <row r="26">
          <cell r="C26" t="str">
            <v>Indirect Pension Costs</v>
          </cell>
          <cell r="D26">
            <v>62145.439698256574</v>
          </cell>
          <cell r="F26">
            <v>62145.439698256574</v>
          </cell>
          <cell r="G26" t="str">
            <v>Pension costs of non-direct staff</v>
          </cell>
        </row>
        <row r="27">
          <cell r="C27" t="str">
            <v>Group Allocations</v>
          </cell>
          <cell r="D27">
            <v>0</v>
          </cell>
          <cell r="F27">
            <v>0</v>
          </cell>
          <cell r="G27" t="str">
            <v/>
          </cell>
        </row>
        <row r="28">
          <cell r="C28" t="str">
            <v>Accommodation Costs</v>
          </cell>
          <cell r="D28">
            <v>0</v>
          </cell>
          <cell r="F28">
            <v>0</v>
          </cell>
          <cell r="G28" t="str">
            <v/>
          </cell>
        </row>
        <row r="29">
          <cell r="C29" t="str">
            <v>Facilities Staff Payroll</v>
          </cell>
          <cell r="D29">
            <v>0</v>
          </cell>
          <cell r="F29">
            <v>0</v>
          </cell>
          <cell r="G29" t="str">
            <v/>
          </cell>
        </row>
        <row r="30">
          <cell r="C30" t="str">
            <v>IT Costs</v>
          </cell>
          <cell r="D30">
            <v>0</v>
          </cell>
          <cell r="F30">
            <v>0</v>
          </cell>
          <cell r="G30" t="str">
            <v/>
          </cell>
        </row>
        <row r="31">
          <cell r="C31" t="str">
            <v>Building Maintenance</v>
          </cell>
          <cell r="D31">
            <v>0</v>
          </cell>
          <cell r="F31">
            <v>0</v>
          </cell>
          <cell r="G31" t="str">
            <v/>
          </cell>
        </row>
        <row r="32">
          <cell r="C32" t="str">
            <v>Advertising</v>
          </cell>
          <cell r="D32">
            <v>0</v>
          </cell>
          <cell r="F32">
            <v>0</v>
          </cell>
        </row>
        <row r="33">
          <cell r="C33" t="str">
            <v>Professional Fees &amp; Insurance</v>
          </cell>
          <cell r="D33">
            <v>0</v>
          </cell>
          <cell r="F33">
            <v>0</v>
          </cell>
        </row>
        <row r="34">
          <cell r="C34" t="str">
            <v>Medical &amp; Staff Related Costs</v>
          </cell>
          <cell r="D34">
            <v>28555.085800000001</v>
          </cell>
          <cell r="F34">
            <v>28555.085800000001</v>
          </cell>
        </row>
        <row r="35">
          <cell r="C35" t="str">
            <v>Indirect Maintenance &amp; Materials</v>
          </cell>
          <cell r="D35">
            <v>0</v>
          </cell>
          <cell r="F35">
            <v>0</v>
          </cell>
        </row>
        <row r="36">
          <cell r="C36" t="str">
            <v>Administration &amp; Community Support</v>
          </cell>
          <cell r="D36">
            <v>0</v>
          </cell>
          <cell r="F36">
            <v>0</v>
          </cell>
          <cell r="G36" t="str">
            <v/>
          </cell>
        </row>
        <row r="37">
          <cell r="C37" t="str">
            <v>Overheads</v>
          </cell>
          <cell r="D37">
            <v>90700.525498256582</v>
          </cell>
          <cell r="F37">
            <v>90700.525498256582</v>
          </cell>
          <cell r="G37" t="str">
            <v>Subtotal</v>
          </cell>
          <cell r="I37">
            <v>0</v>
          </cell>
        </row>
        <row r="38">
          <cell r="C38" t="str">
            <v>Depreciation</v>
          </cell>
          <cell r="D38">
            <v>0</v>
          </cell>
          <cell r="F38">
            <v>0</v>
          </cell>
          <cell r="G38" t="str">
            <v/>
          </cell>
        </row>
        <row r="39">
          <cell r="C39" t="str">
            <v>Financial Charges</v>
          </cell>
          <cell r="D39">
            <v>0</v>
          </cell>
          <cell r="F39">
            <v>0</v>
          </cell>
          <cell r="G39" t="str">
            <v/>
          </cell>
        </row>
        <row r="40">
          <cell r="C40" t="str">
            <v>Depreciation &amp; Interest</v>
          </cell>
          <cell r="D40">
            <v>0</v>
          </cell>
          <cell r="F40">
            <v>0</v>
          </cell>
          <cell r="G40" t="str">
            <v>Subtotal</v>
          </cell>
          <cell r="I40">
            <v>0</v>
          </cell>
        </row>
        <row r="41">
          <cell r="C41" t="str">
            <v>Net OVN Cost</v>
          </cell>
          <cell r="D41">
            <v>5447133.0069769146</v>
          </cell>
          <cell r="F41">
            <v>17105535.006976914</v>
          </cell>
          <cell r="I41">
            <v>11658402</v>
          </cell>
        </row>
      </sheetData>
      <sheetData sheetId="7">
        <row r="5">
          <cell r="D5" t="str">
            <v>Total Cost</v>
          </cell>
          <cell r="E5" t="str">
            <v>Driver Payroll</v>
          </cell>
          <cell r="F5" t="str">
            <v>Direct Material Costs</v>
          </cell>
          <cell r="G5" t="str">
            <v>Tyres</v>
          </cell>
          <cell r="H5" t="str">
            <v>Fuel</v>
          </cell>
          <cell r="I5" t="str">
            <v>Bus Hire</v>
          </cell>
          <cell r="J5" t="str">
            <v>Staff Costs</v>
          </cell>
          <cell r="K5" t="str">
            <v>Direct Staff Pension Cost</v>
          </cell>
          <cell r="L5" t="str">
            <v>Vehicle Costs</v>
          </cell>
          <cell r="M5" t="str">
            <v>Direct Costs</v>
          </cell>
          <cell r="N5" t="str">
            <v>Craftworkers Payroll</v>
          </cell>
          <cell r="O5" t="str">
            <v>Engineering Operatives Payroll</v>
          </cell>
          <cell r="P5" t="str">
            <v>Maintenance Supervisors Payroll</v>
          </cell>
          <cell r="Q5" t="str">
            <v>Apprentices Payroll</v>
          </cell>
          <cell r="R5" t="str">
            <v>Supervisors Payroll</v>
          </cell>
          <cell r="S5" t="str">
            <v>ITS Costs</v>
          </cell>
          <cell r="T5" t="str">
            <v>Claims</v>
          </cell>
          <cell r="U5" t="str">
            <v>Other Route Costs</v>
          </cell>
          <cell r="V5" t="str">
            <v>Executive &amp; Clerical Payroll</v>
          </cell>
          <cell r="W5" t="str">
            <v>Engineering Ops Overhead Payroll</v>
          </cell>
          <cell r="X5" t="str">
            <v>Pension Costs</v>
          </cell>
          <cell r="Y5" t="str">
            <v>Group Allocations</v>
          </cell>
          <cell r="Z5" t="str">
            <v>Accommodation Costs</v>
          </cell>
          <cell r="AA5" t="str">
            <v>Facilities Staff Payroll</v>
          </cell>
          <cell r="AB5" t="str">
            <v>IT Costs</v>
          </cell>
          <cell r="AC5" t="str">
            <v>Building Maintenance</v>
          </cell>
          <cell r="AD5" t="str">
            <v>Advertising</v>
          </cell>
          <cell r="AE5" t="str">
            <v>Professional Fees &amp; Insurance</v>
          </cell>
          <cell r="AF5" t="str">
            <v>Medical &amp; Staff Related Costs</v>
          </cell>
          <cell r="AG5" t="str">
            <v>Indirect Maintenance &amp; Materials</v>
          </cell>
          <cell r="AH5" t="str">
            <v>Administration &amp; Community Support</v>
          </cell>
          <cell r="AI5" t="str">
            <v>Overheads</v>
          </cell>
          <cell r="AJ5" t="str">
            <v>Depreciation</v>
          </cell>
          <cell r="AK5" t="str">
            <v>Financial Charges</v>
          </cell>
          <cell r="AL5" t="str">
            <v>Depreciation &amp; Interest</v>
          </cell>
        </row>
        <row r="6">
          <cell r="D6" t="str">
            <v>€</v>
          </cell>
          <cell r="E6" t="str">
            <v>€</v>
          </cell>
          <cell r="F6" t="str">
            <v>€</v>
          </cell>
          <cell r="G6" t="str">
            <v>€</v>
          </cell>
          <cell r="H6" t="str">
            <v>€</v>
          </cell>
          <cell r="I6" t="str">
            <v>€</v>
          </cell>
          <cell r="J6" t="str">
            <v>€</v>
          </cell>
          <cell r="K6" t="str">
            <v>€</v>
          </cell>
          <cell r="L6" t="str">
            <v>€</v>
          </cell>
          <cell r="M6" t="str">
            <v>€</v>
          </cell>
          <cell r="N6" t="str">
            <v>€</v>
          </cell>
          <cell r="O6" t="str">
            <v>€</v>
          </cell>
          <cell r="P6" t="str">
            <v>€</v>
          </cell>
          <cell r="Q6" t="str">
            <v>€</v>
          </cell>
          <cell r="R6" t="str">
            <v>€</v>
          </cell>
          <cell r="S6" t="str">
            <v>€</v>
          </cell>
          <cell r="T6" t="str">
            <v>€</v>
          </cell>
          <cell r="U6" t="str">
            <v>€</v>
          </cell>
          <cell r="V6" t="str">
            <v>€</v>
          </cell>
          <cell r="W6" t="str">
            <v>€</v>
          </cell>
          <cell r="X6" t="str">
            <v>€</v>
          </cell>
          <cell r="Y6" t="str">
            <v>€</v>
          </cell>
          <cell r="Z6" t="str">
            <v>€</v>
          </cell>
          <cell r="AA6" t="str">
            <v>€</v>
          </cell>
          <cell r="AB6" t="str">
            <v>€</v>
          </cell>
          <cell r="AC6" t="str">
            <v>€</v>
          </cell>
          <cell r="AD6" t="str">
            <v>€</v>
          </cell>
          <cell r="AE6" t="str">
            <v>€</v>
          </cell>
          <cell r="AF6" t="str">
            <v>€</v>
          </cell>
          <cell r="AG6" t="str">
            <v>€</v>
          </cell>
          <cell r="AH6" t="str">
            <v>€</v>
          </cell>
          <cell r="AI6" t="str">
            <v>€</v>
          </cell>
          <cell r="AJ6" t="str">
            <v>€</v>
          </cell>
          <cell r="AK6" t="str">
            <v>€</v>
          </cell>
          <cell r="AL6" t="str">
            <v>€</v>
          </cell>
        </row>
        <row r="8">
          <cell r="C8">
            <v>40</v>
          </cell>
          <cell r="D8">
            <v>6817915.7557011787</v>
          </cell>
          <cell r="E8">
            <v>4044402.8718355657</v>
          </cell>
          <cell r="F8">
            <v>148478.01543731915</v>
          </cell>
          <cell r="G8">
            <v>38089.713260210156</v>
          </cell>
          <cell r="H8">
            <v>540899.83767072263</v>
          </cell>
          <cell r="I8">
            <v>0</v>
          </cell>
          <cell r="J8">
            <v>35176.960137047536</v>
          </cell>
          <cell r="K8">
            <v>249018.43584550195</v>
          </cell>
          <cell r="L8">
            <v>39127.553752172207</v>
          </cell>
          <cell r="M8">
            <v>5095193.3879385395</v>
          </cell>
          <cell r="N8">
            <v>212157.91892085597</v>
          </cell>
          <cell r="O8">
            <v>162206.06083614641</v>
          </cell>
          <cell r="P8">
            <v>72888.581818181818</v>
          </cell>
          <cell r="Q8">
            <v>14218.8</v>
          </cell>
          <cell r="R8">
            <v>251437.55285162947</v>
          </cell>
          <cell r="S8">
            <v>0</v>
          </cell>
          <cell r="T8">
            <v>113439.76363636363</v>
          </cell>
          <cell r="U8">
            <v>826348.67806317739</v>
          </cell>
          <cell r="V8">
            <v>241395.05454545454</v>
          </cell>
          <cell r="W8">
            <v>15349.763636363636</v>
          </cell>
          <cell r="X8">
            <v>142239.75408855203</v>
          </cell>
          <cell r="Y8">
            <v>65651.218181818185</v>
          </cell>
          <cell r="Z8">
            <v>69026.8</v>
          </cell>
          <cell r="AA8">
            <v>48832.036363636362</v>
          </cell>
          <cell r="AB8">
            <v>63756.490909090906</v>
          </cell>
          <cell r="AC8">
            <v>24943.018181818181</v>
          </cell>
          <cell r="AD8">
            <v>19892.472727272725</v>
          </cell>
          <cell r="AE8">
            <v>44805.2</v>
          </cell>
          <cell r="AF8">
            <v>57958.899247272726</v>
          </cell>
          <cell r="AG8">
            <v>74552.418181818182</v>
          </cell>
          <cell r="AH8">
            <v>27622.218181818182</v>
          </cell>
          <cell r="AI8">
            <v>896025.34424491576</v>
          </cell>
          <cell r="AJ8">
            <v>0</v>
          </cell>
          <cell r="AK8">
            <v>348.34545454545452</v>
          </cell>
          <cell r="AL8">
            <v>348.34545454545452</v>
          </cell>
        </row>
        <row r="9">
          <cell r="C9" t="str">
            <v>40B</v>
          </cell>
          <cell r="D9">
            <v>678047.02695996326</v>
          </cell>
          <cell r="E9">
            <v>263883.23149973113</v>
          </cell>
          <cell r="F9">
            <v>17390.269676483556</v>
          </cell>
          <cell r="G9">
            <v>4461.2017714812337</v>
          </cell>
          <cell r="H9">
            <v>63352.099752646594</v>
          </cell>
          <cell r="I9">
            <v>0</v>
          </cell>
          <cell r="J9">
            <v>4120.0498362022945</v>
          </cell>
          <cell r="K9">
            <v>16247.587502106589</v>
          </cell>
          <cell r="L9">
            <v>4582.7573161403934</v>
          </cell>
          <cell r="M9">
            <v>374037.1973547918</v>
          </cell>
          <cell r="N9">
            <v>37439.632750739285</v>
          </cell>
          <cell r="O9">
            <v>28624.598971084659</v>
          </cell>
          <cell r="P9">
            <v>12862.690909090908</v>
          </cell>
          <cell r="Q9">
            <v>2509.1999999999998</v>
          </cell>
          <cell r="R9">
            <v>44371.332856169909</v>
          </cell>
          <cell r="S9">
            <v>0</v>
          </cell>
          <cell r="T9">
            <v>20018.781818181818</v>
          </cell>
          <cell r="U9">
            <v>145826.23730526658</v>
          </cell>
          <cell r="V9">
            <v>42599.127272727274</v>
          </cell>
          <cell r="W9">
            <v>2708.7818181818179</v>
          </cell>
          <cell r="X9">
            <v>25101.133074450358</v>
          </cell>
          <cell r="Y9">
            <v>11585.50909090909</v>
          </cell>
          <cell r="Z9">
            <v>12181.199999999999</v>
          </cell>
          <cell r="AA9">
            <v>8617.4181818181805</v>
          </cell>
          <cell r="AB9">
            <v>11251.145454545454</v>
          </cell>
          <cell r="AC9">
            <v>4401.7090909090903</v>
          </cell>
          <cell r="AD9">
            <v>3510.4363636363632</v>
          </cell>
          <cell r="AE9">
            <v>7906.7999999999993</v>
          </cell>
          <cell r="AF9">
            <v>10228.041043636364</v>
          </cell>
          <cell r="AG9">
            <v>13156.30909090909</v>
          </cell>
          <cell r="AH9">
            <v>4874.5090909090904</v>
          </cell>
          <cell r="AI9">
            <v>158122.11957263219</v>
          </cell>
          <cell r="AJ9">
            <v>0</v>
          </cell>
          <cell r="AK9">
            <v>61.472727272727269</v>
          </cell>
          <cell r="AL9">
            <v>61.472727272727269</v>
          </cell>
        </row>
        <row r="10">
          <cell r="C10" t="str">
            <v>40D</v>
          </cell>
          <cell r="D10">
            <v>2835373.9945191406</v>
          </cell>
          <cell r="E10">
            <v>1562606.1996916807</v>
          </cell>
          <cell r="F10">
            <v>105285.78508852098</v>
          </cell>
          <cell r="G10">
            <v>27009.421917353462</v>
          </cell>
          <cell r="H10">
            <v>383552.16356900294</v>
          </cell>
          <cell r="I10">
            <v>0</v>
          </cell>
          <cell r="J10">
            <v>24943.988200193628</v>
          </cell>
          <cell r="K10">
            <v>96211.422061695848</v>
          </cell>
          <cell r="L10">
            <v>27745.354780350346</v>
          </cell>
          <cell r="M10">
            <v>2227354.3353087977</v>
          </cell>
          <cell r="N10">
            <v>74879.265501478571</v>
          </cell>
          <cell r="O10">
            <v>57249.197942169318</v>
          </cell>
          <cell r="P10">
            <v>25725.381818181817</v>
          </cell>
          <cell r="Q10">
            <v>5018.3999999999996</v>
          </cell>
          <cell r="R10">
            <v>88742.665712339818</v>
          </cell>
          <cell r="S10">
            <v>0</v>
          </cell>
          <cell r="T10">
            <v>40037.563636363637</v>
          </cell>
          <cell r="U10">
            <v>291652.47461053316</v>
          </cell>
          <cell r="V10">
            <v>85198.254545454547</v>
          </cell>
          <cell r="W10">
            <v>5417.5636363636359</v>
          </cell>
          <cell r="X10">
            <v>50202.266148900715</v>
          </cell>
          <cell r="Y10">
            <v>23171.018181818181</v>
          </cell>
          <cell r="Z10">
            <v>24362.399999999998</v>
          </cell>
          <cell r="AA10">
            <v>17234.836363636361</v>
          </cell>
          <cell r="AB10">
            <v>22502.290909090909</v>
          </cell>
          <cell r="AC10">
            <v>8803.4181818181805</v>
          </cell>
          <cell r="AD10">
            <v>7020.8727272727265</v>
          </cell>
          <cell r="AE10">
            <v>15813.599999999999</v>
          </cell>
          <cell r="AF10">
            <v>20456.082087272727</v>
          </cell>
          <cell r="AG10">
            <v>26312.618181818179</v>
          </cell>
          <cell r="AH10">
            <v>9749.0181818181809</v>
          </cell>
          <cell r="AI10">
            <v>316244.23914526438</v>
          </cell>
          <cell r="AJ10">
            <v>0</v>
          </cell>
          <cell r="AK10">
            <v>122.94545454545454</v>
          </cell>
          <cell r="AL10">
            <v>122.94545454545454</v>
          </cell>
        </row>
        <row r="11">
          <cell r="C11">
            <v>60</v>
          </cell>
          <cell r="D11">
            <v>1497020.5664878765</v>
          </cell>
          <cell r="E11">
            <v>936738.79139668075</v>
          </cell>
          <cell r="F11">
            <v>36777.437702543146</v>
          </cell>
          <cell r="G11">
            <v>9434.676591070709</v>
          </cell>
          <cell r="H11">
            <v>133978.82524668175</v>
          </cell>
          <cell r="I11">
            <v>0</v>
          </cell>
          <cell r="J11">
            <v>8713.1987600633038</v>
          </cell>
          <cell r="K11">
            <v>57676.061466037674</v>
          </cell>
          <cell r="L11">
            <v>9691.7457196274845</v>
          </cell>
          <cell r="M11">
            <v>1193010.736882705</v>
          </cell>
          <cell r="N11">
            <v>37439.632750739285</v>
          </cell>
          <cell r="O11">
            <v>28624.598971084659</v>
          </cell>
          <cell r="P11">
            <v>12862.690909090908</v>
          </cell>
          <cell r="Q11">
            <v>2509.1999999999998</v>
          </cell>
          <cell r="R11">
            <v>44371.332856169909</v>
          </cell>
          <cell r="S11">
            <v>0</v>
          </cell>
          <cell r="T11">
            <v>20018.781818181818</v>
          </cell>
          <cell r="U11">
            <v>145826.23730526658</v>
          </cell>
          <cell r="V11">
            <v>42599.127272727274</v>
          </cell>
          <cell r="W11">
            <v>2708.7818181818179</v>
          </cell>
          <cell r="X11">
            <v>25101.133074450358</v>
          </cell>
          <cell r="Y11">
            <v>11585.50909090909</v>
          </cell>
          <cell r="Z11">
            <v>12181.199999999999</v>
          </cell>
          <cell r="AA11">
            <v>8617.4181818181805</v>
          </cell>
          <cell r="AB11">
            <v>11251.145454545454</v>
          </cell>
          <cell r="AC11">
            <v>4401.7090909090903</v>
          </cell>
          <cell r="AD11">
            <v>3510.4363636363632</v>
          </cell>
          <cell r="AE11">
            <v>7906.7999999999993</v>
          </cell>
          <cell r="AF11">
            <v>10228.041043636364</v>
          </cell>
          <cell r="AG11">
            <v>13156.30909090909</v>
          </cell>
          <cell r="AH11">
            <v>4874.5090909090904</v>
          </cell>
          <cell r="AI11">
            <v>158122.11957263219</v>
          </cell>
          <cell r="AJ11">
            <v>0</v>
          </cell>
          <cell r="AK11">
            <v>61.472727272727269</v>
          </cell>
          <cell r="AL11">
            <v>61.472727272727269</v>
          </cell>
        </row>
        <row r="12">
          <cell r="C12" t="str">
            <v>G1</v>
          </cell>
          <cell r="D12">
            <v>5112353.4131502686</v>
          </cell>
          <cell r="E12">
            <v>2819645.0435306071</v>
          </cell>
          <cell r="F12">
            <v>148469.06031488982</v>
          </cell>
          <cell r="G12">
            <v>38087.415963573076</v>
          </cell>
          <cell r="H12">
            <v>540867.21449580952</v>
          </cell>
          <cell r="I12">
            <v>0</v>
          </cell>
          <cell r="J12">
            <v>35174.838516659547</v>
          </cell>
          <cell r="K12">
            <v>173608.71817916693</v>
          </cell>
          <cell r="L12">
            <v>39125.193860486026</v>
          </cell>
          <cell r="M12">
            <v>3794977.4848611923</v>
          </cell>
          <cell r="N12">
            <v>162238.40858653694</v>
          </cell>
          <cell r="O12">
            <v>124039.9288747002</v>
          </cell>
          <cell r="P12">
            <v>55738.327272727271</v>
          </cell>
          <cell r="Q12">
            <v>10873.199999999999</v>
          </cell>
          <cell r="R12">
            <v>192275.7757100696</v>
          </cell>
          <cell r="S12">
            <v>0</v>
          </cell>
          <cell r="T12">
            <v>86748.05454545455</v>
          </cell>
          <cell r="U12">
            <v>631913.69498948858</v>
          </cell>
          <cell r="V12">
            <v>184596.21818181817</v>
          </cell>
          <cell r="W12">
            <v>11738.054545454544</v>
          </cell>
          <cell r="X12">
            <v>108771.57665595155</v>
          </cell>
          <cell r="Y12">
            <v>50203.872727272726</v>
          </cell>
          <cell r="Z12">
            <v>52785.2</v>
          </cell>
          <cell r="AA12">
            <v>37342.145454545454</v>
          </cell>
          <cell r="AB12">
            <v>48754.963636363638</v>
          </cell>
          <cell r="AC12">
            <v>19074.072727272727</v>
          </cell>
          <cell r="AD12">
            <v>15211.890909090909</v>
          </cell>
          <cell r="AE12">
            <v>34262.800000000003</v>
          </cell>
          <cell r="AF12">
            <v>44321.51118909091</v>
          </cell>
          <cell r="AG12">
            <v>57010.672727272729</v>
          </cell>
          <cell r="AH12">
            <v>21122.872727272726</v>
          </cell>
          <cell r="AI12">
            <v>685195.85148140613</v>
          </cell>
          <cell r="AJ12">
            <v>0</v>
          </cell>
          <cell r="AK12">
            <v>266.38181818181818</v>
          </cell>
          <cell r="AL12">
            <v>266.38181818181818</v>
          </cell>
        </row>
        <row r="13">
          <cell r="C13" t="str">
            <v>G2</v>
          </cell>
          <cell r="D13">
            <v>5139719.250158485</v>
          </cell>
          <cell r="E13">
            <v>2819645.0435306071</v>
          </cell>
          <cell r="F13">
            <v>153536.86607891225</v>
          </cell>
          <cell r="G13">
            <v>39387.4822921909</v>
          </cell>
          <cell r="H13">
            <v>559329.04069299286</v>
          </cell>
          <cell r="I13">
            <v>0</v>
          </cell>
          <cell r="J13">
            <v>36375.487655309807</v>
          </cell>
          <cell r="K13">
            <v>173608.71817916693</v>
          </cell>
          <cell r="L13">
            <v>40460.683440228328</v>
          </cell>
          <cell r="M13">
            <v>3822343.3218694087</v>
          </cell>
          <cell r="N13">
            <v>162238.40858653694</v>
          </cell>
          <cell r="O13">
            <v>124039.9288747002</v>
          </cell>
          <cell r="P13">
            <v>55738.327272727271</v>
          </cell>
          <cell r="Q13">
            <v>10873.199999999999</v>
          </cell>
          <cell r="R13">
            <v>192275.7757100696</v>
          </cell>
          <cell r="S13">
            <v>0</v>
          </cell>
          <cell r="T13">
            <v>86748.05454545455</v>
          </cell>
          <cell r="U13">
            <v>631913.69498948858</v>
          </cell>
          <cell r="V13">
            <v>184596.21818181817</v>
          </cell>
          <cell r="W13">
            <v>11738.054545454544</v>
          </cell>
          <cell r="X13">
            <v>108771.57665595155</v>
          </cell>
          <cell r="Y13">
            <v>50203.872727272726</v>
          </cell>
          <cell r="Z13">
            <v>52785.2</v>
          </cell>
          <cell r="AA13">
            <v>37342.145454545454</v>
          </cell>
          <cell r="AB13">
            <v>48754.963636363638</v>
          </cell>
          <cell r="AC13">
            <v>19074.072727272727</v>
          </cell>
          <cell r="AD13">
            <v>15211.890909090909</v>
          </cell>
          <cell r="AE13">
            <v>34262.800000000003</v>
          </cell>
          <cell r="AF13">
            <v>44321.51118909091</v>
          </cell>
          <cell r="AG13">
            <v>57010.672727272729</v>
          </cell>
          <cell r="AH13">
            <v>21122.872727272726</v>
          </cell>
          <cell r="AI13">
            <v>685195.85148140613</v>
          </cell>
          <cell r="AJ13">
            <v>0</v>
          </cell>
          <cell r="AK13">
            <v>266.38181818181818</v>
          </cell>
          <cell r="AL13">
            <v>266.38181818181818</v>
          </cell>
        </row>
        <row r="14">
          <cell r="C14" t="str">
            <v/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C15" t="str">
            <v/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6">
          <cell r="C16" t="str">
            <v/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</row>
        <row r="17">
          <cell r="C17" t="str">
            <v/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</row>
        <row r="18">
          <cell r="C18" t="str">
            <v/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</row>
        <row r="19">
          <cell r="C19" t="str">
            <v/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</row>
        <row r="20">
          <cell r="C20" t="str">
            <v/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C21" t="str">
            <v/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</row>
        <row r="22">
          <cell r="C22" t="str">
            <v/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C23" t="str">
            <v/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4">
          <cell r="C24" t="str">
            <v/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C25" t="str">
            <v/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C26" t="str">
            <v/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7">
          <cell r="C27" t="str">
            <v/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</row>
        <row r="28">
          <cell r="C28" t="str">
            <v/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29">
          <cell r="C29" t="str">
            <v/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30">
          <cell r="C30" t="str">
            <v/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C31" t="str">
            <v/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C32" t="str">
            <v/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3">
          <cell r="C33" t="str">
            <v/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</row>
        <row r="35">
          <cell r="C35" t="str">
            <v>New Routes Costs</v>
          </cell>
          <cell r="D35">
            <v>22080430.006976914</v>
          </cell>
          <cell r="E35">
            <v>12446921.181484874</v>
          </cell>
          <cell r="F35">
            <v>609937.43429866887</v>
          </cell>
          <cell r="G35">
            <v>156469.91179587954</v>
          </cell>
          <cell r="H35">
            <v>2221979.1814278564</v>
          </cell>
          <cell r="I35">
            <v>0</v>
          </cell>
          <cell r="J35">
            <v>144504.52310547611</v>
          </cell>
          <cell r="K35">
            <v>766370.94323367591</v>
          </cell>
          <cell r="L35">
            <v>160733.28886900481</v>
          </cell>
          <cell r="M35">
            <v>16506916.464215433</v>
          </cell>
          <cell r="N35">
            <v>686393.26709688699</v>
          </cell>
          <cell r="O35">
            <v>524784.31446988543</v>
          </cell>
          <cell r="P35">
            <v>235816</v>
          </cell>
          <cell r="Q35">
            <v>46002</v>
          </cell>
          <cell r="R35">
            <v>813474.43569644832</v>
          </cell>
          <cell r="S35">
            <v>0</v>
          </cell>
          <cell r="T35">
            <v>367011</v>
          </cell>
          <cell r="U35">
            <v>2673481.0172632206</v>
          </cell>
          <cell r="V35">
            <v>780984</v>
          </cell>
          <cell r="W35">
            <v>49660.999999999993</v>
          </cell>
          <cell r="X35">
            <v>460187.43969825661</v>
          </cell>
          <cell r="Y35">
            <v>212401</v>
          </cell>
          <cell r="Z35">
            <v>223322</v>
          </cell>
          <cell r="AA35">
            <v>157986</v>
          </cell>
          <cell r="AB35">
            <v>206271</v>
          </cell>
          <cell r="AC35">
            <v>80698</v>
          </cell>
          <cell r="AD35">
            <v>64357.999999999993</v>
          </cell>
          <cell r="AE35">
            <v>144958</v>
          </cell>
          <cell r="AF35">
            <v>187514.08579999997</v>
          </cell>
          <cell r="AG35">
            <v>241199</v>
          </cell>
          <cell r="AH35">
            <v>89366</v>
          </cell>
          <cell r="AI35">
            <v>2898905.525498257</v>
          </cell>
          <cell r="AJ35">
            <v>0</v>
          </cell>
          <cell r="AK35">
            <v>1127</v>
          </cell>
          <cell r="AL35">
            <v>1127</v>
          </cell>
        </row>
      </sheetData>
      <sheetData sheetId="8">
        <row r="5">
          <cell r="D5" t="str">
            <v>Total Cost</v>
          </cell>
          <cell r="E5" t="str">
            <v>Driver Payroll</v>
          </cell>
          <cell r="F5" t="str">
            <v>Direct Material Costs</v>
          </cell>
          <cell r="G5" t="str">
            <v>Tyres</v>
          </cell>
          <cell r="H5" t="str">
            <v>Fuel</v>
          </cell>
          <cell r="I5" t="str">
            <v>Bus Hire</v>
          </cell>
          <cell r="J5" t="str">
            <v>Staff Costs</v>
          </cell>
          <cell r="K5" t="str">
            <v>Direct Staff Pension Cost</v>
          </cell>
          <cell r="L5" t="str">
            <v>Vehicle Costs</v>
          </cell>
          <cell r="M5" t="str">
            <v>Direct Costs</v>
          </cell>
          <cell r="N5" t="str">
            <v>Craftworkers Payroll</v>
          </cell>
          <cell r="O5" t="str">
            <v>Engineering Operatives Payroll</v>
          </cell>
          <cell r="P5" t="str">
            <v>Maintenance Supervisors Payroll</v>
          </cell>
          <cell r="Q5" t="str">
            <v>Apprentices Payroll</v>
          </cell>
          <cell r="R5" t="str">
            <v>Supervisors Payroll</v>
          </cell>
          <cell r="S5" t="str">
            <v>ITS Costs</v>
          </cell>
          <cell r="T5" t="str">
            <v>Claims</v>
          </cell>
          <cell r="U5" t="str">
            <v>Other Route Costs</v>
          </cell>
          <cell r="V5" t="str">
            <v>Executive &amp; Clerical Payroll</v>
          </cell>
          <cell r="W5" t="str">
            <v>Engineering Ops Overhead Payroll</v>
          </cell>
          <cell r="X5" t="str">
            <v>Pension Costs</v>
          </cell>
          <cell r="Y5" t="str">
            <v>Group Allocations</v>
          </cell>
          <cell r="Z5" t="str">
            <v>Accommodation Costs</v>
          </cell>
          <cell r="AA5" t="str">
            <v>Facilities Staff Payroll</v>
          </cell>
          <cell r="AB5" t="str">
            <v>IT Costs</v>
          </cell>
          <cell r="AC5" t="str">
            <v>Building Maintenance</v>
          </cell>
          <cell r="AD5" t="str">
            <v>Advertising</v>
          </cell>
          <cell r="AE5" t="str">
            <v>Professional Fees &amp; Insurance</v>
          </cell>
          <cell r="AF5" t="str">
            <v>Medical &amp; Staff Related Costs</v>
          </cell>
          <cell r="AG5" t="str">
            <v>Indirect Maintenance &amp; Materials</v>
          </cell>
          <cell r="AH5" t="str">
            <v>Administration &amp; Community Support</v>
          </cell>
          <cell r="AI5" t="str">
            <v>Overheads</v>
          </cell>
          <cell r="AJ5" t="str">
            <v>Depreciation</v>
          </cell>
          <cell r="AK5" t="str">
            <v>Financial Charges</v>
          </cell>
          <cell r="AL5" t="str">
            <v>Depreciation &amp; Interest</v>
          </cell>
        </row>
        <row r="6">
          <cell r="D6" t="str">
            <v>€</v>
          </cell>
          <cell r="E6" t="str">
            <v>€</v>
          </cell>
          <cell r="F6" t="str">
            <v>€</v>
          </cell>
          <cell r="G6" t="str">
            <v>€</v>
          </cell>
          <cell r="H6" t="str">
            <v>€</v>
          </cell>
          <cell r="I6" t="str">
            <v>€</v>
          </cell>
          <cell r="J6" t="str">
            <v>€</v>
          </cell>
          <cell r="K6" t="str">
            <v>€</v>
          </cell>
          <cell r="L6" t="str">
            <v>€</v>
          </cell>
          <cell r="M6" t="str">
            <v>€</v>
          </cell>
          <cell r="N6" t="str">
            <v>€</v>
          </cell>
          <cell r="O6" t="str">
            <v>€</v>
          </cell>
          <cell r="P6" t="str">
            <v>€</v>
          </cell>
          <cell r="Q6" t="str">
            <v>€</v>
          </cell>
          <cell r="R6" t="str">
            <v>€</v>
          </cell>
          <cell r="S6" t="str">
            <v>€</v>
          </cell>
          <cell r="T6" t="str">
            <v>€</v>
          </cell>
          <cell r="U6" t="str">
            <v>€</v>
          </cell>
          <cell r="V6" t="str">
            <v>€</v>
          </cell>
          <cell r="W6" t="str">
            <v>€</v>
          </cell>
          <cell r="X6" t="str">
            <v>€</v>
          </cell>
          <cell r="Y6" t="str">
            <v>€</v>
          </cell>
          <cell r="Z6" t="str">
            <v>€</v>
          </cell>
          <cell r="AA6" t="str">
            <v>€</v>
          </cell>
          <cell r="AB6" t="str">
            <v>€</v>
          </cell>
          <cell r="AC6" t="str">
            <v>€</v>
          </cell>
          <cell r="AD6" t="str">
            <v>€</v>
          </cell>
          <cell r="AE6" t="str">
            <v>€</v>
          </cell>
          <cell r="AF6" t="str">
            <v>€</v>
          </cell>
          <cell r="AG6" t="str">
            <v>€</v>
          </cell>
          <cell r="AH6" t="str">
            <v>€</v>
          </cell>
          <cell r="AI6" t="str">
            <v>€</v>
          </cell>
          <cell r="AJ6" t="str">
            <v>€</v>
          </cell>
          <cell r="AK6" t="str">
            <v>€</v>
          </cell>
          <cell r="AL6" t="str">
            <v>€</v>
          </cell>
        </row>
        <row r="8">
          <cell r="C8">
            <v>40</v>
          </cell>
          <cell r="D8">
            <v>10216697</v>
          </cell>
          <cell r="E8">
            <v>5290825</v>
          </cell>
          <cell r="F8">
            <v>302753</v>
          </cell>
          <cell r="G8">
            <v>78392</v>
          </cell>
          <cell r="H8">
            <v>1127560</v>
          </cell>
          <cell r="I8" t="str">
            <v xml:space="preserve"> </v>
          </cell>
          <cell r="J8">
            <v>70009</v>
          </cell>
          <cell r="K8">
            <v>341842</v>
          </cell>
          <cell r="L8">
            <v>79525</v>
          </cell>
          <cell r="M8">
            <v>7290906</v>
          </cell>
          <cell r="N8">
            <v>342309</v>
          </cell>
          <cell r="O8">
            <v>255453</v>
          </cell>
          <cell r="P8">
            <v>136870</v>
          </cell>
          <cell r="Q8">
            <v>26678</v>
          </cell>
          <cell r="R8">
            <v>301798</v>
          </cell>
          <cell r="S8" t="str">
            <v xml:space="preserve"> </v>
          </cell>
          <cell r="T8">
            <v>227817</v>
          </cell>
          <cell r="U8">
            <v>1290925</v>
          </cell>
          <cell r="V8">
            <v>455045</v>
          </cell>
          <cell r="W8">
            <v>28989</v>
          </cell>
          <cell r="X8">
            <v>231486</v>
          </cell>
          <cell r="Y8">
            <v>123572</v>
          </cell>
          <cell r="Z8">
            <v>129379</v>
          </cell>
          <cell r="AA8">
            <v>92456</v>
          </cell>
          <cell r="AB8">
            <v>120021</v>
          </cell>
          <cell r="AC8">
            <v>46917</v>
          </cell>
          <cell r="AD8">
            <v>37417</v>
          </cell>
          <cell r="AE8">
            <v>84386</v>
          </cell>
          <cell r="AF8">
            <v>92512</v>
          </cell>
          <cell r="AG8">
            <v>140227</v>
          </cell>
          <cell r="AH8">
            <v>51804</v>
          </cell>
          <cell r="AI8">
            <v>1634211</v>
          </cell>
          <cell r="AJ8">
            <v>0</v>
          </cell>
          <cell r="AK8">
            <v>655</v>
          </cell>
          <cell r="AL8">
            <v>655</v>
          </cell>
        </row>
        <row r="9">
          <cell r="C9" t="str">
            <v>40B</v>
          </cell>
          <cell r="D9">
            <v>350204</v>
          </cell>
          <cell r="E9">
            <v>167100</v>
          </cell>
          <cell r="F9">
            <v>11220</v>
          </cell>
          <cell r="G9">
            <v>2784</v>
          </cell>
          <cell r="H9">
            <v>41209</v>
          </cell>
          <cell r="I9" t="str">
            <v xml:space="preserve"> </v>
          </cell>
          <cell r="J9">
            <v>2504</v>
          </cell>
          <cell r="K9">
            <v>11287</v>
          </cell>
          <cell r="L9">
            <v>2826</v>
          </cell>
          <cell r="M9">
            <v>238930</v>
          </cell>
          <cell r="N9">
            <v>12607</v>
          </cell>
          <cell r="O9">
            <v>9194</v>
          </cell>
          <cell r="P9">
            <v>5774</v>
          </cell>
          <cell r="Q9">
            <v>1153</v>
          </cell>
          <cell r="R9">
            <v>10232</v>
          </cell>
          <cell r="S9" t="str">
            <v xml:space="preserve"> </v>
          </cell>
          <cell r="T9">
            <v>8899</v>
          </cell>
          <cell r="U9">
            <v>47859</v>
          </cell>
          <cell r="V9">
            <v>16932</v>
          </cell>
          <cell r="W9">
            <v>1010</v>
          </cell>
          <cell r="X9">
            <v>9173</v>
          </cell>
          <cell r="Y9">
            <v>4836</v>
          </cell>
          <cell r="Z9">
            <v>5767</v>
          </cell>
          <cell r="AA9">
            <v>2920</v>
          </cell>
          <cell r="AB9">
            <v>4677</v>
          </cell>
          <cell r="AC9">
            <v>1877</v>
          </cell>
          <cell r="AD9">
            <v>1497</v>
          </cell>
          <cell r="AE9">
            <v>3236</v>
          </cell>
          <cell r="AF9">
            <v>3579</v>
          </cell>
          <cell r="AG9">
            <v>5616</v>
          </cell>
          <cell r="AH9">
            <v>2269</v>
          </cell>
          <cell r="AI9">
            <v>63389</v>
          </cell>
          <cell r="AJ9">
            <v>0</v>
          </cell>
          <cell r="AK9">
            <v>26</v>
          </cell>
          <cell r="AL9">
            <v>26</v>
          </cell>
        </row>
        <row r="10">
          <cell r="C10" t="str">
            <v>40D</v>
          </cell>
          <cell r="D10">
            <v>2976198</v>
          </cell>
          <cell r="E10">
            <v>1404606</v>
          </cell>
          <cell r="F10">
            <v>92235</v>
          </cell>
          <cell r="G10">
            <v>26674</v>
          </cell>
          <cell r="H10">
            <v>342681</v>
          </cell>
          <cell r="I10" t="str">
            <v xml:space="preserve"> </v>
          </cell>
          <cell r="J10">
            <v>22535</v>
          </cell>
          <cell r="K10">
            <v>96050</v>
          </cell>
          <cell r="L10">
            <v>23598</v>
          </cell>
          <cell r="M10">
            <v>2008379</v>
          </cell>
          <cell r="N10">
            <v>103575</v>
          </cell>
          <cell r="O10">
            <v>75746</v>
          </cell>
          <cell r="P10">
            <v>51962</v>
          </cell>
          <cell r="Q10">
            <v>10379</v>
          </cell>
          <cell r="R10">
            <v>92084</v>
          </cell>
          <cell r="S10" t="str">
            <v xml:space="preserve"> </v>
          </cell>
          <cell r="T10">
            <v>63340</v>
          </cell>
          <cell r="U10">
            <v>397086</v>
          </cell>
          <cell r="V10">
            <v>152389</v>
          </cell>
          <cell r="W10">
            <v>9094</v>
          </cell>
          <cell r="X10">
            <v>82561</v>
          </cell>
          <cell r="Y10">
            <v>43527</v>
          </cell>
          <cell r="Z10">
            <v>51902</v>
          </cell>
          <cell r="AA10">
            <v>26276</v>
          </cell>
          <cell r="AB10">
            <v>42089</v>
          </cell>
          <cell r="AC10">
            <v>16890</v>
          </cell>
          <cell r="AD10">
            <v>13470</v>
          </cell>
          <cell r="AE10">
            <v>29124</v>
          </cell>
          <cell r="AF10">
            <v>32210</v>
          </cell>
          <cell r="AG10">
            <v>50546</v>
          </cell>
          <cell r="AH10">
            <v>20419</v>
          </cell>
          <cell r="AI10">
            <v>570497</v>
          </cell>
          <cell r="AJ10">
            <v>0</v>
          </cell>
          <cell r="AK10">
            <v>236</v>
          </cell>
          <cell r="AL10">
            <v>236</v>
          </cell>
        </row>
        <row r="11">
          <cell r="C11">
            <v>79</v>
          </cell>
          <cell r="D11">
            <v>1541038</v>
          </cell>
          <cell r="E11">
            <v>753753</v>
          </cell>
          <cell r="F11">
            <v>50540</v>
          </cell>
          <cell r="G11">
            <v>10841</v>
          </cell>
          <cell r="H11">
            <v>167273</v>
          </cell>
          <cell r="I11" t="str">
            <v xml:space="preserve"> </v>
          </cell>
          <cell r="J11">
            <v>12486</v>
          </cell>
          <cell r="K11">
            <v>45943</v>
          </cell>
          <cell r="L11">
            <v>13856</v>
          </cell>
          <cell r="M11">
            <v>1054692</v>
          </cell>
          <cell r="N11">
            <v>57476</v>
          </cell>
          <cell r="O11">
            <v>43823</v>
          </cell>
          <cell r="P11">
            <v>20605</v>
          </cell>
          <cell r="Q11">
            <v>3896</v>
          </cell>
          <cell r="R11">
            <v>56263</v>
          </cell>
          <cell r="S11" t="str">
            <v xml:space="preserve"> </v>
          </cell>
          <cell r="T11">
            <v>34124</v>
          </cell>
          <cell r="U11">
            <v>216187</v>
          </cell>
          <cell r="V11">
            <v>78309</v>
          </cell>
          <cell r="W11">
            <v>5284</v>
          </cell>
          <cell r="X11">
            <v>37411</v>
          </cell>
          <cell r="Y11">
            <v>20233</v>
          </cell>
          <cell r="Z11">
            <v>18137</v>
          </cell>
          <cell r="AA11">
            <v>18167</v>
          </cell>
          <cell r="AB11">
            <v>19742</v>
          </cell>
          <cell r="AC11">
            <v>7507</v>
          </cell>
          <cell r="AD11">
            <v>5987</v>
          </cell>
          <cell r="AE11">
            <v>14106</v>
          </cell>
          <cell r="AF11">
            <v>15329</v>
          </cell>
          <cell r="AG11">
            <v>22405</v>
          </cell>
          <cell r="AH11">
            <v>7437</v>
          </cell>
          <cell r="AI11">
            <v>270054</v>
          </cell>
          <cell r="AJ11">
            <v>0</v>
          </cell>
          <cell r="AK11">
            <v>105</v>
          </cell>
          <cell r="AL11">
            <v>105</v>
          </cell>
        </row>
        <row r="12">
          <cell r="C12" t="str">
            <v>79A</v>
          </cell>
          <cell r="D12">
            <v>1549160</v>
          </cell>
          <cell r="E12">
            <v>765319</v>
          </cell>
          <cell r="F12">
            <v>49843</v>
          </cell>
          <cell r="G12">
            <v>11267</v>
          </cell>
          <cell r="H12">
            <v>166769</v>
          </cell>
          <cell r="I12" t="str">
            <v xml:space="preserve"> </v>
          </cell>
          <cell r="J12">
            <v>12486</v>
          </cell>
          <cell r="K12">
            <v>46117</v>
          </cell>
          <cell r="L12">
            <v>13694</v>
          </cell>
          <cell r="M12">
            <v>1065495</v>
          </cell>
          <cell r="N12">
            <v>56680</v>
          </cell>
          <cell r="O12">
            <v>43231</v>
          </cell>
          <cell r="P12">
            <v>20605</v>
          </cell>
          <cell r="Q12">
            <v>3896</v>
          </cell>
          <cell r="R12">
            <v>56263</v>
          </cell>
          <cell r="S12" t="str">
            <v xml:space="preserve"> </v>
          </cell>
          <cell r="T12">
            <v>32831</v>
          </cell>
          <cell r="U12">
            <v>213506</v>
          </cell>
          <cell r="V12">
            <v>78309</v>
          </cell>
          <cell r="W12">
            <v>5284</v>
          </cell>
          <cell r="X12">
            <v>37411</v>
          </cell>
          <cell r="Y12">
            <v>20233</v>
          </cell>
          <cell r="Z12">
            <v>18137</v>
          </cell>
          <cell r="AA12">
            <v>18167</v>
          </cell>
          <cell r="AB12">
            <v>19742</v>
          </cell>
          <cell r="AC12">
            <v>7507</v>
          </cell>
          <cell r="AD12">
            <v>5987</v>
          </cell>
          <cell r="AE12">
            <v>14106</v>
          </cell>
          <cell r="AF12">
            <v>15329</v>
          </cell>
          <cell r="AG12">
            <v>22405</v>
          </cell>
          <cell r="AH12">
            <v>7437</v>
          </cell>
          <cell r="AI12">
            <v>270054</v>
          </cell>
          <cell r="AJ12">
            <v>0</v>
          </cell>
          <cell r="AK12">
            <v>105</v>
          </cell>
          <cell r="AL12">
            <v>105</v>
          </cell>
        </row>
        <row r="13">
          <cell r="C13" t="str">
            <v/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C14" t="str">
            <v/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C15" t="str">
            <v/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6">
          <cell r="C16" t="str">
            <v/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</row>
        <row r="17">
          <cell r="C17" t="str">
            <v/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</row>
        <row r="18">
          <cell r="C18" t="str">
            <v/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</row>
        <row r="19">
          <cell r="C19" t="str">
            <v/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</row>
        <row r="20">
          <cell r="C20" t="str">
            <v/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C21" t="str">
            <v/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</row>
        <row r="22">
          <cell r="C22" t="str">
            <v/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C23" t="str">
            <v/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4">
          <cell r="C24" t="str">
            <v/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C25" t="str">
            <v/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7">
          <cell r="C27" t="str">
            <v>Existing Routes Costs</v>
          </cell>
          <cell r="D27">
            <v>16633297</v>
          </cell>
          <cell r="E27">
            <v>8381603</v>
          </cell>
          <cell r="F27">
            <v>506591</v>
          </cell>
          <cell r="G27">
            <v>129958</v>
          </cell>
          <cell r="H27">
            <v>1845492</v>
          </cell>
          <cell r="I27">
            <v>0</v>
          </cell>
          <cell r="J27">
            <v>120020</v>
          </cell>
          <cell r="K27">
            <v>541239</v>
          </cell>
          <cell r="L27">
            <v>133499</v>
          </cell>
          <cell r="M27">
            <v>11658402</v>
          </cell>
          <cell r="N27">
            <v>572647</v>
          </cell>
          <cell r="O27">
            <v>427447</v>
          </cell>
          <cell r="P27">
            <v>235816</v>
          </cell>
          <cell r="Q27">
            <v>46002</v>
          </cell>
          <cell r="R27">
            <v>516640</v>
          </cell>
          <cell r="S27">
            <v>0</v>
          </cell>
          <cell r="T27">
            <v>367011</v>
          </cell>
          <cell r="U27">
            <v>2165563</v>
          </cell>
          <cell r="V27">
            <v>780984</v>
          </cell>
          <cell r="W27">
            <v>49661</v>
          </cell>
          <cell r="X27">
            <v>398042</v>
          </cell>
          <cell r="Y27">
            <v>212401</v>
          </cell>
          <cell r="Z27">
            <v>223322</v>
          </cell>
          <cell r="AA27">
            <v>157986</v>
          </cell>
          <cell r="AB27">
            <v>206271</v>
          </cell>
          <cell r="AC27">
            <v>80698</v>
          </cell>
          <cell r="AD27">
            <v>64358</v>
          </cell>
          <cell r="AE27">
            <v>144958</v>
          </cell>
          <cell r="AF27">
            <v>158959</v>
          </cell>
          <cell r="AG27">
            <v>241199</v>
          </cell>
          <cell r="AH27">
            <v>89366</v>
          </cell>
          <cell r="AI27">
            <v>2808205</v>
          </cell>
          <cell r="AJ27">
            <v>0</v>
          </cell>
          <cell r="AK27">
            <v>1127</v>
          </cell>
          <cell r="AL27">
            <v>1127</v>
          </cell>
        </row>
      </sheetData>
      <sheetData sheetId="9" refreshError="1"/>
      <sheetData sheetId="10" refreshError="1"/>
      <sheetData sheetId="11">
        <row r="5">
          <cell r="B5" t="str">
            <v>PVR</v>
          </cell>
          <cell r="C5" t="str">
            <v>PVR %</v>
          </cell>
          <cell r="D5" t="str">
            <v>Total Cost</v>
          </cell>
          <cell r="E5" t="str">
            <v>Craftworkers Payroll</v>
          </cell>
          <cell r="F5" t="str">
            <v>Engineering Operatives Payroll</v>
          </cell>
          <cell r="G5" t="str">
            <v>Maintenance Supervisors Payroll</v>
          </cell>
          <cell r="H5" t="str">
            <v>Apprentices Payroll</v>
          </cell>
          <cell r="I5" t="str">
            <v>Supervisors Payroll</v>
          </cell>
          <cell r="J5" t="str">
            <v>ITS Costs</v>
          </cell>
          <cell r="K5" t="str">
            <v>Claims</v>
          </cell>
          <cell r="L5" t="str">
            <v>Other Route Costs</v>
          </cell>
          <cell r="M5" t="str">
            <v>Executive &amp; Clerical Payroll</v>
          </cell>
          <cell r="N5" t="str">
            <v>Engineering Ops Overhead Payroll</v>
          </cell>
          <cell r="O5" t="str">
            <v>Pension Costs</v>
          </cell>
          <cell r="P5" t="str">
            <v>Group Allocations</v>
          </cell>
          <cell r="Q5" t="str">
            <v>Accommodation Costs</v>
          </cell>
          <cell r="R5" t="str">
            <v>Facilities Staff Payroll</v>
          </cell>
          <cell r="S5" t="str">
            <v>IT Costs</v>
          </cell>
          <cell r="T5" t="str">
            <v>Building Maintenance</v>
          </cell>
          <cell r="U5" t="str">
            <v>Advertising</v>
          </cell>
          <cell r="V5" t="str">
            <v>Professional Fees &amp; Insurance</v>
          </cell>
          <cell r="W5" t="str">
            <v>Medical &amp; Staff Related Costs</v>
          </cell>
          <cell r="X5" t="str">
            <v>Indirect Maintenance &amp; Materials</v>
          </cell>
          <cell r="Y5" t="str">
            <v>Administration &amp; Community Support</v>
          </cell>
          <cell r="Z5" t="str">
            <v>Overheads</v>
          </cell>
          <cell r="AA5" t="str">
            <v>Depreciation</v>
          </cell>
          <cell r="AB5" t="str">
            <v>Financial Charges</v>
          </cell>
          <cell r="AC5" t="str">
            <v>Depreciation &amp; Interest</v>
          </cell>
        </row>
        <row r="6">
          <cell r="D6" t="str">
            <v>€</v>
          </cell>
          <cell r="E6" t="str">
            <v>€</v>
          </cell>
          <cell r="F6" t="str">
            <v>€</v>
          </cell>
          <cell r="G6" t="str">
            <v>€</v>
          </cell>
          <cell r="H6" t="str">
            <v>€</v>
          </cell>
          <cell r="I6" t="str">
            <v>€</v>
          </cell>
          <cell r="J6" t="str">
            <v>€</v>
          </cell>
          <cell r="K6" t="str">
            <v>€</v>
          </cell>
          <cell r="L6" t="str">
            <v>€</v>
          </cell>
          <cell r="M6" t="str">
            <v>€</v>
          </cell>
          <cell r="N6" t="str">
            <v>€</v>
          </cell>
          <cell r="O6" t="str">
            <v>€</v>
          </cell>
          <cell r="P6" t="str">
            <v>€</v>
          </cell>
          <cell r="Q6" t="str">
            <v>€</v>
          </cell>
          <cell r="R6" t="str">
            <v>€</v>
          </cell>
          <cell r="S6" t="str">
            <v>€</v>
          </cell>
          <cell r="T6" t="str">
            <v>€</v>
          </cell>
          <cell r="U6" t="str">
            <v>€</v>
          </cell>
          <cell r="V6" t="str">
            <v>€</v>
          </cell>
          <cell r="W6" t="str">
            <v>€</v>
          </cell>
          <cell r="X6" t="str">
            <v>€</v>
          </cell>
          <cell r="Y6" t="str">
            <v>€</v>
          </cell>
          <cell r="Z6" t="str">
            <v>€</v>
          </cell>
          <cell r="AA6" t="str">
            <v>€</v>
          </cell>
          <cell r="AB6" t="str">
            <v>€</v>
          </cell>
          <cell r="AC6" t="str">
            <v>€</v>
          </cell>
        </row>
        <row r="8">
          <cell r="A8" t="str">
            <v>Additional Non Direct Costs</v>
          </cell>
          <cell r="D8">
            <v>598618.54276147729</v>
          </cell>
          <cell r="E8">
            <v>113746.26709688698</v>
          </cell>
          <cell r="F8">
            <v>97337.31446988543</v>
          </cell>
          <cell r="G8">
            <v>0</v>
          </cell>
          <cell r="H8">
            <v>0</v>
          </cell>
          <cell r="I8">
            <v>296834.43569644832</v>
          </cell>
          <cell r="J8">
            <v>0</v>
          </cell>
          <cell r="K8">
            <v>0</v>
          </cell>
          <cell r="L8">
            <v>507918.01726322074</v>
          </cell>
          <cell r="M8">
            <v>0</v>
          </cell>
          <cell r="N8">
            <v>0</v>
          </cell>
          <cell r="O8">
            <v>62145.439698256574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28555.085800000001</v>
          </cell>
          <cell r="X8">
            <v>0</v>
          </cell>
          <cell r="Y8">
            <v>0</v>
          </cell>
          <cell r="Z8">
            <v>90700.525498256582</v>
          </cell>
          <cell r="AA8">
            <v>0</v>
          </cell>
          <cell r="AB8">
            <v>0</v>
          </cell>
          <cell r="AC8">
            <v>0</v>
          </cell>
        </row>
        <row r="9"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Y9" t="str">
            <v/>
          </cell>
          <cell r="AA9" t="str">
            <v/>
          </cell>
          <cell r="AB9" t="str">
            <v/>
          </cell>
          <cell r="AC9" t="str">
            <v/>
          </cell>
        </row>
        <row r="10">
          <cell r="A10">
            <v>40</v>
          </cell>
          <cell r="B10">
            <v>17</v>
          </cell>
          <cell r="C10">
            <v>0.30909090909090908</v>
          </cell>
          <cell r="D10">
            <v>185027.54958082025</v>
          </cell>
          <cell r="E10">
            <v>35157.937102674157</v>
          </cell>
          <cell r="F10">
            <v>30086.079017964588</v>
          </cell>
          <cell r="G10">
            <v>0</v>
          </cell>
          <cell r="H10">
            <v>0</v>
          </cell>
          <cell r="I10">
            <v>91748.825578902208</v>
          </cell>
          <cell r="J10">
            <v>0</v>
          </cell>
          <cell r="K10">
            <v>0</v>
          </cell>
          <cell r="L10">
            <v>156992.84169954096</v>
          </cell>
          <cell r="M10">
            <v>0</v>
          </cell>
          <cell r="N10">
            <v>0</v>
          </cell>
          <cell r="O10">
            <v>19208.590452188397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8826.1174290909094</v>
          </cell>
          <cell r="X10">
            <v>0</v>
          </cell>
          <cell r="Y10">
            <v>0</v>
          </cell>
          <cell r="Z10">
            <v>28034.707881279304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40B</v>
          </cell>
          <cell r="B11">
            <v>3</v>
          </cell>
          <cell r="C11">
            <v>5.4545454545454543E-2</v>
          </cell>
          <cell r="D11">
            <v>32651.920514262394</v>
          </cell>
          <cell r="E11">
            <v>6204.3418416483801</v>
          </cell>
          <cell r="F11">
            <v>5309.3080619937509</v>
          </cell>
          <cell r="G11">
            <v>0</v>
          </cell>
          <cell r="H11">
            <v>0</v>
          </cell>
          <cell r="I11">
            <v>16190.969219806271</v>
          </cell>
          <cell r="J11">
            <v>0</v>
          </cell>
          <cell r="K11">
            <v>0</v>
          </cell>
          <cell r="L11">
            <v>27704.619123448399</v>
          </cell>
          <cell r="M11">
            <v>0</v>
          </cell>
          <cell r="N11">
            <v>0</v>
          </cell>
          <cell r="O11">
            <v>3389.7512562685401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1557.5501345454545</v>
          </cell>
          <cell r="X11">
            <v>0</v>
          </cell>
          <cell r="Y11">
            <v>0</v>
          </cell>
          <cell r="Z11">
            <v>4947.3013908139947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>40D</v>
          </cell>
          <cell r="B12">
            <v>6</v>
          </cell>
          <cell r="C12">
            <v>0.10909090909090909</v>
          </cell>
          <cell r="D12">
            <v>65303.841028524788</v>
          </cell>
          <cell r="E12">
            <v>12408.68368329676</v>
          </cell>
          <cell r="F12">
            <v>10618.616123987502</v>
          </cell>
          <cell r="G12">
            <v>0</v>
          </cell>
          <cell r="H12">
            <v>0</v>
          </cell>
          <cell r="I12">
            <v>32381.938439612542</v>
          </cell>
          <cell r="J12">
            <v>0</v>
          </cell>
          <cell r="K12">
            <v>0</v>
          </cell>
          <cell r="L12">
            <v>55409.238246896799</v>
          </cell>
          <cell r="M12">
            <v>0</v>
          </cell>
          <cell r="N12">
            <v>0</v>
          </cell>
          <cell r="O12">
            <v>6779.5025125370803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3115.100269090909</v>
          </cell>
          <cell r="X12">
            <v>0</v>
          </cell>
          <cell r="Y12">
            <v>0</v>
          </cell>
          <cell r="Z12">
            <v>9894.6027816279893</v>
          </cell>
          <cell r="AA12">
            <v>0</v>
          </cell>
          <cell r="AB12">
            <v>0</v>
          </cell>
          <cell r="AC12">
            <v>0</v>
          </cell>
        </row>
        <row r="13">
          <cell r="A13">
            <v>60</v>
          </cell>
          <cell r="B13">
            <v>3</v>
          </cell>
          <cell r="C13">
            <v>5.4545454545454543E-2</v>
          </cell>
          <cell r="D13">
            <v>32651.920514262394</v>
          </cell>
          <cell r="E13">
            <v>6204.3418416483801</v>
          </cell>
          <cell r="F13">
            <v>5309.3080619937509</v>
          </cell>
          <cell r="G13">
            <v>0</v>
          </cell>
          <cell r="H13">
            <v>0</v>
          </cell>
          <cell r="I13">
            <v>16190.969219806271</v>
          </cell>
          <cell r="J13">
            <v>0</v>
          </cell>
          <cell r="K13">
            <v>0</v>
          </cell>
          <cell r="L13">
            <v>27704.619123448399</v>
          </cell>
          <cell r="M13">
            <v>0</v>
          </cell>
          <cell r="N13">
            <v>0</v>
          </cell>
          <cell r="O13">
            <v>3389.7512562685401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1557.5501345454545</v>
          </cell>
          <cell r="X13">
            <v>0</v>
          </cell>
          <cell r="Y13">
            <v>0</v>
          </cell>
          <cell r="Z13">
            <v>4947.3013908139947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G1</v>
          </cell>
          <cell r="B14">
            <v>13</v>
          </cell>
          <cell r="C14">
            <v>0.23636363636363636</v>
          </cell>
          <cell r="D14">
            <v>141491.65556180372</v>
          </cell>
          <cell r="E14">
            <v>26885.481313809651</v>
          </cell>
          <cell r="F14">
            <v>23007.001601972919</v>
          </cell>
          <cell r="G14">
            <v>0</v>
          </cell>
          <cell r="H14">
            <v>0</v>
          </cell>
          <cell r="I14">
            <v>70160.866619160515</v>
          </cell>
          <cell r="J14">
            <v>0</v>
          </cell>
          <cell r="K14">
            <v>0</v>
          </cell>
          <cell r="L14">
            <v>120053.34953494309</v>
          </cell>
          <cell r="M14">
            <v>0</v>
          </cell>
          <cell r="N14">
            <v>0</v>
          </cell>
          <cell r="O14">
            <v>14688.922110497007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6749.3839163636367</v>
          </cell>
          <cell r="X14">
            <v>0</v>
          </cell>
          <cell r="Y14">
            <v>0</v>
          </cell>
          <cell r="Z14">
            <v>21438.306026860642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G2</v>
          </cell>
          <cell r="B15">
            <v>13</v>
          </cell>
          <cell r="C15">
            <v>0.23636363636363636</v>
          </cell>
          <cell r="D15">
            <v>141491.65556180372</v>
          </cell>
          <cell r="E15">
            <v>26885.481313809651</v>
          </cell>
          <cell r="F15">
            <v>23007.001601972919</v>
          </cell>
          <cell r="G15">
            <v>0</v>
          </cell>
          <cell r="H15">
            <v>0</v>
          </cell>
          <cell r="I15">
            <v>70160.866619160515</v>
          </cell>
          <cell r="J15">
            <v>0</v>
          </cell>
          <cell r="K15">
            <v>0</v>
          </cell>
          <cell r="L15">
            <v>120053.34953494309</v>
          </cell>
          <cell r="M15">
            <v>0</v>
          </cell>
          <cell r="N15">
            <v>0</v>
          </cell>
          <cell r="O15">
            <v>14688.922110497007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6749.3839163636367</v>
          </cell>
          <cell r="X15">
            <v>0</v>
          </cell>
          <cell r="Y15">
            <v>0</v>
          </cell>
          <cell r="Z15">
            <v>21438.306026860642</v>
          </cell>
          <cell r="AA15">
            <v>0</v>
          </cell>
          <cell r="AB15">
            <v>0</v>
          </cell>
          <cell r="AC15">
            <v>0</v>
          </cell>
        </row>
        <row r="16">
          <cell r="A16" t="str">
            <v/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/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</row>
        <row r="18">
          <cell r="A18" t="str">
            <v/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/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/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/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/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/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/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A25" t="str">
            <v/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/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/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A28" t="str">
            <v/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/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/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/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/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/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/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</row>
        <row r="35">
          <cell r="A35" t="str">
            <v/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/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/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9">
          <cell r="A39" t="str">
            <v>Total</v>
          </cell>
          <cell r="B39">
            <v>55</v>
          </cell>
          <cell r="C39">
            <v>0.99999999999999989</v>
          </cell>
          <cell r="D39">
            <v>598618.54276147729</v>
          </cell>
          <cell r="E39">
            <v>113746.26709688698</v>
          </cell>
          <cell r="F39">
            <v>97337.31446988543</v>
          </cell>
          <cell r="G39">
            <v>0</v>
          </cell>
          <cell r="H39">
            <v>0</v>
          </cell>
          <cell r="I39">
            <v>296834.43569644832</v>
          </cell>
          <cell r="J39">
            <v>0</v>
          </cell>
          <cell r="K39">
            <v>0</v>
          </cell>
          <cell r="L39">
            <v>507918.01726322074</v>
          </cell>
          <cell r="M39">
            <v>0</v>
          </cell>
          <cell r="N39">
            <v>0</v>
          </cell>
          <cell r="O39">
            <v>62145.439698256574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28555.085800000001</v>
          </cell>
          <cell r="X39">
            <v>0</v>
          </cell>
          <cell r="Y39">
            <v>0</v>
          </cell>
          <cell r="Z39">
            <v>90700.525498256553</v>
          </cell>
          <cell r="AA39">
            <v>0</v>
          </cell>
          <cell r="AB39">
            <v>0</v>
          </cell>
          <cell r="AC39">
            <v>0</v>
          </cell>
        </row>
      </sheetData>
      <sheetData sheetId="12">
        <row r="16">
          <cell r="C16" t="str">
            <v>Total</v>
          </cell>
          <cell r="D16" t="str">
            <v>"Mon - Sat"</v>
          </cell>
          <cell r="E16" t="str">
            <v>"Sun/Public Holidays"</v>
          </cell>
          <cell r="F16" t="str">
            <v>"Mon - Sat"</v>
          </cell>
          <cell r="G16" t="str">
            <v>"Sun/Public Holidays"</v>
          </cell>
          <cell r="I16" t="str">
            <v>Driver Payroll</v>
          </cell>
          <cell r="J16" t="str">
            <v>Direct Material Costs</v>
          </cell>
          <cell r="K16" t="str">
            <v>Tyres</v>
          </cell>
          <cell r="L16" t="str">
            <v>Fuel</v>
          </cell>
          <cell r="M16" t="str">
            <v>Bus Hire</v>
          </cell>
          <cell r="N16" t="str">
            <v>Staff Costs</v>
          </cell>
          <cell r="O16" t="str">
            <v>Direct Staff Pension Cost</v>
          </cell>
          <cell r="P16" t="str">
            <v>Vehicle Costs</v>
          </cell>
          <cell r="Q16" t="str">
            <v>Direct Costs</v>
          </cell>
        </row>
        <row r="17">
          <cell r="C17" t="str">
            <v>Duties</v>
          </cell>
          <cell r="D17" t="str">
            <v>Day Duties</v>
          </cell>
          <cell r="E17" t="str">
            <v>Day Duties</v>
          </cell>
          <cell r="F17" t="str">
            <v>Night Duties</v>
          </cell>
          <cell r="G17" t="str">
            <v>Night Duties</v>
          </cell>
          <cell r="I17" t="str">
            <v>Payroll %</v>
          </cell>
          <cell r="J17" t="str">
            <v>Kilometres</v>
          </cell>
          <cell r="K17" t="str">
            <v>Kilometres</v>
          </cell>
          <cell r="L17" t="str">
            <v>Kilometres</v>
          </cell>
          <cell r="M17" t="str">
            <v>Kilometres</v>
          </cell>
          <cell r="N17" t="str">
            <v>Kilometres</v>
          </cell>
          <cell r="O17" t="str">
            <v>Pension %</v>
          </cell>
        </row>
        <row r="18">
          <cell r="C18" t="str">
            <v>€</v>
          </cell>
          <cell r="D18" t="str">
            <v>€</v>
          </cell>
          <cell r="E18" t="str">
            <v>€</v>
          </cell>
          <cell r="F18" t="str">
            <v>€</v>
          </cell>
          <cell r="G18" t="str">
            <v>€</v>
          </cell>
          <cell r="I18" t="str">
            <v>€</v>
          </cell>
          <cell r="J18" t="str">
            <v>€</v>
          </cell>
          <cell r="K18" t="str">
            <v>€</v>
          </cell>
          <cell r="L18" t="str">
            <v>€</v>
          </cell>
          <cell r="M18" t="str">
            <v>€</v>
          </cell>
          <cell r="N18" t="str">
            <v>€</v>
          </cell>
          <cell r="O18" t="str">
            <v>€</v>
          </cell>
          <cell r="P18" t="str">
            <v>€</v>
          </cell>
          <cell r="Q18" t="str">
            <v>€</v>
          </cell>
        </row>
        <row r="20">
          <cell r="B20">
            <v>40</v>
          </cell>
          <cell r="C20">
            <v>4293421.3076810678</v>
          </cell>
          <cell r="D20">
            <v>3533249.6512735691</v>
          </cell>
          <cell r="E20">
            <v>760171.65640749875</v>
          </cell>
          <cell r="F20">
            <v>0</v>
          </cell>
          <cell r="G20">
            <v>0</v>
          </cell>
          <cell r="I20">
            <v>4044402.8718355657</v>
          </cell>
          <cell r="J20">
            <v>148478.01543731915</v>
          </cell>
          <cell r="K20">
            <v>38089.713260210156</v>
          </cell>
          <cell r="L20">
            <v>540899.83767072263</v>
          </cell>
          <cell r="M20">
            <v>0</v>
          </cell>
          <cell r="N20">
            <v>35176.960137047536</v>
          </cell>
          <cell r="O20">
            <v>249018.43584550195</v>
          </cell>
          <cell r="P20">
            <v>39127.553752172207</v>
          </cell>
          <cell r="Q20">
            <v>5095193.3879385395</v>
          </cell>
        </row>
        <row r="21">
          <cell r="B21" t="str">
            <v>40B</v>
          </cell>
          <cell r="C21">
            <v>280130.81900183775</v>
          </cell>
          <cell r="D21">
            <v>205604.18602071042</v>
          </cell>
          <cell r="E21">
            <v>74526.632981127317</v>
          </cell>
          <cell r="F21">
            <v>0</v>
          </cell>
          <cell r="G21">
            <v>0</v>
          </cell>
          <cell r="I21">
            <v>263883.23149973113</v>
          </cell>
          <cell r="J21">
            <v>17390.269676483556</v>
          </cell>
          <cell r="K21">
            <v>4461.2017714812337</v>
          </cell>
          <cell r="L21">
            <v>63352.099752646594</v>
          </cell>
          <cell r="M21">
            <v>0</v>
          </cell>
          <cell r="N21">
            <v>4120.0498362022945</v>
          </cell>
          <cell r="O21">
            <v>16247.587502106589</v>
          </cell>
          <cell r="P21">
            <v>4582.7573161403934</v>
          </cell>
          <cell r="Q21">
            <v>374037.1973547918</v>
          </cell>
        </row>
        <row r="22">
          <cell r="B22" t="str">
            <v>40D</v>
          </cell>
          <cell r="C22">
            <v>1658817.6217533767</v>
          </cell>
          <cell r="D22">
            <v>1450143.0494062202</v>
          </cell>
          <cell r="E22">
            <v>208674.5723471565</v>
          </cell>
          <cell r="F22">
            <v>0</v>
          </cell>
          <cell r="G22">
            <v>0</v>
          </cell>
          <cell r="I22">
            <v>1562606.1996916807</v>
          </cell>
          <cell r="J22">
            <v>105285.78508852098</v>
          </cell>
          <cell r="K22">
            <v>27009.421917353462</v>
          </cell>
          <cell r="L22">
            <v>383552.16356900294</v>
          </cell>
          <cell r="M22">
            <v>0</v>
          </cell>
          <cell r="N22">
            <v>24943.988200193628</v>
          </cell>
          <cell r="O22">
            <v>96211.422061695848</v>
          </cell>
          <cell r="P22">
            <v>27745.354780350346</v>
          </cell>
          <cell r="Q22">
            <v>2227354.3353087977</v>
          </cell>
        </row>
        <row r="23">
          <cell r="B23">
            <v>60</v>
          </cell>
          <cell r="C23">
            <v>994414.85286271852</v>
          </cell>
          <cell r="D23">
            <v>726118.97413066018</v>
          </cell>
          <cell r="E23">
            <v>268295.87873205839</v>
          </cell>
          <cell r="F23">
            <v>0</v>
          </cell>
          <cell r="G23">
            <v>0</v>
          </cell>
          <cell r="I23">
            <v>936738.79139668075</v>
          </cell>
          <cell r="J23">
            <v>36777.437702543146</v>
          </cell>
          <cell r="K23">
            <v>9434.676591070709</v>
          </cell>
          <cell r="L23">
            <v>133978.82524668175</v>
          </cell>
          <cell r="M23">
            <v>0</v>
          </cell>
          <cell r="N23">
            <v>8713.1987600633038</v>
          </cell>
          <cell r="O23">
            <v>57676.061466037674</v>
          </cell>
          <cell r="P23">
            <v>9691.7457196274845</v>
          </cell>
          <cell r="Q23">
            <v>1193010.736882705</v>
          </cell>
        </row>
        <row r="24">
          <cell r="B24" t="str">
            <v>G1</v>
          </cell>
          <cell r="C24">
            <v>2993253.7617097744</v>
          </cell>
          <cell r="D24">
            <v>2238467.0040568686</v>
          </cell>
          <cell r="E24">
            <v>491875.77767544036</v>
          </cell>
          <cell r="F24">
            <v>180931.68369822521</v>
          </cell>
          <cell r="G24">
            <v>81979.29627924005</v>
          </cell>
          <cell r="I24">
            <v>2819645.0435306071</v>
          </cell>
          <cell r="J24">
            <v>148469.06031488982</v>
          </cell>
          <cell r="K24">
            <v>38087.415963573076</v>
          </cell>
          <cell r="L24">
            <v>540867.21449580952</v>
          </cell>
          <cell r="M24">
            <v>0</v>
          </cell>
          <cell r="N24">
            <v>35174.838516659547</v>
          </cell>
          <cell r="O24">
            <v>173608.71817916693</v>
          </cell>
          <cell r="P24">
            <v>39125.193860486026</v>
          </cell>
          <cell r="Q24">
            <v>3794977.4848611923</v>
          </cell>
        </row>
        <row r="25">
          <cell r="B25" t="str">
            <v>G2</v>
          </cell>
          <cell r="C25">
            <v>2993253.7617097744</v>
          </cell>
          <cell r="D25">
            <v>2238467.0040568686</v>
          </cell>
          <cell r="E25">
            <v>491875.77767544036</v>
          </cell>
          <cell r="F25">
            <v>180931.68369822521</v>
          </cell>
          <cell r="G25">
            <v>81979.29627924005</v>
          </cell>
          <cell r="I25">
            <v>2819645.0435306071</v>
          </cell>
          <cell r="J25">
            <v>153536.86607891225</v>
          </cell>
          <cell r="K25">
            <v>39387.4822921909</v>
          </cell>
          <cell r="L25">
            <v>559329.04069299286</v>
          </cell>
          <cell r="M25">
            <v>0</v>
          </cell>
          <cell r="N25">
            <v>36375.487655309807</v>
          </cell>
          <cell r="O25">
            <v>173608.71817916693</v>
          </cell>
          <cell r="P25">
            <v>40460.683440228328</v>
          </cell>
          <cell r="Q25">
            <v>3822343.3218694087</v>
          </cell>
        </row>
        <row r="26">
          <cell r="B26" t="str">
            <v/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B27" t="str">
            <v/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 t="str">
            <v/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 t="str">
            <v/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B30" t="str">
            <v/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B31" t="str">
            <v/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 t="str">
            <v/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B33" t="str">
            <v/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B34" t="str">
            <v/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B35" t="str">
            <v/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B36" t="str">
            <v/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B37" t="str">
            <v/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 t="str">
            <v/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B39" t="str">
            <v/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B40" t="str">
            <v/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 t="str">
            <v/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B42" t="str">
            <v/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B43" t="str">
            <v/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B44" t="str">
            <v/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 t="str">
            <v/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 t="str">
            <v/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 t="str">
            <v/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9">
          <cell r="B49" t="str">
            <v>Total</v>
          </cell>
          <cell r="C49">
            <v>13213292.124718549</v>
          </cell>
          <cell r="D49">
            <v>10392049.868944898</v>
          </cell>
          <cell r="E49">
            <v>2295420.2958187219</v>
          </cell>
          <cell r="F49">
            <v>361863.36739645043</v>
          </cell>
          <cell r="G49">
            <v>163958.5925584801</v>
          </cell>
          <cell r="I49">
            <v>12446921.181484874</v>
          </cell>
          <cell r="J49">
            <v>609937.43429866887</v>
          </cell>
          <cell r="K49">
            <v>156469.91179587954</v>
          </cell>
          <cell r="L49">
            <v>2221979.1814278564</v>
          </cell>
          <cell r="M49">
            <v>0</v>
          </cell>
          <cell r="N49">
            <v>144504.52310547611</v>
          </cell>
          <cell r="O49">
            <v>766370.94323367591</v>
          </cell>
          <cell r="P49">
            <v>160733.28886900481</v>
          </cell>
          <cell r="Q49">
            <v>16506916.464215433</v>
          </cell>
        </row>
      </sheetData>
      <sheetData sheetId="13">
        <row r="15">
          <cell r="A15">
            <v>40</v>
          </cell>
          <cell r="B15">
            <v>105.5</v>
          </cell>
          <cell r="C15">
            <v>44.5</v>
          </cell>
          <cell r="D15">
            <v>35.5</v>
          </cell>
          <cell r="E15">
            <v>25.5</v>
          </cell>
          <cell r="G15">
            <v>14601.125</v>
          </cell>
          <cell r="H15">
            <v>11225.125</v>
          </cell>
          <cell r="I15">
            <v>1846</v>
          </cell>
          <cell r="J15">
            <v>1530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7321.1050000000005</v>
          </cell>
          <cell r="W15">
            <v>3010.5120000000002</v>
          </cell>
          <cell r="X15">
            <v>2603.9449999999997</v>
          </cell>
          <cell r="Y15">
            <v>1706.6480000000001</v>
          </cell>
          <cell r="AA15">
            <v>1040872.7403554752</v>
          </cell>
          <cell r="AB15">
            <v>792655.41777595796</v>
          </cell>
          <cell r="AC15">
            <v>141334.4539520597</v>
          </cell>
          <cell r="AD15">
            <v>106882.86862745749</v>
          </cell>
          <cell r="AF15">
            <v>6331.3050000000003</v>
          </cell>
          <cell r="AG15">
            <v>2608.4120000000003</v>
          </cell>
          <cell r="AH15">
            <v>2270.7449999999999</v>
          </cell>
          <cell r="AI15">
            <v>1452.1480000000001</v>
          </cell>
          <cell r="AK15">
            <v>900977.68768476043</v>
          </cell>
          <cell r="AL15">
            <v>686784.14289390715</v>
          </cell>
          <cell r="AM15">
            <v>123249.34076540395</v>
          </cell>
          <cell r="AN15">
            <v>90944.204025449377</v>
          </cell>
        </row>
        <row r="16">
          <cell r="A16" t="str">
            <v>40B</v>
          </cell>
          <cell r="B16">
            <v>7.5</v>
          </cell>
          <cell r="C16">
            <v>2.5</v>
          </cell>
          <cell r="D16">
            <v>2.5</v>
          </cell>
          <cell r="E16">
            <v>2.5</v>
          </cell>
          <cell r="G16">
            <v>910.625</v>
          </cell>
          <cell r="H16">
            <v>630.625</v>
          </cell>
          <cell r="I16">
            <v>130</v>
          </cell>
          <cell r="J16">
            <v>150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844.10800000000006</v>
          </cell>
          <cell r="W16">
            <v>355.24400000000003</v>
          </cell>
          <cell r="X16">
            <v>268.23599999999999</v>
          </cell>
          <cell r="Y16">
            <v>220.62800000000004</v>
          </cell>
          <cell r="AA16">
            <v>121910.69230261652</v>
          </cell>
          <cell r="AB16">
            <v>93534.282950010645</v>
          </cell>
          <cell r="AC16">
            <v>14559.058885761675</v>
          </cell>
          <cell r="AD16">
            <v>13817.350466844184</v>
          </cell>
          <cell r="AF16">
            <v>467.20800000000008</v>
          </cell>
          <cell r="AG16">
            <v>188.04400000000004</v>
          </cell>
          <cell r="AH16">
            <v>155.73600000000002</v>
          </cell>
          <cell r="AI16">
            <v>123.42800000000003</v>
          </cell>
          <cell r="AK16">
            <v>65694.072402952253</v>
          </cell>
          <cell r="AL16">
            <v>49511.211176126271</v>
          </cell>
          <cell r="AM16">
            <v>8452.890717998258</v>
          </cell>
          <cell r="AN16">
            <v>7729.9705088277278</v>
          </cell>
        </row>
        <row r="17">
          <cell r="A17" t="str">
            <v>40D</v>
          </cell>
          <cell r="B17">
            <v>37</v>
          </cell>
          <cell r="C17">
            <v>19</v>
          </cell>
          <cell r="D17">
            <v>11</v>
          </cell>
          <cell r="E17">
            <v>7</v>
          </cell>
          <cell r="G17">
            <v>5784.75</v>
          </cell>
          <cell r="H17">
            <v>4792.75</v>
          </cell>
          <cell r="I17">
            <v>572</v>
          </cell>
          <cell r="J17">
            <v>420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4533.9820000000009</v>
          </cell>
          <cell r="W17">
            <v>2320.1660000000006</v>
          </cell>
          <cell r="X17">
            <v>1371.5159999999998</v>
          </cell>
          <cell r="Y17">
            <v>842.30000000000007</v>
          </cell>
          <cell r="AA17">
            <v>738083.03082977375</v>
          </cell>
          <cell r="AB17">
            <v>610890.15756774042</v>
          </cell>
          <cell r="AC17">
            <v>74441.84302913968</v>
          </cell>
          <cell r="AD17">
            <v>52751.03023289363</v>
          </cell>
          <cell r="AF17">
            <v>3077.9820000000009</v>
          </cell>
          <cell r="AG17">
            <v>1592.5660000000007</v>
          </cell>
          <cell r="AH17">
            <v>870.71599999999989</v>
          </cell>
          <cell r="AI17">
            <v>614.70000000000005</v>
          </cell>
          <cell r="AK17">
            <v>505073.01047418133</v>
          </cell>
          <cell r="AL17">
            <v>419316.07250387536</v>
          </cell>
          <cell r="AM17">
            <v>47259.896198775939</v>
          </cell>
          <cell r="AN17">
            <v>38497.041771529992</v>
          </cell>
        </row>
        <row r="18">
          <cell r="A18">
            <v>60</v>
          </cell>
          <cell r="B18">
            <v>26</v>
          </cell>
          <cell r="C18">
            <v>9</v>
          </cell>
          <cell r="D18">
            <v>8</v>
          </cell>
          <cell r="E18">
            <v>9</v>
          </cell>
          <cell r="G18">
            <v>3226.25</v>
          </cell>
          <cell r="H18">
            <v>2270.25</v>
          </cell>
          <cell r="I18">
            <v>416</v>
          </cell>
          <cell r="J18">
            <v>540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1984.9369999999999</v>
          </cell>
          <cell r="W18">
            <v>692.71499999999992</v>
          </cell>
          <cell r="X18">
            <v>658.32999999999993</v>
          </cell>
          <cell r="Y18">
            <v>633.89199999999994</v>
          </cell>
          <cell r="AA18">
            <v>257820.20491012855</v>
          </cell>
          <cell r="AB18">
            <v>182389.0081569755</v>
          </cell>
          <cell r="AC18">
            <v>35732.210576743921</v>
          </cell>
          <cell r="AD18">
            <v>39698.986176409118</v>
          </cell>
          <cell r="AF18">
            <v>1839.337</v>
          </cell>
          <cell r="AG18">
            <v>653.31499999999994</v>
          </cell>
          <cell r="AH18">
            <v>618.92999999999995</v>
          </cell>
          <cell r="AI18">
            <v>567.09199999999998</v>
          </cell>
          <cell r="AK18">
            <v>241124.32326584627</v>
          </cell>
          <cell r="AL18">
            <v>172015.15033466066</v>
          </cell>
          <cell r="AM18">
            <v>33593.694791767222</v>
          </cell>
          <cell r="AN18">
            <v>35515.478139418388</v>
          </cell>
        </row>
        <row r="19">
          <cell r="A19" t="str">
            <v>G1</v>
          </cell>
          <cell r="B19">
            <v>66</v>
          </cell>
          <cell r="C19">
            <v>28.5</v>
          </cell>
          <cell r="D19">
            <v>21</v>
          </cell>
          <cell r="E19">
            <v>16.5</v>
          </cell>
          <cell r="G19">
            <v>9271.125</v>
          </cell>
          <cell r="H19">
            <v>7189.125</v>
          </cell>
          <cell r="I19">
            <v>1092</v>
          </cell>
          <cell r="J19">
            <v>990</v>
          </cell>
          <cell r="L19">
            <v>6.5</v>
          </cell>
          <cell r="M19">
            <v>2</v>
          </cell>
          <cell r="N19">
            <v>2</v>
          </cell>
          <cell r="O19">
            <v>2.5</v>
          </cell>
          <cell r="Q19">
            <v>758.5</v>
          </cell>
          <cell r="R19">
            <v>504.5</v>
          </cell>
          <cell r="S19">
            <v>104</v>
          </cell>
          <cell r="T19">
            <v>150</v>
          </cell>
          <cell r="V19">
            <v>7422.4549999999999</v>
          </cell>
          <cell r="W19">
            <v>2976.0149999999999</v>
          </cell>
          <cell r="X19">
            <v>2542.5819999999999</v>
          </cell>
          <cell r="Y19">
            <v>1903.8579999999999</v>
          </cell>
          <cell r="AA19">
            <v>1040809.9624230264</v>
          </cell>
          <cell r="AB19">
            <v>783572.49967198842</v>
          </cell>
          <cell r="AC19">
            <v>138003.85130958445</v>
          </cell>
          <cell r="AD19">
            <v>119233.61144145361</v>
          </cell>
          <cell r="AF19">
            <v>6898.3050000000003</v>
          </cell>
          <cell r="AG19">
            <v>2709.915</v>
          </cell>
          <cell r="AH19">
            <v>2397.982</v>
          </cell>
          <cell r="AI19">
            <v>1790.4079999999999</v>
          </cell>
          <cell r="AK19">
            <v>955793.39160222001</v>
          </cell>
          <cell r="AL19">
            <v>713509.46498879092</v>
          </cell>
          <cell r="AM19">
            <v>130155.3898246192</v>
          </cell>
          <cell r="AN19">
            <v>112128.53678880993</v>
          </cell>
        </row>
        <row r="20">
          <cell r="A20" t="str">
            <v>G2</v>
          </cell>
          <cell r="B20">
            <v>66</v>
          </cell>
          <cell r="C20">
            <v>28.5</v>
          </cell>
          <cell r="D20">
            <v>21</v>
          </cell>
          <cell r="E20">
            <v>16.5</v>
          </cell>
          <cell r="G20">
            <v>9271.125</v>
          </cell>
          <cell r="H20">
            <v>7189.125</v>
          </cell>
          <cell r="I20">
            <v>1092</v>
          </cell>
          <cell r="J20">
            <v>990</v>
          </cell>
          <cell r="L20">
            <v>6.5</v>
          </cell>
          <cell r="M20">
            <v>2</v>
          </cell>
          <cell r="N20">
            <v>2</v>
          </cell>
          <cell r="O20">
            <v>2.5</v>
          </cell>
          <cell r="Q20">
            <v>758.5</v>
          </cell>
          <cell r="R20">
            <v>504.5</v>
          </cell>
          <cell r="S20">
            <v>104</v>
          </cell>
          <cell r="T20">
            <v>150</v>
          </cell>
          <cell r="V20">
            <v>7708.0970000000007</v>
          </cell>
          <cell r="W20">
            <v>3068.511</v>
          </cell>
          <cell r="X20">
            <v>2653.152</v>
          </cell>
          <cell r="Y20">
            <v>1986.434</v>
          </cell>
          <cell r="AA20">
            <v>1076336.7093131354</v>
          </cell>
          <cell r="AB20">
            <v>807926.31574134971</v>
          </cell>
          <cell r="AC20">
            <v>144005.26477011424</v>
          </cell>
          <cell r="AD20">
            <v>124405.12880167138</v>
          </cell>
          <cell r="AF20">
            <v>7027.027</v>
          </cell>
          <cell r="AG20">
            <v>2759.9110000000001</v>
          </cell>
          <cell r="AH20">
            <v>2438.3519999999999</v>
          </cell>
          <cell r="AI20">
            <v>1828.7639999999999</v>
          </cell>
          <cell r="AK20">
            <v>973550.43237680034</v>
          </cell>
          <cell r="AL20">
            <v>726673.20599601057</v>
          </cell>
          <cell r="AM20">
            <v>132346.55434846462</v>
          </cell>
          <cell r="AN20">
            <v>114530.67203232515</v>
          </cell>
        </row>
        <row r="21">
          <cell r="A21" t="str">
            <v/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 t="str">
            <v/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A23" t="str">
            <v/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 t="str">
            <v/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A25" t="str">
            <v/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/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 t="str">
            <v/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 t="str">
            <v/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 t="str">
            <v/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A30" t="str">
            <v/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A31" t="str">
            <v/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A32" t="str">
            <v/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A33" t="str">
            <v/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A34" t="str">
            <v/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A35" t="str">
            <v/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A36" t="str">
            <v/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A37" t="str">
            <v/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A38" t="str">
            <v/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/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/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/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</row>
        <row r="42">
          <cell r="A42" t="str">
            <v/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4">
          <cell r="A44" t="str">
            <v>New Routes Total</v>
          </cell>
          <cell r="B44">
            <v>308</v>
          </cell>
          <cell r="C44">
            <v>132</v>
          </cell>
          <cell r="D44">
            <v>99</v>
          </cell>
          <cell r="E44">
            <v>77</v>
          </cell>
          <cell r="G44">
            <v>43065</v>
          </cell>
          <cell r="H44">
            <v>33297</v>
          </cell>
          <cell r="I44">
            <v>5148</v>
          </cell>
          <cell r="J44">
            <v>4620</v>
          </cell>
          <cell r="L44">
            <v>13</v>
          </cell>
          <cell r="M44">
            <v>4</v>
          </cell>
          <cell r="N44">
            <v>4</v>
          </cell>
          <cell r="O44">
            <v>5</v>
          </cell>
          <cell r="Q44">
            <v>1517</v>
          </cell>
          <cell r="R44">
            <v>1009</v>
          </cell>
          <cell r="S44">
            <v>208</v>
          </cell>
          <cell r="T44">
            <v>300</v>
          </cell>
          <cell r="V44">
            <v>29814.684000000001</v>
          </cell>
          <cell r="W44">
            <v>12423.163</v>
          </cell>
          <cell r="X44">
            <v>10097.760999999999</v>
          </cell>
          <cell r="Y44">
            <v>7293.76</v>
          </cell>
          <cell r="AA44">
            <v>4275833.3401341559</v>
          </cell>
          <cell r="AB44">
            <v>3270967.6818640223</v>
          </cell>
          <cell r="AC44">
            <v>548076.68252340367</v>
          </cell>
          <cell r="AD44">
            <v>456788.97574672941</v>
          </cell>
          <cell r="AF44">
            <v>25641.164000000004</v>
          </cell>
          <cell r="AG44">
            <v>10512.163</v>
          </cell>
          <cell r="AH44">
            <v>8752.4609999999993</v>
          </cell>
          <cell r="AI44">
            <v>6376.54</v>
          </cell>
          <cell r="AK44">
            <v>3642212.9178067604</v>
          </cell>
          <cell r="AL44">
            <v>2767809.2478933712</v>
          </cell>
          <cell r="AM44">
            <v>475057.7666470292</v>
          </cell>
          <cell r="AN44">
            <v>399345.90326636052</v>
          </cell>
        </row>
      </sheetData>
      <sheetData sheetId="14" refreshError="1"/>
      <sheetData sheetId="15">
        <row r="15">
          <cell r="A15">
            <v>40</v>
          </cell>
          <cell r="B15">
            <v>144.5</v>
          </cell>
          <cell r="C15">
            <v>63</v>
          </cell>
          <cell r="D15">
            <v>49.5</v>
          </cell>
          <cell r="E15">
            <v>32</v>
          </cell>
          <cell r="G15">
            <v>20385.75</v>
          </cell>
          <cell r="H15">
            <v>15891.75</v>
          </cell>
          <cell r="I15">
            <v>2574</v>
          </cell>
          <cell r="J15">
            <v>1920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14400.46</v>
          </cell>
          <cell r="W15">
            <v>6145.46</v>
          </cell>
          <cell r="X15">
            <v>5056</v>
          </cell>
          <cell r="Y15">
            <v>3199</v>
          </cell>
          <cell r="AA15">
            <v>2092844.0321406778</v>
          </cell>
          <cell r="AB15">
            <v>1618074.3221503312</v>
          </cell>
          <cell r="AC15">
            <v>274424.76672188309</v>
          </cell>
          <cell r="AD15">
            <v>200344.94326846336</v>
          </cell>
          <cell r="AF15">
            <v>12594.41</v>
          </cell>
          <cell r="AG15">
            <v>5254.66</v>
          </cell>
          <cell r="AH15">
            <v>4505.05</v>
          </cell>
          <cell r="AI15">
            <v>2834.7</v>
          </cell>
          <cell r="AK15">
            <v>1805580.9685618647</v>
          </cell>
          <cell r="AL15">
            <v>1383530.3488478421</v>
          </cell>
          <cell r="AM15">
            <v>244520.82581495639</v>
          </cell>
          <cell r="AN15">
            <v>177529.79389906631</v>
          </cell>
        </row>
        <row r="16">
          <cell r="A16" t="str">
            <v>40B</v>
          </cell>
          <cell r="B16">
            <v>4.5</v>
          </cell>
          <cell r="C16">
            <v>2</v>
          </cell>
          <cell r="D16">
            <v>1.5</v>
          </cell>
          <cell r="E16">
            <v>1</v>
          </cell>
          <cell r="G16">
            <v>642.5</v>
          </cell>
          <cell r="H16">
            <v>504.5</v>
          </cell>
          <cell r="I16">
            <v>78</v>
          </cell>
          <cell r="J16">
            <v>60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573.45000000000005</v>
          </cell>
          <cell r="W16">
            <v>241.45</v>
          </cell>
          <cell r="X16">
            <v>198</v>
          </cell>
          <cell r="Y16">
            <v>134</v>
          </cell>
          <cell r="AA16">
            <v>82711.714142729732</v>
          </cell>
          <cell r="AB16">
            <v>63572.791147155374</v>
          </cell>
          <cell r="AC16">
            <v>10746.855975263617</v>
          </cell>
          <cell r="AD16">
            <v>8392.0670203107511</v>
          </cell>
          <cell r="AF16">
            <v>451.03999999999996</v>
          </cell>
          <cell r="AG16">
            <v>188.04</v>
          </cell>
          <cell r="AH16">
            <v>156</v>
          </cell>
          <cell r="AI16">
            <v>107</v>
          </cell>
          <cell r="AK16">
            <v>64678.505994973566</v>
          </cell>
          <cell r="AL16">
            <v>49510.157992590997</v>
          </cell>
          <cell r="AM16">
            <v>8467.2198592986078</v>
          </cell>
          <cell r="AN16">
            <v>6701.1281430839581</v>
          </cell>
        </row>
        <row r="17">
          <cell r="A17" t="str">
            <v>40D</v>
          </cell>
          <cell r="B17">
            <v>35</v>
          </cell>
          <cell r="C17">
            <v>18</v>
          </cell>
          <cell r="D17">
            <v>10</v>
          </cell>
          <cell r="E17">
            <v>7</v>
          </cell>
          <cell r="G17">
            <v>5480.5</v>
          </cell>
          <cell r="H17">
            <v>4540.5</v>
          </cell>
          <cell r="I17">
            <v>520</v>
          </cell>
          <cell r="J17">
            <v>420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5233</v>
          </cell>
          <cell r="W17">
            <v>2568</v>
          </cell>
          <cell r="X17">
            <v>1589</v>
          </cell>
          <cell r="Y17">
            <v>1076</v>
          </cell>
          <cell r="AA17">
            <v>829777.1083169597</v>
          </cell>
          <cell r="AB17">
            <v>676143.82963717135</v>
          </cell>
          <cell r="AC17">
            <v>86246.233054009543</v>
          </cell>
          <cell r="AD17">
            <v>67387.045625778861</v>
          </cell>
          <cell r="AF17">
            <v>3077.56</v>
          </cell>
          <cell r="AG17">
            <v>1592.56</v>
          </cell>
          <cell r="AH17">
            <v>871</v>
          </cell>
          <cell r="AI17">
            <v>614</v>
          </cell>
          <cell r="AK17">
            <v>505043.00622510992</v>
          </cell>
          <cell r="AL17">
            <v>419314.49272857228</v>
          </cell>
          <cell r="AM17">
            <v>47275.310881083897</v>
          </cell>
          <cell r="AN17">
            <v>38453.202615453738</v>
          </cell>
        </row>
        <row r="18">
          <cell r="A18">
            <v>79</v>
          </cell>
          <cell r="B18">
            <v>21.5</v>
          </cell>
          <cell r="C18">
            <v>8.5</v>
          </cell>
          <cell r="D18">
            <v>8</v>
          </cell>
          <cell r="E18">
            <v>5</v>
          </cell>
          <cell r="G18">
            <v>2860.125</v>
          </cell>
          <cell r="H18">
            <v>2144.125</v>
          </cell>
          <cell r="I18">
            <v>416</v>
          </cell>
          <cell r="J18">
            <v>300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1769.2399999999998</v>
          </cell>
          <cell r="W18">
            <v>800.93</v>
          </cell>
          <cell r="X18">
            <v>718.92</v>
          </cell>
          <cell r="Y18">
            <v>249.39</v>
          </cell>
          <cell r="AA18">
            <v>265521.06804595317</v>
          </cell>
          <cell r="AB18">
            <v>210881.57222402634</v>
          </cell>
          <cell r="AC18">
            <v>39020.857059275353</v>
          </cell>
          <cell r="AD18">
            <v>15618.638762651479</v>
          </cell>
          <cell r="AF18">
            <v>1856.74</v>
          </cell>
          <cell r="AG18">
            <v>715.33</v>
          </cell>
          <cell r="AH18">
            <v>693.32</v>
          </cell>
          <cell r="AI18">
            <v>448.09</v>
          </cell>
          <cell r="AK18">
            <v>254037.50549072248</v>
          </cell>
          <cell r="AL18">
            <v>188343.44456945398</v>
          </cell>
          <cell r="AM18">
            <v>37631.364569544305</v>
          </cell>
          <cell r="AN18">
            <v>28062.696351724207</v>
          </cell>
        </row>
        <row r="19">
          <cell r="A19" t="str">
            <v>79A</v>
          </cell>
          <cell r="B19">
            <v>21.5</v>
          </cell>
          <cell r="C19">
            <v>8.5</v>
          </cell>
          <cell r="D19">
            <v>7</v>
          </cell>
          <cell r="E19">
            <v>6</v>
          </cell>
          <cell r="G19">
            <v>2868.125</v>
          </cell>
          <cell r="H19">
            <v>2144.125</v>
          </cell>
          <cell r="I19">
            <v>364</v>
          </cell>
          <cell r="J19">
            <v>360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2042.44</v>
          </cell>
          <cell r="W19">
            <v>790.44</v>
          </cell>
          <cell r="X19">
            <v>723</v>
          </cell>
          <cell r="Y19">
            <v>529</v>
          </cell>
          <cell r="AA19">
            <v>280491.78234811273</v>
          </cell>
          <cell r="AB19">
            <v>208119.59840280598</v>
          </cell>
          <cell r="AC19">
            <v>39242.307424826242</v>
          </cell>
          <cell r="AD19">
            <v>33129.876520480502</v>
          </cell>
          <cell r="AF19">
            <v>1901.6000000000001</v>
          </cell>
          <cell r="AG19">
            <v>732.33</v>
          </cell>
          <cell r="AH19">
            <v>699.58</v>
          </cell>
          <cell r="AI19">
            <v>469.69</v>
          </cell>
          <cell r="AK19">
            <v>260206.06095274014</v>
          </cell>
          <cell r="AL19">
            <v>192819.47459431065</v>
          </cell>
          <cell r="AM19">
            <v>37971.13890492385</v>
          </cell>
          <cell r="AN19">
            <v>29415.447453505647</v>
          </cell>
        </row>
        <row r="20">
          <cell r="A20" t="str">
            <v/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A21" t="str">
            <v/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 t="str">
            <v/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A23" t="str">
            <v/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 t="str">
            <v/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A25" t="str">
            <v/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/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 t="str">
            <v/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 t="str">
            <v/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 t="str">
            <v/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A30" t="str">
            <v/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A31" t="str">
            <v/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A32" t="str">
            <v/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A33" t="str">
            <v/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A34" t="str">
            <v/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A35" t="str">
            <v/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A36" t="str">
            <v/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8">
          <cell r="A38" t="str">
            <v>Existing Routes Total</v>
          </cell>
          <cell r="B38">
            <v>227</v>
          </cell>
          <cell r="C38">
            <v>100</v>
          </cell>
          <cell r="D38">
            <v>76</v>
          </cell>
          <cell r="E38">
            <v>51</v>
          </cell>
          <cell r="G38">
            <v>32237</v>
          </cell>
          <cell r="H38">
            <v>25225</v>
          </cell>
          <cell r="I38">
            <v>3952</v>
          </cell>
          <cell r="J38">
            <v>3060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24018.59</v>
          </cell>
          <cell r="W38">
            <v>10546.28</v>
          </cell>
          <cell r="X38">
            <v>8284.92</v>
          </cell>
          <cell r="Y38">
            <v>5187.3900000000003</v>
          </cell>
          <cell r="AA38">
            <v>3551345.7049944331</v>
          </cell>
          <cell r="AB38">
            <v>2776792.1135614906</v>
          </cell>
          <cell r="AC38">
            <v>449681.02023525786</v>
          </cell>
          <cell r="AD38">
            <v>324872.57119768497</v>
          </cell>
          <cell r="AF38">
            <v>19881.349999999999</v>
          </cell>
          <cell r="AG38">
            <v>8482.92</v>
          </cell>
          <cell r="AH38">
            <v>6924.95</v>
          </cell>
          <cell r="AI38">
            <v>4473.4799999999996</v>
          </cell>
          <cell r="AK38">
            <v>2889546.0472254111</v>
          </cell>
          <cell r="AL38">
            <v>2233517.9187327703</v>
          </cell>
          <cell r="AM38">
            <v>375865.86002980708</v>
          </cell>
          <cell r="AN38">
            <v>280162.26846283383</v>
          </cell>
        </row>
      </sheetData>
      <sheetData sheetId="16">
        <row r="16">
          <cell r="B16" t="str">
            <v>Craftworkers Payroll</v>
          </cell>
          <cell r="C16">
            <v>113746.26709688698</v>
          </cell>
        </row>
        <row r="17">
          <cell r="B17" t="str">
            <v>Engineering Operatives Payroll</v>
          </cell>
          <cell r="C17">
            <v>97337.31446988543</v>
          </cell>
        </row>
        <row r="18">
          <cell r="B18" t="str">
            <v>Maintenance Supervisors Payroll</v>
          </cell>
        </row>
        <row r="19">
          <cell r="B19" t="str">
            <v>Apprentices Payroll</v>
          </cell>
        </row>
        <row r="20">
          <cell r="B20" t="str">
            <v>Supervisors Payroll</v>
          </cell>
          <cell r="C20">
            <v>296834.43569644832</v>
          </cell>
        </row>
        <row r="21">
          <cell r="B21" t="str">
            <v>ITS Costs</v>
          </cell>
        </row>
        <row r="22">
          <cell r="B22" t="str">
            <v>Claims</v>
          </cell>
        </row>
        <row r="23">
          <cell r="B23" t="str">
            <v>Other Route Costs</v>
          </cell>
          <cell r="C23">
            <v>507918.01726322074</v>
          </cell>
        </row>
        <row r="24">
          <cell r="B24" t="str">
            <v>Executive &amp; Clerical Payroll</v>
          </cell>
        </row>
        <row r="25">
          <cell r="B25" t="str">
            <v>Engineering Ops Overhead Payroll</v>
          </cell>
        </row>
        <row r="26">
          <cell r="B26" t="str">
            <v>Pension Costs</v>
          </cell>
          <cell r="C26">
            <v>62145.439698256574</v>
          </cell>
        </row>
        <row r="27">
          <cell r="B27" t="str">
            <v>Group Allocations</v>
          </cell>
        </row>
        <row r="28">
          <cell r="B28" t="str">
            <v>Accommodation Costs</v>
          </cell>
        </row>
        <row r="29">
          <cell r="B29" t="str">
            <v>Facilities Staff Payroll</v>
          </cell>
        </row>
        <row r="30">
          <cell r="B30" t="str">
            <v>IT Costs</v>
          </cell>
        </row>
        <row r="31">
          <cell r="B31" t="str">
            <v>Building Maintenance</v>
          </cell>
        </row>
        <row r="32">
          <cell r="B32" t="str">
            <v>Advertising</v>
          </cell>
        </row>
        <row r="33">
          <cell r="B33" t="str">
            <v>Professional Fees &amp; Insurance</v>
          </cell>
        </row>
        <row r="34">
          <cell r="B34" t="str">
            <v>Medical &amp; Staff Related Costs</v>
          </cell>
          <cell r="C34">
            <v>28555.085800000001</v>
          </cell>
        </row>
        <row r="35">
          <cell r="B35" t="str">
            <v>Indirect Maintenance &amp; Materials</v>
          </cell>
        </row>
        <row r="36">
          <cell r="B36" t="str">
            <v>Administration &amp; Community Support</v>
          </cell>
        </row>
        <row r="37">
          <cell r="B37" t="str">
            <v>Overheads</v>
          </cell>
          <cell r="C37">
            <v>90700.525498256582</v>
          </cell>
        </row>
        <row r="38">
          <cell r="B38" t="str">
            <v>Depreciation</v>
          </cell>
        </row>
        <row r="39">
          <cell r="B39" t="str">
            <v>Financial Charges</v>
          </cell>
        </row>
        <row r="40">
          <cell r="B40" t="str">
            <v>Depreciation &amp; Interest</v>
          </cell>
          <cell r="C40">
            <v>0</v>
          </cell>
        </row>
        <row r="41">
          <cell r="B41" t="str">
            <v>Total Costs</v>
          </cell>
          <cell r="C41">
            <v>598618.54276147729</v>
          </cell>
        </row>
      </sheetData>
      <sheetData sheetId="17">
        <row r="6">
          <cell r="B6" t="str">
            <v>Main Bus Type</v>
          </cell>
          <cell r="C6" t="str">
            <v>Mon-Fri Day Duties</v>
          </cell>
          <cell r="D6" t="str">
            <v>Sat Day Duties</v>
          </cell>
          <cell r="E6" t="str">
            <v>Sun Day Duties</v>
          </cell>
          <cell r="F6" t="str">
            <v>Mon-Fri Night Duties</v>
          </cell>
          <cell r="G6" t="str">
            <v>Sat Night Duties</v>
          </cell>
          <cell r="H6" t="str">
            <v>Sun Night Duties</v>
          </cell>
          <cell r="I6" t="str">
            <v>Mon-Fri Daily Revenue KM</v>
          </cell>
          <cell r="J6" t="str">
            <v>Sat Revenue KM</v>
          </cell>
          <cell r="K6" t="str">
            <v>Sun Revenue KM</v>
          </cell>
          <cell r="L6" t="str">
            <v>Mon-Fri Daily Total KM</v>
          </cell>
          <cell r="M6" t="str">
            <v>Sat Daily Total KM</v>
          </cell>
          <cell r="N6" t="str">
            <v>Sun Daily Total KM</v>
          </cell>
          <cell r="O6" t="str">
            <v>Mon-Fri Daily Veh Hrs</v>
          </cell>
          <cell r="P6" t="str">
            <v>Sat Veh Hrs</v>
          </cell>
          <cell r="Q6" t="str">
            <v>Sun Veh Hrs</v>
          </cell>
          <cell r="R6" t="str">
            <v>M-F Ave Run Time Mins</v>
          </cell>
          <cell r="S6" t="str">
            <v>Sat Ave Run Time Mins</v>
          </cell>
          <cell r="T6" t="str">
            <v>Sun Ave Run Time Mins</v>
          </cell>
          <cell r="U6" t="str">
            <v>PVR</v>
          </cell>
          <cell r="V6" t="str">
            <v>Weekly Day Duties</v>
          </cell>
          <cell r="W6" t="str">
            <v>Weekly Night Duties</v>
          </cell>
          <cell r="X6" t="str">
            <v>Weekly Revenue KM</v>
          </cell>
          <cell r="Y6" t="str">
            <v>Weekly Total KM</v>
          </cell>
          <cell r="Z6" t="str">
            <v>Weekly Veh Hrs</v>
          </cell>
        </row>
        <row r="7">
          <cell r="A7">
            <v>40</v>
          </cell>
          <cell r="B7" t="str">
            <v>All</v>
          </cell>
          <cell r="C7">
            <v>63</v>
          </cell>
          <cell r="D7">
            <v>49.5</v>
          </cell>
          <cell r="E7">
            <v>32</v>
          </cell>
          <cell r="F7">
            <v>0</v>
          </cell>
          <cell r="G7">
            <v>0</v>
          </cell>
          <cell r="H7">
            <v>0</v>
          </cell>
          <cell r="I7">
            <v>5254.66</v>
          </cell>
          <cell r="J7">
            <v>4505.05</v>
          </cell>
          <cell r="K7">
            <v>2834.7</v>
          </cell>
          <cell r="L7">
            <v>6145.46</v>
          </cell>
          <cell r="M7">
            <v>5056</v>
          </cell>
          <cell r="N7">
            <v>3199</v>
          </cell>
          <cell r="O7">
            <v>442</v>
          </cell>
          <cell r="P7">
            <v>357</v>
          </cell>
          <cell r="Q7">
            <v>211</v>
          </cell>
          <cell r="U7">
            <v>27</v>
          </cell>
          <cell r="V7">
            <v>396.5</v>
          </cell>
          <cell r="W7">
            <v>0</v>
          </cell>
          <cell r="X7">
            <v>33613.049999999996</v>
          </cell>
          <cell r="Y7">
            <v>38982.300000000003</v>
          </cell>
          <cell r="Z7">
            <v>2778</v>
          </cell>
        </row>
        <row r="8">
          <cell r="A8" t="str">
            <v>40B</v>
          </cell>
          <cell r="B8" t="str">
            <v>All</v>
          </cell>
          <cell r="C8">
            <v>2</v>
          </cell>
          <cell r="D8">
            <v>1.5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188.04</v>
          </cell>
          <cell r="J8">
            <v>156</v>
          </cell>
          <cell r="K8">
            <v>107</v>
          </cell>
          <cell r="L8">
            <v>241.45</v>
          </cell>
          <cell r="M8">
            <v>198</v>
          </cell>
          <cell r="N8">
            <v>134</v>
          </cell>
          <cell r="O8">
            <v>18</v>
          </cell>
          <cell r="P8">
            <v>12</v>
          </cell>
          <cell r="Q8">
            <v>8</v>
          </cell>
          <cell r="U8">
            <v>1.5</v>
          </cell>
          <cell r="V8">
            <v>12.5</v>
          </cell>
          <cell r="W8">
            <v>0</v>
          </cell>
          <cell r="X8">
            <v>1203.1999999999998</v>
          </cell>
          <cell r="Y8">
            <v>1539.25</v>
          </cell>
          <cell r="Z8">
            <v>110</v>
          </cell>
        </row>
        <row r="9">
          <cell r="A9" t="str">
            <v>40D</v>
          </cell>
          <cell r="B9" t="str">
            <v>All</v>
          </cell>
          <cell r="C9">
            <v>18</v>
          </cell>
          <cell r="D9">
            <v>10</v>
          </cell>
          <cell r="E9">
            <v>7</v>
          </cell>
          <cell r="F9">
            <v>0</v>
          </cell>
          <cell r="G9">
            <v>0</v>
          </cell>
          <cell r="H9">
            <v>0</v>
          </cell>
          <cell r="I9">
            <v>1592.56</v>
          </cell>
          <cell r="J9">
            <v>871</v>
          </cell>
          <cell r="K9">
            <v>614</v>
          </cell>
          <cell r="L9">
            <v>2568</v>
          </cell>
          <cell r="M9">
            <v>1589</v>
          </cell>
          <cell r="N9">
            <v>1076</v>
          </cell>
          <cell r="O9">
            <v>130</v>
          </cell>
          <cell r="P9">
            <v>70</v>
          </cell>
          <cell r="Q9">
            <v>44</v>
          </cell>
          <cell r="U9">
            <v>10.5</v>
          </cell>
          <cell r="V9">
            <v>107</v>
          </cell>
          <cell r="W9">
            <v>0</v>
          </cell>
          <cell r="X9">
            <v>9447.7999999999993</v>
          </cell>
          <cell r="Y9">
            <v>15505</v>
          </cell>
          <cell r="Z9">
            <v>764</v>
          </cell>
        </row>
        <row r="10">
          <cell r="A10">
            <v>79</v>
          </cell>
          <cell r="B10" t="str">
            <v>All</v>
          </cell>
          <cell r="C10">
            <v>8.5</v>
          </cell>
          <cell r="D10">
            <v>8</v>
          </cell>
          <cell r="E10">
            <v>5</v>
          </cell>
          <cell r="F10">
            <v>0</v>
          </cell>
          <cell r="G10">
            <v>0</v>
          </cell>
          <cell r="H10">
            <v>0</v>
          </cell>
          <cell r="I10">
            <v>715.33</v>
          </cell>
          <cell r="J10">
            <v>693.32</v>
          </cell>
          <cell r="K10">
            <v>448.09</v>
          </cell>
          <cell r="L10">
            <v>800.93</v>
          </cell>
          <cell r="M10">
            <v>718.92</v>
          </cell>
          <cell r="N10">
            <v>249.39</v>
          </cell>
          <cell r="O10">
            <v>62.5</v>
          </cell>
          <cell r="P10">
            <v>56</v>
          </cell>
          <cell r="Q10">
            <v>34</v>
          </cell>
          <cell r="U10">
            <v>4</v>
          </cell>
          <cell r="V10">
            <v>55.5</v>
          </cell>
          <cell r="W10">
            <v>0</v>
          </cell>
          <cell r="X10">
            <v>4718.0600000000004</v>
          </cell>
          <cell r="Y10">
            <v>4972.96</v>
          </cell>
          <cell r="Z10">
            <v>402.5</v>
          </cell>
        </row>
        <row r="11">
          <cell r="A11" t="str">
            <v>79A</v>
          </cell>
          <cell r="B11" t="str">
            <v>All</v>
          </cell>
          <cell r="C11">
            <v>8.5</v>
          </cell>
          <cell r="D11">
            <v>7</v>
          </cell>
          <cell r="E11">
            <v>6</v>
          </cell>
          <cell r="F11">
            <v>0</v>
          </cell>
          <cell r="G11">
            <v>0</v>
          </cell>
          <cell r="H11">
            <v>0</v>
          </cell>
          <cell r="I11">
            <v>732.33</v>
          </cell>
          <cell r="J11">
            <v>699.58</v>
          </cell>
          <cell r="K11">
            <v>469.69</v>
          </cell>
          <cell r="L11">
            <v>790.44</v>
          </cell>
          <cell r="M11">
            <v>723</v>
          </cell>
          <cell r="N11">
            <v>529</v>
          </cell>
          <cell r="O11">
            <v>62.5</v>
          </cell>
          <cell r="P11">
            <v>49</v>
          </cell>
          <cell r="Q11">
            <v>40.9</v>
          </cell>
          <cell r="U11">
            <v>4</v>
          </cell>
          <cell r="V11">
            <v>55.5</v>
          </cell>
          <cell r="W11">
            <v>0</v>
          </cell>
          <cell r="X11">
            <v>4830.92</v>
          </cell>
          <cell r="Y11">
            <v>5204.2000000000007</v>
          </cell>
          <cell r="Z11">
            <v>402.4</v>
          </cell>
        </row>
        <row r="12"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 t="str">
            <v>Existing Routes Total</v>
          </cell>
          <cell r="B30" t="str">
            <v>DD</v>
          </cell>
          <cell r="C30">
            <v>100</v>
          </cell>
          <cell r="D30">
            <v>76</v>
          </cell>
          <cell r="E30">
            <v>51</v>
          </cell>
          <cell r="F30">
            <v>0</v>
          </cell>
          <cell r="G30">
            <v>0</v>
          </cell>
          <cell r="H30">
            <v>0</v>
          </cell>
          <cell r="I30">
            <v>8482.92</v>
          </cell>
          <cell r="J30">
            <v>6924.95</v>
          </cell>
          <cell r="K30">
            <v>4473.4799999999996</v>
          </cell>
          <cell r="L30">
            <v>10546.28</v>
          </cell>
          <cell r="M30">
            <v>8284.92</v>
          </cell>
          <cell r="N30">
            <v>5187.3900000000003</v>
          </cell>
          <cell r="O30">
            <v>715</v>
          </cell>
          <cell r="P30">
            <v>544</v>
          </cell>
          <cell r="Q30">
            <v>337.9</v>
          </cell>
          <cell r="R30">
            <v>0</v>
          </cell>
          <cell r="S30">
            <v>0</v>
          </cell>
          <cell r="T30">
            <v>0</v>
          </cell>
          <cell r="U30">
            <v>47</v>
          </cell>
          <cell r="V30">
            <v>627</v>
          </cell>
          <cell r="W30">
            <v>0</v>
          </cell>
          <cell r="X30">
            <v>53813.029999999984</v>
          </cell>
          <cell r="Y30">
            <v>66203.710000000006</v>
          </cell>
          <cell r="Z30">
            <v>4456.8999999999996</v>
          </cell>
        </row>
      </sheetData>
      <sheetData sheetId="18"/>
      <sheetData sheetId="19">
        <row r="6">
          <cell r="B6" t="str">
            <v>Driver Payroll</v>
          </cell>
          <cell r="C6" t="str">
            <v>Direct Material Costs</v>
          </cell>
          <cell r="D6" t="str">
            <v>Tyres</v>
          </cell>
          <cell r="E6" t="str">
            <v>Fuel</v>
          </cell>
          <cell r="F6" t="str">
            <v>Bus Hire</v>
          </cell>
          <cell r="G6" t="str">
            <v>Staff Costs</v>
          </cell>
          <cell r="H6" t="str">
            <v>Direct Staff Pension Cost</v>
          </cell>
          <cell r="I6" t="str">
            <v>Vehicle Costs</v>
          </cell>
          <cell r="J6" t="str">
            <v>Direct Costs</v>
          </cell>
          <cell r="K6" t="str">
            <v>Craftworkers Payroll</v>
          </cell>
          <cell r="L6" t="str">
            <v>Engineering Operatives Payroll</v>
          </cell>
          <cell r="M6" t="str">
            <v>Maintenance Supervisors Payroll</v>
          </cell>
          <cell r="N6" t="str">
            <v>Apprentices Payroll</v>
          </cell>
          <cell r="O6" t="str">
            <v>Supervisors Payroll</v>
          </cell>
          <cell r="P6" t="str">
            <v>ITS Costs</v>
          </cell>
          <cell r="Q6" t="str">
            <v>Claims</v>
          </cell>
          <cell r="R6" t="str">
            <v>Other Route Costs</v>
          </cell>
          <cell r="S6" t="str">
            <v>Executive &amp; Clerical Payroll</v>
          </cell>
          <cell r="T6" t="str">
            <v>Engineering Ops Overhead Payroll</v>
          </cell>
          <cell r="U6" t="str">
            <v>Pension Costs</v>
          </cell>
          <cell r="V6" t="str">
            <v>Group Allocations</v>
          </cell>
          <cell r="W6" t="str">
            <v>Accommodation Costs</v>
          </cell>
          <cell r="X6" t="str">
            <v>Facilities Staff Payroll</v>
          </cell>
          <cell r="Y6" t="str">
            <v>IT Costs</v>
          </cell>
          <cell r="Z6" t="str">
            <v>Building Maintenance</v>
          </cell>
          <cell r="AA6" t="str">
            <v>Advertising</v>
          </cell>
          <cell r="AB6" t="str">
            <v>Professional Fees &amp; Insurance</v>
          </cell>
          <cell r="AC6" t="str">
            <v>Medical &amp; Staff Related Costs</v>
          </cell>
          <cell r="AD6" t="str">
            <v>Indirect Maintenance &amp; Materials</v>
          </cell>
          <cell r="AE6" t="str">
            <v>Administration &amp; Community Support</v>
          </cell>
          <cell r="AF6" t="str">
            <v>Overheads</v>
          </cell>
          <cell r="AG6" t="str">
            <v>Depreciation</v>
          </cell>
          <cell r="AH6" t="str">
            <v>Financial Charges</v>
          </cell>
          <cell r="AI6" t="str">
            <v>Depreciation &amp; Interest</v>
          </cell>
          <cell r="AJ6" t="str">
            <v>TOTAL COSTS</v>
          </cell>
        </row>
        <row r="7">
          <cell r="A7" t="str">
            <v>BCR40 - 40 Charlestown Ctr - Liffey Valley Ctr</v>
          </cell>
          <cell r="B7">
            <v>5290825</v>
          </cell>
          <cell r="C7">
            <v>302753</v>
          </cell>
          <cell r="D7">
            <v>78392</v>
          </cell>
          <cell r="E7">
            <v>1127560</v>
          </cell>
          <cell r="F7" t="str">
            <v xml:space="preserve"> </v>
          </cell>
          <cell r="G7">
            <v>70009</v>
          </cell>
          <cell r="H7">
            <v>341842</v>
          </cell>
          <cell r="I7">
            <v>79525</v>
          </cell>
          <cell r="J7">
            <v>7290906</v>
          </cell>
          <cell r="K7">
            <v>342309</v>
          </cell>
          <cell r="L7">
            <v>255453</v>
          </cell>
          <cell r="M7">
            <v>136870</v>
          </cell>
          <cell r="N7">
            <v>26678</v>
          </cell>
          <cell r="O7">
            <v>301798</v>
          </cell>
          <cell r="P7" t="str">
            <v xml:space="preserve"> </v>
          </cell>
          <cell r="Q7">
            <v>227817</v>
          </cell>
          <cell r="R7">
            <v>1290925</v>
          </cell>
          <cell r="S7">
            <v>455045</v>
          </cell>
          <cell r="T7">
            <v>28989</v>
          </cell>
          <cell r="U7">
            <v>231486</v>
          </cell>
          <cell r="V7">
            <v>123572</v>
          </cell>
          <cell r="W7">
            <v>129379</v>
          </cell>
          <cell r="X7">
            <v>92456</v>
          </cell>
          <cell r="Y7">
            <v>120021</v>
          </cell>
          <cell r="Z7">
            <v>46917</v>
          </cell>
          <cell r="AA7">
            <v>37417</v>
          </cell>
          <cell r="AB7">
            <v>84386</v>
          </cell>
          <cell r="AC7">
            <v>92512</v>
          </cell>
          <cell r="AD7">
            <v>140227</v>
          </cell>
          <cell r="AE7">
            <v>51804</v>
          </cell>
          <cell r="AF7">
            <v>1634211</v>
          </cell>
          <cell r="AH7">
            <v>655</v>
          </cell>
          <cell r="AI7">
            <v>655</v>
          </cell>
          <cell r="AJ7">
            <v>10216697</v>
          </cell>
        </row>
        <row r="8">
          <cell r="A8" t="str">
            <v>BCR40B - 40b Parnell St. - Toberburr</v>
          </cell>
          <cell r="B8">
            <v>167100</v>
          </cell>
          <cell r="C8">
            <v>11220</v>
          </cell>
          <cell r="D8">
            <v>2784</v>
          </cell>
          <cell r="E8">
            <v>41209</v>
          </cell>
          <cell r="F8" t="str">
            <v xml:space="preserve"> </v>
          </cell>
          <cell r="G8">
            <v>2504</v>
          </cell>
          <cell r="H8">
            <v>11287</v>
          </cell>
          <cell r="I8">
            <v>2826</v>
          </cell>
          <cell r="J8">
            <v>238930</v>
          </cell>
          <cell r="K8">
            <v>12607</v>
          </cell>
          <cell r="L8">
            <v>9194</v>
          </cell>
          <cell r="M8">
            <v>5774</v>
          </cell>
          <cell r="N8">
            <v>1153</v>
          </cell>
          <cell r="O8">
            <v>10232</v>
          </cell>
          <cell r="P8" t="str">
            <v xml:space="preserve"> </v>
          </cell>
          <cell r="Q8">
            <v>8899</v>
          </cell>
          <cell r="R8">
            <v>47859</v>
          </cell>
          <cell r="S8">
            <v>16932</v>
          </cell>
          <cell r="T8">
            <v>1010</v>
          </cell>
          <cell r="U8">
            <v>9173</v>
          </cell>
          <cell r="V8">
            <v>4836</v>
          </cell>
          <cell r="W8">
            <v>5767</v>
          </cell>
          <cell r="X8">
            <v>2920</v>
          </cell>
          <cell r="Y8">
            <v>4677</v>
          </cell>
          <cell r="Z8">
            <v>1877</v>
          </cell>
          <cell r="AA8">
            <v>1497</v>
          </cell>
          <cell r="AB8">
            <v>3236</v>
          </cell>
          <cell r="AC8">
            <v>3579</v>
          </cell>
          <cell r="AD8">
            <v>5616</v>
          </cell>
          <cell r="AE8">
            <v>2269</v>
          </cell>
          <cell r="AF8">
            <v>63389</v>
          </cell>
          <cell r="AH8">
            <v>26</v>
          </cell>
          <cell r="AI8">
            <v>26</v>
          </cell>
          <cell r="AJ8">
            <v>350204</v>
          </cell>
        </row>
        <row r="9">
          <cell r="A9" t="str">
            <v>BCR40D - 40d Parnell St. - Tyrrelstown</v>
          </cell>
          <cell r="B9">
            <v>1404606</v>
          </cell>
          <cell r="C9">
            <v>92235</v>
          </cell>
          <cell r="D9">
            <v>26674</v>
          </cell>
          <cell r="E9">
            <v>342681</v>
          </cell>
          <cell r="F9" t="str">
            <v xml:space="preserve"> </v>
          </cell>
          <cell r="G9">
            <v>22535</v>
          </cell>
          <cell r="H9">
            <v>96050</v>
          </cell>
          <cell r="I9">
            <v>23598</v>
          </cell>
          <cell r="J9">
            <v>2008379</v>
          </cell>
          <cell r="K9">
            <v>103575</v>
          </cell>
          <cell r="L9">
            <v>75746</v>
          </cell>
          <cell r="M9">
            <v>51962</v>
          </cell>
          <cell r="N9">
            <v>10379</v>
          </cell>
          <cell r="O9">
            <v>92084</v>
          </cell>
          <cell r="P9" t="str">
            <v xml:space="preserve"> </v>
          </cell>
          <cell r="Q9">
            <v>63340</v>
          </cell>
          <cell r="R9">
            <v>397086</v>
          </cell>
          <cell r="S9">
            <v>152389</v>
          </cell>
          <cell r="T9">
            <v>9094</v>
          </cell>
          <cell r="U9">
            <v>82561</v>
          </cell>
          <cell r="V9">
            <v>43527</v>
          </cell>
          <cell r="W9">
            <v>51902</v>
          </cell>
          <cell r="X9">
            <v>26276</v>
          </cell>
          <cell r="Y9">
            <v>42089</v>
          </cell>
          <cell r="Z9">
            <v>16890</v>
          </cell>
          <cell r="AA9">
            <v>13470</v>
          </cell>
          <cell r="AB9">
            <v>29124</v>
          </cell>
          <cell r="AC9">
            <v>32210</v>
          </cell>
          <cell r="AD9">
            <v>50546</v>
          </cell>
          <cell r="AE9">
            <v>20419</v>
          </cell>
          <cell r="AF9">
            <v>570497</v>
          </cell>
          <cell r="AH9">
            <v>236</v>
          </cell>
          <cell r="AI9">
            <v>236</v>
          </cell>
          <cell r="AJ9">
            <v>2976198</v>
          </cell>
        </row>
        <row r="10">
          <cell r="A10" t="str">
            <v>BCR79 - 79 Aston Quay - Spiddal Park/Park West</v>
          </cell>
          <cell r="B10">
            <v>753753</v>
          </cell>
          <cell r="C10">
            <v>50540</v>
          </cell>
          <cell r="D10">
            <v>10841</v>
          </cell>
          <cell r="E10">
            <v>167273</v>
          </cell>
          <cell r="F10" t="str">
            <v xml:space="preserve"> </v>
          </cell>
          <cell r="G10">
            <v>12486</v>
          </cell>
          <cell r="H10">
            <v>45943</v>
          </cell>
          <cell r="I10">
            <v>13856</v>
          </cell>
          <cell r="J10">
            <v>1054692</v>
          </cell>
          <cell r="K10">
            <v>57476</v>
          </cell>
          <cell r="L10">
            <v>43823</v>
          </cell>
          <cell r="M10">
            <v>20605</v>
          </cell>
          <cell r="N10">
            <v>3896</v>
          </cell>
          <cell r="O10">
            <v>56263</v>
          </cell>
          <cell r="P10" t="str">
            <v xml:space="preserve"> </v>
          </cell>
          <cell r="Q10">
            <v>34124</v>
          </cell>
          <cell r="R10">
            <v>216187</v>
          </cell>
          <cell r="S10">
            <v>78309</v>
          </cell>
          <cell r="T10">
            <v>5284</v>
          </cell>
          <cell r="U10">
            <v>37411</v>
          </cell>
          <cell r="V10">
            <v>20233</v>
          </cell>
          <cell r="W10">
            <v>18137</v>
          </cell>
          <cell r="X10">
            <v>18167</v>
          </cell>
          <cell r="Y10">
            <v>19742</v>
          </cell>
          <cell r="Z10">
            <v>7507</v>
          </cell>
          <cell r="AA10">
            <v>5987</v>
          </cell>
          <cell r="AB10">
            <v>14106</v>
          </cell>
          <cell r="AC10">
            <v>15329</v>
          </cell>
          <cell r="AD10">
            <v>22405</v>
          </cell>
          <cell r="AE10">
            <v>7437</v>
          </cell>
          <cell r="AF10">
            <v>270054</v>
          </cell>
          <cell r="AH10">
            <v>105</v>
          </cell>
          <cell r="AI10">
            <v>105</v>
          </cell>
          <cell r="AJ10">
            <v>1541038</v>
          </cell>
        </row>
        <row r="11">
          <cell r="A11" t="str">
            <v>BCR79A - 79a Aston Quay - Spiddal Park/Park West</v>
          </cell>
          <cell r="B11">
            <v>765319</v>
          </cell>
          <cell r="C11">
            <v>49843</v>
          </cell>
          <cell r="D11">
            <v>11267</v>
          </cell>
          <cell r="E11">
            <v>166769</v>
          </cell>
          <cell r="F11" t="str">
            <v xml:space="preserve"> </v>
          </cell>
          <cell r="G11">
            <v>12486</v>
          </cell>
          <cell r="H11">
            <v>46117</v>
          </cell>
          <cell r="I11">
            <v>13694</v>
          </cell>
          <cell r="J11">
            <v>1065495</v>
          </cell>
          <cell r="K11">
            <v>56680</v>
          </cell>
          <cell r="L11">
            <v>43231</v>
          </cell>
          <cell r="M11">
            <v>20605</v>
          </cell>
          <cell r="N11">
            <v>3896</v>
          </cell>
          <cell r="O11">
            <v>56263</v>
          </cell>
          <cell r="P11" t="str">
            <v xml:space="preserve"> </v>
          </cell>
          <cell r="Q11">
            <v>32831</v>
          </cell>
          <cell r="R11">
            <v>213506</v>
          </cell>
          <cell r="S11">
            <v>78309</v>
          </cell>
          <cell r="T11">
            <v>5284</v>
          </cell>
          <cell r="U11">
            <v>37411</v>
          </cell>
          <cell r="V11">
            <v>20233</v>
          </cell>
          <cell r="W11">
            <v>18137</v>
          </cell>
          <cell r="X11">
            <v>18167</v>
          </cell>
          <cell r="Y11">
            <v>19742</v>
          </cell>
          <cell r="Z11">
            <v>7507</v>
          </cell>
          <cell r="AA11">
            <v>5987</v>
          </cell>
          <cell r="AB11">
            <v>14106</v>
          </cell>
          <cell r="AC11">
            <v>15329</v>
          </cell>
          <cell r="AD11">
            <v>22405</v>
          </cell>
          <cell r="AE11">
            <v>7437</v>
          </cell>
          <cell r="AF11">
            <v>270054</v>
          </cell>
          <cell r="AH11">
            <v>105</v>
          </cell>
          <cell r="AI11">
            <v>105</v>
          </cell>
          <cell r="AJ11">
            <v>1549160</v>
          </cell>
        </row>
        <row r="26">
          <cell r="A26" t="str">
            <v>Total</v>
          </cell>
          <cell r="B26">
            <v>8381603</v>
          </cell>
          <cell r="C26">
            <v>506591</v>
          </cell>
          <cell r="D26">
            <v>129958</v>
          </cell>
          <cell r="E26">
            <v>1845492</v>
          </cell>
          <cell r="F26">
            <v>0</v>
          </cell>
          <cell r="G26">
            <v>120020</v>
          </cell>
          <cell r="H26">
            <v>541239</v>
          </cell>
          <cell r="I26">
            <v>133499</v>
          </cell>
          <cell r="J26">
            <v>11658402</v>
          </cell>
          <cell r="K26">
            <v>572647</v>
          </cell>
          <cell r="L26">
            <v>427447</v>
          </cell>
          <cell r="M26">
            <v>235816</v>
          </cell>
          <cell r="N26">
            <v>46002</v>
          </cell>
          <cell r="O26">
            <v>516640</v>
          </cell>
          <cell r="P26">
            <v>0</v>
          </cell>
          <cell r="Q26">
            <v>367011</v>
          </cell>
          <cell r="R26">
            <v>2165563</v>
          </cell>
          <cell r="S26">
            <v>780984</v>
          </cell>
          <cell r="T26">
            <v>49661</v>
          </cell>
          <cell r="U26">
            <v>398042</v>
          </cell>
          <cell r="V26">
            <v>212401</v>
          </cell>
          <cell r="W26">
            <v>223322</v>
          </cell>
          <cell r="X26">
            <v>157986</v>
          </cell>
          <cell r="Y26">
            <v>206271</v>
          </cell>
          <cell r="Z26">
            <v>80698</v>
          </cell>
          <cell r="AA26">
            <v>64358</v>
          </cell>
          <cell r="AB26">
            <v>144958</v>
          </cell>
          <cell r="AC26">
            <v>158959</v>
          </cell>
          <cell r="AD26">
            <v>241199</v>
          </cell>
          <cell r="AE26">
            <v>89366</v>
          </cell>
          <cell r="AF26">
            <v>2808205</v>
          </cell>
          <cell r="AG26">
            <v>0</v>
          </cell>
          <cell r="AH26">
            <v>1127</v>
          </cell>
          <cell r="AI26">
            <v>1127</v>
          </cell>
          <cell r="AJ26">
            <v>16633297</v>
          </cell>
        </row>
      </sheetData>
      <sheetData sheetId="20" refreshError="1"/>
      <sheetData sheetId="21"/>
      <sheetData sheetId="22">
        <row r="5">
          <cell r="D5" t="str">
            <v>Net OVN Cost</v>
          </cell>
        </row>
      </sheetData>
      <sheetData sheetId="23">
        <row r="5">
          <cell r="D5" t="str">
            <v>Total Cost</v>
          </cell>
        </row>
      </sheetData>
      <sheetData sheetId="24">
        <row r="5">
          <cell r="D5" t="str">
            <v>Total Cost</v>
          </cell>
        </row>
      </sheetData>
      <sheetData sheetId="25"/>
      <sheetData sheetId="26"/>
      <sheetData sheetId="27">
        <row r="5">
          <cell r="B5" t="str">
            <v>PVR</v>
          </cell>
        </row>
      </sheetData>
      <sheetData sheetId="28">
        <row r="16">
          <cell r="C16" t="str">
            <v>Total</v>
          </cell>
        </row>
      </sheetData>
      <sheetData sheetId="29">
        <row r="15">
          <cell r="A15">
            <v>40</v>
          </cell>
        </row>
      </sheetData>
      <sheetData sheetId="30"/>
      <sheetData sheetId="31">
        <row r="15">
          <cell r="A15">
            <v>40</v>
          </cell>
        </row>
      </sheetData>
      <sheetData sheetId="32">
        <row r="16">
          <cell r="B16" t="str">
            <v>Craftworkers Payroll</v>
          </cell>
        </row>
      </sheetData>
      <sheetData sheetId="33">
        <row r="6">
          <cell r="B6" t="str">
            <v>Main Bus Type</v>
          </cell>
        </row>
      </sheetData>
      <sheetData sheetId="34"/>
      <sheetData sheetId="35">
        <row r="6">
          <cell r="B6" t="str">
            <v>Driver Payroll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03D7-F86C-4694-B4F5-2DB5AE5C683D}">
  <sheetPr>
    <tabColor rgb="FFFF0000"/>
  </sheetPr>
  <dimension ref="B2:AI120"/>
  <sheetViews>
    <sheetView topLeftCell="AH38" zoomScale="80" zoomScaleNormal="80" workbookViewId="0">
      <selection activeCell="AT74" sqref="AT74"/>
    </sheetView>
    <sheetView workbookViewId="1"/>
  </sheetViews>
  <sheetFormatPr defaultRowHeight="15" x14ac:dyDescent="0.25"/>
  <cols>
    <col min="2" max="2" width="9.140625" bestFit="1" customWidth="1"/>
    <col min="3" max="3" width="7.7109375" bestFit="1" customWidth="1"/>
    <col min="4" max="4" width="7.140625" bestFit="1" customWidth="1"/>
    <col min="5" max="5" width="7.28515625" bestFit="1" customWidth="1"/>
    <col min="6" max="6" width="11.28515625" bestFit="1" customWidth="1"/>
    <col min="7" max="7" width="6.42578125" bestFit="1" customWidth="1"/>
    <col min="8" max="8" width="11.28515625" bestFit="1" customWidth="1"/>
    <col min="9" max="9" width="7.140625" bestFit="1" customWidth="1"/>
    <col min="10" max="10" width="6" bestFit="1" customWidth="1"/>
    <col min="11" max="11" width="11.28515625" bestFit="1" customWidth="1"/>
    <col min="12" max="12" width="6.5703125" bestFit="1" customWidth="1"/>
    <col min="13" max="13" width="11.28515625" bestFit="1" customWidth="1"/>
    <col min="14" max="14" width="7.85546875" bestFit="1" customWidth="1"/>
    <col min="15" max="15" width="7.28515625" bestFit="1" customWidth="1"/>
    <col min="16" max="16" width="5.85546875" bestFit="1" customWidth="1"/>
    <col min="17" max="17" width="6.42578125" bestFit="1" customWidth="1"/>
    <col min="18" max="18" width="7.28515625" bestFit="1" customWidth="1"/>
  </cols>
  <sheetData>
    <row r="2" spans="2:35" ht="15.75" thickBot="1" x14ac:dyDescent="0.3"/>
    <row r="3" spans="2:35" x14ac:dyDescent="0.25">
      <c r="B3" s="1200" t="s">
        <v>272</v>
      </c>
      <c r="C3" s="1203" t="s">
        <v>273</v>
      </c>
      <c r="D3" s="1205" t="s">
        <v>274</v>
      </c>
      <c r="E3" s="1206"/>
      <c r="F3" s="1207"/>
      <c r="G3" s="1205" t="s">
        <v>275</v>
      </c>
      <c r="H3" s="1206"/>
      <c r="I3" s="1206"/>
      <c r="J3" s="1206"/>
      <c r="K3" s="1207"/>
      <c r="L3" s="1205" t="s">
        <v>276</v>
      </c>
      <c r="M3" s="1206"/>
      <c r="N3" s="1207"/>
      <c r="O3" s="1200" t="s">
        <v>277</v>
      </c>
      <c r="P3" s="1200" t="s">
        <v>278</v>
      </c>
      <c r="Q3" s="1200" t="s">
        <v>279</v>
      </c>
      <c r="R3" s="1200" t="s">
        <v>280</v>
      </c>
    </row>
    <row r="4" spans="2:35" ht="15.75" thickBot="1" x14ac:dyDescent="0.3">
      <c r="B4" s="1208"/>
      <c r="C4" s="1209"/>
      <c r="D4" s="91" t="s">
        <v>281</v>
      </c>
      <c r="E4" s="92" t="s">
        <v>282</v>
      </c>
      <c r="F4" s="93" t="s">
        <v>283</v>
      </c>
      <c r="G4" s="94" t="s">
        <v>274</v>
      </c>
      <c r="H4" s="92" t="s">
        <v>283</v>
      </c>
      <c r="I4" s="92" t="s">
        <v>281</v>
      </c>
      <c r="J4" s="92" t="s">
        <v>274</v>
      </c>
      <c r="K4" s="93" t="s">
        <v>283</v>
      </c>
      <c r="L4" s="94" t="s">
        <v>276</v>
      </c>
      <c r="M4" s="92" t="s">
        <v>283</v>
      </c>
      <c r="N4" s="93" t="s">
        <v>284</v>
      </c>
      <c r="O4" s="1208"/>
      <c r="P4" s="1208"/>
      <c r="Q4" s="1208"/>
      <c r="R4" s="1208"/>
    </row>
    <row r="5" spans="2:35" x14ac:dyDescent="0.25">
      <c r="B5" s="375" t="s">
        <v>285</v>
      </c>
      <c r="C5" s="96" t="s">
        <v>286</v>
      </c>
      <c r="D5" s="227">
        <v>0.20833333333333334</v>
      </c>
      <c r="E5" s="228">
        <v>0.21388888888888888</v>
      </c>
      <c r="F5" s="229" t="s">
        <v>287</v>
      </c>
      <c r="G5" s="227">
        <v>0.34375</v>
      </c>
      <c r="H5" s="228" t="s">
        <v>288</v>
      </c>
      <c r="I5" s="228">
        <v>0.37916666666666665</v>
      </c>
      <c r="J5" s="228">
        <v>0.38194444444444442</v>
      </c>
      <c r="K5" s="229" t="s">
        <v>289</v>
      </c>
      <c r="L5" s="227">
        <v>0.5</v>
      </c>
      <c r="M5" s="228" t="s">
        <v>289</v>
      </c>
      <c r="N5" s="229">
        <v>0.51666666666666672</v>
      </c>
      <c r="O5" s="97">
        <f t="shared" ref="O5:O41" si="0">N5-D5</f>
        <v>0.30833333333333335</v>
      </c>
      <c r="P5" s="97">
        <f t="shared" ref="P5:P41" si="1">O5-Q5</f>
        <v>0.2729166666666667</v>
      </c>
      <c r="Q5" s="98">
        <f t="shared" ref="Q5:Q41" si="2">I5-G5</f>
        <v>3.5416666666666652E-2</v>
      </c>
      <c r="R5" s="98"/>
      <c r="T5" s="376" t="s">
        <v>293</v>
      </c>
      <c r="U5" s="108" t="s">
        <v>294</v>
      </c>
      <c r="V5" s="227">
        <v>0.24444444444444444</v>
      </c>
      <c r="W5" s="228">
        <v>0.25</v>
      </c>
      <c r="X5" s="229" t="s">
        <v>592</v>
      </c>
      <c r="Y5" s="227">
        <v>0.3576388888888889</v>
      </c>
      <c r="Z5" s="228" t="s">
        <v>593</v>
      </c>
      <c r="AA5" s="228">
        <v>0.39722222222222231</v>
      </c>
      <c r="AB5" s="228">
        <v>0.40277777777777779</v>
      </c>
      <c r="AC5" s="229" t="s">
        <v>593</v>
      </c>
      <c r="AD5" s="227">
        <v>0.53125</v>
      </c>
      <c r="AE5" s="228" t="s">
        <v>593</v>
      </c>
      <c r="AF5" s="229">
        <v>0.55694444444444446</v>
      </c>
      <c r="AG5" s="95">
        <f>AF5-V5</f>
        <v>0.3125</v>
      </c>
      <c r="AH5" s="95">
        <f>AG5-AI5</f>
        <v>0.27291666666666659</v>
      </c>
      <c r="AI5" s="99">
        <f>AA5-Y5</f>
        <v>3.9583333333333415E-2</v>
      </c>
    </row>
    <row r="6" spans="2:35" ht="15.75" thickBot="1" x14ac:dyDescent="0.3">
      <c r="B6" s="375" t="s">
        <v>290</v>
      </c>
      <c r="C6" s="96" t="s">
        <v>291</v>
      </c>
      <c r="D6" s="227">
        <v>0.21666666666666667</v>
      </c>
      <c r="E6" s="228">
        <v>0.22222222222222221</v>
      </c>
      <c r="F6" s="229" t="s">
        <v>287</v>
      </c>
      <c r="G6" s="227">
        <v>0.36458333333333331</v>
      </c>
      <c r="H6" s="228" t="s">
        <v>288</v>
      </c>
      <c r="I6" s="228">
        <v>0.41111111111111109</v>
      </c>
      <c r="J6" s="228">
        <v>0.41666666666666669</v>
      </c>
      <c r="K6" s="229" t="s">
        <v>288</v>
      </c>
      <c r="L6" s="227">
        <v>0.50347222222222221</v>
      </c>
      <c r="M6" s="228" t="s">
        <v>292</v>
      </c>
      <c r="N6" s="229">
        <v>0.50347222222222221</v>
      </c>
      <c r="O6" s="95">
        <f t="shared" si="0"/>
        <v>0.28680555555555554</v>
      </c>
      <c r="P6" s="95">
        <f t="shared" si="1"/>
        <v>0.24027777777777776</v>
      </c>
      <c r="Q6" s="99">
        <f t="shared" si="2"/>
        <v>4.6527777777777779E-2</v>
      </c>
      <c r="R6" s="99"/>
      <c r="T6" s="376" t="s">
        <v>290</v>
      </c>
      <c r="U6" s="108" t="s">
        <v>291</v>
      </c>
      <c r="V6" s="227">
        <v>0.23402777777777778</v>
      </c>
      <c r="W6" s="228">
        <v>0.23958333333333334</v>
      </c>
      <c r="X6" s="229" t="s">
        <v>592</v>
      </c>
      <c r="Y6" s="227">
        <v>0.375</v>
      </c>
      <c r="Z6" s="228" t="s">
        <v>593</v>
      </c>
      <c r="AA6" s="228">
        <v>0.45277777777777772</v>
      </c>
      <c r="AB6" s="228">
        <v>0.45833333333333331</v>
      </c>
      <c r="AC6" s="229" t="s">
        <v>593</v>
      </c>
      <c r="AD6" s="227">
        <v>0.54166666666666663</v>
      </c>
      <c r="AE6" s="228" t="s">
        <v>592</v>
      </c>
      <c r="AF6" s="229">
        <v>0.54166666666666663</v>
      </c>
      <c r="AG6" s="95">
        <f t="shared" ref="AG6" si="3">AF6-V6</f>
        <v>0.30763888888888885</v>
      </c>
      <c r="AH6" s="95">
        <f t="shared" ref="AH6" si="4">AG6-AI6</f>
        <v>0.22986111111111113</v>
      </c>
      <c r="AI6" s="99">
        <f t="shared" ref="AI6" si="5">AA6-Y6</f>
        <v>7.7777777777777724E-2</v>
      </c>
    </row>
    <row r="7" spans="2:35" ht="15.75" thickBot="1" x14ac:dyDescent="0.3">
      <c r="B7" s="375" t="s">
        <v>293</v>
      </c>
      <c r="C7" s="96" t="s">
        <v>294</v>
      </c>
      <c r="D7" s="227">
        <v>0.22361111111111112</v>
      </c>
      <c r="E7" s="228">
        <v>0.22916666666666666</v>
      </c>
      <c r="F7" s="229" t="s">
        <v>287</v>
      </c>
      <c r="G7" s="227"/>
      <c r="H7" s="228"/>
      <c r="I7" s="228"/>
      <c r="J7" s="228"/>
      <c r="K7" s="229"/>
      <c r="L7" s="227">
        <v>0.44791666666666669</v>
      </c>
      <c r="M7" s="228" t="s">
        <v>288</v>
      </c>
      <c r="N7" s="229">
        <v>0.47361111111111109</v>
      </c>
      <c r="O7" s="95">
        <f t="shared" si="0"/>
        <v>0.24999999999999997</v>
      </c>
      <c r="P7" s="95">
        <f t="shared" si="1"/>
        <v>0.24999999999999997</v>
      </c>
      <c r="Q7" s="99">
        <f t="shared" si="2"/>
        <v>0</v>
      </c>
      <c r="R7" s="99"/>
      <c r="U7" s="1197" t="s">
        <v>1302</v>
      </c>
      <c r="V7" s="1198"/>
      <c r="W7" s="1198"/>
      <c r="X7" s="1198"/>
      <c r="Y7" s="1198"/>
      <c r="Z7" s="1198"/>
      <c r="AA7" s="1198"/>
      <c r="AB7" s="1198"/>
      <c r="AC7" s="1198"/>
      <c r="AD7" s="1198"/>
      <c r="AE7" s="1198"/>
      <c r="AF7" s="1199"/>
    </row>
    <row r="8" spans="2:35" ht="15.75" thickBot="1" x14ac:dyDescent="0.3">
      <c r="B8" s="375" t="s">
        <v>295</v>
      </c>
      <c r="C8" s="96" t="s">
        <v>296</v>
      </c>
      <c r="D8" s="227">
        <v>0.23402777777777778</v>
      </c>
      <c r="E8" s="228">
        <v>0.23958333333333334</v>
      </c>
      <c r="F8" s="229" t="s">
        <v>287</v>
      </c>
      <c r="G8" s="227"/>
      <c r="H8" s="228"/>
      <c r="I8" s="228"/>
      <c r="J8" s="228"/>
      <c r="K8" s="229"/>
      <c r="L8" s="227">
        <v>0.45833333333333331</v>
      </c>
      <c r="M8" s="228" t="s">
        <v>288</v>
      </c>
      <c r="N8" s="229">
        <v>0.48402777777777778</v>
      </c>
      <c r="O8" s="95">
        <f t="shared" si="0"/>
        <v>0.25</v>
      </c>
      <c r="P8" s="95">
        <f t="shared" si="1"/>
        <v>0.25</v>
      </c>
      <c r="Q8" s="99">
        <f t="shared" si="2"/>
        <v>0</v>
      </c>
      <c r="R8" s="99"/>
      <c r="U8" s="1197" t="s">
        <v>1302</v>
      </c>
      <c r="V8" s="1198"/>
      <c r="W8" s="1198"/>
      <c r="X8" s="1198"/>
      <c r="Y8" s="1198"/>
      <c r="Z8" s="1198"/>
      <c r="AA8" s="1198"/>
      <c r="AB8" s="1198"/>
      <c r="AC8" s="1198"/>
      <c r="AD8" s="1198"/>
      <c r="AE8" s="1198"/>
      <c r="AF8" s="1199"/>
    </row>
    <row r="9" spans="2:35" x14ac:dyDescent="0.25">
      <c r="B9" s="375" t="s">
        <v>297</v>
      </c>
      <c r="C9" s="96" t="s">
        <v>298</v>
      </c>
      <c r="D9" s="227">
        <v>0.23749999999999999</v>
      </c>
      <c r="E9" s="228">
        <v>0.24305555555555555</v>
      </c>
      <c r="F9" s="229" t="s">
        <v>287</v>
      </c>
      <c r="G9" s="227"/>
      <c r="H9" s="228"/>
      <c r="I9" s="228"/>
      <c r="J9" s="228"/>
      <c r="K9" s="229"/>
      <c r="L9" s="227">
        <v>0.40972222222222221</v>
      </c>
      <c r="M9" s="228" t="s">
        <v>292</v>
      </c>
      <c r="N9" s="229">
        <v>0.40972222222222221</v>
      </c>
      <c r="O9" s="95">
        <f t="shared" si="0"/>
        <v>0.17222222222222222</v>
      </c>
      <c r="P9" s="95">
        <f t="shared" si="1"/>
        <v>0.17222222222222222</v>
      </c>
      <c r="Q9" s="99">
        <f t="shared" si="2"/>
        <v>0</v>
      </c>
      <c r="R9" s="99"/>
      <c r="T9" s="376" t="s">
        <v>285</v>
      </c>
      <c r="U9" s="233" t="s">
        <v>286</v>
      </c>
      <c r="V9" s="230">
        <v>0.23402777777777778</v>
      </c>
      <c r="W9" s="231">
        <v>0.23958333333333334</v>
      </c>
      <c r="X9" s="232" t="s">
        <v>592</v>
      </c>
      <c r="Y9" s="230"/>
      <c r="Z9" s="231"/>
      <c r="AA9" s="231"/>
      <c r="AB9" s="231"/>
      <c r="AC9" s="232"/>
      <c r="AD9" s="230">
        <v>0.40277777777777779</v>
      </c>
      <c r="AE9" s="231" t="s">
        <v>593</v>
      </c>
      <c r="AF9" s="232">
        <v>0.4284722222222222</v>
      </c>
      <c r="AG9" s="95">
        <f>AF9-V9</f>
        <v>0.19444444444444442</v>
      </c>
      <c r="AH9" s="95">
        <f>AG9-AI9</f>
        <v>0.19444444444444442</v>
      </c>
      <c r="AI9" s="99">
        <f>AA9-Y9</f>
        <v>0</v>
      </c>
    </row>
    <row r="10" spans="2:35" ht="15.75" thickBot="1" x14ac:dyDescent="0.3">
      <c r="B10" s="375" t="s">
        <v>299</v>
      </c>
      <c r="C10" s="96" t="s">
        <v>300</v>
      </c>
      <c r="D10" s="227">
        <v>0.23749999999999999</v>
      </c>
      <c r="E10" s="228">
        <v>0.24305555555555555</v>
      </c>
      <c r="F10" s="229" t="s">
        <v>287</v>
      </c>
      <c r="G10" s="227"/>
      <c r="H10" s="228"/>
      <c r="I10" s="228"/>
      <c r="J10" s="228"/>
      <c r="K10" s="229"/>
      <c r="L10" s="227">
        <v>0.4375</v>
      </c>
      <c r="M10" s="228" t="s">
        <v>289</v>
      </c>
      <c r="N10" s="229">
        <v>0.45416666666666666</v>
      </c>
      <c r="O10" s="95">
        <f t="shared" si="0"/>
        <v>0.21666666666666667</v>
      </c>
      <c r="P10" s="95">
        <f t="shared" si="1"/>
        <v>0.21666666666666667</v>
      </c>
      <c r="Q10" s="99">
        <f t="shared" si="2"/>
        <v>0</v>
      </c>
      <c r="R10" s="99"/>
      <c r="T10" s="376" t="s">
        <v>313</v>
      </c>
      <c r="U10" s="233" t="s">
        <v>314</v>
      </c>
      <c r="V10" s="230">
        <v>0.34861111111111109</v>
      </c>
      <c r="W10" s="231">
        <v>0.35416666666666669</v>
      </c>
      <c r="X10" s="232" t="s">
        <v>592</v>
      </c>
      <c r="Y10" s="230"/>
      <c r="Z10" s="231"/>
      <c r="AA10" s="231"/>
      <c r="AB10" s="231"/>
      <c r="AC10" s="232"/>
      <c r="AD10" s="230">
        <v>0.5625</v>
      </c>
      <c r="AE10" s="231" t="s">
        <v>593</v>
      </c>
      <c r="AF10" s="232">
        <v>0.58819444444444446</v>
      </c>
      <c r="AG10" s="100">
        <f>AF10-V10</f>
        <v>0.23958333333333337</v>
      </c>
      <c r="AH10" s="100">
        <f>AG10-AI10</f>
        <v>0.23958333333333337</v>
      </c>
      <c r="AI10" s="101">
        <f>AA10-Y10</f>
        <v>0</v>
      </c>
    </row>
    <row r="11" spans="2:35" ht="15.75" thickBot="1" x14ac:dyDescent="0.3">
      <c r="B11" s="375" t="s">
        <v>301</v>
      </c>
      <c r="C11" s="96" t="s">
        <v>302</v>
      </c>
      <c r="D11" s="227">
        <v>0.24444444444444444</v>
      </c>
      <c r="E11" s="228">
        <v>0.25</v>
      </c>
      <c r="F11" s="229" t="s">
        <v>287</v>
      </c>
      <c r="G11" s="227"/>
      <c r="H11" s="228"/>
      <c r="I11" s="228"/>
      <c r="J11" s="228"/>
      <c r="K11" s="229"/>
      <c r="L11" s="227">
        <v>0.47916666666666669</v>
      </c>
      <c r="M11" s="228" t="s">
        <v>288</v>
      </c>
      <c r="N11" s="229">
        <v>0.50486111111111109</v>
      </c>
      <c r="O11" s="95">
        <f t="shared" si="0"/>
        <v>0.26041666666666663</v>
      </c>
      <c r="P11" s="95">
        <f t="shared" si="1"/>
        <v>0.26041666666666663</v>
      </c>
      <c r="Q11" s="99">
        <f t="shared" si="2"/>
        <v>0</v>
      </c>
      <c r="R11" s="99"/>
      <c r="U11" s="1197" t="s">
        <v>1302</v>
      </c>
      <c r="V11" s="1198"/>
      <c r="W11" s="1198"/>
      <c r="X11" s="1198"/>
      <c r="Y11" s="1198"/>
      <c r="Z11" s="1198"/>
      <c r="AA11" s="1198"/>
      <c r="AB11" s="1198"/>
      <c r="AC11" s="1198"/>
      <c r="AD11" s="1198"/>
      <c r="AE11" s="1198"/>
      <c r="AF11" s="1199"/>
    </row>
    <row r="12" spans="2:35" ht="15.75" thickBot="1" x14ac:dyDescent="0.3">
      <c r="B12" s="375" t="s">
        <v>303</v>
      </c>
      <c r="C12" s="96" t="s">
        <v>304</v>
      </c>
      <c r="D12" s="227">
        <v>0.24791666666666667</v>
      </c>
      <c r="E12" s="228">
        <v>0.25347222222222221</v>
      </c>
      <c r="F12" s="229" t="s">
        <v>287</v>
      </c>
      <c r="G12" s="227"/>
      <c r="H12" s="228"/>
      <c r="I12" s="228"/>
      <c r="J12" s="228"/>
      <c r="K12" s="229"/>
      <c r="L12" s="227">
        <v>0.44097222222222221</v>
      </c>
      <c r="M12" s="228" t="s">
        <v>292</v>
      </c>
      <c r="N12" s="229">
        <v>0.44097222222222221</v>
      </c>
      <c r="O12" s="95">
        <f t="shared" si="0"/>
        <v>0.19305555555555554</v>
      </c>
      <c r="P12" s="95">
        <f t="shared" si="1"/>
        <v>0.19305555555555554</v>
      </c>
      <c r="Q12" s="99">
        <f t="shared" si="2"/>
        <v>0</v>
      </c>
      <c r="R12" s="99"/>
      <c r="U12" s="1197" t="s">
        <v>1302</v>
      </c>
      <c r="V12" s="1198"/>
      <c r="W12" s="1198"/>
      <c r="X12" s="1198"/>
      <c r="Y12" s="1198"/>
      <c r="Z12" s="1198"/>
      <c r="AA12" s="1198"/>
      <c r="AB12" s="1198"/>
      <c r="AC12" s="1198"/>
      <c r="AD12" s="1198"/>
      <c r="AE12" s="1198"/>
      <c r="AF12" s="1199"/>
    </row>
    <row r="13" spans="2:35" x14ac:dyDescent="0.25">
      <c r="B13" s="375" t="s">
        <v>305</v>
      </c>
      <c r="C13" s="96" t="s">
        <v>306</v>
      </c>
      <c r="D13" s="227">
        <v>0.25486111111111109</v>
      </c>
      <c r="E13" s="228">
        <v>0.26041666666666669</v>
      </c>
      <c r="F13" s="229" t="s">
        <v>287</v>
      </c>
      <c r="G13" s="227">
        <v>0.35416666666666669</v>
      </c>
      <c r="H13" s="228" t="s">
        <v>288</v>
      </c>
      <c r="I13" s="228">
        <v>0.39027777777777778</v>
      </c>
      <c r="J13" s="228">
        <v>0.39583333333333331</v>
      </c>
      <c r="K13" s="229" t="s">
        <v>288</v>
      </c>
      <c r="L13" s="227">
        <v>0.55555555555555558</v>
      </c>
      <c r="M13" s="228" t="s">
        <v>292</v>
      </c>
      <c r="N13" s="229">
        <v>0.55555555555555558</v>
      </c>
      <c r="O13" s="95">
        <f t="shared" si="0"/>
        <v>0.30069444444444449</v>
      </c>
      <c r="P13" s="95">
        <f t="shared" si="1"/>
        <v>0.26458333333333339</v>
      </c>
      <c r="Q13" s="99">
        <f t="shared" si="2"/>
        <v>3.6111111111111094E-2</v>
      </c>
      <c r="R13" s="99"/>
      <c r="T13" s="376" t="s">
        <v>295</v>
      </c>
      <c r="U13" s="108" t="s">
        <v>389</v>
      </c>
      <c r="V13" s="227">
        <v>0.24444444444444444</v>
      </c>
      <c r="W13" s="228">
        <v>0.25</v>
      </c>
      <c r="X13" s="229" t="s">
        <v>592</v>
      </c>
      <c r="Y13" s="227">
        <v>0.3923611111111111</v>
      </c>
      <c r="Z13" s="228" t="s">
        <v>592</v>
      </c>
      <c r="AA13" s="228">
        <v>0.44305555555555559</v>
      </c>
      <c r="AB13" s="228">
        <v>0.46875</v>
      </c>
      <c r="AC13" s="229" t="s">
        <v>593</v>
      </c>
      <c r="AD13" s="227">
        <v>0.55555555555555558</v>
      </c>
      <c r="AE13" s="228" t="s">
        <v>592</v>
      </c>
      <c r="AF13" s="229">
        <v>0.55555555555555558</v>
      </c>
      <c r="AG13" s="95">
        <f>AF13-V13</f>
        <v>0.31111111111111112</v>
      </c>
      <c r="AH13" s="95">
        <f>AG13-AI13</f>
        <v>0.26041666666666663</v>
      </c>
      <c r="AI13" s="99">
        <f>AA13-Y13</f>
        <v>5.0694444444444486E-2</v>
      </c>
    </row>
    <row r="14" spans="2:35" ht="15.75" thickBot="1" x14ac:dyDescent="0.3">
      <c r="B14" s="375" t="s">
        <v>307</v>
      </c>
      <c r="C14" s="96" t="s">
        <v>308</v>
      </c>
      <c r="D14" s="227">
        <v>0.25833333333333336</v>
      </c>
      <c r="E14" s="228">
        <v>0.2638888888888889</v>
      </c>
      <c r="F14" s="229" t="s">
        <v>287</v>
      </c>
      <c r="G14" s="227">
        <v>0.44097222222222221</v>
      </c>
      <c r="H14" s="228" t="s">
        <v>292</v>
      </c>
      <c r="I14" s="228">
        <v>0.48472222222222217</v>
      </c>
      <c r="J14" s="228">
        <v>0.51041666666666663</v>
      </c>
      <c r="K14" s="229" t="s">
        <v>288</v>
      </c>
      <c r="L14" s="227">
        <v>0.60069444444444442</v>
      </c>
      <c r="M14" s="228" t="s">
        <v>292</v>
      </c>
      <c r="N14" s="229">
        <v>0.60069444444444442</v>
      </c>
      <c r="O14" s="95">
        <f t="shared" si="0"/>
        <v>0.34236111111111106</v>
      </c>
      <c r="P14" s="95">
        <f t="shared" si="1"/>
        <v>0.2986111111111111</v>
      </c>
      <c r="Q14" s="99">
        <f t="shared" si="2"/>
        <v>4.3749999999999956E-2</v>
      </c>
      <c r="R14" s="99"/>
      <c r="T14" s="376" t="s">
        <v>297</v>
      </c>
      <c r="U14" s="108" t="s">
        <v>296</v>
      </c>
      <c r="V14" s="227">
        <v>0.25486111111111109</v>
      </c>
      <c r="W14" s="228">
        <v>0.26041666666666669</v>
      </c>
      <c r="X14" s="229" t="s">
        <v>592</v>
      </c>
      <c r="Y14" s="227">
        <v>0.39583333333333331</v>
      </c>
      <c r="Z14" s="228" t="s">
        <v>593</v>
      </c>
      <c r="AA14" s="228">
        <v>0.44236111111111109</v>
      </c>
      <c r="AB14" s="228">
        <v>0.44791666666666669</v>
      </c>
      <c r="AC14" s="229" t="s">
        <v>593</v>
      </c>
      <c r="AD14" s="227">
        <v>0.58333333333333337</v>
      </c>
      <c r="AE14" s="228" t="s">
        <v>593</v>
      </c>
      <c r="AF14" s="229">
        <v>0.60902777777777772</v>
      </c>
      <c r="AG14" s="95">
        <f>AF14-V14</f>
        <v>0.35416666666666663</v>
      </c>
      <c r="AH14" s="95">
        <f>AG14-AI14</f>
        <v>0.30763888888888885</v>
      </c>
      <c r="AI14" s="99">
        <f>AA14-Y14</f>
        <v>4.6527777777777779E-2</v>
      </c>
    </row>
    <row r="15" spans="2:35" ht="15.75" thickBot="1" x14ac:dyDescent="0.3">
      <c r="B15" s="375" t="s">
        <v>309</v>
      </c>
      <c r="C15" s="96" t="s">
        <v>310</v>
      </c>
      <c r="D15" s="227">
        <v>0.26527777777777778</v>
      </c>
      <c r="E15" s="228">
        <v>0.27083333333333331</v>
      </c>
      <c r="F15" s="229" t="s">
        <v>287</v>
      </c>
      <c r="G15" s="227"/>
      <c r="H15" s="228"/>
      <c r="I15" s="228"/>
      <c r="J15" s="228"/>
      <c r="K15" s="229"/>
      <c r="L15" s="227">
        <v>0.44791666666666669</v>
      </c>
      <c r="M15" s="228" t="s">
        <v>292</v>
      </c>
      <c r="N15" s="229">
        <v>0.44791666666666669</v>
      </c>
      <c r="O15" s="95">
        <f t="shared" si="0"/>
        <v>0.18263888888888891</v>
      </c>
      <c r="P15" s="95">
        <f t="shared" si="1"/>
        <v>0.18263888888888891</v>
      </c>
      <c r="Q15" s="99">
        <f t="shared" si="2"/>
        <v>0</v>
      </c>
      <c r="R15" s="99"/>
      <c r="U15" s="1197" t="s">
        <v>1302</v>
      </c>
      <c r="V15" s="1198"/>
      <c r="W15" s="1198"/>
      <c r="X15" s="1198"/>
      <c r="Y15" s="1198"/>
      <c r="Z15" s="1198"/>
      <c r="AA15" s="1198"/>
      <c r="AB15" s="1198"/>
      <c r="AC15" s="1198"/>
      <c r="AD15" s="1198"/>
      <c r="AE15" s="1198"/>
      <c r="AF15" s="1199"/>
    </row>
    <row r="16" spans="2:35" x14ac:dyDescent="0.25">
      <c r="B16" s="375" t="s">
        <v>311</v>
      </c>
      <c r="C16" s="96" t="s">
        <v>312</v>
      </c>
      <c r="D16" s="227">
        <v>0.2722222222222222</v>
      </c>
      <c r="E16" s="228">
        <v>0.27777777777777779</v>
      </c>
      <c r="F16" s="229" t="s">
        <v>287</v>
      </c>
      <c r="G16" s="227">
        <v>0.38541666666666669</v>
      </c>
      <c r="H16" s="228" t="s">
        <v>288</v>
      </c>
      <c r="I16" s="231">
        <v>0.43194444444444435</v>
      </c>
      <c r="J16" s="231">
        <v>0.4375</v>
      </c>
      <c r="K16" s="232" t="s">
        <v>288</v>
      </c>
      <c r="L16" s="230">
        <v>0.58333333333333337</v>
      </c>
      <c r="M16" s="231" t="s">
        <v>288</v>
      </c>
      <c r="N16" s="232">
        <v>0.60902777777777772</v>
      </c>
      <c r="O16" s="95">
        <f t="shared" si="0"/>
        <v>0.33680555555555552</v>
      </c>
      <c r="P16" s="95">
        <f t="shared" si="1"/>
        <v>0.29027777777777786</v>
      </c>
      <c r="Q16" s="99">
        <f t="shared" si="2"/>
        <v>4.6527777777777668E-2</v>
      </c>
      <c r="R16" s="99"/>
      <c r="T16" s="376" t="s">
        <v>299</v>
      </c>
      <c r="U16" s="108" t="s">
        <v>298</v>
      </c>
      <c r="V16" s="227">
        <v>0.25486111111111109</v>
      </c>
      <c r="W16" s="228">
        <v>0.26041666666666669</v>
      </c>
      <c r="X16" s="229" t="s">
        <v>592</v>
      </c>
      <c r="Y16" s="227">
        <v>0.40277777777777779</v>
      </c>
      <c r="Z16" s="228" t="s">
        <v>592</v>
      </c>
      <c r="AA16" s="228">
        <v>0.45347222222222217</v>
      </c>
      <c r="AB16" s="228">
        <v>0.47916666666666669</v>
      </c>
      <c r="AC16" s="229" t="s">
        <v>593</v>
      </c>
      <c r="AD16" s="227">
        <v>0.60416666666666663</v>
      </c>
      <c r="AE16" s="228" t="s">
        <v>593</v>
      </c>
      <c r="AF16" s="229">
        <v>0.62986111111111109</v>
      </c>
      <c r="AG16" s="95">
        <f>AF16-V16</f>
        <v>0.375</v>
      </c>
      <c r="AH16" s="95">
        <f>AG16-AI16</f>
        <v>0.32430555555555562</v>
      </c>
      <c r="AI16" s="99">
        <f>AA16-Y16</f>
        <v>5.0694444444444375E-2</v>
      </c>
    </row>
    <row r="17" spans="2:35" x14ac:dyDescent="0.25">
      <c r="B17" s="375" t="s">
        <v>313</v>
      </c>
      <c r="C17" s="96" t="s">
        <v>314</v>
      </c>
      <c r="D17" s="227">
        <v>0.27569444444444446</v>
      </c>
      <c r="E17" s="228">
        <v>0.28125</v>
      </c>
      <c r="F17" s="229" t="s">
        <v>287</v>
      </c>
      <c r="G17" s="227">
        <v>0.39583333333333331</v>
      </c>
      <c r="H17" s="228" t="s">
        <v>292</v>
      </c>
      <c r="I17" s="228">
        <v>0.44305555555555548</v>
      </c>
      <c r="J17" s="228">
        <v>0.46875</v>
      </c>
      <c r="K17" s="229" t="s">
        <v>288</v>
      </c>
      <c r="L17" s="227">
        <v>0.61458333333333337</v>
      </c>
      <c r="M17" s="228" t="s">
        <v>288</v>
      </c>
      <c r="N17" s="229">
        <v>0.64027777777777772</v>
      </c>
      <c r="O17" s="95">
        <f t="shared" si="0"/>
        <v>0.36458333333333326</v>
      </c>
      <c r="P17" s="95">
        <f t="shared" si="1"/>
        <v>0.31736111111111109</v>
      </c>
      <c r="Q17" s="99">
        <f t="shared" si="2"/>
        <v>4.7222222222222165E-2</v>
      </c>
      <c r="R17" s="1141" t="s">
        <v>280</v>
      </c>
    </row>
    <row r="18" spans="2:35" ht="15.75" thickBot="1" x14ac:dyDescent="0.3">
      <c r="B18" s="375" t="s">
        <v>315</v>
      </c>
      <c r="C18" s="96" t="s">
        <v>316</v>
      </c>
      <c r="D18" s="227">
        <v>0.27916666666666667</v>
      </c>
      <c r="E18" s="228">
        <v>0.28472222222222221</v>
      </c>
      <c r="F18" s="229" t="s">
        <v>287</v>
      </c>
      <c r="G18" s="227">
        <v>0.40972222222222221</v>
      </c>
      <c r="H18" s="228" t="s">
        <v>292</v>
      </c>
      <c r="I18" s="228">
        <v>0.45347222222222222</v>
      </c>
      <c r="J18" s="228">
        <v>0.47916666666666669</v>
      </c>
      <c r="K18" s="229" t="s">
        <v>317</v>
      </c>
      <c r="L18" s="227">
        <v>0.625</v>
      </c>
      <c r="M18" s="228" t="s">
        <v>288</v>
      </c>
      <c r="N18" s="229">
        <v>0.65069444444444446</v>
      </c>
      <c r="O18" s="95">
        <f t="shared" si="0"/>
        <v>0.37152777777777779</v>
      </c>
      <c r="P18" s="95">
        <f t="shared" si="1"/>
        <v>0.32777777777777778</v>
      </c>
      <c r="Q18" s="99">
        <f t="shared" si="2"/>
        <v>4.3750000000000011E-2</v>
      </c>
      <c r="R18" s="99"/>
      <c r="T18" s="376" t="s">
        <v>301</v>
      </c>
      <c r="U18" s="108" t="s">
        <v>300</v>
      </c>
      <c r="V18" s="227">
        <v>0.26527777777777778</v>
      </c>
      <c r="W18" s="228">
        <v>0.27083333333333331</v>
      </c>
      <c r="X18" s="229" t="s">
        <v>592</v>
      </c>
      <c r="Y18" s="227">
        <v>0.44791666666666669</v>
      </c>
      <c r="Z18" s="228" t="s">
        <v>593</v>
      </c>
      <c r="AA18" s="228">
        <v>0.49444444444444452</v>
      </c>
      <c r="AB18" s="228">
        <v>0.5</v>
      </c>
      <c r="AC18" s="229" t="s">
        <v>593</v>
      </c>
      <c r="AD18" s="227">
        <v>0.63541666666666663</v>
      </c>
      <c r="AE18" s="228" t="s">
        <v>593</v>
      </c>
      <c r="AF18" s="229">
        <v>0.66111111111111109</v>
      </c>
      <c r="AG18" s="95">
        <f>AF18-V18</f>
        <v>0.39583333333333331</v>
      </c>
      <c r="AH18" s="95">
        <f>AG18-AI18</f>
        <v>0.34930555555555548</v>
      </c>
      <c r="AI18" s="99">
        <f>AA18-Y18</f>
        <v>4.6527777777777835E-2</v>
      </c>
    </row>
    <row r="19" spans="2:35" ht="15.75" thickBot="1" x14ac:dyDescent="0.3">
      <c r="B19" s="375" t="s">
        <v>318</v>
      </c>
      <c r="C19" s="96" t="s">
        <v>319</v>
      </c>
      <c r="D19" s="227">
        <v>0.28958333333333336</v>
      </c>
      <c r="E19" s="228">
        <v>0.2951388888888889</v>
      </c>
      <c r="F19" s="229" t="s">
        <v>287</v>
      </c>
      <c r="G19" s="227">
        <v>0.40625</v>
      </c>
      <c r="H19" s="228" t="s">
        <v>288</v>
      </c>
      <c r="I19" s="228">
        <v>0.45277777777777778</v>
      </c>
      <c r="J19" s="228">
        <v>0.45833333333333331</v>
      </c>
      <c r="K19" s="229" t="s">
        <v>288</v>
      </c>
      <c r="L19" s="227">
        <v>0.60416666666666663</v>
      </c>
      <c r="M19" s="228" t="s">
        <v>288</v>
      </c>
      <c r="N19" s="229">
        <v>0.62986111111111109</v>
      </c>
      <c r="O19" s="95">
        <f t="shared" si="0"/>
        <v>0.34027777777777773</v>
      </c>
      <c r="P19" s="95">
        <f t="shared" si="1"/>
        <v>0.29374999999999996</v>
      </c>
      <c r="Q19" s="99">
        <f t="shared" si="2"/>
        <v>4.6527777777777779E-2</v>
      </c>
      <c r="R19" s="99"/>
      <c r="U19" s="1197" t="s">
        <v>1298</v>
      </c>
      <c r="V19" s="1198"/>
      <c r="W19" s="1198"/>
      <c r="X19" s="1198"/>
      <c r="Y19" s="1198"/>
      <c r="Z19" s="1198"/>
      <c r="AA19" s="1198"/>
      <c r="AB19" s="1198"/>
      <c r="AC19" s="1198"/>
      <c r="AD19" s="1198"/>
      <c r="AE19" s="1198"/>
      <c r="AF19" s="1199"/>
    </row>
    <row r="20" spans="2:35" ht="15.75" thickBot="1" x14ac:dyDescent="0.3">
      <c r="B20" s="375" t="s">
        <v>320</v>
      </c>
      <c r="C20" s="96" t="s">
        <v>321</v>
      </c>
      <c r="D20" s="230">
        <v>0.28958333333333336</v>
      </c>
      <c r="E20" s="231">
        <v>0.2951388888888889</v>
      </c>
      <c r="F20" s="232" t="s">
        <v>287</v>
      </c>
      <c r="G20" s="230">
        <v>0.39583333333333331</v>
      </c>
      <c r="H20" s="231" t="s">
        <v>288</v>
      </c>
      <c r="I20" s="228">
        <v>0.44236111111111109</v>
      </c>
      <c r="J20" s="228">
        <v>0.44791666666666669</v>
      </c>
      <c r="K20" s="229" t="s">
        <v>288</v>
      </c>
      <c r="L20" s="227">
        <v>0.59375</v>
      </c>
      <c r="M20" s="228" t="s">
        <v>288</v>
      </c>
      <c r="N20" s="229">
        <v>0.61944444444444446</v>
      </c>
      <c r="O20" s="100">
        <f t="shared" si="0"/>
        <v>0.3298611111111111</v>
      </c>
      <c r="P20" s="100">
        <f t="shared" si="1"/>
        <v>0.28333333333333333</v>
      </c>
      <c r="Q20" s="101">
        <f t="shared" si="2"/>
        <v>4.6527777777777779E-2</v>
      </c>
      <c r="R20" s="101"/>
      <c r="T20" s="376" t="s">
        <v>309</v>
      </c>
      <c r="U20" s="233" t="s">
        <v>391</v>
      </c>
      <c r="V20" s="230">
        <v>0.33680555555555558</v>
      </c>
      <c r="W20" s="231">
        <v>0.36458333333333331</v>
      </c>
      <c r="X20" s="232" t="s">
        <v>593</v>
      </c>
      <c r="Y20" s="230">
        <v>0.47916666666666669</v>
      </c>
      <c r="Z20" s="231" t="s">
        <v>593</v>
      </c>
      <c r="AA20" s="231">
        <v>0.53611111111111098</v>
      </c>
      <c r="AB20" s="231">
        <v>0.54166666666666663</v>
      </c>
      <c r="AC20" s="232" t="s">
        <v>593</v>
      </c>
      <c r="AD20" s="230">
        <v>0.62847222222222221</v>
      </c>
      <c r="AE20" s="231" t="s">
        <v>592</v>
      </c>
      <c r="AF20" s="232">
        <v>0.62847222222222221</v>
      </c>
      <c r="AG20" s="95">
        <f>AF20-V20</f>
        <v>0.29166666666666663</v>
      </c>
      <c r="AH20" s="95">
        <f>AG20-AI20</f>
        <v>0.23472222222222233</v>
      </c>
      <c r="AI20" s="99">
        <f>AA20-Y20</f>
        <v>5.6944444444444298E-2</v>
      </c>
    </row>
    <row r="21" spans="2:35" ht="15.75" thickBot="1" x14ac:dyDescent="0.3">
      <c r="B21" s="373" t="s">
        <v>322</v>
      </c>
      <c r="C21" s="102" t="s">
        <v>323</v>
      </c>
      <c r="D21" s="236">
        <v>0.29652777777777778</v>
      </c>
      <c r="E21" s="237">
        <v>0.30208333333333331</v>
      </c>
      <c r="F21" s="238" t="s">
        <v>287</v>
      </c>
      <c r="G21" s="236"/>
      <c r="H21" s="237"/>
      <c r="I21" s="237"/>
      <c r="J21" s="237"/>
      <c r="K21" s="238"/>
      <c r="L21" s="236">
        <v>0.46875</v>
      </c>
      <c r="M21" s="237" t="s">
        <v>288</v>
      </c>
      <c r="N21" s="238">
        <v>0.49444444444444446</v>
      </c>
      <c r="O21" s="103">
        <f t="shared" si="0"/>
        <v>0.19791666666666669</v>
      </c>
      <c r="P21" s="103">
        <f t="shared" si="1"/>
        <v>0.19791666666666669</v>
      </c>
      <c r="Q21" s="104">
        <f t="shared" si="2"/>
        <v>0</v>
      </c>
      <c r="R21" s="104"/>
      <c r="U21" s="1197" t="s">
        <v>1302</v>
      </c>
      <c r="V21" s="1198"/>
      <c r="W21" s="1198"/>
      <c r="X21" s="1198"/>
      <c r="Y21" s="1198"/>
      <c r="Z21" s="1198"/>
      <c r="AA21" s="1198"/>
      <c r="AB21" s="1198"/>
      <c r="AC21" s="1198"/>
      <c r="AD21" s="1198"/>
      <c r="AE21" s="1198"/>
      <c r="AF21" s="1199"/>
    </row>
    <row r="22" spans="2:35" x14ac:dyDescent="0.25">
      <c r="B22" s="378" t="s">
        <v>324</v>
      </c>
      <c r="C22" s="105" t="s">
        <v>325</v>
      </c>
      <c r="D22" s="241">
        <v>0.50347222222222221</v>
      </c>
      <c r="E22" s="242">
        <v>0.53125</v>
      </c>
      <c r="F22" s="357" t="s">
        <v>288</v>
      </c>
      <c r="G22" s="241">
        <v>0.67708333333333337</v>
      </c>
      <c r="H22" s="242" t="s">
        <v>288</v>
      </c>
      <c r="I22" s="242">
        <v>0.73402777777777783</v>
      </c>
      <c r="J22" s="242">
        <v>0.73958333333333337</v>
      </c>
      <c r="K22" s="243" t="s">
        <v>288</v>
      </c>
      <c r="L22" s="241">
        <v>0.86458333333333337</v>
      </c>
      <c r="M22" s="242" t="s">
        <v>317</v>
      </c>
      <c r="N22" s="243">
        <v>0.89027777777777772</v>
      </c>
      <c r="O22" s="106">
        <f t="shared" si="0"/>
        <v>0.38680555555555551</v>
      </c>
      <c r="P22" s="106">
        <f t="shared" si="1"/>
        <v>0.32986111111111105</v>
      </c>
      <c r="Q22" s="107">
        <f t="shared" si="2"/>
        <v>5.6944444444444464E-2</v>
      </c>
      <c r="R22" s="107"/>
      <c r="T22" s="376" t="s">
        <v>318</v>
      </c>
      <c r="U22" s="108" t="s">
        <v>319</v>
      </c>
      <c r="V22" s="227">
        <v>0.52430555555555558</v>
      </c>
      <c r="W22" s="228">
        <v>0.55208333333333337</v>
      </c>
      <c r="X22" s="229" t="s">
        <v>593</v>
      </c>
      <c r="Y22" s="227">
        <v>0.67708333333333337</v>
      </c>
      <c r="Z22" s="228" t="s">
        <v>593</v>
      </c>
      <c r="AA22" s="228">
        <v>0.74444444444444446</v>
      </c>
      <c r="AB22" s="228">
        <v>0.75</v>
      </c>
      <c r="AC22" s="229" t="s">
        <v>593</v>
      </c>
      <c r="AD22" s="227">
        <v>0.89236111111111116</v>
      </c>
      <c r="AE22" s="228" t="s">
        <v>592</v>
      </c>
      <c r="AF22" s="235">
        <v>0.89236111111111116</v>
      </c>
      <c r="AG22" s="95">
        <f>AF22-V22</f>
        <v>0.36805555555555558</v>
      </c>
      <c r="AH22" s="95">
        <f>AG22-AI22</f>
        <v>0.30069444444444449</v>
      </c>
      <c r="AI22" s="99">
        <f>AA22-Y22</f>
        <v>6.7361111111111094E-2</v>
      </c>
    </row>
    <row r="23" spans="2:35" x14ac:dyDescent="0.25">
      <c r="B23" s="376" t="s">
        <v>326</v>
      </c>
      <c r="C23" s="108" t="s">
        <v>327</v>
      </c>
      <c r="D23" s="227">
        <v>0.51527777777777772</v>
      </c>
      <c r="E23" s="228">
        <v>0.51736111111111116</v>
      </c>
      <c r="F23" s="235" t="s">
        <v>288</v>
      </c>
      <c r="G23" s="227">
        <v>0.6875</v>
      </c>
      <c r="H23" s="228" t="s">
        <v>288</v>
      </c>
      <c r="I23" s="228">
        <v>0.74444444444444446</v>
      </c>
      <c r="J23" s="228">
        <v>0.75</v>
      </c>
      <c r="K23" s="229" t="s">
        <v>288</v>
      </c>
      <c r="L23" s="227">
        <v>0.875</v>
      </c>
      <c r="M23" s="228" t="s">
        <v>317</v>
      </c>
      <c r="N23" s="229">
        <v>0.90069444444444446</v>
      </c>
      <c r="O23" s="95">
        <f t="shared" si="0"/>
        <v>0.38541666666666674</v>
      </c>
      <c r="P23" s="95">
        <f t="shared" si="1"/>
        <v>0.32847222222222228</v>
      </c>
      <c r="Q23" s="99">
        <f t="shared" si="2"/>
        <v>5.6944444444444464E-2</v>
      </c>
      <c r="R23" s="99"/>
      <c r="T23" s="376" t="s">
        <v>322</v>
      </c>
      <c r="U23" s="108" t="s">
        <v>323</v>
      </c>
      <c r="V23" s="227">
        <v>0.53472222222222221</v>
      </c>
      <c r="W23" s="228">
        <v>0.5625</v>
      </c>
      <c r="X23" s="229" t="s">
        <v>593</v>
      </c>
      <c r="Y23" s="227">
        <v>0.6875</v>
      </c>
      <c r="Z23" s="228" t="s">
        <v>593</v>
      </c>
      <c r="AA23" s="228">
        <v>0.73402777777777795</v>
      </c>
      <c r="AB23" s="228">
        <v>0.73958333333333337</v>
      </c>
      <c r="AC23" s="229" t="s">
        <v>593</v>
      </c>
      <c r="AD23" s="227">
        <v>0.86805555555555558</v>
      </c>
      <c r="AE23" s="228" t="s">
        <v>593</v>
      </c>
      <c r="AF23" s="235">
        <v>0.89375000000000004</v>
      </c>
      <c r="AG23" s="95">
        <f>AF23-V23</f>
        <v>0.35902777777777783</v>
      </c>
      <c r="AH23" s="95">
        <f>AG23-AI23</f>
        <v>0.31249999999999989</v>
      </c>
      <c r="AI23" s="99">
        <f>AA23-Y23</f>
        <v>4.6527777777777946E-2</v>
      </c>
    </row>
    <row r="24" spans="2:35" ht="15.75" thickBot="1" x14ac:dyDescent="0.3">
      <c r="B24" s="376" t="s">
        <v>328</v>
      </c>
      <c r="C24" s="108" t="s">
        <v>329</v>
      </c>
      <c r="D24" s="227">
        <v>0.52430555555555558</v>
      </c>
      <c r="E24" s="228">
        <v>0.55208333333333337</v>
      </c>
      <c r="F24" s="235" t="s">
        <v>287</v>
      </c>
      <c r="G24" s="227">
        <v>0.69791666666666663</v>
      </c>
      <c r="H24" s="228" t="s">
        <v>288</v>
      </c>
      <c r="I24" s="228">
        <v>0.75486111111111109</v>
      </c>
      <c r="J24" s="228">
        <v>0.76041666666666663</v>
      </c>
      <c r="K24" s="229" t="s">
        <v>288</v>
      </c>
      <c r="L24" s="227">
        <v>0.88541666666666663</v>
      </c>
      <c r="M24" s="228" t="s">
        <v>317</v>
      </c>
      <c r="N24" s="229">
        <v>0.91111111111111109</v>
      </c>
      <c r="O24" s="95">
        <f t="shared" si="0"/>
        <v>0.38680555555555551</v>
      </c>
      <c r="P24" s="95">
        <f t="shared" si="1"/>
        <v>0.32986111111111105</v>
      </c>
      <c r="Q24" s="99">
        <f t="shared" si="2"/>
        <v>5.6944444444444464E-2</v>
      </c>
      <c r="R24" s="99"/>
      <c r="T24" s="376" t="s">
        <v>320</v>
      </c>
      <c r="U24" s="108" t="s">
        <v>321</v>
      </c>
      <c r="V24" s="227">
        <v>0.52916666666666667</v>
      </c>
      <c r="W24" s="228">
        <v>0.53125</v>
      </c>
      <c r="X24" s="229" t="s">
        <v>592</v>
      </c>
      <c r="Y24" s="227">
        <v>0.625</v>
      </c>
      <c r="Z24" s="228" t="s">
        <v>593</v>
      </c>
      <c r="AA24" s="228">
        <v>0.69236111111111098</v>
      </c>
      <c r="AB24" s="228">
        <v>0.69791666666666663</v>
      </c>
      <c r="AC24" s="229" t="s">
        <v>593</v>
      </c>
      <c r="AD24" s="227">
        <v>0.90972222222222221</v>
      </c>
      <c r="AE24" s="228" t="s">
        <v>592</v>
      </c>
      <c r="AF24" s="235">
        <v>0.90972222222222221</v>
      </c>
      <c r="AG24" s="95">
        <f>AF24-V24</f>
        <v>0.38055555555555554</v>
      </c>
      <c r="AH24" s="95">
        <f>AG24-AI24</f>
        <v>0.31319444444444455</v>
      </c>
      <c r="AI24" s="99">
        <f>AA24-Y24</f>
        <v>6.7361111111110983E-2</v>
      </c>
    </row>
    <row r="25" spans="2:35" ht="15.75" thickBot="1" x14ac:dyDescent="0.3">
      <c r="B25" s="376" t="s">
        <v>330</v>
      </c>
      <c r="C25" s="108" t="s">
        <v>331</v>
      </c>
      <c r="D25" s="227">
        <v>0.53472222222222221</v>
      </c>
      <c r="E25" s="228">
        <v>0.5625</v>
      </c>
      <c r="F25" s="235" t="s">
        <v>288</v>
      </c>
      <c r="G25" s="227">
        <v>0.70833333333333337</v>
      </c>
      <c r="H25" s="228" t="s">
        <v>288</v>
      </c>
      <c r="I25" s="228">
        <v>0.77569444444444458</v>
      </c>
      <c r="J25" s="228">
        <v>0.78125</v>
      </c>
      <c r="K25" s="229" t="s">
        <v>288</v>
      </c>
      <c r="L25" s="227">
        <v>0.90625</v>
      </c>
      <c r="M25" s="228" t="s">
        <v>317</v>
      </c>
      <c r="N25" s="229">
        <v>0.93194444444444446</v>
      </c>
      <c r="O25" s="95">
        <f t="shared" si="0"/>
        <v>0.39722222222222225</v>
      </c>
      <c r="P25" s="95">
        <f t="shared" si="1"/>
        <v>0.32986111111111105</v>
      </c>
      <c r="Q25" s="99">
        <f t="shared" si="2"/>
        <v>6.7361111111111205E-2</v>
      </c>
      <c r="R25" s="99"/>
      <c r="U25" s="1197" t="s">
        <v>1299</v>
      </c>
      <c r="V25" s="1198"/>
      <c r="W25" s="1198"/>
      <c r="X25" s="1198"/>
      <c r="Y25" s="1198"/>
      <c r="Z25" s="1198"/>
      <c r="AA25" s="1198"/>
      <c r="AB25" s="1198"/>
      <c r="AC25" s="1198"/>
      <c r="AD25" s="1198"/>
      <c r="AE25" s="1198"/>
      <c r="AF25" s="1199"/>
    </row>
    <row r="26" spans="2:35" ht="15.75" thickBot="1" x14ac:dyDescent="0.3">
      <c r="B26" s="376" t="s">
        <v>332</v>
      </c>
      <c r="C26" s="108" t="s">
        <v>333</v>
      </c>
      <c r="D26" s="227">
        <v>0.54374999999999996</v>
      </c>
      <c r="E26" s="228">
        <v>0.5625</v>
      </c>
      <c r="F26" s="235" t="s">
        <v>289</v>
      </c>
      <c r="G26" s="227">
        <v>0.6875</v>
      </c>
      <c r="H26" s="228" t="s">
        <v>289</v>
      </c>
      <c r="I26" s="228">
        <v>0.72291666666666665</v>
      </c>
      <c r="J26" s="228">
        <v>0.72569444444444442</v>
      </c>
      <c r="K26" s="229" t="s">
        <v>288</v>
      </c>
      <c r="L26" s="227">
        <v>0.93055555555555558</v>
      </c>
      <c r="M26" s="228" t="s">
        <v>292</v>
      </c>
      <c r="N26" s="229">
        <v>0.93055555555555558</v>
      </c>
      <c r="O26" s="95">
        <f t="shared" si="0"/>
        <v>0.38680555555555562</v>
      </c>
      <c r="P26" s="95">
        <f t="shared" si="1"/>
        <v>0.35138888888888897</v>
      </c>
      <c r="Q26" s="99">
        <f t="shared" si="2"/>
        <v>3.5416666666666652E-2</v>
      </c>
      <c r="R26" s="99"/>
      <c r="U26" s="1197" t="s">
        <v>1299</v>
      </c>
      <c r="V26" s="1198"/>
      <c r="W26" s="1198"/>
      <c r="X26" s="1198"/>
      <c r="Y26" s="1198"/>
      <c r="Z26" s="1198"/>
      <c r="AA26" s="1198"/>
      <c r="AB26" s="1198"/>
      <c r="AC26" s="1198"/>
      <c r="AD26" s="1198"/>
      <c r="AE26" s="1198"/>
      <c r="AF26" s="1199"/>
    </row>
    <row r="27" spans="2:35" x14ac:dyDescent="0.25">
      <c r="B27" s="376" t="s">
        <v>334</v>
      </c>
      <c r="C27" s="108" t="s">
        <v>335</v>
      </c>
      <c r="D27" s="227">
        <v>0.55555555555555558</v>
      </c>
      <c r="E27" s="228">
        <v>0.58333333333333337</v>
      </c>
      <c r="F27" s="235" t="s">
        <v>288</v>
      </c>
      <c r="G27" s="227">
        <v>0.72569444444444442</v>
      </c>
      <c r="H27" s="228" t="s">
        <v>288</v>
      </c>
      <c r="I27" s="228">
        <v>0.76527777777777783</v>
      </c>
      <c r="J27" s="228">
        <v>0.77083333333333337</v>
      </c>
      <c r="K27" s="229" t="s">
        <v>288</v>
      </c>
      <c r="L27" s="227">
        <v>0.89583333333333337</v>
      </c>
      <c r="M27" s="228" t="s">
        <v>317</v>
      </c>
      <c r="N27" s="229">
        <v>0.92152777777777772</v>
      </c>
      <c r="O27" s="95">
        <f t="shared" si="0"/>
        <v>0.36597222222222214</v>
      </c>
      <c r="P27" s="95">
        <f t="shared" si="1"/>
        <v>0.32638888888888873</v>
      </c>
      <c r="Q27" s="99">
        <f t="shared" si="2"/>
        <v>3.9583333333333415E-2</v>
      </c>
      <c r="R27" s="99"/>
      <c r="T27" s="376" t="s">
        <v>324</v>
      </c>
      <c r="U27" s="108" t="s">
        <v>395</v>
      </c>
      <c r="V27" s="227">
        <v>0.56041666666666667</v>
      </c>
      <c r="W27" s="228">
        <v>0.5625</v>
      </c>
      <c r="X27" s="229" t="s">
        <v>592</v>
      </c>
      <c r="Y27" s="227">
        <v>0.65625</v>
      </c>
      <c r="Z27" s="228" t="s">
        <v>593</v>
      </c>
      <c r="AA27" s="228">
        <v>0.70277777777777795</v>
      </c>
      <c r="AB27" s="228">
        <v>0.70833333333333337</v>
      </c>
      <c r="AC27" s="229" t="s">
        <v>593</v>
      </c>
      <c r="AD27" s="227">
        <v>0.92013888888888884</v>
      </c>
      <c r="AE27" s="228" t="s">
        <v>592</v>
      </c>
      <c r="AF27" s="235">
        <v>0.92013888888888884</v>
      </c>
      <c r="AG27" s="95">
        <f>AF27-V27</f>
        <v>0.35972222222222217</v>
      </c>
      <c r="AH27" s="95">
        <f>AG27-AI27</f>
        <v>0.31319444444444422</v>
      </c>
      <c r="AI27" s="99">
        <f>AA27-Y27</f>
        <v>4.6527777777777946E-2</v>
      </c>
    </row>
    <row r="28" spans="2:35" x14ac:dyDescent="0.25">
      <c r="B28" s="376" t="s">
        <v>336</v>
      </c>
      <c r="C28" s="108" t="s">
        <v>337</v>
      </c>
      <c r="D28" s="227">
        <v>0.55694444444444446</v>
      </c>
      <c r="E28" s="228">
        <v>0.55902777777777779</v>
      </c>
      <c r="F28" s="235" t="s">
        <v>287</v>
      </c>
      <c r="G28" s="227">
        <v>0.65625</v>
      </c>
      <c r="H28" s="228" t="s">
        <v>288</v>
      </c>
      <c r="I28" s="228">
        <v>0.69236111111111098</v>
      </c>
      <c r="J28" s="228">
        <v>0.69791666666666663</v>
      </c>
      <c r="K28" s="229" t="s">
        <v>288</v>
      </c>
      <c r="L28" s="227">
        <v>0.90625</v>
      </c>
      <c r="M28" s="228" t="s">
        <v>292</v>
      </c>
      <c r="N28" s="229">
        <v>0.90625</v>
      </c>
      <c r="O28" s="95">
        <f t="shared" si="0"/>
        <v>0.34930555555555554</v>
      </c>
      <c r="P28" s="95">
        <f t="shared" si="1"/>
        <v>0.31319444444444455</v>
      </c>
      <c r="Q28" s="99">
        <f t="shared" si="2"/>
        <v>3.6111111111110983E-2</v>
      </c>
      <c r="R28" s="99"/>
      <c r="T28" s="376" t="s">
        <v>326</v>
      </c>
      <c r="U28" s="108" t="s">
        <v>327</v>
      </c>
      <c r="V28" s="227">
        <v>0.5854166666666667</v>
      </c>
      <c r="W28" s="228">
        <v>0.60416666666666663</v>
      </c>
      <c r="X28" s="229" t="s">
        <v>594</v>
      </c>
      <c r="Y28" s="227">
        <v>0.70833333333333337</v>
      </c>
      <c r="Z28" s="228" t="s">
        <v>594</v>
      </c>
      <c r="AA28" s="228">
        <v>0.75763888888888886</v>
      </c>
      <c r="AB28" s="228">
        <v>0.76041666666666663</v>
      </c>
      <c r="AC28" s="229" t="s">
        <v>593</v>
      </c>
      <c r="AD28" s="227">
        <v>0.88194444444444442</v>
      </c>
      <c r="AE28" s="228" t="s">
        <v>593</v>
      </c>
      <c r="AF28" s="229">
        <v>0.90763888888888888</v>
      </c>
      <c r="AG28" s="95">
        <f>AF28-V28</f>
        <v>0.32222222222222219</v>
      </c>
      <c r="AH28" s="95">
        <f>AG28-AI28</f>
        <v>0.2729166666666667</v>
      </c>
      <c r="AI28" s="99">
        <f>AA28-Y28</f>
        <v>4.9305555555555491E-2</v>
      </c>
    </row>
    <row r="29" spans="2:35" ht="15.75" thickBot="1" x14ac:dyDescent="0.3">
      <c r="B29" s="379" t="s">
        <v>338</v>
      </c>
      <c r="C29" s="109" t="s">
        <v>339</v>
      </c>
      <c r="D29" s="236">
        <v>0.58680555555555558</v>
      </c>
      <c r="E29" s="237">
        <v>0.61458333333333337</v>
      </c>
      <c r="F29" s="239" t="s">
        <v>288</v>
      </c>
      <c r="G29" s="236">
        <v>0.76041666666666663</v>
      </c>
      <c r="H29" s="237" t="s">
        <v>288</v>
      </c>
      <c r="I29" s="237">
        <v>0.80972222222222212</v>
      </c>
      <c r="J29" s="237">
        <v>0.8125</v>
      </c>
      <c r="K29" s="238" t="s">
        <v>289</v>
      </c>
      <c r="L29" s="236">
        <v>0.88541666666666663</v>
      </c>
      <c r="M29" s="237" t="s">
        <v>292</v>
      </c>
      <c r="N29" s="238">
        <v>0.88541666666666663</v>
      </c>
      <c r="O29" s="103">
        <f t="shared" si="0"/>
        <v>0.29861111111111105</v>
      </c>
      <c r="P29" s="103">
        <f t="shared" si="1"/>
        <v>0.24930555555555556</v>
      </c>
      <c r="Q29" s="104">
        <f t="shared" si="2"/>
        <v>4.9305555555555491E-2</v>
      </c>
      <c r="R29" s="104"/>
      <c r="T29" s="376" t="s">
        <v>328</v>
      </c>
      <c r="U29" s="108" t="s">
        <v>329</v>
      </c>
      <c r="V29" s="227">
        <v>0.59166666666666667</v>
      </c>
      <c r="W29" s="228">
        <v>0.59375</v>
      </c>
      <c r="X29" s="229" t="s">
        <v>592</v>
      </c>
      <c r="Y29" s="227">
        <v>0.75</v>
      </c>
      <c r="Z29" s="228" t="s">
        <v>593</v>
      </c>
      <c r="AA29" s="228">
        <v>0.80972222222222223</v>
      </c>
      <c r="AB29" s="228">
        <v>0.8125</v>
      </c>
      <c r="AC29" s="229" t="s">
        <v>594</v>
      </c>
      <c r="AD29" s="227">
        <v>0.88194444444444442</v>
      </c>
      <c r="AE29" s="228" t="s">
        <v>592</v>
      </c>
      <c r="AF29" s="229">
        <v>0.88194444444444442</v>
      </c>
      <c r="AG29" s="95">
        <f>AF29-V29</f>
        <v>0.29027777777777775</v>
      </c>
      <c r="AH29" s="95">
        <f>AG29-AI29</f>
        <v>0.23055555555555551</v>
      </c>
      <c r="AI29" s="99">
        <f>AA29-Y29</f>
        <v>5.9722222222222232E-2</v>
      </c>
    </row>
    <row r="30" spans="2:35" x14ac:dyDescent="0.25">
      <c r="B30" s="374" t="s">
        <v>340</v>
      </c>
      <c r="C30" s="111" t="s">
        <v>341</v>
      </c>
      <c r="D30" s="227">
        <v>0.60624999999999996</v>
      </c>
      <c r="E30" s="228">
        <v>0.625</v>
      </c>
      <c r="F30" s="229" t="s">
        <v>289</v>
      </c>
      <c r="G30" s="227">
        <v>0.75</v>
      </c>
      <c r="H30" s="228" t="s">
        <v>289</v>
      </c>
      <c r="I30" s="228">
        <v>0.80972222222222223</v>
      </c>
      <c r="J30" s="228">
        <v>0.8125</v>
      </c>
      <c r="K30" s="229" t="s">
        <v>317</v>
      </c>
      <c r="L30" s="227">
        <v>1.0208333333333333</v>
      </c>
      <c r="M30" s="228" t="s">
        <v>292</v>
      </c>
      <c r="N30" s="229">
        <v>1.0208333333333333</v>
      </c>
      <c r="O30" s="106">
        <f t="shared" si="0"/>
        <v>0.4145833333333333</v>
      </c>
      <c r="P30" s="106">
        <f t="shared" si="1"/>
        <v>0.35486111111111107</v>
      </c>
      <c r="Q30" s="107">
        <f t="shared" si="2"/>
        <v>5.9722222222222232E-2</v>
      </c>
      <c r="R30" s="1142" t="s">
        <v>280</v>
      </c>
    </row>
    <row r="31" spans="2:35" ht="15.75" thickBot="1" x14ac:dyDescent="0.3">
      <c r="B31" s="375" t="s">
        <v>342</v>
      </c>
      <c r="C31" s="96" t="s">
        <v>343</v>
      </c>
      <c r="D31" s="241">
        <v>0.61250000000000004</v>
      </c>
      <c r="E31" s="242">
        <v>0.61458333333333337</v>
      </c>
      <c r="F31" s="243" t="s">
        <v>287</v>
      </c>
      <c r="G31" s="227">
        <v>0.80555555555555558</v>
      </c>
      <c r="H31" s="228" t="s">
        <v>292</v>
      </c>
      <c r="I31" s="228">
        <v>0.86250000000000016</v>
      </c>
      <c r="J31" s="228">
        <v>0.86458333333333337</v>
      </c>
      <c r="K31" s="229" t="s">
        <v>287</v>
      </c>
      <c r="L31" s="227">
        <v>1.0069444444444444</v>
      </c>
      <c r="M31" s="228" t="s">
        <v>292</v>
      </c>
      <c r="N31" s="229">
        <v>1.0069444444444444</v>
      </c>
      <c r="O31" s="95">
        <f t="shared" si="0"/>
        <v>0.39444444444444438</v>
      </c>
      <c r="P31" s="95">
        <f t="shared" si="1"/>
        <v>0.3374999999999998</v>
      </c>
      <c r="Q31" s="99">
        <f t="shared" si="2"/>
        <v>5.6944444444444575E-2</v>
      </c>
      <c r="R31" s="99"/>
      <c r="T31" s="375" t="s">
        <v>332</v>
      </c>
      <c r="U31" s="108" t="s">
        <v>333</v>
      </c>
      <c r="V31" s="241">
        <v>0.61805555555555558</v>
      </c>
      <c r="W31" s="242">
        <v>0.64583333333333337</v>
      </c>
      <c r="X31" s="243" t="s">
        <v>593</v>
      </c>
      <c r="Y31" s="241">
        <v>0.78472222222222221</v>
      </c>
      <c r="Z31" s="242" t="s">
        <v>593</v>
      </c>
      <c r="AA31" s="242">
        <v>0.84861111111111109</v>
      </c>
      <c r="AB31" s="242">
        <v>0.85416666666666663</v>
      </c>
      <c r="AC31" s="243" t="s">
        <v>593</v>
      </c>
      <c r="AD31" s="241">
        <v>1.0173611111111112</v>
      </c>
      <c r="AE31" s="242" t="s">
        <v>592</v>
      </c>
      <c r="AF31" s="243">
        <v>1.0173611111111112</v>
      </c>
      <c r="AG31" s="95">
        <f>AF31-V31</f>
        <v>0.39930555555555558</v>
      </c>
      <c r="AH31" s="95">
        <f>AG31-AI31</f>
        <v>0.3354166666666667</v>
      </c>
      <c r="AI31" s="99">
        <f>AA31-Y31</f>
        <v>6.3888888888888884E-2</v>
      </c>
    </row>
    <row r="32" spans="2:35" ht="15.75" thickBot="1" x14ac:dyDescent="0.3">
      <c r="B32" s="375" t="s">
        <v>344</v>
      </c>
      <c r="C32" s="96" t="s">
        <v>345</v>
      </c>
      <c r="D32" s="227">
        <v>0.61805555555555558</v>
      </c>
      <c r="E32" s="228">
        <v>0.64583333333333337</v>
      </c>
      <c r="F32" s="229" t="s">
        <v>288</v>
      </c>
      <c r="G32" s="227"/>
      <c r="H32" s="228"/>
      <c r="I32" s="228"/>
      <c r="J32" s="228"/>
      <c r="K32" s="229"/>
      <c r="L32" s="227">
        <v>0.87152777777777779</v>
      </c>
      <c r="M32" s="228" t="s">
        <v>292</v>
      </c>
      <c r="N32" s="229">
        <v>0.87152777777777779</v>
      </c>
      <c r="O32" s="95">
        <f t="shared" si="0"/>
        <v>0.25347222222222221</v>
      </c>
      <c r="P32" s="95">
        <f t="shared" si="1"/>
        <v>0.25347222222222221</v>
      </c>
      <c r="Q32" s="99">
        <f t="shared" si="2"/>
        <v>0</v>
      </c>
      <c r="R32" s="99"/>
      <c r="U32" s="1197" t="s">
        <v>1303</v>
      </c>
      <c r="V32" s="1198"/>
      <c r="W32" s="1198"/>
      <c r="X32" s="1198"/>
      <c r="Y32" s="1198"/>
      <c r="Z32" s="1198"/>
      <c r="AA32" s="1198"/>
      <c r="AB32" s="1198"/>
      <c r="AC32" s="1198"/>
      <c r="AD32" s="1198"/>
      <c r="AE32" s="1198"/>
      <c r="AF32" s="1199"/>
    </row>
    <row r="33" spans="2:35" ht="15.75" thickBot="1" x14ac:dyDescent="0.3">
      <c r="B33" s="375" t="s">
        <v>346</v>
      </c>
      <c r="C33" s="96" t="s">
        <v>347</v>
      </c>
      <c r="D33" s="227">
        <v>0.61944444444444446</v>
      </c>
      <c r="E33" s="228">
        <v>0.62152777777777779</v>
      </c>
      <c r="F33" s="229" t="s">
        <v>287</v>
      </c>
      <c r="G33" s="227">
        <v>0.78125</v>
      </c>
      <c r="H33" s="228" t="s">
        <v>289</v>
      </c>
      <c r="I33" s="228">
        <v>0.84097222222222223</v>
      </c>
      <c r="J33" s="228">
        <v>0.84375</v>
      </c>
      <c r="K33" s="229" t="s">
        <v>317</v>
      </c>
      <c r="L33" s="227">
        <v>1.0173611111111112</v>
      </c>
      <c r="M33" s="228" t="s">
        <v>292</v>
      </c>
      <c r="N33" s="229">
        <v>1.0173611111111112</v>
      </c>
      <c r="O33" s="95">
        <f t="shared" si="0"/>
        <v>0.3979166666666667</v>
      </c>
      <c r="P33" s="95">
        <f t="shared" si="1"/>
        <v>0.33819444444444446</v>
      </c>
      <c r="Q33" s="99">
        <f t="shared" si="2"/>
        <v>5.9722222222222232E-2</v>
      </c>
      <c r="R33" s="1141" t="s">
        <v>280</v>
      </c>
    </row>
    <row r="34" spans="2:35" ht="15.75" thickBot="1" x14ac:dyDescent="0.3">
      <c r="B34" s="375" t="s">
        <v>348</v>
      </c>
      <c r="C34" s="96" t="s">
        <v>349</v>
      </c>
      <c r="D34" s="227">
        <v>0.63888888888888884</v>
      </c>
      <c r="E34" s="228">
        <v>0.66666666666666663</v>
      </c>
      <c r="F34" s="229" t="s">
        <v>288</v>
      </c>
      <c r="G34" s="227"/>
      <c r="H34" s="228"/>
      <c r="I34" s="228"/>
      <c r="J34" s="228"/>
      <c r="K34" s="229"/>
      <c r="L34" s="227">
        <v>0.88194444444444442</v>
      </c>
      <c r="M34" s="228" t="s">
        <v>292</v>
      </c>
      <c r="N34" s="229">
        <v>0.88194444444444442</v>
      </c>
      <c r="O34" s="95">
        <f t="shared" si="0"/>
        <v>0.24305555555555558</v>
      </c>
      <c r="P34" s="95">
        <f t="shared" si="1"/>
        <v>0.24305555555555558</v>
      </c>
      <c r="Q34" s="99">
        <f t="shared" si="2"/>
        <v>0</v>
      </c>
      <c r="R34" s="99"/>
      <c r="U34" s="1197" t="s">
        <v>1303</v>
      </c>
      <c r="V34" s="1198"/>
      <c r="W34" s="1198"/>
      <c r="X34" s="1198"/>
      <c r="Y34" s="1198"/>
      <c r="Z34" s="1198"/>
      <c r="AA34" s="1198"/>
      <c r="AB34" s="1198"/>
      <c r="AC34" s="1198"/>
      <c r="AD34" s="1198"/>
      <c r="AE34" s="1198"/>
      <c r="AF34" s="1199"/>
    </row>
    <row r="35" spans="2:35" x14ac:dyDescent="0.25">
      <c r="B35" s="375" t="s">
        <v>350</v>
      </c>
      <c r="C35" s="96" t="s">
        <v>351</v>
      </c>
      <c r="D35" s="227">
        <v>0.64027777777777772</v>
      </c>
      <c r="E35" s="228">
        <v>0.64236111111111116</v>
      </c>
      <c r="F35" s="229" t="s">
        <v>287</v>
      </c>
      <c r="G35" s="227">
        <v>0.8125</v>
      </c>
      <c r="H35" s="228" t="s">
        <v>289</v>
      </c>
      <c r="I35" s="228">
        <v>0.88263888888888886</v>
      </c>
      <c r="J35" s="228">
        <v>0.88541666666666663</v>
      </c>
      <c r="K35" s="229" t="s">
        <v>317</v>
      </c>
      <c r="L35" s="227">
        <v>1.0034722222222223</v>
      </c>
      <c r="M35" s="228" t="s">
        <v>292</v>
      </c>
      <c r="N35" s="229">
        <v>1.0034722222222223</v>
      </c>
      <c r="O35" s="95">
        <f t="shared" si="0"/>
        <v>0.3631944444444446</v>
      </c>
      <c r="P35" s="95">
        <f t="shared" si="1"/>
        <v>0.29305555555555574</v>
      </c>
      <c r="Q35" s="99">
        <f t="shared" si="2"/>
        <v>7.0138888888888862E-2</v>
      </c>
      <c r="R35" s="1141" t="s">
        <v>280</v>
      </c>
    </row>
    <row r="36" spans="2:35" x14ac:dyDescent="0.25">
      <c r="B36" s="375" t="s">
        <v>352</v>
      </c>
      <c r="C36" s="96" t="s">
        <v>353</v>
      </c>
      <c r="D36" s="227">
        <v>0.65972222222222221</v>
      </c>
      <c r="E36" s="228">
        <v>0.6875</v>
      </c>
      <c r="F36" s="229" t="s">
        <v>288</v>
      </c>
      <c r="G36" s="227">
        <v>0.82291666666666663</v>
      </c>
      <c r="H36" s="228" t="s">
        <v>317</v>
      </c>
      <c r="I36" s="228">
        <v>0.85902777777777783</v>
      </c>
      <c r="J36" s="228">
        <v>0.86458333333333337</v>
      </c>
      <c r="K36" s="229" t="s">
        <v>317</v>
      </c>
      <c r="L36" s="227">
        <v>1.0277777777777777</v>
      </c>
      <c r="M36" s="228" t="s">
        <v>292</v>
      </c>
      <c r="N36" s="229">
        <v>1.0277777777777777</v>
      </c>
      <c r="O36" s="95">
        <f t="shared" si="0"/>
        <v>0.36805555555555547</v>
      </c>
      <c r="P36" s="95">
        <f t="shared" si="1"/>
        <v>0.33194444444444426</v>
      </c>
      <c r="Q36" s="99">
        <f t="shared" si="2"/>
        <v>3.6111111111111205E-2</v>
      </c>
      <c r="R36" s="99"/>
      <c r="T36" s="375" t="s">
        <v>338</v>
      </c>
      <c r="U36" s="108" t="s">
        <v>397</v>
      </c>
      <c r="V36" s="227">
        <v>0.64930555555555558</v>
      </c>
      <c r="W36" s="228">
        <v>0.67708333333333337</v>
      </c>
      <c r="X36" s="229" t="s">
        <v>593</v>
      </c>
      <c r="Y36" s="227">
        <v>0.8125</v>
      </c>
      <c r="Z36" s="228" t="s">
        <v>593</v>
      </c>
      <c r="AA36" s="228">
        <v>0.87638888888888888</v>
      </c>
      <c r="AB36" s="228">
        <v>0.88194444444444442</v>
      </c>
      <c r="AC36" s="229" t="s">
        <v>593</v>
      </c>
      <c r="AD36" s="227">
        <v>1.0416666666666667</v>
      </c>
      <c r="AE36" s="228" t="s">
        <v>592</v>
      </c>
      <c r="AF36" s="229">
        <v>1.0416666666666667</v>
      </c>
      <c r="AG36" s="95">
        <f>AF36-V36</f>
        <v>0.39236111111111116</v>
      </c>
      <c r="AH36" s="95">
        <f>AG36-AI36</f>
        <v>0.32847222222222228</v>
      </c>
      <c r="AI36" s="99">
        <f>AA36-Y36</f>
        <v>6.3888888888888884E-2</v>
      </c>
    </row>
    <row r="37" spans="2:35" x14ac:dyDescent="0.25">
      <c r="B37" s="383" t="s">
        <v>354</v>
      </c>
      <c r="C37" s="96" t="s">
        <v>355</v>
      </c>
      <c r="D37" s="227">
        <v>0.66874999999999996</v>
      </c>
      <c r="E37" s="228">
        <v>0.6875</v>
      </c>
      <c r="F37" s="229" t="s">
        <v>289</v>
      </c>
      <c r="G37" s="227">
        <v>0.84027777777777779</v>
      </c>
      <c r="H37" s="228" t="s">
        <v>292</v>
      </c>
      <c r="I37" s="228">
        <v>0.8833333333333333</v>
      </c>
      <c r="J37" s="228">
        <v>0.88541666666666663</v>
      </c>
      <c r="K37" s="229" t="s">
        <v>287</v>
      </c>
      <c r="L37" s="227">
        <v>1.0243055555555556</v>
      </c>
      <c r="M37" s="228" t="s">
        <v>292</v>
      </c>
      <c r="N37" s="229">
        <v>1.0243055555555556</v>
      </c>
      <c r="O37" s="95">
        <f t="shared" si="0"/>
        <v>0.35555555555555562</v>
      </c>
      <c r="P37" s="95">
        <f t="shared" si="1"/>
        <v>0.31250000000000011</v>
      </c>
      <c r="Q37" s="99">
        <f t="shared" si="2"/>
        <v>4.3055555555555514E-2</v>
      </c>
      <c r="R37" s="99"/>
      <c r="T37" s="375" t="s">
        <v>340</v>
      </c>
      <c r="U37" s="108" t="s">
        <v>339</v>
      </c>
      <c r="V37" s="227">
        <v>0.65972222222222221</v>
      </c>
      <c r="W37" s="228">
        <v>0.6875</v>
      </c>
      <c r="X37" s="229" t="s">
        <v>593</v>
      </c>
      <c r="Y37" s="227">
        <v>0.84375</v>
      </c>
      <c r="Z37" s="228" t="s">
        <v>592</v>
      </c>
      <c r="AA37" s="228">
        <v>0.90069444444444446</v>
      </c>
      <c r="AB37" s="228">
        <v>0.90277777777777779</v>
      </c>
      <c r="AC37" s="229" t="s">
        <v>592</v>
      </c>
      <c r="AD37" s="227">
        <v>1.0277777777777777</v>
      </c>
      <c r="AE37" s="228" t="s">
        <v>592</v>
      </c>
      <c r="AF37" s="229">
        <v>1.0277777777777777</v>
      </c>
      <c r="AG37" s="95">
        <f>AF37-V37</f>
        <v>0.36805555555555547</v>
      </c>
      <c r="AH37" s="95">
        <f>AG37-AI37</f>
        <v>0.31111111111111101</v>
      </c>
      <c r="AI37" s="99">
        <f>AA37-Y37</f>
        <v>5.6944444444444464E-2</v>
      </c>
    </row>
    <row r="38" spans="2:35" x14ac:dyDescent="0.25">
      <c r="B38" s="383" t="s">
        <v>356</v>
      </c>
      <c r="C38" s="96" t="s">
        <v>357</v>
      </c>
      <c r="D38" s="227">
        <v>0.68888888888888888</v>
      </c>
      <c r="E38" s="228">
        <v>0.69097222222222221</v>
      </c>
      <c r="F38" s="229" t="s">
        <v>287</v>
      </c>
      <c r="G38" s="227">
        <v>0.80902777777777779</v>
      </c>
      <c r="H38" s="228" t="s">
        <v>292</v>
      </c>
      <c r="I38" s="228">
        <v>0.84930555555555565</v>
      </c>
      <c r="J38" s="228">
        <v>0.875</v>
      </c>
      <c r="K38" s="229" t="s">
        <v>317</v>
      </c>
      <c r="L38" s="227">
        <v>1.0347222222222223</v>
      </c>
      <c r="M38" s="228" t="s">
        <v>292</v>
      </c>
      <c r="N38" s="229">
        <v>1.0347222222222223</v>
      </c>
      <c r="O38" s="95">
        <f t="shared" si="0"/>
        <v>0.34583333333333344</v>
      </c>
      <c r="P38" s="95">
        <f t="shared" si="1"/>
        <v>0.30555555555555558</v>
      </c>
      <c r="Q38" s="99">
        <f t="shared" si="2"/>
        <v>4.0277777777777857E-2</v>
      </c>
      <c r="R38" s="1141" t="s">
        <v>280</v>
      </c>
    </row>
    <row r="39" spans="2:35" x14ac:dyDescent="0.25">
      <c r="B39" s="383" t="s">
        <v>358</v>
      </c>
      <c r="C39" s="96" t="s">
        <v>359</v>
      </c>
      <c r="D39" s="227">
        <v>0.69097222222222221</v>
      </c>
      <c r="E39" s="228">
        <v>0.71875</v>
      </c>
      <c r="F39" s="229" t="s">
        <v>288</v>
      </c>
      <c r="G39" s="227">
        <v>0.84375</v>
      </c>
      <c r="H39" s="228" t="s">
        <v>317</v>
      </c>
      <c r="I39" s="228">
        <v>0.89027777777777772</v>
      </c>
      <c r="J39" s="228">
        <v>0.89583333333333337</v>
      </c>
      <c r="K39" s="229" t="s">
        <v>317</v>
      </c>
      <c r="L39" s="227">
        <v>1.0069444444444444</v>
      </c>
      <c r="M39" s="228" t="s">
        <v>292</v>
      </c>
      <c r="N39" s="229">
        <v>1.0069444444444444</v>
      </c>
      <c r="O39" s="95">
        <f t="shared" si="0"/>
        <v>0.31597222222222221</v>
      </c>
      <c r="P39" s="95">
        <f t="shared" si="1"/>
        <v>0.26944444444444449</v>
      </c>
      <c r="Q39" s="99">
        <f t="shared" si="2"/>
        <v>4.6527777777777724E-2</v>
      </c>
      <c r="R39" s="99"/>
      <c r="T39" s="375" t="s">
        <v>336</v>
      </c>
      <c r="U39" s="108" t="s">
        <v>337</v>
      </c>
      <c r="V39" s="227">
        <v>0.64375000000000004</v>
      </c>
      <c r="W39" s="228">
        <v>0.64583333333333337</v>
      </c>
      <c r="X39" s="229" t="s">
        <v>592</v>
      </c>
      <c r="Y39" s="227">
        <v>0.72916666666666663</v>
      </c>
      <c r="Z39" s="228" t="s">
        <v>593</v>
      </c>
      <c r="AA39" s="228">
        <v>0.80694444444444446</v>
      </c>
      <c r="AB39" s="228">
        <v>0.8125</v>
      </c>
      <c r="AC39" s="229" t="s">
        <v>593</v>
      </c>
      <c r="AD39" s="227">
        <v>1.0381944444444444</v>
      </c>
      <c r="AE39" s="228" t="s">
        <v>592</v>
      </c>
      <c r="AF39" s="229">
        <v>1.0381944444444444</v>
      </c>
      <c r="AG39" s="95">
        <f>AF39-V39</f>
        <v>0.39444444444444438</v>
      </c>
      <c r="AH39" s="95">
        <f>AG39-AI39</f>
        <v>0.31666666666666654</v>
      </c>
      <c r="AI39" s="99">
        <f>AA39-Y39</f>
        <v>7.7777777777777835E-2</v>
      </c>
    </row>
    <row r="40" spans="2:35" x14ac:dyDescent="0.25">
      <c r="B40" s="375" t="s">
        <v>360</v>
      </c>
      <c r="C40" s="96" t="s">
        <v>361</v>
      </c>
      <c r="D40" s="227">
        <v>0.73124999999999996</v>
      </c>
      <c r="E40" s="228">
        <v>0.75</v>
      </c>
      <c r="F40" s="229" t="s">
        <v>289</v>
      </c>
      <c r="G40" s="227">
        <v>0.85416666666666663</v>
      </c>
      <c r="H40" s="228" t="s">
        <v>289</v>
      </c>
      <c r="I40" s="228">
        <v>0.90347222222222212</v>
      </c>
      <c r="J40" s="228">
        <v>0.90625</v>
      </c>
      <c r="K40" s="229" t="s">
        <v>317</v>
      </c>
      <c r="L40" s="227">
        <v>1.0173611111111112</v>
      </c>
      <c r="M40" s="228" t="s">
        <v>292</v>
      </c>
      <c r="N40" s="229">
        <v>1.0173611111111112</v>
      </c>
      <c r="O40" s="95">
        <f t="shared" si="0"/>
        <v>0.2861111111111112</v>
      </c>
      <c r="P40" s="95">
        <f t="shared" si="1"/>
        <v>0.23680555555555571</v>
      </c>
      <c r="Q40" s="99">
        <f t="shared" si="2"/>
        <v>4.9305555555555491E-2</v>
      </c>
      <c r="R40" s="99"/>
      <c r="T40" s="375" t="s">
        <v>342</v>
      </c>
      <c r="U40" s="108" t="s">
        <v>343</v>
      </c>
      <c r="V40" s="227">
        <v>0.69097222222222221</v>
      </c>
      <c r="W40" s="228">
        <v>0.71875</v>
      </c>
      <c r="X40" s="229" t="s">
        <v>593</v>
      </c>
      <c r="Y40" s="227">
        <v>0.85416666666666663</v>
      </c>
      <c r="Z40" s="228" t="s">
        <v>593</v>
      </c>
      <c r="AA40" s="228">
        <v>0.90416666666666667</v>
      </c>
      <c r="AB40" s="228">
        <v>0.90972222222222221</v>
      </c>
      <c r="AC40" s="229" t="s">
        <v>593</v>
      </c>
      <c r="AD40" s="227">
        <v>1.0208333333333333</v>
      </c>
      <c r="AE40" s="228" t="s">
        <v>592</v>
      </c>
      <c r="AF40" s="229">
        <v>1.0208333333333333</v>
      </c>
      <c r="AG40" s="95">
        <f>AF40-V40</f>
        <v>0.32986111111111105</v>
      </c>
      <c r="AH40" s="95">
        <f>AG40-AI40</f>
        <v>0.27986111111111101</v>
      </c>
      <c r="AI40" s="99">
        <f>AA40-Y40</f>
        <v>5.0000000000000044E-2</v>
      </c>
    </row>
    <row r="41" spans="2:35" ht="15.75" thickBot="1" x14ac:dyDescent="0.3">
      <c r="B41" s="375" t="s">
        <v>362</v>
      </c>
      <c r="C41" s="96" t="s">
        <v>363</v>
      </c>
      <c r="D41" s="227">
        <v>0.79513888888888884</v>
      </c>
      <c r="E41" s="228">
        <v>0.82291666666666663</v>
      </c>
      <c r="F41" s="229" t="s">
        <v>317</v>
      </c>
      <c r="G41" s="227"/>
      <c r="H41" s="228"/>
      <c r="I41" s="228"/>
      <c r="J41" s="228"/>
      <c r="K41" s="229"/>
      <c r="L41" s="227">
        <v>1.0347222222222223</v>
      </c>
      <c r="M41" s="228" t="s">
        <v>292</v>
      </c>
      <c r="N41" s="229">
        <v>1.0347222222222223</v>
      </c>
      <c r="O41" s="95">
        <f t="shared" si="0"/>
        <v>0.23958333333333348</v>
      </c>
      <c r="P41" s="95">
        <f t="shared" si="1"/>
        <v>0.23958333333333348</v>
      </c>
      <c r="Q41" s="99">
        <f t="shared" si="2"/>
        <v>0</v>
      </c>
      <c r="R41" s="99"/>
      <c r="T41" s="375" t="s">
        <v>346</v>
      </c>
      <c r="U41" s="109" t="s">
        <v>347</v>
      </c>
      <c r="V41" s="236">
        <v>0.82777777777777772</v>
      </c>
      <c r="W41" s="237">
        <v>0.82986111111111116</v>
      </c>
      <c r="X41" s="238" t="s">
        <v>592</v>
      </c>
      <c r="Y41" s="236"/>
      <c r="Z41" s="237"/>
      <c r="AA41" s="237"/>
      <c r="AB41" s="237"/>
      <c r="AC41" s="238"/>
      <c r="AD41" s="236">
        <v>1.0381944444444444</v>
      </c>
      <c r="AE41" s="237" t="s">
        <v>592</v>
      </c>
      <c r="AF41" s="238">
        <v>1.0381944444444444</v>
      </c>
      <c r="AG41" s="103">
        <f>AF41-V41</f>
        <v>0.2104166666666667</v>
      </c>
      <c r="AH41" s="103">
        <f>AG41-AI41</f>
        <v>0.2104166666666667</v>
      </c>
      <c r="AI41" s="104">
        <f>AA41-Y41</f>
        <v>0</v>
      </c>
    </row>
    <row r="42" spans="2:35" ht="15.75" thickBot="1" x14ac:dyDescent="0.3">
      <c r="B42" s="112"/>
      <c r="C42" s="113"/>
      <c r="D42" s="114"/>
      <c r="E42" s="115"/>
      <c r="F42" s="116"/>
      <c r="G42" s="114"/>
      <c r="H42" s="115"/>
      <c r="I42" s="117"/>
      <c r="J42" s="115"/>
      <c r="K42" s="116"/>
      <c r="L42" s="118"/>
      <c r="M42" s="115"/>
      <c r="N42" s="119"/>
      <c r="O42" s="120"/>
      <c r="P42" s="121">
        <f>AVERAGE(P5:P41)</f>
        <v>0.28070570570570563</v>
      </c>
      <c r="Q42" s="122"/>
      <c r="R42" s="122"/>
    </row>
    <row r="43" spans="2:35" x14ac:dyDescent="0.25">
      <c r="B43" s="84" t="s">
        <v>272</v>
      </c>
      <c r="C43" s="85" t="s">
        <v>273</v>
      </c>
      <c r="D43" s="86" t="s">
        <v>274</v>
      </c>
      <c r="E43" s="87"/>
      <c r="F43" s="88"/>
      <c r="G43" s="86" t="s">
        <v>275</v>
      </c>
      <c r="H43" s="87"/>
      <c r="I43" s="87"/>
      <c r="J43" s="87"/>
      <c r="K43" s="88"/>
      <c r="L43" s="86" t="s">
        <v>276</v>
      </c>
      <c r="M43" s="87"/>
      <c r="N43" s="88"/>
      <c r="O43" s="84" t="s">
        <v>277</v>
      </c>
      <c r="P43" s="84" t="s">
        <v>278</v>
      </c>
      <c r="Q43" s="84" t="s">
        <v>279</v>
      </c>
      <c r="R43" s="84"/>
    </row>
    <row r="44" spans="2:35" ht="15.75" thickBot="1" x14ac:dyDescent="0.3">
      <c r="B44" s="89"/>
      <c r="C44" s="90"/>
      <c r="D44" s="94" t="s">
        <v>281</v>
      </c>
      <c r="E44" s="92" t="s">
        <v>282</v>
      </c>
      <c r="F44" s="93" t="s">
        <v>283</v>
      </c>
      <c r="G44" s="94" t="s">
        <v>274</v>
      </c>
      <c r="H44" s="92" t="s">
        <v>283</v>
      </c>
      <c r="I44" s="92" t="s">
        <v>281</v>
      </c>
      <c r="J44" s="92" t="s">
        <v>274</v>
      </c>
      <c r="K44" s="93" t="s">
        <v>283</v>
      </c>
      <c r="L44" s="94" t="s">
        <v>276</v>
      </c>
      <c r="M44" s="92" t="s">
        <v>283</v>
      </c>
      <c r="N44" s="93" t="s">
        <v>284</v>
      </c>
      <c r="O44" s="89"/>
      <c r="P44" s="89"/>
      <c r="Q44" s="89"/>
      <c r="R44" s="89"/>
    </row>
    <row r="45" spans="2:35" ht="15.75" thickBot="1" x14ac:dyDescent="0.3">
      <c r="B45" s="372" t="s">
        <v>364</v>
      </c>
      <c r="C45" s="123" t="s">
        <v>365</v>
      </c>
      <c r="D45" s="227">
        <v>0.3</v>
      </c>
      <c r="E45" s="228">
        <v>0.30555555555555558</v>
      </c>
      <c r="F45" s="229" t="s">
        <v>287</v>
      </c>
      <c r="G45" s="227">
        <v>0.41666666666666669</v>
      </c>
      <c r="H45" s="228" t="s">
        <v>288</v>
      </c>
      <c r="I45" s="228">
        <v>0.48402777777777778</v>
      </c>
      <c r="J45" s="228">
        <v>0.48958333333333331</v>
      </c>
      <c r="K45" s="229" t="s">
        <v>288</v>
      </c>
      <c r="L45" s="227">
        <v>0.63541666666666663</v>
      </c>
      <c r="M45" s="228" t="s">
        <v>288</v>
      </c>
      <c r="N45" s="229">
        <v>0.66111111111111109</v>
      </c>
      <c r="O45" s="95">
        <f t="shared" ref="O45:O55" si="6">N45-D45</f>
        <v>0.3611111111111111</v>
      </c>
      <c r="P45" s="95">
        <f t="shared" ref="P45:P55" si="7">O45-Q45</f>
        <v>0.29375000000000001</v>
      </c>
      <c r="Q45" s="99">
        <f t="shared" ref="Q45:Q55" si="8">I45-G45</f>
        <v>6.7361111111111094E-2</v>
      </c>
      <c r="R45" s="99"/>
      <c r="U45" s="1197" t="s">
        <v>1300</v>
      </c>
      <c r="V45" s="1198"/>
      <c r="W45" s="1198"/>
      <c r="X45" s="1198"/>
      <c r="Y45" s="1198"/>
      <c r="Z45" s="1198"/>
      <c r="AA45" s="1198"/>
      <c r="AB45" s="1198"/>
      <c r="AC45" s="1198"/>
      <c r="AD45" s="1198"/>
      <c r="AE45" s="1198"/>
      <c r="AF45" s="1199"/>
    </row>
    <row r="46" spans="2:35" ht="15.75" thickBot="1" x14ac:dyDescent="0.3">
      <c r="B46" s="375" t="s">
        <v>366</v>
      </c>
      <c r="C46" s="96" t="s">
        <v>367</v>
      </c>
      <c r="D46" s="227">
        <v>0.3034722222222222</v>
      </c>
      <c r="E46" s="228">
        <v>0.30902777777777779</v>
      </c>
      <c r="F46" s="229" t="s">
        <v>287</v>
      </c>
      <c r="G46" s="227">
        <v>0.4201388888888889</v>
      </c>
      <c r="H46" s="228" t="s">
        <v>292</v>
      </c>
      <c r="I46" s="228">
        <v>0.47430555555555554</v>
      </c>
      <c r="J46" s="228">
        <v>0.5</v>
      </c>
      <c r="K46" s="229" t="s">
        <v>288</v>
      </c>
      <c r="L46" s="227">
        <v>0.64583333333333337</v>
      </c>
      <c r="M46" s="228" t="s">
        <v>288</v>
      </c>
      <c r="N46" s="229">
        <v>0.67152777777777772</v>
      </c>
      <c r="O46" s="95">
        <f t="shared" si="6"/>
        <v>0.36805555555555552</v>
      </c>
      <c r="P46" s="95">
        <f t="shared" si="7"/>
        <v>0.31388888888888888</v>
      </c>
      <c r="Q46" s="99">
        <f t="shared" si="8"/>
        <v>5.4166666666666641E-2</v>
      </c>
      <c r="R46" s="99"/>
      <c r="T46" s="375" t="s">
        <v>364</v>
      </c>
      <c r="U46" s="111" t="s">
        <v>365</v>
      </c>
      <c r="V46" s="227">
        <v>0.3576388888888889</v>
      </c>
      <c r="W46" s="228">
        <v>0.38541666666666669</v>
      </c>
      <c r="X46" s="229" t="s">
        <v>593</v>
      </c>
      <c r="Y46" s="227">
        <v>0.51041666666666663</v>
      </c>
      <c r="Z46" s="228" t="s">
        <v>593</v>
      </c>
      <c r="AA46" s="228">
        <v>0.59861111111111098</v>
      </c>
      <c r="AB46" s="228">
        <v>0.60416666666666663</v>
      </c>
      <c r="AC46" s="229" t="s">
        <v>593</v>
      </c>
      <c r="AD46" s="227">
        <v>0.69097222222222221</v>
      </c>
      <c r="AE46" s="228" t="s">
        <v>592</v>
      </c>
      <c r="AF46" s="229">
        <v>0.69097222222222221</v>
      </c>
      <c r="AG46" s="95">
        <f>AF46-V46</f>
        <v>0.33333333333333331</v>
      </c>
      <c r="AH46" s="95">
        <f>AG46-AI46</f>
        <v>0.24513888888888896</v>
      </c>
      <c r="AI46" s="99">
        <f>AA46-Y46</f>
        <v>8.8194444444444353E-2</v>
      </c>
    </row>
    <row r="47" spans="2:35" ht="15.75" thickBot="1" x14ac:dyDescent="0.3">
      <c r="B47" s="375" t="s">
        <v>368</v>
      </c>
      <c r="C47" s="96" t="s">
        <v>369</v>
      </c>
      <c r="D47" s="227">
        <v>0.30694444444444446</v>
      </c>
      <c r="E47" s="228">
        <v>0.3125</v>
      </c>
      <c r="F47" s="229" t="s">
        <v>287</v>
      </c>
      <c r="G47" s="227">
        <v>0.43888888888888888</v>
      </c>
      <c r="H47" s="228" t="s">
        <v>292</v>
      </c>
      <c r="I47" s="228">
        <v>0.68194444444444446</v>
      </c>
      <c r="J47" s="228">
        <v>0.68402777777777779</v>
      </c>
      <c r="K47" s="229" t="s">
        <v>287</v>
      </c>
      <c r="L47" s="227">
        <v>0.80208333333333337</v>
      </c>
      <c r="M47" s="228" t="s">
        <v>292</v>
      </c>
      <c r="N47" s="229">
        <v>0.80208333333333337</v>
      </c>
      <c r="O47" s="95">
        <f t="shared" si="6"/>
        <v>0.49513888888888891</v>
      </c>
      <c r="P47" s="95">
        <f t="shared" si="7"/>
        <v>0.25208333333333333</v>
      </c>
      <c r="Q47" s="99">
        <f t="shared" si="8"/>
        <v>0.24305555555555558</v>
      </c>
      <c r="R47" s="99"/>
      <c r="U47" s="1197" t="s">
        <v>1300</v>
      </c>
      <c r="V47" s="1198"/>
      <c r="W47" s="1198"/>
      <c r="X47" s="1198"/>
      <c r="Y47" s="1198"/>
      <c r="Z47" s="1198"/>
      <c r="AA47" s="1198"/>
      <c r="AB47" s="1198"/>
      <c r="AC47" s="1198"/>
      <c r="AD47" s="1198"/>
      <c r="AE47" s="1198"/>
      <c r="AF47" s="1199"/>
    </row>
    <row r="48" spans="2:35" x14ac:dyDescent="0.25">
      <c r="B48" s="375" t="s">
        <v>370</v>
      </c>
      <c r="C48" s="96" t="s">
        <v>371</v>
      </c>
      <c r="D48" s="227">
        <v>0.31597222222222221</v>
      </c>
      <c r="E48" s="228">
        <v>0.34375</v>
      </c>
      <c r="F48" s="229" t="s">
        <v>288</v>
      </c>
      <c r="G48" s="227">
        <v>0.48958333333333331</v>
      </c>
      <c r="H48" s="228" t="s">
        <v>288</v>
      </c>
      <c r="I48" s="228">
        <v>0.59861111111111109</v>
      </c>
      <c r="J48" s="228">
        <v>0.60416666666666663</v>
      </c>
      <c r="K48" s="229" t="s">
        <v>288</v>
      </c>
      <c r="L48" s="227">
        <v>0.75</v>
      </c>
      <c r="M48" s="228" t="s">
        <v>288</v>
      </c>
      <c r="N48" s="229">
        <v>0.77569444444444446</v>
      </c>
      <c r="O48" s="95">
        <f t="shared" si="6"/>
        <v>0.45972222222222225</v>
      </c>
      <c r="P48" s="95">
        <f t="shared" si="7"/>
        <v>0.35069444444444448</v>
      </c>
      <c r="Q48" s="99">
        <f t="shared" si="8"/>
        <v>0.10902777777777778</v>
      </c>
      <c r="R48" s="99"/>
      <c r="T48" s="375" t="s">
        <v>372</v>
      </c>
      <c r="U48" s="111" t="s">
        <v>373</v>
      </c>
      <c r="V48" s="227">
        <v>0.3888888888888889</v>
      </c>
      <c r="W48" s="228">
        <v>0.41666666666666669</v>
      </c>
      <c r="X48" s="229" t="s">
        <v>593</v>
      </c>
      <c r="Y48" s="227">
        <v>0.55208333333333337</v>
      </c>
      <c r="Z48" s="228" t="s">
        <v>593</v>
      </c>
      <c r="AA48" s="228">
        <v>0.61944444444444458</v>
      </c>
      <c r="AB48" s="228">
        <v>0.625</v>
      </c>
      <c r="AC48" s="229" t="s">
        <v>593</v>
      </c>
      <c r="AD48" s="227">
        <v>0.76041666666666663</v>
      </c>
      <c r="AE48" s="228" t="s">
        <v>593</v>
      </c>
      <c r="AF48" s="229">
        <v>0.78611111111111109</v>
      </c>
      <c r="AG48" s="95">
        <f>AF48-V48</f>
        <v>0.3972222222222222</v>
      </c>
      <c r="AH48" s="95">
        <f>AG48-AI48</f>
        <v>0.32986111111111099</v>
      </c>
      <c r="AI48" s="99">
        <f>AA48-Y48</f>
        <v>6.7361111111111205E-2</v>
      </c>
    </row>
    <row r="49" spans="2:35" x14ac:dyDescent="0.25">
      <c r="B49" s="375" t="s">
        <v>372</v>
      </c>
      <c r="C49" s="96" t="s">
        <v>373</v>
      </c>
      <c r="D49" s="227">
        <v>0.3263888888888889</v>
      </c>
      <c r="E49" s="228">
        <v>0.35416666666666669</v>
      </c>
      <c r="F49" s="229" t="s">
        <v>288</v>
      </c>
      <c r="G49" s="227">
        <v>0.5</v>
      </c>
      <c r="H49" s="228" t="s">
        <v>288</v>
      </c>
      <c r="I49" s="228">
        <v>0.61944444444444446</v>
      </c>
      <c r="J49" s="228">
        <v>0.625</v>
      </c>
      <c r="K49" s="229" t="s">
        <v>288</v>
      </c>
      <c r="L49" s="227">
        <v>0.77083333333333337</v>
      </c>
      <c r="M49" s="228" t="s">
        <v>288</v>
      </c>
      <c r="N49" s="229">
        <v>0.79652777777777772</v>
      </c>
      <c r="O49" s="95">
        <f t="shared" si="6"/>
        <v>0.47013888888888883</v>
      </c>
      <c r="P49" s="95">
        <f t="shared" si="7"/>
        <v>0.35069444444444436</v>
      </c>
      <c r="Q49" s="99">
        <f t="shared" si="8"/>
        <v>0.11944444444444446</v>
      </c>
      <c r="R49" s="99"/>
      <c r="T49" s="375" t="s">
        <v>368</v>
      </c>
      <c r="U49" s="111" t="s">
        <v>369</v>
      </c>
      <c r="V49" s="227">
        <v>0.37708333333333333</v>
      </c>
      <c r="W49" s="228">
        <v>0.39583333333333331</v>
      </c>
      <c r="X49" s="229" t="s">
        <v>594</v>
      </c>
      <c r="Y49" s="227">
        <v>0.60416666666666663</v>
      </c>
      <c r="Z49" s="228" t="s">
        <v>594</v>
      </c>
      <c r="AA49" s="242">
        <v>0.65624999999999989</v>
      </c>
      <c r="AB49" s="242">
        <v>0.65625</v>
      </c>
      <c r="AC49" s="243" t="s">
        <v>594</v>
      </c>
      <c r="AD49" s="241">
        <v>0.76041666666666663</v>
      </c>
      <c r="AE49" s="242" t="s">
        <v>594</v>
      </c>
      <c r="AF49" s="243">
        <v>0.77708333333333335</v>
      </c>
      <c r="AG49" s="95">
        <f>AF49-V49</f>
        <v>0.4</v>
      </c>
      <c r="AH49" s="95">
        <f>AG49-AI49</f>
        <v>0.34791666666666676</v>
      </c>
      <c r="AI49" s="99">
        <f>AA49-Y49</f>
        <v>5.2083333333333259E-2</v>
      </c>
    </row>
    <row r="50" spans="2:35" x14ac:dyDescent="0.25">
      <c r="B50" s="375" t="s">
        <v>374</v>
      </c>
      <c r="C50" s="96" t="s">
        <v>375</v>
      </c>
      <c r="D50" s="227">
        <v>0.33680555555555558</v>
      </c>
      <c r="E50" s="228">
        <v>0.36458333333333331</v>
      </c>
      <c r="F50" s="229" t="s">
        <v>288</v>
      </c>
      <c r="G50" s="227">
        <v>0.51041666666666663</v>
      </c>
      <c r="H50" s="228" t="s">
        <v>288</v>
      </c>
      <c r="I50" s="228">
        <v>0.56736111111111109</v>
      </c>
      <c r="J50" s="228">
        <v>0.57291666666666663</v>
      </c>
      <c r="K50" s="229" t="s">
        <v>288</v>
      </c>
      <c r="L50" s="227">
        <v>0.71875</v>
      </c>
      <c r="M50" s="228" t="s">
        <v>288</v>
      </c>
      <c r="N50" s="229">
        <v>0.74444444444444446</v>
      </c>
      <c r="O50" s="95">
        <f t="shared" si="6"/>
        <v>0.40763888888888888</v>
      </c>
      <c r="P50" s="95">
        <f t="shared" si="7"/>
        <v>0.35069444444444442</v>
      </c>
      <c r="Q50" s="99">
        <f t="shared" si="8"/>
        <v>5.6944444444444464E-2</v>
      </c>
      <c r="R50" s="99"/>
      <c r="T50" s="375" t="s">
        <v>366</v>
      </c>
      <c r="U50" s="111" t="s">
        <v>367</v>
      </c>
      <c r="V50" s="227">
        <v>0.36805555555555558</v>
      </c>
      <c r="W50" s="228">
        <v>0.39583333333333331</v>
      </c>
      <c r="X50" s="229" t="s">
        <v>593</v>
      </c>
      <c r="Y50" s="227">
        <v>0.52083333333333337</v>
      </c>
      <c r="Z50" s="228" t="s">
        <v>593</v>
      </c>
      <c r="AA50" s="228">
        <v>0.57777777777777783</v>
      </c>
      <c r="AB50" s="228">
        <v>0.58333333333333337</v>
      </c>
      <c r="AC50" s="229" t="s">
        <v>593</v>
      </c>
      <c r="AD50" s="227">
        <v>0.70833333333333337</v>
      </c>
      <c r="AE50" s="228" t="s">
        <v>593</v>
      </c>
      <c r="AF50" s="229">
        <v>0.73402777777777772</v>
      </c>
      <c r="AG50" s="95">
        <f>AF50-V50</f>
        <v>0.36597222222222214</v>
      </c>
      <c r="AH50" s="95">
        <f>AG50-AI50</f>
        <v>0.30902777777777768</v>
      </c>
      <c r="AI50" s="99">
        <f>AA50-Y50</f>
        <v>5.6944444444444464E-2</v>
      </c>
    </row>
    <row r="51" spans="2:35" ht="15.75" thickBot="1" x14ac:dyDescent="0.3">
      <c r="B51" s="375" t="s">
        <v>376</v>
      </c>
      <c r="C51" s="96" t="s">
        <v>377</v>
      </c>
      <c r="D51" s="227">
        <v>0.34722222222222221</v>
      </c>
      <c r="E51" s="228">
        <v>0.375</v>
      </c>
      <c r="F51" s="229" t="s">
        <v>288</v>
      </c>
      <c r="G51" s="227">
        <v>0.52083333333333337</v>
      </c>
      <c r="H51" s="228" t="s">
        <v>288</v>
      </c>
      <c r="I51" s="228">
        <v>0.65069444444444458</v>
      </c>
      <c r="J51" s="228">
        <v>0.65625</v>
      </c>
      <c r="K51" s="229" t="s">
        <v>288</v>
      </c>
      <c r="L51" s="227">
        <v>0.8125</v>
      </c>
      <c r="M51" s="228" t="s">
        <v>292</v>
      </c>
      <c r="N51" s="229">
        <v>0.8125</v>
      </c>
      <c r="O51" s="95">
        <f t="shared" si="6"/>
        <v>0.46527777777777779</v>
      </c>
      <c r="P51" s="95">
        <f t="shared" si="7"/>
        <v>0.33541666666666659</v>
      </c>
      <c r="Q51" s="99">
        <f t="shared" si="8"/>
        <v>0.1298611111111112</v>
      </c>
      <c r="R51" s="99"/>
      <c r="T51" s="381" t="s">
        <v>374</v>
      </c>
      <c r="U51" s="255" t="s">
        <v>375</v>
      </c>
      <c r="V51" s="236">
        <v>0.41111111111111109</v>
      </c>
      <c r="W51" s="237">
        <v>0.41666666666666669</v>
      </c>
      <c r="X51" s="238" t="s">
        <v>592</v>
      </c>
      <c r="Y51" s="236">
        <v>0.57291666666666663</v>
      </c>
      <c r="Z51" s="237" t="s">
        <v>593</v>
      </c>
      <c r="AA51" s="237">
        <v>0.62986111111111109</v>
      </c>
      <c r="AB51" s="237">
        <v>0.63541666666666663</v>
      </c>
      <c r="AC51" s="238" t="s">
        <v>593</v>
      </c>
      <c r="AD51" s="236">
        <v>0.77083333333333337</v>
      </c>
      <c r="AE51" s="237" t="s">
        <v>593</v>
      </c>
      <c r="AF51" s="238">
        <v>0.79652777777777772</v>
      </c>
      <c r="AG51" s="103">
        <f>AF51-V51</f>
        <v>0.38541666666666663</v>
      </c>
      <c r="AH51" s="103">
        <f>AG51-AI51</f>
        <v>0.32847222222222217</v>
      </c>
      <c r="AI51" s="104">
        <f>AA51-Y51</f>
        <v>5.6944444444444464E-2</v>
      </c>
    </row>
    <row r="52" spans="2:35" ht="15.75" thickBot="1" x14ac:dyDescent="0.3">
      <c r="B52" s="375" t="s">
        <v>378</v>
      </c>
      <c r="C52" s="96" t="s">
        <v>379</v>
      </c>
      <c r="D52" s="227">
        <v>0.3576388888888889</v>
      </c>
      <c r="E52" s="228">
        <v>0.38541666666666669</v>
      </c>
      <c r="F52" s="229" t="s">
        <v>288</v>
      </c>
      <c r="G52" s="227">
        <v>0.53125</v>
      </c>
      <c r="H52" s="228" t="s">
        <v>288</v>
      </c>
      <c r="I52" s="228">
        <v>0.67013888888888884</v>
      </c>
      <c r="J52" s="228">
        <v>0.69791666666666663</v>
      </c>
      <c r="K52" s="229" t="s">
        <v>287</v>
      </c>
      <c r="L52" s="227">
        <v>0.8125</v>
      </c>
      <c r="M52" s="228" t="s">
        <v>292</v>
      </c>
      <c r="N52" s="229">
        <v>0.8125</v>
      </c>
      <c r="O52" s="95">
        <f t="shared" si="6"/>
        <v>0.4548611111111111</v>
      </c>
      <c r="P52" s="95">
        <f t="shared" si="7"/>
        <v>0.31597222222222227</v>
      </c>
      <c r="Q52" s="99">
        <f t="shared" si="8"/>
        <v>0.13888888888888884</v>
      </c>
      <c r="R52" s="99"/>
      <c r="T52" s="375" t="s">
        <v>370</v>
      </c>
      <c r="U52" s="111" t="s">
        <v>371</v>
      </c>
      <c r="V52" s="227">
        <v>0.38333333333333336</v>
      </c>
      <c r="W52" s="228">
        <v>0.3888888888888889</v>
      </c>
      <c r="X52" s="229" t="s">
        <v>592</v>
      </c>
      <c r="Y52" s="227">
        <v>0.54166666666666663</v>
      </c>
      <c r="Z52" s="228" t="s">
        <v>593</v>
      </c>
      <c r="AA52" s="228">
        <v>0.65069444444444435</v>
      </c>
      <c r="AB52" s="228">
        <v>0.65625</v>
      </c>
      <c r="AC52" s="229" t="s">
        <v>593</v>
      </c>
      <c r="AD52" s="227">
        <v>0.80555555555555558</v>
      </c>
      <c r="AE52" s="228" t="s">
        <v>592</v>
      </c>
      <c r="AF52" s="229">
        <v>0.80555555555555558</v>
      </c>
      <c r="AG52" s="95">
        <f>AF52-V52</f>
        <v>0.42222222222222222</v>
      </c>
      <c r="AH52" s="95">
        <f>AG52-AI52</f>
        <v>0.3131944444444445</v>
      </c>
      <c r="AI52" s="99">
        <f>AA52-Y52</f>
        <v>0.10902777777777772</v>
      </c>
    </row>
    <row r="53" spans="2:35" ht="15.75" thickBot="1" x14ac:dyDescent="0.3">
      <c r="B53" s="375" t="s">
        <v>380</v>
      </c>
      <c r="C53" s="96" t="s">
        <v>381</v>
      </c>
      <c r="D53" s="227">
        <v>0.37847222222222221</v>
      </c>
      <c r="E53" s="228">
        <v>0.40625</v>
      </c>
      <c r="F53" s="229" t="s">
        <v>288</v>
      </c>
      <c r="G53" s="227">
        <v>0.55208333333333337</v>
      </c>
      <c r="H53" s="228" t="s">
        <v>288</v>
      </c>
      <c r="I53" s="228">
        <v>0.62986111111111109</v>
      </c>
      <c r="J53" s="228">
        <v>0.63541666666666663</v>
      </c>
      <c r="K53" s="229" t="s">
        <v>288</v>
      </c>
      <c r="L53" s="227">
        <v>0.78125</v>
      </c>
      <c r="M53" s="228" t="s">
        <v>288</v>
      </c>
      <c r="N53" s="229">
        <v>0.80694444444444446</v>
      </c>
      <c r="O53" s="95">
        <f t="shared" si="6"/>
        <v>0.42847222222222225</v>
      </c>
      <c r="P53" s="95">
        <f t="shared" si="7"/>
        <v>0.35069444444444453</v>
      </c>
      <c r="Q53" s="99">
        <f t="shared" si="8"/>
        <v>7.7777777777777724E-2</v>
      </c>
      <c r="R53" s="99"/>
      <c r="U53" s="1197" t="s">
        <v>1300</v>
      </c>
      <c r="V53" s="1198"/>
      <c r="W53" s="1198"/>
      <c r="X53" s="1198"/>
      <c r="Y53" s="1198"/>
      <c r="Z53" s="1198"/>
      <c r="AA53" s="1198"/>
      <c r="AB53" s="1198"/>
      <c r="AC53" s="1198"/>
      <c r="AD53" s="1198"/>
      <c r="AE53" s="1198"/>
      <c r="AF53" s="1199"/>
    </row>
    <row r="54" spans="2:35" ht="15.75" thickBot="1" x14ac:dyDescent="0.3">
      <c r="B54" s="375" t="s">
        <v>382</v>
      </c>
      <c r="C54" s="96" t="s">
        <v>383</v>
      </c>
      <c r="D54" s="227">
        <v>0.41875000000000001</v>
      </c>
      <c r="E54" s="228">
        <v>0.4375</v>
      </c>
      <c r="F54" s="229" t="s">
        <v>289</v>
      </c>
      <c r="G54" s="227">
        <v>0.5625</v>
      </c>
      <c r="H54" s="228" t="s">
        <v>289</v>
      </c>
      <c r="I54" s="228">
        <v>0.68611111111111112</v>
      </c>
      <c r="J54" s="228">
        <v>0.70486111111111116</v>
      </c>
      <c r="K54" s="229" t="s">
        <v>287</v>
      </c>
      <c r="L54" s="227">
        <v>0.81597222222222221</v>
      </c>
      <c r="M54" s="228" t="s">
        <v>292</v>
      </c>
      <c r="N54" s="229">
        <v>0.81597222222222221</v>
      </c>
      <c r="O54" s="95">
        <f t="shared" si="6"/>
        <v>0.3972222222222222</v>
      </c>
      <c r="P54" s="95">
        <f t="shared" si="7"/>
        <v>0.27361111111111108</v>
      </c>
      <c r="Q54" s="99">
        <f t="shared" si="8"/>
        <v>0.12361111111111112</v>
      </c>
      <c r="R54" s="99"/>
      <c r="U54" s="1197" t="s">
        <v>1300</v>
      </c>
      <c r="V54" s="1198"/>
      <c r="W54" s="1198"/>
      <c r="X54" s="1198"/>
      <c r="Y54" s="1198"/>
      <c r="Z54" s="1198"/>
      <c r="AA54" s="1198"/>
      <c r="AB54" s="1198"/>
      <c r="AC54" s="1198"/>
      <c r="AD54" s="1198"/>
      <c r="AE54" s="1198"/>
      <c r="AF54" s="1199"/>
    </row>
    <row r="55" spans="2:35" ht="15.75" thickBot="1" x14ac:dyDescent="0.3">
      <c r="B55" s="375" t="s">
        <v>384</v>
      </c>
      <c r="C55" s="96" t="s">
        <v>385</v>
      </c>
      <c r="D55" s="227">
        <v>0.46319444444444446</v>
      </c>
      <c r="E55" s="228">
        <v>0.46527777777777779</v>
      </c>
      <c r="F55" s="229" t="s">
        <v>287</v>
      </c>
      <c r="G55" s="227">
        <v>0.5625</v>
      </c>
      <c r="H55" s="228" t="s">
        <v>288</v>
      </c>
      <c r="I55" s="228">
        <v>0.67708333333333337</v>
      </c>
      <c r="J55" s="228">
        <v>0.70486111111111116</v>
      </c>
      <c r="K55" s="229" t="s">
        <v>287</v>
      </c>
      <c r="L55" s="227">
        <v>0.81944444444444442</v>
      </c>
      <c r="M55" s="228" t="s">
        <v>292</v>
      </c>
      <c r="N55" s="229">
        <v>0.81944444444444442</v>
      </c>
      <c r="O55" s="95">
        <f t="shared" si="6"/>
        <v>0.35624999999999996</v>
      </c>
      <c r="P55" s="95">
        <f t="shared" si="7"/>
        <v>0.24166666666666659</v>
      </c>
      <c r="Q55" s="99">
        <f t="shared" si="8"/>
        <v>0.11458333333333337</v>
      </c>
      <c r="R55" s="99"/>
      <c r="U55" s="1197" t="s">
        <v>1300</v>
      </c>
      <c r="V55" s="1198"/>
      <c r="W55" s="1198"/>
      <c r="X55" s="1198"/>
      <c r="Y55" s="1198"/>
      <c r="Z55" s="1198"/>
      <c r="AA55" s="1198"/>
      <c r="AB55" s="1198"/>
      <c r="AC55" s="1198"/>
      <c r="AD55" s="1198"/>
      <c r="AE55" s="1198"/>
      <c r="AF55" s="1199"/>
    </row>
    <row r="56" spans="2:35" ht="15.75" thickBot="1" x14ac:dyDescent="0.3">
      <c r="B56" s="124"/>
      <c r="C56" s="125"/>
      <c r="D56" s="358"/>
      <c r="E56" s="359"/>
      <c r="F56" s="360"/>
      <c r="G56" s="358"/>
      <c r="H56" s="359"/>
      <c r="I56" s="361"/>
      <c r="J56" s="359"/>
      <c r="K56" s="360"/>
      <c r="L56" s="362"/>
      <c r="M56" s="359"/>
      <c r="N56" s="363"/>
      <c r="O56" s="103"/>
      <c r="P56" s="126">
        <f>AVERAGE(P45:P55)</f>
        <v>0.31174242424242427</v>
      </c>
      <c r="Q56" s="127"/>
      <c r="R56" s="127"/>
    </row>
    <row r="57" spans="2:35" x14ac:dyDescent="0.25">
      <c r="B57" s="84" t="s">
        <v>272</v>
      </c>
      <c r="C57" s="85" t="s">
        <v>273</v>
      </c>
      <c r="D57" s="86" t="s">
        <v>274</v>
      </c>
      <c r="E57" s="87"/>
      <c r="F57" s="88"/>
      <c r="G57" s="86" t="s">
        <v>275</v>
      </c>
      <c r="H57" s="87"/>
      <c r="I57" s="87"/>
      <c r="J57" s="87"/>
      <c r="K57" s="88"/>
      <c r="L57" s="86" t="s">
        <v>276</v>
      </c>
      <c r="M57" s="87"/>
      <c r="N57" s="88"/>
      <c r="O57" s="84" t="s">
        <v>277</v>
      </c>
      <c r="P57" s="84" t="s">
        <v>278</v>
      </c>
      <c r="Q57" s="84" t="s">
        <v>279</v>
      </c>
      <c r="R57" s="84"/>
    </row>
    <row r="58" spans="2:35" ht="15.75" thickBot="1" x14ac:dyDescent="0.3">
      <c r="B58" s="89"/>
      <c r="C58" s="90"/>
      <c r="D58" s="91" t="s">
        <v>281</v>
      </c>
      <c r="E58" s="92" t="s">
        <v>282</v>
      </c>
      <c r="F58" s="93" t="s">
        <v>283</v>
      </c>
      <c r="G58" s="94" t="s">
        <v>274</v>
      </c>
      <c r="H58" s="92" t="s">
        <v>283</v>
      </c>
      <c r="I58" s="92" t="s">
        <v>281</v>
      </c>
      <c r="J58" s="92" t="s">
        <v>274</v>
      </c>
      <c r="K58" s="93" t="s">
        <v>283</v>
      </c>
      <c r="L58" s="94" t="s">
        <v>276</v>
      </c>
      <c r="M58" s="92" t="s">
        <v>283</v>
      </c>
      <c r="N58" s="93" t="s">
        <v>284</v>
      </c>
      <c r="O58" s="89"/>
      <c r="P58" s="89"/>
      <c r="Q58" s="89"/>
      <c r="R58" s="89"/>
    </row>
    <row r="59" spans="2:35" ht="15.75" thickBot="1" x14ac:dyDescent="0.3">
      <c r="B59" s="372" t="s">
        <v>386</v>
      </c>
      <c r="C59" s="123" t="s">
        <v>387</v>
      </c>
      <c r="D59" s="224">
        <v>0.19583333333333333</v>
      </c>
      <c r="E59" s="225">
        <v>0.2013888888888889</v>
      </c>
      <c r="F59" s="226" t="s">
        <v>287</v>
      </c>
      <c r="G59" s="224"/>
      <c r="H59" s="225"/>
      <c r="I59" s="225"/>
      <c r="J59" s="225"/>
      <c r="K59" s="226"/>
      <c r="L59" s="224">
        <v>0.42708333333333331</v>
      </c>
      <c r="M59" s="225" t="s">
        <v>288</v>
      </c>
      <c r="N59" s="226">
        <v>0.45277777777777778</v>
      </c>
      <c r="O59" s="97">
        <f t="shared" ref="O59:O66" si="9">N59-D59</f>
        <v>0.25694444444444442</v>
      </c>
      <c r="P59" s="97">
        <f t="shared" ref="P59:P66" si="10">O59-Q59</f>
        <v>0.25694444444444442</v>
      </c>
      <c r="Q59" s="98">
        <f t="shared" ref="Q59:Q66" si="11">I59-G59</f>
        <v>0</v>
      </c>
      <c r="R59" s="98"/>
      <c r="T59" s="372" t="s">
        <v>386</v>
      </c>
      <c r="U59" s="123" t="s">
        <v>387</v>
      </c>
      <c r="V59" s="224">
        <v>0.21319444444444444</v>
      </c>
      <c r="W59" s="225">
        <v>0.21875</v>
      </c>
      <c r="X59" s="226" t="s">
        <v>592</v>
      </c>
      <c r="Y59" s="224"/>
      <c r="Z59" s="225"/>
      <c r="AA59" s="225"/>
      <c r="AB59" s="225"/>
      <c r="AC59" s="226"/>
      <c r="AD59" s="224">
        <v>0.41666666666666669</v>
      </c>
      <c r="AE59" s="225" t="s">
        <v>593</v>
      </c>
      <c r="AF59" s="226">
        <v>0.44236111111111109</v>
      </c>
      <c r="AG59" s="95">
        <f t="shared" ref="AG59" si="12">AF59-V59</f>
        <v>0.22916666666666666</v>
      </c>
      <c r="AH59" s="95">
        <f t="shared" ref="AH59" si="13">AG59-AI59</f>
        <v>0.22916666666666666</v>
      </c>
      <c r="AI59" s="99">
        <f t="shared" ref="AI59" si="14">AA59-Y59</f>
        <v>0</v>
      </c>
    </row>
    <row r="60" spans="2:35" ht="15.75" thickBot="1" x14ac:dyDescent="0.3">
      <c r="B60" s="375" t="s">
        <v>388</v>
      </c>
      <c r="C60" s="96" t="s">
        <v>389</v>
      </c>
      <c r="D60" s="227">
        <v>0.22708333333333333</v>
      </c>
      <c r="E60" s="228">
        <v>0.2326388888888889</v>
      </c>
      <c r="F60" s="229" t="s">
        <v>287</v>
      </c>
      <c r="G60" s="227"/>
      <c r="H60" s="228"/>
      <c r="I60" s="228"/>
      <c r="J60" s="228"/>
      <c r="K60" s="229"/>
      <c r="L60" s="227">
        <v>0.375</v>
      </c>
      <c r="M60" s="228" t="s">
        <v>288</v>
      </c>
      <c r="N60" s="229">
        <v>0.40069444444444446</v>
      </c>
      <c r="O60" s="95">
        <f t="shared" si="9"/>
        <v>0.17361111111111113</v>
      </c>
      <c r="P60" s="95">
        <f t="shared" si="10"/>
        <v>0.17361111111111113</v>
      </c>
      <c r="Q60" s="99">
        <f t="shared" si="11"/>
        <v>0</v>
      </c>
      <c r="R60" s="99"/>
      <c r="U60" s="1197" t="s">
        <v>1302</v>
      </c>
      <c r="V60" s="1198"/>
      <c r="W60" s="1198"/>
      <c r="X60" s="1198"/>
      <c r="Y60" s="1198"/>
      <c r="Z60" s="1198"/>
      <c r="AA60" s="1198"/>
      <c r="AB60" s="1198"/>
      <c r="AC60" s="1198"/>
      <c r="AD60" s="1198"/>
      <c r="AE60" s="1198"/>
      <c r="AF60" s="1199"/>
    </row>
    <row r="61" spans="2:35" x14ac:dyDescent="0.25">
      <c r="B61" s="375" t="s">
        <v>390</v>
      </c>
      <c r="C61" s="96" t="s">
        <v>391</v>
      </c>
      <c r="D61" s="227">
        <v>0.2722222222222222</v>
      </c>
      <c r="E61" s="228">
        <v>0.27777777777777779</v>
      </c>
      <c r="F61" s="229" t="s">
        <v>287</v>
      </c>
      <c r="G61" s="227">
        <v>0.4375</v>
      </c>
      <c r="H61" s="228" t="s">
        <v>288</v>
      </c>
      <c r="I61" s="228">
        <v>0.49722222222222223</v>
      </c>
      <c r="J61" s="228">
        <v>0.5</v>
      </c>
      <c r="K61" s="229" t="s">
        <v>289</v>
      </c>
      <c r="L61" s="227">
        <v>0.625</v>
      </c>
      <c r="M61" s="228" t="s">
        <v>289</v>
      </c>
      <c r="N61" s="229">
        <v>0.64166666666666672</v>
      </c>
      <c r="O61" s="95">
        <f t="shared" si="9"/>
        <v>0.36944444444444452</v>
      </c>
      <c r="P61" s="95">
        <f t="shared" si="10"/>
        <v>0.30972222222222229</v>
      </c>
      <c r="Q61" s="99">
        <f t="shared" si="11"/>
        <v>5.9722222222222232E-2</v>
      </c>
      <c r="R61" s="99"/>
      <c r="T61" s="375" t="s">
        <v>388</v>
      </c>
      <c r="U61" s="96" t="s">
        <v>302</v>
      </c>
      <c r="V61" s="227">
        <v>0.26527777777777778</v>
      </c>
      <c r="W61" s="228">
        <v>0.27083333333333331</v>
      </c>
      <c r="X61" s="229" t="s">
        <v>592</v>
      </c>
      <c r="Y61" s="227">
        <v>0.38541666666666669</v>
      </c>
      <c r="Z61" s="228" t="s">
        <v>593</v>
      </c>
      <c r="AA61" s="228">
        <v>0.44513888888888892</v>
      </c>
      <c r="AB61" s="228">
        <v>0.44791666666666669</v>
      </c>
      <c r="AC61" s="229" t="s">
        <v>594</v>
      </c>
      <c r="AD61" s="227">
        <v>0.65625</v>
      </c>
      <c r="AE61" s="228" t="s">
        <v>594</v>
      </c>
      <c r="AF61" s="229">
        <v>0.67291666666666672</v>
      </c>
      <c r="AG61" s="95">
        <f>AF61-V61</f>
        <v>0.40763888888888894</v>
      </c>
      <c r="AH61" s="95">
        <f>AG61-AI61</f>
        <v>0.34791666666666671</v>
      </c>
      <c r="AI61" s="99">
        <f>AA61-Y61</f>
        <v>5.9722222222222232E-2</v>
      </c>
    </row>
    <row r="62" spans="2:35" ht="15.75" thickBot="1" x14ac:dyDescent="0.3">
      <c r="B62" s="375" t="s">
        <v>392</v>
      </c>
      <c r="C62" s="96" t="s">
        <v>393</v>
      </c>
      <c r="D62" s="227">
        <v>0.27916666666666667</v>
      </c>
      <c r="E62" s="228">
        <v>0.28472222222222221</v>
      </c>
      <c r="F62" s="229" t="s">
        <v>287</v>
      </c>
      <c r="G62" s="227">
        <v>0.38194444444444442</v>
      </c>
      <c r="H62" s="228" t="s">
        <v>289</v>
      </c>
      <c r="I62" s="228">
        <v>0.42430555555555549</v>
      </c>
      <c r="J62" s="228">
        <v>0.42708333333333331</v>
      </c>
      <c r="K62" s="229" t="s">
        <v>288</v>
      </c>
      <c r="L62" s="227">
        <v>0.57291666666666663</v>
      </c>
      <c r="M62" s="228" t="s">
        <v>288</v>
      </c>
      <c r="N62" s="229">
        <v>0.59861111111111109</v>
      </c>
      <c r="O62" s="95">
        <f t="shared" si="9"/>
        <v>0.31944444444444442</v>
      </c>
      <c r="P62" s="95">
        <f t="shared" si="10"/>
        <v>0.27708333333333335</v>
      </c>
      <c r="Q62" s="99">
        <f t="shared" si="11"/>
        <v>4.2361111111111072E-2</v>
      </c>
      <c r="R62" s="99"/>
      <c r="T62" s="375" t="s">
        <v>390</v>
      </c>
      <c r="U62" s="96" t="s">
        <v>306</v>
      </c>
      <c r="V62" s="227">
        <v>0.28611111111111109</v>
      </c>
      <c r="W62" s="228">
        <v>0.29166666666666669</v>
      </c>
      <c r="X62" s="229" t="s">
        <v>592</v>
      </c>
      <c r="Y62" s="227">
        <v>0.44791666666666669</v>
      </c>
      <c r="Z62" s="228" t="s">
        <v>594</v>
      </c>
      <c r="AA62" s="228">
        <v>0.49166666666666664</v>
      </c>
      <c r="AB62" s="228">
        <v>0.51041666666666663</v>
      </c>
      <c r="AC62" s="229" t="s">
        <v>592</v>
      </c>
      <c r="AD62" s="227">
        <v>0.62152777777777779</v>
      </c>
      <c r="AE62" s="228" t="s">
        <v>592</v>
      </c>
      <c r="AF62" s="229">
        <v>0.62152777777777779</v>
      </c>
      <c r="AG62" s="95">
        <f>AF62-V62</f>
        <v>0.3354166666666667</v>
      </c>
      <c r="AH62" s="95">
        <f>AG62-AI62</f>
        <v>0.29166666666666674</v>
      </c>
      <c r="AI62" s="99">
        <f>AA62-Y62</f>
        <v>4.3749999999999956E-2</v>
      </c>
    </row>
    <row r="63" spans="2:35" x14ac:dyDescent="0.25">
      <c r="B63" s="380" t="s">
        <v>394</v>
      </c>
      <c r="C63" s="129" t="s">
        <v>395</v>
      </c>
      <c r="D63" s="224">
        <v>0.49305555555555558</v>
      </c>
      <c r="E63" s="225">
        <v>0.52083333333333337</v>
      </c>
      <c r="F63" s="234" t="s">
        <v>288</v>
      </c>
      <c r="G63" s="224">
        <v>0.66666666666666663</v>
      </c>
      <c r="H63" s="225" t="s">
        <v>288</v>
      </c>
      <c r="I63" s="225">
        <v>0.70277777777777783</v>
      </c>
      <c r="J63" s="225">
        <v>0.70833333333333337</v>
      </c>
      <c r="K63" s="226" t="s">
        <v>288</v>
      </c>
      <c r="L63" s="224">
        <v>0.85416666666666663</v>
      </c>
      <c r="M63" s="225" t="s">
        <v>292</v>
      </c>
      <c r="N63" s="226">
        <v>0.85416666666666663</v>
      </c>
      <c r="O63" s="97">
        <f t="shared" si="9"/>
        <v>0.36111111111111105</v>
      </c>
      <c r="P63" s="97">
        <f t="shared" si="10"/>
        <v>0.32499999999999984</v>
      </c>
      <c r="Q63" s="98">
        <f t="shared" si="11"/>
        <v>3.6111111111111205E-2</v>
      </c>
      <c r="R63" s="98"/>
      <c r="T63" s="375" t="s">
        <v>392</v>
      </c>
      <c r="U63" s="96" t="s">
        <v>316</v>
      </c>
      <c r="V63" s="227">
        <v>0.49791666666666667</v>
      </c>
      <c r="W63" s="228">
        <v>0.5</v>
      </c>
      <c r="X63" s="229" t="s">
        <v>592</v>
      </c>
      <c r="Y63" s="227">
        <v>0.71875</v>
      </c>
      <c r="Z63" s="228" t="s">
        <v>593</v>
      </c>
      <c r="AA63" s="228">
        <v>0.75763888888888875</v>
      </c>
      <c r="AB63" s="228">
        <v>0.76041666666666663</v>
      </c>
      <c r="AC63" s="229" t="s">
        <v>594</v>
      </c>
      <c r="AD63" s="227">
        <v>0.85416666666666663</v>
      </c>
      <c r="AE63" s="228" t="s">
        <v>594</v>
      </c>
      <c r="AF63" s="229">
        <v>0.87083333333333335</v>
      </c>
      <c r="AG63" s="95">
        <f t="shared" ref="AG63:AG65" si="15">AF63-V63</f>
        <v>0.37291666666666667</v>
      </c>
      <c r="AH63" s="95">
        <f t="shared" ref="AH63:AH65" si="16">AG63-AI63</f>
        <v>0.33402777777777792</v>
      </c>
      <c r="AI63" s="99">
        <f t="shared" ref="AI63:AI65" si="17">AA63-Y63</f>
        <v>3.8888888888888751E-2</v>
      </c>
    </row>
    <row r="64" spans="2:35" ht="15.75" thickBot="1" x14ac:dyDescent="0.3">
      <c r="B64" s="373" t="s">
        <v>396</v>
      </c>
      <c r="C64" s="102" t="s">
        <v>397</v>
      </c>
      <c r="D64" s="230">
        <v>0.56597222222222221</v>
      </c>
      <c r="E64" s="231">
        <v>0.59375</v>
      </c>
      <c r="F64" s="364" t="s">
        <v>288</v>
      </c>
      <c r="G64" s="230">
        <v>0.73958333333333337</v>
      </c>
      <c r="H64" s="231" t="s">
        <v>288</v>
      </c>
      <c r="I64" s="231">
        <v>0.77847222222222234</v>
      </c>
      <c r="J64" s="231">
        <v>0.78125</v>
      </c>
      <c r="K64" s="232" t="s">
        <v>289</v>
      </c>
      <c r="L64" s="230">
        <v>0.89583333333333337</v>
      </c>
      <c r="M64" s="231" t="s">
        <v>289</v>
      </c>
      <c r="N64" s="232">
        <v>0.91249999999999998</v>
      </c>
      <c r="O64" s="100">
        <f t="shared" si="9"/>
        <v>0.34652777777777777</v>
      </c>
      <c r="P64" s="100">
        <f t="shared" si="10"/>
        <v>0.3076388888888888</v>
      </c>
      <c r="Q64" s="101">
        <f t="shared" si="11"/>
        <v>3.8888888888888973E-2</v>
      </c>
      <c r="R64" s="101"/>
      <c r="T64" s="375" t="s">
        <v>394</v>
      </c>
      <c r="U64" s="96" t="s">
        <v>325</v>
      </c>
      <c r="V64" s="227">
        <v>0.58472222222222225</v>
      </c>
      <c r="W64" s="228">
        <v>0.58680555555555558</v>
      </c>
      <c r="X64" s="229" t="s">
        <v>592</v>
      </c>
      <c r="Y64" s="227">
        <v>0.73958333333333337</v>
      </c>
      <c r="Z64" s="228" t="s">
        <v>593</v>
      </c>
      <c r="AA64" s="228">
        <v>0.77916666666666667</v>
      </c>
      <c r="AB64" s="228">
        <v>0.78472222222222221</v>
      </c>
      <c r="AC64" s="229" t="s">
        <v>593</v>
      </c>
      <c r="AD64" s="227">
        <v>0.90972222222222221</v>
      </c>
      <c r="AE64" s="228" t="s">
        <v>593</v>
      </c>
      <c r="AF64" s="229">
        <v>0.93541666666666667</v>
      </c>
      <c r="AG64" s="95">
        <f t="shared" si="15"/>
        <v>0.35069444444444442</v>
      </c>
      <c r="AH64" s="95">
        <f t="shared" si="16"/>
        <v>0.31111111111111112</v>
      </c>
      <c r="AI64" s="99">
        <f t="shared" si="17"/>
        <v>3.9583333333333304E-2</v>
      </c>
    </row>
    <row r="65" spans="2:35" ht="15.75" thickBot="1" x14ac:dyDescent="0.3">
      <c r="B65" s="380" t="s">
        <v>398</v>
      </c>
      <c r="C65" s="129" t="s">
        <v>399</v>
      </c>
      <c r="D65" s="365">
        <v>0.64930555555555558</v>
      </c>
      <c r="E65" s="366">
        <v>0.67708333333333337</v>
      </c>
      <c r="F65" s="367" t="s">
        <v>288</v>
      </c>
      <c r="G65" s="365">
        <v>0.8125</v>
      </c>
      <c r="H65" s="366" t="s">
        <v>317</v>
      </c>
      <c r="I65" s="366">
        <v>0.85138888888888875</v>
      </c>
      <c r="J65" s="366">
        <v>0.85416666666666663</v>
      </c>
      <c r="K65" s="368" t="s">
        <v>289</v>
      </c>
      <c r="L65" s="365">
        <v>1.03125</v>
      </c>
      <c r="M65" s="366" t="s">
        <v>292</v>
      </c>
      <c r="N65" s="368">
        <v>1.03125</v>
      </c>
      <c r="O65" s="128">
        <f t="shared" si="9"/>
        <v>0.38194444444444442</v>
      </c>
      <c r="P65" s="128">
        <f t="shared" si="10"/>
        <v>0.34305555555555567</v>
      </c>
      <c r="Q65" s="130">
        <f t="shared" si="11"/>
        <v>3.8888888888888751E-2</v>
      </c>
      <c r="R65" s="130"/>
      <c r="T65" s="375" t="s">
        <v>396</v>
      </c>
      <c r="U65" s="96" t="s">
        <v>341</v>
      </c>
      <c r="V65" s="227">
        <v>0.68958333333333333</v>
      </c>
      <c r="W65" s="228">
        <v>0.70833333333333337</v>
      </c>
      <c r="X65" s="229" t="s">
        <v>594</v>
      </c>
      <c r="Y65" s="227">
        <v>0.8125</v>
      </c>
      <c r="Z65" s="228" t="s">
        <v>594</v>
      </c>
      <c r="AA65" s="228">
        <v>0.85416666666666652</v>
      </c>
      <c r="AB65" s="228">
        <v>0.85416666666666663</v>
      </c>
      <c r="AC65" s="229" t="s">
        <v>594</v>
      </c>
      <c r="AD65" s="227">
        <v>1.0381944444444444</v>
      </c>
      <c r="AE65" s="228" t="s">
        <v>592</v>
      </c>
      <c r="AF65" s="229">
        <v>1.0381944444444444</v>
      </c>
      <c r="AG65" s="95">
        <f t="shared" si="15"/>
        <v>0.34861111111111109</v>
      </c>
      <c r="AH65" s="95">
        <f t="shared" si="16"/>
        <v>0.30694444444444458</v>
      </c>
      <c r="AI65" s="99">
        <f t="shared" si="17"/>
        <v>4.1666666666666519E-2</v>
      </c>
    </row>
    <row r="66" spans="2:35" ht="15.75" thickBot="1" x14ac:dyDescent="0.3">
      <c r="B66" s="381" t="s">
        <v>400</v>
      </c>
      <c r="C66" s="131" t="s">
        <v>401</v>
      </c>
      <c r="D66" s="236">
        <v>0.69930555555555551</v>
      </c>
      <c r="E66" s="237">
        <v>0.70138888888888884</v>
      </c>
      <c r="F66" s="238" t="s">
        <v>287</v>
      </c>
      <c r="G66" s="236">
        <v>0.8125</v>
      </c>
      <c r="H66" s="237" t="s">
        <v>292</v>
      </c>
      <c r="I66" s="237">
        <v>0.87916666666666665</v>
      </c>
      <c r="J66" s="237">
        <v>0.89583333333333337</v>
      </c>
      <c r="K66" s="238" t="s">
        <v>289</v>
      </c>
      <c r="L66" s="236">
        <v>1.0347222222222223</v>
      </c>
      <c r="M66" s="237" t="s">
        <v>292</v>
      </c>
      <c r="N66" s="238">
        <v>1.0347222222222223</v>
      </c>
      <c r="O66" s="103">
        <f t="shared" si="9"/>
        <v>0.33541666666666681</v>
      </c>
      <c r="P66" s="103">
        <f t="shared" si="10"/>
        <v>0.26875000000000016</v>
      </c>
      <c r="Q66" s="104">
        <f t="shared" si="11"/>
        <v>6.6666666666666652E-2</v>
      </c>
      <c r="R66" s="104"/>
      <c r="U66" s="1197" t="s">
        <v>1301</v>
      </c>
      <c r="V66" s="1198"/>
      <c r="W66" s="1198"/>
      <c r="X66" s="1198"/>
      <c r="Y66" s="1198"/>
      <c r="Z66" s="1198"/>
      <c r="AA66" s="1198"/>
      <c r="AB66" s="1198"/>
      <c r="AC66" s="1198"/>
      <c r="AD66" s="1198"/>
      <c r="AE66" s="1198"/>
      <c r="AF66" s="1199"/>
    </row>
    <row r="67" spans="2:35" ht="15.75" thickBot="1" x14ac:dyDescent="0.3">
      <c r="B67" s="132"/>
      <c r="C67" s="133"/>
      <c r="D67" s="134"/>
      <c r="E67" s="135"/>
      <c r="F67" s="136"/>
      <c r="G67" s="134"/>
      <c r="H67" s="135"/>
      <c r="I67" s="137"/>
      <c r="J67" s="135"/>
      <c r="K67" s="136"/>
      <c r="L67" s="138"/>
      <c r="M67" s="135"/>
      <c r="N67" s="139"/>
      <c r="O67" s="140"/>
      <c r="P67" s="126">
        <f>AVERAGE(P59:P66)</f>
        <v>0.28272569444444445</v>
      </c>
      <c r="Q67" s="141"/>
      <c r="R67" s="141"/>
    </row>
    <row r="70" spans="2:35" ht="15.75" thickBot="1" x14ac:dyDescent="0.3">
      <c r="T70" s="1202" t="s">
        <v>1304</v>
      </c>
      <c r="U70" s="1202"/>
    </row>
    <row r="71" spans="2:35" x14ac:dyDescent="0.25">
      <c r="B71" s="1200" t="s">
        <v>272</v>
      </c>
      <c r="C71" s="1203" t="s">
        <v>273</v>
      </c>
      <c r="D71" s="1205" t="s">
        <v>274</v>
      </c>
      <c r="E71" s="1206"/>
      <c r="F71" s="1207"/>
      <c r="G71" s="1205" t="s">
        <v>275</v>
      </c>
      <c r="H71" s="1206"/>
      <c r="I71" s="1206"/>
      <c r="J71" s="1206"/>
      <c r="K71" s="1207"/>
      <c r="L71" s="1205" t="s">
        <v>276</v>
      </c>
      <c r="M71" s="1206"/>
      <c r="N71" s="1207"/>
      <c r="O71" s="1200" t="s">
        <v>277</v>
      </c>
      <c r="P71" s="1200" t="s">
        <v>278</v>
      </c>
      <c r="Q71" s="1200" t="s">
        <v>279</v>
      </c>
      <c r="R71" s="1200" t="s">
        <v>280</v>
      </c>
      <c r="T71" s="378" t="s">
        <v>303</v>
      </c>
      <c r="U71" s="105" t="s">
        <v>304</v>
      </c>
      <c r="V71" s="224">
        <v>0.27569444444444446</v>
      </c>
      <c r="W71" s="225">
        <v>0.28125</v>
      </c>
      <c r="X71" s="226" t="s">
        <v>592</v>
      </c>
      <c r="Y71" s="224">
        <v>0.46875</v>
      </c>
      <c r="Z71" s="225" t="s">
        <v>593</v>
      </c>
      <c r="AA71" s="225">
        <v>0.52569444444444446</v>
      </c>
      <c r="AB71" s="225">
        <v>0.53125</v>
      </c>
      <c r="AC71" s="226" t="s">
        <v>593</v>
      </c>
      <c r="AD71" s="224">
        <v>0.68055555555555558</v>
      </c>
      <c r="AE71" s="225" t="s">
        <v>592</v>
      </c>
      <c r="AF71" s="226">
        <v>0.68055555555555558</v>
      </c>
      <c r="AG71" s="97">
        <f t="shared" ref="AG71:AG78" si="18">AF71-V71</f>
        <v>0.40486111111111112</v>
      </c>
      <c r="AH71" s="97">
        <f t="shared" ref="AH71:AH78" si="19">AG71-AI71</f>
        <v>0.34791666666666665</v>
      </c>
      <c r="AI71" s="98">
        <f t="shared" ref="AI71:AI78" si="20">AA71-Y71</f>
        <v>5.6944444444444464E-2</v>
      </c>
    </row>
    <row r="72" spans="2:35" ht="15.75" thickBot="1" x14ac:dyDescent="0.3">
      <c r="B72" s="1201"/>
      <c r="C72" s="1204"/>
      <c r="D72" s="220" t="s">
        <v>281</v>
      </c>
      <c r="E72" s="221" t="s">
        <v>282</v>
      </c>
      <c r="F72" s="222" t="s">
        <v>283</v>
      </c>
      <c r="G72" s="223" t="s">
        <v>274</v>
      </c>
      <c r="H72" s="221" t="s">
        <v>283</v>
      </c>
      <c r="I72" s="221" t="s">
        <v>281</v>
      </c>
      <c r="J72" s="221" t="s">
        <v>274</v>
      </c>
      <c r="K72" s="222" t="s">
        <v>283</v>
      </c>
      <c r="L72" s="223" t="s">
        <v>276</v>
      </c>
      <c r="M72" s="221" t="s">
        <v>283</v>
      </c>
      <c r="N72" s="222" t="s">
        <v>284</v>
      </c>
      <c r="O72" s="1201"/>
      <c r="P72" s="1201"/>
      <c r="Q72" s="1201"/>
      <c r="R72" s="1201"/>
      <c r="T72" s="376" t="s">
        <v>305</v>
      </c>
      <c r="U72" s="108" t="s">
        <v>308</v>
      </c>
      <c r="V72" s="227">
        <v>0.28611111111111109</v>
      </c>
      <c r="W72" s="228">
        <v>0.29166666666666669</v>
      </c>
      <c r="X72" s="229" t="s">
        <v>592</v>
      </c>
      <c r="Y72" s="227">
        <v>0.39583333333333331</v>
      </c>
      <c r="Z72" s="228" t="s">
        <v>594</v>
      </c>
      <c r="AA72" s="228">
        <v>0.4465277777777778</v>
      </c>
      <c r="AB72" s="228">
        <v>0.46527777777777779</v>
      </c>
      <c r="AC72" s="229" t="s">
        <v>592</v>
      </c>
      <c r="AD72" s="227">
        <v>0.64583333333333337</v>
      </c>
      <c r="AE72" s="228" t="s">
        <v>593</v>
      </c>
      <c r="AF72" s="229">
        <v>0.67152777777777772</v>
      </c>
      <c r="AG72" s="95">
        <f t="shared" si="18"/>
        <v>0.38541666666666663</v>
      </c>
      <c r="AH72" s="95">
        <f t="shared" si="19"/>
        <v>0.33472222222222214</v>
      </c>
      <c r="AI72" s="99">
        <f t="shared" si="20"/>
        <v>5.0694444444444486E-2</v>
      </c>
    </row>
    <row r="73" spans="2:35" x14ac:dyDescent="0.25">
      <c r="B73" s="372" t="s">
        <v>285</v>
      </c>
      <c r="C73" s="105" t="s">
        <v>286</v>
      </c>
      <c r="D73" s="224">
        <v>0.23402777777777778</v>
      </c>
      <c r="E73" s="225">
        <v>0.23958333333333334</v>
      </c>
      <c r="F73" s="226" t="s">
        <v>592</v>
      </c>
      <c r="G73" s="224"/>
      <c r="H73" s="225"/>
      <c r="I73" s="225"/>
      <c r="J73" s="225"/>
      <c r="K73" s="226"/>
      <c r="L73" s="224">
        <v>0.40277777777777779</v>
      </c>
      <c r="M73" s="225" t="s">
        <v>593</v>
      </c>
      <c r="N73" s="226">
        <v>0.4284722222222222</v>
      </c>
      <c r="O73" s="95">
        <f t="shared" ref="O73:O101" si="21">N73-D73</f>
        <v>0.19444444444444442</v>
      </c>
      <c r="P73" s="95">
        <f t="shared" ref="P73:P101" si="22">O73-Q73</f>
        <v>0.19444444444444442</v>
      </c>
      <c r="Q73" s="99">
        <f t="shared" ref="Q73:Q101" si="23">I73-G73</f>
        <v>0</v>
      </c>
      <c r="R73" s="99"/>
      <c r="T73" s="1143" t="s">
        <v>307</v>
      </c>
      <c r="U73" s="1144" t="s">
        <v>310</v>
      </c>
      <c r="V73" s="230">
        <v>0.32083333333333336</v>
      </c>
      <c r="W73" s="231">
        <v>0.3263888888888889</v>
      </c>
      <c r="X73" s="232" t="s">
        <v>592</v>
      </c>
      <c r="Y73" s="230">
        <v>0.45833333333333331</v>
      </c>
      <c r="Z73" s="231" t="s">
        <v>593</v>
      </c>
      <c r="AA73" s="231">
        <v>0.50486111111111109</v>
      </c>
      <c r="AB73" s="231">
        <v>0.51041666666666663</v>
      </c>
      <c r="AC73" s="232" t="s">
        <v>593</v>
      </c>
      <c r="AD73" s="230">
        <v>0.59722222222222221</v>
      </c>
      <c r="AE73" s="231" t="s">
        <v>592</v>
      </c>
      <c r="AF73" s="232">
        <v>0.59722222222222221</v>
      </c>
      <c r="AG73" s="110">
        <f t="shared" si="18"/>
        <v>0.27638888888888885</v>
      </c>
      <c r="AH73" s="110">
        <f t="shared" si="19"/>
        <v>0.22986111111111107</v>
      </c>
      <c r="AI73" s="248">
        <f t="shared" si="20"/>
        <v>4.6527777777777779E-2</v>
      </c>
    </row>
    <row r="74" spans="2:35" ht="15.75" thickBot="1" x14ac:dyDescent="0.3">
      <c r="B74" s="375" t="s">
        <v>290</v>
      </c>
      <c r="C74" s="108" t="s">
        <v>291</v>
      </c>
      <c r="D74" s="227">
        <v>0.23402777777777778</v>
      </c>
      <c r="E74" s="228">
        <v>0.23958333333333334</v>
      </c>
      <c r="F74" s="229" t="s">
        <v>592</v>
      </c>
      <c r="G74" s="227">
        <v>0.375</v>
      </c>
      <c r="H74" s="228" t="s">
        <v>593</v>
      </c>
      <c r="I74" s="228">
        <v>0.45277777777777772</v>
      </c>
      <c r="J74" s="228">
        <v>0.45833333333333331</v>
      </c>
      <c r="K74" s="229" t="s">
        <v>593</v>
      </c>
      <c r="L74" s="227">
        <v>0.54166666666666663</v>
      </c>
      <c r="M74" s="228" t="s">
        <v>592</v>
      </c>
      <c r="N74" s="229">
        <v>0.54166666666666663</v>
      </c>
      <c r="O74" s="95">
        <f t="shared" si="21"/>
        <v>0.30763888888888885</v>
      </c>
      <c r="P74" s="95">
        <f t="shared" si="22"/>
        <v>0.22986111111111113</v>
      </c>
      <c r="Q74" s="99">
        <f t="shared" si="23"/>
        <v>7.7777777777777724E-2</v>
      </c>
      <c r="R74" s="99"/>
      <c r="T74" s="376" t="s">
        <v>311</v>
      </c>
      <c r="U74" s="108" t="s">
        <v>312</v>
      </c>
      <c r="V74" s="230">
        <v>0.34722222222222221</v>
      </c>
      <c r="W74" s="231">
        <v>0.375</v>
      </c>
      <c r="X74" s="232" t="s">
        <v>593</v>
      </c>
      <c r="Y74" s="230">
        <v>0.5</v>
      </c>
      <c r="Z74" s="231" t="s">
        <v>593</v>
      </c>
      <c r="AA74" s="231">
        <v>0.56736111111111098</v>
      </c>
      <c r="AB74" s="231">
        <v>0.57291666666666663</v>
      </c>
      <c r="AC74" s="232" t="s">
        <v>593</v>
      </c>
      <c r="AD74" s="230">
        <v>0.66319444444444442</v>
      </c>
      <c r="AE74" s="231" t="s">
        <v>592</v>
      </c>
      <c r="AF74" s="232">
        <v>0.66319444444444442</v>
      </c>
      <c r="AG74" s="100">
        <f t="shared" si="18"/>
        <v>0.31597222222222221</v>
      </c>
      <c r="AH74" s="100">
        <f t="shared" si="19"/>
        <v>0.24861111111111123</v>
      </c>
      <c r="AI74" s="101">
        <f t="shared" si="20"/>
        <v>6.7361111111110983E-2</v>
      </c>
    </row>
    <row r="75" spans="2:35" ht="15.75" thickBot="1" x14ac:dyDescent="0.3">
      <c r="B75" s="375" t="s">
        <v>293</v>
      </c>
      <c r="C75" s="108" t="s">
        <v>294</v>
      </c>
      <c r="D75" s="227">
        <v>0.24444444444444444</v>
      </c>
      <c r="E75" s="228">
        <v>0.25</v>
      </c>
      <c r="F75" s="229" t="s">
        <v>592</v>
      </c>
      <c r="G75" s="227">
        <v>0.3576388888888889</v>
      </c>
      <c r="H75" s="228" t="s">
        <v>593</v>
      </c>
      <c r="I75" s="228">
        <v>0.39722222222222231</v>
      </c>
      <c r="J75" s="228">
        <v>0.40277777777777779</v>
      </c>
      <c r="K75" s="229" t="s">
        <v>593</v>
      </c>
      <c r="L75" s="227">
        <v>0.53125</v>
      </c>
      <c r="M75" s="228" t="s">
        <v>593</v>
      </c>
      <c r="N75" s="229">
        <v>0.55694444444444446</v>
      </c>
      <c r="O75" s="95">
        <f t="shared" si="21"/>
        <v>0.3125</v>
      </c>
      <c r="P75" s="95">
        <f t="shared" si="22"/>
        <v>0.27291666666666659</v>
      </c>
      <c r="Q75" s="99">
        <f t="shared" si="23"/>
        <v>3.9583333333333415E-2</v>
      </c>
      <c r="R75" s="99"/>
      <c r="T75" s="377" t="s">
        <v>315</v>
      </c>
      <c r="U75" s="1145" t="s">
        <v>393</v>
      </c>
      <c r="V75" s="325">
        <v>0.49305555555555558</v>
      </c>
      <c r="W75" s="326">
        <v>0.52083333333333337</v>
      </c>
      <c r="X75" s="327" t="s">
        <v>593</v>
      </c>
      <c r="Y75" s="325">
        <v>0.66666666666666663</v>
      </c>
      <c r="Z75" s="326" t="s">
        <v>593</v>
      </c>
      <c r="AA75" s="326">
        <v>0.72361111111111109</v>
      </c>
      <c r="AB75" s="326">
        <v>0.72916666666666663</v>
      </c>
      <c r="AC75" s="327" t="s">
        <v>593</v>
      </c>
      <c r="AD75" s="325">
        <v>0.87847222222222221</v>
      </c>
      <c r="AE75" s="326" t="s">
        <v>592</v>
      </c>
      <c r="AF75" s="327">
        <v>0.87847222222222221</v>
      </c>
      <c r="AG75" s="323">
        <f t="shared" si="18"/>
        <v>0.38541666666666663</v>
      </c>
      <c r="AH75" s="323">
        <f t="shared" si="19"/>
        <v>0.32847222222222217</v>
      </c>
      <c r="AI75" s="328">
        <f t="shared" si="20"/>
        <v>5.6944444444444464E-2</v>
      </c>
    </row>
    <row r="76" spans="2:35" x14ac:dyDescent="0.25">
      <c r="B76" s="375" t="s">
        <v>295</v>
      </c>
      <c r="C76" s="108" t="s">
        <v>389</v>
      </c>
      <c r="D76" s="227">
        <v>0.24444444444444444</v>
      </c>
      <c r="E76" s="228">
        <v>0.25</v>
      </c>
      <c r="F76" s="229" t="s">
        <v>592</v>
      </c>
      <c r="G76" s="227">
        <v>0.3923611111111111</v>
      </c>
      <c r="H76" s="228" t="s">
        <v>592</v>
      </c>
      <c r="I76" s="228">
        <v>0.44305555555555559</v>
      </c>
      <c r="J76" s="228">
        <v>0.46875</v>
      </c>
      <c r="K76" s="229" t="s">
        <v>593</v>
      </c>
      <c r="L76" s="227">
        <v>0.55555555555555558</v>
      </c>
      <c r="M76" s="228" t="s">
        <v>592</v>
      </c>
      <c r="N76" s="229">
        <v>0.55555555555555558</v>
      </c>
      <c r="O76" s="95">
        <f t="shared" si="21"/>
        <v>0.31111111111111112</v>
      </c>
      <c r="P76" s="95">
        <f t="shared" si="22"/>
        <v>0.26041666666666663</v>
      </c>
      <c r="Q76" s="99">
        <f t="shared" si="23"/>
        <v>5.0694444444444486E-2</v>
      </c>
      <c r="R76" s="99"/>
      <c r="T76" s="374" t="s">
        <v>330</v>
      </c>
      <c r="U76" s="240" t="s">
        <v>331</v>
      </c>
      <c r="V76" s="241">
        <v>0.61250000000000004</v>
      </c>
      <c r="W76" s="242">
        <v>0.61458333333333337</v>
      </c>
      <c r="X76" s="243" t="s">
        <v>592</v>
      </c>
      <c r="Y76" s="241">
        <v>0.69791666666666663</v>
      </c>
      <c r="Z76" s="242" t="s">
        <v>593</v>
      </c>
      <c r="AA76" s="242">
        <v>0.79305555555555551</v>
      </c>
      <c r="AB76" s="242">
        <v>0.79861111111111116</v>
      </c>
      <c r="AC76" s="243" t="s">
        <v>593</v>
      </c>
      <c r="AD76" s="241">
        <v>0.94444444444444442</v>
      </c>
      <c r="AE76" s="242" t="s">
        <v>592</v>
      </c>
      <c r="AF76" s="243">
        <v>0.94444444444444442</v>
      </c>
      <c r="AG76" s="106">
        <f t="shared" si="18"/>
        <v>0.33194444444444438</v>
      </c>
      <c r="AH76" s="106">
        <f t="shared" si="19"/>
        <v>0.23680555555555549</v>
      </c>
      <c r="AI76" s="107">
        <f t="shared" si="20"/>
        <v>9.5138888888888884E-2</v>
      </c>
    </row>
    <row r="77" spans="2:35" x14ac:dyDescent="0.25">
      <c r="B77" s="375" t="s">
        <v>297</v>
      </c>
      <c r="C77" s="108" t="s">
        <v>296</v>
      </c>
      <c r="D77" s="227">
        <v>0.25486111111111109</v>
      </c>
      <c r="E77" s="228">
        <v>0.26041666666666669</v>
      </c>
      <c r="F77" s="229" t="s">
        <v>592</v>
      </c>
      <c r="G77" s="227">
        <v>0.39583333333333331</v>
      </c>
      <c r="H77" s="228" t="s">
        <v>593</v>
      </c>
      <c r="I77" s="228">
        <v>0.44236111111111109</v>
      </c>
      <c r="J77" s="228">
        <v>0.44791666666666669</v>
      </c>
      <c r="K77" s="229" t="s">
        <v>593</v>
      </c>
      <c r="L77" s="227">
        <v>0.58333333333333337</v>
      </c>
      <c r="M77" s="228" t="s">
        <v>593</v>
      </c>
      <c r="N77" s="229">
        <v>0.60902777777777772</v>
      </c>
      <c r="O77" s="95">
        <f t="shared" si="21"/>
        <v>0.35416666666666663</v>
      </c>
      <c r="P77" s="95">
        <f t="shared" si="22"/>
        <v>0.30763888888888885</v>
      </c>
      <c r="Q77" s="99">
        <f t="shared" si="23"/>
        <v>4.6527777777777779E-2</v>
      </c>
      <c r="R77" s="99"/>
      <c r="T77" s="375" t="s">
        <v>334</v>
      </c>
      <c r="U77" s="108" t="s">
        <v>335</v>
      </c>
      <c r="V77" s="227">
        <v>0.63888888888888884</v>
      </c>
      <c r="W77" s="228">
        <v>0.66666666666666663</v>
      </c>
      <c r="X77" s="229" t="s">
        <v>593</v>
      </c>
      <c r="Y77" s="227">
        <v>0.79861111111111116</v>
      </c>
      <c r="Z77" s="228" t="s">
        <v>593</v>
      </c>
      <c r="AA77" s="228">
        <v>0.86250000000000004</v>
      </c>
      <c r="AB77" s="228">
        <v>0.86805555555555558</v>
      </c>
      <c r="AC77" s="229" t="s">
        <v>593</v>
      </c>
      <c r="AD77" s="227">
        <v>1.0347222222222223</v>
      </c>
      <c r="AE77" s="228" t="s">
        <v>592</v>
      </c>
      <c r="AF77" s="229">
        <v>1.0347222222222223</v>
      </c>
      <c r="AG77" s="95">
        <f t="shared" si="18"/>
        <v>0.39583333333333348</v>
      </c>
      <c r="AH77" s="95">
        <f t="shared" si="19"/>
        <v>0.3319444444444446</v>
      </c>
      <c r="AI77" s="99">
        <f t="shared" si="20"/>
        <v>6.3888888888888884E-2</v>
      </c>
    </row>
    <row r="78" spans="2:35" ht="15.75" thickBot="1" x14ac:dyDescent="0.3">
      <c r="B78" s="375" t="s">
        <v>299</v>
      </c>
      <c r="C78" s="108" t="s">
        <v>298</v>
      </c>
      <c r="D78" s="227">
        <v>0.25486111111111109</v>
      </c>
      <c r="E78" s="228">
        <v>0.26041666666666669</v>
      </c>
      <c r="F78" s="229" t="s">
        <v>592</v>
      </c>
      <c r="G78" s="227">
        <v>0.40277777777777779</v>
      </c>
      <c r="H78" s="228" t="s">
        <v>592</v>
      </c>
      <c r="I78" s="228">
        <v>0.45347222222222217</v>
      </c>
      <c r="J78" s="228">
        <v>0.47916666666666669</v>
      </c>
      <c r="K78" s="229" t="s">
        <v>593</v>
      </c>
      <c r="L78" s="227">
        <v>0.60416666666666663</v>
      </c>
      <c r="M78" s="228" t="s">
        <v>593</v>
      </c>
      <c r="N78" s="229">
        <v>0.62986111111111109</v>
      </c>
      <c r="O78" s="95">
        <f t="shared" si="21"/>
        <v>0.375</v>
      </c>
      <c r="P78" s="95">
        <f t="shared" si="22"/>
        <v>0.32430555555555562</v>
      </c>
      <c r="Q78" s="99">
        <f t="shared" si="23"/>
        <v>5.0694444444444375E-2</v>
      </c>
      <c r="R78" s="99"/>
      <c r="T78" s="381" t="s">
        <v>344</v>
      </c>
      <c r="U78" s="109" t="s">
        <v>345</v>
      </c>
      <c r="V78" s="236">
        <v>0.74305555555555558</v>
      </c>
      <c r="W78" s="237">
        <v>0.77083333333333337</v>
      </c>
      <c r="X78" s="238" t="s">
        <v>593</v>
      </c>
      <c r="Y78" s="236"/>
      <c r="Z78" s="237"/>
      <c r="AA78" s="237"/>
      <c r="AB78" s="237"/>
      <c r="AC78" s="238"/>
      <c r="AD78" s="236">
        <v>1</v>
      </c>
      <c r="AE78" s="237" t="s">
        <v>592</v>
      </c>
      <c r="AF78" s="238">
        <v>1</v>
      </c>
      <c r="AG78" s="103">
        <f t="shared" si="18"/>
        <v>0.25694444444444442</v>
      </c>
      <c r="AH78" s="103">
        <f t="shared" si="19"/>
        <v>0.25694444444444442</v>
      </c>
      <c r="AI78" s="104">
        <f t="shared" si="20"/>
        <v>0</v>
      </c>
    </row>
    <row r="79" spans="2:35" x14ac:dyDescent="0.25">
      <c r="B79" s="375" t="s">
        <v>301</v>
      </c>
      <c r="C79" s="108" t="s">
        <v>300</v>
      </c>
      <c r="D79" s="227">
        <v>0.26527777777777778</v>
      </c>
      <c r="E79" s="228">
        <v>0.27083333333333331</v>
      </c>
      <c r="F79" s="229" t="s">
        <v>592</v>
      </c>
      <c r="G79" s="227">
        <v>0.44791666666666669</v>
      </c>
      <c r="H79" s="228" t="s">
        <v>593</v>
      </c>
      <c r="I79" s="228">
        <v>0.49444444444444452</v>
      </c>
      <c r="J79" s="228">
        <v>0.5</v>
      </c>
      <c r="K79" s="229" t="s">
        <v>593</v>
      </c>
      <c r="L79" s="227">
        <v>0.63541666666666663</v>
      </c>
      <c r="M79" s="228" t="s">
        <v>593</v>
      </c>
      <c r="N79" s="229">
        <v>0.66111111111111109</v>
      </c>
      <c r="O79" s="95">
        <f t="shared" si="21"/>
        <v>0.39583333333333331</v>
      </c>
      <c r="P79" s="95">
        <f t="shared" si="22"/>
        <v>0.34930555555555548</v>
      </c>
      <c r="Q79" s="99">
        <f t="shared" si="23"/>
        <v>4.6527777777777835E-2</v>
      </c>
      <c r="R79" s="99"/>
    </row>
    <row r="80" spans="2:35" x14ac:dyDescent="0.25">
      <c r="B80" s="375" t="s">
        <v>303</v>
      </c>
      <c r="C80" s="108" t="s">
        <v>304</v>
      </c>
      <c r="D80" s="227">
        <v>0.27569444444444446</v>
      </c>
      <c r="E80" s="228">
        <v>0.28125</v>
      </c>
      <c r="F80" s="229" t="s">
        <v>592</v>
      </c>
      <c r="G80" s="227">
        <v>0.46875</v>
      </c>
      <c r="H80" s="228" t="s">
        <v>593</v>
      </c>
      <c r="I80" s="228">
        <v>0.52569444444444446</v>
      </c>
      <c r="J80" s="228">
        <v>0.53125</v>
      </c>
      <c r="K80" s="229" t="s">
        <v>593</v>
      </c>
      <c r="L80" s="227">
        <v>0.68055555555555558</v>
      </c>
      <c r="M80" s="228" t="s">
        <v>592</v>
      </c>
      <c r="N80" s="229">
        <v>0.68055555555555558</v>
      </c>
      <c r="O80" s="95">
        <f t="shared" si="21"/>
        <v>0.40486111111111112</v>
      </c>
      <c r="P80" s="95">
        <f t="shared" si="22"/>
        <v>0.34791666666666665</v>
      </c>
      <c r="Q80" s="99">
        <f t="shared" si="23"/>
        <v>5.6944444444444464E-2</v>
      </c>
      <c r="R80" s="99"/>
    </row>
    <row r="81" spans="2:18" x14ac:dyDescent="0.25">
      <c r="B81" s="375" t="s">
        <v>305</v>
      </c>
      <c r="C81" s="108" t="s">
        <v>308</v>
      </c>
      <c r="D81" s="227">
        <v>0.28611111111111109</v>
      </c>
      <c r="E81" s="228">
        <v>0.29166666666666669</v>
      </c>
      <c r="F81" s="229" t="s">
        <v>592</v>
      </c>
      <c r="G81" s="227">
        <v>0.39583333333333331</v>
      </c>
      <c r="H81" s="228" t="s">
        <v>594</v>
      </c>
      <c r="I81" s="228">
        <v>0.4465277777777778</v>
      </c>
      <c r="J81" s="228">
        <v>0.46527777777777779</v>
      </c>
      <c r="K81" s="229" t="s">
        <v>592</v>
      </c>
      <c r="L81" s="227">
        <v>0.64583333333333337</v>
      </c>
      <c r="M81" s="228" t="s">
        <v>593</v>
      </c>
      <c r="N81" s="229">
        <v>0.67152777777777772</v>
      </c>
      <c r="O81" s="95">
        <f t="shared" si="21"/>
        <v>0.38541666666666663</v>
      </c>
      <c r="P81" s="95">
        <f t="shared" si="22"/>
        <v>0.33472222222222214</v>
      </c>
      <c r="Q81" s="99">
        <f t="shared" si="23"/>
        <v>5.0694444444444486E-2</v>
      </c>
      <c r="R81" s="99"/>
    </row>
    <row r="82" spans="2:18" x14ac:dyDescent="0.25">
      <c r="B82" s="375" t="s">
        <v>307</v>
      </c>
      <c r="C82" s="108" t="s">
        <v>310</v>
      </c>
      <c r="D82" s="227">
        <v>0.32083333333333336</v>
      </c>
      <c r="E82" s="228">
        <v>0.3263888888888889</v>
      </c>
      <c r="F82" s="229" t="s">
        <v>592</v>
      </c>
      <c r="G82" s="227">
        <v>0.45833333333333331</v>
      </c>
      <c r="H82" s="228" t="s">
        <v>593</v>
      </c>
      <c r="I82" s="228">
        <v>0.50486111111111109</v>
      </c>
      <c r="J82" s="228">
        <v>0.51041666666666663</v>
      </c>
      <c r="K82" s="229" t="s">
        <v>593</v>
      </c>
      <c r="L82" s="227">
        <v>0.59722222222222221</v>
      </c>
      <c r="M82" s="228" t="s">
        <v>592</v>
      </c>
      <c r="N82" s="229">
        <v>0.59722222222222221</v>
      </c>
      <c r="O82" s="95">
        <f t="shared" si="21"/>
        <v>0.27638888888888885</v>
      </c>
      <c r="P82" s="95">
        <f t="shared" si="22"/>
        <v>0.22986111111111107</v>
      </c>
      <c r="Q82" s="99">
        <f t="shared" si="23"/>
        <v>4.6527777777777779E-2</v>
      </c>
      <c r="R82" s="99"/>
    </row>
    <row r="83" spans="2:18" x14ac:dyDescent="0.25">
      <c r="B83" s="375" t="s">
        <v>309</v>
      </c>
      <c r="C83" s="108" t="s">
        <v>391</v>
      </c>
      <c r="D83" s="227">
        <v>0.33680555555555558</v>
      </c>
      <c r="E83" s="228">
        <v>0.36458333333333331</v>
      </c>
      <c r="F83" s="229" t="s">
        <v>593</v>
      </c>
      <c r="G83" s="227">
        <v>0.47916666666666669</v>
      </c>
      <c r="H83" s="228" t="s">
        <v>593</v>
      </c>
      <c r="I83" s="228">
        <v>0.53611111111111098</v>
      </c>
      <c r="J83" s="228">
        <v>0.54166666666666663</v>
      </c>
      <c r="K83" s="229" t="s">
        <v>593</v>
      </c>
      <c r="L83" s="227">
        <v>0.62847222222222221</v>
      </c>
      <c r="M83" s="228" t="s">
        <v>592</v>
      </c>
      <c r="N83" s="229">
        <v>0.62847222222222221</v>
      </c>
      <c r="O83" s="95">
        <f t="shared" si="21"/>
        <v>0.29166666666666663</v>
      </c>
      <c r="P83" s="95">
        <f t="shared" si="22"/>
        <v>0.23472222222222233</v>
      </c>
      <c r="Q83" s="99">
        <f t="shared" si="23"/>
        <v>5.6944444444444298E-2</v>
      </c>
      <c r="R83" s="99"/>
    </row>
    <row r="84" spans="2:18" x14ac:dyDescent="0.25">
      <c r="B84" s="375" t="s">
        <v>311</v>
      </c>
      <c r="C84" s="108" t="s">
        <v>312</v>
      </c>
      <c r="D84" s="230">
        <v>0.34722222222222221</v>
      </c>
      <c r="E84" s="231">
        <v>0.375</v>
      </c>
      <c r="F84" s="232" t="s">
        <v>593</v>
      </c>
      <c r="G84" s="230">
        <v>0.5</v>
      </c>
      <c r="H84" s="231" t="s">
        <v>593</v>
      </c>
      <c r="I84" s="231">
        <v>0.56736111111111098</v>
      </c>
      <c r="J84" s="231">
        <v>0.57291666666666663</v>
      </c>
      <c r="K84" s="232" t="s">
        <v>593</v>
      </c>
      <c r="L84" s="230">
        <v>0.66319444444444442</v>
      </c>
      <c r="M84" s="231" t="s">
        <v>592</v>
      </c>
      <c r="N84" s="232">
        <v>0.66319444444444442</v>
      </c>
      <c r="O84" s="100">
        <f t="shared" si="21"/>
        <v>0.31597222222222221</v>
      </c>
      <c r="P84" s="100">
        <f t="shared" si="22"/>
        <v>0.24861111111111123</v>
      </c>
      <c r="Q84" s="101">
        <f t="shared" si="23"/>
        <v>6.7361111111110983E-2</v>
      </c>
      <c r="R84" s="101"/>
    </row>
    <row r="85" spans="2:18" ht="15.75" thickBot="1" x14ac:dyDescent="0.3">
      <c r="B85" s="373" t="s">
        <v>313</v>
      </c>
      <c r="C85" s="233" t="s">
        <v>314</v>
      </c>
      <c r="D85" s="230">
        <v>0.34861111111111109</v>
      </c>
      <c r="E85" s="231">
        <v>0.35416666666666669</v>
      </c>
      <c r="F85" s="232" t="s">
        <v>592</v>
      </c>
      <c r="G85" s="230"/>
      <c r="H85" s="231"/>
      <c r="I85" s="231"/>
      <c r="J85" s="231"/>
      <c r="K85" s="232"/>
      <c r="L85" s="230">
        <v>0.5625</v>
      </c>
      <c r="M85" s="231" t="s">
        <v>593</v>
      </c>
      <c r="N85" s="232">
        <v>0.58819444444444446</v>
      </c>
      <c r="O85" s="100">
        <f t="shared" si="21"/>
        <v>0.23958333333333337</v>
      </c>
      <c r="P85" s="100">
        <f t="shared" si="22"/>
        <v>0.23958333333333337</v>
      </c>
      <c r="Q85" s="101">
        <f t="shared" si="23"/>
        <v>0</v>
      </c>
      <c r="R85" s="101"/>
    </row>
    <row r="86" spans="2:18" x14ac:dyDescent="0.25">
      <c r="B86" s="378" t="s">
        <v>315</v>
      </c>
      <c r="C86" s="105" t="s">
        <v>393</v>
      </c>
      <c r="D86" s="224">
        <v>0.49305555555555558</v>
      </c>
      <c r="E86" s="225">
        <v>0.52083333333333337</v>
      </c>
      <c r="F86" s="226" t="s">
        <v>593</v>
      </c>
      <c r="G86" s="224">
        <v>0.66666666666666663</v>
      </c>
      <c r="H86" s="225" t="s">
        <v>593</v>
      </c>
      <c r="I86" s="225">
        <v>0.72361111111111109</v>
      </c>
      <c r="J86" s="225">
        <v>0.72916666666666663</v>
      </c>
      <c r="K86" s="226" t="s">
        <v>593</v>
      </c>
      <c r="L86" s="224">
        <v>0.87847222222222221</v>
      </c>
      <c r="M86" s="225" t="s">
        <v>592</v>
      </c>
      <c r="N86" s="234">
        <v>0.87847222222222221</v>
      </c>
      <c r="O86" s="97">
        <f t="shared" si="21"/>
        <v>0.38541666666666663</v>
      </c>
      <c r="P86" s="97">
        <f t="shared" si="22"/>
        <v>0.32847222222222217</v>
      </c>
      <c r="Q86" s="98">
        <f t="shared" si="23"/>
        <v>5.6944444444444464E-2</v>
      </c>
      <c r="R86" s="98"/>
    </row>
    <row r="87" spans="2:18" x14ac:dyDescent="0.25">
      <c r="B87" s="376" t="s">
        <v>318</v>
      </c>
      <c r="C87" s="108" t="s">
        <v>319</v>
      </c>
      <c r="D87" s="227">
        <v>0.52430555555555558</v>
      </c>
      <c r="E87" s="228">
        <v>0.55208333333333337</v>
      </c>
      <c r="F87" s="229" t="s">
        <v>593</v>
      </c>
      <c r="G87" s="227">
        <v>0.67708333333333337</v>
      </c>
      <c r="H87" s="228" t="s">
        <v>593</v>
      </c>
      <c r="I87" s="228">
        <v>0.74444444444444446</v>
      </c>
      <c r="J87" s="228">
        <v>0.75</v>
      </c>
      <c r="K87" s="229" t="s">
        <v>593</v>
      </c>
      <c r="L87" s="227">
        <v>0.89236111111111116</v>
      </c>
      <c r="M87" s="228" t="s">
        <v>592</v>
      </c>
      <c r="N87" s="235">
        <v>0.89236111111111116</v>
      </c>
      <c r="O87" s="95">
        <f t="shared" si="21"/>
        <v>0.36805555555555558</v>
      </c>
      <c r="P87" s="95">
        <f t="shared" si="22"/>
        <v>0.30069444444444449</v>
      </c>
      <c r="Q87" s="99">
        <f t="shared" si="23"/>
        <v>6.7361111111111094E-2</v>
      </c>
      <c r="R87" s="99"/>
    </row>
    <row r="88" spans="2:18" x14ac:dyDescent="0.25">
      <c r="B88" s="376" t="s">
        <v>320</v>
      </c>
      <c r="C88" s="108" t="s">
        <v>321</v>
      </c>
      <c r="D88" s="227">
        <v>0.52916666666666667</v>
      </c>
      <c r="E88" s="228">
        <v>0.53125</v>
      </c>
      <c r="F88" s="229" t="s">
        <v>592</v>
      </c>
      <c r="G88" s="227">
        <v>0.625</v>
      </c>
      <c r="H88" s="228" t="s">
        <v>593</v>
      </c>
      <c r="I88" s="228">
        <v>0.69236111111111098</v>
      </c>
      <c r="J88" s="228">
        <v>0.69791666666666663</v>
      </c>
      <c r="K88" s="229" t="s">
        <v>593</v>
      </c>
      <c r="L88" s="227">
        <v>0.90972222222222221</v>
      </c>
      <c r="M88" s="228" t="s">
        <v>592</v>
      </c>
      <c r="N88" s="235">
        <v>0.90972222222222221</v>
      </c>
      <c r="O88" s="95">
        <f t="shared" si="21"/>
        <v>0.38055555555555554</v>
      </c>
      <c r="P88" s="95">
        <f t="shared" si="22"/>
        <v>0.31319444444444455</v>
      </c>
      <c r="Q88" s="99">
        <f t="shared" si="23"/>
        <v>6.7361111111110983E-2</v>
      </c>
      <c r="R88" s="99"/>
    </row>
    <row r="89" spans="2:18" x14ac:dyDescent="0.25">
      <c r="B89" s="376" t="s">
        <v>322</v>
      </c>
      <c r="C89" s="108" t="s">
        <v>323</v>
      </c>
      <c r="D89" s="227">
        <v>0.53472222222222221</v>
      </c>
      <c r="E89" s="228">
        <v>0.5625</v>
      </c>
      <c r="F89" s="229" t="s">
        <v>593</v>
      </c>
      <c r="G89" s="227">
        <v>0.6875</v>
      </c>
      <c r="H89" s="228" t="s">
        <v>593</v>
      </c>
      <c r="I89" s="228">
        <v>0.73402777777777795</v>
      </c>
      <c r="J89" s="228">
        <v>0.73958333333333337</v>
      </c>
      <c r="K89" s="229" t="s">
        <v>593</v>
      </c>
      <c r="L89" s="227">
        <v>0.86805555555555558</v>
      </c>
      <c r="M89" s="228" t="s">
        <v>593</v>
      </c>
      <c r="N89" s="235">
        <v>0.89375000000000004</v>
      </c>
      <c r="O89" s="95">
        <f t="shared" si="21"/>
        <v>0.35902777777777783</v>
      </c>
      <c r="P89" s="95">
        <f t="shared" si="22"/>
        <v>0.31249999999999989</v>
      </c>
      <c r="Q89" s="99">
        <f t="shared" si="23"/>
        <v>4.6527777777777946E-2</v>
      </c>
      <c r="R89" s="99"/>
    </row>
    <row r="90" spans="2:18" x14ac:dyDescent="0.25">
      <c r="B90" s="376" t="s">
        <v>324</v>
      </c>
      <c r="C90" s="108" t="s">
        <v>395</v>
      </c>
      <c r="D90" s="227">
        <v>0.56041666666666667</v>
      </c>
      <c r="E90" s="228">
        <v>0.5625</v>
      </c>
      <c r="F90" s="229" t="s">
        <v>592</v>
      </c>
      <c r="G90" s="227">
        <v>0.65625</v>
      </c>
      <c r="H90" s="228" t="s">
        <v>593</v>
      </c>
      <c r="I90" s="228">
        <v>0.70277777777777795</v>
      </c>
      <c r="J90" s="228">
        <v>0.70833333333333337</v>
      </c>
      <c r="K90" s="229" t="s">
        <v>593</v>
      </c>
      <c r="L90" s="227">
        <v>0.92013888888888884</v>
      </c>
      <c r="M90" s="228" t="s">
        <v>592</v>
      </c>
      <c r="N90" s="235">
        <v>0.92013888888888884</v>
      </c>
      <c r="O90" s="95">
        <f t="shared" si="21"/>
        <v>0.35972222222222217</v>
      </c>
      <c r="P90" s="95">
        <f t="shared" si="22"/>
        <v>0.31319444444444422</v>
      </c>
      <c r="Q90" s="99">
        <f t="shared" si="23"/>
        <v>4.6527777777777946E-2</v>
      </c>
      <c r="R90" s="99"/>
    </row>
    <row r="91" spans="2:18" x14ac:dyDescent="0.25">
      <c r="B91" s="376" t="s">
        <v>326</v>
      </c>
      <c r="C91" s="108" t="s">
        <v>327</v>
      </c>
      <c r="D91" s="227">
        <v>0.5854166666666667</v>
      </c>
      <c r="E91" s="228">
        <v>0.60416666666666663</v>
      </c>
      <c r="F91" s="229" t="s">
        <v>594</v>
      </c>
      <c r="G91" s="227">
        <v>0.70833333333333337</v>
      </c>
      <c r="H91" s="228" t="s">
        <v>594</v>
      </c>
      <c r="I91" s="228">
        <v>0.75763888888888886</v>
      </c>
      <c r="J91" s="228">
        <v>0.76041666666666663</v>
      </c>
      <c r="K91" s="229" t="s">
        <v>593</v>
      </c>
      <c r="L91" s="227">
        <v>0.88194444444444442</v>
      </c>
      <c r="M91" s="228" t="s">
        <v>593</v>
      </c>
      <c r="N91" s="235">
        <v>0.90763888888888888</v>
      </c>
      <c r="O91" s="95">
        <f t="shared" si="21"/>
        <v>0.32222222222222219</v>
      </c>
      <c r="P91" s="95">
        <f t="shared" si="22"/>
        <v>0.2729166666666667</v>
      </c>
      <c r="Q91" s="99">
        <f t="shared" si="23"/>
        <v>4.9305555555555491E-2</v>
      </c>
      <c r="R91" s="99"/>
    </row>
    <row r="92" spans="2:18" ht="15.75" thickBot="1" x14ac:dyDescent="0.3">
      <c r="B92" s="379" t="s">
        <v>328</v>
      </c>
      <c r="C92" s="109" t="s">
        <v>329</v>
      </c>
      <c r="D92" s="236">
        <v>0.59166666666666667</v>
      </c>
      <c r="E92" s="237">
        <v>0.59375</v>
      </c>
      <c r="F92" s="238" t="s">
        <v>592</v>
      </c>
      <c r="G92" s="236">
        <v>0.75</v>
      </c>
      <c r="H92" s="237" t="s">
        <v>593</v>
      </c>
      <c r="I92" s="237">
        <v>0.80972222222222223</v>
      </c>
      <c r="J92" s="237">
        <v>0.8125</v>
      </c>
      <c r="K92" s="238" t="s">
        <v>594</v>
      </c>
      <c r="L92" s="236">
        <v>0.88194444444444442</v>
      </c>
      <c r="M92" s="237" t="s">
        <v>592</v>
      </c>
      <c r="N92" s="239">
        <v>0.88194444444444442</v>
      </c>
      <c r="O92" s="103">
        <f t="shared" si="21"/>
        <v>0.29027777777777775</v>
      </c>
      <c r="P92" s="103">
        <f t="shared" si="22"/>
        <v>0.23055555555555551</v>
      </c>
      <c r="Q92" s="104">
        <f t="shared" si="23"/>
        <v>5.9722222222222232E-2</v>
      </c>
      <c r="R92" s="104"/>
    </row>
    <row r="93" spans="2:18" x14ac:dyDescent="0.25">
      <c r="B93" s="374" t="s">
        <v>330</v>
      </c>
      <c r="C93" s="240" t="s">
        <v>331</v>
      </c>
      <c r="D93" s="227">
        <v>0.61250000000000004</v>
      </c>
      <c r="E93" s="228">
        <v>0.61458333333333337</v>
      </c>
      <c r="F93" s="229" t="s">
        <v>592</v>
      </c>
      <c r="G93" s="227">
        <v>0.69791666666666663</v>
      </c>
      <c r="H93" s="228" t="s">
        <v>593</v>
      </c>
      <c r="I93" s="228">
        <v>0.79305555555555551</v>
      </c>
      <c r="J93" s="228">
        <v>0.79861111111111116</v>
      </c>
      <c r="K93" s="229" t="s">
        <v>593</v>
      </c>
      <c r="L93" s="227">
        <v>0.94444444444444442</v>
      </c>
      <c r="M93" s="228" t="s">
        <v>592</v>
      </c>
      <c r="N93" s="229">
        <v>0.94444444444444442</v>
      </c>
      <c r="O93" s="106">
        <f t="shared" si="21"/>
        <v>0.33194444444444438</v>
      </c>
      <c r="P93" s="106">
        <f t="shared" si="22"/>
        <v>0.23680555555555549</v>
      </c>
      <c r="Q93" s="107">
        <f t="shared" si="23"/>
        <v>9.5138888888888884E-2</v>
      </c>
      <c r="R93" s="107" t="s">
        <v>280</v>
      </c>
    </row>
    <row r="94" spans="2:18" x14ac:dyDescent="0.25">
      <c r="B94" s="375" t="s">
        <v>332</v>
      </c>
      <c r="C94" s="108" t="s">
        <v>333</v>
      </c>
      <c r="D94" s="241">
        <v>0.61805555555555558</v>
      </c>
      <c r="E94" s="242">
        <v>0.64583333333333337</v>
      </c>
      <c r="F94" s="243" t="s">
        <v>593</v>
      </c>
      <c r="G94" s="241">
        <v>0.78472222222222221</v>
      </c>
      <c r="H94" s="242" t="s">
        <v>593</v>
      </c>
      <c r="I94" s="242">
        <v>0.84861111111111109</v>
      </c>
      <c r="J94" s="242">
        <v>0.85416666666666663</v>
      </c>
      <c r="K94" s="243" t="s">
        <v>593</v>
      </c>
      <c r="L94" s="241">
        <v>1.0173611111111112</v>
      </c>
      <c r="M94" s="242" t="s">
        <v>592</v>
      </c>
      <c r="N94" s="243">
        <v>1.0173611111111112</v>
      </c>
      <c r="O94" s="95">
        <f t="shared" si="21"/>
        <v>0.39930555555555558</v>
      </c>
      <c r="P94" s="95">
        <f t="shared" si="22"/>
        <v>0.3354166666666667</v>
      </c>
      <c r="Q94" s="99">
        <f t="shared" si="23"/>
        <v>6.3888888888888884E-2</v>
      </c>
      <c r="R94" s="99" t="s">
        <v>280</v>
      </c>
    </row>
    <row r="95" spans="2:18" x14ac:dyDescent="0.25">
      <c r="B95" s="375" t="s">
        <v>334</v>
      </c>
      <c r="C95" s="108" t="s">
        <v>335</v>
      </c>
      <c r="D95" s="227">
        <v>0.63888888888888884</v>
      </c>
      <c r="E95" s="228">
        <v>0.66666666666666663</v>
      </c>
      <c r="F95" s="229" t="s">
        <v>593</v>
      </c>
      <c r="G95" s="227">
        <v>0.79861111111111116</v>
      </c>
      <c r="H95" s="228" t="s">
        <v>593</v>
      </c>
      <c r="I95" s="228">
        <v>0.86250000000000004</v>
      </c>
      <c r="J95" s="228">
        <v>0.86805555555555558</v>
      </c>
      <c r="K95" s="229" t="s">
        <v>593</v>
      </c>
      <c r="L95" s="227">
        <v>1.0347222222222223</v>
      </c>
      <c r="M95" s="228" t="s">
        <v>592</v>
      </c>
      <c r="N95" s="229">
        <v>1.0347222222222223</v>
      </c>
      <c r="O95" s="95">
        <f t="shared" si="21"/>
        <v>0.39583333333333348</v>
      </c>
      <c r="P95" s="95">
        <f t="shared" si="22"/>
        <v>0.3319444444444446</v>
      </c>
      <c r="Q95" s="99">
        <f t="shared" si="23"/>
        <v>6.3888888888888884E-2</v>
      </c>
      <c r="R95" s="99" t="s">
        <v>280</v>
      </c>
    </row>
    <row r="96" spans="2:18" x14ac:dyDescent="0.25">
      <c r="B96" s="375" t="s">
        <v>336</v>
      </c>
      <c r="C96" s="108" t="s">
        <v>337</v>
      </c>
      <c r="D96" s="227">
        <v>0.64375000000000004</v>
      </c>
      <c r="E96" s="228">
        <v>0.64583333333333337</v>
      </c>
      <c r="F96" s="229" t="s">
        <v>592</v>
      </c>
      <c r="G96" s="227">
        <v>0.72916666666666663</v>
      </c>
      <c r="H96" s="228" t="s">
        <v>593</v>
      </c>
      <c r="I96" s="228">
        <v>0.80694444444444446</v>
      </c>
      <c r="J96" s="228">
        <v>0.8125</v>
      </c>
      <c r="K96" s="229" t="s">
        <v>593</v>
      </c>
      <c r="L96" s="227">
        <v>1.0381944444444444</v>
      </c>
      <c r="M96" s="228" t="s">
        <v>592</v>
      </c>
      <c r="N96" s="229">
        <v>1.0381944444444444</v>
      </c>
      <c r="O96" s="95">
        <f t="shared" si="21"/>
        <v>0.39444444444444438</v>
      </c>
      <c r="P96" s="95">
        <f t="shared" si="22"/>
        <v>0.31666666666666654</v>
      </c>
      <c r="Q96" s="99">
        <f t="shared" si="23"/>
        <v>7.7777777777777835E-2</v>
      </c>
      <c r="R96" s="99" t="s">
        <v>280</v>
      </c>
    </row>
    <row r="97" spans="2:18" x14ac:dyDescent="0.25">
      <c r="B97" s="375" t="s">
        <v>338</v>
      </c>
      <c r="C97" s="108" t="s">
        <v>397</v>
      </c>
      <c r="D97" s="227">
        <v>0.64930555555555558</v>
      </c>
      <c r="E97" s="228">
        <v>0.67708333333333337</v>
      </c>
      <c r="F97" s="229" t="s">
        <v>593</v>
      </c>
      <c r="G97" s="227">
        <v>0.8125</v>
      </c>
      <c r="H97" s="228" t="s">
        <v>593</v>
      </c>
      <c r="I97" s="228">
        <v>0.87638888888888888</v>
      </c>
      <c r="J97" s="228">
        <v>0.88194444444444442</v>
      </c>
      <c r="K97" s="229" t="s">
        <v>593</v>
      </c>
      <c r="L97" s="227">
        <v>1.0416666666666667</v>
      </c>
      <c r="M97" s="228" t="s">
        <v>592</v>
      </c>
      <c r="N97" s="229">
        <v>1.0416666666666667</v>
      </c>
      <c r="O97" s="95">
        <f t="shared" si="21"/>
        <v>0.39236111111111116</v>
      </c>
      <c r="P97" s="95">
        <f t="shared" si="22"/>
        <v>0.32847222222222228</v>
      </c>
      <c r="Q97" s="99">
        <f t="shared" si="23"/>
        <v>6.3888888888888884E-2</v>
      </c>
      <c r="R97" s="99" t="s">
        <v>280</v>
      </c>
    </row>
    <row r="98" spans="2:18" x14ac:dyDescent="0.25">
      <c r="B98" s="375" t="s">
        <v>340</v>
      </c>
      <c r="C98" s="108" t="s">
        <v>339</v>
      </c>
      <c r="D98" s="227">
        <v>0.65972222222222221</v>
      </c>
      <c r="E98" s="228">
        <v>0.6875</v>
      </c>
      <c r="F98" s="229" t="s">
        <v>593</v>
      </c>
      <c r="G98" s="227">
        <v>0.84375</v>
      </c>
      <c r="H98" s="228" t="s">
        <v>592</v>
      </c>
      <c r="I98" s="228">
        <v>0.90069444444444446</v>
      </c>
      <c r="J98" s="228">
        <v>0.90277777777777779</v>
      </c>
      <c r="K98" s="229" t="s">
        <v>592</v>
      </c>
      <c r="L98" s="227">
        <v>1.0277777777777777</v>
      </c>
      <c r="M98" s="228" t="s">
        <v>592</v>
      </c>
      <c r="N98" s="229">
        <v>1.0277777777777777</v>
      </c>
      <c r="O98" s="95">
        <f t="shared" si="21"/>
        <v>0.36805555555555547</v>
      </c>
      <c r="P98" s="95">
        <f t="shared" si="22"/>
        <v>0.31111111111111101</v>
      </c>
      <c r="Q98" s="99">
        <f t="shared" si="23"/>
        <v>5.6944444444444464E-2</v>
      </c>
      <c r="R98" s="99"/>
    </row>
    <row r="99" spans="2:18" x14ac:dyDescent="0.25">
      <c r="B99" s="375" t="s">
        <v>342</v>
      </c>
      <c r="C99" s="108" t="s">
        <v>343</v>
      </c>
      <c r="D99" s="227">
        <v>0.69097222222222221</v>
      </c>
      <c r="E99" s="228">
        <v>0.71875</v>
      </c>
      <c r="F99" s="229" t="s">
        <v>593</v>
      </c>
      <c r="G99" s="227">
        <v>0.85416666666666663</v>
      </c>
      <c r="H99" s="228" t="s">
        <v>593</v>
      </c>
      <c r="I99" s="228">
        <v>0.90416666666666667</v>
      </c>
      <c r="J99" s="228">
        <v>0.90972222222222221</v>
      </c>
      <c r="K99" s="229" t="s">
        <v>593</v>
      </c>
      <c r="L99" s="227">
        <v>1.0208333333333333</v>
      </c>
      <c r="M99" s="228" t="s">
        <v>592</v>
      </c>
      <c r="N99" s="229">
        <v>1.0208333333333333</v>
      </c>
      <c r="O99" s="95">
        <f t="shared" si="21"/>
        <v>0.32986111111111105</v>
      </c>
      <c r="P99" s="95">
        <f t="shared" si="22"/>
        <v>0.27986111111111101</v>
      </c>
      <c r="Q99" s="99">
        <f t="shared" si="23"/>
        <v>5.0000000000000044E-2</v>
      </c>
      <c r="R99" s="99"/>
    </row>
    <row r="100" spans="2:18" x14ac:dyDescent="0.25">
      <c r="B100" s="375" t="s">
        <v>344</v>
      </c>
      <c r="C100" s="108" t="s">
        <v>345</v>
      </c>
      <c r="D100" s="227">
        <v>0.74305555555555558</v>
      </c>
      <c r="E100" s="228">
        <v>0.77083333333333337</v>
      </c>
      <c r="F100" s="229" t="s">
        <v>593</v>
      </c>
      <c r="G100" s="227"/>
      <c r="H100" s="228"/>
      <c r="I100" s="228"/>
      <c r="J100" s="228"/>
      <c r="K100" s="229"/>
      <c r="L100" s="227">
        <v>1</v>
      </c>
      <c r="M100" s="228" t="s">
        <v>592</v>
      </c>
      <c r="N100" s="229">
        <v>1</v>
      </c>
      <c r="O100" s="95">
        <f t="shared" si="21"/>
        <v>0.25694444444444442</v>
      </c>
      <c r="P100" s="95">
        <f t="shared" si="22"/>
        <v>0.25694444444444442</v>
      </c>
      <c r="Q100" s="99">
        <f t="shared" si="23"/>
        <v>0</v>
      </c>
      <c r="R100" s="99"/>
    </row>
    <row r="101" spans="2:18" ht="15.75" thickBot="1" x14ac:dyDescent="0.3">
      <c r="B101" s="375" t="s">
        <v>346</v>
      </c>
      <c r="C101" s="109" t="s">
        <v>347</v>
      </c>
      <c r="D101" s="236">
        <v>0.82777777777777772</v>
      </c>
      <c r="E101" s="237">
        <v>0.82986111111111116</v>
      </c>
      <c r="F101" s="238" t="s">
        <v>592</v>
      </c>
      <c r="G101" s="236"/>
      <c r="H101" s="237"/>
      <c r="I101" s="237"/>
      <c r="J101" s="237"/>
      <c r="K101" s="238"/>
      <c r="L101" s="236">
        <v>1.0381944444444444</v>
      </c>
      <c r="M101" s="237" t="s">
        <v>592</v>
      </c>
      <c r="N101" s="238">
        <v>1.0381944444444444</v>
      </c>
      <c r="O101" s="103">
        <f t="shared" si="21"/>
        <v>0.2104166666666667</v>
      </c>
      <c r="P101" s="103">
        <f t="shared" si="22"/>
        <v>0.2104166666666667</v>
      </c>
      <c r="Q101" s="104">
        <f t="shared" si="23"/>
        <v>0</v>
      </c>
      <c r="R101" s="104"/>
    </row>
    <row r="102" spans="2:18" ht="15.75" thickBot="1" x14ac:dyDescent="0.3">
      <c r="B102" s="110"/>
      <c r="C102" s="244"/>
      <c r="D102" s="245"/>
      <c r="E102" s="246"/>
      <c r="F102" s="247"/>
      <c r="G102" s="245"/>
      <c r="H102" s="246"/>
      <c r="I102" s="246"/>
      <c r="J102" s="246"/>
      <c r="K102" s="247"/>
      <c r="L102" s="245"/>
      <c r="M102" s="246"/>
      <c r="N102" s="247"/>
      <c r="O102" s="120"/>
      <c r="P102" s="121">
        <f>AVERAGE(P73:P101)</f>
        <v>0.28460249042145591</v>
      </c>
      <c r="Q102" s="248"/>
      <c r="R102" s="248"/>
    </row>
    <row r="103" spans="2:18" x14ac:dyDescent="0.25">
      <c r="B103" s="84" t="s">
        <v>272</v>
      </c>
      <c r="C103" s="85" t="s">
        <v>273</v>
      </c>
      <c r="D103" s="86" t="s">
        <v>274</v>
      </c>
      <c r="E103" s="87"/>
      <c r="F103" s="88"/>
      <c r="G103" s="86" t="s">
        <v>275</v>
      </c>
      <c r="H103" s="87"/>
      <c r="I103" s="87"/>
      <c r="J103" s="87"/>
      <c r="K103" s="88"/>
      <c r="L103" s="86" t="s">
        <v>276</v>
      </c>
      <c r="M103" s="87"/>
      <c r="N103" s="88"/>
      <c r="O103" s="84" t="s">
        <v>277</v>
      </c>
      <c r="P103" s="84" t="s">
        <v>278</v>
      </c>
      <c r="Q103" s="84" t="s">
        <v>279</v>
      </c>
      <c r="R103" s="84"/>
    </row>
    <row r="104" spans="2:18" ht="15.75" thickBot="1" x14ac:dyDescent="0.3">
      <c r="B104" s="89"/>
      <c r="C104" s="90"/>
      <c r="D104" s="94" t="s">
        <v>281</v>
      </c>
      <c r="E104" s="92" t="s">
        <v>282</v>
      </c>
      <c r="F104" s="93" t="s">
        <v>283</v>
      </c>
      <c r="G104" s="94" t="s">
        <v>274</v>
      </c>
      <c r="H104" s="92" t="s">
        <v>283</v>
      </c>
      <c r="I104" s="92" t="s">
        <v>281</v>
      </c>
      <c r="J104" s="92" t="s">
        <v>274</v>
      </c>
      <c r="K104" s="93" t="s">
        <v>283</v>
      </c>
      <c r="L104" s="94" t="s">
        <v>276</v>
      </c>
      <c r="M104" s="92" t="s">
        <v>283</v>
      </c>
      <c r="N104" s="93" t="s">
        <v>284</v>
      </c>
      <c r="O104" s="89"/>
      <c r="P104" s="89"/>
      <c r="Q104" s="89"/>
      <c r="R104" s="89"/>
    </row>
    <row r="105" spans="2:18" x14ac:dyDescent="0.25">
      <c r="B105" s="372" t="s">
        <v>364</v>
      </c>
      <c r="C105" s="123" t="s">
        <v>365</v>
      </c>
      <c r="D105" s="224">
        <v>0.3576388888888889</v>
      </c>
      <c r="E105" s="225">
        <v>0.38541666666666669</v>
      </c>
      <c r="F105" s="226" t="s">
        <v>593</v>
      </c>
      <c r="G105" s="224">
        <v>0.51041666666666663</v>
      </c>
      <c r="H105" s="225" t="s">
        <v>593</v>
      </c>
      <c r="I105" s="225">
        <v>0.59861111111111098</v>
      </c>
      <c r="J105" s="225">
        <v>0.60416666666666663</v>
      </c>
      <c r="K105" s="226" t="s">
        <v>593</v>
      </c>
      <c r="L105" s="224">
        <v>0.69097222222222221</v>
      </c>
      <c r="M105" s="225" t="s">
        <v>592</v>
      </c>
      <c r="N105" s="226">
        <v>0.69097222222222221</v>
      </c>
      <c r="O105" s="97">
        <f t="shared" ref="O105:O110" si="24">N105-D105</f>
        <v>0.33333333333333331</v>
      </c>
      <c r="P105" s="97">
        <f t="shared" ref="P105:P110" si="25">O105-Q105</f>
        <v>0.24513888888888896</v>
      </c>
      <c r="Q105" s="98">
        <f t="shared" ref="Q105:Q110" si="26">I105-G105</f>
        <v>8.8194444444444353E-2</v>
      </c>
      <c r="R105" s="98"/>
    </row>
    <row r="106" spans="2:18" x14ac:dyDescent="0.25">
      <c r="B106" s="375" t="s">
        <v>366</v>
      </c>
      <c r="C106" s="111" t="s">
        <v>367</v>
      </c>
      <c r="D106" s="227">
        <v>0.36805555555555558</v>
      </c>
      <c r="E106" s="228">
        <v>0.39583333333333331</v>
      </c>
      <c r="F106" s="229" t="s">
        <v>593</v>
      </c>
      <c r="G106" s="227">
        <v>0.52083333333333337</v>
      </c>
      <c r="H106" s="228" t="s">
        <v>593</v>
      </c>
      <c r="I106" s="228">
        <v>0.57777777777777783</v>
      </c>
      <c r="J106" s="228">
        <v>0.58333333333333337</v>
      </c>
      <c r="K106" s="229" t="s">
        <v>593</v>
      </c>
      <c r="L106" s="227">
        <v>0.70833333333333337</v>
      </c>
      <c r="M106" s="228" t="s">
        <v>593</v>
      </c>
      <c r="N106" s="229">
        <v>0.73402777777777772</v>
      </c>
      <c r="O106" s="95">
        <f t="shared" si="24"/>
        <v>0.36597222222222214</v>
      </c>
      <c r="P106" s="95">
        <f t="shared" si="25"/>
        <v>0.30902777777777768</v>
      </c>
      <c r="Q106" s="99">
        <f t="shared" si="26"/>
        <v>5.6944444444444464E-2</v>
      </c>
      <c r="R106" s="99"/>
    </row>
    <row r="107" spans="2:18" x14ac:dyDescent="0.25">
      <c r="B107" s="375" t="s">
        <v>368</v>
      </c>
      <c r="C107" s="111" t="s">
        <v>369</v>
      </c>
      <c r="D107" s="227">
        <v>0.37708333333333333</v>
      </c>
      <c r="E107" s="228">
        <v>0.39583333333333331</v>
      </c>
      <c r="F107" s="229" t="s">
        <v>594</v>
      </c>
      <c r="G107" s="227">
        <v>0.60416666666666663</v>
      </c>
      <c r="H107" s="228" t="s">
        <v>594</v>
      </c>
      <c r="I107" s="242">
        <v>0.65624999999999989</v>
      </c>
      <c r="J107" s="242">
        <v>0.65625</v>
      </c>
      <c r="K107" s="243" t="s">
        <v>594</v>
      </c>
      <c r="L107" s="241">
        <v>0.76041666666666663</v>
      </c>
      <c r="M107" s="242" t="s">
        <v>594</v>
      </c>
      <c r="N107" s="243">
        <v>0.77708333333333335</v>
      </c>
      <c r="O107" s="95">
        <f t="shared" si="24"/>
        <v>0.4</v>
      </c>
      <c r="P107" s="95">
        <f t="shared" si="25"/>
        <v>0.34791666666666676</v>
      </c>
      <c r="Q107" s="99">
        <f t="shared" si="26"/>
        <v>5.2083333333333259E-2</v>
      </c>
      <c r="R107" s="99"/>
    </row>
    <row r="108" spans="2:18" x14ac:dyDescent="0.25">
      <c r="B108" s="375" t="s">
        <v>370</v>
      </c>
      <c r="C108" s="111" t="s">
        <v>371</v>
      </c>
      <c r="D108" s="227">
        <v>0.38333333333333336</v>
      </c>
      <c r="E108" s="228">
        <v>0.3888888888888889</v>
      </c>
      <c r="F108" s="229" t="s">
        <v>592</v>
      </c>
      <c r="G108" s="227">
        <v>0.54166666666666663</v>
      </c>
      <c r="H108" s="228" t="s">
        <v>593</v>
      </c>
      <c r="I108" s="228">
        <v>0.65069444444444435</v>
      </c>
      <c r="J108" s="228">
        <v>0.65625</v>
      </c>
      <c r="K108" s="229" t="s">
        <v>593</v>
      </c>
      <c r="L108" s="227">
        <v>0.80555555555555558</v>
      </c>
      <c r="M108" s="228" t="s">
        <v>592</v>
      </c>
      <c r="N108" s="229">
        <v>0.80555555555555558</v>
      </c>
      <c r="O108" s="95">
        <f t="shared" si="24"/>
        <v>0.42222222222222222</v>
      </c>
      <c r="P108" s="95">
        <f t="shared" si="25"/>
        <v>0.3131944444444445</v>
      </c>
      <c r="Q108" s="99">
        <f t="shared" si="26"/>
        <v>0.10902777777777772</v>
      </c>
      <c r="R108" s="99"/>
    </row>
    <row r="109" spans="2:18" x14ac:dyDescent="0.25">
      <c r="B109" s="375" t="s">
        <v>372</v>
      </c>
      <c r="C109" s="111" t="s">
        <v>373</v>
      </c>
      <c r="D109" s="227">
        <v>0.3888888888888889</v>
      </c>
      <c r="E109" s="228">
        <v>0.41666666666666669</v>
      </c>
      <c r="F109" s="229" t="s">
        <v>593</v>
      </c>
      <c r="G109" s="227">
        <v>0.55208333333333337</v>
      </c>
      <c r="H109" s="228" t="s">
        <v>593</v>
      </c>
      <c r="I109" s="228">
        <v>0.61944444444444458</v>
      </c>
      <c r="J109" s="228">
        <v>0.625</v>
      </c>
      <c r="K109" s="229" t="s">
        <v>593</v>
      </c>
      <c r="L109" s="227">
        <v>0.76041666666666663</v>
      </c>
      <c r="M109" s="228" t="s">
        <v>593</v>
      </c>
      <c r="N109" s="229">
        <v>0.78611111111111109</v>
      </c>
      <c r="O109" s="95">
        <f t="shared" si="24"/>
        <v>0.3972222222222222</v>
      </c>
      <c r="P109" s="95">
        <f t="shared" si="25"/>
        <v>0.32986111111111099</v>
      </c>
      <c r="Q109" s="99">
        <f t="shared" si="26"/>
        <v>6.7361111111111205E-2</v>
      </c>
      <c r="R109" s="99"/>
    </row>
    <row r="110" spans="2:18" ht="15.75" thickBot="1" x14ac:dyDescent="0.3">
      <c r="B110" s="381" t="s">
        <v>374</v>
      </c>
      <c r="C110" s="255" t="s">
        <v>375</v>
      </c>
      <c r="D110" s="236">
        <v>0.41111111111111109</v>
      </c>
      <c r="E110" s="237">
        <v>0.41666666666666669</v>
      </c>
      <c r="F110" s="238" t="s">
        <v>592</v>
      </c>
      <c r="G110" s="236">
        <v>0.57291666666666663</v>
      </c>
      <c r="H110" s="237" t="s">
        <v>593</v>
      </c>
      <c r="I110" s="237">
        <v>0.62986111111111109</v>
      </c>
      <c r="J110" s="237">
        <v>0.63541666666666663</v>
      </c>
      <c r="K110" s="238" t="s">
        <v>593</v>
      </c>
      <c r="L110" s="236">
        <v>0.77083333333333337</v>
      </c>
      <c r="M110" s="237" t="s">
        <v>593</v>
      </c>
      <c r="N110" s="238">
        <v>0.79652777777777772</v>
      </c>
      <c r="O110" s="103">
        <f t="shared" si="24"/>
        <v>0.38541666666666663</v>
      </c>
      <c r="P110" s="103">
        <f t="shared" si="25"/>
        <v>0.32847222222222217</v>
      </c>
      <c r="Q110" s="104">
        <f t="shared" si="26"/>
        <v>5.6944444444444464E-2</v>
      </c>
      <c r="R110" s="104"/>
    </row>
    <row r="111" spans="2:18" ht="15.75" thickBot="1" x14ac:dyDescent="0.3">
      <c r="B111" s="140"/>
      <c r="C111" s="255"/>
      <c r="D111" s="251"/>
      <c r="E111" s="252"/>
      <c r="F111" s="253"/>
      <c r="G111" s="251"/>
      <c r="H111" s="252"/>
      <c r="I111" s="252"/>
      <c r="J111" s="252"/>
      <c r="K111" s="253"/>
      <c r="L111" s="251"/>
      <c r="M111" s="252"/>
      <c r="N111" s="253"/>
      <c r="O111" s="140"/>
      <c r="P111" s="126">
        <f>AVERAGE(P105:P110)</f>
        <v>0.3122685185185185</v>
      </c>
      <c r="Q111" s="254"/>
      <c r="R111" s="254"/>
    </row>
    <row r="112" spans="2:18" x14ac:dyDescent="0.25">
      <c r="B112" s="84" t="s">
        <v>272</v>
      </c>
      <c r="C112" s="85" t="s">
        <v>273</v>
      </c>
      <c r="D112" s="86" t="s">
        <v>274</v>
      </c>
      <c r="E112" s="87"/>
      <c r="F112" s="88"/>
      <c r="G112" s="86" t="s">
        <v>275</v>
      </c>
      <c r="H112" s="87"/>
      <c r="I112" s="87"/>
      <c r="J112" s="87"/>
      <c r="K112" s="88"/>
      <c r="L112" s="86" t="s">
        <v>276</v>
      </c>
      <c r="M112" s="87"/>
      <c r="N112" s="88"/>
      <c r="O112" s="84" t="s">
        <v>277</v>
      </c>
      <c r="P112" s="84" t="s">
        <v>278</v>
      </c>
      <c r="Q112" s="84" t="s">
        <v>279</v>
      </c>
      <c r="R112" s="84"/>
    </row>
    <row r="113" spans="2:18" ht="15.75" thickBot="1" x14ac:dyDescent="0.3">
      <c r="B113" s="89"/>
      <c r="C113" s="90"/>
      <c r="D113" s="94" t="s">
        <v>281</v>
      </c>
      <c r="E113" s="92" t="s">
        <v>282</v>
      </c>
      <c r="F113" s="93" t="s">
        <v>283</v>
      </c>
      <c r="G113" s="94" t="s">
        <v>274</v>
      </c>
      <c r="H113" s="92" t="s">
        <v>283</v>
      </c>
      <c r="I113" s="92" t="s">
        <v>281</v>
      </c>
      <c r="J113" s="92" t="s">
        <v>274</v>
      </c>
      <c r="K113" s="93" t="s">
        <v>283</v>
      </c>
      <c r="L113" s="94" t="s">
        <v>276</v>
      </c>
      <c r="M113" s="92" t="s">
        <v>283</v>
      </c>
      <c r="N113" s="93" t="s">
        <v>284</v>
      </c>
      <c r="O113" s="89"/>
      <c r="P113" s="89"/>
      <c r="Q113" s="89"/>
      <c r="R113" s="89"/>
    </row>
    <row r="114" spans="2:18" x14ac:dyDescent="0.25">
      <c r="B114" s="372" t="s">
        <v>386</v>
      </c>
      <c r="C114" s="123" t="s">
        <v>387</v>
      </c>
      <c r="D114" s="224">
        <v>0.21319444444444444</v>
      </c>
      <c r="E114" s="225">
        <v>0.21875</v>
      </c>
      <c r="F114" s="226" t="s">
        <v>592</v>
      </c>
      <c r="G114" s="224"/>
      <c r="H114" s="225"/>
      <c r="I114" s="225"/>
      <c r="J114" s="225"/>
      <c r="K114" s="226"/>
      <c r="L114" s="224">
        <v>0.41666666666666669</v>
      </c>
      <c r="M114" s="225" t="s">
        <v>593</v>
      </c>
      <c r="N114" s="226">
        <v>0.44236111111111109</v>
      </c>
      <c r="O114" s="95">
        <f t="shared" ref="O114:O119" si="27">N114-D114</f>
        <v>0.22916666666666666</v>
      </c>
      <c r="P114" s="95">
        <f t="shared" ref="P114:P119" si="28">O114-Q114</f>
        <v>0.22916666666666666</v>
      </c>
      <c r="Q114" s="99">
        <f t="shared" ref="Q114:Q119" si="29">I114-G114</f>
        <v>0</v>
      </c>
      <c r="R114" s="99"/>
    </row>
    <row r="115" spans="2:18" x14ac:dyDescent="0.25">
      <c r="B115" s="375" t="s">
        <v>388</v>
      </c>
      <c r="C115" s="96" t="s">
        <v>302</v>
      </c>
      <c r="D115" s="227">
        <v>0.26527777777777778</v>
      </c>
      <c r="E115" s="228">
        <v>0.27083333333333331</v>
      </c>
      <c r="F115" s="229" t="s">
        <v>592</v>
      </c>
      <c r="G115" s="227">
        <v>0.38541666666666669</v>
      </c>
      <c r="H115" s="228" t="s">
        <v>593</v>
      </c>
      <c r="I115" s="228">
        <v>0.44513888888888892</v>
      </c>
      <c r="J115" s="228">
        <v>0.44791666666666669</v>
      </c>
      <c r="K115" s="229" t="s">
        <v>594</v>
      </c>
      <c r="L115" s="227">
        <v>0.65625</v>
      </c>
      <c r="M115" s="228" t="s">
        <v>594</v>
      </c>
      <c r="N115" s="229">
        <v>0.67291666666666672</v>
      </c>
      <c r="O115" s="95">
        <f t="shared" si="27"/>
        <v>0.40763888888888894</v>
      </c>
      <c r="P115" s="95">
        <f t="shared" si="28"/>
        <v>0.34791666666666671</v>
      </c>
      <c r="Q115" s="99">
        <f t="shared" si="29"/>
        <v>5.9722222222222232E-2</v>
      </c>
      <c r="R115" s="99"/>
    </row>
    <row r="116" spans="2:18" ht="15.75" thickBot="1" x14ac:dyDescent="0.3">
      <c r="B116" s="373" t="s">
        <v>390</v>
      </c>
      <c r="C116" s="102" t="s">
        <v>306</v>
      </c>
      <c r="D116" s="230">
        <v>0.28611111111111109</v>
      </c>
      <c r="E116" s="231">
        <v>0.29166666666666669</v>
      </c>
      <c r="F116" s="232" t="s">
        <v>592</v>
      </c>
      <c r="G116" s="230">
        <v>0.44791666666666669</v>
      </c>
      <c r="H116" s="231" t="s">
        <v>594</v>
      </c>
      <c r="I116" s="231">
        <v>0.49166666666666664</v>
      </c>
      <c r="J116" s="231">
        <v>0.51041666666666663</v>
      </c>
      <c r="K116" s="232" t="s">
        <v>592</v>
      </c>
      <c r="L116" s="230">
        <v>0.62152777777777779</v>
      </c>
      <c r="M116" s="231" t="s">
        <v>592</v>
      </c>
      <c r="N116" s="232">
        <v>0.62152777777777779</v>
      </c>
      <c r="O116" s="100">
        <f t="shared" si="27"/>
        <v>0.3354166666666667</v>
      </c>
      <c r="P116" s="100">
        <f t="shared" si="28"/>
        <v>0.29166666666666674</v>
      </c>
      <c r="Q116" s="101">
        <f t="shared" si="29"/>
        <v>4.3749999999999956E-2</v>
      </c>
      <c r="R116" s="101"/>
    </row>
    <row r="117" spans="2:18" x14ac:dyDescent="0.25">
      <c r="B117" s="380" t="s">
        <v>392</v>
      </c>
      <c r="C117" s="249" t="s">
        <v>316</v>
      </c>
      <c r="D117" s="224">
        <v>0.49791666666666667</v>
      </c>
      <c r="E117" s="225">
        <v>0.5</v>
      </c>
      <c r="F117" s="226" t="s">
        <v>592</v>
      </c>
      <c r="G117" s="224">
        <v>0.71875</v>
      </c>
      <c r="H117" s="225" t="s">
        <v>593</v>
      </c>
      <c r="I117" s="225">
        <v>0.75763888888888875</v>
      </c>
      <c r="J117" s="225">
        <v>0.76041666666666663</v>
      </c>
      <c r="K117" s="226" t="s">
        <v>594</v>
      </c>
      <c r="L117" s="224">
        <v>0.85416666666666663</v>
      </c>
      <c r="M117" s="225" t="s">
        <v>594</v>
      </c>
      <c r="N117" s="234">
        <v>0.87083333333333335</v>
      </c>
      <c r="O117" s="97">
        <f t="shared" si="27"/>
        <v>0.37291666666666667</v>
      </c>
      <c r="P117" s="97">
        <f t="shared" si="28"/>
        <v>0.33402777777777792</v>
      </c>
      <c r="Q117" s="98">
        <f t="shared" si="29"/>
        <v>3.8888888888888751E-2</v>
      </c>
      <c r="R117" s="98"/>
    </row>
    <row r="118" spans="2:18" ht="15.75" thickBot="1" x14ac:dyDescent="0.3">
      <c r="B118" s="381" t="s">
        <v>394</v>
      </c>
      <c r="C118" s="109" t="s">
        <v>325</v>
      </c>
      <c r="D118" s="236">
        <v>0.58472222222222225</v>
      </c>
      <c r="E118" s="237">
        <v>0.58680555555555558</v>
      </c>
      <c r="F118" s="238" t="s">
        <v>592</v>
      </c>
      <c r="G118" s="236">
        <v>0.73958333333333337</v>
      </c>
      <c r="H118" s="237" t="s">
        <v>593</v>
      </c>
      <c r="I118" s="237">
        <v>0.77916666666666667</v>
      </c>
      <c r="J118" s="237">
        <v>0.78472222222222221</v>
      </c>
      <c r="K118" s="238" t="s">
        <v>593</v>
      </c>
      <c r="L118" s="236">
        <v>0.90972222222222221</v>
      </c>
      <c r="M118" s="237" t="s">
        <v>593</v>
      </c>
      <c r="N118" s="239">
        <v>0.93541666666666667</v>
      </c>
      <c r="O118" s="103">
        <f t="shared" si="27"/>
        <v>0.35069444444444442</v>
      </c>
      <c r="P118" s="103">
        <f t="shared" si="28"/>
        <v>0.31111111111111112</v>
      </c>
      <c r="Q118" s="104">
        <f t="shared" si="29"/>
        <v>3.9583333333333304E-2</v>
      </c>
      <c r="R118" s="104"/>
    </row>
    <row r="119" spans="2:18" ht="15.75" thickBot="1" x14ac:dyDescent="0.3">
      <c r="B119" s="382" t="s">
        <v>396</v>
      </c>
      <c r="C119" s="250" t="s">
        <v>341</v>
      </c>
      <c r="D119" s="251">
        <v>0.68958333333333333</v>
      </c>
      <c r="E119" s="252">
        <v>0.70833333333333337</v>
      </c>
      <c r="F119" s="253" t="s">
        <v>594</v>
      </c>
      <c r="G119" s="251">
        <v>0.8125</v>
      </c>
      <c r="H119" s="252" t="s">
        <v>594</v>
      </c>
      <c r="I119" s="252">
        <v>0.85416666666666652</v>
      </c>
      <c r="J119" s="252">
        <v>0.85416666666666663</v>
      </c>
      <c r="K119" s="253" t="s">
        <v>594</v>
      </c>
      <c r="L119" s="251">
        <v>1.0381944444444444</v>
      </c>
      <c r="M119" s="252" t="s">
        <v>592</v>
      </c>
      <c r="N119" s="253">
        <v>1.0381944444444444</v>
      </c>
      <c r="O119" s="140">
        <f t="shared" si="27"/>
        <v>0.34861111111111109</v>
      </c>
      <c r="P119" s="140">
        <f t="shared" si="28"/>
        <v>0.30694444444444458</v>
      </c>
      <c r="Q119" s="254">
        <f t="shared" si="29"/>
        <v>4.1666666666666519E-2</v>
      </c>
      <c r="R119" s="254"/>
    </row>
    <row r="120" spans="2:18" ht="15.75" thickBot="1" x14ac:dyDescent="0.3">
      <c r="B120" s="140"/>
      <c r="C120" s="255"/>
      <c r="D120" s="251"/>
      <c r="E120" s="252"/>
      <c r="F120" s="253"/>
      <c r="G120" s="251"/>
      <c r="H120" s="252"/>
      <c r="I120" s="252"/>
      <c r="J120" s="252"/>
      <c r="K120" s="253"/>
      <c r="L120" s="251"/>
      <c r="M120" s="252"/>
      <c r="N120" s="253"/>
      <c r="O120" s="140"/>
      <c r="P120" s="126">
        <f>AVERAGE(P114:P119)</f>
        <v>0.30347222222222231</v>
      </c>
      <c r="Q120" s="254"/>
      <c r="R120" s="254"/>
    </row>
  </sheetData>
  <mergeCells count="37">
    <mergeCell ref="B3:B4"/>
    <mergeCell ref="C3:C4"/>
    <mergeCell ref="D3:F3"/>
    <mergeCell ref="G3:K3"/>
    <mergeCell ref="U15:AF15"/>
    <mergeCell ref="L3:N3"/>
    <mergeCell ref="O3:O4"/>
    <mergeCell ref="P3:P4"/>
    <mergeCell ref="Q3:Q4"/>
    <mergeCell ref="R3:R4"/>
    <mergeCell ref="U12:AF12"/>
    <mergeCell ref="U7:AF7"/>
    <mergeCell ref="U11:AF11"/>
    <mergeCell ref="U8:AF8"/>
    <mergeCell ref="B71:B72"/>
    <mergeCell ref="C71:C72"/>
    <mergeCell ref="D71:F71"/>
    <mergeCell ref="G71:K71"/>
    <mergeCell ref="L71:N71"/>
    <mergeCell ref="O71:O72"/>
    <mergeCell ref="P71:P72"/>
    <mergeCell ref="Q71:Q72"/>
    <mergeCell ref="R71:R72"/>
    <mergeCell ref="U60:AF60"/>
    <mergeCell ref="U66:AF66"/>
    <mergeCell ref="T70:U70"/>
    <mergeCell ref="U19:AF19"/>
    <mergeCell ref="U21:AF21"/>
    <mergeCell ref="U55:AF55"/>
    <mergeCell ref="U54:AF54"/>
    <mergeCell ref="U53:AF53"/>
    <mergeCell ref="U45:AF45"/>
    <mergeCell ref="U25:AF25"/>
    <mergeCell ref="U32:AF32"/>
    <mergeCell ref="U47:AF47"/>
    <mergeCell ref="U26:AF26"/>
    <mergeCell ref="U34:AF34"/>
  </mergeCells>
  <conditionalFormatting sqref="O5:O10">
    <cfRule type="cellIs" dxfId="147" priority="1" operator="greaterThan">
      <formula>0.375</formula>
    </cfRule>
  </conditionalFormatting>
  <conditionalFormatting sqref="O66">
    <cfRule type="cellIs" dxfId="146" priority="2" operator="greaterThan">
      <formula>0.375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3CBE-2448-4444-95F4-E7567999DE3A}">
  <sheetPr>
    <tabColor rgb="FF92D050"/>
    <pageSetUpPr fitToPage="1"/>
  </sheetPr>
  <dimension ref="A1:Z101"/>
  <sheetViews>
    <sheetView topLeftCell="B1" workbookViewId="0">
      <selection activeCell="E8" sqref="E8"/>
    </sheetView>
    <sheetView workbookViewId="1"/>
  </sheetViews>
  <sheetFormatPr defaultColWidth="9.140625" defaultRowHeight="15" x14ac:dyDescent="0.25"/>
  <cols>
    <col min="1" max="1" width="72.42578125" customWidth="1"/>
    <col min="2" max="2" width="14.42578125" style="708" customWidth="1"/>
    <col min="3" max="8" width="8.7109375" style="708" customWidth="1"/>
    <col min="9" max="11" width="9.42578125" style="708" customWidth="1"/>
    <col min="12" max="14" width="10.140625" style="708" customWidth="1"/>
    <col min="15" max="17" width="9.140625" style="708" customWidth="1"/>
    <col min="18" max="18" width="11.42578125" style="708" bestFit="1" customWidth="1"/>
    <col min="19" max="19" width="10.85546875" style="708" bestFit="1" customWidth="1"/>
    <col min="20" max="20" width="11.140625" style="708" bestFit="1" customWidth="1"/>
    <col min="21" max="21" width="8.5703125" style="708" customWidth="1"/>
    <col min="22" max="23" width="10.85546875" style="708" customWidth="1"/>
    <col min="24" max="26" width="11.7109375" style="708" customWidth="1"/>
  </cols>
  <sheetData>
    <row r="1" spans="1:26" ht="15.75" x14ac:dyDescent="0.25">
      <c r="A1" s="706" t="s">
        <v>1205</v>
      </c>
      <c r="B1" s="707"/>
      <c r="C1" s="707"/>
      <c r="D1" s="707"/>
      <c r="E1" s="707"/>
      <c r="F1" s="707"/>
    </row>
    <row r="2" spans="1:26" ht="59.1" customHeight="1" x14ac:dyDescent="0.25">
      <c r="A2" s="709" t="s">
        <v>1067</v>
      </c>
      <c r="B2" s="710" t="s">
        <v>1068</v>
      </c>
      <c r="C2" s="711" t="s">
        <v>1069</v>
      </c>
      <c r="D2" s="711" t="s">
        <v>1070</v>
      </c>
      <c r="E2" s="711" t="s">
        <v>1071</v>
      </c>
      <c r="F2" s="712" t="s">
        <v>1072</v>
      </c>
      <c r="G2" s="712" t="s">
        <v>1073</v>
      </c>
      <c r="H2" s="712" t="s">
        <v>1074</v>
      </c>
      <c r="I2" s="713" t="s">
        <v>1075</v>
      </c>
      <c r="J2" s="713" t="s">
        <v>1076</v>
      </c>
      <c r="K2" s="713" t="s">
        <v>1077</v>
      </c>
      <c r="L2" s="712" t="s">
        <v>1078</v>
      </c>
      <c r="M2" s="712" t="s">
        <v>1079</v>
      </c>
      <c r="N2" s="712" t="s">
        <v>1080</v>
      </c>
      <c r="O2" s="713" t="s">
        <v>1081</v>
      </c>
      <c r="P2" s="713" t="s">
        <v>1082</v>
      </c>
      <c r="Q2" s="713" t="s">
        <v>1083</v>
      </c>
      <c r="R2" s="714" t="s">
        <v>1084</v>
      </c>
      <c r="S2" s="714" t="s">
        <v>1085</v>
      </c>
      <c r="T2" s="714" t="s">
        <v>1086</v>
      </c>
      <c r="U2" s="713" t="s">
        <v>1087</v>
      </c>
      <c r="V2" s="715" t="s">
        <v>1088</v>
      </c>
      <c r="W2" s="715" t="s">
        <v>1089</v>
      </c>
      <c r="X2" s="715" t="s">
        <v>1090</v>
      </c>
      <c r="Y2" s="715" t="s">
        <v>1091</v>
      </c>
      <c r="Z2" s="715" t="s">
        <v>1092</v>
      </c>
    </row>
    <row r="3" spans="1:26" x14ac:dyDescent="0.25">
      <c r="A3" s="716" t="s">
        <v>1093</v>
      </c>
      <c r="B3" s="717" t="s">
        <v>1213</v>
      </c>
      <c r="C3" s="718">
        <v>19</v>
      </c>
      <c r="D3" s="718">
        <v>15</v>
      </c>
      <c r="E3" s="718">
        <v>11</v>
      </c>
      <c r="F3" s="718">
        <v>0</v>
      </c>
      <c r="G3" s="718">
        <v>0</v>
      </c>
      <c r="H3" s="719">
        <v>0</v>
      </c>
      <c r="I3" s="720">
        <v>1587.8</v>
      </c>
      <c r="J3" s="720">
        <v>1437.85</v>
      </c>
      <c r="K3" s="721">
        <v>1050.21</v>
      </c>
      <c r="L3" s="722">
        <v>1748.3</v>
      </c>
      <c r="M3" s="722">
        <v>1520</v>
      </c>
      <c r="N3" s="722">
        <v>1148.55</v>
      </c>
      <c r="O3" s="723">
        <v>121.25</v>
      </c>
      <c r="P3" s="723">
        <v>102</v>
      </c>
      <c r="Q3" s="723">
        <v>69</v>
      </c>
      <c r="R3" s="722">
        <v>85</v>
      </c>
      <c r="S3" s="722">
        <v>82</v>
      </c>
      <c r="T3" s="722">
        <v>78</v>
      </c>
      <c r="U3" s="724">
        <v>6</v>
      </c>
      <c r="V3" s="725">
        <f t="shared" ref="V3:V5" si="0">C3*5+D3+E3</f>
        <v>121</v>
      </c>
      <c r="W3" s="725">
        <f t="shared" ref="W3:W5" si="1">F3*5+G3+H3</f>
        <v>0</v>
      </c>
      <c r="X3" s="726">
        <f>I3*5+J3+K3</f>
        <v>10427.060000000001</v>
      </c>
      <c r="Y3" s="726">
        <f t="shared" ref="Y3:Y5" si="2">L3*5+M3+N3</f>
        <v>11410.05</v>
      </c>
      <c r="Z3" s="726">
        <f>O3*5+P3+Q3</f>
        <v>777.25</v>
      </c>
    </row>
    <row r="4" spans="1:26" x14ac:dyDescent="0.25">
      <c r="A4" s="716" t="s">
        <v>1094</v>
      </c>
      <c r="B4" s="717" t="s">
        <v>1213</v>
      </c>
      <c r="C4" s="718">
        <v>21.5</v>
      </c>
      <c r="D4" s="718">
        <v>17</v>
      </c>
      <c r="E4" s="718">
        <v>13</v>
      </c>
      <c r="F4" s="718">
        <v>0</v>
      </c>
      <c r="G4" s="718">
        <v>0</v>
      </c>
      <c r="H4" s="719">
        <v>0</v>
      </c>
      <c r="I4" s="720">
        <v>1485.65</v>
      </c>
      <c r="J4" s="720">
        <v>1345.19</v>
      </c>
      <c r="K4" s="721">
        <v>983.57</v>
      </c>
      <c r="L4" s="722">
        <v>1698.05</v>
      </c>
      <c r="M4" s="722">
        <v>1550.09</v>
      </c>
      <c r="N4" s="722">
        <v>1101.17</v>
      </c>
      <c r="O4" s="723">
        <v>127.3666666667</v>
      </c>
      <c r="P4" s="723">
        <v>106.9166666667</v>
      </c>
      <c r="Q4" s="723">
        <v>77.8</v>
      </c>
      <c r="R4" s="722">
        <v>93.716200000000001</v>
      </c>
      <c r="S4" s="722">
        <v>85.746300000000005</v>
      </c>
      <c r="T4" s="722">
        <v>84.857100000000003</v>
      </c>
      <c r="U4" s="724">
        <v>7</v>
      </c>
      <c r="V4" s="725">
        <f t="shared" si="0"/>
        <v>137.5</v>
      </c>
      <c r="W4" s="725">
        <f t="shared" si="1"/>
        <v>0</v>
      </c>
      <c r="X4" s="726">
        <f t="shared" ref="X4:X5" si="3">I4*5+J4+K4</f>
        <v>9757.01</v>
      </c>
      <c r="Y4" s="726">
        <f t="shared" si="2"/>
        <v>11141.51</v>
      </c>
      <c r="Z4" s="726">
        <f t="shared" ref="Z4:Z5" si="4">O4*5+P4+Q4</f>
        <v>821.55000000020004</v>
      </c>
    </row>
    <row r="5" spans="1:26" s="182" customFormat="1" x14ac:dyDescent="0.25">
      <c r="A5" s="727" t="s">
        <v>1212</v>
      </c>
      <c r="B5" s="728"/>
      <c r="C5" s="729">
        <f t="shared" ref="C5:E5" si="5">C4-C3</f>
        <v>2.5</v>
      </c>
      <c r="D5" s="729">
        <f t="shared" si="5"/>
        <v>2</v>
      </c>
      <c r="E5" s="729">
        <f t="shared" si="5"/>
        <v>2</v>
      </c>
      <c r="F5" s="729">
        <f>F4-F3</f>
        <v>0</v>
      </c>
      <c r="G5" s="729">
        <f t="shared" ref="G5:U5" si="6">G4-G3</f>
        <v>0</v>
      </c>
      <c r="H5" s="729">
        <f t="shared" si="6"/>
        <v>0</v>
      </c>
      <c r="I5" s="730">
        <f t="shared" si="6"/>
        <v>-102.14999999999986</v>
      </c>
      <c r="J5" s="730">
        <f t="shared" si="6"/>
        <v>-92.659999999999854</v>
      </c>
      <c r="K5" s="730">
        <f t="shared" si="6"/>
        <v>-66.639999999999986</v>
      </c>
      <c r="L5" s="731">
        <f t="shared" si="6"/>
        <v>-50.25</v>
      </c>
      <c r="M5" s="731">
        <f t="shared" si="6"/>
        <v>30.089999999999918</v>
      </c>
      <c r="N5" s="731">
        <f t="shared" si="6"/>
        <v>-47.379999999999882</v>
      </c>
      <c r="O5" s="732">
        <f t="shared" si="6"/>
        <v>6.1166666666999987</v>
      </c>
      <c r="P5" s="732">
        <f t="shared" si="6"/>
        <v>4.9166666666999959</v>
      </c>
      <c r="Q5" s="732">
        <f t="shared" si="6"/>
        <v>8.7999999999999972</v>
      </c>
      <c r="R5" s="731">
        <f t="shared" si="6"/>
        <v>8.7162000000000006</v>
      </c>
      <c r="S5" s="731">
        <f t="shared" si="6"/>
        <v>3.7463000000000051</v>
      </c>
      <c r="T5" s="731">
        <f t="shared" si="6"/>
        <v>6.8571000000000026</v>
      </c>
      <c r="U5" s="733">
        <f t="shared" si="6"/>
        <v>1</v>
      </c>
      <c r="V5" s="729">
        <f t="shared" si="0"/>
        <v>16.5</v>
      </c>
      <c r="W5" s="729">
        <f t="shared" si="1"/>
        <v>0</v>
      </c>
      <c r="X5" s="730">
        <f t="shared" si="3"/>
        <v>-670.04999999999916</v>
      </c>
      <c r="Y5" s="730">
        <f t="shared" si="2"/>
        <v>-268.53999999999996</v>
      </c>
      <c r="Z5" s="730">
        <f t="shared" si="4"/>
        <v>44.300000000199987</v>
      </c>
    </row>
    <row r="6" spans="1:26" s="737" customFormat="1" x14ac:dyDescent="0.25">
      <c r="A6" s="734" t="s">
        <v>1095</v>
      </c>
      <c r="B6" s="735"/>
      <c r="C6" s="736">
        <f t="shared" ref="C6:E6" si="7">IFERROR(C5/C3,"0%")</f>
        <v>0.13157894736842105</v>
      </c>
      <c r="D6" s="736">
        <f t="shared" si="7"/>
        <v>0.13333333333333333</v>
      </c>
      <c r="E6" s="736">
        <f t="shared" si="7"/>
        <v>0.18181818181818182</v>
      </c>
      <c r="F6" s="736" t="str">
        <f>IFERROR(F5/F3,"0%")</f>
        <v>0%</v>
      </c>
      <c r="G6" s="736" t="str">
        <f t="shared" ref="G6:Z6" si="8">IFERROR(G5/G3,"0%")</f>
        <v>0%</v>
      </c>
      <c r="H6" s="736" t="str">
        <f t="shared" si="8"/>
        <v>0%</v>
      </c>
      <c r="I6" s="736">
        <f t="shared" si="8"/>
        <v>-6.4334299030104458E-2</v>
      </c>
      <c r="J6" s="736">
        <f t="shared" si="8"/>
        <v>-6.4443439858121399E-2</v>
      </c>
      <c r="K6" s="736">
        <f t="shared" si="8"/>
        <v>-6.3453975871492346E-2</v>
      </c>
      <c r="L6" s="736">
        <f t="shared" si="8"/>
        <v>-2.8742206715094663E-2</v>
      </c>
      <c r="M6" s="736">
        <f t="shared" si="8"/>
        <v>1.9796052631578895E-2</v>
      </c>
      <c r="N6" s="736">
        <f t="shared" si="8"/>
        <v>-4.1252013408210247E-2</v>
      </c>
      <c r="O6" s="736">
        <f t="shared" si="8"/>
        <v>5.0446735395463904E-2</v>
      </c>
      <c r="P6" s="736">
        <f t="shared" si="8"/>
        <v>4.8202614379411722E-2</v>
      </c>
      <c r="Q6" s="736">
        <f t="shared" si="8"/>
        <v>0.12753623188405794</v>
      </c>
      <c r="R6" s="736">
        <f t="shared" si="8"/>
        <v>0.10254352941176471</v>
      </c>
      <c r="S6" s="736">
        <f t="shared" si="8"/>
        <v>4.5686585365853717E-2</v>
      </c>
      <c r="T6" s="736">
        <f t="shared" si="8"/>
        <v>8.7911538461538499E-2</v>
      </c>
      <c r="U6" s="736">
        <f t="shared" si="8"/>
        <v>0.16666666666666666</v>
      </c>
      <c r="V6" s="736">
        <f t="shared" si="8"/>
        <v>0.13636363636363635</v>
      </c>
      <c r="W6" s="736" t="str">
        <f t="shared" si="8"/>
        <v>0%</v>
      </c>
      <c r="X6" s="736">
        <f t="shared" si="8"/>
        <v>-6.4260683260669749E-2</v>
      </c>
      <c r="Y6" s="736">
        <f t="shared" si="8"/>
        <v>-2.3535392044732494E-2</v>
      </c>
      <c r="Z6" s="736">
        <f t="shared" si="8"/>
        <v>5.6995818591444175E-2</v>
      </c>
    </row>
    <row r="7" spans="1:26" s="739" customFormat="1" x14ac:dyDescent="0.25">
      <c r="A7" s="738"/>
    </row>
    <row r="8" spans="1:26" s="739" customFormat="1" ht="60" x14ac:dyDescent="0.25">
      <c r="A8" s="709" t="s">
        <v>1096</v>
      </c>
      <c r="B8" s="710" t="s">
        <v>1068</v>
      </c>
      <c r="C8" s="711" t="s">
        <v>1069</v>
      </c>
      <c r="D8" s="711" t="s">
        <v>1070</v>
      </c>
      <c r="E8" s="711" t="s">
        <v>1071</v>
      </c>
      <c r="F8" s="712" t="s">
        <v>1072</v>
      </c>
      <c r="G8" s="712" t="s">
        <v>1073</v>
      </c>
      <c r="H8" s="712" t="s">
        <v>1074</v>
      </c>
      <c r="I8" s="713" t="s">
        <v>1075</v>
      </c>
      <c r="J8" s="713" t="s">
        <v>1076</v>
      </c>
      <c r="K8" s="713" t="s">
        <v>1077</v>
      </c>
      <c r="L8" s="712" t="s">
        <v>1078</v>
      </c>
      <c r="M8" s="712" t="s">
        <v>1079</v>
      </c>
      <c r="N8" s="712" t="s">
        <v>1080</v>
      </c>
      <c r="O8" s="713" t="s">
        <v>1081</v>
      </c>
      <c r="P8" s="713" t="s">
        <v>1082</v>
      </c>
      <c r="Q8" s="713" t="s">
        <v>1083</v>
      </c>
      <c r="R8" s="714" t="s">
        <v>1084</v>
      </c>
      <c r="S8" s="714" t="s">
        <v>1085</v>
      </c>
      <c r="T8" s="714" t="s">
        <v>1086</v>
      </c>
      <c r="U8" s="713" t="s">
        <v>1087</v>
      </c>
      <c r="V8" s="715" t="s">
        <v>1088</v>
      </c>
      <c r="W8" s="715" t="s">
        <v>1089</v>
      </c>
      <c r="X8" s="715" t="s">
        <v>1090</v>
      </c>
      <c r="Y8" s="715" t="s">
        <v>1091</v>
      </c>
      <c r="Z8" s="715" t="s">
        <v>1092</v>
      </c>
    </row>
    <row r="9" spans="1:26" s="739" customFormat="1" x14ac:dyDescent="0.25">
      <c r="A9" s="716" t="s">
        <v>1093</v>
      </c>
      <c r="B9" s="717" t="s">
        <v>1213</v>
      </c>
      <c r="C9" s="718">
        <v>18</v>
      </c>
      <c r="D9" s="718">
        <v>14.5</v>
      </c>
      <c r="E9" s="718">
        <v>11</v>
      </c>
      <c r="F9" s="718">
        <v>0</v>
      </c>
      <c r="G9" s="718">
        <v>0</v>
      </c>
      <c r="H9" s="719">
        <v>0</v>
      </c>
      <c r="I9" s="720">
        <v>1446.9</v>
      </c>
      <c r="J9" s="720">
        <v>1366.89</v>
      </c>
      <c r="K9" s="721">
        <v>1033</v>
      </c>
      <c r="L9" s="722">
        <v>1604</v>
      </c>
      <c r="M9" s="722">
        <v>1497.09</v>
      </c>
      <c r="N9" s="722">
        <v>1125.6500000000001</v>
      </c>
      <c r="O9" s="723">
        <v>110.45</v>
      </c>
      <c r="P9" s="723">
        <v>96.7</v>
      </c>
      <c r="Q9" s="723">
        <v>68.7</v>
      </c>
      <c r="R9" s="722">
        <v>85.46</v>
      </c>
      <c r="S9" s="722">
        <v>81.66</v>
      </c>
      <c r="T9" s="722">
        <v>76.7</v>
      </c>
      <c r="U9" s="724">
        <v>6</v>
      </c>
      <c r="V9" s="725">
        <f t="shared" ref="V9:V11" si="9">C9*5+D9+E9</f>
        <v>115.5</v>
      </c>
      <c r="W9" s="725">
        <f t="shared" ref="W9:W11" si="10">F9*5+G9+H9</f>
        <v>0</v>
      </c>
      <c r="X9" s="726">
        <f>I9*5+J9+K9</f>
        <v>9634.39</v>
      </c>
      <c r="Y9" s="726">
        <f t="shared" ref="Y9:Y11" si="11">L9*5+M9+N9</f>
        <v>10642.74</v>
      </c>
      <c r="Z9" s="726">
        <f>O9*5+P9+Q9</f>
        <v>717.65000000000009</v>
      </c>
    </row>
    <row r="10" spans="1:26" s="739" customFormat="1" x14ac:dyDescent="0.25">
      <c r="A10" s="716" t="s">
        <v>1094</v>
      </c>
      <c r="B10" s="717" t="s">
        <v>1213</v>
      </c>
      <c r="C10" s="718">
        <v>21</v>
      </c>
      <c r="D10" s="718">
        <v>17</v>
      </c>
      <c r="E10" s="718">
        <v>13</v>
      </c>
      <c r="F10" s="718">
        <v>0</v>
      </c>
      <c r="G10" s="718">
        <v>0</v>
      </c>
      <c r="H10" s="719">
        <v>0</v>
      </c>
      <c r="I10" s="720">
        <v>1464.16</v>
      </c>
      <c r="J10" s="720">
        <v>1382.81</v>
      </c>
      <c r="K10" s="721">
        <v>1016.2</v>
      </c>
      <c r="L10" s="722">
        <v>1604.16</v>
      </c>
      <c r="M10" s="722">
        <v>1599.11</v>
      </c>
      <c r="N10" s="722">
        <v>1159.7</v>
      </c>
      <c r="O10" s="723">
        <v>121.16666667</v>
      </c>
      <c r="P10" s="723">
        <v>112.0833333333</v>
      </c>
      <c r="Q10" s="723">
        <v>75.316666666670002</v>
      </c>
      <c r="R10" s="722">
        <v>94.375</v>
      </c>
      <c r="S10" s="722">
        <v>87.720600000000005</v>
      </c>
      <c r="T10" s="722">
        <v>83.88</v>
      </c>
      <c r="U10" s="724">
        <v>7</v>
      </c>
      <c r="V10" s="725">
        <f t="shared" si="9"/>
        <v>135</v>
      </c>
      <c r="W10" s="725">
        <f t="shared" si="10"/>
        <v>0</v>
      </c>
      <c r="X10" s="726">
        <f t="shared" ref="X10:X11" si="12">I10*5+J10+K10</f>
        <v>9719.8100000000013</v>
      </c>
      <c r="Y10" s="726">
        <f t="shared" si="11"/>
        <v>10779.61</v>
      </c>
      <c r="Z10" s="726">
        <f t="shared" ref="Z10:Z11" si="13">O10*5+P10+Q10</f>
        <v>793.23333334997005</v>
      </c>
    </row>
    <row r="11" spans="1:26" s="739" customFormat="1" x14ac:dyDescent="0.25">
      <c r="A11" s="727" t="s">
        <v>1212</v>
      </c>
      <c r="B11" s="728"/>
      <c r="C11" s="729">
        <f t="shared" ref="C11:E11" si="14">C10-C9</f>
        <v>3</v>
      </c>
      <c r="D11" s="729">
        <f t="shared" si="14"/>
        <v>2.5</v>
      </c>
      <c r="E11" s="729">
        <f t="shared" si="14"/>
        <v>2</v>
      </c>
      <c r="F11" s="729">
        <f>F10-F9</f>
        <v>0</v>
      </c>
      <c r="G11" s="729">
        <f t="shared" ref="G11:U11" si="15">G10-G9</f>
        <v>0</v>
      </c>
      <c r="H11" s="729">
        <f t="shared" si="15"/>
        <v>0</v>
      </c>
      <c r="I11" s="730">
        <f t="shared" si="15"/>
        <v>17.259999999999991</v>
      </c>
      <c r="J11" s="730">
        <f t="shared" si="15"/>
        <v>15.919999999999845</v>
      </c>
      <c r="K11" s="730">
        <f t="shared" si="15"/>
        <v>-16.799999999999955</v>
      </c>
      <c r="L11" s="731">
        <f t="shared" si="15"/>
        <v>0.16000000000008185</v>
      </c>
      <c r="M11" s="731">
        <f t="shared" si="15"/>
        <v>102.01999999999998</v>
      </c>
      <c r="N11" s="731">
        <f t="shared" si="15"/>
        <v>34.049999999999955</v>
      </c>
      <c r="O11" s="732">
        <f t="shared" si="15"/>
        <v>10.716666669999995</v>
      </c>
      <c r="P11" s="732">
        <f t="shared" si="15"/>
        <v>15.383333333300001</v>
      </c>
      <c r="Q11" s="732">
        <f t="shared" si="15"/>
        <v>6.6166666666699996</v>
      </c>
      <c r="R11" s="731">
        <f t="shared" si="15"/>
        <v>8.9150000000000063</v>
      </c>
      <c r="S11" s="731">
        <f t="shared" si="15"/>
        <v>6.060600000000008</v>
      </c>
      <c r="T11" s="731">
        <f t="shared" si="15"/>
        <v>7.1799999999999926</v>
      </c>
      <c r="U11" s="733">
        <f t="shared" si="15"/>
        <v>1</v>
      </c>
      <c r="V11" s="729">
        <f t="shared" si="9"/>
        <v>19.5</v>
      </c>
      <c r="W11" s="729">
        <f t="shared" si="10"/>
        <v>0</v>
      </c>
      <c r="X11" s="730">
        <f t="shared" si="12"/>
        <v>85.419999999999845</v>
      </c>
      <c r="Y11" s="730">
        <f t="shared" si="11"/>
        <v>136.87000000000035</v>
      </c>
      <c r="Z11" s="730">
        <f t="shared" si="13"/>
        <v>75.583333349969976</v>
      </c>
    </row>
    <row r="12" spans="1:26" s="739" customFormat="1" x14ac:dyDescent="0.25">
      <c r="A12" s="734" t="s">
        <v>1095</v>
      </c>
      <c r="B12" s="735"/>
      <c r="C12" s="736">
        <f t="shared" ref="C12:E12" si="16">IFERROR(C11/C9,"0%")</f>
        <v>0.16666666666666666</v>
      </c>
      <c r="D12" s="736">
        <f t="shared" si="16"/>
        <v>0.17241379310344829</v>
      </c>
      <c r="E12" s="736">
        <f t="shared" si="16"/>
        <v>0.18181818181818182</v>
      </c>
      <c r="F12" s="736" t="str">
        <f>IFERROR(F11/F9,"0%")</f>
        <v>0%</v>
      </c>
      <c r="G12" s="736" t="str">
        <f t="shared" ref="G12:Z12" si="17">IFERROR(G11/G9,"0%")</f>
        <v>0%</v>
      </c>
      <c r="H12" s="736" t="str">
        <f t="shared" si="17"/>
        <v>0%</v>
      </c>
      <c r="I12" s="736">
        <f t="shared" si="17"/>
        <v>1.1928951551593054E-2</v>
      </c>
      <c r="J12" s="736">
        <f t="shared" si="17"/>
        <v>1.1646877217625298E-2</v>
      </c>
      <c r="K12" s="736">
        <f t="shared" si="17"/>
        <v>-1.6263310745401698E-2</v>
      </c>
      <c r="L12" s="736">
        <f t="shared" si="17"/>
        <v>9.9750623441447541E-5</v>
      </c>
      <c r="M12" s="736">
        <f t="shared" si="17"/>
        <v>6.8145535672538046E-2</v>
      </c>
      <c r="N12" s="736">
        <f t="shared" si="17"/>
        <v>3.0249189357260207E-2</v>
      </c>
      <c r="O12" s="736">
        <f t="shared" si="17"/>
        <v>9.7027312539610638E-2</v>
      </c>
      <c r="P12" s="736">
        <f t="shared" si="17"/>
        <v>0.15908307480144779</v>
      </c>
      <c r="Q12" s="736">
        <f t="shared" si="17"/>
        <v>9.6312469674963597E-2</v>
      </c>
      <c r="R12" s="736">
        <f t="shared" si="17"/>
        <v>0.10431780950152127</v>
      </c>
      <c r="S12" s="736">
        <f t="shared" si="17"/>
        <v>7.4217487141807592E-2</v>
      </c>
      <c r="T12" s="736">
        <f t="shared" si="17"/>
        <v>9.3611473272490128E-2</v>
      </c>
      <c r="U12" s="736">
        <f t="shared" si="17"/>
        <v>0.16666666666666666</v>
      </c>
      <c r="V12" s="736">
        <f t="shared" si="17"/>
        <v>0.16883116883116883</v>
      </c>
      <c r="W12" s="736" t="str">
        <f t="shared" si="17"/>
        <v>0%</v>
      </c>
      <c r="X12" s="736">
        <f t="shared" si="17"/>
        <v>8.8661555116618541E-3</v>
      </c>
      <c r="Y12" s="736">
        <f t="shared" si="17"/>
        <v>1.2860410007197428E-2</v>
      </c>
      <c r="Z12" s="736">
        <f t="shared" si="17"/>
        <v>0.10532060663271785</v>
      </c>
    </row>
    <row r="13" spans="1:26" s="739" customFormat="1" x14ac:dyDescent="0.25">
      <c r="A13" s="738"/>
    </row>
    <row r="14" spans="1:26" s="739" customFormat="1" ht="60" x14ac:dyDescent="0.25">
      <c r="A14" s="709" t="s">
        <v>1097</v>
      </c>
      <c r="B14" s="710" t="s">
        <v>1068</v>
      </c>
      <c r="C14" s="711" t="s">
        <v>1069</v>
      </c>
      <c r="D14" s="711" t="s">
        <v>1070</v>
      </c>
      <c r="E14" s="711" t="s">
        <v>1071</v>
      </c>
      <c r="F14" s="712" t="s">
        <v>1072</v>
      </c>
      <c r="G14" s="712" t="s">
        <v>1073</v>
      </c>
      <c r="H14" s="712" t="s">
        <v>1074</v>
      </c>
      <c r="I14" s="713" t="s">
        <v>1075</v>
      </c>
      <c r="J14" s="713" t="s">
        <v>1076</v>
      </c>
      <c r="K14" s="713" t="s">
        <v>1077</v>
      </c>
      <c r="L14" s="712" t="s">
        <v>1078</v>
      </c>
      <c r="M14" s="712" t="s">
        <v>1079</v>
      </c>
      <c r="N14" s="712" t="s">
        <v>1080</v>
      </c>
      <c r="O14" s="713" t="s">
        <v>1081</v>
      </c>
      <c r="P14" s="713" t="s">
        <v>1082</v>
      </c>
      <c r="Q14" s="713" t="s">
        <v>1083</v>
      </c>
      <c r="R14" s="714" t="s">
        <v>1084</v>
      </c>
      <c r="S14" s="714" t="s">
        <v>1085</v>
      </c>
      <c r="T14" s="714" t="s">
        <v>1086</v>
      </c>
      <c r="U14" s="713" t="s">
        <v>1087</v>
      </c>
      <c r="V14" s="715" t="s">
        <v>1088</v>
      </c>
      <c r="W14" s="715" t="s">
        <v>1089</v>
      </c>
      <c r="X14" s="715" t="s">
        <v>1090</v>
      </c>
      <c r="Y14" s="715" t="s">
        <v>1091</v>
      </c>
      <c r="Z14" s="715" t="s">
        <v>1092</v>
      </c>
    </row>
    <row r="15" spans="1:26" s="739" customFormat="1" x14ac:dyDescent="0.25">
      <c r="A15" s="716" t="s">
        <v>1093</v>
      </c>
      <c r="B15" s="717" t="s">
        <v>1213</v>
      </c>
      <c r="C15" s="718">
        <v>2.5</v>
      </c>
      <c r="D15" s="718">
        <v>0</v>
      </c>
      <c r="E15" s="718">
        <v>0</v>
      </c>
      <c r="F15" s="718">
        <v>0</v>
      </c>
      <c r="G15" s="718">
        <v>0</v>
      </c>
      <c r="H15" s="719">
        <v>0</v>
      </c>
      <c r="I15" s="720">
        <v>186.14</v>
      </c>
      <c r="J15" s="720">
        <v>0</v>
      </c>
      <c r="K15" s="721">
        <v>0</v>
      </c>
      <c r="L15" s="722">
        <v>343</v>
      </c>
      <c r="M15" s="722">
        <v>0</v>
      </c>
      <c r="N15" s="722">
        <v>0</v>
      </c>
      <c r="O15" s="723">
        <v>14.25</v>
      </c>
      <c r="P15" s="723">
        <v>0</v>
      </c>
      <c r="Q15" s="723">
        <v>0</v>
      </c>
      <c r="R15" s="722">
        <v>88.75</v>
      </c>
      <c r="S15" s="722">
        <v>0</v>
      </c>
      <c r="T15" s="722">
        <v>0</v>
      </c>
      <c r="U15" s="724">
        <v>5</v>
      </c>
      <c r="V15" s="725">
        <f t="shared" ref="V15:V17" si="18">C15*5+D15+E15</f>
        <v>12.5</v>
      </c>
      <c r="W15" s="725">
        <f t="shared" ref="W15:W17" si="19">F15*5+G15+H15</f>
        <v>0</v>
      </c>
      <c r="X15" s="726">
        <f>I15*5+J15+K15</f>
        <v>930.69999999999993</v>
      </c>
      <c r="Y15" s="726">
        <f t="shared" ref="Y15:Y17" si="20">L15*5+M15+N15</f>
        <v>1715</v>
      </c>
      <c r="Z15" s="726">
        <f>O15*5+P15+Q15</f>
        <v>71.25</v>
      </c>
    </row>
    <row r="16" spans="1:26" s="739" customFormat="1" x14ac:dyDescent="0.25">
      <c r="A16" s="716" t="s">
        <v>1094</v>
      </c>
      <c r="B16" s="717" t="s">
        <v>1213</v>
      </c>
      <c r="C16" s="718">
        <v>2.5</v>
      </c>
      <c r="D16" s="718">
        <v>0</v>
      </c>
      <c r="E16" s="718">
        <v>0</v>
      </c>
      <c r="F16" s="718">
        <v>0</v>
      </c>
      <c r="G16" s="718">
        <v>0</v>
      </c>
      <c r="H16" s="719">
        <v>0</v>
      </c>
      <c r="I16" s="720">
        <v>185.91</v>
      </c>
      <c r="J16" s="720">
        <v>0</v>
      </c>
      <c r="K16" s="721">
        <v>0</v>
      </c>
      <c r="L16" s="722">
        <v>356.01</v>
      </c>
      <c r="M16" s="722">
        <v>0</v>
      </c>
      <c r="N16" s="722">
        <v>0</v>
      </c>
      <c r="O16" s="723">
        <v>25.533333333000002</v>
      </c>
      <c r="P16" s="723">
        <v>0</v>
      </c>
      <c r="Q16" s="723">
        <v>0</v>
      </c>
      <c r="R16" s="722">
        <v>104</v>
      </c>
      <c r="S16" s="722">
        <v>0</v>
      </c>
      <c r="T16" s="722">
        <v>0</v>
      </c>
      <c r="U16" s="724">
        <v>5</v>
      </c>
      <c r="V16" s="725">
        <f t="shared" si="18"/>
        <v>12.5</v>
      </c>
      <c r="W16" s="725">
        <f t="shared" si="19"/>
        <v>0</v>
      </c>
      <c r="X16" s="726">
        <f t="shared" ref="X16:X17" si="21">I16*5+J16+K16</f>
        <v>929.55</v>
      </c>
      <c r="Y16" s="726">
        <f t="shared" si="20"/>
        <v>1780.05</v>
      </c>
      <c r="Z16" s="726">
        <f t="shared" ref="Z16:Z17" si="22">O16*5+P16+Q16</f>
        <v>127.66666666500001</v>
      </c>
    </row>
    <row r="17" spans="1:26" s="739" customFormat="1" x14ac:dyDescent="0.25">
      <c r="A17" s="727" t="s">
        <v>1212</v>
      </c>
      <c r="B17" s="728"/>
      <c r="C17" s="729">
        <f t="shared" ref="C17:E17" si="23">C16-C15</f>
        <v>0</v>
      </c>
      <c r="D17" s="729">
        <f t="shared" si="23"/>
        <v>0</v>
      </c>
      <c r="E17" s="729">
        <f t="shared" si="23"/>
        <v>0</v>
      </c>
      <c r="F17" s="729">
        <f>F16-F15</f>
        <v>0</v>
      </c>
      <c r="G17" s="729">
        <f t="shared" ref="G17:U17" si="24">G16-G15</f>
        <v>0</v>
      </c>
      <c r="H17" s="729">
        <f t="shared" si="24"/>
        <v>0</v>
      </c>
      <c r="I17" s="730">
        <f t="shared" si="24"/>
        <v>-0.22999999999998977</v>
      </c>
      <c r="J17" s="730">
        <f t="shared" si="24"/>
        <v>0</v>
      </c>
      <c r="K17" s="730">
        <f t="shared" si="24"/>
        <v>0</v>
      </c>
      <c r="L17" s="731">
        <f t="shared" si="24"/>
        <v>13.009999999999991</v>
      </c>
      <c r="M17" s="731">
        <f t="shared" si="24"/>
        <v>0</v>
      </c>
      <c r="N17" s="731">
        <f t="shared" si="24"/>
        <v>0</v>
      </c>
      <c r="O17" s="732">
        <f t="shared" si="24"/>
        <v>11.283333333000002</v>
      </c>
      <c r="P17" s="732">
        <f t="shared" si="24"/>
        <v>0</v>
      </c>
      <c r="Q17" s="732">
        <v>0</v>
      </c>
      <c r="R17" s="731">
        <f>R16-R15</f>
        <v>15.25</v>
      </c>
      <c r="S17" s="731">
        <f t="shared" si="24"/>
        <v>0</v>
      </c>
      <c r="T17" s="731">
        <f t="shared" si="24"/>
        <v>0</v>
      </c>
      <c r="U17" s="733">
        <f t="shared" si="24"/>
        <v>0</v>
      </c>
      <c r="V17" s="729">
        <f t="shared" si="18"/>
        <v>0</v>
      </c>
      <c r="W17" s="729">
        <f t="shared" si="19"/>
        <v>0</v>
      </c>
      <c r="X17" s="730">
        <f t="shared" si="21"/>
        <v>-1.1499999999999488</v>
      </c>
      <c r="Y17" s="730">
        <f t="shared" si="20"/>
        <v>65.049999999999955</v>
      </c>
      <c r="Z17" s="730">
        <f t="shared" si="22"/>
        <v>56.416666665000008</v>
      </c>
    </row>
    <row r="18" spans="1:26" s="739" customFormat="1" x14ac:dyDescent="0.25">
      <c r="A18" s="734" t="s">
        <v>1095</v>
      </c>
      <c r="B18" s="735"/>
      <c r="C18" s="736">
        <f t="shared" ref="C18:E18" si="25">IFERROR(C17/C15,"0%")</f>
        <v>0</v>
      </c>
      <c r="D18" s="736" t="str">
        <f t="shared" si="25"/>
        <v>0%</v>
      </c>
      <c r="E18" s="736" t="str">
        <f t="shared" si="25"/>
        <v>0%</v>
      </c>
      <c r="F18" s="736" t="str">
        <f>IFERROR(F17/F15,"0%")</f>
        <v>0%</v>
      </c>
      <c r="G18" s="736" t="str">
        <f t="shared" ref="G18:Z18" si="26">IFERROR(G17/G15,"0%")</f>
        <v>0%</v>
      </c>
      <c r="H18" s="736" t="str">
        <f t="shared" si="26"/>
        <v>0%</v>
      </c>
      <c r="I18" s="736">
        <f t="shared" si="26"/>
        <v>-1.2356290963790146E-3</v>
      </c>
      <c r="J18" s="736" t="str">
        <f t="shared" si="26"/>
        <v>0%</v>
      </c>
      <c r="K18" s="736" t="str">
        <f t="shared" si="26"/>
        <v>0%</v>
      </c>
      <c r="L18" s="736">
        <f t="shared" si="26"/>
        <v>3.7930029154518922E-2</v>
      </c>
      <c r="M18" s="736" t="str">
        <f t="shared" si="26"/>
        <v>0%</v>
      </c>
      <c r="N18" s="736" t="str">
        <f t="shared" si="26"/>
        <v>0%</v>
      </c>
      <c r="O18" s="736">
        <f t="shared" si="26"/>
        <v>0.79181286547368435</v>
      </c>
      <c r="P18" s="736" t="str">
        <f t="shared" si="26"/>
        <v>0%</v>
      </c>
      <c r="Q18" s="736" t="str">
        <f t="shared" si="26"/>
        <v>0%</v>
      </c>
      <c r="R18" s="736">
        <f t="shared" si="26"/>
        <v>0.17183098591549295</v>
      </c>
      <c r="S18" s="736" t="str">
        <f t="shared" si="26"/>
        <v>0%</v>
      </c>
      <c r="T18" s="736" t="str">
        <f t="shared" si="26"/>
        <v>0%</v>
      </c>
      <c r="U18" s="736">
        <f t="shared" si="26"/>
        <v>0</v>
      </c>
      <c r="V18" s="736">
        <f t="shared" si="26"/>
        <v>0</v>
      </c>
      <c r="W18" s="736" t="str">
        <f t="shared" si="26"/>
        <v>0%</v>
      </c>
      <c r="X18" s="736">
        <f t="shared" si="26"/>
        <v>-1.2356290963790146E-3</v>
      </c>
      <c r="Y18" s="736">
        <f t="shared" si="26"/>
        <v>3.7930029154518922E-2</v>
      </c>
      <c r="Z18" s="736">
        <f t="shared" si="26"/>
        <v>0.79181286547368435</v>
      </c>
    </row>
    <row r="19" spans="1:26" s="739" customFormat="1" x14ac:dyDescent="0.25">
      <c r="A19" s="738"/>
    </row>
    <row r="20" spans="1:26" s="739" customFormat="1" ht="60" x14ac:dyDescent="0.25">
      <c r="A20" s="709" t="s">
        <v>1098</v>
      </c>
      <c r="B20" s="710" t="s">
        <v>1068</v>
      </c>
      <c r="C20" s="711" t="s">
        <v>1069</v>
      </c>
      <c r="D20" s="711" t="s">
        <v>1070</v>
      </c>
      <c r="E20" s="711" t="s">
        <v>1071</v>
      </c>
      <c r="F20" s="712" t="s">
        <v>1072</v>
      </c>
      <c r="G20" s="712" t="s">
        <v>1073</v>
      </c>
      <c r="H20" s="712" t="s">
        <v>1074</v>
      </c>
      <c r="I20" s="713" t="s">
        <v>1075</v>
      </c>
      <c r="J20" s="713" t="s">
        <v>1076</v>
      </c>
      <c r="K20" s="713" t="s">
        <v>1077</v>
      </c>
      <c r="L20" s="712" t="s">
        <v>1078</v>
      </c>
      <c r="M20" s="712" t="s">
        <v>1079</v>
      </c>
      <c r="N20" s="712" t="s">
        <v>1080</v>
      </c>
      <c r="O20" s="713" t="s">
        <v>1081</v>
      </c>
      <c r="P20" s="713" t="s">
        <v>1082</v>
      </c>
      <c r="Q20" s="713" t="s">
        <v>1083</v>
      </c>
      <c r="R20" s="714" t="s">
        <v>1084</v>
      </c>
      <c r="S20" s="714" t="s">
        <v>1085</v>
      </c>
      <c r="T20" s="714" t="s">
        <v>1086</v>
      </c>
      <c r="U20" s="713" t="s">
        <v>1087</v>
      </c>
      <c r="V20" s="715" t="s">
        <v>1088</v>
      </c>
      <c r="W20" s="715" t="s">
        <v>1089</v>
      </c>
      <c r="X20" s="715" t="s">
        <v>1090</v>
      </c>
      <c r="Y20" s="715" t="s">
        <v>1091</v>
      </c>
      <c r="Z20" s="715" t="s">
        <v>1092</v>
      </c>
    </row>
    <row r="21" spans="1:26" s="739" customFormat="1" x14ac:dyDescent="0.25">
      <c r="A21" s="716" t="s">
        <v>1093</v>
      </c>
      <c r="B21" s="717" t="s">
        <v>1213</v>
      </c>
      <c r="C21" s="718">
        <v>1</v>
      </c>
      <c r="D21" s="718">
        <v>0.5</v>
      </c>
      <c r="E21" s="718">
        <v>0</v>
      </c>
      <c r="F21" s="718">
        <v>0</v>
      </c>
      <c r="G21" s="718">
        <v>0</v>
      </c>
      <c r="H21" s="719">
        <v>0</v>
      </c>
      <c r="I21" s="720">
        <v>57.1</v>
      </c>
      <c r="J21" s="720">
        <v>19.64</v>
      </c>
      <c r="K21" s="721">
        <v>0</v>
      </c>
      <c r="L21" s="722">
        <v>101.1</v>
      </c>
      <c r="M21" s="722">
        <v>31.44</v>
      </c>
      <c r="N21" s="722">
        <v>0</v>
      </c>
      <c r="O21" s="723">
        <v>4.5</v>
      </c>
      <c r="P21" s="723">
        <v>2</v>
      </c>
      <c r="Q21" s="723">
        <v>0</v>
      </c>
      <c r="R21" s="722">
        <v>80</v>
      </c>
      <c r="S21" s="722">
        <v>0</v>
      </c>
      <c r="T21" s="722">
        <v>0</v>
      </c>
      <c r="U21" s="724">
        <v>1</v>
      </c>
      <c r="V21" s="725">
        <f t="shared" ref="V21:V23" si="27">C21*5+D21+E21</f>
        <v>5.5</v>
      </c>
      <c r="W21" s="725">
        <f t="shared" ref="W21:W23" si="28">F21*5+G21+H21</f>
        <v>0</v>
      </c>
      <c r="X21" s="726">
        <f>I21*5+J21+K21</f>
        <v>305.14</v>
      </c>
      <c r="Y21" s="726">
        <f t="shared" ref="Y21:Y23" si="29">L21*5+M21+N21</f>
        <v>536.94000000000005</v>
      </c>
      <c r="Z21" s="726">
        <f>O21*5+P21+Q21</f>
        <v>24.5</v>
      </c>
    </row>
    <row r="22" spans="1:26" s="739" customFormat="1" x14ac:dyDescent="0.25">
      <c r="A22" s="716" t="s">
        <v>1094</v>
      </c>
      <c r="B22" s="717" t="s">
        <v>1213</v>
      </c>
      <c r="C22" s="718">
        <v>0.5</v>
      </c>
      <c r="D22" s="718">
        <v>0</v>
      </c>
      <c r="E22" s="718">
        <v>0</v>
      </c>
      <c r="F22" s="718">
        <v>0</v>
      </c>
      <c r="G22" s="718">
        <v>0</v>
      </c>
      <c r="H22" s="719">
        <v>0</v>
      </c>
      <c r="I22" s="720">
        <v>37.409999999999997</v>
      </c>
      <c r="J22" s="720">
        <v>0</v>
      </c>
      <c r="K22" s="721">
        <v>0</v>
      </c>
      <c r="L22" s="722">
        <v>64.11</v>
      </c>
      <c r="M22" s="722">
        <v>0</v>
      </c>
      <c r="N22" s="722">
        <v>0</v>
      </c>
      <c r="O22" s="723">
        <v>5.4166666666700003</v>
      </c>
      <c r="P22" s="723">
        <v>0</v>
      </c>
      <c r="Q22" s="723">
        <v>0</v>
      </c>
      <c r="R22" s="722">
        <v>95</v>
      </c>
      <c r="S22" s="722">
        <v>0</v>
      </c>
      <c r="T22" s="722">
        <v>0</v>
      </c>
      <c r="U22" s="724">
        <v>1</v>
      </c>
      <c r="V22" s="725">
        <f t="shared" si="27"/>
        <v>2.5</v>
      </c>
      <c r="W22" s="725">
        <f t="shared" si="28"/>
        <v>0</v>
      </c>
      <c r="X22" s="726">
        <f t="shared" ref="X22:X23" si="30">I22*5+J22+K22</f>
        <v>187.04999999999998</v>
      </c>
      <c r="Y22" s="726">
        <f t="shared" si="29"/>
        <v>320.55</v>
      </c>
      <c r="Z22" s="726">
        <f t="shared" ref="Z22:Z23" si="31">O22*5+P22+Q22</f>
        <v>27.083333333350001</v>
      </c>
    </row>
    <row r="23" spans="1:26" s="739" customFormat="1" x14ac:dyDescent="0.25">
      <c r="A23" s="727" t="s">
        <v>1212</v>
      </c>
      <c r="B23" s="728"/>
      <c r="C23" s="729">
        <f t="shared" ref="C23:E23" si="32">C22-C21</f>
        <v>-0.5</v>
      </c>
      <c r="D23" s="729">
        <f t="shared" si="32"/>
        <v>-0.5</v>
      </c>
      <c r="E23" s="729">
        <f t="shared" si="32"/>
        <v>0</v>
      </c>
      <c r="F23" s="729">
        <f>F22-F21</f>
        <v>0</v>
      </c>
      <c r="G23" s="729">
        <f t="shared" ref="G23:U23" si="33">G22-G21</f>
        <v>0</v>
      </c>
      <c r="H23" s="729">
        <f t="shared" si="33"/>
        <v>0</v>
      </c>
      <c r="I23" s="730">
        <f t="shared" si="33"/>
        <v>-19.690000000000005</v>
      </c>
      <c r="J23" s="730">
        <f t="shared" si="33"/>
        <v>-19.64</v>
      </c>
      <c r="K23" s="730">
        <f t="shared" si="33"/>
        <v>0</v>
      </c>
      <c r="L23" s="731">
        <f t="shared" si="33"/>
        <v>-36.989999999999995</v>
      </c>
      <c r="M23" s="731">
        <f t="shared" si="33"/>
        <v>-31.44</v>
      </c>
      <c r="N23" s="731">
        <f t="shared" si="33"/>
        <v>0</v>
      </c>
      <c r="O23" s="732">
        <f t="shared" si="33"/>
        <v>0.9166666666700003</v>
      </c>
      <c r="P23" s="732">
        <f t="shared" si="33"/>
        <v>-2</v>
      </c>
      <c r="Q23" s="732">
        <f t="shared" si="33"/>
        <v>0</v>
      </c>
      <c r="R23" s="731">
        <f>R22-R21</f>
        <v>15</v>
      </c>
      <c r="S23" s="731">
        <f t="shared" si="33"/>
        <v>0</v>
      </c>
      <c r="T23" s="731">
        <f t="shared" si="33"/>
        <v>0</v>
      </c>
      <c r="U23" s="733">
        <f t="shared" si="33"/>
        <v>0</v>
      </c>
      <c r="V23" s="729">
        <f t="shared" si="27"/>
        <v>-3</v>
      </c>
      <c r="W23" s="729">
        <f t="shared" si="28"/>
        <v>0</v>
      </c>
      <c r="X23" s="730">
        <f t="shared" si="30"/>
        <v>-118.09000000000002</v>
      </c>
      <c r="Y23" s="730">
        <f t="shared" si="29"/>
        <v>-216.39</v>
      </c>
      <c r="Z23" s="730">
        <f t="shared" si="31"/>
        <v>2.5833333333500015</v>
      </c>
    </row>
    <row r="24" spans="1:26" s="739" customFormat="1" x14ac:dyDescent="0.25">
      <c r="A24" s="734" t="s">
        <v>1095</v>
      </c>
      <c r="B24" s="735"/>
      <c r="C24" s="736">
        <f t="shared" ref="C24:E24" si="34">IFERROR(C23/C21,"0%")</f>
        <v>-0.5</v>
      </c>
      <c r="D24" s="736">
        <f t="shared" si="34"/>
        <v>-1</v>
      </c>
      <c r="E24" s="736" t="str">
        <f t="shared" si="34"/>
        <v>0%</v>
      </c>
      <c r="F24" s="736" t="str">
        <f>IFERROR(F23/F21,"0%")</f>
        <v>0%</v>
      </c>
      <c r="G24" s="736" t="str">
        <f t="shared" ref="G24:Z24" si="35">IFERROR(G23/G21,"0%")</f>
        <v>0%</v>
      </c>
      <c r="H24" s="736" t="str">
        <f t="shared" si="35"/>
        <v>0%</v>
      </c>
      <c r="I24" s="736">
        <f t="shared" si="35"/>
        <v>-0.34483362521891425</v>
      </c>
      <c r="J24" s="736">
        <f t="shared" si="35"/>
        <v>-1</v>
      </c>
      <c r="K24" s="736" t="str">
        <f t="shared" si="35"/>
        <v>0%</v>
      </c>
      <c r="L24" s="736">
        <f t="shared" si="35"/>
        <v>-0.36587537091988126</v>
      </c>
      <c r="M24" s="736">
        <f t="shared" si="35"/>
        <v>-1</v>
      </c>
      <c r="N24" s="736" t="str">
        <f t="shared" si="35"/>
        <v>0%</v>
      </c>
      <c r="O24" s="736">
        <f t="shared" si="35"/>
        <v>0.20370370370444452</v>
      </c>
      <c r="P24" s="736">
        <f t="shared" si="35"/>
        <v>-1</v>
      </c>
      <c r="Q24" s="736" t="str">
        <f t="shared" si="35"/>
        <v>0%</v>
      </c>
      <c r="R24" s="736">
        <f t="shared" si="35"/>
        <v>0.1875</v>
      </c>
      <c r="S24" s="736" t="str">
        <f t="shared" si="35"/>
        <v>0%</v>
      </c>
      <c r="T24" s="736" t="str">
        <f t="shared" si="35"/>
        <v>0%</v>
      </c>
      <c r="U24" s="736">
        <f t="shared" si="35"/>
        <v>0</v>
      </c>
      <c r="V24" s="736">
        <f t="shared" si="35"/>
        <v>-0.54545454545454541</v>
      </c>
      <c r="W24" s="736" t="str">
        <f t="shared" si="35"/>
        <v>0%</v>
      </c>
      <c r="X24" s="736">
        <f t="shared" si="35"/>
        <v>-0.38700268729107956</v>
      </c>
      <c r="Y24" s="736">
        <f t="shared" si="35"/>
        <v>-0.40300592244943562</v>
      </c>
      <c r="Z24" s="736">
        <f t="shared" si="35"/>
        <v>0.10544217687142864</v>
      </c>
    </row>
    <row r="25" spans="1:26" s="739" customFormat="1" x14ac:dyDescent="0.25">
      <c r="A25" s="738"/>
    </row>
    <row r="26" spans="1:26" s="739" customFormat="1" ht="60" x14ac:dyDescent="0.25">
      <c r="A26" s="709" t="s">
        <v>1197</v>
      </c>
      <c r="B26" s="710" t="s">
        <v>1068</v>
      </c>
      <c r="C26" s="711" t="s">
        <v>1069</v>
      </c>
      <c r="D26" s="711" t="s">
        <v>1070</v>
      </c>
      <c r="E26" s="711" t="s">
        <v>1071</v>
      </c>
      <c r="F26" s="712" t="s">
        <v>1072</v>
      </c>
      <c r="G26" s="712" t="s">
        <v>1073</v>
      </c>
      <c r="H26" s="712" t="s">
        <v>1074</v>
      </c>
      <c r="I26" s="713" t="s">
        <v>1075</v>
      </c>
      <c r="J26" s="713" t="s">
        <v>1076</v>
      </c>
      <c r="K26" s="713" t="s">
        <v>1077</v>
      </c>
      <c r="L26" s="712" t="s">
        <v>1078</v>
      </c>
      <c r="M26" s="712" t="s">
        <v>1079</v>
      </c>
      <c r="N26" s="712" t="s">
        <v>1080</v>
      </c>
      <c r="O26" s="713" t="s">
        <v>1081</v>
      </c>
      <c r="P26" s="713" t="s">
        <v>1082</v>
      </c>
      <c r="Q26" s="713" t="s">
        <v>1083</v>
      </c>
      <c r="R26" s="714" t="s">
        <v>1084</v>
      </c>
      <c r="S26" s="714" t="s">
        <v>1085</v>
      </c>
      <c r="T26" s="714" t="s">
        <v>1086</v>
      </c>
      <c r="U26" s="713" t="s">
        <v>1087</v>
      </c>
      <c r="V26" s="715" t="s">
        <v>1088</v>
      </c>
      <c r="W26" s="715" t="s">
        <v>1089</v>
      </c>
      <c r="X26" s="715" t="s">
        <v>1090</v>
      </c>
      <c r="Y26" s="715" t="s">
        <v>1091</v>
      </c>
      <c r="Z26" s="715" t="s">
        <v>1092</v>
      </c>
    </row>
    <row r="27" spans="1:26" s="739" customFormat="1" x14ac:dyDescent="0.25">
      <c r="A27" s="716" t="s">
        <v>1093</v>
      </c>
      <c r="B27" s="717" t="s">
        <v>1213</v>
      </c>
      <c r="C27" s="718">
        <v>0</v>
      </c>
      <c r="D27" s="718">
        <v>0</v>
      </c>
      <c r="E27" s="718">
        <v>0</v>
      </c>
      <c r="F27" s="718">
        <v>0</v>
      </c>
      <c r="G27" s="718">
        <v>0</v>
      </c>
      <c r="H27" s="719">
        <v>0</v>
      </c>
      <c r="I27" s="720">
        <v>0</v>
      </c>
      <c r="J27" s="720">
        <v>0</v>
      </c>
      <c r="K27" s="721">
        <v>0</v>
      </c>
      <c r="L27" s="722">
        <v>0</v>
      </c>
      <c r="M27" s="722">
        <v>0</v>
      </c>
      <c r="N27" s="722">
        <v>0</v>
      </c>
      <c r="O27" s="723">
        <v>0</v>
      </c>
      <c r="P27" s="723">
        <v>0</v>
      </c>
      <c r="Q27" s="723">
        <v>0</v>
      </c>
      <c r="R27" s="722">
        <v>0</v>
      </c>
      <c r="S27" s="722">
        <v>0</v>
      </c>
      <c r="T27" s="722">
        <v>0</v>
      </c>
      <c r="U27" s="724">
        <v>0</v>
      </c>
      <c r="V27" s="725">
        <f t="shared" ref="V27:V29" si="36">C27*5+D27+E27</f>
        <v>0</v>
      </c>
      <c r="W27" s="725">
        <f t="shared" ref="W27:W29" si="37">F27*5+G27+H27</f>
        <v>0</v>
      </c>
      <c r="X27" s="726">
        <f>I27*5+J27+K27</f>
        <v>0</v>
      </c>
      <c r="Y27" s="726">
        <f t="shared" ref="Y27:Y29" si="38">L27*5+M27+N27</f>
        <v>0</v>
      </c>
      <c r="Z27" s="726">
        <f>O27*5+P27+Q27</f>
        <v>0</v>
      </c>
    </row>
    <row r="28" spans="1:26" s="739" customFormat="1" x14ac:dyDescent="0.25">
      <c r="A28" s="716" t="s">
        <v>1094</v>
      </c>
      <c r="B28" s="717" t="s">
        <v>1213</v>
      </c>
      <c r="C28" s="718">
        <v>0.5</v>
      </c>
      <c r="D28" s="718">
        <v>0.5</v>
      </c>
      <c r="E28" s="718">
        <v>0</v>
      </c>
      <c r="F28" s="718">
        <v>0</v>
      </c>
      <c r="G28" s="718">
        <v>0</v>
      </c>
      <c r="H28" s="719">
        <v>0</v>
      </c>
      <c r="I28" s="720">
        <v>31.39</v>
      </c>
      <c r="J28" s="720">
        <v>31.39</v>
      </c>
      <c r="K28" s="721">
        <v>0</v>
      </c>
      <c r="L28" s="722">
        <v>43.19</v>
      </c>
      <c r="M28" s="722">
        <v>43.19</v>
      </c>
      <c r="N28" s="722">
        <v>0</v>
      </c>
      <c r="O28" s="723">
        <v>1.9166666666700001</v>
      </c>
      <c r="P28" s="723">
        <v>2</v>
      </c>
      <c r="Q28" s="723">
        <v>0</v>
      </c>
      <c r="R28" s="722">
        <v>85</v>
      </c>
      <c r="S28" s="722">
        <v>90</v>
      </c>
      <c r="T28" s="722">
        <v>0</v>
      </c>
      <c r="U28" s="724">
        <v>1</v>
      </c>
      <c r="V28" s="725">
        <f t="shared" si="36"/>
        <v>3</v>
      </c>
      <c r="W28" s="725">
        <f t="shared" si="37"/>
        <v>0</v>
      </c>
      <c r="X28" s="726">
        <f t="shared" ref="X28:X29" si="39">I28*5+J28+K28</f>
        <v>188.33999999999997</v>
      </c>
      <c r="Y28" s="726">
        <f t="shared" si="38"/>
        <v>259.14</v>
      </c>
      <c r="Z28" s="726">
        <f t="shared" ref="Z28:Z29" si="40">O28*5+P28+Q28</f>
        <v>11.58333333335</v>
      </c>
    </row>
    <row r="29" spans="1:26" s="739" customFormat="1" x14ac:dyDescent="0.25">
      <c r="A29" s="727" t="s">
        <v>1212</v>
      </c>
      <c r="B29" s="728"/>
      <c r="C29" s="729">
        <f t="shared" ref="C29:E29" si="41">C28-C27</f>
        <v>0.5</v>
      </c>
      <c r="D29" s="729">
        <f t="shared" si="41"/>
        <v>0.5</v>
      </c>
      <c r="E29" s="729">
        <f t="shared" si="41"/>
        <v>0</v>
      </c>
      <c r="F29" s="729">
        <f>F28-F27</f>
        <v>0</v>
      </c>
      <c r="G29" s="729">
        <f t="shared" ref="G29:Q29" si="42">G28-G27</f>
        <v>0</v>
      </c>
      <c r="H29" s="729">
        <f t="shared" si="42"/>
        <v>0</v>
      </c>
      <c r="I29" s="730">
        <f t="shared" si="42"/>
        <v>31.39</v>
      </c>
      <c r="J29" s="730">
        <f t="shared" si="42"/>
        <v>31.39</v>
      </c>
      <c r="K29" s="730">
        <f t="shared" si="42"/>
        <v>0</v>
      </c>
      <c r="L29" s="731">
        <f t="shared" si="42"/>
        <v>43.19</v>
      </c>
      <c r="M29" s="731">
        <f t="shared" si="42"/>
        <v>43.19</v>
      </c>
      <c r="N29" s="731">
        <f t="shared" si="42"/>
        <v>0</v>
      </c>
      <c r="O29" s="732">
        <f t="shared" si="42"/>
        <v>1.9166666666700001</v>
      </c>
      <c r="P29" s="732">
        <f t="shared" si="42"/>
        <v>2</v>
      </c>
      <c r="Q29" s="732">
        <f t="shared" si="42"/>
        <v>0</v>
      </c>
      <c r="R29" s="731">
        <f>R28-R27</f>
        <v>85</v>
      </c>
      <c r="S29" s="731">
        <f t="shared" ref="S29:U29" si="43">S28-S27</f>
        <v>90</v>
      </c>
      <c r="T29" s="731">
        <f t="shared" si="43"/>
        <v>0</v>
      </c>
      <c r="U29" s="733">
        <f t="shared" si="43"/>
        <v>1</v>
      </c>
      <c r="V29" s="729">
        <f t="shared" si="36"/>
        <v>3</v>
      </c>
      <c r="W29" s="729">
        <f t="shared" si="37"/>
        <v>0</v>
      </c>
      <c r="X29" s="730">
        <f t="shared" si="39"/>
        <v>188.33999999999997</v>
      </c>
      <c r="Y29" s="730">
        <f t="shared" si="38"/>
        <v>259.14</v>
      </c>
      <c r="Z29" s="730">
        <f t="shared" si="40"/>
        <v>11.58333333335</v>
      </c>
    </row>
    <row r="30" spans="1:26" s="739" customFormat="1" x14ac:dyDescent="0.25">
      <c r="A30" s="734" t="s">
        <v>1095</v>
      </c>
      <c r="B30" s="735"/>
      <c r="C30" s="736" t="str">
        <f t="shared" ref="C30:E30" si="44">IFERROR(C29/C27,"0%")</f>
        <v>0%</v>
      </c>
      <c r="D30" s="736" t="str">
        <f t="shared" si="44"/>
        <v>0%</v>
      </c>
      <c r="E30" s="736" t="str">
        <f t="shared" si="44"/>
        <v>0%</v>
      </c>
      <c r="F30" s="736" t="str">
        <f>IFERROR(F29/F27,"0%")</f>
        <v>0%</v>
      </c>
      <c r="G30" s="736" t="str">
        <f t="shared" ref="G30:Z30" si="45">IFERROR(G29/G27,"0%")</f>
        <v>0%</v>
      </c>
      <c r="H30" s="736" t="str">
        <f t="shared" si="45"/>
        <v>0%</v>
      </c>
      <c r="I30" s="736" t="str">
        <f t="shared" si="45"/>
        <v>0%</v>
      </c>
      <c r="J30" s="736" t="str">
        <f t="shared" si="45"/>
        <v>0%</v>
      </c>
      <c r="K30" s="736" t="str">
        <f t="shared" si="45"/>
        <v>0%</v>
      </c>
      <c r="L30" s="736" t="str">
        <f t="shared" si="45"/>
        <v>0%</v>
      </c>
      <c r="M30" s="736" t="str">
        <f t="shared" si="45"/>
        <v>0%</v>
      </c>
      <c r="N30" s="736" t="str">
        <f t="shared" si="45"/>
        <v>0%</v>
      </c>
      <c r="O30" s="736" t="str">
        <f t="shared" si="45"/>
        <v>0%</v>
      </c>
      <c r="P30" s="736" t="str">
        <f t="shared" si="45"/>
        <v>0%</v>
      </c>
      <c r="Q30" s="736" t="str">
        <f t="shared" si="45"/>
        <v>0%</v>
      </c>
      <c r="R30" s="736" t="str">
        <f t="shared" si="45"/>
        <v>0%</v>
      </c>
      <c r="S30" s="736" t="str">
        <f t="shared" si="45"/>
        <v>0%</v>
      </c>
      <c r="T30" s="736" t="str">
        <f t="shared" si="45"/>
        <v>0%</v>
      </c>
      <c r="U30" s="736" t="str">
        <f t="shared" si="45"/>
        <v>0%</v>
      </c>
      <c r="V30" s="736" t="str">
        <f t="shared" si="45"/>
        <v>0%</v>
      </c>
      <c r="W30" s="736" t="str">
        <f t="shared" si="45"/>
        <v>0%</v>
      </c>
      <c r="X30" s="736" t="str">
        <f t="shared" si="45"/>
        <v>0%</v>
      </c>
      <c r="Y30" s="736" t="str">
        <f t="shared" si="45"/>
        <v>0%</v>
      </c>
      <c r="Z30" s="736" t="str">
        <f t="shared" si="45"/>
        <v>0%</v>
      </c>
    </row>
    <row r="31" spans="1:26" s="739" customFormat="1" x14ac:dyDescent="0.25">
      <c r="A31" s="738"/>
    </row>
    <row r="33" spans="1:26" ht="60" x14ac:dyDescent="0.25">
      <c r="A33" s="709" t="s">
        <v>227</v>
      </c>
      <c r="B33" s="710" t="s">
        <v>1068</v>
      </c>
      <c r="C33" s="711" t="s">
        <v>1069</v>
      </c>
      <c r="D33" s="711" t="s">
        <v>1070</v>
      </c>
      <c r="E33" s="711" t="s">
        <v>1071</v>
      </c>
      <c r="F33" s="712" t="s">
        <v>1072</v>
      </c>
      <c r="G33" s="712" t="s">
        <v>1073</v>
      </c>
      <c r="H33" s="712" t="s">
        <v>1074</v>
      </c>
      <c r="I33" s="713" t="s">
        <v>1075</v>
      </c>
      <c r="J33" s="713" t="s">
        <v>1076</v>
      </c>
      <c r="K33" s="713" t="s">
        <v>1077</v>
      </c>
      <c r="L33" s="712" t="s">
        <v>1078</v>
      </c>
      <c r="M33" s="712" t="s">
        <v>1079</v>
      </c>
      <c r="N33" s="712" t="s">
        <v>1080</v>
      </c>
      <c r="O33" s="713" t="s">
        <v>1081</v>
      </c>
      <c r="P33" s="713" t="s">
        <v>1082</v>
      </c>
      <c r="Q33" s="713" t="s">
        <v>1083</v>
      </c>
      <c r="R33" s="714" t="s">
        <v>1084</v>
      </c>
      <c r="S33" s="714" t="s">
        <v>1085</v>
      </c>
      <c r="T33" s="714" t="s">
        <v>1086</v>
      </c>
      <c r="U33" s="713" t="s">
        <v>1087</v>
      </c>
      <c r="V33" s="715" t="s">
        <v>1088</v>
      </c>
      <c r="W33" s="715" t="s">
        <v>1089</v>
      </c>
      <c r="X33" s="715" t="s">
        <v>1090</v>
      </c>
      <c r="Y33" s="715" t="s">
        <v>1091</v>
      </c>
      <c r="Z33" s="715" t="s">
        <v>1092</v>
      </c>
    </row>
    <row r="34" spans="1:26" x14ac:dyDescent="0.25">
      <c r="A34" s="716" t="s">
        <v>1093</v>
      </c>
      <c r="B34" s="717" t="s">
        <v>1213</v>
      </c>
      <c r="C34" s="718">
        <v>8.5</v>
      </c>
      <c r="D34" s="718">
        <v>6</v>
      </c>
      <c r="E34" s="718">
        <v>6</v>
      </c>
      <c r="F34" s="718">
        <v>0</v>
      </c>
      <c r="G34" s="718">
        <v>0</v>
      </c>
      <c r="H34" s="719">
        <v>0</v>
      </c>
      <c r="I34" s="720">
        <v>668.9</v>
      </c>
      <c r="J34" s="720">
        <v>600.95000000000005</v>
      </c>
      <c r="K34" s="721">
        <v>530.25</v>
      </c>
      <c r="L34" s="722">
        <v>818</v>
      </c>
      <c r="M34" s="722">
        <v>683</v>
      </c>
      <c r="N34" s="722">
        <v>635</v>
      </c>
      <c r="O34" s="723">
        <v>56.11</v>
      </c>
      <c r="P34" s="723">
        <v>38</v>
      </c>
      <c r="Q34" s="723">
        <v>31</v>
      </c>
      <c r="R34" s="722">
        <v>75</v>
      </c>
      <c r="S34" s="722">
        <v>60</v>
      </c>
      <c r="T34" s="722">
        <v>59</v>
      </c>
      <c r="U34" s="724">
        <v>5</v>
      </c>
      <c r="V34" s="725">
        <f t="shared" ref="V34:V36" si="46">C34*5+D34+E34</f>
        <v>54.5</v>
      </c>
      <c r="W34" s="725">
        <f t="shared" ref="W34:W36" si="47">F34*5+G34+H34</f>
        <v>0</v>
      </c>
      <c r="X34" s="726">
        <f>I34*5+J34+K34</f>
        <v>4475.7</v>
      </c>
      <c r="Y34" s="726">
        <f t="shared" ref="Y34:Y36" si="48">L34*5+M34+N34</f>
        <v>5408</v>
      </c>
      <c r="Z34" s="726">
        <f>O34*5+P34+Q34</f>
        <v>349.55</v>
      </c>
    </row>
    <row r="35" spans="1:26" x14ac:dyDescent="0.25">
      <c r="A35" s="716" t="s">
        <v>1094</v>
      </c>
      <c r="B35" s="717" t="s">
        <v>1213</v>
      </c>
      <c r="C35" s="718">
        <v>10</v>
      </c>
      <c r="D35" s="718">
        <v>6.5</v>
      </c>
      <c r="E35" s="718">
        <v>7</v>
      </c>
      <c r="F35" s="718">
        <v>0</v>
      </c>
      <c r="G35" s="718">
        <v>0</v>
      </c>
      <c r="H35" s="719">
        <v>0</v>
      </c>
      <c r="I35" s="720">
        <v>668.44</v>
      </c>
      <c r="J35" s="720">
        <v>513.04999999999995</v>
      </c>
      <c r="K35" s="721">
        <v>513.04999999999995</v>
      </c>
      <c r="L35" s="722">
        <v>845.84</v>
      </c>
      <c r="M35" s="722">
        <v>581.69000000000005</v>
      </c>
      <c r="N35" s="722">
        <v>638.73</v>
      </c>
      <c r="O35" s="723">
        <v>62.16666</v>
      </c>
      <c r="P35" s="723">
        <v>37.083333332999999</v>
      </c>
      <c r="Q35" s="723">
        <v>45.583333332999999</v>
      </c>
      <c r="R35" s="722">
        <v>83</v>
      </c>
      <c r="S35" s="722">
        <v>68</v>
      </c>
      <c r="T35" s="722">
        <v>81</v>
      </c>
      <c r="U35" s="724">
        <v>6</v>
      </c>
      <c r="V35" s="725">
        <f t="shared" si="46"/>
        <v>63.5</v>
      </c>
      <c r="W35" s="725">
        <f t="shared" si="47"/>
        <v>0</v>
      </c>
      <c r="X35" s="726">
        <f t="shared" ref="X35:X36" si="49">I35*5+J35+K35</f>
        <v>4368.3</v>
      </c>
      <c r="Y35" s="726">
        <f t="shared" si="48"/>
        <v>5449.619999999999</v>
      </c>
      <c r="Z35" s="726">
        <f t="shared" ref="Z35:Z36" si="50">O35*5+P35+Q35</f>
        <v>393.49996666599998</v>
      </c>
    </row>
    <row r="36" spans="1:26" x14ac:dyDescent="0.25">
      <c r="A36" s="727" t="s">
        <v>1212</v>
      </c>
      <c r="B36" s="728"/>
      <c r="C36" s="729">
        <f t="shared" ref="C36:E36" si="51">C35-C34</f>
        <v>1.5</v>
      </c>
      <c r="D36" s="729">
        <f t="shared" si="51"/>
        <v>0.5</v>
      </c>
      <c r="E36" s="729">
        <f t="shared" si="51"/>
        <v>1</v>
      </c>
      <c r="F36" s="729">
        <f>F35-F34</f>
        <v>0</v>
      </c>
      <c r="G36" s="729">
        <f t="shared" ref="G36:U36" si="52">G35-G34</f>
        <v>0</v>
      </c>
      <c r="H36" s="729">
        <f t="shared" si="52"/>
        <v>0</v>
      </c>
      <c r="I36" s="730">
        <f t="shared" si="52"/>
        <v>-0.45999999999992269</v>
      </c>
      <c r="J36" s="730">
        <f t="shared" si="52"/>
        <v>-87.900000000000091</v>
      </c>
      <c r="K36" s="730">
        <f t="shared" si="52"/>
        <v>-17.200000000000045</v>
      </c>
      <c r="L36" s="731">
        <f t="shared" si="52"/>
        <v>27.840000000000032</v>
      </c>
      <c r="M36" s="731">
        <f t="shared" si="52"/>
        <v>-101.30999999999995</v>
      </c>
      <c r="N36" s="731">
        <f t="shared" si="52"/>
        <v>3.7300000000000182</v>
      </c>
      <c r="O36" s="732">
        <f t="shared" si="52"/>
        <v>6.0566600000000008</v>
      </c>
      <c r="P36" s="732">
        <f t="shared" si="52"/>
        <v>-0.91666666700000121</v>
      </c>
      <c r="Q36" s="732">
        <f t="shared" si="52"/>
        <v>14.583333332999999</v>
      </c>
      <c r="R36" s="731">
        <f t="shared" si="52"/>
        <v>8</v>
      </c>
      <c r="S36" s="731">
        <f t="shared" si="52"/>
        <v>8</v>
      </c>
      <c r="T36" s="731">
        <f t="shared" si="52"/>
        <v>22</v>
      </c>
      <c r="U36" s="733">
        <f t="shared" si="52"/>
        <v>1</v>
      </c>
      <c r="V36" s="729">
        <f t="shared" si="46"/>
        <v>9</v>
      </c>
      <c r="W36" s="729">
        <f t="shared" si="47"/>
        <v>0</v>
      </c>
      <c r="X36" s="730">
        <f t="shared" si="49"/>
        <v>-107.39999999999975</v>
      </c>
      <c r="Y36" s="730">
        <f t="shared" si="48"/>
        <v>41.620000000000232</v>
      </c>
      <c r="Z36" s="730">
        <f t="shared" si="50"/>
        <v>43.949966666000002</v>
      </c>
    </row>
    <row r="37" spans="1:26" x14ac:dyDescent="0.25">
      <c r="A37" s="734" t="s">
        <v>1095</v>
      </c>
      <c r="B37" s="735"/>
      <c r="C37" s="736">
        <f t="shared" ref="C37:E37" si="53">IFERROR(C36/C34,"0%")</f>
        <v>0.17647058823529413</v>
      </c>
      <c r="D37" s="736">
        <f t="shared" si="53"/>
        <v>8.3333333333333329E-2</v>
      </c>
      <c r="E37" s="736">
        <f t="shared" si="53"/>
        <v>0.16666666666666666</v>
      </c>
      <c r="F37" s="736" t="str">
        <f>IFERROR(F36/F34,"0%")</f>
        <v>0%</v>
      </c>
      <c r="G37" s="736" t="str">
        <f t="shared" ref="G37:Z37" si="54">IFERROR(G36/G34,"0%")</f>
        <v>0%</v>
      </c>
      <c r="H37" s="736" t="str">
        <f t="shared" si="54"/>
        <v>0%</v>
      </c>
      <c r="I37" s="736">
        <f t="shared" si="54"/>
        <v>-6.8769621767068726E-4</v>
      </c>
      <c r="J37" s="736">
        <f t="shared" si="54"/>
        <v>-0.14626840835344052</v>
      </c>
      <c r="K37" s="736">
        <f t="shared" si="54"/>
        <v>-3.2437529467232523E-2</v>
      </c>
      <c r="L37" s="736">
        <f t="shared" si="54"/>
        <v>3.4034229828850897E-2</v>
      </c>
      <c r="M37" s="736">
        <f t="shared" si="54"/>
        <v>-0.14833089311859435</v>
      </c>
      <c r="N37" s="736">
        <f t="shared" si="54"/>
        <v>5.8740157480315245E-3</v>
      </c>
      <c r="O37" s="736">
        <f t="shared" si="54"/>
        <v>0.10794261272500447</v>
      </c>
      <c r="P37" s="736">
        <f t="shared" si="54"/>
        <v>-2.4122807026315821E-2</v>
      </c>
      <c r="Q37" s="736">
        <f t="shared" si="54"/>
        <v>0.47043010751612901</v>
      </c>
      <c r="R37" s="736">
        <f t="shared" si="54"/>
        <v>0.10666666666666667</v>
      </c>
      <c r="S37" s="736">
        <f t="shared" si="54"/>
        <v>0.13333333333333333</v>
      </c>
      <c r="T37" s="736">
        <f t="shared" si="54"/>
        <v>0.3728813559322034</v>
      </c>
      <c r="U37" s="736">
        <f t="shared" si="54"/>
        <v>0.2</v>
      </c>
      <c r="V37" s="736">
        <f t="shared" si="54"/>
        <v>0.16513761467889909</v>
      </c>
      <c r="W37" s="736" t="str">
        <f t="shared" si="54"/>
        <v>0%</v>
      </c>
      <c r="X37" s="736">
        <f t="shared" si="54"/>
        <v>-2.3996246397211554E-2</v>
      </c>
      <c r="Y37" s="736">
        <f t="shared" si="54"/>
        <v>7.6960059171598061E-3</v>
      </c>
      <c r="Z37" s="736">
        <f t="shared" si="54"/>
        <v>0.12573299003289945</v>
      </c>
    </row>
    <row r="39" spans="1:26" s="708" customFormat="1" x14ac:dyDescent="0.25">
      <c r="A39" s="182" t="s">
        <v>1099</v>
      </c>
      <c r="B39" s="740" t="s">
        <v>1100</v>
      </c>
      <c r="C39" s="740">
        <v>49</v>
      </c>
      <c r="D39" s="740">
        <v>36</v>
      </c>
      <c r="E39" s="740">
        <v>28</v>
      </c>
      <c r="K39" s="1039"/>
      <c r="M39" s="1040"/>
      <c r="N39" s="1041"/>
    </row>
    <row r="40" spans="1:26" s="708" customFormat="1" x14ac:dyDescent="0.25">
      <c r="A40" s="182"/>
      <c r="B40" s="740" t="s">
        <v>1101</v>
      </c>
      <c r="C40" s="740">
        <v>56</v>
      </c>
      <c r="D40" s="740">
        <v>41</v>
      </c>
      <c r="E40" s="740">
        <v>33</v>
      </c>
      <c r="K40" s="1039"/>
      <c r="M40" s="1040"/>
      <c r="N40" s="1041"/>
    </row>
    <row r="41" spans="1:26" s="708" customFormat="1" ht="15.75" thickBot="1" x14ac:dyDescent="0.3">
      <c r="A41" s="182"/>
      <c r="B41" s="740" t="s">
        <v>1198</v>
      </c>
      <c r="C41" s="741">
        <f>C40-C39</f>
        <v>7</v>
      </c>
      <c r="D41" s="741">
        <f t="shared" ref="D41:E41" si="55">D40-D39</f>
        <v>5</v>
      </c>
      <c r="E41" s="741">
        <f t="shared" si="55"/>
        <v>5</v>
      </c>
      <c r="K41" s="1039"/>
      <c r="M41" s="1040"/>
      <c r="N41" s="1041"/>
    </row>
    <row r="42" spans="1:26" s="708" customFormat="1" ht="27" thickBot="1" x14ac:dyDescent="0.45">
      <c r="A42" s="1213" t="s">
        <v>1137</v>
      </c>
      <c r="B42" s="1214"/>
      <c r="C42" s="1214"/>
      <c r="D42" s="1214"/>
      <c r="E42" s="1214"/>
      <c r="F42" s="1214"/>
      <c r="G42" s="1214"/>
      <c r="H42" s="1214"/>
      <c r="I42" s="1214"/>
      <c r="J42" s="1215"/>
      <c r="K42" s="1039"/>
      <c r="M42" s="1040"/>
      <c r="N42" s="1041"/>
      <c r="P42" s="1213" t="s">
        <v>1138</v>
      </c>
      <c r="Q42" s="1214"/>
      <c r="R42" s="1214"/>
      <c r="S42" s="1214"/>
      <c r="T42" s="1214"/>
      <c r="U42" s="1214"/>
      <c r="V42" s="1214"/>
      <c r="W42" s="1215"/>
    </row>
    <row r="43" spans="1:26" s="708" customFormat="1" ht="15.75" thickBot="1" x14ac:dyDescent="0.3">
      <c r="A43" s="742" t="s">
        <v>227</v>
      </c>
      <c r="B43" s="743" t="s">
        <v>1102</v>
      </c>
      <c r="C43" s="744" t="s">
        <v>1103</v>
      </c>
      <c r="D43" s="743"/>
      <c r="E43" s="744" t="s">
        <v>1051</v>
      </c>
      <c r="F43" s="743"/>
      <c r="G43" s="744" t="s">
        <v>1104</v>
      </c>
      <c r="H43" s="745"/>
      <c r="I43" s="746"/>
      <c r="J43" s="747"/>
      <c r="K43" s="1039"/>
      <c r="M43" s="1040"/>
      <c r="N43" s="1041"/>
      <c r="P43" s="748" t="s">
        <v>227</v>
      </c>
      <c r="Q43" s="749" t="s">
        <v>1105</v>
      </c>
      <c r="R43" s="1210" t="s">
        <v>1106</v>
      </c>
      <c r="S43" s="1211"/>
      <c r="T43" s="1211"/>
      <c r="U43" s="1211"/>
      <c r="V43" s="1211"/>
      <c r="W43" s="1212"/>
    </row>
    <row r="44" spans="1:26" s="708" customFormat="1" x14ac:dyDescent="0.25">
      <c r="A44" s="754"/>
      <c r="B44" s="755"/>
      <c r="C44" s="756" t="s">
        <v>1107</v>
      </c>
      <c r="D44" s="755"/>
      <c r="E44" s="756" t="s">
        <v>1107</v>
      </c>
      <c r="F44" s="755"/>
      <c r="G44" s="756" t="s">
        <v>1107</v>
      </c>
      <c r="H44" s="757"/>
      <c r="I44" s="758"/>
      <c r="J44" s="759"/>
      <c r="K44" s="1039"/>
      <c r="M44" s="1040"/>
      <c r="N44" s="1041"/>
      <c r="P44" s="760"/>
      <c r="Q44" s="761" t="s">
        <v>1108</v>
      </c>
      <c r="R44" s="761" t="s">
        <v>1103</v>
      </c>
      <c r="S44" s="762" t="s">
        <v>1109</v>
      </c>
      <c r="T44" s="761" t="s">
        <v>1051</v>
      </c>
      <c r="U44" s="761"/>
      <c r="V44" s="761" t="s">
        <v>1104</v>
      </c>
      <c r="W44" s="763"/>
    </row>
    <row r="45" spans="1:26" s="708" customFormat="1" x14ac:dyDescent="0.25">
      <c r="A45" s="764" t="s">
        <v>1110</v>
      </c>
      <c r="B45" s="765">
        <v>16.753</v>
      </c>
      <c r="C45" s="905">
        <v>15</v>
      </c>
      <c r="D45" s="767">
        <f>B45*C45</f>
        <v>251.29500000000002</v>
      </c>
      <c r="E45" s="905">
        <v>15</v>
      </c>
      <c r="F45" s="767">
        <f>B45*E45</f>
        <v>251.29500000000002</v>
      </c>
      <c r="G45" s="905">
        <v>15</v>
      </c>
      <c r="H45" s="757">
        <f>G45*B45</f>
        <v>251.29500000000002</v>
      </c>
      <c r="I45" s="758"/>
      <c r="J45" s="759"/>
      <c r="P45" s="843"/>
      <c r="Q45" s="769"/>
      <c r="R45" s="770" t="s">
        <v>1107</v>
      </c>
      <c r="S45" s="769"/>
      <c r="T45" s="770" t="s">
        <v>1107</v>
      </c>
      <c r="U45" s="771"/>
      <c r="V45" s="770" t="s">
        <v>1107</v>
      </c>
      <c r="W45" s="772"/>
    </row>
    <row r="46" spans="1:26" s="708" customFormat="1" x14ac:dyDescent="0.25">
      <c r="A46" s="764" t="s">
        <v>1111</v>
      </c>
      <c r="B46" s="765">
        <v>17.725999999999999</v>
      </c>
      <c r="C46" s="905">
        <v>4</v>
      </c>
      <c r="D46" s="767">
        <f>B46*C46</f>
        <v>70.903999999999996</v>
      </c>
      <c r="E46" s="905">
        <v>0</v>
      </c>
      <c r="F46" s="767">
        <f>B46*E46</f>
        <v>0</v>
      </c>
      <c r="G46" s="905">
        <v>0</v>
      </c>
      <c r="H46" s="757">
        <f>G46*B46</f>
        <v>0</v>
      </c>
      <c r="I46" s="758"/>
      <c r="J46" s="759"/>
      <c r="P46" s="768" t="s">
        <v>1208</v>
      </c>
      <c r="Q46" s="831">
        <v>14.26</v>
      </c>
      <c r="R46" s="992">
        <v>5</v>
      </c>
      <c r="S46" s="776">
        <f>R46*Q46</f>
        <v>71.3</v>
      </c>
      <c r="T46" s="992">
        <v>2</v>
      </c>
      <c r="U46" s="776">
        <f>T46*Q46</f>
        <v>28.52</v>
      </c>
      <c r="V46" s="992">
        <v>4</v>
      </c>
      <c r="W46" s="777">
        <f>V46*Q46</f>
        <v>57.04</v>
      </c>
    </row>
    <row r="47" spans="1:26" s="708" customFormat="1" x14ac:dyDescent="0.25">
      <c r="A47" s="764" t="s">
        <v>1113</v>
      </c>
      <c r="B47" s="765">
        <v>10.039</v>
      </c>
      <c r="C47" s="905">
        <v>1</v>
      </c>
      <c r="D47" s="767">
        <f>B47*C47</f>
        <v>10.039</v>
      </c>
      <c r="E47" s="905">
        <v>0</v>
      </c>
      <c r="F47" s="767">
        <f>B47*E47</f>
        <v>0</v>
      </c>
      <c r="G47" s="905">
        <v>0</v>
      </c>
      <c r="H47" s="757">
        <f>G47*B47</f>
        <v>0</v>
      </c>
      <c r="I47" s="758"/>
      <c r="J47" s="759"/>
      <c r="P47" s="768" t="s">
        <v>1209</v>
      </c>
      <c r="Q47" s="831">
        <v>14.26</v>
      </c>
      <c r="R47" s="998">
        <v>5</v>
      </c>
      <c r="S47" s="776">
        <f>R47*Q47</f>
        <v>71.3</v>
      </c>
      <c r="T47" s="998">
        <v>2</v>
      </c>
      <c r="U47" s="776">
        <f>T47*Q47</f>
        <v>28.52</v>
      </c>
      <c r="V47" s="998">
        <v>4</v>
      </c>
      <c r="W47" s="777">
        <f>V47*Q47</f>
        <v>57.04</v>
      </c>
    </row>
    <row r="48" spans="1:26" s="708" customFormat="1" x14ac:dyDescent="0.25">
      <c r="A48" s="764" t="s">
        <v>1115</v>
      </c>
      <c r="B48" s="765">
        <v>17.45</v>
      </c>
      <c r="C48" s="905">
        <v>14</v>
      </c>
      <c r="D48" s="767">
        <f>B48*C48</f>
        <v>244.29999999999998</v>
      </c>
      <c r="E48" s="905">
        <v>15</v>
      </c>
      <c r="F48" s="767">
        <f>B48*E48</f>
        <v>261.75</v>
      </c>
      <c r="G48" s="905">
        <v>15</v>
      </c>
      <c r="H48" s="757">
        <f>G48*B48</f>
        <v>261.75</v>
      </c>
      <c r="I48" s="758"/>
      <c r="J48" s="759"/>
      <c r="P48" s="768" t="s">
        <v>1210</v>
      </c>
      <c r="Q48" s="831">
        <v>5.8</v>
      </c>
      <c r="R48" s="954">
        <v>3</v>
      </c>
      <c r="S48" s="776">
        <f>R48*Q48</f>
        <v>17.399999999999999</v>
      </c>
      <c r="T48" s="954">
        <v>1</v>
      </c>
      <c r="U48" s="776">
        <f>T48*Q48</f>
        <v>5.8</v>
      </c>
      <c r="V48" s="954">
        <v>1</v>
      </c>
      <c r="W48" s="777">
        <f>V48*Q48</f>
        <v>5.8</v>
      </c>
    </row>
    <row r="49" spans="1:23" s="708" customFormat="1" x14ac:dyDescent="0.25">
      <c r="A49" s="764" t="s">
        <v>1117</v>
      </c>
      <c r="B49" s="765">
        <v>18.381</v>
      </c>
      <c r="C49" s="905">
        <v>5</v>
      </c>
      <c r="D49" s="767">
        <f>B49*C49</f>
        <v>91.905000000000001</v>
      </c>
      <c r="E49" s="905">
        <v>0</v>
      </c>
      <c r="F49" s="767">
        <f>B49*E49</f>
        <v>0</v>
      </c>
      <c r="G49" s="905">
        <v>0</v>
      </c>
      <c r="H49" s="757">
        <f>G49*B49</f>
        <v>0</v>
      </c>
      <c r="I49" s="758"/>
      <c r="J49" s="759"/>
      <c r="P49" s="768" t="s">
        <v>1211</v>
      </c>
      <c r="Q49" s="831">
        <v>5.8</v>
      </c>
      <c r="R49" s="938">
        <v>3</v>
      </c>
      <c r="S49" s="776">
        <f>R49*Q49</f>
        <v>17.399999999999999</v>
      </c>
      <c r="T49" s="938">
        <v>1</v>
      </c>
      <c r="U49" s="776">
        <f>T49*Q49</f>
        <v>5.8</v>
      </c>
      <c r="V49" s="938">
        <v>1</v>
      </c>
      <c r="W49" s="777">
        <f>V49*Q49</f>
        <v>5.8</v>
      </c>
    </row>
    <row r="50" spans="1:23" s="708" customFormat="1" ht="15.75" thickBot="1" x14ac:dyDescent="0.3">
      <c r="A50" s="778"/>
      <c r="B50" s="779"/>
      <c r="C50" s="780"/>
      <c r="D50" s="781"/>
      <c r="E50" s="780"/>
      <c r="F50" s="781"/>
      <c r="G50" s="780"/>
      <c r="H50" s="782"/>
      <c r="I50" s="783"/>
      <c r="J50" s="784"/>
      <c r="P50" s="768"/>
      <c r="Q50" s="804"/>
      <c r="R50" s="989"/>
      <c r="S50" s="776"/>
      <c r="T50" s="989"/>
      <c r="U50" s="776"/>
      <c r="V50" s="989"/>
      <c r="W50" s="777"/>
    </row>
    <row r="51" spans="1:23" s="708" customFormat="1" ht="15.75" thickBot="1" x14ac:dyDescent="0.3">
      <c r="A51" s="788"/>
      <c r="B51" s="789" t="s">
        <v>1119</v>
      </c>
      <c r="C51" s="790"/>
      <c r="D51" s="789">
        <f>SUM(D45:D49)</f>
        <v>668.44299999999998</v>
      </c>
      <c r="E51" s="790"/>
      <c r="F51" s="789">
        <f>SUM(F45:F49)</f>
        <v>513.04500000000007</v>
      </c>
      <c r="G51" s="790"/>
      <c r="H51" s="791">
        <f>SUM(H45:H50)</f>
        <v>513.04500000000007</v>
      </c>
      <c r="I51" s="792">
        <f>D51*5+F51+H51</f>
        <v>4368.3050000000003</v>
      </c>
      <c r="J51" s="793">
        <f>(D51*4)+F51+(H51*2)</f>
        <v>4212.9070000000002</v>
      </c>
      <c r="P51" s="794"/>
      <c r="Q51" s="751" t="s">
        <v>1119</v>
      </c>
      <c r="R51" s="795"/>
      <c r="S51" s="789">
        <f>SUM(S46:S50)</f>
        <v>177.4</v>
      </c>
      <c r="T51" s="795"/>
      <c r="U51" s="789">
        <f>SUM(U46:U50)</f>
        <v>68.64</v>
      </c>
      <c r="V51" s="795"/>
      <c r="W51" s="796">
        <f>SUM(W46:W50)</f>
        <v>125.67999999999999</v>
      </c>
    </row>
    <row r="53" spans="1:23" s="708" customFormat="1" ht="15.75" thickBot="1" x14ac:dyDescent="0.3">
      <c r="A53"/>
      <c r="D53" s="798"/>
    </row>
    <row r="54" spans="1:23" s="708" customFormat="1" ht="15.75" thickBot="1" x14ac:dyDescent="0.3">
      <c r="A54" s="742" t="s">
        <v>1067</v>
      </c>
      <c r="B54" s="743" t="s">
        <v>1102</v>
      </c>
      <c r="C54" s="744" t="s">
        <v>1103</v>
      </c>
      <c r="D54" s="743"/>
      <c r="E54" s="744" t="s">
        <v>1051</v>
      </c>
      <c r="F54" s="799"/>
      <c r="G54" s="744" t="s">
        <v>1104</v>
      </c>
      <c r="H54" s="745"/>
      <c r="I54" s="746"/>
      <c r="J54" s="747"/>
      <c r="P54" s="748" t="s">
        <v>1067</v>
      </c>
      <c r="Q54" s="749" t="s">
        <v>1105</v>
      </c>
      <c r="R54" s="1210" t="s">
        <v>1106</v>
      </c>
      <c r="S54" s="1211"/>
      <c r="T54" s="1211"/>
      <c r="U54" s="1211"/>
      <c r="V54" s="1211"/>
      <c r="W54" s="1212"/>
    </row>
    <row r="55" spans="1:23" s="708" customFormat="1" x14ac:dyDescent="0.25">
      <c r="A55" s="800"/>
      <c r="B55" s="776"/>
      <c r="C55" s="766" t="s">
        <v>1107</v>
      </c>
      <c r="D55" s="755"/>
      <c r="E55" s="766" t="s">
        <v>1107</v>
      </c>
      <c r="F55" s="801"/>
      <c r="G55" s="766" t="s">
        <v>1107</v>
      </c>
      <c r="H55" s="802"/>
      <c r="I55" s="758"/>
      <c r="J55" s="759"/>
      <c r="P55" s="760"/>
      <c r="Q55" s="761" t="s">
        <v>1108</v>
      </c>
      <c r="R55" s="761" t="s">
        <v>1103</v>
      </c>
      <c r="S55" s="762" t="s">
        <v>1109</v>
      </c>
      <c r="T55" s="761" t="s">
        <v>1051</v>
      </c>
      <c r="U55" s="761"/>
      <c r="V55" s="761" t="s">
        <v>1104</v>
      </c>
      <c r="W55" s="763"/>
    </row>
    <row r="56" spans="1:23" s="708" customFormat="1" x14ac:dyDescent="0.25">
      <c r="A56" s="754" t="s">
        <v>1200</v>
      </c>
      <c r="B56" s="832">
        <v>19.98</v>
      </c>
      <c r="C56" s="905">
        <v>38</v>
      </c>
      <c r="D56" s="767">
        <f>SUM(B56*C56)</f>
        <v>759.24</v>
      </c>
      <c r="E56" s="905">
        <v>34</v>
      </c>
      <c r="F56" s="767">
        <f>SUM(B56*E56)</f>
        <v>679.32</v>
      </c>
      <c r="G56" s="905">
        <v>26</v>
      </c>
      <c r="H56" s="757">
        <f>SUM(B56*G56)</f>
        <v>519.48</v>
      </c>
      <c r="I56" s="758"/>
      <c r="J56" s="759"/>
      <c r="P56" s="768"/>
      <c r="Q56" s="769"/>
      <c r="R56" s="770" t="s">
        <v>1107</v>
      </c>
      <c r="S56" s="769"/>
      <c r="T56" s="770" t="s">
        <v>1107</v>
      </c>
      <c r="U56" s="771"/>
      <c r="V56" s="770" t="s">
        <v>1107</v>
      </c>
      <c r="W56" s="772"/>
    </row>
    <row r="57" spans="1:23" s="708" customFormat="1" x14ac:dyDescent="0.25">
      <c r="A57" s="754" t="s">
        <v>1204</v>
      </c>
      <c r="B57" s="832">
        <v>19.87</v>
      </c>
      <c r="C57" s="905"/>
      <c r="D57" s="767">
        <f>SUM(B57*C57)</f>
        <v>0</v>
      </c>
      <c r="E57" s="905"/>
      <c r="F57" s="767">
        <f>SUM(B57*E57)</f>
        <v>0</v>
      </c>
      <c r="G57" s="905"/>
      <c r="H57" s="757">
        <f>SUM(B57*G57)</f>
        <v>0</v>
      </c>
      <c r="I57" s="758"/>
      <c r="J57" s="759"/>
      <c r="P57" s="773" t="s">
        <v>1112</v>
      </c>
      <c r="Q57" s="774">
        <v>6.3</v>
      </c>
      <c r="R57" s="917">
        <v>6</v>
      </c>
      <c r="S57" s="776">
        <f>R57*Q57</f>
        <v>37.799999999999997</v>
      </c>
      <c r="T57" s="917">
        <v>6</v>
      </c>
      <c r="U57" s="776">
        <f>T57*Q57</f>
        <v>37.799999999999997</v>
      </c>
      <c r="V57" s="917">
        <v>4</v>
      </c>
      <c r="W57" s="777">
        <f>V57*Q57</f>
        <v>25.2</v>
      </c>
    </row>
    <row r="58" spans="1:23" s="708" customFormat="1" x14ac:dyDescent="0.25">
      <c r="A58" s="754" t="s">
        <v>1122</v>
      </c>
      <c r="B58" s="832">
        <v>20.178000000000001</v>
      </c>
      <c r="C58" s="905">
        <v>29</v>
      </c>
      <c r="D58" s="767">
        <f>SUM(B58*C58)</f>
        <v>585.16200000000003</v>
      </c>
      <c r="E58" s="905">
        <v>33</v>
      </c>
      <c r="F58" s="767">
        <f>SUM(B58*E58)</f>
        <v>665.87400000000002</v>
      </c>
      <c r="G58" s="905">
        <v>23</v>
      </c>
      <c r="H58" s="757">
        <f>SUM(B58*G58)</f>
        <v>464.09399999999999</v>
      </c>
      <c r="I58" s="758"/>
      <c r="J58" s="759"/>
      <c r="P58" s="773" t="s">
        <v>1114</v>
      </c>
      <c r="Q58" s="774">
        <v>11.4</v>
      </c>
      <c r="R58" s="918">
        <v>5</v>
      </c>
      <c r="S58" s="776">
        <f>R58*Q58</f>
        <v>57</v>
      </c>
      <c r="T58" s="918">
        <v>6</v>
      </c>
      <c r="U58" s="776">
        <f>T58*Q58</f>
        <v>68.400000000000006</v>
      </c>
      <c r="V58" s="918">
        <v>2</v>
      </c>
      <c r="W58" s="777">
        <f>V58*Q58</f>
        <v>22.8</v>
      </c>
    </row>
    <row r="59" spans="1:23" s="708" customFormat="1" x14ac:dyDescent="0.25">
      <c r="A59" s="754" t="s">
        <v>1203</v>
      </c>
      <c r="B59" s="832">
        <v>18.916</v>
      </c>
      <c r="C59" s="906"/>
      <c r="D59" s="767">
        <f>SUM(B59*C59)</f>
        <v>0</v>
      </c>
      <c r="E59" s="906"/>
      <c r="F59" s="767">
        <f>SUM(B59*E59)</f>
        <v>0</v>
      </c>
      <c r="G59" s="906"/>
      <c r="H59" s="757">
        <f>SUM(B59*G59)</f>
        <v>0</v>
      </c>
      <c r="I59" s="758"/>
      <c r="J59" s="759"/>
      <c r="P59" s="773" t="s">
        <v>1116</v>
      </c>
      <c r="Q59" s="774">
        <v>11.4</v>
      </c>
      <c r="R59" s="943">
        <v>7</v>
      </c>
      <c r="S59" s="776">
        <f>R59*Q59</f>
        <v>79.8</v>
      </c>
      <c r="T59" s="943">
        <v>7</v>
      </c>
      <c r="U59" s="776">
        <f>T59*Q59</f>
        <v>79.8</v>
      </c>
      <c r="V59" s="943">
        <v>5</v>
      </c>
      <c r="W59" s="777">
        <f>V59*Q59</f>
        <v>57</v>
      </c>
    </row>
    <row r="60" spans="1:23" s="708" customFormat="1" x14ac:dyDescent="0.25">
      <c r="A60" s="754" t="s">
        <v>1201</v>
      </c>
      <c r="B60" s="832">
        <v>20.178000000000001</v>
      </c>
      <c r="C60" s="906">
        <v>7</v>
      </c>
      <c r="D60" s="811">
        <f>SUM(B60*C60)</f>
        <v>141.24600000000001</v>
      </c>
      <c r="E60" s="806"/>
      <c r="F60" s="767"/>
      <c r="G60" s="806"/>
      <c r="H60" s="812"/>
      <c r="I60" s="758"/>
      <c r="J60" s="759"/>
      <c r="P60" s="773" t="s">
        <v>1118</v>
      </c>
      <c r="Q60" s="774">
        <v>6.3</v>
      </c>
      <c r="R60" s="941">
        <v>6</v>
      </c>
      <c r="S60" s="776">
        <f>R60*Q60</f>
        <v>37.799999999999997</v>
      </c>
      <c r="T60" s="941">
        <v>3</v>
      </c>
      <c r="U60" s="776">
        <f>T60*Q60</f>
        <v>18.899999999999999</v>
      </c>
      <c r="V60" s="941">
        <v>2</v>
      </c>
      <c r="W60" s="777">
        <f>V60*Q60</f>
        <v>12.6</v>
      </c>
    </row>
    <row r="61" spans="1:23" s="708" customFormat="1" ht="15.75" thickBot="1" x14ac:dyDescent="0.3">
      <c r="A61" s="805"/>
      <c r="B61" s="810"/>
      <c r="C61" s="806"/>
      <c r="D61" s="811"/>
      <c r="E61" s="806"/>
      <c r="F61" s="811"/>
      <c r="G61" s="806"/>
      <c r="H61" s="812"/>
      <c r="I61" s="758"/>
      <c r="J61" s="759"/>
      <c r="P61" s="785"/>
      <c r="Q61" s="786"/>
      <c r="R61" s="775"/>
      <c r="S61" s="776"/>
      <c r="T61" s="786"/>
      <c r="U61" s="786"/>
      <c r="V61" s="786"/>
      <c r="W61" s="787"/>
    </row>
    <row r="62" spans="1:23" s="708" customFormat="1" ht="15.75" thickBot="1" x14ac:dyDescent="0.3">
      <c r="A62" s="815"/>
      <c r="B62" s="816"/>
      <c r="C62" s="817"/>
      <c r="D62" s="817"/>
      <c r="E62" s="817"/>
      <c r="F62" s="817"/>
      <c r="G62" s="817"/>
      <c r="H62" s="818"/>
      <c r="I62" s="783"/>
      <c r="J62" s="784"/>
      <c r="P62" s="794"/>
      <c r="Q62" s="751" t="s">
        <v>1119</v>
      </c>
      <c r="R62" s="795"/>
      <c r="S62" s="789">
        <f>SUM(S57:S61)</f>
        <v>212.39999999999998</v>
      </c>
      <c r="T62" s="795"/>
      <c r="U62" s="789">
        <f>SUM(U57:U61)</f>
        <v>204.9</v>
      </c>
      <c r="V62" s="795"/>
      <c r="W62" s="796">
        <f>SUM(W57:W61)</f>
        <v>117.6</v>
      </c>
    </row>
    <row r="63" spans="1:23" s="708" customFormat="1" ht="15.75" thickBot="1" x14ac:dyDescent="0.3">
      <c r="A63" s="748"/>
      <c r="B63" s="751"/>
      <c r="C63" s="751"/>
      <c r="D63" s="789">
        <f>SUM(D56:D62)</f>
        <v>1485.6480000000001</v>
      </c>
      <c r="E63" s="751"/>
      <c r="F63" s="789">
        <f>SUM(F56:F62)</f>
        <v>1345.194</v>
      </c>
      <c r="G63" s="751"/>
      <c r="H63" s="791">
        <f>SUM(H56:H62)</f>
        <v>983.57400000000007</v>
      </c>
      <c r="I63" s="792">
        <f>D63*5+F63+H63</f>
        <v>9757.0080000000016</v>
      </c>
      <c r="J63" s="793">
        <f>(D63*4)+F63+(H63*2)</f>
        <v>9254.9340000000011</v>
      </c>
      <c r="P63" s="797"/>
      <c r="Q63" s="797"/>
      <c r="R63" s="797"/>
      <c r="S63" s="797"/>
      <c r="T63" s="797"/>
      <c r="U63" s="797"/>
      <c r="V63" s="797"/>
      <c r="W63" s="797"/>
    </row>
    <row r="64" spans="1:23" s="708" customFormat="1" ht="15.75" thickBot="1" x14ac:dyDescent="0.3">
      <c r="A64" s="819"/>
      <c r="B64" s="820"/>
      <c r="C64" s="820"/>
      <c r="D64" s="821"/>
      <c r="E64" s="820"/>
      <c r="F64" s="821"/>
      <c r="G64" s="820"/>
      <c r="H64" s="821"/>
      <c r="I64" s="822"/>
      <c r="J64" s="823"/>
      <c r="P64"/>
      <c r="Q64"/>
      <c r="R64"/>
      <c r="S64"/>
      <c r="T64"/>
      <c r="U64"/>
      <c r="V64"/>
      <c r="W64"/>
    </row>
    <row r="65" spans="1:23" s="708" customFormat="1" ht="15.75" thickBot="1" x14ac:dyDescent="0.3">
      <c r="A65" s="742" t="s">
        <v>1097</v>
      </c>
      <c r="B65" s="826" t="s">
        <v>1105</v>
      </c>
      <c r="C65" s="1220" t="s">
        <v>1106</v>
      </c>
      <c r="D65" s="1221"/>
      <c r="E65" s="1222"/>
      <c r="F65" s="1223"/>
      <c r="G65" s="1223"/>
      <c r="H65" s="1223"/>
      <c r="I65" s="827"/>
      <c r="J65" s="828"/>
      <c r="P65" s="748" t="s">
        <v>1120</v>
      </c>
      <c r="Q65" s="749" t="s">
        <v>1105</v>
      </c>
      <c r="R65" s="748" t="s">
        <v>1106</v>
      </c>
      <c r="S65" s="750"/>
      <c r="T65" s="751"/>
      <c r="U65" s="752"/>
      <c r="V65" s="752"/>
      <c r="W65" s="753"/>
    </row>
    <row r="66" spans="1:23" s="708" customFormat="1" x14ac:dyDescent="0.25">
      <c r="A66" s="830"/>
      <c r="B66" s="743" t="s">
        <v>1102</v>
      </c>
      <c r="C66" s="744" t="s">
        <v>1103</v>
      </c>
      <c r="D66" s="743"/>
      <c r="E66" s="744" t="s">
        <v>1051</v>
      </c>
      <c r="F66" s="799"/>
      <c r="G66" s="744" t="s">
        <v>1104</v>
      </c>
      <c r="H66" s="745"/>
      <c r="I66" s="758"/>
      <c r="J66" s="759"/>
      <c r="P66" s="803"/>
      <c r="Q66" s="761" t="s">
        <v>1108</v>
      </c>
      <c r="R66" s="761" t="s">
        <v>1103</v>
      </c>
      <c r="S66" s="762" t="s">
        <v>1109</v>
      </c>
      <c r="T66" s="761" t="s">
        <v>1051</v>
      </c>
      <c r="U66" s="761"/>
      <c r="V66" s="761" t="s">
        <v>1104</v>
      </c>
      <c r="W66" s="763"/>
    </row>
    <row r="67" spans="1:23" s="708" customFormat="1" x14ac:dyDescent="0.25">
      <c r="A67" s="754"/>
      <c r="B67" s="755"/>
      <c r="C67" s="756" t="s">
        <v>1107</v>
      </c>
      <c r="D67" s="755"/>
      <c r="E67" s="756" t="s">
        <v>1107</v>
      </c>
      <c r="F67" s="801"/>
      <c r="G67" s="756" t="s">
        <v>1107</v>
      </c>
      <c r="H67" s="802"/>
      <c r="I67" s="758"/>
      <c r="J67" s="759"/>
      <c r="P67" s="768"/>
      <c r="Q67" s="769"/>
      <c r="R67" s="770" t="s">
        <v>1107</v>
      </c>
      <c r="S67" s="769"/>
      <c r="T67" s="770" t="s">
        <v>1107</v>
      </c>
      <c r="U67" s="771"/>
      <c r="V67" s="770" t="s">
        <v>1107</v>
      </c>
      <c r="W67" s="772"/>
    </row>
    <row r="68" spans="1:23" s="708" customFormat="1" x14ac:dyDescent="0.25">
      <c r="A68" s="754"/>
      <c r="B68" s="832"/>
      <c r="C68" s="766"/>
      <c r="D68" s="767"/>
      <c r="E68" s="766"/>
      <c r="F68" s="767"/>
      <c r="G68" s="766"/>
      <c r="H68" s="757"/>
      <c r="I68" s="758"/>
      <c r="J68" s="759"/>
      <c r="P68" s="768" t="s">
        <v>1121</v>
      </c>
      <c r="Q68" s="804">
        <v>14.7</v>
      </c>
      <c r="R68" s="935">
        <v>5</v>
      </c>
      <c r="S68" s="776">
        <f>R68*Q68</f>
        <v>73.5</v>
      </c>
      <c r="T68" s="775">
        <v>0</v>
      </c>
      <c r="U68" s="776">
        <f>T68*Q68</f>
        <v>0</v>
      </c>
      <c r="V68" s="775">
        <v>0</v>
      </c>
      <c r="W68" s="777">
        <f>V68*Q68</f>
        <v>0</v>
      </c>
    </row>
    <row r="69" spans="1:23" s="708" customFormat="1" x14ac:dyDescent="0.25">
      <c r="A69" s="754" t="s">
        <v>1127</v>
      </c>
      <c r="B69" s="832">
        <v>19.818000000000001</v>
      </c>
      <c r="C69" s="905">
        <v>4</v>
      </c>
      <c r="D69" s="767">
        <f>B69*C69</f>
        <v>79.272000000000006</v>
      </c>
      <c r="E69" s="905">
        <v>0</v>
      </c>
      <c r="F69" s="767">
        <f>B69*E69</f>
        <v>0</v>
      </c>
      <c r="G69" s="905">
        <v>0</v>
      </c>
      <c r="H69" s="757">
        <f>B69*G69</f>
        <v>0</v>
      </c>
      <c r="I69" s="758"/>
      <c r="J69" s="759"/>
      <c r="P69" s="768" t="s">
        <v>1123</v>
      </c>
      <c r="Q69" s="804">
        <v>14.7</v>
      </c>
      <c r="R69" s="933">
        <v>4</v>
      </c>
      <c r="S69" s="776">
        <f>R69*Q69</f>
        <v>58.8</v>
      </c>
      <c r="T69" s="775">
        <v>0</v>
      </c>
      <c r="U69" s="776">
        <f>T69*Q69</f>
        <v>0</v>
      </c>
      <c r="V69" s="775">
        <v>0</v>
      </c>
      <c r="W69" s="777">
        <f>V69*Q69</f>
        <v>0</v>
      </c>
    </row>
    <row r="70" spans="1:23" s="708" customFormat="1" x14ac:dyDescent="0.25">
      <c r="A70" s="754" t="s">
        <v>1129</v>
      </c>
      <c r="B70" s="835">
        <v>21.327000000000002</v>
      </c>
      <c r="C70" s="906">
        <v>5</v>
      </c>
      <c r="D70" s="767">
        <f>B70*C70</f>
        <v>106.63500000000001</v>
      </c>
      <c r="E70" s="906">
        <v>0</v>
      </c>
      <c r="F70" s="767">
        <f>B70*E70</f>
        <v>0</v>
      </c>
      <c r="G70" s="906">
        <v>0</v>
      </c>
      <c r="H70" s="757">
        <f>B70*G70</f>
        <v>0</v>
      </c>
      <c r="I70" s="758"/>
      <c r="J70" s="759"/>
      <c r="P70" s="807" t="s">
        <v>1199</v>
      </c>
      <c r="Q70" s="814">
        <v>6.3</v>
      </c>
      <c r="R70" s="937">
        <v>2</v>
      </c>
      <c r="S70" s="776">
        <f>R70*Q70</f>
        <v>12.6</v>
      </c>
      <c r="T70" s="775">
        <v>0</v>
      </c>
      <c r="U70" s="776">
        <v>0</v>
      </c>
      <c r="V70" s="775">
        <v>0</v>
      </c>
      <c r="W70" s="777">
        <v>0</v>
      </c>
    </row>
    <row r="71" spans="1:23" s="708" customFormat="1" ht="15.75" thickBot="1" x14ac:dyDescent="0.3">
      <c r="A71" s="754"/>
      <c r="B71" s="835"/>
      <c r="C71" s="806"/>
      <c r="D71" s="767"/>
      <c r="E71" s="806"/>
      <c r="F71" s="767"/>
      <c r="G71" s="806"/>
      <c r="H71" s="757"/>
      <c r="I71" s="758"/>
      <c r="J71" s="759"/>
      <c r="P71" s="813" t="s">
        <v>1124</v>
      </c>
      <c r="Q71" s="814">
        <v>6.3</v>
      </c>
      <c r="R71" s="923">
        <v>4</v>
      </c>
      <c r="S71" s="776">
        <f>R71*Q71</f>
        <v>25.2</v>
      </c>
      <c r="T71" s="775">
        <v>0</v>
      </c>
      <c r="U71" s="776">
        <v>0</v>
      </c>
      <c r="V71" s="775">
        <v>0</v>
      </c>
      <c r="W71" s="777">
        <v>0</v>
      </c>
    </row>
    <row r="72" spans="1:23" s="708" customFormat="1" ht="15.75" thickBot="1" x14ac:dyDescent="0.3">
      <c r="A72" s="754"/>
      <c r="B72" s="832"/>
      <c r="C72" s="766"/>
      <c r="D72" s="767"/>
      <c r="E72" s="766"/>
      <c r="F72" s="767"/>
      <c r="G72" s="766"/>
      <c r="H72" s="757"/>
      <c r="I72" s="758"/>
      <c r="J72" s="759"/>
      <c r="P72" s="794"/>
      <c r="Q72" s="751" t="s">
        <v>1119</v>
      </c>
      <c r="R72" s="795"/>
      <c r="S72" s="789">
        <f>SUM(S68:S71)</f>
        <v>170.1</v>
      </c>
      <c r="T72" s="795"/>
      <c r="U72" s="789">
        <f>SUM(U68:U70)</f>
        <v>0</v>
      </c>
      <c r="V72" s="795"/>
      <c r="W72" s="796">
        <f>SUM(W68:W70)</f>
        <v>0</v>
      </c>
    </row>
    <row r="73" spans="1:23" s="708" customFormat="1" ht="15.75" thickBot="1" x14ac:dyDescent="0.3">
      <c r="A73" s="836"/>
      <c r="B73" s="810"/>
      <c r="C73" s="806"/>
      <c r="D73" s="811"/>
      <c r="E73" s="806"/>
      <c r="F73" s="812"/>
      <c r="G73" s="806"/>
      <c r="H73" s="812"/>
      <c r="I73" s="783"/>
      <c r="J73" s="784"/>
      <c r="P73"/>
      <c r="Q73"/>
      <c r="R73"/>
      <c r="S73"/>
      <c r="T73"/>
      <c r="U73"/>
      <c r="V73"/>
      <c r="W73"/>
    </row>
    <row r="74" spans="1:23" s="708" customFormat="1" ht="15.75" thickBot="1" x14ac:dyDescent="0.3">
      <c r="A74" s="788"/>
      <c r="B74" s="789" t="s">
        <v>1119</v>
      </c>
      <c r="C74" s="790"/>
      <c r="D74" s="789">
        <f>SUM(D68:D73)</f>
        <v>185.90700000000001</v>
      </c>
      <c r="E74" s="751"/>
      <c r="F74" s="791">
        <f>SUM(F68:F73)</f>
        <v>0</v>
      </c>
      <c r="G74" s="751"/>
      <c r="H74" s="791">
        <f>SUM(H68:H73)</f>
        <v>0</v>
      </c>
      <c r="I74" s="837">
        <f>D74*5+F74+H74</f>
        <v>929.53500000000008</v>
      </c>
      <c r="J74" s="838">
        <f>(D74*4)+F74+(H74*2)</f>
        <v>743.62800000000004</v>
      </c>
      <c r="P74"/>
      <c r="Q74"/>
      <c r="R74"/>
      <c r="S74"/>
      <c r="T74"/>
      <c r="U74"/>
      <c r="V74"/>
      <c r="W74"/>
    </row>
    <row r="75" spans="1:23" s="708" customFormat="1" ht="15.75" thickBot="1" x14ac:dyDescent="0.3">
      <c r="A75" s="839"/>
      <c r="B75" s="840"/>
      <c r="C75" s="841"/>
      <c r="D75" s="840"/>
      <c r="E75" s="841"/>
      <c r="F75" s="840"/>
      <c r="G75" s="841"/>
      <c r="H75" s="840"/>
      <c r="I75" s="842"/>
      <c r="J75" s="823"/>
      <c r="P75" s="824" t="s">
        <v>1098</v>
      </c>
      <c r="Q75" s="825" t="s">
        <v>1105</v>
      </c>
      <c r="R75" s="748" t="s">
        <v>1106</v>
      </c>
      <c r="S75" s="750"/>
      <c r="T75" s="751"/>
      <c r="U75" s="752"/>
      <c r="V75" s="752"/>
      <c r="W75" s="753"/>
    </row>
    <row r="76" spans="1:23" s="708" customFormat="1" ht="15.75" thickBot="1" x14ac:dyDescent="0.3">
      <c r="A76" s="847" t="s">
        <v>1098</v>
      </c>
      <c r="B76" s="848" t="s">
        <v>1105</v>
      </c>
      <c r="C76" s="1216" t="s">
        <v>1106</v>
      </c>
      <c r="D76" s="1217"/>
      <c r="E76" s="1218"/>
      <c r="F76" s="1219"/>
      <c r="G76" s="1219"/>
      <c r="H76" s="1219"/>
      <c r="I76" s="827"/>
      <c r="J76" s="828"/>
      <c r="P76" s="829"/>
      <c r="Q76" s="761" t="s">
        <v>1108</v>
      </c>
      <c r="R76" s="761" t="s">
        <v>1103</v>
      </c>
      <c r="S76" s="762" t="s">
        <v>1109</v>
      </c>
      <c r="T76" s="761" t="s">
        <v>1051</v>
      </c>
      <c r="U76" s="761"/>
      <c r="V76" s="761" t="s">
        <v>1104</v>
      </c>
      <c r="W76" s="763"/>
    </row>
    <row r="77" spans="1:23" s="708" customFormat="1" x14ac:dyDescent="0.25">
      <c r="A77" s="830"/>
      <c r="B77" s="743" t="s">
        <v>1102</v>
      </c>
      <c r="C77" s="744" t="s">
        <v>1103</v>
      </c>
      <c r="D77" s="743"/>
      <c r="E77" s="744" t="s">
        <v>1051</v>
      </c>
      <c r="F77" s="799"/>
      <c r="G77" s="744" t="s">
        <v>1104</v>
      </c>
      <c r="H77" s="745"/>
      <c r="I77" s="758"/>
      <c r="J77" s="759"/>
      <c r="P77" s="768"/>
      <c r="Q77" s="769"/>
      <c r="R77" s="770" t="s">
        <v>1107</v>
      </c>
      <c r="S77" s="769"/>
      <c r="T77" s="770" t="s">
        <v>1107</v>
      </c>
      <c r="U77" s="771"/>
      <c r="V77" s="770" t="s">
        <v>1107</v>
      </c>
      <c r="W77" s="772"/>
    </row>
    <row r="78" spans="1:23" s="708" customFormat="1" x14ac:dyDescent="0.25">
      <c r="A78" s="754"/>
      <c r="B78" s="755"/>
      <c r="C78" s="756" t="s">
        <v>1107</v>
      </c>
      <c r="D78" s="755"/>
      <c r="E78" s="756" t="s">
        <v>1107</v>
      </c>
      <c r="F78" s="801"/>
      <c r="G78" s="756" t="s">
        <v>1107</v>
      </c>
      <c r="H78" s="802"/>
      <c r="I78" s="758"/>
      <c r="J78" s="759"/>
      <c r="P78" s="768" t="s">
        <v>1125</v>
      </c>
      <c r="Q78" s="831">
        <v>11.8</v>
      </c>
      <c r="R78" s="925">
        <v>1</v>
      </c>
      <c r="S78" s="776">
        <f>R78*Q78</f>
        <v>11.8</v>
      </c>
      <c r="T78" s="786">
        <v>0</v>
      </c>
      <c r="U78" s="776">
        <f>T78*Q78</f>
        <v>0</v>
      </c>
      <c r="V78" s="775">
        <v>0</v>
      </c>
      <c r="W78" s="777">
        <f>V78*Q78</f>
        <v>0</v>
      </c>
    </row>
    <row r="79" spans="1:23" s="708" customFormat="1" x14ac:dyDescent="0.25">
      <c r="A79" s="754" t="s">
        <v>1132</v>
      </c>
      <c r="B79" s="755">
        <v>17.792999999999999</v>
      </c>
      <c r="C79" s="905">
        <v>1</v>
      </c>
      <c r="D79" s="767">
        <f>SUM(B79*C79)</f>
        <v>17.792999999999999</v>
      </c>
      <c r="E79" s="905">
        <v>0</v>
      </c>
      <c r="F79" s="767">
        <f>SUM(B79*E79)</f>
        <v>0</v>
      </c>
      <c r="G79" s="905">
        <v>0</v>
      </c>
      <c r="H79" s="757">
        <f>SUM(B79*G79)</f>
        <v>0</v>
      </c>
      <c r="I79" s="758"/>
      <c r="J79" s="759"/>
      <c r="P79" s="807" t="s">
        <v>1126</v>
      </c>
      <c r="Q79" s="833">
        <v>6.3</v>
      </c>
      <c r="R79" s="926">
        <v>1</v>
      </c>
      <c r="S79" s="776">
        <f>R79*Q79</f>
        <v>6.3</v>
      </c>
      <c r="T79" s="786">
        <v>0</v>
      </c>
      <c r="U79" s="776">
        <f>T79*Q79</f>
        <v>0</v>
      </c>
      <c r="V79" s="786">
        <v>0</v>
      </c>
      <c r="W79" s="834">
        <v>0</v>
      </c>
    </row>
    <row r="80" spans="1:23" s="708" customFormat="1" x14ac:dyDescent="0.25">
      <c r="A80" s="754" t="s">
        <v>1134</v>
      </c>
      <c r="B80" s="755">
        <v>19.613</v>
      </c>
      <c r="C80" s="905">
        <v>1</v>
      </c>
      <c r="D80" s="767">
        <f>SUM(B80*C80)</f>
        <v>19.613</v>
      </c>
      <c r="E80" s="905">
        <v>0</v>
      </c>
      <c r="F80" s="767">
        <f>SUM(B80*E80)</f>
        <v>0</v>
      </c>
      <c r="G80" s="905">
        <v>0</v>
      </c>
      <c r="H80" s="757">
        <f>SUM(B80*G80)</f>
        <v>0</v>
      </c>
      <c r="I80" s="758"/>
      <c r="J80" s="759"/>
      <c r="P80" s="807" t="s">
        <v>1199</v>
      </c>
      <c r="Q80" s="833">
        <v>6.3</v>
      </c>
      <c r="R80" s="926">
        <v>1</v>
      </c>
      <c r="S80" s="776">
        <f>R80*Q80</f>
        <v>6.3</v>
      </c>
      <c r="T80" s="786">
        <v>0</v>
      </c>
      <c r="U80" s="776">
        <f>T80*Q80</f>
        <v>0</v>
      </c>
      <c r="V80" s="786">
        <v>0</v>
      </c>
      <c r="W80" s="834">
        <v>0</v>
      </c>
    </row>
    <row r="81" spans="1:23" s="708" customFormat="1" ht="15.75" thickBot="1" x14ac:dyDescent="0.3">
      <c r="A81" s="754"/>
      <c r="B81" s="755"/>
      <c r="C81" s="766"/>
      <c r="D81" s="767"/>
      <c r="E81" s="766"/>
      <c r="F81" s="767"/>
      <c r="G81" s="766"/>
      <c r="H81" s="757"/>
      <c r="I81" s="758"/>
      <c r="J81" s="759"/>
      <c r="P81" s="807" t="s">
        <v>1128</v>
      </c>
      <c r="Q81" s="808">
        <v>14.1</v>
      </c>
      <c r="R81" s="929">
        <v>1</v>
      </c>
      <c r="S81" s="776">
        <f>R81*Q81</f>
        <v>14.1</v>
      </c>
      <c r="T81" s="808">
        <v>0</v>
      </c>
      <c r="U81" s="776">
        <f>T81*Q81</f>
        <v>0</v>
      </c>
      <c r="V81" s="808">
        <v>0</v>
      </c>
      <c r="W81" s="809">
        <v>0</v>
      </c>
    </row>
    <row r="82" spans="1:23" s="708" customFormat="1" ht="15.75" thickBot="1" x14ac:dyDescent="0.3">
      <c r="A82" s="836"/>
      <c r="B82" s="810"/>
      <c r="C82" s="806"/>
      <c r="D82" s="767"/>
      <c r="E82" s="806"/>
      <c r="F82" s="767"/>
      <c r="G82" s="806"/>
      <c r="H82" s="757"/>
      <c r="I82" s="849"/>
      <c r="J82" s="850"/>
      <c r="P82" s="794"/>
      <c r="Q82" s="751" t="s">
        <v>1119</v>
      </c>
      <c r="R82" s="795"/>
      <c r="S82" s="789">
        <f>SUM(S79:S81)</f>
        <v>26.7</v>
      </c>
      <c r="T82" s="795"/>
      <c r="U82" s="789">
        <f>SUM(U79:U81)</f>
        <v>0</v>
      </c>
      <c r="V82" s="795"/>
      <c r="W82" s="796">
        <f>SUM(W79:W81)</f>
        <v>0</v>
      </c>
    </row>
    <row r="83" spans="1:23" s="708" customFormat="1" ht="15.75" thickBot="1" x14ac:dyDescent="0.3">
      <c r="A83" s="788"/>
      <c r="B83" s="789" t="s">
        <v>1119</v>
      </c>
      <c r="C83" s="790"/>
      <c r="D83" s="789">
        <f>SUM(D79:D82)</f>
        <v>37.405999999999999</v>
      </c>
      <c r="E83" s="751"/>
      <c r="F83" s="791">
        <f>SUM(F79:F82)</f>
        <v>0</v>
      </c>
      <c r="G83" s="751"/>
      <c r="H83" s="791">
        <f>SUM(H79:H82)</f>
        <v>0</v>
      </c>
      <c r="I83" s="792">
        <f>D83*5+F83+H83</f>
        <v>187.03</v>
      </c>
      <c r="J83" s="793">
        <f>(D83*4)+F83+(H83*2)</f>
        <v>149.624</v>
      </c>
      <c r="P83"/>
      <c r="Q83"/>
      <c r="R83"/>
      <c r="S83"/>
      <c r="T83"/>
      <c r="U83"/>
      <c r="V83"/>
      <c r="W83"/>
    </row>
    <row r="84" spans="1:23" s="708" customFormat="1" ht="15.75" thickBot="1" x14ac:dyDescent="0.3">
      <c r="A84" s="839"/>
      <c r="B84" s="840"/>
      <c r="C84" s="841"/>
      <c r="D84" s="840"/>
      <c r="E84" s="841"/>
      <c r="F84" s="840"/>
      <c r="G84" s="841"/>
      <c r="H84" s="840"/>
      <c r="I84" s="842"/>
      <c r="J84" s="823"/>
      <c r="P84"/>
      <c r="Q84"/>
      <c r="R84"/>
      <c r="S84"/>
      <c r="T84"/>
      <c r="U84"/>
      <c r="V84"/>
      <c r="W84"/>
    </row>
    <row r="85" spans="1:23" s="708" customFormat="1" ht="15.75" thickBot="1" x14ac:dyDescent="0.3">
      <c r="A85" s="847" t="s">
        <v>1096</v>
      </c>
      <c r="B85" s="848" t="s">
        <v>1105</v>
      </c>
      <c r="C85" s="1216" t="s">
        <v>1106</v>
      </c>
      <c r="D85" s="1217"/>
      <c r="E85" s="1218"/>
      <c r="F85" s="1219"/>
      <c r="G85" s="1219"/>
      <c r="H85" s="1219"/>
      <c r="I85" s="827"/>
      <c r="J85" s="828"/>
      <c r="P85" s="748" t="s">
        <v>1096</v>
      </c>
      <c r="Q85" s="749" t="s">
        <v>1105</v>
      </c>
      <c r="R85" s="748" t="s">
        <v>1106</v>
      </c>
      <c r="S85" s="750"/>
      <c r="T85" s="751"/>
      <c r="U85" s="752"/>
      <c r="V85" s="752"/>
      <c r="W85" s="753"/>
    </row>
    <row r="86" spans="1:23" s="708" customFormat="1" x14ac:dyDescent="0.25">
      <c r="A86" s="830"/>
      <c r="B86" s="743" t="s">
        <v>1102</v>
      </c>
      <c r="C86" s="744" t="s">
        <v>1103</v>
      </c>
      <c r="D86" s="743"/>
      <c r="E86" s="744" t="s">
        <v>1051</v>
      </c>
      <c r="F86" s="799"/>
      <c r="G86" s="744" t="s">
        <v>1104</v>
      </c>
      <c r="H86" s="745"/>
      <c r="I86" s="758"/>
      <c r="J86" s="759"/>
      <c r="P86" s="760"/>
      <c r="Q86" s="761" t="s">
        <v>1108</v>
      </c>
      <c r="R86" s="761" t="s">
        <v>1103</v>
      </c>
      <c r="S86" s="762" t="s">
        <v>1109</v>
      </c>
      <c r="T86" s="761" t="s">
        <v>1051</v>
      </c>
      <c r="U86" s="761"/>
      <c r="V86" s="761" t="s">
        <v>1104</v>
      </c>
      <c r="W86" s="763"/>
    </row>
    <row r="87" spans="1:23" s="708" customFormat="1" x14ac:dyDescent="0.25">
      <c r="A87" s="754"/>
      <c r="B87" s="755"/>
      <c r="C87" s="770" t="s">
        <v>1107</v>
      </c>
      <c r="D87" s="851"/>
      <c r="E87" s="770" t="s">
        <v>1107</v>
      </c>
      <c r="F87" s="802"/>
      <c r="G87" s="770" t="s">
        <v>1107</v>
      </c>
      <c r="H87" s="802"/>
      <c r="I87" s="758"/>
      <c r="J87" s="759"/>
      <c r="P87" s="843"/>
      <c r="Q87" s="844"/>
      <c r="R87" s="770" t="s">
        <v>1107</v>
      </c>
      <c r="S87" s="844"/>
      <c r="T87" s="770" t="s">
        <v>1107</v>
      </c>
      <c r="U87" s="845"/>
      <c r="V87" s="770" t="s">
        <v>1107</v>
      </c>
      <c r="W87" s="846"/>
    </row>
    <row r="88" spans="1:23" s="708" customFormat="1" x14ac:dyDescent="0.25">
      <c r="A88" s="754" t="s">
        <v>1135</v>
      </c>
      <c r="B88" s="755">
        <v>20.05</v>
      </c>
      <c r="C88" s="905">
        <v>36</v>
      </c>
      <c r="D88" s="767">
        <f>SUM(B88*C88)</f>
        <v>721.80000000000007</v>
      </c>
      <c r="E88" s="988">
        <v>34</v>
      </c>
      <c r="F88" s="767">
        <f>SUM(B88*E88)</f>
        <v>681.7</v>
      </c>
      <c r="G88" s="905">
        <v>26</v>
      </c>
      <c r="H88" s="757">
        <f>SUM(B88*G88)</f>
        <v>521.30000000000007</v>
      </c>
      <c r="I88" s="852"/>
      <c r="J88" s="759"/>
      <c r="P88" s="773" t="s">
        <v>1130</v>
      </c>
      <c r="Q88" s="774">
        <v>11.2</v>
      </c>
      <c r="R88" s="938">
        <v>4</v>
      </c>
      <c r="S88" s="776">
        <f>R88*Q88</f>
        <v>44.8</v>
      </c>
      <c r="T88" s="938">
        <v>6</v>
      </c>
      <c r="U88" s="776">
        <f>T88*Q88</f>
        <v>67.199999999999989</v>
      </c>
      <c r="V88" s="938">
        <v>4</v>
      </c>
      <c r="W88" s="777">
        <f>V88*Q88</f>
        <v>44.8</v>
      </c>
    </row>
    <row r="89" spans="1:23" s="708" customFormat="1" x14ac:dyDescent="0.25">
      <c r="A89" s="987" t="s">
        <v>1207</v>
      </c>
      <c r="B89" s="755">
        <v>19.893999999999998</v>
      </c>
      <c r="C89" s="905"/>
      <c r="D89" s="767">
        <f>SUM(B89*C89)</f>
        <v>0</v>
      </c>
      <c r="E89" s="988"/>
      <c r="F89" s="767">
        <f>SUM(B89*E89)</f>
        <v>0</v>
      </c>
      <c r="G89" s="905"/>
      <c r="H89" s="757">
        <f>SUM(B89*G89)</f>
        <v>0</v>
      </c>
      <c r="I89" s="852"/>
      <c r="J89" s="759"/>
      <c r="P89" s="773" t="s">
        <v>1131</v>
      </c>
      <c r="Q89" s="774">
        <v>11.2</v>
      </c>
      <c r="R89" s="955">
        <v>4</v>
      </c>
      <c r="S89" s="776">
        <f>R89*Q89</f>
        <v>44.8</v>
      </c>
      <c r="T89" s="955">
        <v>6</v>
      </c>
      <c r="U89" s="776">
        <f>T89*Q89</f>
        <v>67.199999999999989</v>
      </c>
      <c r="V89" s="955">
        <v>6</v>
      </c>
      <c r="W89" s="777">
        <f>V89*Q89</f>
        <v>67.199999999999989</v>
      </c>
    </row>
    <row r="90" spans="1:23" s="708" customFormat="1" x14ac:dyDescent="0.25">
      <c r="A90" s="754" t="s">
        <v>1136</v>
      </c>
      <c r="B90" s="755">
        <v>20.620999999999999</v>
      </c>
      <c r="C90" s="905">
        <v>36</v>
      </c>
      <c r="D90" s="767">
        <f>SUM(B90*C90)</f>
        <v>742.35599999999999</v>
      </c>
      <c r="E90" s="905">
        <v>34</v>
      </c>
      <c r="F90" s="767">
        <f>SUM(B90*E90)</f>
        <v>701.11399999999992</v>
      </c>
      <c r="G90" s="905">
        <v>24</v>
      </c>
      <c r="H90" s="757">
        <f>SUM(B90*G90)</f>
        <v>494.904</v>
      </c>
      <c r="I90" s="852"/>
      <c r="J90" s="759"/>
      <c r="P90" s="813" t="s">
        <v>1124</v>
      </c>
      <c r="Q90" s="814">
        <v>6.3</v>
      </c>
      <c r="R90" s="916">
        <v>3</v>
      </c>
      <c r="S90" s="776">
        <f>R90*Q90</f>
        <v>18.899999999999999</v>
      </c>
      <c r="T90" s="916">
        <v>5</v>
      </c>
      <c r="U90" s="776">
        <f>T90*Q90</f>
        <v>31.5</v>
      </c>
      <c r="V90" s="916">
        <v>4</v>
      </c>
      <c r="W90" s="777">
        <f>V90*Q90</f>
        <v>25.2</v>
      </c>
    </row>
    <row r="91" spans="1:23" s="708" customFormat="1" ht="15.75" thickBot="1" x14ac:dyDescent="0.3">
      <c r="A91" s="754" t="s">
        <v>1206</v>
      </c>
      <c r="B91" s="755">
        <v>19.358000000000001</v>
      </c>
      <c r="C91" s="905"/>
      <c r="D91" s="767">
        <f>SUM(B91*C91)</f>
        <v>0</v>
      </c>
      <c r="E91" s="905"/>
      <c r="F91" s="767">
        <f>SUM(B91*E91)</f>
        <v>0</v>
      </c>
      <c r="G91" s="905"/>
      <c r="H91" s="757">
        <f>SUM(B91*G91)</f>
        <v>0</v>
      </c>
      <c r="I91" s="758"/>
      <c r="J91" s="759"/>
      <c r="P91" s="813" t="s">
        <v>1133</v>
      </c>
      <c r="Q91" s="814">
        <v>6.3</v>
      </c>
      <c r="R91" s="951">
        <v>5</v>
      </c>
      <c r="S91" s="776">
        <f>R91*Q91</f>
        <v>31.5</v>
      </c>
      <c r="T91" s="951">
        <v>8</v>
      </c>
      <c r="U91" s="776">
        <f>T91*Q91</f>
        <v>50.4</v>
      </c>
      <c r="V91" s="951">
        <v>1</v>
      </c>
      <c r="W91" s="777">
        <f>V91*Q91</f>
        <v>6.3</v>
      </c>
    </row>
    <row r="92" spans="1:23" s="708" customFormat="1" ht="15.75" thickBot="1" x14ac:dyDescent="0.3">
      <c r="A92" s="754"/>
      <c r="B92" s="755"/>
      <c r="C92" s="766"/>
      <c r="D92" s="767"/>
      <c r="E92" s="766"/>
      <c r="F92" s="767"/>
      <c r="G92" s="766"/>
      <c r="H92" s="757"/>
      <c r="I92" s="849"/>
      <c r="J92" s="850"/>
      <c r="P92" s="794"/>
      <c r="Q92" s="751" t="s">
        <v>1119</v>
      </c>
      <c r="R92" s="795"/>
      <c r="S92" s="789">
        <f>SUM(S88:S91)</f>
        <v>140</v>
      </c>
      <c r="T92" s="795"/>
      <c r="U92" s="789">
        <f>SUM(U88:U91)</f>
        <v>216.29999999999998</v>
      </c>
      <c r="V92" s="795"/>
      <c r="W92" s="796">
        <f>SUM(W88:W91)</f>
        <v>143.5</v>
      </c>
    </row>
    <row r="93" spans="1:23" s="708" customFormat="1" ht="15.75" thickBot="1" x14ac:dyDescent="0.3">
      <c r="A93" s="788"/>
      <c r="B93" s="789" t="s">
        <v>1119</v>
      </c>
      <c r="C93" s="790"/>
      <c r="D93" s="789">
        <f>SUM(D88:D92)</f>
        <v>1464.1559999999999</v>
      </c>
      <c r="E93" s="751"/>
      <c r="F93" s="791">
        <f>SUM(F88:F92)</f>
        <v>1382.8139999999999</v>
      </c>
      <c r="G93" s="751"/>
      <c r="H93" s="791">
        <f>SUM(H88:H92)</f>
        <v>1016.2040000000001</v>
      </c>
      <c r="I93" s="792">
        <f>D93*5+F93+H93</f>
        <v>9719.7979999999989</v>
      </c>
      <c r="J93" s="793">
        <f>(D93*4)+F93+(H93*2)</f>
        <v>9271.8459999999995</v>
      </c>
    </row>
    <row r="94" spans="1:23" ht="15.75" thickBot="1" x14ac:dyDescent="0.3">
      <c r="A94" s="839"/>
      <c r="B94" s="840"/>
      <c r="C94" s="841"/>
      <c r="D94" s="840"/>
      <c r="E94" s="841"/>
      <c r="F94" s="840"/>
      <c r="G94" s="841"/>
      <c r="H94" s="840"/>
      <c r="I94" s="842"/>
      <c r="J94" s="823"/>
    </row>
    <row r="95" spans="1:23" ht="15.75" thickBot="1" x14ac:dyDescent="0.3">
      <c r="A95" s="847" t="s">
        <v>1197</v>
      </c>
      <c r="B95" s="848" t="s">
        <v>1105</v>
      </c>
      <c r="C95" s="1216" t="s">
        <v>1106</v>
      </c>
      <c r="D95" s="1217"/>
      <c r="E95" s="1218"/>
      <c r="F95" s="1219"/>
      <c r="G95" s="1219"/>
      <c r="H95" s="1219"/>
      <c r="I95" s="827"/>
      <c r="J95" s="828"/>
      <c r="P95" s="824" t="s">
        <v>1197</v>
      </c>
      <c r="Q95" s="825" t="s">
        <v>1105</v>
      </c>
      <c r="R95" s="748" t="s">
        <v>1106</v>
      </c>
      <c r="S95" s="750"/>
      <c r="T95" s="751"/>
      <c r="U95" s="752"/>
      <c r="V95" s="752"/>
      <c r="W95" s="753"/>
    </row>
    <row r="96" spans="1:23" x14ac:dyDescent="0.25">
      <c r="A96" s="830"/>
      <c r="B96" s="743" t="s">
        <v>1102</v>
      </c>
      <c r="C96" s="744" t="s">
        <v>1103</v>
      </c>
      <c r="D96" s="743"/>
      <c r="E96" s="744" t="s">
        <v>1051</v>
      </c>
      <c r="F96" s="799"/>
      <c r="G96" s="744" t="s">
        <v>1104</v>
      </c>
      <c r="H96" s="745"/>
      <c r="I96" s="758"/>
      <c r="J96" s="759"/>
      <c r="P96" s="829"/>
      <c r="Q96" s="761" t="s">
        <v>1108</v>
      </c>
      <c r="R96" s="761" t="s">
        <v>1103</v>
      </c>
      <c r="S96" s="762" t="s">
        <v>1109</v>
      </c>
      <c r="T96" s="761" t="s">
        <v>1051</v>
      </c>
      <c r="U96" s="761"/>
      <c r="V96" s="761" t="s">
        <v>1104</v>
      </c>
      <c r="W96" s="763"/>
    </row>
    <row r="97" spans="1:23" x14ac:dyDescent="0.25">
      <c r="A97" s="754"/>
      <c r="B97" s="755"/>
      <c r="C97" s="756" t="s">
        <v>1107</v>
      </c>
      <c r="D97" s="755"/>
      <c r="E97" s="756" t="s">
        <v>1107</v>
      </c>
      <c r="F97" s="801"/>
      <c r="G97" s="756" t="s">
        <v>1107</v>
      </c>
      <c r="H97" s="802"/>
      <c r="I97" s="758"/>
      <c r="J97" s="759"/>
      <c r="P97" s="768"/>
      <c r="Q97" s="769"/>
      <c r="R97" s="770" t="s">
        <v>1107</v>
      </c>
      <c r="S97" s="769"/>
      <c r="T97" s="770" t="s">
        <v>1107</v>
      </c>
      <c r="U97" s="771"/>
      <c r="V97" s="770" t="s">
        <v>1107</v>
      </c>
      <c r="W97" s="772"/>
    </row>
    <row r="98" spans="1:23" ht="15.75" thickBot="1" x14ac:dyDescent="0.3">
      <c r="A98" s="964" t="s">
        <v>1202</v>
      </c>
      <c r="B98" s="755">
        <v>31.393000000000001</v>
      </c>
      <c r="C98" s="905">
        <v>1</v>
      </c>
      <c r="D98" s="767">
        <f>SUM(B98*C98)</f>
        <v>31.393000000000001</v>
      </c>
      <c r="E98" s="905">
        <v>1</v>
      </c>
      <c r="F98" s="767">
        <f>SUM(B98*E98)</f>
        <v>31.393000000000001</v>
      </c>
      <c r="G98" s="905">
        <v>0</v>
      </c>
      <c r="H98" s="757">
        <f>SUM(B98*G98)</f>
        <v>0</v>
      </c>
      <c r="I98" s="758"/>
      <c r="J98" s="759"/>
      <c r="P98" s="768" t="s">
        <v>1125</v>
      </c>
      <c r="Q98" s="831">
        <v>11.8</v>
      </c>
      <c r="R98" s="925">
        <v>1</v>
      </c>
      <c r="S98" s="776">
        <f>R98*Q98</f>
        <v>11.8</v>
      </c>
      <c r="T98" s="925">
        <v>1</v>
      </c>
      <c r="U98" s="776">
        <f>T98*Q98</f>
        <v>11.8</v>
      </c>
      <c r="V98" s="775">
        <v>0</v>
      </c>
      <c r="W98" s="777">
        <f>V98*Q98</f>
        <v>0</v>
      </c>
    </row>
    <row r="99" spans="1:23" ht="15.75" thickBot="1" x14ac:dyDescent="0.3">
      <c r="A99" s="754"/>
      <c r="B99" s="755"/>
      <c r="C99" s="766"/>
      <c r="D99" s="767"/>
      <c r="E99" s="766"/>
      <c r="F99" s="767"/>
      <c r="G99" s="766"/>
      <c r="H99" s="757"/>
      <c r="I99" s="758"/>
      <c r="J99" s="759"/>
      <c r="P99" s="794"/>
      <c r="Q99" s="751" t="s">
        <v>1119</v>
      </c>
      <c r="R99" s="795"/>
      <c r="S99" s="789">
        <f>SUM(S96:S98)</f>
        <v>11.8</v>
      </c>
      <c r="T99" s="795"/>
      <c r="U99" s="789">
        <f>SUM(U96:U98)</f>
        <v>11.8</v>
      </c>
      <c r="V99" s="795"/>
      <c r="W99" s="796">
        <f>SUM(W96:W98)</f>
        <v>0</v>
      </c>
    </row>
    <row r="100" spans="1:23" ht="15.75" thickBot="1" x14ac:dyDescent="0.3">
      <c r="A100" s="836"/>
      <c r="B100" s="810"/>
      <c r="C100" s="806"/>
      <c r="D100" s="767"/>
      <c r="E100" s="806"/>
      <c r="F100" s="767"/>
      <c r="G100" s="806"/>
      <c r="H100" s="757"/>
      <c r="I100" s="849"/>
      <c r="J100" s="850"/>
    </row>
    <row r="101" spans="1:23" ht="15.75" thickBot="1" x14ac:dyDescent="0.3">
      <c r="A101" s="788"/>
      <c r="B101" s="789" t="s">
        <v>1119</v>
      </c>
      <c r="C101" s="790"/>
      <c r="D101" s="789">
        <f>SUM(D98:D100)</f>
        <v>31.393000000000001</v>
      </c>
      <c r="E101" s="751"/>
      <c r="F101" s="791">
        <f>SUM(F98:F100)</f>
        <v>31.393000000000001</v>
      </c>
      <c r="G101" s="751"/>
      <c r="H101" s="791">
        <f>SUM(H98:H100)</f>
        <v>0</v>
      </c>
      <c r="I101" s="792">
        <f>D101*5+F101+H101</f>
        <v>188.358</v>
      </c>
      <c r="J101" s="793">
        <f>(D101*4)+F101+(H101*2)</f>
        <v>156.965</v>
      </c>
    </row>
  </sheetData>
  <mergeCells count="8">
    <mergeCell ref="R54:W54"/>
    <mergeCell ref="P42:W42"/>
    <mergeCell ref="R43:W43"/>
    <mergeCell ref="C95:H95"/>
    <mergeCell ref="A42:J42"/>
    <mergeCell ref="C65:H65"/>
    <mergeCell ref="C76:H76"/>
    <mergeCell ref="C85:H85"/>
  </mergeCells>
  <pageMargins left="0.70866141732283472" right="0.70866141732283472" top="0.74803149606299213" bottom="0.74803149606299213" header="0.31496062992125984" footer="0.31496062992125984"/>
  <pageSetup paperSize="9" scale="53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4E1-A18C-4252-A798-214005D688DA}">
  <sheetPr>
    <tabColor rgb="FF92D050"/>
    <pageSetUpPr fitToPage="1"/>
  </sheetPr>
  <dimension ref="A1:AW279"/>
  <sheetViews>
    <sheetView topLeftCell="A64" zoomScale="70" zoomScaleNormal="70" workbookViewId="0">
      <selection activeCell="AD71" sqref="AD71:AE71"/>
    </sheetView>
    <sheetView workbookViewId="1">
      <selection sqref="A1:D1"/>
    </sheetView>
  </sheetViews>
  <sheetFormatPr defaultColWidth="16.85546875" defaultRowHeight="15.75" x14ac:dyDescent="0.25"/>
  <cols>
    <col min="1" max="1" width="23.140625" style="6" customWidth="1"/>
    <col min="2" max="2" width="11.85546875" style="6" customWidth="1"/>
    <col min="3" max="3" width="14.42578125" style="6" bestFit="1" customWidth="1"/>
    <col min="4" max="4" width="12.140625" style="6" bestFit="1" customWidth="1"/>
    <col min="5" max="5" width="11.28515625" style="6" customWidth="1"/>
    <col min="6" max="6" width="11.42578125" style="6" bestFit="1" customWidth="1"/>
    <col min="7" max="7" width="14.42578125" style="6" customWidth="1"/>
    <col min="8" max="8" width="11.42578125" style="6" bestFit="1" customWidth="1"/>
    <col min="9" max="9" width="11.5703125" style="6" bestFit="1" customWidth="1"/>
    <col min="10" max="10" width="12.140625" style="6" bestFit="1" customWidth="1"/>
    <col min="11" max="11" width="11.28515625" style="6" bestFit="1" customWidth="1"/>
    <col min="12" max="12" width="11.42578125" style="6" bestFit="1" customWidth="1"/>
    <col min="13" max="13" width="11.5703125" style="6" bestFit="1" customWidth="1"/>
    <col min="14" max="14" width="11.28515625" style="6" bestFit="1" customWidth="1"/>
    <col min="15" max="15" width="11.5703125" style="6" bestFit="1" customWidth="1"/>
    <col min="16" max="16" width="12.85546875" style="6" bestFit="1" customWidth="1"/>
    <col min="17" max="17" width="11.42578125" style="6" bestFit="1" customWidth="1"/>
    <col min="18" max="18" width="12.85546875" style="6" bestFit="1" customWidth="1"/>
    <col min="19" max="20" width="11.28515625" style="6" bestFit="1" customWidth="1"/>
    <col min="21" max="21" width="12.85546875" style="6" bestFit="1" customWidth="1"/>
    <col min="22" max="22" width="11.28515625" style="6" customWidth="1"/>
    <col min="23" max="23" width="15.5703125" style="6" customWidth="1"/>
    <col min="24" max="24" width="14.85546875" style="6" bestFit="1" customWidth="1"/>
    <col min="25" max="25" width="15.85546875" style="6" bestFit="1" customWidth="1"/>
    <col min="26" max="26" width="16.85546875" style="6"/>
    <col min="27" max="27" width="15.7109375" style="6" bestFit="1" customWidth="1"/>
    <col min="28" max="28" width="19.85546875" style="6" customWidth="1"/>
    <col min="29" max="32" width="16.140625" style="6" customWidth="1"/>
    <col min="33" max="34" width="13.28515625" style="6" customWidth="1"/>
    <col min="35" max="35" width="17" style="6" customWidth="1"/>
    <col min="36" max="36" width="12.28515625" style="6" bestFit="1" customWidth="1"/>
    <col min="37" max="37" width="12.28515625" style="6" customWidth="1"/>
    <col min="38" max="41" width="12.28515625" style="6" bestFit="1" customWidth="1"/>
    <col min="42" max="42" width="10.42578125" style="6" bestFit="1" customWidth="1"/>
    <col min="43" max="43" width="12.42578125" style="6" bestFit="1" customWidth="1"/>
    <col min="44" max="44" width="10" style="6" bestFit="1" customWidth="1"/>
    <col min="45" max="16384" width="16.85546875" style="6"/>
  </cols>
  <sheetData>
    <row r="1" spans="1:27" ht="21.6" customHeight="1" thickBot="1" x14ac:dyDescent="0.4">
      <c r="A1" s="1224" t="s">
        <v>0</v>
      </c>
      <c r="B1" s="1225"/>
      <c r="C1" s="1225"/>
      <c r="D1" s="1225"/>
      <c r="E1" s="1" t="s">
        <v>1</v>
      </c>
      <c r="F1" s="2" t="s">
        <v>2</v>
      </c>
      <c r="G1" s="3"/>
      <c r="H1" s="3"/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1226" t="s">
        <v>3</v>
      </c>
      <c r="Z1" s="1226"/>
      <c r="AA1" s="4" t="s">
        <v>1</v>
      </c>
    </row>
    <row r="2" spans="1:27" ht="16.5" thickBot="1" x14ac:dyDescent="0.3">
      <c r="A2" s="7"/>
      <c r="B2" s="8" t="s">
        <v>4</v>
      </c>
      <c r="C2" s="8" t="s">
        <v>5</v>
      </c>
      <c r="D2" s="9" t="s">
        <v>6</v>
      </c>
      <c r="E2" s="8" t="s">
        <v>7</v>
      </c>
      <c r="F2" s="9" t="s">
        <v>8</v>
      </c>
      <c r="G2" s="24" t="s">
        <v>1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369" t="s">
        <v>1</v>
      </c>
      <c r="R2" s="9" t="s">
        <v>18</v>
      </c>
      <c r="S2" s="9" t="s">
        <v>19</v>
      </c>
      <c r="T2" s="10" t="s">
        <v>1</v>
      </c>
      <c r="U2" s="11" t="s">
        <v>1</v>
      </c>
      <c r="V2" s="9" t="s">
        <v>20</v>
      </c>
      <c r="W2" s="12" t="s">
        <v>1</v>
      </c>
      <c r="X2" s="13" t="s">
        <v>21</v>
      </c>
      <c r="Y2" s="8" t="s">
        <v>22</v>
      </c>
      <c r="Z2" s="8" t="s">
        <v>23</v>
      </c>
      <c r="AA2" s="14" t="s">
        <v>24</v>
      </c>
    </row>
    <row r="3" spans="1:27" ht="16.5" thickBot="1" x14ac:dyDescent="0.3">
      <c r="A3" s="15" t="s">
        <v>1</v>
      </c>
      <c r="B3" s="16">
        <v>2007018</v>
      </c>
      <c r="C3" s="16">
        <v>2007008</v>
      </c>
      <c r="D3" s="17">
        <v>2007002</v>
      </c>
      <c r="E3" s="16">
        <v>2007010</v>
      </c>
      <c r="F3" s="17">
        <v>2007003</v>
      </c>
      <c r="G3" s="24" t="s">
        <v>1</v>
      </c>
      <c r="H3" s="16">
        <v>2007014</v>
      </c>
      <c r="I3" s="16">
        <v>2007005</v>
      </c>
      <c r="J3" s="16">
        <v>2007013</v>
      </c>
      <c r="K3" s="16">
        <v>2007007</v>
      </c>
      <c r="L3" s="16">
        <v>2007015</v>
      </c>
      <c r="M3" s="16">
        <v>2007020</v>
      </c>
      <c r="N3" s="16">
        <v>2007009</v>
      </c>
      <c r="O3" s="16">
        <v>2007011</v>
      </c>
      <c r="P3" s="16">
        <v>2007017</v>
      </c>
      <c r="Q3" s="33" t="s">
        <v>1</v>
      </c>
      <c r="R3" s="9">
        <v>2007016</v>
      </c>
      <c r="S3" s="17">
        <v>2007019</v>
      </c>
      <c r="T3" s="18" t="s">
        <v>1</v>
      </c>
      <c r="U3" s="19" t="s">
        <v>1</v>
      </c>
      <c r="V3" s="17">
        <v>2007001</v>
      </c>
      <c r="W3" s="20" t="s">
        <v>1</v>
      </c>
      <c r="X3" s="17">
        <v>2007012</v>
      </c>
      <c r="Y3" s="16">
        <v>2007004</v>
      </c>
      <c r="Z3" s="16">
        <v>2007006</v>
      </c>
      <c r="AA3" s="21" t="s">
        <v>1</v>
      </c>
    </row>
    <row r="4" spans="1:27" x14ac:dyDescent="0.25">
      <c r="A4" s="15" t="s">
        <v>1</v>
      </c>
      <c r="B4" s="915" t="s">
        <v>25</v>
      </c>
      <c r="C4" s="919" t="s">
        <v>26</v>
      </c>
      <c r="D4" s="907" t="s">
        <v>27</v>
      </c>
      <c r="E4" s="1025" t="s">
        <v>28</v>
      </c>
      <c r="F4" s="915" t="s">
        <v>29</v>
      </c>
      <c r="G4" s="24" t="s">
        <v>1</v>
      </c>
      <c r="H4" s="924" t="s">
        <v>30</v>
      </c>
      <c r="I4" s="908" t="s">
        <v>31</v>
      </c>
      <c r="J4" s="934" t="s">
        <v>32</v>
      </c>
      <c r="K4" s="915" t="s">
        <v>33</v>
      </c>
      <c r="L4" s="934" t="s">
        <v>34</v>
      </c>
      <c r="M4" s="934" t="s">
        <v>35</v>
      </c>
      <c r="N4" s="908" t="s">
        <v>36</v>
      </c>
      <c r="O4" s="908" t="s">
        <v>37</v>
      </c>
      <c r="P4" s="910" t="s">
        <v>38</v>
      </c>
      <c r="Q4" s="22" t="s">
        <v>1</v>
      </c>
      <c r="R4" s="934" t="s">
        <v>39</v>
      </c>
      <c r="S4" s="920" t="s">
        <v>40</v>
      </c>
      <c r="T4" s="22" t="s">
        <v>1</v>
      </c>
      <c r="U4" s="22" t="s">
        <v>1</v>
      </c>
      <c r="V4" s="924" t="s">
        <v>41</v>
      </c>
      <c r="W4" s="24" t="s">
        <v>1</v>
      </c>
      <c r="X4" s="908" t="s">
        <v>42</v>
      </c>
      <c r="Y4" s="920" t="s">
        <v>43</v>
      </c>
      <c r="Z4" s="914" t="s">
        <v>44</v>
      </c>
      <c r="AA4" s="26" t="s">
        <v>45</v>
      </c>
    </row>
    <row r="5" spans="1:27" x14ac:dyDescent="0.25">
      <c r="A5" s="15" t="s">
        <v>1</v>
      </c>
      <c r="B5" s="27" t="s">
        <v>1</v>
      </c>
      <c r="C5" s="22" t="s">
        <v>1</v>
      </c>
      <c r="D5" s="22" t="s">
        <v>1</v>
      </c>
      <c r="E5" s="24" t="s">
        <v>1</v>
      </c>
      <c r="F5" s="24" t="s">
        <v>1</v>
      </c>
      <c r="G5" s="24" t="s">
        <v>1</v>
      </c>
      <c r="H5" s="19" t="s">
        <v>1</v>
      </c>
      <c r="I5" s="19" t="s">
        <v>1</v>
      </c>
      <c r="J5" s="28" t="s">
        <v>1</v>
      </c>
      <c r="K5" s="28" t="s">
        <v>1</v>
      </c>
      <c r="L5" s="27" t="s">
        <v>1</v>
      </c>
      <c r="M5" s="19" t="s">
        <v>1</v>
      </c>
      <c r="N5" s="22" t="s">
        <v>1</v>
      </c>
      <c r="O5" s="22" t="s">
        <v>1</v>
      </c>
      <c r="P5" s="22" t="s">
        <v>1</v>
      </c>
      <c r="Q5" s="24" t="s">
        <v>1</v>
      </c>
      <c r="R5" s="22" t="s">
        <v>1</v>
      </c>
      <c r="S5" s="19" t="s">
        <v>1</v>
      </c>
      <c r="T5" s="19" t="s">
        <v>1</v>
      </c>
      <c r="U5" s="24" t="s">
        <v>1</v>
      </c>
      <c r="V5" s="24" t="s">
        <v>46</v>
      </c>
      <c r="W5" s="24" t="s">
        <v>1</v>
      </c>
      <c r="X5" s="22" t="s">
        <v>1</v>
      </c>
      <c r="Y5" s="29" t="s">
        <v>1</v>
      </c>
      <c r="Z5" s="25" t="s">
        <v>1</v>
      </c>
      <c r="AA5" s="30" t="s">
        <v>47</v>
      </c>
    </row>
    <row r="6" spans="1:27" x14ac:dyDescent="0.25">
      <c r="A6" s="31" t="s">
        <v>48</v>
      </c>
      <c r="B6" s="27" t="s">
        <v>1</v>
      </c>
      <c r="C6" s="22" t="s">
        <v>1</v>
      </c>
      <c r="D6" s="22" t="s">
        <v>1</v>
      </c>
      <c r="E6" s="24" t="s">
        <v>1</v>
      </c>
      <c r="F6" s="24" t="s">
        <v>1</v>
      </c>
      <c r="G6" s="19" t="s">
        <v>1</v>
      </c>
      <c r="H6" s="19" t="s">
        <v>1</v>
      </c>
      <c r="I6" s="19" t="s">
        <v>1</v>
      </c>
      <c r="J6" s="28" t="s">
        <v>1</v>
      </c>
      <c r="K6" s="28" t="s">
        <v>1</v>
      </c>
      <c r="L6" s="27" t="s">
        <v>1</v>
      </c>
      <c r="M6" s="19" t="s">
        <v>1</v>
      </c>
      <c r="N6" s="22" t="s">
        <v>1</v>
      </c>
      <c r="O6" s="22" t="s">
        <v>1</v>
      </c>
      <c r="P6" s="22" t="s">
        <v>1</v>
      </c>
      <c r="Q6" s="22" t="s">
        <v>1</v>
      </c>
      <c r="R6" s="32" t="s">
        <v>1</v>
      </c>
      <c r="S6" s="19" t="s">
        <v>1</v>
      </c>
      <c r="T6" s="19" t="s">
        <v>1</v>
      </c>
      <c r="U6" s="22" t="s">
        <v>1</v>
      </c>
      <c r="V6" s="22" t="s">
        <v>1</v>
      </c>
      <c r="W6" s="22" t="s">
        <v>1</v>
      </c>
      <c r="X6" s="19" t="s">
        <v>1</v>
      </c>
      <c r="Y6" s="24" t="s">
        <v>49</v>
      </c>
      <c r="Z6" s="33" t="s">
        <v>1</v>
      </c>
      <c r="AA6" s="34" t="s">
        <v>48</v>
      </c>
    </row>
    <row r="7" spans="1:27" x14ac:dyDescent="0.25">
      <c r="A7" s="35" t="s">
        <v>50</v>
      </c>
      <c r="B7" s="27" t="s">
        <v>1</v>
      </c>
      <c r="C7" s="22" t="s">
        <v>1</v>
      </c>
      <c r="D7" s="22" t="s">
        <v>1</v>
      </c>
      <c r="E7" s="24" t="s">
        <v>1</v>
      </c>
      <c r="F7" s="24" t="s">
        <v>1</v>
      </c>
      <c r="G7" s="19" t="s">
        <v>1</v>
      </c>
      <c r="H7" s="19" t="s">
        <v>1</v>
      </c>
      <c r="I7" s="19" t="s">
        <v>1</v>
      </c>
      <c r="J7" s="28" t="s">
        <v>1</v>
      </c>
      <c r="K7" s="28" t="s">
        <v>1</v>
      </c>
      <c r="L7" s="27" t="s">
        <v>1</v>
      </c>
      <c r="M7" s="19" t="s">
        <v>1</v>
      </c>
      <c r="N7" s="19" t="s">
        <v>1</v>
      </c>
      <c r="O7" s="22" t="s">
        <v>1</v>
      </c>
      <c r="P7" s="22" t="s">
        <v>1</v>
      </c>
      <c r="Q7" s="19" t="s">
        <v>1</v>
      </c>
      <c r="R7" s="32" t="s">
        <v>1</v>
      </c>
      <c r="S7" s="19" t="s">
        <v>1</v>
      </c>
      <c r="T7" s="19" t="s">
        <v>1</v>
      </c>
      <c r="U7" s="19" t="s">
        <v>1</v>
      </c>
      <c r="V7" s="19" t="s">
        <v>1</v>
      </c>
      <c r="W7" s="19" t="s">
        <v>1</v>
      </c>
      <c r="X7" s="22" t="s">
        <v>1</v>
      </c>
      <c r="Y7" s="22" t="s">
        <v>1</v>
      </c>
      <c r="Z7" s="332">
        <v>0.26041666666666669</v>
      </c>
      <c r="AA7" s="30" t="s">
        <v>50</v>
      </c>
    </row>
    <row r="8" spans="1:27" x14ac:dyDescent="0.25">
      <c r="A8" s="36" t="s">
        <v>51</v>
      </c>
      <c r="B8" s="27" t="s">
        <v>1</v>
      </c>
      <c r="C8" s="28" t="s">
        <v>1</v>
      </c>
      <c r="D8" s="329">
        <v>0.22916666666666666</v>
      </c>
      <c r="E8" s="19" t="s">
        <v>1</v>
      </c>
      <c r="F8" s="28" t="s">
        <v>52</v>
      </c>
      <c r="G8" s="19" t="s">
        <v>1</v>
      </c>
      <c r="H8" s="19" t="s">
        <v>1</v>
      </c>
      <c r="I8" s="329">
        <v>0.25</v>
      </c>
      <c r="J8" s="28" t="s">
        <v>1</v>
      </c>
      <c r="K8" s="28" t="s">
        <v>53</v>
      </c>
      <c r="L8" s="27" t="s">
        <v>1</v>
      </c>
      <c r="M8" s="19" t="s">
        <v>1</v>
      </c>
      <c r="N8" s="329">
        <v>0.27083333333333331</v>
      </c>
      <c r="O8" s="329">
        <v>0.29166666666666669</v>
      </c>
      <c r="P8" s="19" t="s">
        <v>1</v>
      </c>
      <c r="Q8" s="28" t="s">
        <v>1</v>
      </c>
      <c r="R8" s="37" t="s">
        <v>1</v>
      </c>
      <c r="S8" s="19" t="s">
        <v>1</v>
      </c>
      <c r="T8" s="19" t="s">
        <v>1</v>
      </c>
      <c r="U8" s="28" t="s">
        <v>1</v>
      </c>
      <c r="V8" s="28" t="s">
        <v>54</v>
      </c>
      <c r="W8" s="28" t="s">
        <v>1</v>
      </c>
      <c r="X8" s="329">
        <v>0.2986111111111111</v>
      </c>
      <c r="Y8" s="28" t="s">
        <v>55</v>
      </c>
      <c r="Z8" s="345">
        <v>0.3125</v>
      </c>
      <c r="AA8" s="38" t="s">
        <v>51</v>
      </c>
    </row>
    <row r="9" spans="1:27" x14ac:dyDescent="0.25">
      <c r="A9" s="31" t="s">
        <v>48</v>
      </c>
      <c r="B9" s="39"/>
      <c r="C9" s="24" t="s">
        <v>56</v>
      </c>
      <c r="D9" s="19" t="s">
        <v>1</v>
      </c>
      <c r="E9" s="19" t="s">
        <v>1</v>
      </c>
      <c r="F9" s="24" t="s">
        <v>57</v>
      </c>
      <c r="G9" s="19" t="s">
        <v>1</v>
      </c>
      <c r="H9" s="19" t="s">
        <v>1</v>
      </c>
      <c r="I9" s="19" t="s">
        <v>1</v>
      </c>
      <c r="J9" s="28" t="s">
        <v>1</v>
      </c>
      <c r="K9" s="24" t="s">
        <v>58</v>
      </c>
      <c r="L9" s="27" t="s">
        <v>1</v>
      </c>
      <c r="M9" s="19" t="s">
        <v>1</v>
      </c>
      <c r="N9" s="24" t="s">
        <v>1</v>
      </c>
      <c r="O9" s="22" t="s">
        <v>1</v>
      </c>
      <c r="P9" s="24" t="s">
        <v>1</v>
      </c>
      <c r="Q9" s="24" t="s">
        <v>1</v>
      </c>
      <c r="R9" s="32" t="s">
        <v>1</v>
      </c>
      <c r="S9" s="24" t="s">
        <v>59</v>
      </c>
      <c r="T9" s="24" t="s">
        <v>1</v>
      </c>
      <c r="U9" s="24" t="s">
        <v>1</v>
      </c>
      <c r="V9" s="24" t="s">
        <v>60</v>
      </c>
      <c r="W9" s="24" t="s">
        <v>1</v>
      </c>
      <c r="X9" s="19" t="s">
        <v>1</v>
      </c>
      <c r="Y9" s="24" t="s">
        <v>61</v>
      </c>
      <c r="Z9" s="331" t="s">
        <v>1</v>
      </c>
      <c r="AA9" s="34" t="s">
        <v>48</v>
      </c>
    </row>
    <row r="10" spans="1:27" x14ac:dyDescent="0.25">
      <c r="A10" s="35" t="s">
        <v>50</v>
      </c>
      <c r="B10" s="11" t="s">
        <v>1</v>
      </c>
      <c r="C10" s="27" t="s">
        <v>1</v>
      </c>
      <c r="D10" s="330">
        <v>0.28125</v>
      </c>
      <c r="E10" s="19" t="s">
        <v>1</v>
      </c>
      <c r="F10" s="18" t="s">
        <v>1</v>
      </c>
      <c r="G10" s="19" t="s">
        <v>1</v>
      </c>
      <c r="H10" s="19" t="s">
        <v>1</v>
      </c>
      <c r="I10" s="330">
        <v>0.30208333333333331</v>
      </c>
      <c r="J10" s="28" t="s">
        <v>1</v>
      </c>
      <c r="K10" s="27" t="s">
        <v>1</v>
      </c>
      <c r="L10" s="27" t="s">
        <v>1</v>
      </c>
      <c r="M10" s="19" t="s">
        <v>1</v>
      </c>
      <c r="N10" s="330">
        <v>0.34375</v>
      </c>
      <c r="O10" s="330">
        <v>0.35416666666666669</v>
      </c>
      <c r="P10" s="330">
        <v>0.32291666666666669</v>
      </c>
      <c r="Q10" s="39"/>
      <c r="R10" s="32" t="s">
        <v>1</v>
      </c>
      <c r="S10" s="19" t="s">
        <v>1</v>
      </c>
      <c r="T10" s="39"/>
      <c r="U10" s="39"/>
      <c r="V10" s="39"/>
      <c r="W10" s="40" t="s">
        <v>1</v>
      </c>
      <c r="X10" s="330">
        <v>0.36458333333333331</v>
      </c>
      <c r="Y10" s="28" t="s">
        <v>1</v>
      </c>
      <c r="Z10" s="332">
        <v>0.38541666666666669</v>
      </c>
      <c r="AA10" s="30" t="s">
        <v>50</v>
      </c>
    </row>
    <row r="11" spans="1:27" ht="16.5" thickBot="1" x14ac:dyDescent="0.3">
      <c r="A11" s="41" t="s">
        <v>62</v>
      </c>
      <c r="B11" s="19" t="s">
        <v>1</v>
      </c>
      <c r="C11" s="28" t="s">
        <v>1</v>
      </c>
      <c r="D11" s="28" t="s">
        <v>1</v>
      </c>
      <c r="E11" s="24" t="s">
        <v>63</v>
      </c>
      <c r="F11" s="19" t="s">
        <v>1</v>
      </c>
      <c r="G11" s="19" t="s">
        <v>1</v>
      </c>
      <c r="H11" s="19" t="s">
        <v>1</v>
      </c>
      <c r="I11" s="27" t="s">
        <v>1</v>
      </c>
      <c r="J11" s="24" t="s">
        <v>64</v>
      </c>
      <c r="K11" s="19" t="s">
        <v>1</v>
      </c>
      <c r="L11" s="24" t="s">
        <v>65</v>
      </c>
      <c r="M11" s="24" t="s">
        <v>66</v>
      </c>
      <c r="N11" s="27" t="s">
        <v>1</v>
      </c>
      <c r="O11" s="336" t="s">
        <v>1</v>
      </c>
      <c r="P11" s="19" t="s">
        <v>1</v>
      </c>
      <c r="Q11" s="42" t="s">
        <v>1</v>
      </c>
      <c r="R11" s="24" t="s">
        <v>67</v>
      </c>
      <c r="S11" s="19" t="s">
        <v>1</v>
      </c>
      <c r="T11" s="11" t="s">
        <v>1</v>
      </c>
      <c r="U11" s="42" t="s">
        <v>1</v>
      </c>
      <c r="V11" s="42" t="s">
        <v>1</v>
      </c>
      <c r="W11" s="28" t="s">
        <v>1</v>
      </c>
      <c r="X11" s="19" t="s">
        <v>1</v>
      </c>
      <c r="Y11" s="28" t="s">
        <v>1</v>
      </c>
      <c r="Z11" s="33" t="s">
        <v>1</v>
      </c>
      <c r="AA11" s="34" t="s">
        <v>62</v>
      </c>
    </row>
    <row r="12" spans="1:27" ht="16.5" thickBot="1" x14ac:dyDescent="0.3">
      <c r="A12" s="43" t="s">
        <v>47</v>
      </c>
      <c r="B12" s="19" t="s">
        <v>1</v>
      </c>
      <c r="C12" s="19" t="s">
        <v>1</v>
      </c>
      <c r="D12" s="19" t="s">
        <v>1</v>
      </c>
      <c r="E12" s="27" t="s">
        <v>1</v>
      </c>
      <c r="F12" s="18" t="s">
        <v>1</v>
      </c>
      <c r="G12" s="19" t="s">
        <v>1</v>
      </c>
      <c r="H12" s="24" t="s">
        <v>68</v>
      </c>
      <c r="I12" s="27" t="s">
        <v>1</v>
      </c>
      <c r="J12" s="28" t="s">
        <v>1</v>
      </c>
      <c r="K12" s="337" t="s">
        <v>1</v>
      </c>
      <c r="L12" s="338" t="s">
        <v>1</v>
      </c>
      <c r="M12" s="335" t="s">
        <v>1</v>
      </c>
      <c r="N12" s="27" t="s">
        <v>1</v>
      </c>
      <c r="O12" s="339" t="s">
        <v>1</v>
      </c>
      <c r="P12" s="27" t="s">
        <v>1</v>
      </c>
      <c r="Q12" s="27" t="s">
        <v>1</v>
      </c>
      <c r="R12" s="27" t="s">
        <v>1</v>
      </c>
      <c r="S12" s="19" t="s">
        <v>1</v>
      </c>
      <c r="T12" s="9" t="s">
        <v>69</v>
      </c>
      <c r="U12" s="42" t="s">
        <v>1</v>
      </c>
      <c r="V12" s="27" t="s">
        <v>1</v>
      </c>
      <c r="W12" s="28" t="s">
        <v>1</v>
      </c>
      <c r="X12" s="19" t="s">
        <v>1</v>
      </c>
      <c r="Y12" s="28" t="s">
        <v>1</v>
      </c>
      <c r="Z12" s="33" t="s">
        <v>1</v>
      </c>
      <c r="AA12" s="30" t="s">
        <v>47</v>
      </c>
    </row>
    <row r="13" spans="1:27" ht="16.5" thickBot="1" x14ac:dyDescent="0.3">
      <c r="A13" s="36" t="s">
        <v>51</v>
      </c>
      <c r="B13" s="28" t="s">
        <v>70</v>
      </c>
      <c r="C13" s="329">
        <v>0.33333333333333331</v>
      </c>
      <c r="D13" s="28" t="s">
        <v>71</v>
      </c>
      <c r="E13" s="28" t="s">
        <v>72</v>
      </c>
      <c r="F13" s="28" t="s">
        <v>73</v>
      </c>
      <c r="G13" s="19" t="s">
        <v>1</v>
      </c>
      <c r="H13" s="927" t="s">
        <v>74</v>
      </c>
      <c r="I13" s="28" t="s">
        <v>75</v>
      </c>
      <c r="J13" s="28" t="s">
        <v>76</v>
      </c>
      <c r="K13" s="952" t="s">
        <v>77</v>
      </c>
      <c r="L13" s="936" t="s">
        <v>77</v>
      </c>
      <c r="M13" s="936" t="s">
        <v>78</v>
      </c>
      <c r="N13" s="944" t="s">
        <v>79</v>
      </c>
      <c r="O13" s="945" t="s">
        <v>80</v>
      </c>
      <c r="P13" s="28" t="s">
        <v>81</v>
      </c>
      <c r="Q13" s="9" t="s">
        <v>82</v>
      </c>
      <c r="R13" s="28" t="s">
        <v>83</v>
      </c>
      <c r="S13" s="40" t="s">
        <v>84</v>
      </c>
      <c r="T13" s="17">
        <v>2007021</v>
      </c>
      <c r="U13" s="42" t="s">
        <v>1</v>
      </c>
      <c r="V13" s="28" t="s">
        <v>85</v>
      </c>
      <c r="W13" s="28" t="s">
        <v>1</v>
      </c>
      <c r="X13" s="28" t="s">
        <v>86</v>
      </c>
      <c r="Y13" s="28" t="s">
        <v>87</v>
      </c>
      <c r="Z13" s="342" t="s">
        <v>88</v>
      </c>
      <c r="AA13" s="38" t="s">
        <v>51</v>
      </c>
    </row>
    <row r="14" spans="1:27" ht="16.5" thickBot="1" x14ac:dyDescent="0.3">
      <c r="A14" s="31" t="s">
        <v>48</v>
      </c>
      <c r="B14" s="24" t="s">
        <v>89</v>
      </c>
      <c r="C14" s="19" t="s">
        <v>1</v>
      </c>
      <c r="D14" s="331" t="s">
        <v>90</v>
      </c>
      <c r="E14" s="39"/>
      <c r="F14" s="24" t="s">
        <v>92</v>
      </c>
      <c r="G14" s="9" t="s">
        <v>91</v>
      </c>
      <c r="H14" s="13" t="s">
        <v>93</v>
      </c>
      <c r="I14" s="335" t="s">
        <v>1</v>
      </c>
      <c r="J14" s="24" t="s">
        <v>94</v>
      </c>
      <c r="K14" s="13" t="s">
        <v>95</v>
      </c>
      <c r="L14" s="45" t="s">
        <v>95</v>
      </c>
      <c r="M14" s="45" t="s">
        <v>96</v>
      </c>
      <c r="N14" s="45" t="s">
        <v>97</v>
      </c>
      <c r="O14" s="45" t="s">
        <v>98</v>
      </c>
      <c r="P14" s="20" t="s">
        <v>1</v>
      </c>
      <c r="Q14" s="17">
        <v>2007022</v>
      </c>
      <c r="R14" s="24" t="s">
        <v>99</v>
      </c>
      <c r="S14" s="343" t="s">
        <v>1</v>
      </c>
      <c r="T14" s="911" t="s">
        <v>100</v>
      </c>
      <c r="U14" s="42" t="s">
        <v>1</v>
      </c>
      <c r="V14" s="24" t="s">
        <v>101</v>
      </c>
      <c r="W14" s="28" t="s">
        <v>1</v>
      </c>
      <c r="X14" s="23" t="s">
        <v>1</v>
      </c>
      <c r="Y14" s="24" t="s">
        <v>102</v>
      </c>
      <c r="Z14" s="33" t="s">
        <v>1</v>
      </c>
      <c r="AA14" s="34" t="s">
        <v>48</v>
      </c>
    </row>
    <row r="15" spans="1:27" ht="16.5" customHeight="1" thickBot="1" x14ac:dyDescent="0.3">
      <c r="A15" s="35" t="s">
        <v>50</v>
      </c>
      <c r="B15" s="19" t="s">
        <v>1</v>
      </c>
      <c r="C15" s="330">
        <v>0.40625</v>
      </c>
      <c r="D15" s="19" t="s">
        <v>1</v>
      </c>
      <c r="E15" s="333">
        <v>0.42708333333333331</v>
      </c>
      <c r="F15" s="40" t="s">
        <v>1</v>
      </c>
      <c r="G15" s="17">
        <v>2007023</v>
      </c>
      <c r="H15" s="11" t="s">
        <v>1</v>
      </c>
      <c r="I15" s="330">
        <v>0.44791666666666669</v>
      </c>
      <c r="J15" s="29"/>
      <c r="K15" s="46"/>
      <c r="L15" s="46"/>
      <c r="M15" s="47"/>
      <c r="N15" s="48"/>
      <c r="O15" s="47"/>
      <c r="P15" s="330">
        <v>0.46875</v>
      </c>
      <c r="Q15" s="909" t="s">
        <v>103</v>
      </c>
      <c r="R15" s="19" t="s">
        <v>1</v>
      </c>
      <c r="S15" s="949" t="s">
        <v>104</v>
      </c>
      <c r="T15" s="330">
        <v>0.48958333333333331</v>
      </c>
      <c r="U15" s="42" t="s">
        <v>1</v>
      </c>
      <c r="V15" s="19"/>
      <c r="W15" s="28"/>
      <c r="X15" s="330">
        <v>0.51041666666666663</v>
      </c>
      <c r="Y15" s="19"/>
      <c r="Z15" s="332">
        <v>0.53125</v>
      </c>
      <c r="AA15" s="30" t="s">
        <v>50</v>
      </c>
    </row>
    <row r="16" spans="1:27" ht="16.5" thickBot="1" x14ac:dyDescent="0.3">
      <c r="A16" s="36" t="s">
        <v>51</v>
      </c>
      <c r="B16" s="40" t="s">
        <v>105</v>
      </c>
      <c r="C16" s="28" t="s">
        <v>106</v>
      </c>
      <c r="D16" s="28" t="s">
        <v>107</v>
      </c>
      <c r="E16" s="28" t="s">
        <v>108</v>
      </c>
      <c r="F16" s="28" t="s">
        <v>110</v>
      </c>
      <c r="G16" s="921" t="s">
        <v>109</v>
      </c>
      <c r="H16" s="19" t="s">
        <v>1</v>
      </c>
      <c r="I16" s="28" t="s">
        <v>111</v>
      </c>
      <c r="J16" s="28" t="s">
        <v>112</v>
      </c>
      <c r="K16" s="9" t="s">
        <v>113</v>
      </c>
      <c r="L16" s="9" t="s">
        <v>114</v>
      </c>
      <c r="M16" s="9" t="s">
        <v>115</v>
      </c>
      <c r="N16" s="9" t="s">
        <v>116</v>
      </c>
      <c r="O16" s="9" t="s">
        <v>117</v>
      </c>
      <c r="P16" s="940" t="s">
        <v>118</v>
      </c>
      <c r="Q16" s="340">
        <v>0.54166666666666663</v>
      </c>
      <c r="R16" s="342" t="s">
        <v>119</v>
      </c>
      <c r="S16" s="9" t="s">
        <v>120</v>
      </c>
      <c r="T16" s="40" t="s">
        <v>121</v>
      </c>
      <c r="U16" s="28" t="s">
        <v>1</v>
      </c>
      <c r="V16" s="28" t="s">
        <v>122</v>
      </c>
      <c r="W16" s="28" t="s">
        <v>1</v>
      </c>
      <c r="X16" s="28" t="s">
        <v>123</v>
      </c>
      <c r="Y16" s="28" t="s">
        <v>124</v>
      </c>
      <c r="Z16" s="342" t="s">
        <v>125</v>
      </c>
      <c r="AA16" s="38" t="s">
        <v>51</v>
      </c>
    </row>
    <row r="17" spans="1:40" ht="16.5" thickBot="1" x14ac:dyDescent="0.3">
      <c r="A17" s="31" t="s">
        <v>48</v>
      </c>
      <c r="B17" s="24" t="s">
        <v>126</v>
      </c>
      <c r="C17" s="19" t="s">
        <v>1</v>
      </c>
      <c r="D17" s="24" t="s">
        <v>127</v>
      </c>
      <c r="E17" s="19" t="s">
        <v>1</v>
      </c>
      <c r="F17" s="957" t="s">
        <v>129</v>
      </c>
      <c r="G17" s="24" t="s">
        <v>128</v>
      </c>
      <c r="H17" s="19" t="s">
        <v>1</v>
      </c>
      <c r="I17" s="50" t="s">
        <v>1</v>
      </c>
      <c r="J17" s="24" t="s">
        <v>130</v>
      </c>
      <c r="K17" s="17">
        <v>2007024</v>
      </c>
      <c r="L17" s="16">
        <v>2007025</v>
      </c>
      <c r="M17" s="16">
        <v>2007026</v>
      </c>
      <c r="N17" s="16">
        <v>2007027</v>
      </c>
      <c r="O17" s="16">
        <v>2007028</v>
      </c>
      <c r="P17" s="13" t="s">
        <v>131</v>
      </c>
      <c r="Q17" s="341" t="s">
        <v>1</v>
      </c>
      <c r="R17" s="20" t="s">
        <v>132</v>
      </c>
      <c r="S17" s="19" t="s">
        <v>1</v>
      </c>
      <c r="T17" s="33" t="s">
        <v>1</v>
      </c>
      <c r="U17" s="18" t="s">
        <v>1</v>
      </c>
      <c r="V17" s="24" t="s">
        <v>133</v>
      </c>
      <c r="W17" s="28" t="s">
        <v>1</v>
      </c>
      <c r="X17" s="19" t="s">
        <v>1</v>
      </c>
      <c r="Y17" s="24" t="s">
        <v>134</v>
      </c>
      <c r="Z17" s="33" t="s">
        <v>1</v>
      </c>
      <c r="AA17" s="34" t="s">
        <v>48</v>
      </c>
    </row>
    <row r="18" spans="1:40" ht="16.5" thickBot="1" x14ac:dyDescent="0.3">
      <c r="A18" s="35" t="s">
        <v>50</v>
      </c>
      <c r="B18" s="19" t="s">
        <v>1</v>
      </c>
      <c r="C18" s="330">
        <v>0.55208333333333337</v>
      </c>
      <c r="D18" s="19" t="s">
        <v>1</v>
      </c>
      <c r="E18" s="334">
        <v>0.57291666666666663</v>
      </c>
      <c r="F18" s="13" t="s">
        <v>135</v>
      </c>
      <c r="G18" s="39"/>
      <c r="H18" s="19" t="s">
        <v>1</v>
      </c>
      <c r="I18" s="330">
        <v>0.59375</v>
      </c>
      <c r="J18" s="19" t="s">
        <v>1</v>
      </c>
      <c r="K18" s="922" t="s">
        <v>136</v>
      </c>
      <c r="L18" s="922" t="s">
        <v>137</v>
      </c>
      <c r="M18" s="922" t="s">
        <v>138</v>
      </c>
      <c r="N18" s="924" t="s">
        <v>139</v>
      </c>
      <c r="O18" s="922" t="s">
        <v>140</v>
      </c>
      <c r="P18" s="19" t="s">
        <v>1</v>
      </c>
      <c r="Q18" s="330">
        <v>0.61458333333333337</v>
      </c>
      <c r="R18" s="19" t="s">
        <v>1</v>
      </c>
      <c r="S18" s="19" t="s">
        <v>1</v>
      </c>
      <c r="T18" s="332">
        <v>0.63541666666666663</v>
      </c>
      <c r="U18" s="18" t="s">
        <v>1</v>
      </c>
      <c r="V18" s="29" t="s">
        <v>1</v>
      </c>
      <c r="W18" s="19" t="s">
        <v>1</v>
      </c>
      <c r="X18" s="330">
        <v>0.65625</v>
      </c>
      <c r="Y18" s="19" t="s">
        <v>1</v>
      </c>
      <c r="Z18" s="332">
        <v>0.67708333333333337</v>
      </c>
      <c r="AA18" s="30" t="s">
        <v>50</v>
      </c>
    </row>
    <row r="19" spans="1:40" x14ac:dyDescent="0.25">
      <c r="A19" s="36" t="s">
        <v>51</v>
      </c>
      <c r="B19" s="40" t="s">
        <v>141</v>
      </c>
      <c r="C19" s="28" t="s">
        <v>142</v>
      </c>
      <c r="D19" s="28" t="s">
        <v>143</v>
      </c>
      <c r="E19" s="28" t="s">
        <v>144</v>
      </c>
      <c r="F19" s="11" t="s">
        <v>1</v>
      </c>
      <c r="G19" s="44" t="s">
        <v>145</v>
      </c>
      <c r="H19" s="19" t="s">
        <v>1</v>
      </c>
      <c r="I19" s="28" t="s">
        <v>146</v>
      </c>
      <c r="J19" s="28" t="s">
        <v>147</v>
      </c>
      <c r="K19" s="28" t="s">
        <v>148</v>
      </c>
      <c r="L19" s="28" t="s">
        <v>149</v>
      </c>
      <c r="M19" s="28" t="s">
        <v>150</v>
      </c>
      <c r="N19" s="28" t="s">
        <v>151</v>
      </c>
      <c r="O19" s="28" t="s">
        <v>152</v>
      </c>
      <c r="P19" s="19" t="s">
        <v>1</v>
      </c>
      <c r="Q19" s="28" t="s">
        <v>153</v>
      </c>
      <c r="R19" s="28" t="s">
        <v>154</v>
      </c>
      <c r="S19" s="19" t="s">
        <v>1</v>
      </c>
      <c r="T19" s="28" t="s">
        <v>155</v>
      </c>
      <c r="U19" s="28" t="s">
        <v>1</v>
      </c>
      <c r="V19" s="28" t="s">
        <v>156</v>
      </c>
      <c r="W19" s="28" t="s">
        <v>1</v>
      </c>
      <c r="X19" s="28" t="s">
        <v>157</v>
      </c>
      <c r="Y19" s="28" t="s">
        <v>158</v>
      </c>
      <c r="Z19" s="342" t="s">
        <v>159</v>
      </c>
      <c r="AA19" s="38" t="s">
        <v>51</v>
      </c>
    </row>
    <row r="20" spans="1:40" ht="16.5" thickBot="1" x14ac:dyDescent="0.3">
      <c r="A20" s="31" t="s">
        <v>48</v>
      </c>
      <c r="B20" s="24" t="s">
        <v>160</v>
      </c>
      <c r="C20" s="19" t="s">
        <v>1</v>
      </c>
      <c r="D20" s="24" t="s">
        <v>161</v>
      </c>
      <c r="E20" s="19" t="s">
        <v>1</v>
      </c>
      <c r="F20" s="19" t="s">
        <v>1</v>
      </c>
      <c r="G20" s="24" t="s">
        <v>162</v>
      </c>
      <c r="H20" s="19" t="s">
        <v>1</v>
      </c>
      <c r="I20" s="24" t="s">
        <v>1</v>
      </c>
      <c r="J20" s="24" t="s">
        <v>163</v>
      </c>
      <c r="K20" s="19" t="s">
        <v>1</v>
      </c>
      <c r="L20" s="19" t="s">
        <v>1</v>
      </c>
      <c r="M20" s="28" t="s">
        <v>1</v>
      </c>
      <c r="N20" s="28" t="s">
        <v>1</v>
      </c>
      <c r="O20" s="19" t="s">
        <v>1</v>
      </c>
      <c r="P20" s="19" t="s">
        <v>1</v>
      </c>
      <c r="Q20" s="22" t="s">
        <v>1</v>
      </c>
      <c r="R20" s="24" t="s">
        <v>164</v>
      </c>
      <c r="S20" s="19" t="s">
        <v>1</v>
      </c>
      <c r="T20" s="19" t="s">
        <v>1</v>
      </c>
      <c r="U20" s="24" t="s">
        <v>1</v>
      </c>
      <c r="V20" s="24" t="s">
        <v>165</v>
      </c>
      <c r="W20" s="24" t="s">
        <v>1</v>
      </c>
      <c r="X20" s="19" t="s">
        <v>1</v>
      </c>
      <c r="Y20" s="24" t="s">
        <v>166</v>
      </c>
      <c r="Z20" s="33" t="s">
        <v>1</v>
      </c>
      <c r="AA20" s="34" t="s">
        <v>48</v>
      </c>
    </row>
    <row r="21" spans="1:40" ht="16.5" thickBot="1" x14ac:dyDescent="0.3">
      <c r="A21" s="35" t="s">
        <v>50</v>
      </c>
      <c r="B21" s="29" t="s">
        <v>1</v>
      </c>
      <c r="C21" s="330">
        <v>0.69791666666666663</v>
      </c>
      <c r="D21" s="50" t="s">
        <v>1</v>
      </c>
      <c r="E21" s="334">
        <v>0.71875</v>
      </c>
      <c r="F21" s="19" t="s">
        <v>1</v>
      </c>
      <c r="G21" s="19" t="s">
        <v>1</v>
      </c>
      <c r="H21" s="19" t="s">
        <v>1</v>
      </c>
      <c r="I21" s="330">
        <v>0.73958333333333337</v>
      </c>
      <c r="J21" s="19" t="s">
        <v>1</v>
      </c>
      <c r="K21" s="19" t="s">
        <v>1</v>
      </c>
      <c r="L21" s="29" t="s">
        <v>1</v>
      </c>
      <c r="M21" s="29" t="s">
        <v>1</v>
      </c>
      <c r="N21" s="29" t="s">
        <v>1</v>
      </c>
      <c r="O21" s="19" t="s">
        <v>1</v>
      </c>
      <c r="P21" s="19" t="s">
        <v>1</v>
      </c>
      <c r="Q21" s="330">
        <v>0.76041666666666663</v>
      </c>
      <c r="R21" s="19" t="s">
        <v>1</v>
      </c>
      <c r="S21" s="19" t="s">
        <v>1</v>
      </c>
      <c r="T21" s="330">
        <v>0.78125</v>
      </c>
      <c r="U21" s="9" t="s">
        <v>167</v>
      </c>
      <c r="V21" s="18" t="s">
        <v>1</v>
      </c>
      <c r="W21" s="9" t="s">
        <v>168</v>
      </c>
      <c r="X21" s="344">
        <v>0.80208333333333337</v>
      </c>
      <c r="Y21" s="19" t="s">
        <v>1</v>
      </c>
      <c r="Z21" s="332">
        <v>0.82291666666666663</v>
      </c>
      <c r="AA21" s="30" t="s">
        <v>50</v>
      </c>
    </row>
    <row r="22" spans="1:40" ht="16.5" thickBot="1" x14ac:dyDescent="0.3">
      <c r="A22" s="36" t="s">
        <v>51</v>
      </c>
      <c r="B22" s="40" t="s">
        <v>169</v>
      </c>
      <c r="C22" s="28" t="s">
        <v>170</v>
      </c>
      <c r="D22" s="28" t="s">
        <v>171</v>
      </c>
      <c r="E22" s="329">
        <v>0.79166666666666663</v>
      </c>
      <c r="F22" s="19" t="s">
        <v>1</v>
      </c>
      <c r="G22" s="952" t="s">
        <v>172</v>
      </c>
      <c r="H22" s="19" t="s">
        <v>1</v>
      </c>
      <c r="I22" s="28" t="s">
        <v>173</v>
      </c>
      <c r="J22" s="28" t="s">
        <v>174</v>
      </c>
      <c r="K22" s="19" t="s">
        <v>1</v>
      </c>
      <c r="L22" s="19" t="s">
        <v>1</v>
      </c>
      <c r="M22" s="28" t="s">
        <v>1</v>
      </c>
      <c r="N22" s="28" t="s">
        <v>1</v>
      </c>
      <c r="O22" s="19" t="s">
        <v>1</v>
      </c>
      <c r="P22" s="19" t="s">
        <v>1</v>
      </c>
      <c r="Q22" s="28" t="s">
        <v>175</v>
      </c>
      <c r="R22" s="329">
        <v>0.83333333333333337</v>
      </c>
      <c r="S22" s="19" t="s">
        <v>1</v>
      </c>
      <c r="T22" s="940" t="s">
        <v>176</v>
      </c>
      <c r="U22" s="17">
        <v>2007029</v>
      </c>
      <c r="V22" s="40" t="s">
        <v>177</v>
      </c>
      <c r="W22" s="17">
        <v>2007030</v>
      </c>
      <c r="X22" s="340">
        <v>0.85416666666666663</v>
      </c>
      <c r="Y22" s="28" t="s">
        <v>178</v>
      </c>
      <c r="Z22" s="342" t="s">
        <v>179</v>
      </c>
      <c r="AA22" s="38" t="s">
        <v>51</v>
      </c>
    </row>
    <row r="23" spans="1:40" ht="16.5" thickBot="1" x14ac:dyDescent="0.3">
      <c r="A23" s="31" t="s">
        <v>48</v>
      </c>
      <c r="B23" s="24" t="s">
        <v>180</v>
      </c>
      <c r="C23" s="19" t="s">
        <v>1</v>
      </c>
      <c r="D23" s="24" t="s">
        <v>181</v>
      </c>
      <c r="E23" s="19" t="s">
        <v>1</v>
      </c>
      <c r="F23" s="18" t="s">
        <v>1</v>
      </c>
      <c r="G23" s="13" t="s">
        <v>182</v>
      </c>
      <c r="H23" s="19" t="s">
        <v>1</v>
      </c>
      <c r="I23" s="956" t="s">
        <v>183</v>
      </c>
      <c r="J23" s="33" t="s">
        <v>1</v>
      </c>
      <c r="K23" s="18" t="s">
        <v>1</v>
      </c>
      <c r="L23" s="29" t="s">
        <v>1</v>
      </c>
      <c r="M23" s="29" t="s">
        <v>1</v>
      </c>
      <c r="N23" s="29" t="s">
        <v>1</v>
      </c>
      <c r="O23" s="19" t="s">
        <v>1</v>
      </c>
      <c r="P23" s="19" t="s">
        <v>1</v>
      </c>
      <c r="Q23" s="24" t="s">
        <v>184</v>
      </c>
      <c r="R23" s="19" t="s">
        <v>1</v>
      </c>
      <c r="S23" s="19" t="s">
        <v>1</v>
      </c>
      <c r="T23" s="13" t="s">
        <v>185</v>
      </c>
      <c r="U23" s="912" t="s">
        <v>186</v>
      </c>
      <c r="V23" s="331" t="s">
        <v>187</v>
      </c>
      <c r="W23" s="913" t="s">
        <v>188</v>
      </c>
      <c r="X23" s="28" t="s">
        <v>1</v>
      </c>
      <c r="Y23" s="24" t="s">
        <v>189</v>
      </c>
      <c r="Z23" s="346" t="s">
        <v>1</v>
      </c>
      <c r="AA23" s="34" t="s">
        <v>48</v>
      </c>
    </row>
    <row r="24" spans="1:40" ht="16.5" thickBot="1" x14ac:dyDescent="0.3">
      <c r="A24" s="35" t="s">
        <v>50</v>
      </c>
      <c r="B24" s="19" t="s">
        <v>1</v>
      </c>
      <c r="C24" s="332">
        <v>0.84375</v>
      </c>
      <c r="D24" s="19"/>
      <c r="E24" s="942" t="s">
        <v>190</v>
      </c>
      <c r="F24" s="19" t="s">
        <v>1</v>
      </c>
      <c r="G24" s="19" t="s">
        <v>1</v>
      </c>
      <c r="H24" s="19" t="s">
        <v>1</v>
      </c>
      <c r="I24" s="13" t="s">
        <v>191</v>
      </c>
      <c r="J24" s="330">
        <v>0.86458333333333337</v>
      </c>
      <c r="K24" s="19" t="s">
        <v>1</v>
      </c>
      <c r="L24" s="29" t="s">
        <v>1</v>
      </c>
      <c r="M24" s="29" t="s">
        <v>1</v>
      </c>
      <c r="N24" s="29" t="s">
        <v>1</v>
      </c>
      <c r="O24" s="19" t="s">
        <v>1</v>
      </c>
      <c r="P24" s="19" t="s">
        <v>1</v>
      </c>
      <c r="Q24" s="24"/>
      <c r="R24" s="949" t="s">
        <v>192</v>
      </c>
      <c r="S24" s="19" t="s">
        <v>1</v>
      </c>
      <c r="T24" s="19" t="s">
        <v>1</v>
      </c>
      <c r="U24" s="330">
        <v>0.88541666666666663</v>
      </c>
      <c r="V24" s="33" t="s">
        <v>1</v>
      </c>
      <c r="W24" s="344">
        <v>0.90625</v>
      </c>
      <c r="X24" s="948" t="s">
        <v>193</v>
      </c>
      <c r="Y24" s="19" t="s">
        <v>1</v>
      </c>
      <c r="Z24" s="332">
        <v>0.92708333333333337</v>
      </c>
      <c r="AA24" s="30" t="s">
        <v>50</v>
      </c>
    </row>
    <row r="25" spans="1:40" ht="16.5" thickBot="1" x14ac:dyDescent="0.3">
      <c r="A25" s="41" t="s">
        <v>62</v>
      </c>
      <c r="B25" s="19" t="s">
        <v>1</v>
      </c>
      <c r="C25" s="33" t="s">
        <v>1</v>
      </c>
      <c r="D25" s="19"/>
      <c r="E25" s="13" t="s">
        <v>194</v>
      </c>
      <c r="F25" s="19" t="s">
        <v>1</v>
      </c>
      <c r="G25" s="19" t="s">
        <v>1</v>
      </c>
      <c r="H25" s="19" t="s">
        <v>1</v>
      </c>
      <c r="I25" s="11" t="s">
        <v>1</v>
      </c>
      <c r="J25" s="19" t="s">
        <v>1</v>
      </c>
      <c r="K25" s="930" t="s">
        <v>195</v>
      </c>
      <c r="L25" s="931" t="s">
        <v>196</v>
      </c>
      <c r="M25" s="932" t="s">
        <v>172</v>
      </c>
      <c r="N25" s="19" t="s">
        <v>1</v>
      </c>
      <c r="O25" s="932" t="s">
        <v>197</v>
      </c>
      <c r="P25" s="19" t="s">
        <v>1</v>
      </c>
      <c r="Q25" s="19" t="s">
        <v>1</v>
      </c>
      <c r="R25" s="13" t="s">
        <v>198</v>
      </c>
      <c r="S25" s="18" t="s">
        <v>1</v>
      </c>
      <c r="T25" s="19" t="s">
        <v>1</v>
      </c>
      <c r="U25" s="33" t="s">
        <v>1</v>
      </c>
      <c r="V25" s="18" t="s">
        <v>1</v>
      </c>
      <c r="W25" s="33" t="s">
        <v>1</v>
      </c>
      <c r="X25" s="13" t="s">
        <v>199</v>
      </c>
      <c r="Y25" s="19" t="s">
        <v>1</v>
      </c>
      <c r="Z25" s="33" t="s">
        <v>1</v>
      </c>
      <c r="AA25" s="34" t="s">
        <v>62</v>
      </c>
    </row>
    <row r="26" spans="1:40" ht="16.5" thickBot="1" x14ac:dyDescent="0.3">
      <c r="A26" s="43" t="s">
        <v>47</v>
      </c>
      <c r="B26" s="19" t="s">
        <v>1</v>
      </c>
      <c r="C26" s="24" t="s">
        <v>1</v>
      </c>
      <c r="D26" s="11" t="s">
        <v>1</v>
      </c>
      <c r="E26" s="19" t="s">
        <v>1</v>
      </c>
      <c r="F26" s="19" t="s">
        <v>1</v>
      </c>
      <c r="G26" s="19" t="s">
        <v>1</v>
      </c>
      <c r="H26" s="19" t="s">
        <v>1</v>
      </c>
      <c r="I26" s="19" t="s">
        <v>1</v>
      </c>
      <c r="J26" s="19" t="s">
        <v>1</v>
      </c>
      <c r="K26" s="13" t="s">
        <v>200</v>
      </c>
      <c r="L26" s="45" t="s">
        <v>201</v>
      </c>
      <c r="M26" s="8" t="s">
        <v>182</v>
      </c>
      <c r="N26" s="928" t="s">
        <v>172</v>
      </c>
      <c r="O26" s="13" t="s">
        <v>202</v>
      </c>
      <c r="P26" s="19" t="s">
        <v>1</v>
      </c>
      <c r="Q26" s="18" t="s">
        <v>1</v>
      </c>
      <c r="R26" s="19" t="s">
        <v>1</v>
      </c>
      <c r="S26" s="19" t="s">
        <v>1</v>
      </c>
      <c r="T26" s="19" t="s">
        <v>1</v>
      </c>
      <c r="U26" s="19" t="s">
        <v>1</v>
      </c>
      <c r="V26" s="19" t="s">
        <v>1</v>
      </c>
      <c r="W26" s="19" t="s">
        <v>1</v>
      </c>
      <c r="X26" s="19" t="s">
        <v>1</v>
      </c>
      <c r="Y26" s="19" t="s">
        <v>1</v>
      </c>
      <c r="Z26" s="39"/>
      <c r="AA26" s="30" t="s">
        <v>47</v>
      </c>
    </row>
    <row r="27" spans="1:40" ht="16.5" thickBot="1" x14ac:dyDescent="0.3">
      <c r="A27" s="36" t="s">
        <v>51</v>
      </c>
      <c r="B27" s="40" t="s">
        <v>203</v>
      </c>
      <c r="C27" s="28" t="s">
        <v>204</v>
      </c>
      <c r="D27" s="28" t="s">
        <v>205</v>
      </c>
      <c r="E27" s="28" t="s">
        <v>1</v>
      </c>
      <c r="F27" s="19" t="s">
        <v>1</v>
      </c>
      <c r="G27" s="19" t="s">
        <v>1</v>
      </c>
      <c r="H27" s="19" t="s">
        <v>1</v>
      </c>
      <c r="I27" s="19" t="s">
        <v>1</v>
      </c>
      <c r="J27" s="329">
        <v>0.91666666666666663</v>
      </c>
      <c r="K27" s="19" t="s">
        <v>1</v>
      </c>
      <c r="L27" s="11" t="s">
        <v>1</v>
      </c>
      <c r="M27" s="33" t="s">
        <v>1</v>
      </c>
      <c r="N27" s="13" t="s">
        <v>182</v>
      </c>
      <c r="O27" s="19" t="s">
        <v>1</v>
      </c>
      <c r="P27" s="19" t="s">
        <v>1</v>
      </c>
      <c r="Q27" s="28" t="s">
        <v>206</v>
      </c>
      <c r="R27" s="28" t="s">
        <v>1</v>
      </c>
      <c r="S27" s="19" t="s">
        <v>1</v>
      </c>
      <c r="T27" s="19" t="s">
        <v>1</v>
      </c>
      <c r="U27" s="329">
        <v>0.9375</v>
      </c>
      <c r="V27" s="28" t="s">
        <v>207</v>
      </c>
      <c r="W27" s="329">
        <v>0.95833333333333337</v>
      </c>
      <c r="X27" s="28" t="s">
        <v>1</v>
      </c>
      <c r="Y27" s="28" t="s">
        <v>208</v>
      </c>
      <c r="Z27" s="347">
        <v>0.97916666666666663</v>
      </c>
      <c r="AA27" s="38" t="s">
        <v>51</v>
      </c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spans="1:40" x14ac:dyDescent="0.25">
      <c r="A28" s="31" t="s">
        <v>48</v>
      </c>
      <c r="B28" s="24" t="s">
        <v>209</v>
      </c>
      <c r="C28" s="19" t="s">
        <v>1</v>
      </c>
      <c r="D28" s="24" t="s">
        <v>210</v>
      </c>
      <c r="E28" s="24" t="s">
        <v>1</v>
      </c>
      <c r="F28" s="19" t="s">
        <v>1</v>
      </c>
      <c r="G28" s="19" t="s">
        <v>1</v>
      </c>
      <c r="H28" s="19" t="s">
        <v>1</v>
      </c>
      <c r="I28" s="19" t="s">
        <v>1</v>
      </c>
      <c r="J28" s="27" t="s">
        <v>1</v>
      </c>
      <c r="K28" s="19" t="s">
        <v>1</v>
      </c>
      <c r="L28" s="19" t="s">
        <v>1</v>
      </c>
      <c r="M28" s="19" t="s">
        <v>1</v>
      </c>
      <c r="N28" s="11" t="s">
        <v>1</v>
      </c>
      <c r="O28" s="19" t="s">
        <v>1</v>
      </c>
      <c r="P28" s="19" t="s">
        <v>1</v>
      </c>
      <c r="Q28" s="24" t="s">
        <v>211</v>
      </c>
      <c r="R28" s="19" t="s">
        <v>1</v>
      </c>
      <c r="S28" s="19" t="s">
        <v>1</v>
      </c>
      <c r="T28" s="19" t="s">
        <v>1</v>
      </c>
      <c r="U28" s="19" t="s">
        <v>1</v>
      </c>
      <c r="V28" s="958" t="s">
        <v>212</v>
      </c>
      <c r="W28" s="19" t="s">
        <v>1</v>
      </c>
      <c r="X28" s="19" t="s">
        <v>1</v>
      </c>
      <c r="Y28" s="958" t="s">
        <v>213</v>
      </c>
      <c r="Z28" s="33" t="s">
        <v>1</v>
      </c>
      <c r="AA28" s="34" t="s">
        <v>48</v>
      </c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spans="1:40" x14ac:dyDescent="0.25">
      <c r="A29" s="35" t="s">
        <v>50</v>
      </c>
      <c r="B29" s="27" t="s">
        <v>1</v>
      </c>
      <c r="C29" s="330">
        <v>0.94791666666666663</v>
      </c>
      <c r="D29" s="27" t="s">
        <v>1</v>
      </c>
      <c r="E29" s="27" t="s">
        <v>1</v>
      </c>
      <c r="F29" s="19" t="s">
        <v>1</v>
      </c>
      <c r="G29" s="19" t="s">
        <v>1</v>
      </c>
      <c r="H29" s="19" t="s">
        <v>1</v>
      </c>
      <c r="I29" s="19" t="s">
        <v>1</v>
      </c>
      <c r="J29" s="330">
        <v>0.96875</v>
      </c>
      <c r="K29" s="19" t="s">
        <v>1</v>
      </c>
      <c r="L29" s="27" t="s">
        <v>1</v>
      </c>
      <c r="M29" s="19"/>
      <c r="N29" s="27"/>
      <c r="O29" s="19" t="s">
        <v>1</v>
      </c>
      <c r="P29" s="19" t="s">
        <v>1</v>
      </c>
      <c r="Q29" s="27" t="s">
        <v>1</v>
      </c>
      <c r="R29" s="19" t="s">
        <v>1</v>
      </c>
      <c r="S29" s="19" t="s">
        <v>1</v>
      </c>
      <c r="T29" s="19" t="s">
        <v>1</v>
      </c>
      <c r="U29" s="946" t="s">
        <v>214</v>
      </c>
      <c r="V29" s="29" t="s">
        <v>1</v>
      </c>
      <c r="W29" s="946" t="s">
        <v>215</v>
      </c>
      <c r="X29" s="19" t="s">
        <v>1</v>
      </c>
      <c r="Y29" s="19" t="s">
        <v>1</v>
      </c>
      <c r="Z29" s="947" t="s">
        <v>216</v>
      </c>
      <c r="AA29" s="30" t="s">
        <v>50</v>
      </c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spans="1:40" x14ac:dyDescent="0.25">
      <c r="A30" s="36" t="s">
        <v>51</v>
      </c>
      <c r="B30" s="950" t="s">
        <v>217</v>
      </c>
      <c r="C30" s="939" t="s">
        <v>214</v>
      </c>
      <c r="D30" s="950" t="s">
        <v>218</v>
      </c>
      <c r="E30" s="19" t="s">
        <v>1</v>
      </c>
      <c r="F30" s="19" t="s">
        <v>1</v>
      </c>
      <c r="G30" s="19" t="s">
        <v>1</v>
      </c>
      <c r="H30" s="19" t="s">
        <v>1</v>
      </c>
      <c r="I30" s="19" t="s">
        <v>1</v>
      </c>
      <c r="J30" s="939" t="s">
        <v>219</v>
      </c>
      <c r="K30" s="19" t="s">
        <v>1</v>
      </c>
      <c r="L30" s="19" t="s">
        <v>1</v>
      </c>
      <c r="M30" s="19" t="s">
        <v>1</v>
      </c>
      <c r="N30" s="50" t="s">
        <v>1</v>
      </c>
      <c r="O30" s="19" t="s">
        <v>1</v>
      </c>
      <c r="P30" s="19" t="s">
        <v>1</v>
      </c>
      <c r="Q30" s="953" t="s">
        <v>216</v>
      </c>
      <c r="R30" s="19" t="s">
        <v>1</v>
      </c>
      <c r="S30" s="19" t="s">
        <v>1</v>
      </c>
      <c r="T30" s="19" t="s">
        <v>1</v>
      </c>
      <c r="U30" s="19" t="s">
        <v>1</v>
      </c>
      <c r="V30" s="28" t="s">
        <v>1</v>
      </c>
      <c r="W30" s="19" t="s">
        <v>1</v>
      </c>
      <c r="X30" s="19" t="s">
        <v>1</v>
      </c>
      <c r="Y30" s="19" t="s">
        <v>1</v>
      </c>
      <c r="Z30" s="33" t="s">
        <v>1</v>
      </c>
      <c r="AA30" s="38" t="s">
        <v>51</v>
      </c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x14ac:dyDescent="0.25">
      <c r="A31" s="31" t="s">
        <v>1</v>
      </c>
      <c r="B31" s="19" t="s">
        <v>1</v>
      </c>
      <c r="C31" s="19" t="s">
        <v>1</v>
      </c>
      <c r="D31" s="19" t="s">
        <v>1</v>
      </c>
      <c r="E31" s="19" t="s">
        <v>1</v>
      </c>
      <c r="F31" s="19" t="s">
        <v>1</v>
      </c>
      <c r="G31" s="19" t="s">
        <v>1</v>
      </c>
      <c r="H31" s="19" t="s">
        <v>1</v>
      </c>
      <c r="I31" s="19" t="s">
        <v>1</v>
      </c>
      <c r="J31" s="19" t="s">
        <v>1</v>
      </c>
      <c r="K31" s="19" t="s">
        <v>1</v>
      </c>
      <c r="L31" s="19" t="s">
        <v>1</v>
      </c>
      <c r="M31" s="19" t="s">
        <v>1</v>
      </c>
      <c r="N31" s="22" t="s">
        <v>1</v>
      </c>
      <c r="O31" s="19" t="s">
        <v>1</v>
      </c>
      <c r="P31" s="19" t="s">
        <v>1</v>
      </c>
      <c r="Q31" s="19" t="s">
        <v>1</v>
      </c>
      <c r="R31" s="19" t="s">
        <v>1</v>
      </c>
      <c r="S31" s="19" t="s">
        <v>1</v>
      </c>
      <c r="T31" s="19" t="s">
        <v>1</v>
      </c>
      <c r="U31" s="19" t="s">
        <v>1</v>
      </c>
      <c r="V31" s="19" t="s">
        <v>1</v>
      </c>
      <c r="W31" s="19" t="s">
        <v>1</v>
      </c>
      <c r="X31" s="19" t="s">
        <v>1</v>
      </c>
      <c r="Y31" s="19" t="s">
        <v>1</v>
      </c>
      <c r="Z31" s="331" t="s">
        <v>1</v>
      </c>
      <c r="AA31" s="34" t="s">
        <v>1</v>
      </c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spans="1:40" ht="16.5" thickBot="1" x14ac:dyDescent="0.3">
      <c r="A32" s="51" t="s">
        <v>45</v>
      </c>
      <c r="B32" s="54" t="s">
        <v>220</v>
      </c>
      <c r="C32" s="54" t="s">
        <v>221</v>
      </c>
      <c r="D32" s="52" t="s">
        <v>222</v>
      </c>
      <c r="E32" s="52" t="s">
        <v>1</v>
      </c>
      <c r="F32" s="53" t="s">
        <v>1</v>
      </c>
      <c r="G32" s="53" t="s">
        <v>1</v>
      </c>
      <c r="H32" s="53" t="s">
        <v>1</v>
      </c>
      <c r="I32" s="53" t="s">
        <v>1</v>
      </c>
      <c r="J32" s="54" t="s">
        <v>223</v>
      </c>
      <c r="K32" s="53" t="s">
        <v>1</v>
      </c>
      <c r="L32" s="54" t="s">
        <v>1</v>
      </c>
      <c r="M32" s="53" t="s">
        <v>1</v>
      </c>
      <c r="N32" s="53" t="s">
        <v>1</v>
      </c>
      <c r="O32" s="52" t="s">
        <v>1</v>
      </c>
      <c r="P32" s="52" t="s">
        <v>1</v>
      </c>
      <c r="Q32" s="54" t="s">
        <v>224</v>
      </c>
      <c r="R32" s="54" t="s">
        <v>1</v>
      </c>
      <c r="S32" s="53" t="s">
        <v>1</v>
      </c>
      <c r="T32" s="53" t="s">
        <v>1</v>
      </c>
      <c r="U32" s="54" t="s">
        <v>221</v>
      </c>
      <c r="V32" s="54" t="s">
        <v>222</v>
      </c>
      <c r="W32" s="52" t="s">
        <v>225</v>
      </c>
      <c r="X32" s="52" t="s">
        <v>1</v>
      </c>
      <c r="Y32" s="54" t="s">
        <v>226</v>
      </c>
      <c r="Z32" s="348" t="s">
        <v>224</v>
      </c>
      <c r="AA32" s="55" t="s">
        <v>45</v>
      </c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9" x14ac:dyDescent="0.25">
      <c r="AA33" s="56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</row>
    <row r="34" spans="1:49" hidden="1" x14ac:dyDescent="0.25">
      <c r="A34" s="1016">
        <v>11.725</v>
      </c>
      <c r="B34" s="1016">
        <v>1.0034722222222223</v>
      </c>
      <c r="C34" s="1016">
        <v>1.0069444444444444</v>
      </c>
      <c r="D34" s="1016">
        <v>1.0173611111111112</v>
      </c>
      <c r="E34" s="1017">
        <v>0.87152777777777779</v>
      </c>
      <c r="F34" s="1017">
        <v>0.60069444444444442</v>
      </c>
      <c r="G34" s="1017">
        <v>0.8125</v>
      </c>
      <c r="H34" s="1017">
        <v>0.39583333333333331</v>
      </c>
      <c r="I34" s="1017">
        <v>0.88194444444444442</v>
      </c>
      <c r="J34" s="1016">
        <v>1.0208333333333333</v>
      </c>
      <c r="K34" s="1017">
        <v>0.40972222222222221</v>
      </c>
      <c r="L34" s="1017">
        <v>0.40972222222222221</v>
      </c>
      <c r="M34" s="1017">
        <v>0.43888888888888888</v>
      </c>
      <c r="N34" s="1017">
        <v>0.44097222222222221</v>
      </c>
      <c r="O34" s="1017">
        <v>0.44791666666666669</v>
      </c>
      <c r="P34" s="1017">
        <v>0.55555555555555558</v>
      </c>
      <c r="Q34" s="1016">
        <v>1.0347222222222223</v>
      </c>
      <c r="R34" s="1017">
        <v>0.90625</v>
      </c>
      <c r="S34" s="1017">
        <v>0.50347222222222221</v>
      </c>
      <c r="T34" s="1017">
        <v>0.85416666666666663</v>
      </c>
      <c r="U34" s="1016">
        <v>1.0069444444444444</v>
      </c>
      <c r="V34" s="1016">
        <v>1.0173611111111112</v>
      </c>
      <c r="W34" s="1016">
        <v>1.0243055555555556</v>
      </c>
      <c r="X34" s="1017">
        <v>0.93055555555555558</v>
      </c>
      <c r="Y34" s="1021">
        <v>1.0277777777777777</v>
      </c>
      <c r="Z34" s="1021">
        <v>1.0347222222222223</v>
      </c>
      <c r="AH34" s="57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</row>
    <row r="35" spans="1:49" hidden="1" x14ac:dyDescent="0.25">
      <c r="B35" s="57">
        <v>0.30208333333333331</v>
      </c>
      <c r="C35" s="57">
        <v>0.25</v>
      </c>
      <c r="D35" s="57">
        <v>0.21388888888888888</v>
      </c>
      <c r="E35" s="57">
        <v>0.26041666666666669</v>
      </c>
      <c r="F35" s="57">
        <v>0.22222222222222221</v>
      </c>
      <c r="G35" s="57">
        <v>0.55902777777777779</v>
      </c>
      <c r="H35" s="57">
        <v>0.28125</v>
      </c>
      <c r="I35" s="57">
        <v>0.2326388888888889</v>
      </c>
      <c r="J35" s="1017">
        <v>0.27777777777777779</v>
      </c>
      <c r="K35" s="1017">
        <v>0.24305555555555555</v>
      </c>
      <c r="L35" s="57">
        <v>0.28472222222222221</v>
      </c>
      <c r="M35" s="57">
        <v>0.3125</v>
      </c>
      <c r="N35" s="57">
        <v>0.25347222222222221</v>
      </c>
      <c r="O35" s="57">
        <v>0.27083333333333331</v>
      </c>
      <c r="P35" s="57">
        <v>0.2951388888888889</v>
      </c>
      <c r="Q35" s="57">
        <v>0.51736111111111116</v>
      </c>
      <c r="R35" s="57">
        <v>0.2951388888888889</v>
      </c>
      <c r="S35" s="57">
        <v>0.30555555555555558</v>
      </c>
      <c r="T35" s="57">
        <v>0.46527777777777779</v>
      </c>
      <c r="U35" s="57">
        <v>0.86458333333333337</v>
      </c>
      <c r="V35" s="57">
        <v>0.2013888888888889</v>
      </c>
      <c r="W35" s="57">
        <v>0.88541666666666663</v>
      </c>
      <c r="X35" s="57">
        <v>0.27777777777777779</v>
      </c>
      <c r="Y35" s="57">
        <v>0.22916666666666666</v>
      </c>
      <c r="Z35" s="57">
        <v>0.23958333333333334</v>
      </c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</row>
    <row r="36" spans="1:49" hidden="1" x14ac:dyDescent="0.25">
      <c r="B36" s="1022">
        <f>B34-B35</f>
        <v>0.70138888888888906</v>
      </c>
      <c r="C36" s="184">
        <f t="shared" ref="C36:Z36" si="0">C34-C35</f>
        <v>0.75694444444444442</v>
      </c>
      <c r="D36" s="184">
        <f t="shared" si="0"/>
        <v>0.80347222222222225</v>
      </c>
      <c r="E36" s="184">
        <f t="shared" si="0"/>
        <v>0.61111111111111116</v>
      </c>
      <c r="F36" s="1022">
        <f t="shared" si="0"/>
        <v>0.37847222222222221</v>
      </c>
      <c r="G36" s="1022">
        <f t="shared" si="0"/>
        <v>0.25347222222222221</v>
      </c>
      <c r="H36" s="1024">
        <f t="shared" si="0"/>
        <v>0.11458333333333331</v>
      </c>
      <c r="I36" s="184">
        <f t="shared" si="0"/>
        <v>0.64930555555555558</v>
      </c>
      <c r="J36" s="184">
        <f t="shared" si="0"/>
        <v>0.74305555555555547</v>
      </c>
      <c r="K36" s="1022">
        <f t="shared" si="0"/>
        <v>0.16666666666666666</v>
      </c>
      <c r="L36" s="1026">
        <f t="shared" si="0"/>
        <v>0.125</v>
      </c>
      <c r="M36" s="1026">
        <f t="shared" si="0"/>
        <v>0.12638888888888888</v>
      </c>
      <c r="N36" s="1023">
        <f t="shared" si="0"/>
        <v>0.1875</v>
      </c>
      <c r="O36" s="1023">
        <f t="shared" si="0"/>
        <v>0.17708333333333337</v>
      </c>
      <c r="P36" s="1023">
        <f t="shared" si="0"/>
        <v>0.26041666666666669</v>
      </c>
      <c r="Q36" s="184">
        <f t="shared" si="0"/>
        <v>0.51736111111111116</v>
      </c>
      <c r="R36" s="184">
        <f t="shared" si="0"/>
        <v>0.61111111111111116</v>
      </c>
      <c r="S36" s="184">
        <f t="shared" si="0"/>
        <v>0.19791666666666663</v>
      </c>
      <c r="T36" s="1023">
        <f t="shared" si="0"/>
        <v>0.38888888888888884</v>
      </c>
      <c r="U36" s="1023">
        <f t="shared" si="0"/>
        <v>0.14236111111111105</v>
      </c>
      <c r="V36" s="184">
        <f t="shared" si="0"/>
        <v>0.81597222222222232</v>
      </c>
      <c r="W36" s="1023">
        <f t="shared" si="0"/>
        <v>0.13888888888888895</v>
      </c>
      <c r="X36" s="1023">
        <f t="shared" si="0"/>
        <v>0.65277777777777779</v>
      </c>
      <c r="Y36" s="1022">
        <f t="shared" si="0"/>
        <v>0.79861111111111105</v>
      </c>
      <c r="Z36" s="1023">
        <f t="shared" si="0"/>
        <v>0.79513888888888895</v>
      </c>
    </row>
    <row r="37" spans="1:49" hidden="1" x14ac:dyDescent="0.25">
      <c r="J37" s="49"/>
      <c r="K37" s="49"/>
    </row>
    <row r="38" spans="1:49" hidden="1" x14ac:dyDescent="0.25">
      <c r="C38" s="57">
        <v>0.33333333333333331</v>
      </c>
      <c r="D38" s="1021">
        <v>1.0173611111111112</v>
      </c>
      <c r="E38" s="57">
        <v>0.35416666666666669</v>
      </c>
      <c r="I38" s="57">
        <v>0.88194444444444442</v>
      </c>
      <c r="J38" s="57">
        <v>0.38541666666666669</v>
      </c>
      <c r="K38" s="1017">
        <v>0.80208333333333337</v>
      </c>
      <c r="L38" s="57">
        <v>0.80902777777777779</v>
      </c>
      <c r="M38" s="57">
        <v>0.8125</v>
      </c>
      <c r="N38" s="57">
        <v>0.8125</v>
      </c>
      <c r="O38" s="57">
        <v>0.81944444444444442</v>
      </c>
      <c r="Q38" s="1021">
        <v>1.0347222222222223</v>
      </c>
      <c r="R38" s="57">
        <v>0.40625</v>
      </c>
      <c r="S38" s="57">
        <v>0.41666666666666669</v>
      </c>
      <c r="V38" s="57">
        <v>0.28125</v>
      </c>
    </row>
    <row r="39" spans="1:49" hidden="1" x14ac:dyDescent="0.25">
      <c r="C39" s="57">
        <v>0.25</v>
      </c>
      <c r="D39" s="57">
        <v>0.34375</v>
      </c>
      <c r="E39" s="57">
        <v>0.26041666666666669</v>
      </c>
      <c r="I39" s="57">
        <v>0.80208333333333337</v>
      </c>
      <c r="J39" s="57">
        <v>0.27777777777777779</v>
      </c>
      <c r="K39" s="1017">
        <v>0.68402777777777779</v>
      </c>
      <c r="L39" s="57">
        <v>0.69097222222222221</v>
      </c>
      <c r="M39" s="57">
        <v>0.69791666666666663</v>
      </c>
      <c r="N39" s="57">
        <v>0.70138888888888884</v>
      </c>
      <c r="O39" s="57">
        <v>0.67013888888888884</v>
      </c>
      <c r="Q39" s="57">
        <v>0.82291666666666663</v>
      </c>
      <c r="R39" s="57">
        <v>0.2951388888888889</v>
      </c>
      <c r="S39" s="57">
        <v>0.30555555555555558</v>
      </c>
      <c r="V39" s="57">
        <v>0.2013888888888889</v>
      </c>
    </row>
    <row r="40" spans="1:49" hidden="1" x14ac:dyDescent="0.25">
      <c r="C40" s="1022">
        <f t="shared" ref="C40:E40" si="1">C38-C39</f>
        <v>8.3333333333333315E-2</v>
      </c>
      <c r="D40" s="1022">
        <f t="shared" si="1"/>
        <v>0.67361111111111116</v>
      </c>
      <c r="E40" s="1026">
        <f t="shared" si="1"/>
        <v>9.375E-2</v>
      </c>
      <c r="I40" s="1022">
        <f t="shared" ref="I40:J40" si="2">I38-I39</f>
        <v>7.9861111111111049E-2</v>
      </c>
      <c r="J40" s="1026">
        <f t="shared" si="2"/>
        <v>0.1076388888888889</v>
      </c>
      <c r="K40" s="1026">
        <f t="shared" ref="K40:O40" si="3">K38-K39</f>
        <v>0.11805555555555558</v>
      </c>
      <c r="L40" s="1026">
        <f t="shared" si="3"/>
        <v>0.11805555555555558</v>
      </c>
      <c r="M40" s="1026">
        <f t="shared" si="3"/>
        <v>0.11458333333333337</v>
      </c>
      <c r="N40" s="1024">
        <f t="shared" si="3"/>
        <v>0.11111111111111116</v>
      </c>
      <c r="O40" s="1026">
        <f t="shared" si="3"/>
        <v>0.14930555555555558</v>
      </c>
      <c r="Q40" s="1022">
        <f t="shared" ref="Q40:S40" si="4">Q38-Q39</f>
        <v>0.21180555555555569</v>
      </c>
      <c r="R40" s="1026">
        <f t="shared" si="4"/>
        <v>0.1111111111111111</v>
      </c>
      <c r="S40" s="1022">
        <f t="shared" si="4"/>
        <v>0.1111111111111111</v>
      </c>
      <c r="V40" s="1024">
        <f t="shared" ref="V40" si="5">V38-V39</f>
        <v>7.9861111111111105E-2</v>
      </c>
    </row>
    <row r="41" spans="1:49" hidden="1" x14ac:dyDescent="0.25">
      <c r="J41" s="49"/>
      <c r="K41" s="49"/>
      <c r="R41" s="49"/>
      <c r="V41" s="49"/>
    </row>
    <row r="42" spans="1:49" hidden="1" x14ac:dyDescent="0.25">
      <c r="C42" s="1021">
        <v>1.0069444444444444</v>
      </c>
      <c r="D42" s="57">
        <v>0.34375</v>
      </c>
      <c r="E42" s="57">
        <v>0.87152777777777779</v>
      </c>
      <c r="I42" s="57">
        <v>0.80208333333333337</v>
      </c>
      <c r="J42" s="57">
        <v>0.8125</v>
      </c>
      <c r="K42" s="49"/>
      <c r="Q42" s="57">
        <v>0.82291666666666663</v>
      </c>
      <c r="R42" s="57">
        <v>0.83333333333333337</v>
      </c>
      <c r="S42" s="57">
        <v>0.50347222222222221</v>
      </c>
      <c r="V42" s="57">
        <v>1.0173611111111112</v>
      </c>
    </row>
    <row r="43" spans="1:49" ht="15.75" hidden="1" customHeight="1" x14ac:dyDescent="0.25">
      <c r="C43" s="57">
        <v>0.33333333333333331</v>
      </c>
      <c r="D43" s="57">
        <v>0.21388888888888888</v>
      </c>
      <c r="E43" s="57">
        <v>0.35416666666666669</v>
      </c>
      <c r="I43" s="57">
        <v>0.2326388888888889</v>
      </c>
      <c r="J43" s="57">
        <v>0.38541666666666669</v>
      </c>
      <c r="K43" s="49"/>
      <c r="Q43" s="57">
        <v>0.51736111111111116</v>
      </c>
      <c r="R43" s="57">
        <v>0.40625</v>
      </c>
      <c r="S43" s="57">
        <v>0.41666666666666669</v>
      </c>
      <c r="V43" s="57">
        <v>0.28125</v>
      </c>
    </row>
    <row r="44" spans="1:49" hidden="1" x14ac:dyDescent="0.25">
      <c r="C44" s="1023">
        <f t="shared" ref="C44:E44" si="6">C42-C43</f>
        <v>0.67361111111111116</v>
      </c>
      <c r="D44" s="1023">
        <f t="shared" si="6"/>
        <v>0.12986111111111112</v>
      </c>
      <c r="E44" s="1023">
        <f t="shared" si="6"/>
        <v>0.51736111111111116</v>
      </c>
      <c r="I44" s="1023">
        <f t="shared" ref="I44:J44" si="7">I42-I43</f>
        <v>0.56944444444444442</v>
      </c>
      <c r="J44" s="1022">
        <f t="shared" si="7"/>
        <v>0.42708333333333331</v>
      </c>
      <c r="K44" s="49"/>
      <c r="Q44" s="1023">
        <f t="shared" ref="Q44:S44" si="8">Q42-Q43</f>
        <v>0.30555555555555547</v>
      </c>
      <c r="R44" s="1022">
        <f t="shared" si="8"/>
        <v>0.42708333333333337</v>
      </c>
      <c r="S44" s="1023">
        <f t="shared" si="8"/>
        <v>8.6805555555555525E-2</v>
      </c>
      <c r="V44" s="1022">
        <f t="shared" ref="V44" si="9">V42-V43</f>
        <v>0.73611111111111116</v>
      </c>
      <c r="Y44" s="6">
        <v>7</v>
      </c>
      <c r="Z44" s="1023">
        <v>5.3069444444444445</v>
      </c>
      <c r="AA44" s="184">
        <v>11.725</v>
      </c>
    </row>
    <row r="45" spans="1:49" hidden="1" x14ac:dyDescent="0.25">
      <c r="K45" s="49"/>
      <c r="Y45" s="6" t="s">
        <v>727</v>
      </c>
      <c r="Z45" s="1022">
        <v>5.0486111111111107</v>
      </c>
      <c r="AD45" s="74"/>
      <c r="AF45" s="74"/>
    </row>
    <row r="46" spans="1:49" hidden="1" x14ac:dyDescent="0.25">
      <c r="J46" s="57">
        <v>1.0208333333333333</v>
      </c>
      <c r="K46" s="49"/>
      <c r="R46" s="57">
        <v>0.90625</v>
      </c>
      <c r="Y46" s="6" t="s">
        <v>787</v>
      </c>
      <c r="Z46" s="1026">
        <v>1.0638888888888889</v>
      </c>
      <c r="AD46" s="74"/>
      <c r="AF46" s="74"/>
    </row>
    <row r="47" spans="1:49" hidden="1" x14ac:dyDescent="0.25">
      <c r="J47" s="57">
        <v>0.8125</v>
      </c>
      <c r="K47" s="49"/>
      <c r="R47" s="57">
        <v>0.83333333333333337</v>
      </c>
      <c r="Y47" s="6" t="s">
        <v>817</v>
      </c>
      <c r="Z47" s="1024">
        <v>0.22569444444444445</v>
      </c>
      <c r="AD47" s="74"/>
      <c r="AF47" s="74"/>
    </row>
    <row r="48" spans="1:49" ht="15.75" hidden="1" customHeight="1" x14ac:dyDescent="0.25">
      <c r="J48" s="1023">
        <f t="shared" ref="J48" si="10">J46-J47</f>
        <v>0.20833333333333326</v>
      </c>
      <c r="K48" s="49"/>
      <c r="R48" s="1023">
        <f t="shared" ref="R48" si="11">R46-R47</f>
        <v>7.291666666666663E-2</v>
      </c>
      <c r="Y48" s="6" t="s">
        <v>729</v>
      </c>
      <c r="Z48" s="1024">
        <v>7.9861111111111105E-2</v>
      </c>
      <c r="AD48" s="74"/>
      <c r="AF48" s="74"/>
    </row>
    <row r="49" spans="1:32" ht="15.75" hidden="1" customHeight="1" x14ac:dyDescent="0.25">
      <c r="J49" s="49"/>
      <c r="K49" s="49"/>
      <c r="AD49" s="74"/>
      <c r="AF49" s="74"/>
    </row>
    <row r="50" spans="1:32" ht="15.75" hidden="1" customHeight="1" x14ac:dyDescent="0.25">
      <c r="J50" s="49"/>
      <c r="K50" s="49"/>
      <c r="AD50" s="74"/>
      <c r="AF50" s="74"/>
    </row>
    <row r="51" spans="1:32" ht="16.5" hidden="1" customHeight="1" x14ac:dyDescent="0.25">
      <c r="J51" s="49"/>
      <c r="K51" s="49"/>
      <c r="AD51" s="74"/>
      <c r="AF51" s="74"/>
    </row>
    <row r="52" spans="1:32" hidden="1" x14ac:dyDescent="0.25">
      <c r="J52" s="49"/>
      <c r="K52" s="49"/>
      <c r="AD52" s="74"/>
      <c r="AF52" s="74"/>
    </row>
    <row r="53" spans="1:32" hidden="1" x14ac:dyDescent="0.25">
      <c r="J53" s="49"/>
      <c r="K53" s="49"/>
      <c r="AD53" s="74"/>
      <c r="AF53" s="74"/>
    </row>
    <row r="54" spans="1:32" hidden="1" x14ac:dyDescent="0.25">
      <c r="J54" s="49"/>
      <c r="K54" s="49"/>
      <c r="AD54" s="74"/>
      <c r="AF54" s="74"/>
    </row>
    <row r="55" spans="1:32" ht="16.5" thickBot="1" x14ac:dyDescent="0.3">
      <c r="J55" s="49"/>
      <c r="K55" s="49"/>
      <c r="AD55" s="74"/>
      <c r="AF55" s="74"/>
    </row>
    <row r="56" spans="1:32" ht="21.75" thickBot="1" x14ac:dyDescent="0.4">
      <c r="A56" s="58" t="s">
        <v>227</v>
      </c>
      <c r="B56" s="59" t="s">
        <v>228</v>
      </c>
      <c r="C56" s="59"/>
      <c r="D56" s="59"/>
      <c r="E56" s="59"/>
      <c r="F56" s="59"/>
      <c r="G56" s="5" t="s">
        <v>3</v>
      </c>
      <c r="H56" s="59"/>
      <c r="I56" s="60" t="s">
        <v>1</v>
      </c>
      <c r="J56" s="49"/>
      <c r="K56" s="49"/>
      <c r="AF56" s="74"/>
    </row>
    <row r="57" spans="1:32" ht="16.5" thickBot="1" x14ac:dyDescent="0.3">
      <c r="A57" s="61"/>
      <c r="B57" s="62" t="s">
        <v>1</v>
      </c>
      <c r="C57" s="40" t="s">
        <v>1</v>
      </c>
      <c r="D57" s="17" t="s">
        <v>20</v>
      </c>
      <c r="E57" s="40" t="s">
        <v>1</v>
      </c>
      <c r="F57" s="28" t="s">
        <v>1</v>
      </c>
      <c r="G57" s="9" t="s">
        <v>229</v>
      </c>
      <c r="H57" s="8" t="s">
        <v>230</v>
      </c>
      <c r="I57" s="8" t="s">
        <v>231</v>
      </c>
      <c r="J57" s="49"/>
      <c r="K57" s="49"/>
      <c r="AF57" s="74"/>
    </row>
    <row r="58" spans="1:32" ht="16.5" thickBot="1" x14ac:dyDescent="0.3">
      <c r="A58" s="61" t="s">
        <v>1</v>
      </c>
      <c r="B58" s="62" t="s">
        <v>1</v>
      </c>
      <c r="C58" s="40" t="s">
        <v>1</v>
      </c>
      <c r="D58" s="17">
        <v>2047001</v>
      </c>
      <c r="E58" s="40" t="s">
        <v>1</v>
      </c>
      <c r="F58" s="28" t="s">
        <v>1</v>
      </c>
      <c r="G58" s="17">
        <v>2047002</v>
      </c>
      <c r="H58" s="16">
        <v>2047003</v>
      </c>
      <c r="I58" s="16">
        <v>2047004</v>
      </c>
      <c r="J58" s="49"/>
      <c r="K58" s="49"/>
      <c r="AF58" s="74"/>
    </row>
    <row r="59" spans="1:32" ht="16.5" thickBot="1" x14ac:dyDescent="0.3">
      <c r="A59" s="61" t="s">
        <v>45</v>
      </c>
      <c r="B59" s="40" t="s">
        <v>1</v>
      </c>
      <c r="C59" s="28" t="s">
        <v>1</v>
      </c>
      <c r="D59" s="990" t="s">
        <v>232</v>
      </c>
      <c r="E59" s="28" t="s">
        <v>1</v>
      </c>
      <c r="F59" s="28" t="s">
        <v>1</v>
      </c>
      <c r="G59" s="990" t="s">
        <v>233</v>
      </c>
      <c r="H59" s="990" t="s">
        <v>234</v>
      </c>
      <c r="I59" s="991" t="s">
        <v>235</v>
      </c>
      <c r="J59" s="49"/>
      <c r="K59" s="49"/>
      <c r="AF59" s="74"/>
    </row>
    <row r="60" spans="1:32" x14ac:dyDescent="0.25">
      <c r="A60" s="63" t="s">
        <v>1</v>
      </c>
      <c r="B60" s="40" t="s">
        <v>1</v>
      </c>
      <c r="C60" s="28" t="s">
        <v>1</v>
      </c>
      <c r="D60" s="19" t="s">
        <v>1</v>
      </c>
      <c r="E60" s="19" t="s">
        <v>1</v>
      </c>
      <c r="F60" s="19" t="s">
        <v>1</v>
      </c>
      <c r="G60" s="19" t="s">
        <v>1</v>
      </c>
      <c r="H60" s="19" t="s">
        <v>1</v>
      </c>
      <c r="I60" s="355" t="s">
        <v>1</v>
      </c>
      <c r="J60" s="49"/>
      <c r="K60" s="49"/>
      <c r="L60" s="1200" t="s">
        <v>272</v>
      </c>
      <c r="M60" s="1203" t="s">
        <v>273</v>
      </c>
      <c r="N60" s="1205" t="s">
        <v>274</v>
      </c>
      <c r="O60" s="1206"/>
      <c r="P60" s="1207"/>
      <c r="Q60" s="1205" t="s">
        <v>275</v>
      </c>
      <c r="R60" s="1206"/>
      <c r="S60" s="1206"/>
      <c r="T60" s="1206"/>
      <c r="U60" s="1207"/>
      <c r="V60" s="1205" t="s">
        <v>276</v>
      </c>
      <c r="W60" s="1206"/>
      <c r="X60" s="1207"/>
      <c r="Y60" s="1200" t="s">
        <v>277</v>
      </c>
      <c r="Z60" s="1200" t="s">
        <v>278</v>
      </c>
      <c r="AA60" s="1200" t="s">
        <v>279</v>
      </c>
      <c r="AB60" s="1200" t="s">
        <v>280</v>
      </c>
      <c r="AF60" s="74"/>
    </row>
    <row r="61" spans="1:32" ht="16.5" thickBot="1" x14ac:dyDescent="0.3">
      <c r="A61" s="64" t="s">
        <v>236</v>
      </c>
      <c r="B61" s="40" t="s">
        <v>1</v>
      </c>
      <c r="C61" s="28" t="s">
        <v>1</v>
      </c>
      <c r="D61" s="353">
        <v>0.27083333333333331</v>
      </c>
      <c r="E61" s="19" t="s">
        <v>1</v>
      </c>
      <c r="F61" s="19" t="s">
        <v>1</v>
      </c>
      <c r="G61" s="353">
        <v>0.29166666666666669</v>
      </c>
      <c r="H61" s="353">
        <v>0.3125</v>
      </c>
      <c r="I61" s="356">
        <v>0.33680555555555558</v>
      </c>
      <c r="J61" s="49"/>
      <c r="K61" s="49"/>
      <c r="L61" s="1208"/>
      <c r="M61" s="1209"/>
      <c r="N61" s="91" t="s">
        <v>281</v>
      </c>
      <c r="O61" s="92" t="s">
        <v>282</v>
      </c>
      <c r="P61" s="93" t="s">
        <v>283</v>
      </c>
      <c r="Q61" s="94" t="s">
        <v>274</v>
      </c>
      <c r="R61" s="92" t="s">
        <v>283</v>
      </c>
      <c r="S61" s="92" t="s">
        <v>281</v>
      </c>
      <c r="T61" s="92" t="s">
        <v>274</v>
      </c>
      <c r="U61" s="93" t="s">
        <v>283</v>
      </c>
      <c r="V61" s="94" t="s">
        <v>276</v>
      </c>
      <c r="W61" s="92" t="s">
        <v>283</v>
      </c>
      <c r="X61" s="93" t="s">
        <v>284</v>
      </c>
      <c r="Y61" s="1208"/>
      <c r="Z61" s="1208"/>
      <c r="AA61" s="1208"/>
      <c r="AB61" s="1208"/>
      <c r="AF61" s="74"/>
    </row>
    <row r="62" spans="1:32" ht="16.5" thickBot="1" x14ac:dyDescent="0.3">
      <c r="A62" s="65" t="s">
        <v>237</v>
      </c>
      <c r="B62" s="40" t="s">
        <v>1</v>
      </c>
      <c r="C62" s="28" t="s">
        <v>1</v>
      </c>
      <c r="D62" s="329">
        <v>0.31944444444444442</v>
      </c>
      <c r="E62" s="19" t="s">
        <v>1</v>
      </c>
      <c r="F62" s="19" t="s">
        <v>1</v>
      </c>
      <c r="G62" s="329">
        <v>0.35416666666666669</v>
      </c>
      <c r="H62" s="28" t="s">
        <v>238</v>
      </c>
      <c r="I62" s="997" t="s">
        <v>239</v>
      </c>
      <c r="J62" s="49"/>
      <c r="K62" s="49"/>
      <c r="L62" s="375" t="s">
        <v>285</v>
      </c>
      <c r="M62" s="96" t="s">
        <v>286</v>
      </c>
      <c r="N62" s="227">
        <v>0.20833333333333334</v>
      </c>
      <c r="O62" s="228">
        <v>0.21388888888888888</v>
      </c>
      <c r="P62" s="229" t="s">
        <v>287</v>
      </c>
      <c r="Q62" s="227">
        <v>0.34375</v>
      </c>
      <c r="R62" s="228" t="s">
        <v>288</v>
      </c>
      <c r="S62" s="228">
        <v>0.37916666666666665</v>
      </c>
      <c r="T62" s="228">
        <v>0.38194444444444442</v>
      </c>
      <c r="U62" s="229" t="s">
        <v>289</v>
      </c>
      <c r="V62" s="227">
        <v>0.5</v>
      </c>
      <c r="W62" s="228" t="s">
        <v>289</v>
      </c>
      <c r="X62" s="229">
        <v>0.51666666666666672</v>
      </c>
      <c r="Y62" s="97">
        <f t="shared" ref="Y62:Y98" si="12">X62-N62</f>
        <v>0.30833333333333335</v>
      </c>
      <c r="Z62" s="97">
        <f t="shared" ref="Z62:Z98" si="13">Y62-AA62</f>
        <v>0.2729166666666667</v>
      </c>
      <c r="AA62" s="98">
        <f t="shared" ref="AA62:AA98" si="14">S62-Q62</f>
        <v>3.5416666666666652E-2</v>
      </c>
      <c r="AB62" s="98"/>
      <c r="AC62" s="74"/>
      <c r="AD62" s="74">
        <f>Q62-O62</f>
        <v>0.12986111111111112</v>
      </c>
      <c r="AE62" s="74">
        <f>V62-T62</f>
        <v>0.11805555555555558</v>
      </c>
      <c r="AF62" s="74"/>
    </row>
    <row r="63" spans="1:32" ht="16.5" thickBot="1" x14ac:dyDescent="0.3">
      <c r="A63" s="64" t="s">
        <v>236</v>
      </c>
      <c r="B63" s="40" t="s">
        <v>1</v>
      </c>
      <c r="C63" s="28" t="s">
        <v>1</v>
      </c>
      <c r="D63" s="353">
        <v>0.375</v>
      </c>
      <c r="E63" s="66" t="s">
        <v>1</v>
      </c>
      <c r="F63" s="19" t="s">
        <v>1</v>
      </c>
      <c r="G63" s="999" t="s">
        <v>240</v>
      </c>
      <c r="H63" s="353" t="s">
        <v>241</v>
      </c>
      <c r="I63" s="9" t="s">
        <v>242</v>
      </c>
      <c r="J63" s="49"/>
      <c r="K63" s="49"/>
      <c r="L63" s="375" t="s">
        <v>290</v>
      </c>
      <c r="M63" s="96" t="s">
        <v>291</v>
      </c>
      <c r="N63" s="227">
        <v>0.21666666666666667</v>
      </c>
      <c r="O63" s="228">
        <v>0.22222222222222221</v>
      </c>
      <c r="P63" s="229" t="s">
        <v>287</v>
      </c>
      <c r="Q63" s="227">
        <v>0.36458333333333331</v>
      </c>
      <c r="R63" s="228" t="s">
        <v>288</v>
      </c>
      <c r="S63" s="228">
        <v>0.41111111111111109</v>
      </c>
      <c r="T63" s="228">
        <v>0.41666666666666669</v>
      </c>
      <c r="U63" s="229" t="s">
        <v>288</v>
      </c>
      <c r="V63" s="227">
        <v>0.50347222222222221</v>
      </c>
      <c r="W63" s="228" t="s">
        <v>292</v>
      </c>
      <c r="X63" s="229">
        <v>0.50347222222222221</v>
      </c>
      <c r="Y63" s="95">
        <f t="shared" si="12"/>
        <v>0.28680555555555554</v>
      </c>
      <c r="Z63" s="95">
        <f t="shared" si="13"/>
        <v>0.24027777777777776</v>
      </c>
      <c r="AA63" s="99">
        <f t="shared" si="14"/>
        <v>4.6527777777777779E-2</v>
      </c>
      <c r="AB63" s="99"/>
      <c r="AC63" s="74"/>
      <c r="AD63" s="74">
        <f>Q63-O63</f>
        <v>0.1423611111111111</v>
      </c>
      <c r="AE63" s="74">
        <f>V63-T63</f>
        <v>8.6805555555555525E-2</v>
      </c>
      <c r="AF63" s="74"/>
    </row>
    <row r="64" spans="1:32" ht="16.5" thickBot="1" x14ac:dyDescent="0.3">
      <c r="A64" s="65" t="s">
        <v>237</v>
      </c>
      <c r="B64" s="67" t="s">
        <v>1</v>
      </c>
      <c r="C64" s="68" t="s">
        <v>1</v>
      </c>
      <c r="D64" s="40" t="s">
        <v>243</v>
      </c>
      <c r="E64" s="9" t="s">
        <v>244</v>
      </c>
      <c r="F64" s="69"/>
      <c r="G64" s="9" t="s">
        <v>97</v>
      </c>
      <c r="H64" s="40" t="s">
        <v>245</v>
      </c>
      <c r="I64" s="70" t="s">
        <v>1</v>
      </c>
      <c r="J64" s="49"/>
      <c r="K64" s="49"/>
      <c r="L64" s="375" t="s">
        <v>293</v>
      </c>
      <c r="M64" s="96" t="s">
        <v>294</v>
      </c>
      <c r="N64" s="227">
        <v>0.22361111111111112</v>
      </c>
      <c r="O64" s="228">
        <v>0.22916666666666666</v>
      </c>
      <c r="P64" s="229" t="s">
        <v>287</v>
      </c>
      <c r="Q64" s="227"/>
      <c r="R64" s="228"/>
      <c r="S64" s="228"/>
      <c r="T64" s="228"/>
      <c r="U64" s="229"/>
      <c r="V64" s="227">
        <v>0.44791666666666669</v>
      </c>
      <c r="W64" s="228" t="s">
        <v>288</v>
      </c>
      <c r="X64" s="229">
        <v>0.47361111111111109</v>
      </c>
      <c r="Y64" s="95">
        <f t="shared" si="12"/>
        <v>0.24999999999999997</v>
      </c>
      <c r="Z64" s="95">
        <f t="shared" si="13"/>
        <v>0.24999999999999997</v>
      </c>
      <c r="AA64" s="99">
        <f t="shared" si="14"/>
        <v>0</v>
      </c>
      <c r="AB64" s="99"/>
      <c r="AC64" s="74"/>
      <c r="AD64" s="74">
        <f>V64-O64</f>
        <v>0.21875000000000003</v>
      </c>
      <c r="AE64" s="74"/>
      <c r="AF64" s="74"/>
    </row>
    <row r="65" spans="1:32" ht="16.5" thickBot="1" x14ac:dyDescent="0.3">
      <c r="A65" s="64" t="s">
        <v>236</v>
      </c>
      <c r="B65" s="9" t="s">
        <v>246</v>
      </c>
      <c r="C65" s="8" t="s">
        <v>10</v>
      </c>
      <c r="D65" s="354" t="s">
        <v>247</v>
      </c>
      <c r="E65" s="17">
        <v>2047005</v>
      </c>
      <c r="F65" s="8" t="s">
        <v>23</v>
      </c>
      <c r="G65" s="71" t="s">
        <v>1</v>
      </c>
      <c r="H65" s="75" t="s">
        <v>248</v>
      </c>
      <c r="I65" s="72" t="s">
        <v>1</v>
      </c>
      <c r="J65" s="49"/>
      <c r="K65" s="49"/>
      <c r="L65" s="375" t="s">
        <v>295</v>
      </c>
      <c r="M65" s="96" t="s">
        <v>296</v>
      </c>
      <c r="N65" s="227">
        <v>0.23402777777777778</v>
      </c>
      <c r="O65" s="228">
        <v>0.23958333333333334</v>
      </c>
      <c r="P65" s="229" t="s">
        <v>287</v>
      </c>
      <c r="Q65" s="227"/>
      <c r="R65" s="228"/>
      <c r="S65" s="228"/>
      <c r="T65" s="228"/>
      <c r="U65" s="229"/>
      <c r="V65" s="227">
        <v>0.45833333333333331</v>
      </c>
      <c r="W65" s="228" t="s">
        <v>288</v>
      </c>
      <c r="X65" s="229">
        <v>0.48402777777777778</v>
      </c>
      <c r="Y65" s="95">
        <f t="shared" si="12"/>
        <v>0.25</v>
      </c>
      <c r="Z65" s="95">
        <f t="shared" si="13"/>
        <v>0.25</v>
      </c>
      <c r="AA65" s="99">
        <f t="shared" si="14"/>
        <v>0</v>
      </c>
      <c r="AB65" s="99"/>
      <c r="AC65" s="74"/>
      <c r="AD65" s="74">
        <f t="shared" ref="AD65:AD69" si="15">V65-O65</f>
        <v>0.21874999999999997</v>
      </c>
      <c r="AE65" s="74"/>
      <c r="AF65" s="74"/>
    </row>
    <row r="66" spans="1:32" ht="16.5" thickBot="1" x14ac:dyDescent="0.3">
      <c r="A66" s="65" t="s">
        <v>237</v>
      </c>
      <c r="B66" s="17">
        <v>2047006</v>
      </c>
      <c r="C66" s="16">
        <v>2047007</v>
      </c>
      <c r="D66" s="40" t="s">
        <v>249</v>
      </c>
      <c r="E66" s="990" t="s">
        <v>250</v>
      </c>
      <c r="F66" s="17">
        <v>2047008</v>
      </c>
      <c r="G66" s="73" t="s">
        <v>1</v>
      </c>
      <c r="H66" s="28" t="s">
        <v>251</v>
      </c>
      <c r="I66" s="72" t="s">
        <v>1</v>
      </c>
      <c r="J66" s="49"/>
      <c r="K66" s="49"/>
      <c r="L66" s="375" t="s">
        <v>297</v>
      </c>
      <c r="M66" s="96" t="s">
        <v>298</v>
      </c>
      <c r="N66" s="227">
        <v>0.23749999999999999</v>
      </c>
      <c r="O66" s="228">
        <v>0.24305555555555555</v>
      </c>
      <c r="P66" s="229" t="s">
        <v>287</v>
      </c>
      <c r="Q66" s="227"/>
      <c r="R66" s="228"/>
      <c r="S66" s="228"/>
      <c r="T66" s="228"/>
      <c r="U66" s="229"/>
      <c r="V66" s="227">
        <v>0.40972222222222221</v>
      </c>
      <c r="W66" s="228" t="s">
        <v>292</v>
      </c>
      <c r="X66" s="229">
        <v>0.40972222222222221</v>
      </c>
      <c r="Y66" s="95">
        <f t="shared" si="12"/>
        <v>0.17222222222222222</v>
      </c>
      <c r="Z66" s="95">
        <f t="shared" si="13"/>
        <v>0.17222222222222222</v>
      </c>
      <c r="AA66" s="99">
        <f t="shared" si="14"/>
        <v>0</v>
      </c>
      <c r="AB66" s="99"/>
      <c r="AC66" s="74"/>
      <c r="AD66" s="74">
        <f t="shared" si="15"/>
        <v>0.16666666666666666</v>
      </c>
      <c r="AE66" s="74"/>
      <c r="AF66" s="74"/>
    </row>
    <row r="67" spans="1:32" x14ac:dyDescent="0.25">
      <c r="A67" s="64" t="s">
        <v>236</v>
      </c>
      <c r="B67" s="993" t="s">
        <v>252</v>
      </c>
      <c r="C67" s="994" t="s">
        <v>253</v>
      </c>
      <c r="D67" s="75" t="s">
        <v>254</v>
      </c>
      <c r="E67" s="75" t="s">
        <v>255</v>
      </c>
      <c r="F67" s="994" t="s">
        <v>256</v>
      </c>
      <c r="G67" s="75" t="s">
        <v>1</v>
      </c>
      <c r="H67" s="353">
        <v>0.6875</v>
      </c>
      <c r="I67" s="72" t="s">
        <v>1</v>
      </c>
      <c r="J67" s="49"/>
      <c r="K67" s="49"/>
      <c r="L67" s="375" t="s">
        <v>299</v>
      </c>
      <c r="M67" s="96" t="s">
        <v>300</v>
      </c>
      <c r="N67" s="227">
        <v>0.23749999999999999</v>
      </c>
      <c r="O67" s="228">
        <v>0.24305555555555555</v>
      </c>
      <c r="P67" s="229" t="s">
        <v>287</v>
      </c>
      <c r="Q67" s="227"/>
      <c r="R67" s="228"/>
      <c r="S67" s="228"/>
      <c r="T67" s="228"/>
      <c r="U67" s="229"/>
      <c r="V67" s="227">
        <v>0.4375</v>
      </c>
      <c r="W67" s="228" t="s">
        <v>289</v>
      </c>
      <c r="X67" s="229">
        <v>0.45416666666666666</v>
      </c>
      <c r="Y67" s="95">
        <f t="shared" si="12"/>
        <v>0.21666666666666667</v>
      </c>
      <c r="Z67" s="95">
        <f t="shared" si="13"/>
        <v>0.21666666666666667</v>
      </c>
      <c r="AA67" s="99">
        <f t="shared" si="14"/>
        <v>0</v>
      </c>
      <c r="AB67" s="99"/>
      <c r="AC67" s="74"/>
      <c r="AD67" s="74">
        <f t="shared" si="15"/>
        <v>0.19444444444444445</v>
      </c>
      <c r="AE67" s="74"/>
      <c r="AF67" s="74"/>
    </row>
    <row r="68" spans="1:32" x14ac:dyDescent="0.25">
      <c r="A68" s="65" t="s">
        <v>237</v>
      </c>
      <c r="B68" s="340">
        <v>0.64583333333333337</v>
      </c>
      <c r="C68" s="329">
        <v>0.66666666666666663</v>
      </c>
      <c r="D68" s="28" t="s">
        <v>257</v>
      </c>
      <c r="E68" s="329">
        <v>0.70833333333333337</v>
      </c>
      <c r="F68" s="329">
        <v>0.72916666666666663</v>
      </c>
      <c r="G68" s="75" t="s">
        <v>1</v>
      </c>
      <c r="H68" s="28" t="s">
        <v>258</v>
      </c>
      <c r="I68" s="72" t="s">
        <v>1</v>
      </c>
      <c r="J68" s="49"/>
      <c r="K68" s="49"/>
      <c r="L68" s="375" t="s">
        <v>301</v>
      </c>
      <c r="M68" s="96" t="s">
        <v>302</v>
      </c>
      <c r="N68" s="227">
        <v>0.24444444444444444</v>
      </c>
      <c r="O68" s="228">
        <v>0.25</v>
      </c>
      <c r="P68" s="229" t="s">
        <v>287</v>
      </c>
      <c r="Q68" s="227"/>
      <c r="R68" s="228"/>
      <c r="S68" s="228"/>
      <c r="T68" s="228"/>
      <c r="U68" s="229"/>
      <c r="V68" s="227">
        <v>0.47916666666666669</v>
      </c>
      <c r="W68" s="228" t="s">
        <v>288</v>
      </c>
      <c r="X68" s="229">
        <v>0.50486111111111109</v>
      </c>
      <c r="Y68" s="95">
        <f t="shared" si="12"/>
        <v>0.26041666666666663</v>
      </c>
      <c r="Z68" s="95">
        <f t="shared" si="13"/>
        <v>0.26041666666666663</v>
      </c>
      <c r="AA68" s="99">
        <f t="shared" si="14"/>
        <v>0</v>
      </c>
      <c r="AB68" s="99"/>
      <c r="AC68" s="74"/>
      <c r="AD68" s="74">
        <f t="shared" si="15"/>
        <v>0.22916666666666669</v>
      </c>
      <c r="AE68" s="74"/>
      <c r="AF68" s="74"/>
    </row>
    <row r="69" spans="1:32" ht="16.5" thickBot="1" x14ac:dyDescent="0.3">
      <c r="A69" s="64" t="s">
        <v>236</v>
      </c>
      <c r="B69" s="349">
        <v>0.71875</v>
      </c>
      <c r="C69" s="353">
        <v>0.75</v>
      </c>
      <c r="D69" s="353">
        <v>0.77083333333333337</v>
      </c>
      <c r="E69" s="1000" t="s">
        <v>195</v>
      </c>
      <c r="F69" s="1000" t="s">
        <v>172</v>
      </c>
      <c r="G69" s="75" t="s">
        <v>1</v>
      </c>
      <c r="H69" s="353">
        <v>0.8125</v>
      </c>
      <c r="I69" s="72" t="s">
        <v>1</v>
      </c>
      <c r="J69" s="49"/>
      <c r="K69" s="49"/>
      <c r="L69" s="375" t="s">
        <v>303</v>
      </c>
      <c r="M69" s="96" t="s">
        <v>304</v>
      </c>
      <c r="N69" s="227">
        <v>0.24791666666666667</v>
      </c>
      <c r="O69" s="228">
        <v>0.25347222222222221</v>
      </c>
      <c r="P69" s="229" t="s">
        <v>287</v>
      </c>
      <c r="Q69" s="227"/>
      <c r="R69" s="228"/>
      <c r="S69" s="228"/>
      <c r="T69" s="228"/>
      <c r="U69" s="229"/>
      <c r="V69" s="227">
        <v>0.44097222222222221</v>
      </c>
      <c r="W69" s="228" t="s">
        <v>292</v>
      </c>
      <c r="X69" s="229">
        <v>0.44097222222222221</v>
      </c>
      <c r="Y69" s="95">
        <f t="shared" si="12"/>
        <v>0.19305555555555554</v>
      </c>
      <c r="Z69" s="95">
        <f t="shared" si="13"/>
        <v>0.19305555555555554</v>
      </c>
      <c r="AA69" s="99">
        <f t="shared" si="14"/>
        <v>0</v>
      </c>
      <c r="AB69" s="99"/>
      <c r="AC69" s="74"/>
      <c r="AD69" s="74">
        <f t="shared" si="15"/>
        <v>0.1875</v>
      </c>
      <c r="AE69" s="74"/>
      <c r="AF69" s="74"/>
    </row>
    <row r="70" spans="1:32" ht="16.5" thickBot="1" x14ac:dyDescent="0.3">
      <c r="A70" s="65" t="s">
        <v>237</v>
      </c>
      <c r="B70" s="40" t="s">
        <v>259</v>
      </c>
      <c r="C70" s="76" t="s">
        <v>260</v>
      </c>
      <c r="D70" s="995" t="s">
        <v>261</v>
      </c>
      <c r="E70" s="9" t="s">
        <v>262</v>
      </c>
      <c r="F70" s="8" t="s">
        <v>263</v>
      </c>
      <c r="G70" s="75" t="s">
        <v>1</v>
      </c>
      <c r="H70" s="28" t="s">
        <v>264</v>
      </c>
      <c r="I70" s="72" t="s">
        <v>1</v>
      </c>
      <c r="J70" s="49"/>
      <c r="K70" s="49"/>
      <c r="L70" s="375" t="s">
        <v>305</v>
      </c>
      <c r="M70" s="96" t="s">
        <v>306</v>
      </c>
      <c r="N70" s="227">
        <v>0.25486111111111109</v>
      </c>
      <c r="O70" s="228">
        <v>0.26041666666666669</v>
      </c>
      <c r="P70" s="229" t="s">
        <v>287</v>
      </c>
      <c r="Q70" s="227">
        <v>0.35416666666666669</v>
      </c>
      <c r="R70" s="228" t="s">
        <v>288</v>
      </c>
      <c r="S70" s="228">
        <v>0.39027777777777778</v>
      </c>
      <c r="T70" s="228">
        <v>0.39583333333333331</v>
      </c>
      <c r="U70" s="229" t="s">
        <v>288</v>
      </c>
      <c r="V70" s="227">
        <v>0.55555555555555558</v>
      </c>
      <c r="W70" s="228" t="s">
        <v>292</v>
      </c>
      <c r="X70" s="229">
        <v>0.55555555555555558</v>
      </c>
      <c r="Y70" s="95">
        <f t="shared" si="12"/>
        <v>0.30069444444444449</v>
      </c>
      <c r="Z70" s="95">
        <f t="shared" si="13"/>
        <v>0.26458333333333339</v>
      </c>
      <c r="AA70" s="99">
        <f t="shared" si="14"/>
        <v>3.6111111111111094E-2</v>
      </c>
      <c r="AB70" s="99"/>
      <c r="AC70" s="74"/>
      <c r="AD70" s="74">
        <f>Q70-O70</f>
        <v>9.375E-2</v>
      </c>
      <c r="AE70" s="74">
        <f>V70-T70</f>
        <v>0.15972222222222227</v>
      </c>
      <c r="AF70" s="74"/>
    </row>
    <row r="71" spans="1:32" ht="16.5" thickBot="1" x14ac:dyDescent="0.3">
      <c r="A71" s="64" t="s">
        <v>236</v>
      </c>
      <c r="B71" s="349">
        <v>0.85416666666666663</v>
      </c>
      <c r="C71" s="1001" t="s">
        <v>265</v>
      </c>
      <c r="D71" s="9" t="s">
        <v>266</v>
      </c>
      <c r="E71" s="19" t="s">
        <v>1</v>
      </c>
      <c r="F71" s="19" t="s">
        <v>1</v>
      </c>
      <c r="G71" s="75" t="s">
        <v>1</v>
      </c>
      <c r="H71" s="353">
        <v>0.89583333333333337</v>
      </c>
      <c r="I71" s="72" t="s">
        <v>1</v>
      </c>
      <c r="J71" s="49"/>
      <c r="K71" s="49"/>
      <c r="L71" s="375" t="s">
        <v>307</v>
      </c>
      <c r="M71" s="96" t="s">
        <v>308</v>
      </c>
      <c r="N71" s="227">
        <v>0.25833333333333336</v>
      </c>
      <c r="O71" s="228">
        <v>0.2638888888888889</v>
      </c>
      <c r="P71" s="229" t="s">
        <v>287</v>
      </c>
      <c r="Q71" s="227">
        <v>0.44097222222222221</v>
      </c>
      <c r="R71" s="228" t="s">
        <v>292</v>
      </c>
      <c r="S71" s="228">
        <v>0.48472222222222217</v>
      </c>
      <c r="T71" s="228">
        <v>0.51041666666666663</v>
      </c>
      <c r="U71" s="229" t="s">
        <v>288</v>
      </c>
      <c r="V71" s="227">
        <v>0.60069444444444442</v>
      </c>
      <c r="W71" s="228" t="s">
        <v>292</v>
      </c>
      <c r="X71" s="229">
        <v>0.60069444444444442</v>
      </c>
      <c r="Y71" s="95">
        <f t="shared" si="12"/>
        <v>0.34236111111111106</v>
      </c>
      <c r="Z71" s="95">
        <f t="shared" si="13"/>
        <v>0.2986111111111111</v>
      </c>
      <c r="AA71" s="99">
        <f t="shared" si="14"/>
        <v>4.3749999999999956E-2</v>
      </c>
      <c r="AB71" s="99"/>
      <c r="AC71" s="74"/>
      <c r="AD71" s="74">
        <f>Q71-O71</f>
        <v>0.17708333333333331</v>
      </c>
      <c r="AE71" s="74">
        <f>V71-T71</f>
        <v>9.027777777777779E-2</v>
      </c>
      <c r="AF71" s="74"/>
    </row>
    <row r="72" spans="1:32" ht="16.5" thickBot="1" x14ac:dyDescent="0.3">
      <c r="A72" s="65" t="s">
        <v>237</v>
      </c>
      <c r="B72" s="340" t="s">
        <v>267</v>
      </c>
      <c r="C72" s="9" t="s">
        <v>268</v>
      </c>
      <c r="D72" s="69"/>
      <c r="E72" s="19" t="s">
        <v>1</v>
      </c>
      <c r="F72" s="19" t="s">
        <v>1</v>
      </c>
      <c r="G72" s="69"/>
      <c r="H72" s="329">
        <v>0.9375</v>
      </c>
      <c r="I72" s="72" t="s">
        <v>1</v>
      </c>
      <c r="J72" s="49"/>
      <c r="K72" s="49"/>
      <c r="L72" s="375" t="s">
        <v>309</v>
      </c>
      <c r="M72" s="96" t="s">
        <v>310</v>
      </c>
      <c r="N72" s="227">
        <v>0.26527777777777778</v>
      </c>
      <c r="O72" s="228">
        <v>0.27083333333333331</v>
      </c>
      <c r="P72" s="229" t="s">
        <v>287</v>
      </c>
      <c r="Q72" s="227"/>
      <c r="R72" s="228"/>
      <c r="S72" s="228"/>
      <c r="T72" s="228"/>
      <c r="U72" s="229"/>
      <c r="V72" s="227">
        <v>0.44791666666666669</v>
      </c>
      <c r="W72" s="228" t="s">
        <v>292</v>
      </c>
      <c r="X72" s="229">
        <v>0.44791666666666669</v>
      </c>
      <c r="Y72" s="95">
        <f t="shared" si="12"/>
        <v>0.18263888888888891</v>
      </c>
      <c r="Z72" s="95">
        <f t="shared" si="13"/>
        <v>0.18263888888888891</v>
      </c>
      <c r="AA72" s="99">
        <f t="shared" si="14"/>
        <v>0</v>
      </c>
      <c r="AB72" s="99"/>
      <c r="AC72" s="74"/>
      <c r="AD72" s="74">
        <f>V72-O72</f>
        <v>0.17708333333333337</v>
      </c>
      <c r="AE72" s="74"/>
      <c r="AF72" s="74"/>
    </row>
    <row r="73" spans="1:32" x14ac:dyDescent="0.25">
      <c r="A73" s="64" t="s">
        <v>236</v>
      </c>
      <c r="B73" s="349">
        <v>0.9375</v>
      </c>
      <c r="C73" s="77" t="s">
        <v>1</v>
      </c>
      <c r="D73" s="77" t="s">
        <v>1</v>
      </c>
      <c r="E73" s="78" t="s">
        <v>1</v>
      </c>
      <c r="F73" s="78" t="s">
        <v>1</v>
      </c>
      <c r="G73" s="77" t="s">
        <v>1</v>
      </c>
      <c r="H73" s="353">
        <v>0.97916666666666663</v>
      </c>
      <c r="I73" s="72" t="s">
        <v>1</v>
      </c>
      <c r="J73" s="49"/>
      <c r="K73" s="49"/>
      <c r="L73" s="375" t="s">
        <v>311</v>
      </c>
      <c r="M73" s="96" t="s">
        <v>312</v>
      </c>
      <c r="N73" s="227">
        <v>0.2722222222222222</v>
      </c>
      <c r="O73" s="228">
        <v>0.27777777777777779</v>
      </c>
      <c r="P73" s="229" t="s">
        <v>287</v>
      </c>
      <c r="Q73" s="227">
        <v>0.38541666666666669</v>
      </c>
      <c r="R73" s="228" t="s">
        <v>288</v>
      </c>
      <c r="S73" s="231">
        <v>0.43194444444444435</v>
      </c>
      <c r="T73" s="231">
        <v>0.4375</v>
      </c>
      <c r="U73" s="232" t="s">
        <v>288</v>
      </c>
      <c r="V73" s="230">
        <v>0.58333333333333337</v>
      </c>
      <c r="W73" s="231" t="s">
        <v>288</v>
      </c>
      <c r="X73" s="232">
        <v>0.60902777777777772</v>
      </c>
      <c r="Y73" s="95">
        <f t="shared" si="12"/>
        <v>0.33680555555555552</v>
      </c>
      <c r="Z73" s="95">
        <f t="shared" si="13"/>
        <v>0.29027777777777786</v>
      </c>
      <c r="AA73" s="99">
        <f t="shared" si="14"/>
        <v>4.6527777777777668E-2</v>
      </c>
      <c r="AB73" s="99"/>
      <c r="AC73" s="74"/>
      <c r="AD73" s="74">
        <f>Q73-O73</f>
        <v>0.1076388888888889</v>
      </c>
      <c r="AE73" s="74">
        <f>V73-T73</f>
        <v>0.14583333333333337</v>
      </c>
      <c r="AF73" s="74"/>
    </row>
    <row r="74" spans="1:32" x14ac:dyDescent="0.25">
      <c r="A74" s="65" t="s">
        <v>237</v>
      </c>
      <c r="B74" s="340">
        <v>0.97916666666666663</v>
      </c>
      <c r="C74" s="78" t="s">
        <v>1</v>
      </c>
      <c r="D74" s="78" t="s">
        <v>1</v>
      </c>
      <c r="E74" s="78" t="s">
        <v>1</v>
      </c>
      <c r="F74" s="78" t="s">
        <v>1</v>
      </c>
      <c r="G74" s="50" t="s">
        <v>1</v>
      </c>
      <c r="H74" s="996" t="s">
        <v>269</v>
      </c>
      <c r="I74" s="72" t="s">
        <v>1</v>
      </c>
      <c r="J74" s="49"/>
      <c r="K74" s="49"/>
      <c r="L74" s="375" t="s">
        <v>313</v>
      </c>
      <c r="M74" s="96" t="s">
        <v>314</v>
      </c>
      <c r="N74" s="227">
        <v>0.27569444444444446</v>
      </c>
      <c r="O74" s="228">
        <v>0.28125</v>
      </c>
      <c r="P74" s="229" t="s">
        <v>287</v>
      </c>
      <c r="Q74" s="227">
        <v>0.39583333333333331</v>
      </c>
      <c r="R74" s="228" t="s">
        <v>292</v>
      </c>
      <c r="S74" s="228">
        <v>0.44305555555555548</v>
      </c>
      <c r="T74" s="228">
        <v>0.46875</v>
      </c>
      <c r="U74" s="229" t="s">
        <v>288</v>
      </c>
      <c r="V74" s="227">
        <v>0.61458333333333337</v>
      </c>
      <c r="W74" s="228" t="s">
        <v>288</v>
      </c>
      <c r="X74" s="229">
        <v>0.64027777777777772</v>
      </c>
      <c r="Y74" s="95">
        <f t="shared" si="12"/>
        <v>0.36458333333333326</v>
      </c>
      <c r="Z74" s="95">
        <f t="shared" si="13"/>
        <v>0.31736111111111109</v>
      </c>
      <c r="AA74" s="99">
        <f t="shared" si="14"/>
        <v>4.7222222222222165E-2</v>
      </c>
      <c r="AB74" s="99" t="s">
        <v>280</v>
      </c>
      <c r="AD74" s="74">
        <f>Q74-O74</f>
        <v>0.11458333333333331</v>
      </c>
      <c r="AE74" s="74">
        <f>V74-T74</f>
        <v>0.14583333333333337</v>
      </c>
      <c r="AF74" s="74"/>
    </row>
    <row r="75" spans="1:32" x14ac:dyDescent="0.25">
      <c r="A75" s="64" t="s">
        <v>236</v>
      </c>
      <c r="B75" s="1002" t="s">
        <v>269</v>
      </c>
      <c r="C75" s="78" t="s">
        <v>1</v>
      </c>
      <c r="D75" s="78" t="s">
        <v>1</v>
      </c>
      <c r="E75" s="78" t="s">
        <v>1</v>
      </c>
      <c r="F75" s="78" t="s">
        <v>1</v>
      </c>
      <c r="G75" s="75" t="s">
        <v>1</v>
      </c>
      <c r="H75" s="75" t="s">
        <v>1</v>
      </c>
      <c r="I75" s="72" t="s">
        <v>1</v>
      </c>
      <c r="J75" s="49"/>
      <c r="K75" s="49"/>
      <c r="L75" s="375" t="s">
        <v>315</v>
      </c>
      <c r="M75" s="96" t="s">
        <v>316</v>
      </c>
      <c r="N75" s="227">
        <v>0.27916666666666667</v>
      </c>
      <c r="O75" s="228">
        <v>0.28472222222222221</v>
      </c>
      <c r="P75" s="229" t="s">
        <v>287</v>
      </c>
      <c r="Q75" s="227">
        <v>0.40972222222222221</v>
      </c>
      <c r="R75" s="228" t="s">
        <v>292</v>
      </c>
      <c r="S75" s="228">
        <v>0.45347222222222222</v>
      </c>
      <c r="T75" s="228">
        <v>0.47916666666666669</v>
      </c>
      <c r="U75" s="229" t="s">
        <v>317</v>
      </c>
      <c r="V75" s="227">
        <v>0.625</v>
      </c>
      <c r="W75" s="228" t="s">
        <v>288</v>
      </c>
      <c r="X75" s="229">
        <v>0.65069444444444446</v>
      </c>
      <c r="Y75" s="95">
        <f t="shared" si="12"/>
        <v>0.37152777777777779</v>
      </c>
      <c r="Z75" s="95">
        <f t="shared" si="13"/>
        <v>0.32777777777777778</v>
      </c>
      <c r="AA75" s="99">
        <f t="shared" si="14"/>
        <v>4.3750000000000011E-2</v>
      </c>
      <c r="AB75" s="99"/>
      <c r="AD75" s="74">
        <f>Q75-O75</f>
        <v>0.125</v>
      </c>
      <c r="AE75" s="74">
        <f>V75-T75</f>
        <v>0.14583333333333331</v>
      </c>
      <c r="AF75" s="74"/>
    </row>
    <row r="76" spans="1:32" x14ac:dyDescent="0.25">
      <c r="A76" s="65" t="s">
        <v>237</v>
      </c>
      <c r="B76" s="350" t="s">
        <v>1</v>
      </c>
      <c r="C76" s="79" t="s">
        <v>1</v>
      </c>
      <c r="D76" s="78" t="s">
        <v>1</v>
      </c>
      <c r="E76" s="78" t="s">
        <v>1</v>
      </c>
      <c r="F76" s="78" t="s">
        <v>1</v>
      </c>
      <c r="G76" s="32" t="s">
        <v>1</v>
      </c>
      <c r="H76" s="32" t="s">
        <v>1</v>
      </c>
      <c r="I76" s="72" t="s">
        <v>1</v>
      </c>
      <c r="J76" s="49"/>
      <c r="K76" s="49"/>
      <c r="L76" s="375" t="s">
        <v>318</v>
      </c>
      <c r="M76" s="96" t="s">
        <v>319</v>
      </c>
      <c r="N76" s="227">
        <v>0.28958333333333336</v>
      </c>
      <c r="O76" s="228">
        <v>0.2951388888888889</v>
      </c>
      <c r="P76" s="229" t="s">
        <v>287</v>
      </c>
      <c r="Q76" s="227">
        <v>0.40625</v>
      </c>
      <c r="R76" s="228" t="s">
        <v>288</v>
      </c>
      <c r="S76" s="228">
        <v>0.45277777777777778</v>
      </c>
      <c r="T76" s="228">
        <v>0.45833333333333331</v>
      </c>
      <c r="U76" s="229" t="s">
        <v>288</v>
      </c>
      <c r="V76" s="227">
        <v>0.60416666666666663</v>
      </c>
      <c r="W76" s="228" t="s">
        <v>288</v>
      </c>
      <c r="X76" s="229">
        <v>0.62986111111111109</v>
      </c>
      <c r="Y76" s="95">
        <f t="shared" si="12"/>
        <v>0.34027777777777773</v>
      </c>
      <c r="Z76" s="95">
        <f t="shared" si="13"/>
        <v>0.29374999999999996</v>
      </c>
      <c r="AA76" s="99">
        <f t="shared" si="14"/>
        <v>4.6527777777777779E-2</v>
      </c>
      <c r="AB76" s="99"/>
      <c r="AD76" s="74">
        <f>Q76-O76</f>
        <v>0.1111111111111111</v>
      </c>
      <c r="AE76" s="74">
        <f>V76-T76</f>
        <v>0.14583333333333331</v>
      </c>
      <c r="AF76" s="74"/>
    </row>
    <row r="77" spans="1:32" x14ac:dyDescent="0.25">
      <c r="A77" s="64" t="s">
        <v>236</v>
      </c>
      <c r="B77" s="73" t="s">
        <v>1</v>
      </c>
      <c r="C77" s="75" t="s">
        <v>1</v>
      </c>
      <c r="D77" s="75" t="s">
        <v>1</v>
      </c>
      <c r="E77" s="75" t="s">
        <v>1</v>
      </c>
      <c r="F77" s="75" t="s">
        <v>1</v>
      </c>
      <c r="G77" s="19" t="s">
        <v>1</v>
      </c>
      <c r="H77" s="19" t="s">
        <v>1</v>
      </c>
      <c r="I77" s="72" t="s">
        <v>1</v>
      </c>
      <c r="J77" s="49"/>
      <c r="K77" s="49"/>
      <c r="L77" s="375" t="s">
        <v>320</v>
      </c>
      <c r="M77" s="96" t="s">
        <v>321</v>
      </c>
      <c r="N77" s="230">
        <v>0.28958333333333336</v>
      </c>
      <c r="O77" s="231">
        <v>0.2951388888888889</v>
      </c>
      <c r="P77" s="232" t="s">
        <v>287</v>
      </c>
      <c r="Q77" s="230">
        <v>0.39583333333333331</v>
      </c>
      <c r="R77" s="231" t="s">
        <v>288</v>
      </c>
      <c r="S77" s="228">
        <v>0.44236111111111109</v>
      </c>
      <c r="T77" s="228">
        <v>0.44791666666666669</v>
      </c>
      <c r="U77" s="229" t="s">
        <v>288</v>
      </c>
      <c r="V77" s="227">
        <v>0.59375</v>
      </c>
      <c r="W77" s="228" t="s">
        <v>288</v>
      </c>
      <c r="X77" s="229">
        <v>0.61944444444444446</v>
      </c>
      <c r="Y77" s="100">
        <f t="shared" si="12"/>
        <v>0.3298611111111111</v>
      </c>
      <c r="Z77" s="100">
        <f t="shared" si="13"/>
        <v>0.28333333333333333</v>
      </c>
      <c r="AA77" s="101">
        <f t="shared" si="14"/>
        <v>4.6527777777777779E-2</v>
      </c>
      <c r="AB77" s="101"/>
      <c r="AC77" s="74"/>
      <c r="AD77" s="74">
        <f>Q77-O77</f>
        <v>0.10069444444444442</v>
      </c>
      <c r="AE77" s="74">
        <f>V77-T77</f>
        <v>0.14583333333333331</v>
      </c>
      <c r="AF77" s="74"/>
    </row>
    <row r="78" spans="1:32" ht="16.5" thickBot="1" x14ac:dyDescent="0.3">
      <c r="A78" s="80" t="s">
        <v>1</v>
      </c>
      <c r="B78" s="351" t="s">
        <v>1</v>
      </c>
      <c r="C78" s="32" t="s">
        <v>1</v>
      </c>
      <c r="D78" s="78" t="s">
        <v>1</v>
      </c>
      <c r="E78" s="78" t="s">
        <v>1</v>
      </c>
      <c r="F78" s="78" t="s">
        <v>1</v>
      </c>
      <c r="G78" s="22" t="s">
        <v>1</v>
      </c>
      <c r="H78" s="22" t="s">
        <v>1</v>
      </c>
      <c r="I78" s="81" t="s">
        <v>1</v>
      </c>
      <c r="J78" s="49"/>
      <c r="K78" s="49"/>
      <c r="L78" s="373" t="s">
        <v>322</v>
      </c>
      <c r="M78" s="102" t="s">
        <v>323</v>
      </c>
      <c r="N78" s="236">
        <v>0.29652777777777778</v>
      </c>
      <c r="O78" s="237">
        <v>0.30208333333333331</v>
      </c>
      <c r="P78" s="238" t="s">
        <v>287</v>
      </c>
      <c r="Q78" s="236"/>
      <c r="R78" s="237"/>
      <c r="S78" s="237"/>
      <c r="T78" s="237"/>
      <c r="U78" s="238"/>
      <c r="V78" s="236">
        <v>0.46875</v>
      </c>
      <c r="W78" s="237" t="s">
        <v>288</v>
      </c>
      <c r="X78" s="238">
        <v>0.49444444444444446</v>
      </c>
      <c r="Y78" s="103">
        <f t="shared" si="12"/>
        <v>0.19791666666666669</v>
      </c>
      <c r="Z78" s="103">
        <f t="shared" si="13"/>
        <v>0.19791666666666669</v>
      </c>
      <c r="AA78" s="104">
        <f t="shared" si="14"/>
        <v>0</v>
      </c>
      <c r="AB78" s="104"/>
      <c r="AC78" s="74"/>
      <c r="AD78" s="74">
        <f>V78-O78</f>
        <v>0.16666666666666669</v>
      </c>
      <c r="AE78" s="74"/>
      <c r="AF78" s="74"/>
    </row>
    <row r="79" spans="1:32" ht="16.5" thickBot="1" x14ac:dyDescent="0.3">
      <c r="A79" s="82" t="s">
        <v>45</v>
      </c>
      <c r="B79" s="352" t="s">
        <v>270</v>
      </c>
      <c r="C79" s="52" t="s">
        <v>1</v>
      </c>
      <c r="D79" s="52" t="s">
        <v>1</v>
      </c>
      <c r="E79" s="52" t="s">
        <v>1</v>
      </c>
      <c r="F79" s="52" t="s">
        <v>1</v>
      </c>
      <c r="G79" s="52" t="s">
        <v>1</v>
      </c>
      <c r="H79" s="52" t="s">
        <v>271</v>
      </c>
      <c r="I79" s="83" t="s">
        <v>1</v>
      </c>
      <c r="J79" s="49"/>
      <c r="K79" s="49"/>
      <c r="L79" s="378" t="s">
        <v>324</v>
      </c>
      <c r="M79" s="105" t="s">
        <v>325</v>
      </c>
      <c r="N79" s="241">
        <v>0.50347222222222221</v>
      </c>
      <c r="O79" s="242">
        <v>0.53125</v>
      </c>
      <c r="P79" s="357" t="s">
        <v>288</v>
      </c>
      <c r="Q79" s="241">
        <v>0.67708333333333337</v>
      </c>
      <c r="R79" s="242" t="s">
        <v>288</v>
      </c>
      <c r="S79" s="242">
        <v>0.73402777777777783</v>
      </c>
      <c r="T79" s="242">
        <v>0.73958333333333337</v>
      </c>
      <c r="U79" s="243" t="s">
        <v>288</v>
      </c>
      <c r="V79" s="241">
        <v>0.86458333333333337</v>
      </c>
      <c r="W79" s="242" t="s">
        <v>317</v>
      </c>
      <c r="X79" s="243">
        <v>0.89027777777777772</v>
      </c>
      <c r="Y79" s="106">
        <f t="shared" si="12"/>
        <v>0.38680555555555551</v>
      </c>
      <c r="Z79" s="106">
        <f t="shared" si="13"/>
        <v>0.32986111111111105</v>
      </c>
      <c r="AA79" s="107">
        <f t="shared" si="14"/>
        <v>5.6944444444444464E-2</v>
      </c>
      <c r="AB79" s="107"/>
      <c r="AC79" s="74"/>
      <c r="AD79" s="74">
        <f t="shared" ref="AD79:AD88" si="16">Q79-O79</f>
        <v>0.14583333333333337</v>
      </c>
      <c r="AE79" s="74">
        <f t="shared" ref="AE79:AE88" si="17">V79-T79</f>
        <v>0.125</v>
      </c>
      <c r="AF79" s="74"/>
    </row>
    <row r="80" spans="1:32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376" t="s">
        <v>326</v>
      </c>
      <c r="M80" s="108" t="s">
        <v>327</v>
      </c>
      <c r="N80" s="227">
        <v>0.51527777777777772</v>
      </c>
      <c r="O80" s="228">
        <v>0.51736111111111116</v>
      </c>
      <c r="P80" s="235" t="s">
        <v>288</v>
      </c>
      <c r="Q80" s="227">
        <v>0.6875</v>
      </c>
      <c r="R80" s="228" t="s">
        <v>288</v>
      </c>
      <c r="S80" s="228">
        <v>0.74444444444444446</v>
      </c>
      <c r="T80" s="228">
        <v>0.75</v>
      </c>
      <c r="U80" s="229" t="s">
        <v>288</v>
      </c>
      <c r="V80" s="227">
        <v>0.875</v>
      </c>
      <c r="W80" s="228" t="s">
        <v>317</v>
      </c>
      <c r="X80" s="229">
        <v>0.90069444444444446</v>
      </c>
      <c r="Y80" s="95">
        <f t="shared" si="12"/>
        <v>0.38541666666666674</v>
      </c>
      <c r="Z80" s="95">
        <f t="shared" si="13"/>
        <v>0.32847222222222228</v>
      </c>
      <c r="AA80" s="99">
        <f t="shared" si="14"/>
        <v>5.6944444444444464E-2</v>
      </c>
      <c r="AB80" s="99"/>
      <c r="AC80" s="74"/>
      <c r="AD80" s="74">
        <f t="shared" si="16"/>
        <v>0.17013888888888884</v>
      </c>
      <c r="AE80" s="74">
        <f t="shared" si="17"/>
        <v>0.125</v>
      </c>
      <c r="AF80" s="74"/>
    </row>
    <row r="81" spans="1:32" x14ac:dyDescent="0.25">
      <c r="A81" s="49"/>
      <c r="B81" s="1016">
        <v>1.0347222222222223</v>
      </c>
      <c r="C81" s="1017">
        <v>0.88541666666666663</v>
      </c>
      <c r="D81" s="1017">
        <v>0.84027777777777779</v>
      </c>
      <c r="E81" s="1017">
        <v>0.80555555555555558</v>
      </c>
      <c r="F81" s="1017">
        <v>0.81597222222222221</v>
      </c>
      <c r="G81" s="1017">
        <v>0.44097222222222221</v>
      </c>
      <c r="H81" s="1016">
        <v>1.03125</v>
      </c>
      <c r="I81" s="1017">
        <v>0.4201388888888889</v>
      </c>
      <c r="J81" s="49"/>
      <c r="K81" s="49"/>
      <c r="L81" s="376" t="s">
        <v>328</v>
      </c>
      <c r="M81" s="108" t="s">
        <v>329</v>
      </c>
      <c r="N81" s="227">
        <v>0.52430555555555558</v>
      </c>
      <c r="O81" s="228">
        <v>0.55208333333333337</v>
      </c>
      <c r="P81" s="235" t="s">
        <v>287</v>
      </c>
      <c r="Q81" s="227">
        <v>0.69791666666666663</v>
      </c>
      <c r="R81" s="228" t="s">
        <v>288</v>
      </c>
      <c r="S81" s="228">
        <v>0.75486111111111109</v>
      </c>
      <c r="T81" s="228">
        <v>0.76041666666666663</v>
      </c>
      <c r="U81" s="229" t="s">
        <v>288</v>
      </c>
      <c r="V81" s="227">
        <v>0.88541666666666663</v>
      </c>
      <c r="W81" s="228" t="s">
        <v>317</v>
      </c>
      <c r="X81" s="229">
        <v>0.91111111111111109</v>
      </c>
      <c r="Y81" s="95">
        <f t="shared" si="12"/>
        <v>0.38680555555555551</v>
      </c>
      <c r="Z81" s="95">
        <f t="shared" si="13"/>
        <v>0.32986111111111105</v>
      </c>
      <c r="AA81" s="99">
        <f t="shared" si="14"/>
        <v>5.6944444444444464E-2</v>
      </c>
      <c r="AB81" s="99"/>
      <c r="AC81" s="74"/>
      <c r="AD81" s="74">
        <f t="shared" si="16"/>
        <v>0.14583333333333326</v>
      </c>
      <c r="AE81" s="74">
        <f t="shared" si="17"/>
        <v>0.125</v>
      </c>
      <c r="AF81" s="74"/>
    </row>
    <row r="82" spans="1:32" x14ac:dyDescent="0.25">
      <c r="A82" s="49"/>
      <c r="B82" s="1017">
        <v>0.62152777777777779</v>
      </c>
      <c r="C82" s="1017">
        <v>0.64236111111111116</v>
      </c>
      <c r="D82" s="1017">
        <v>0.24305555555555555</v>
      </c>
      <c r="E82" s="1017">
        <v>0.61458333333333337</v>
      </c>
      <c r="F82" s="1017">
        <v>0.70486111111111116</v>
      </c>
      <c r="G82" s="1017">
        <v>0.2638888888888889</v>
      </c>
      <c r="H82" s="1017">
        <v>0.28472222222222221</v>
      </c>
      <c r="I82" s="1017">
        <v>0.30902777777777779</v>
      </c>
      <c r="J82" s="49"/>
      <c r="K82" s="49"/>
      <c r="L82" s="376" t="s">
        <v>330</v>
      </c>
      <c r="M82" s="108" t="s">
        <v>331</v>
      </c>
      <c r="N82" s="227">
        <v>0.53472222222222221</v>
      </c>
      <c r="O82" s="228">
        <v>0.5625</v>
      </c>
      <c r="P82" s="235" t="s">
        <v>288</v>
      </c>
      <c r="Q82" s="227">
        <v>0.70833333333333337</v>
      </c>
      <c r="R82" s="228" t="s">
        <v>288</v>
      </c>
      <c r="S82" s="228">
        <v>0.77569444444444458</v>
      </c>
      <c r="T82" s="228">
        <v>0.78125</v>
      </c>
      <c r="U82" s="229" t="s">
        <v>288</v>
      </c>
      <c r="V82" s="227">
        <v>0.90625</v>
      </c>
      <c r="W82" s="228" t="s">
        <v>317</v>
      </c>
      <c r="X82" s="229">
        <v>0.93194444444444446</v>
      </c>
      <c r="Y82" s="95">
        <f t="shared" si="12"/>
        <v>0.39722222222222225</v>
      </c>
      <c r="Z82" s="95">
        <f t="shared" si="13"/>
        <v>0.32986111111111105</v>
      </c>
      <c r="AA82" s="99">
        <f t="shared" si="14"/>
        <v>6.7361111111111205E-2</v>
      </c>
      <c r="AB82" s="99"/>
      <c r="AC82" s="74"/>
      <c r="AD82" s="74">
        <f t="shared" si="16"/>
        <v>0.14583333333333337</v>
      </c>
      <c r="AE82" s="74">
        <f t="shared" si="17"/>
        <v>0.125</v>
      </c>
      <c r="AF82" s="74"/>
    </row>
    <row r="83" spans="1:32" ht="16.5" customHeight="1" x14ac:dyDescent="0.25">
      <c r="A83" s="49"/>
      <c r="B83" s="1017">
        <f t="shared" ref="B83:H83" si="18">B81-B82</f>
        <v>0.41319444444444453</v>
      </c>
      <c r="C83" s="1017">
        <f t="shared" si="18"/>
        <v>0.24305555555555547</v>
      </c>
      <c r="D83" s="1017">
        <f t="shared" si="18"/>
        <v>0.59722222222222221</v>
      </c>
      <c r="E83" s="1017">
        <f t="shared" si="18"/>
        <v>0.19097222222222221</v>
      </c>
      <c r="F83" s="1017">
        <f t="shared" si="18"/>
        <v>0.11111111111111105</v>
      </c>
      <c r="G83" s="1017">
        <f t="shared" si="18"/>
        <v>0.17708333333333331</v>
      </c>
      <c r="H83" s="1017">
        <f t="shared" si="18"/>
        <v>0.74652777777777779</v>
      </c>
      <c r="I83" s="1017">
        <f>I81-I82</f>
        <v>0.1111111111111111</v>
      </c>
      <c r="J83" s="49"/>
      <c r="K83" s="49"/>
      <c r="L83" s="376" t="s">
        <v>332</v>
      </c>
      <c r="M83" s="108" t="s">
        <v>333</v>
      </c>
      <c r="N83" s="227">
        <v>0.54374999999999996</v>
      </c>
      <c r="O83" s="228">
        <v>0.5625</v>
      </c>
      <c r="P83" s="235" t="s">
        <v>289</v>
      </c>
      <c r="Q83" s="227">
        <v>0.6875</v>
      </c>
      <c r="R83" s="228" t="s">
        <v>289</v>
      </c>
      <c r="S83" s="228">
        <v>0.72291666666666665</v>
      </c>
      <c r="T83" s="228">
        <v>0.72569444444444442</v>
      </c>
      <c r="U83" s="229" t="s">
        <v>288</v>
      </c>
      <c r="V83" s="227">
        <v>0.93055555555555558</v>
      </c>
      <c r="W83" s="228" t="s">
        <v>292</v>
      </c>
      <c r="X83" s="229">
        <v>0.93055555555555558</v>
      </c>
      <c r="Y83" s="95">
        <f t="shared" si="12"/>
        <v>0.38680555555555562</v>
      </c>
      <c r="Z83" s="95">
        <f t="shared" si="13"/>
        <v>0.35138888888888897</v>
      </c>
      <c r="AA83" s="99">
        <f t="shared" si="14"/>
        <v>3.5416666666666652E-2</v>
      </c>
      <c r="AB83" s="99"/>
      <c r="AC83" s="74"/>
      <c r="AD83" s="74">
        <f t="shared" si="16"/>
        <v>0.125</v>
      </c>
      <c r="AE83" s="74">
        <f t="shared" si="17"/>
        <v>0.20486111111111116</v>
      </c>
      <c r="AF83" s="74"/>
    </row>
    <row r="84" spans="1:32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376" t="s">
        <v>334</v>
      </c>
      <c r="M84" s="108" t="s">
        <v>335</v>
      </c>
      <c r="N84" s="227">
        <v>0.55555555555555558</v>
      </c>
      <c r="O84" s="228">
        <v>0.58333333333333337</v>
      </c>
      <c r="P84" s="235" t="s">
        <v>288</v>
      </c>
      <c r="Q84" s="227">
        <v>0.72569444444444442</v>
      </c>
      <c r="R84" s="228" t="s">
        <v>288</v>
      </c>
      <c r="S84" s="228">
        <v>0.76527777777777783</v>
      </c>
      <c r="T84" s="228">
        <v>0.77083333333333337</v>
      </c>
      <c r="U84" s="229" t="s">
        <v>288</v>
      </c>
      <c r="V84" s="227">
        <v>0.89583333333333337</v>
      </c>
      <c r="W84" s="228" t="s">
        <v>317</v>
      </c>
      <c r="X84" s="229">
        <v>0.92152777777777772</v>
      </c>
      <c r="Y84" s="95">
        <f t="shared" si="12"/>
        <v>0.36597222222222214</v>
      </c>
      <c r="Z84" s="95">
        <f t="shared" si="13"/>
        <v>0.32638888888888873</v>
      </c>
      <c r="AA84" s="99">
        <f t="shared" si="14"/>
        <v>3.9583333333333415E-2</v>
      </c>
      <c r="AB84" s="99"/>
      <c r="AC84" s="74"/>
      <c r="AD84" s="74">
        <f t="shared" si="16"/>
        <v>0.14236111111111105</v>
      </c>
      <c r="AE84" s="74">
        <f t="shared" si="17"/>
        <v>0.125</v>
      </c>
      <c r="AF84" s="74"/>
    </row>
    <row r="85" spans="1:32" ht="16.5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376" t="s">
        <v>336</v>
      </c>
      <c r="M85" s="108" t="s">
        <v>337</v>
      </c>
      <c r="N85" s="227">
        <v>0.55694444444444446</v>
      </c>
      <c r="O85" s="228">
        <v>0.55902777777777779</v>
      </c>
      <c r="P85" s="235" t="s">
        <v>287</v>
      </c>
      <c r="Q85" s="227">
        <v>0.65625</v>
      </c>
      <c r="R85" s="228" t="s">
        <v>288</v>
      </c>
      <c r="S85" s="228">
        <v>0.69236111111111098</v>
      </c>
      <c r="T85" s="228">
        <v>0.69791666666666663</v>
      </c>
      <c r="U85" s="229" t="s">
        <v>288</v>
      </c>
      <c r="V85" s="227">
        <v>0.90625</v>
      </c>
      <c r="W85" s="228" t="s">
        <v>292</v>
      </c>
      <c r="X85" s="229">
        <v>0.90625</v>
      </c>
      <c r="Y85" s="95">
        <f t="shared" si="12"/>
        <v>0.34930555555555554</v>
      </c>
      <c r="Z85" s="95">
        <f t="shared" si="13"/>
        <v>0.31319444444444455</v>
      </c>
      <c r="AA85" s="99">
        <f t="shared" si="14"/>
        <v>3.6111111111110983E-2</v>
      </c>
      <c r="AB85" s="99"/>
      <c r="AC85" s="74"/>
      <c r="AD85" s="74">
        <f t="shared" si="16"/>
        <v>9.722222222222221E-2</v>
      </c>
      <c r="AE85" s="74">
        <f t="shared" si="17"/>
        <v>0.20833333333333337</v>
      </c>
      <c r="AF85" s="74"/>
    </row>
    <row r="86" spans="1:32" ht="16.5" customHeight="1" thickBo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379" t="s">
        <v>338</v>
      </c>
      <c r="M86" s="109" t="s">
        <v>339</v>
      </c>
      <c r="N86" s="236">
        <v>0.58680555555555558</v>
      </c>
      <c r="O86" s="237">
        <v>0.61458333333333337</v>
      </c>
      <c r="P86" s="239" t="s">
        <v>288</v>
      </c>
      <c r="Q86" s="236">
        <v>0.76041666666666663</v>
      </c>
      <c r="R86" s="237" t="s">
        <v>288</v>
      </c>
      <c r="S86" s="237">
        <v>0.80972222222222212</v>
      </c>
      <c r="T86" s="237">
        <v>0.8125</v>
      </c>
      <c r="U86" s="238" t="s">
        <v>289</v>
      </c>
      <c r="V86" s="236">
        <v>0.88541666666666663</v>
      </c>
      <c r="W86" s="237" t="s">
        <v>292</v>
      </c>
      <c r="X86" s="238">
        <v>0.88541666666666663</v>
      </c>
      <c r="Y86" s="103">
        <f t="shared" si="12"/>
        <v>0.29861111111111105</v>
      </c>
      <c r="Z86" s="103">
        <f t="shared" si="13"/>
        <v>0.24930555555555556</v>
      </c>
      <c r="AA86" s="104">
        <f t="shared" si="14"/>
        <v>4.9305555555555491E-2</v>
      </c>
      <c r="AB86" s="104"/>
      <c r="AC86" s="74"/>
      <c r="AD86" s="74">
        <f t="shared" si="16"/>
        <v>0.14583333333333326</v>
      </c>
      <c r="AE86" s="74">
        <f t="shared" si="17"/>
        <v>7.291666666666663E-2</v>
      </c>
      <c r="AF86" s="74"/>
    </row>
    <row r="87" spans="1:32" ht="16.5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374" t="s">
        <v>340</v>
      </c>
      <c r="M87" s="111" t="s">
        <v>341</v>
      </c>
      <c r="N87" s="227">
        <v>0.60624999999999996</v>
      </c>
      <c r="O87" s="228">
        <v>0.625</v>
      </c>
      <c r="P87" s="229" t="s">
        <v>289</v>
      </c>
      <c r="Q87" s="227">
        <v>0.75</v>
      </c>
      <c r="R87" s="228" t="s">
        <v>289</v>
      </c>
      <c r="S87" s="228">
        <v>0.80972222222222223</v>
      </c>
      <c r="T87" s="228">
        <v>0.8125</v>
      </c>
      <c r="U87" s="229" t="s">
        <v>317</v>
      </c>
      <c r="V87" s="227">
        <v>1.0208333333333333</v>
      </c>
      <c r="W87" s="228" t="s">
        <v>292</v>
      </c>
      <c r="X87" s="229">
        <v>1.0208333333333333</v>
      </c>
      <c r="Y87" s="106">
        <f t="shared" si="12"/>
        <v>0.4145833333333333</v>
      </c>
      <c r="Z87" s="106">
        <f t="shared" si="13"/>
        <v>0.35486111111111107</v>
      </c>
      <c r="AA87" s="107">
        <f t="shared" si="14"/>
        <v>5.9722222222222232E-2</v>
      </c>
      <c r="AB87" s="107" t="s">
        <v>280</v>
      </c>
      <c r="AC87" s="74"/>
      <c r="AD87" s="74">
        <f t="shared" si="16"/>
        <v>0.125</v>
      </c>
      <c r="AE87" s="74">
        <f t="shared" si="17"/>
        <v>0.20833333333333326</v>
      </c>
      <c r="AF87" s="74"/>
    </row>
    <row r="88" spans="1:32" ht="16.5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375" t="s">
        <v>342</v>
      </c>
      <c r="M88" s="96" t="s">
        <v>343</v>
      </c>
      <c r="N88" s="241">
        <v>0.61250000000000004</v>
      </c>
      <c r="O88" s="242">
        <v>0.61458333333333337</v>
      </c>
      <c r="P88" s="243" t="s">
        <v>287</v>
      </c>
      <c r="Q88" s="227">
        <v>0.80555555555555558</v>
      </c>
      <c r="R88" s="228" t="s">
        <v>292</v>
      </c>
      <c r="S88" s="228">
        <v>0.86250000000000016</v>
      </c>
      <c r="T88" s="228">
        <v>0.86458333333333337</v>
      </c>
      <c r="U88" s="229" t="s">
        <v>287</v>
      </c>
      <c r="V88" s="227">
        <v>1.0069444444444444</v>
      </c>
      <c r="W88" s="228" t="s">
        <v>292</v>
      </c>
      <c r="X88" s="229">
        <v>1.0069444444444444</v>
      </c>
      <c r="Y88" s="95">
        <f t="shared" si="12"/>
        <v>0.39444444444444438</v>
      </c>
      <c r="Z88" s="95">
        <f t="shared" si="13"/>
        <v>0.3374999999999998</v>
      </c>
      <c r="AA88" s="99">
        <f t="shared" si="14"/>
        <v>5.6944444444444575E-2</v>
      </c>
      <c r="AB88" s="99"/>
      <c r="AD88" s="74">
        <f t="shared" si="16"/>
        <v>0.19097222222222221</v>
      </c>
      <c r="AE88" s="74">
        <f t="shared" si="17"/>
        <v>0.14236111111111105</v>
      </c>
      <c r="AF88" s="74"/>
    </row>
    <row r="89" spans="1:32" ht="16.5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375" t="s">
        <v>344</v>
      </c>
      <c r="M89" s="96" t="s">
        <v>345</v>
      </c>
      <c r="N89" s="227">
        <v>0.61805555555555558</v>
      </c>
      <c r="O89" s="228">
        <v>0.64583333333333337</v>
      </c>
      <c r="P89" s="229" t="s">
        <v>288</v>
      </c>
      <c r="Q89" s="227"/>
      <c r="R89" s="228"/>
      <c r="S89" s="228"/>
      <c r="T89" s="228"/>
      <c r="U89" s="229"/>
      <c r="V89" s="227">
        <v>0.87152777777777779</v>
      </c>
      <c r="W89" s="228" t="s">
        <v>292</v>
      </c>
      <c r="X89" s="229">
        <v>0.87152777777777779</v>
      </c>
      <c r="Y89" s="95">
        <f t="shared" si="12"/>
        <v>0.25347222222222221</v>
      </c>
      <c r="Z89" s="95">
        <f t="shared" si="13"/>
        <v>0.25347222222222221</v>
      </c>
      <c r="AA89" s="99">
        <f t="shared" si="14"/>
        <v>0</v>
      </c>
      <c r="AB89" s="99"/>
      <c r="AD89" s="74">
        <f>V89-O89</f>
        <v>0.22569444444444442</v>
      </c>
      <c r="AE89" s="74"/>
      <c r="AF89" s="74"/>
    </row>
    <row r="90" spans="1:32" ht="16.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375" t="s">
        <v>346</v>
      </c>
      <c r="M90" s="96" t="s">
        <v>347</v>
      </c>
      <c r="N90" s="227">
        <v>0.61944444444444446</v>
      </c>
      <c r="O90" s="228">
        <v>0.62152777777777779</v>
      </c>
      <c r="P90" s="229" t="s">
        <v>287</v>
      </c>
      <c r="Q90" s="227">
        <v>0.78125</v>
      </c>
      <c r="R90" s="228" t="s">
        <v>289</v>
      </c>
      <c r="S90" s="228">
        <v>0.84097222222222223</v>
      </c>
      <c r="T90" s="228">
        <v>0.84375</v>
      </c>
      <c r="U90" s="229" t="s">
        <v>317</v>
      </c>
      <c r="V90" s="227">
        <v>1.0173611111111112</v>
      </c>
      <c r="W90" s="228" t="s">
        <v>292</v>
      </c>
      <c r="X90" s="229">
        <v>1.0173611111111112</v>
      </c>
      <c r="Y90" s="95">
        <f t="shared" si="12"/>
        <v>0.3979166666666667</v>
      </c>
      <c r="Z90" s="95">
        <f t="shared" si="13"/>
        <v>0.33819444444444446</v>
      </c>
      <c r="AA90" s="99">
        <f t="shared" si="14"/>
        <v>5.9722222222222232E-2</v>
      </c>
      <c r="AB90" s="99" t="s">
        <v>280</v>
      </c>
      <c r="AD90" s="74">
        <f>Q90-O90</f>
        <v>0.15972222222222221</v>
      </c>
      <c r="AE90" s="74">
        <f>V90-T90</f>
        <v>0.17361111111111116</v>
      </c>
      <c r="AF90" s="74"/>
    </row>
    <row r="91" spans="1:32" ht="16.5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375" t="s">
        <v>348</v>
      </c>
      <c r="M91" s="96" t="s">
        <v>349</v>
      </c>
      <c r="N91" s="227">
        <v>0.63888888888888884</v>
      </c>
      <c r="O91" s="228">
        <v>0.66666666666666663</v>
      </c>
      <c r="P91" s="229" t="s">
        <v>288</v>
      </c>
      <c r="Q91" s="227"/>
      <c r="R91" s="228"/>
      <c r="S91" s="228"/>
      <c r="T91" s="228"/>
      <c r="U91" s="229"/>
      <c r="V91" s="227">
        <v>0.88194444444444442</v>
      </c>
      <c r="W91" s="228" t="s">
        <v>292</v>
      </c>
      <c r="X91" s="229">
        <v>0.88194444444444442</v>
      </c>
      <c r="Y91" s="95">
        <f t="shared" si="12"/>
        <v>0.24305555555555558</v>
      </c>
      <c r="Z91" s="95">
        <f t="shared" si="13"/>
        <v>0.24305555555555558</v>
      </c>
      <c r="AA91" s="99">
        <f t="shared" si="14"/>
        <v>0</v>
      </c>
      <c r="AB91" s="99"/>
      <c r="AD91" s="74">
        <f>V91-O91</f>
        <v>0.21527777777777779</v>
      </c>
      <c r="AE91" s="74"/>
      <c r="AF91" s="74"/>
    </row>
    <row r="92" spans="1:32" ht="16.5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375" t="s">
        <v>350</v>
      </c>
      <c r="M92" s="96" t="s">
        <v>351</v>
      </c>
      <c r="N92" s="227">
        <v>0.64027777777777772</v>
      </c>
      <c r="O92" s="228">
        <v>0.64236111111111116</v>
      </c>
      <c r="P92" s="229" t="s">
        <v>287</v>
      </c>
      <c r="Q92" s="227">
        <v>0.8125</v>
      </c>
      <c r="R92" s="228" t="s">
        <v>289</v>
      </c>
      <c r="S92" s="228">
        <v>0.88263888888888886</v>
      </c>
      <c r="T92" s="228">
        <v>0.88541666666666663</v>
      </c>
      <c r="U92" s="229" t="s">
        <v>317</v>
      </c>
      <c r="V92" s="227">
        <v>1.0034722222222223</v>
      </c>
      <c r="W92" s="228" t="s">
        <v>292</v>
      </c>
      <c r="X92" s="229">
        <v>1.0034722222222223</v>
      </c>
      <c r="Y92" s="95">
        <f t="shared" si="12"/>
        <v>0.3631944444444446</v>
      </c>
      <c r="Z92" s="95">
        <f t="shared" si="13"/>
        <v>0.29305555555555574</v>
      </c>
      <c r="AA92" s="99">
        <f t="shared" si="14"/>
        <v>7.0138888888888862E-2</v>
      </c>
      <c r="AB92" s="99" t="s">
        <v>280</v>
      </c>
      <c r="AD92" s="74">
        <f t="shared" ref="AD92:AD97" si="19">Q92-O92</f>
        <v>0.17013888888888884</v>
      </c>
      <c r="AE92" s="74">
        <f t="shared" ref="AE92:AE97" si="20">V92-T92</f>
        <v>0.11805555555555569</v>
      </c>
      <c r="AF92" s="74"/>
    </row>
    <row r="93" spans="1:32" ht="16.5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375" t="s">
        <v>352</v>
      </c>
      <c r="M93" s="96" t="s">
        <v>353</v>
      </c>
      <c r="N93" s="227">
        <v>0.65972222222222221</v>
      </c>
      <c r="O93" s="228">
        <v>0.6875</v>
      </c>
      <c r="P93" s="229" t="s">
        <v>288</v>
      </c>
      <c r="Q93" s="227">
        <v>0.82291666666666663</v>
      </c>
      <c r="R93" s="228" t="s">
        <v>317</v>
      </c>
      <c r="S93" s="228">
        <v>0.85902777777777783</v>
      </c>
      <c r="T93" s="228">
        <v>0.86458333333333337</v>
      </c>
      <c r="U93" s="229" t="s">
        <v>317</v>
      </c>
      <c r="V93" s="227">
        <v>1.0277777777777777</v>
      </c>
      <c r="W93" s="228" t="s">
        <v>292</v>
      </c>
      <c r="X93" s="229">
        <v>1.0277777777777777</v>
      </c>
      <c r="Y93" s="95">
        <f t="shared" si="12"/>
        <v>0.36805555555555547</v>
      </c>
      <c r="Z93" s="95">
        <f t="shared" si="13"/>
        <v>0.33194444444444426</v>
      </c>
      <c r="AA93" s="99">
        <f t="shared" si="14"/>
        <v>3.6111111111111205E-2</v>
      </c>
      <c r="AB93" s="99"/>
      <c r="AD93" s="74">
        <f t="shared" si="19"/>
        <v>0.13541666666666663</v>
      </c>
      <c r="AE93" s="74">
        <f t="shared" si="20"/>
        <v>0.16319444444444431</v>
      </c>
      <c r="AF93" s="74"/>
    </row>
    <row r="94" spans="1:32" ht="16.5" customHeight="1" x14ac:dyDescent="0.25">
      <c r="J94" s="49"/>
      <c r="K94" s="49"/>
      <c r="L94" s="383" t="s">
        <v>354</v>
      </c>
      <c r="M94" s="96" t="s">
        <v>355</v>
      </c>
      <c r="N94" s="227">
        <v>0.66874999999999996</v>
      </c>
      <c r="O94" s="228">
        <v>0.6875</v>
      </c>
      <c r="P94" s="229" t="s">
        <v>289</v>
      </c>
      <c r="Q94" s="227">
        <v>0.84027777777777779</v>
      </c>
      <c r="R94" s="228" t="s">
        <v>292</v>
      </c>
      <c r="S94" s="228">
        <v>0.8833333333333333</v>
      </c>
      <c r="T94" s="228">
        <v>0.88541666666666663</v>
      </c>
      <c r="U94" s="229" t="s">
        <v>287</v>
      </c>
      <c r="V94" s="227">
        <v>1.0243055555555556</v>
      </c>
      <c r="W94" s="228" t="s">
        <v>292</v>
      </c>
      <c r="X94" s="229">
        <v>1.0243055555555556</v>
      </c>
      <c r="Y94" s="95">
        <f t="shared" si="12"/>
        <v>0.35555555555555562</v>
      </c>
      <c r="Z94" s="95">
        <f t="shared" si="13"/>
        <v>0.31250000000000011</v>
      </c>
      <c r="AA94" s="99">
        <f t="shared" si="14"/>
        <v>4.3055555555555514E-2</v>
      </c>
      <c r="AB94" s="99"/>
      <c r="AD94" s="74">
        <f t="shared" si="19"/>
        <v>0.15277777777777779</v>
      </c>
      <c r="AE94" s="74">
        <f t="shared" si="20"/>
        <v>0.13888888888888895</v>
      </c>
      <c r="AF94" s="74"/>
    </row>
    <row r="95" spans="1:32" x14ac:dyDescent="0.25">
      <c r="J95" s="49"/>
      <c r="K95" s="49"/>
      <c r="L95" s="383" t="s">
        <v>356</v>
      </c>
      <c r="M95" s="96" t="s">
        <v>357</v>
      </c>
      <c r="N95" s="227">
        <v>0.68888888888888888</v>
      </c>
      <c r="O95" s="228">
        <v>0.69097222222222221</v>
      </c>
      <c r="P95" s="229" t="s">
        <v>287</v>
      </c>
      <c r="Q95" s="227">
        <v>0.80902777777777779</v>
      </c>
      <c r="R95" s="228" t="s">
        <v>292</v>
      </c>
      <c r="S95" s="228">
        <v>0.84930555555555565</v>
      </c>
      <c r="T95" s="228">
        <v>0.875</v>
      </c>
      <c r="U95" s="229" t="s">
        <v>317</v>
      </c>
      <c r="V95" s="227">
        <v>1.0347222222222223</v>
      </c>
      <c r="W95" s="228" t="s">
        <v>292</v>
      </c>
      <c r="X95" s="229">
        <v>1.0347222222222223</v>
      </c>
      <c r="Y95" s="95">
        <f t="shared" si="12"/>
        <v>0.34583333333333344</v>
      </c>
      <c r="Z95" s="95">
        <f t="shared" si="13"/>
        <v>0.30555555555555558</v>
      </c>
      <c r="AA95" s="99">
        <f t="shared" si="14"/>
        <v>4.0277777777777857E-2</v>
      </c>
      <c r="AB95" s="99" t="s">
        <v>280</v>
      </c>
      <c r="AD95" s="74">
        <f t="shared" si="19"/>
        <v>0.11805555555555558</v>
      </c>
      <c r="AE95" s="74">
        <f t="shared" si="20"/>
        <v>0.15972222222222232</v>
      </c>
      <c r="AF95" s="74"/>
    </row>
    <row r="96" spans="1:32" x14ac:dyDescent="0.25">
      <c r="J96" s="49"/>
      <c r="K96" s="49"/>
      <c r="L96" s="383" t="s">
        <v>358</v>
      </c>
      <c r="M96" s="96" t="s">
        <v>359</v>
      </c>
      <c r="N96" s="227">
        <v>0.69097222222222221</v>
      </c>
      <c r="O96" s="228">
        <v>0.71875</v>
      </c>
      <c r="P96" s="229" t="s">
        <v>288</v>
      </c>
      <c r="Q96" s="227">
        <v>0.84375</v>
      </c>
      <c r="R96" s="228" t="s">
        <v>317</v>
      </c>
      <c r="S96" s="228">
        <v>0.89027777777777772</v>
      </c>
      <c r="T96" s="228">
        <v>0.89583333333333337</v>
      </c>
      <c r="U96" s="229" t="s">
        <v>317</v>
      </c>
      <c r="V96" s="227">
        <v>1.0069444444444444</v>
      </c>
      <c r="W96" s="228" t="s">
        <v>292</v>
      </c>
      <c r="X96" s="229">
        <v>1.0069444444444444</v>
      </c>
      <c r="Y96" s="95">
        <f t="shared" si="12"/>
        <v>0.31597222222222221</v>
      </c>
      <c r="Z96" s="95">
        <f t="shared" si="13"/>
        <v>0.26944444444444449</v>
      </c>
      <c r="AA96" s="99">
        <f t="shared" si="14"/>
        <v>4.6527777777777724E-2</v>
      </c>
      <c r="AB96" s="99"/>
      <c r="AD96" s="74">
        <f t="shared" si="19"/>
        <v>0.125</v>
      </c>
      <c r="AE96" s="74">
        <f t="shared" si="20"/>
        <v>0.11111111111111105</v>
      </c>
    </row>
    <row r="97" spans="1:34" x14ac:dyDescent="0.25">
      <c r="J97" s="49"/>
      <c r="K97" s="49"/>
      <c r="L97" s="375" t="s">
        <v>360</v>
      </c>
      <c r="M97" s="96" t="s">
        <v>361</v>
      </c>
      <c r="N97" s="227">
        <v>0.73124999999999996</v>
      </c>
      <c r="O97" s="228">
        <v>0.75</v>
      </c>
      <c r="P97" s="229" t="s">
        <v>289</v>
      </c>
      <c r="Q97" s="227">
        <v>0.85416666666666663</v>
      </c>
      <c r="R97" s="228" t="s">
        <v>289</v>
      </c>
      <c r="S97" s="228">
        <v>0.90347222222222212</v>
      </c>
      <c r="T97" s="228">
        <v>0.90625</v>
      </c>
      <c r="U97" s="229" t="s">
        <v>317</v>
      </c>
      <c r="V97" s="227">
        <v>1.0173611111111112</v>
      </c>
      <c r="W97" s="228" t="s">
        <v>292</v>
      </c>
      <c r="X97" s="229">
        <v>1.0173611111111112</v>
      </c>
      <c r="Y97" s="95">
        <f t="shared" si="12"/>
        <v>0.2861111111111112</v>
      </c>
      <c r="Z97" s="95">
        <f t="shared" si="13"/>
        <v>0.23680555555555571</v>
      </c>
      <c r="AA97" s="99">
        <f t="shared" si="14"/>
        <v>4.9305555555555491E-2</v>
      </c>
      <c r="AB97" s="99"/>
      <c r="AD97" s="74">
        <f t="shared" si="19"/>
        <v>0.10416666666666663</v>
      </c>
      <c r="AE97" s="74">
        <f t="shared" si="20"/>
        <v>0.11111111111111116</v>
      </c>
    </row>
    <row r="98" spans="1:34" x14ac:dyDescent="0.25">
      <c r="J98" s="49"/>
      <c r="K98" s="49"/>
      <c r="L98" s="375" t="s">
        <v>362</v>
      </c>
      <c r="M98" s="96" t="s">
        <v>363</v>
      </c>
      <c r="N98" s="227">
        <v>0.79513888888888884</v>
      </c>
      <c r="O98" s="228">
        <v>0.82291666666666663</v>
      </c>
      <c r="P98" s="229" t="s">
        <v>317</v>
      </c>
      <c r="Q98" s="227"/>
      <c r="R98" s="228"/>
      <c r="S98" s="228"/>
      <c r="T98" s="228"/>
      <c r="U98" s="229"/>
      <c r="V98" s="227">
        <v>1.0347222222222223</v>
      </c>
      <c r="W98" s="228" t="s">
        <v>292</v>
      </c>
      <c r="X98" s="229">
        <v>1.0347222222222223</v>
      </c>
      <c r="Y98" s="95">
        <f t="shared" si="12"/>
        <v>0.23958333333333348</v>
      </c>
      <c r="Z98" s="95">
        <f t="shared" si="13"/>
        <v>0.23958333333333348</v>
      </c>
      <c r="AA98" s="99">
        <f t="shared" si="14"/>
        <v>0</v>
      </c>
      <c r="AB98" s="99"/>
      <c r="AD98" s="74"/>
      <c r="AE98" s="74"/>
    </row>
    <row r="99" spans="1:34" ht="16.5" thickBot="1" x14ac:dyDescent="0.3">
      <c r="J99" s="49"/>
      <c r="K99" s="49"/>
      <c r="L99" s="112"/>
      <c r="M99" s="113"/>
      <c r="N99" s="114"/>
      <c r="O99" s="115"/>
      <c r="P99" s="116"/>
      <c r="Q99" s="114"/>
      <c r="R99" s="115"/>
      <c r="S99" s="117"/>
      <c r="T99" s="115"/>
      <c r="U99" s="116"/>
      <c r="V99" s="118"/>
      <c r="W99" s="115"/>
      <c r="X99" s="119"/>
      <c r="Y99" s="120"/>
      <c r="Z99" s="121">
        <f>AVERAGE(Z62:Z98)</f>
        <v>0.28070570570570563</v>
      </c>
      <c r="AA99" s="122"/>
      <c r="AB99" s="122"/>
      <c r="AD99" s="74"/>
      <c r="AE99" s="74"/>
    </row>
    <row r="100" spans="1:34" x14ac:dyDescent="0.25">
      <c r="J100" s="49"/>
      <c r="K100" s="49"/>
      <c r="L100" s="84" t="s">
        <v>272</v>
      </c>
      <c r="M100" s="85" t="s">
        <v>273</v>
      </c>
      <c r="N100" s="86" t="s">
        <v>274</v>
      </c>
      <c r="O100" s="87"/>
      <c r="P100" s="88"/>
      <c r="Q100" s="86" t="s">
        <v>275</v>
      </c>
      <c r="R100" s="87"/>
      <c r="S100" s="87"/>
      <c r="T100" s="87"/>
      <c r="U100" s="88"/>
      <c r="V100" s="86" t="s">
        <v>276</v>
      </c>
      <c r="W100" s="87"/>
      <c r="X100" s="88"/>
      <c r="Y100" s="84" t="s">
        <v>277</v>
      </c>
      <c r="Z100" s="84" t="s">
        <v>278</v>
      </c>
      <c r="AA100" s="84" t="s">
        <v>279</v>
      </c>
      <c r="AB100" s="84"/>
      <c r="AD100" s="74"/>
      <c r="AE100" s="74"/>
    </row>
    <row r="101" spans="1:34" ht="16.5" thickBot="1" x14ac:dyDescent="0.3">
      <c r="J101" s="49"/>
      <c r="K101" s="49"/>
      <c r="L101" s="89"/>
      <c r="M101" s="90"/>
      <c r="N101" s="94" t="s">
        <v>281</v>
      </c>
      <c r="O101" s="92" t="s">
        <v>282</v>
      </c>
      <c r="P101" s="93" t="s">
        <v>283</v>
      </c>
      <c r="Q101" s="94" t="s">
        <v>274</v>
      </c>
      <c r="R101" s="92" t="s">
        <v>283</v>
      </c>
      <c r="S101" s="92" t="s">
        <v>281</v>
      </c>
      <c r="T101" s="92" t="s">
        <v>274</v>
      </c>
      <c r="U101" s="93" t="s">
        <v>283</v>
      </c>
      <c r="V101" s="94" t="s">
        <v>276</v>
      </c>
      <c r="W101" s="92" t="s">
        <v>283</v>
      </c>
      <c r="X101" s="93" t="s">
        <v>284</v>
      </c>
      <c r="Y101" s="89"/>
      <c r="Z101" s="89"/>
      <c r="AA101" s="89"/>
      <c r="AB101" s="89"/>
      <c r="AD101" s="74"/>
      <c r="AE101" s="74"/>
      <c r="AF101" s="57"/>
    </row>
    <row r="102" spans="1:34" x14ac:dyDescent="0.25">
      <c r="J102" s="49"/>
      <c r="K102" s="49"/>
      <c r="L102" s="372" t="s">
        <v>364</v>
      </c>
      <c r="M102" s="123" t="s">
        <v>365</v>
      </c>
      <c r="N102" s="227">
        <v>0.3</v>
      </c>
      <c r="O102" s="228">
        <v>0.30555555555555558</v>
      </c>
      <c r="P102" s="229" t="s">
        <v>287</v>
      </c>
      <c r="Q102" s="227">
        <v>0.41666666666666669</v>
      </c>
      <c r="R102" s="228" t="s">
        <v>288</v>
      </c>
      <c r="S102" s="228">
        <v>0.48402777777777778</v>
      </c>
      <c r="T102" s="228">
        <v>0.48958333333333331</v>
      </c>
      <c r="U102" s="229" t="s">
        <v>288</v>
      </c>
      <c r="V102" s="227">
        <v>0.63541666666666663</v>
      </c>
      <c r="W102" s="228" t="s">
        <v>288</v>
      </c>
      <c r="X102" s="229">
        <v>0.66111111111111109</v>
      </c>
      <c r="Y102" s="95">
        <f t="shared" ref="Y102:Y112" si="21">X102-N102</f>
        <v>0.3611111111111111</v>
      </c>
      <c r="Z102" s="95">
        <f t="shared" ref="Z102:Z112" si="22">Y102-AA102</f>
        <v>0.29375000000000001</v>
      </c>
      <c r="AA102" s="99">
        <f t="shared" ref="AA102:AA112" si="23">S102-Q102</f>
        <v>6.7361111111111094E-2</v>
      </c>
      <c r="AB102" s="99"/>
      <c r="AC102" s="49"/>
      <c r="AD102" s="74">
        <f t="shared" ref="AD102:AD113" si="24">Q102-O102</f>
        <v>0.1111111111111111</v>
      </c>
      <c r="AE102" s="74">
        <f t="shared" ref="AE102:AE113" si="25">V102-T102</f>
        <v>0.14583333333333331</v>
      </c>
      <c r="AF102" s="49"/>
      <c r="AG102" s="49"/>
      <c r="AH102" s="49"/>
    </row>
    <row r="103" spans="1:34" x14ac:dyDescent="0.25">
      <c r="J103" s="49"/>
      <c r="K103" s="49"/>
      <c r="L103" s="375" t="s">
        <v>366</v>
      </c>
      <c r="M103" s="96" t="s">
        <v>367</v>
      </c>
      <c r="N103" s="227">
        <v>0.3034722222222222</v>
      </c>
      <c r="O103" s="228">
        <v>0.30902777777777779</v>
      </c>
      <c r="P103" s="229" t="s">
        <v>287</v>
      </c>
      <c r="Q103" s="227">
        <v>0.4201388888888889</v>
      </c>
      <c r="R103" s="228" t="s">
        <v>292</v>
      </c>
      <c r="S103" s="228">
        <v>0.47430555555555554</v>
      </c>
      <c r="T103" s="228">
        <v>0.5</v>
      </c>
      <c r="U103" s="229" t="s">
        <v>288</v>
      </c>
      <c r="V103" s="227">
        <v>0.64583333333333337</v>
      </c>
      <c r="W103" s="228" t="s">
        <v>288</v>
      </c>
      <c r="X103" s="229">
        <v>0.67152777777777772</v>
      </c>
      <c r="Y103" s="95">
        <f t="shared" si="21"/>
        <v>0.36805555555555552</v>
      </c>
      <c r="Z103" s="95">
        <f t="shared" si="22"/>
        <v>0.31388888888888888</v>
      </c>
      <c r="AA103" s="99">
        <f t="shared" si="23"/>
        <v>5.4166666666666641E-2</v>
      </c>
      <c r="AB103" s="99"/>
      <c r="AC103" s="49"/>
      <c r="AD103" s="74">
        <f t="shared" si="24"/>
        <v>0.1111111111111111</v>
      </c>
      <c r="AE103" s="74">
        <f t="shared" si="25"/>
        <v>0.14583333333333337</v>
      </c>
      <c r="AF103" s="49"/>
      <c r="AG103" s="49"/>
      <c r="AH103" s="49"/>
    </row>
    <row r="104" spans="1:34" x14ac:dyDescent="0.25">
      <c r="J104" s="49"/>
      <c r="K104" s="49"/>
      <c r="L104" s="375" t="s">
        <v>368</v>
      </c>
      <c r="M104" s="96" t="s">
        <v>369</v>
      </c>
      <c r="N104" s="227">
        <v>0.30694444444444446</v>
      </c>
      <c r="O104" s="228">
        <v>0.3125</v>
      </c>
      <c r="P104" s="229" t="s">
        <v>287</v>
      </c>
      <c r="Q104" s="227">
        <v>0.43888888888888888</v>
      </c>
      <c r="R104" s="228" t="s">
        <v>292</v>
      </c>
      <c r="S104" s="228">
        <v>0.68194444444444446</v>
      </c>
      <c r="T104" s="228">
        <v>0.68402777777777779</v>
      </c>
      <c r="U104" s="229" t="s">
        <v>287</v>
      </c>
      <c r="V104" s="227">
        <v>0.80208333333333337</v>
      </c>
      <c r="W104" s="228" t="s">
        <v>292</v>
      </c>
      <c r="X104" s="229">
        <v>0.80208333333333337</v>
      </c>
      <c r="Y104" s="95">
        <f t="shared" si="21"/>
        <v>0.49513888888888891</v>
      </c>
      <c r="Z104" s="95">
        <f t="shared" si="22"/>
        <v>0.25208333333333333</v>
      </c>
      <c r="AA104" s="99">
        <f t="shared" si="23"/>
        <v>0.24305555555555558</v>
      </c>
      <c r="AB104" s="99"/>
      <c r="AC104" s="49"/>
      <c r="AD104" s="74">
        <f t="shared" si="24"/>
        <v>0.12638888888888888</v>
      </c>
      <c r="AE104" s="74">
        <f t="shared" si="25"/>
        <v>0.11805555555555558</v>
      </c>
      <c r="AF104" s="49"/>
      <c r="AG104" s="49"/>
      <c r="AH104" s="49"/>
    </row>
    <row r="105" spans="1:34" x14ac:dyDescent="0.25">
      <c r="J105" s="49"/>
      <c r="K105" s="49"/>
      <c r="L105" s="375" t="s">
        <v>370</v>
      </c>
      <c r="M105" s="96" t="s">
        <v>371</v>
      </c>
      <c r="N105" s="227">
        <v>0.31597222222222221</v>
      </c>
      <c r="O105" s="228">
        <v>0.34375</v>
      </c>
      <c r="P105" s="229" t="s">
        <v>288</v>
      </c>
      <c r="Q105" s="227">
        <v>0.48958333333333331</v>
      </c>
      <c r="R105" s="228" t="s">
        <v>288</v>
      </c>
      <c r="S105" s="228">
        <v>0.59861111111111109</v>
      </c>
      <c r="T105" s="228">
        <v>0.60416666666666663</v>
      </c>
      <c r="U105" s="229" t="s">
        <v>288</v>
      </c>
      <c r="V105" s="227">
        <v>0.75</v>
      </c>
      <c r="W105" s="228" t="s">
        <v>288</v>
      </c>
      <c r="X105" s="229">
        <v>0.77569444444444446</v>
      </c>
      <c r="Y105" s="95">
        <f t="shared" si="21"/>
        <v>0.45972222222222225</v>
      </c>
      <c r="Z105" s="95">
        <f t="shared" si="22"/>
        <v>0.35069444444444448</v>
      </c>
      <c r="AA105" s="99">
        <f t="shared" si="23"/>
        <v>0.10902777777777778</v>
      </c>
      <c r="AB105" s="99"/>
      <c r="AC105" s="49"/>
      <c r="AD105" s="74">
        <f t="shared" si="24"/>
        <v>0.14583333333333331</v>
      </c>
      <c r="AE105" s="74">
        <f t="shared" si="25"/>
        <v>0.14583333333333337</v>
      </c>
      <c r="AF105" s="49"/>
      <c r="AG105" s="49"/>
      <c r="AH105" s="49"/>
    </row>
    <row r="106" spans="1:34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375" t="s">
        <v>372</v>
      </c>
      <c r="M106" s="96" t="s">
        <v>373</v>
      </c>
      <c r="N106" s="227">
        <v>0.3263888888888889</v>
      </c>
      <c r="O106" s="228">
        <v>0.35416666666666669</v>
      </c>
      <c r="P106" s="229" t="s">
        <v>288</v>
      </c>
      <c r="Q106" s="227">
        <v>0.5</v>
      </c>
      <c r="R106" s="228" t="s">
        <v>288</v>
      </c>
      <c r="S106" s="228">
        <v>0.61944444444444446</v>
      </c>
      <c r="T106" s="228">
        <v>0.625</v>
      </c>
      <c r="U106" s="229" t="s">
        <v>288</v>
      </c>
      <c r="V106" s="227">
        <v>0.77083333333333337</v>
      </c>
      <c r="W106" s="228" t="s">
        <v>288</v>
      </c>
      <c r="X106" s="229">
        <v>0.79652777777777772</v>
      </c>
      <c r="Y106" s="95">
        <f t="shared" si="21"/>
        <v>0.47013888888888883</v>
      </c>
      <c r="Z106" s="95">
        <f t="shared" si="22"/>
        <v>0.35069444444444436</v>
      </c>
      <c r="AA106" s="99">
        <f t="shared" si="23"/>
        <v>0.11944444444444446</v>
      </c>
      <c r="AB106" s="99"/>
      <c r="AC106" s="49"/>
      <c r="AD106" s="74">
        <f t="shared" si="24"/>
        <v>0.14583333333333331</v>
      </c>
      <c r="AE106" s="74">
        <f t="shared" si="25"/>
        <v>0.14583333333333337</v>
      </c>
      <c r="AF106" s="49"/>
      <c r="AG106" s="49"/>
      <c r="AH106" s="49"/>
    </row>
    <row r="107" spans="1:34" x14ac:dyDescent="0.25">
      <c r="A107" s="49"/>
      <c r="B107" s="49"/>
      <c r="C107"/>
      <c r="D107"/>
      <c r="E107"/>
      <c r="F107"/>
      <c r="G107"/>
      <c r="H107" s="49"/>
      <c r="I107" s="49"/>
      <c r="J107" s="49"/>
      <c r="K107" s="49"/>
      <c r="L107" s="375" t="s">
        <v>374</v>
      </c>
      <c r="M107" s="96" t="s">
        <v>375</v>
      </c>
      <c r="N107" s="227">
        <v>0.33680555555555558</v>
      </c>
      <c r="O107" s="228">
        <v>0.36458333333333331</v>
      </c>
      <c r="P107" s="229" t="s">
        <v>288</v>
      </c>
      <c r="Q107" s="227">
        <v>0.51041666666666663</v>
      </c>
      <c r="R107" s="228" t="s">
        <v>288</v>
      </c>
      <c r="S107" s="228">
        <v>0.56736111111111109</v>
      </c>
      <c r="T107" s="228">
        <v>0.57291666666666663</v>
      </c>
      <c r="U107" s="229" t="s">
        <v>288</v>
      </c>
      <c r="V107" s="227">
        <v>0.71875</v>
      </c>
      <c r="W107" s="228" t="s">
        <v>288</v>
      </c>
      <c r="X107" s="229">
        <v>0.74444444444444446</v>
      </c>
      <c r="Y107" s="95">
        <f t="shared" si="21"/>
        <v>0.40763888888888888</v>
      </c>
      <c r="Z107" s="95">
        <f t="shared" si="22"/>
        <v>0.35069444444444442</v>
      </c>
      <c r="AA107" s="99">
        <f t="shared" si="23"/>
        <v>5.6944444444444464E-2</v>
      </c>
      <c r="AB107" s="99"/>
      <c r="AC107" s="49"/>
      <c r="AD107" s="74">
        <f t="shared" si="24"/>
        <v>0.14583333333333331</v>
      </c>
      <c r="AE107" s="74">
        <f t="shared" si="25"/>
        <v>0.14583333333333337</v>
      </c>
      <c r="AF107" s="49"/>
      <c r="AG107" s="49"/>
      <c r="AH107" s="49"/>
    </row>
    <row r="108" spans="1:34" x14ac:dyDescent="0.25">
      <c r="A108" s="49"/>
      <c r="B108" s="49"/>
      <c r="C108"/>
      <c r="D108"/>
      <c r="E108"/>
      <c r="F108"/>
      <c r="G108"/>
      <c r="H108" s="49"/>
      <c r="I108" s="49"/>
      <c r="J108" s="49"/>
      <c r="K108" s="49"/>
      <c r="L108" s="375" t="s">
        <v>376</v>
      </c>
      <c r="M108" s="96" t="s">
        <v>377</v>
      </c>
      <c r="N108" s="227">
        <v>0.34722222222222221</v>
      </c>
      <c r="O108" s="228">
        <v>0.375</v>
      </c>
      <c r="P108" s="229" t="s">
        <v>288</v>
      </c>
      <c r="Q108" s="227">
        <v>0.52083333333333337</v>
      </c>
      <c r="R108" s="228" t="s">
        <v>288</v>
      </c>
      <c r="S108" s="228">
        <v>0.65069444444444458</v>
      </c>
      <c r="T108" s="228">
        <v>0.65625</v>
      </c>
      <c r="U108" s="229" t="s">
        <v>288</v>
      </c>
      <c r="V108" s="227">
        <v>0.8125</v>
      </c>
      <c r="W108" s="228" t="s">
        <v>292</v>
      </c>
      <c r="X108" s="229">
        <v>0.8125</v>
      </c>
      <c r="Y108" s="95">
        <f t="shared" si="21"/>
        <v>0.46527777777777779</v>
      </c>
      <c r="Z108" s="95">
        <f t="shared" si="22"/>
        <v>0.33541666666666659</v>
      </c>
      <c r="AA108" s="99">
        <f t="shared" si="23"/>
        <v>0.1298611111111112</v>
      </c>
      <c r="AB108" s="99"/>
      <c r="AC108" s="49"/>
      <c r="AD108" s="74">
        <f t="shared" si="24"/>
        <v>0.14583333333333337</v>
      </c>
      <c r="AE108" s="74">
        <f t="shared" si="25"/>
        <v>0.15625</v>
      </c>
      <c r="AF108" s="49"/>
      <c r="AG108" s="49"/>
      <c r="AH108" s="49"/>
    </row>
    <row r="109" spans="1:34" x14ac:dyDescent="0.25">
      <c r="A109" s="49"/>
      <c r="B109" s="49"/>
      <c r="C109"/>
      <c r="D109"/>
      <c r="E109"/>
      <c r="F109"/>
      <c r="G109"/>
      <c r="H109" s="49"/>
      <c r="I109" s="49"/>
      <c r="J109" s="49"/>
      <c r="K109" s="49"/>
      <c r="L109" s="375" t="s">
        <v>378</v>
      </c>
      <c r="M109" s="96" t="s">
        <v>379</v>
      </c>
      <c r="N109" s="227">
        <v>0.3576388888888889</v>
      </c>
      <c r="O109" s="228">
        <v>0.38541666666666669</v>
      </c>
      <c r="P109" s="229" t="s">
        <v>288</v>
      </c>
      <c r="Q109" s="227">
        <v>0.53125</v>
      </c>
      <c r="R109" s="228" t="s">
        <v>288</v>
      </c>
      <c r="S109" s="228">
        <v>0.67013888888888884</v>
      </c>
      <c r="T109" s="228">
        <v>0.69791666666666663</v>
      </c>
      <c r="U109" s="229" t="s">
        <v>287</v>
      </c>
      <c r="V109" s="227">
        <v>0.8125</v>
      </c>
      <c r="W109" s="228" t="s">
        <v>292</v>
      </c>
      <c r="X109" s="229">
        <v>0.8125</v>
      </c>
      <c r="Y109" s="95">
        <f t="shared" si="21"/>
        <v>0.4548611111111111</v>
      </c>
      <c r="Z109" s="95">
        <f t="shared" si="22"/>
        <v>0.31597222222222227</v>
      </c>
      <c r="AA109" s="99">
        <f t="shared" si="23"/>
        <v>0.13888888888888884</v>
      </c>
      <c r="AB109" s="99"/>
      <c r="AC109" s="49"/>
      <c r="AD109" s="74">
        <f t="shared" si="24"/>
        <v>0.14583333333333331</v>
      </c>
      <c r="AE109" s="74">
        <f t="shared" si="25"/>
        <v>0.11458333333333337</v>
      </c>
      <c r="AF109" s="49"/>
      <c r="AG109" s="49"/>
      <c r="AH109" s="49"/>
    </row>
    <row r="110" spans="1:34" x14ac:dyDescent="0.25">
      <c r="A110" s="49"/>
      <c r="B110" s="49"/>
      <c r="C110"/>
      <c r="D110"/>
      <c r="E110"/>
      <c r="F110"/>
      <c r="G110"/>
      <c r="H110" s="49"/>
      <c r="I110" s="49"/>
      <c r="J110" s="49"/>
      <c r="K110" s="49"/>
      <c r="L110" s="375" t="s">
        <v>380</v>
      </c>
      <c r="M110" s="96" t="s">
        <v>381</v>
      </c>
      <c r="N110" s="227">
        <v>0.37847222222222221</v>
      </c>
      <c r="O110" s="228">
        <v>0.40625</v>
      </c>
      <c r="P110" s="229" t="s">
        <v>288</v>
      </c>
      <c r="Q110" s="227">
        <v>0.55208333333333337</v>
      </c>
      <c r="R110" s="228" t="s">
        <v>288</v>
      </c>
      <c r="S110" s="228">
        <v>0.62986111111111109</v>
      </c>
      <c r="T110" s="228">
        <v>0.63541666666666663</v>
      </c>
      <c r="U110" s="229" t="s">
        <v>288</v>
      </c>
      <c r="V110" s="227">
        <v>0.78125</v>
      </c>
      <c r="W110" s="228" t="s">
        <v>288</v>
      </c>
      <c r="X110" s="229">
        <v>0.80694444444444446</v>
      </c>
      <c r="Y110" s="95">
        <f t="shared" si="21"/>
        <v>0.42847222222222225</v>
      </c>
      <c r="Z110" s="95">
        <f t="shared" si="22"/>
        <v>0.35069444444444453</v>
      </c>
      <c r="AA110" s="99">
        <f t="shared" si="23"/>
        <v>7.7777777777777724E-2</v>
      </c>
      <c r="AB110" s="99"/>
      <c r="AC110" s="49"/>
      <c r="AD110" s="74">
        <f t="shared" si="24"/>
        <v>0.14583333333333337</v>
      </c>
      <c r="AE110" s="74">
        <f t="shared" si="25"/>
        <v>0.14583333333333337</v>
      </c>
      <c r="AF110" s="49"/>
      <c r="AG110" s="49"/>
      <c r="AH110" s="49"/>
    </row>
    <row r="111" spans="1:34" x14ac:dyDescent="0.25">
      <c r="A111" s="49"/>
      <c r="B111" s="49"/>
      <c r="C111"/>
      <c r="D111"/>
      <c r="E111"/>
      <c r="F111"/>
      <c r="G111"/>
      <c r="H111" s="49"/>
      <c r="I111" s="49"/>
      <c r="J111" s="49"/>
      <c r="K111" s="49"/>
      <c r="L111" s="375" t="s">
        <v>382</v>
      </c>
      <c r="M111" s="96" t="s">
        <v>383</v>
      </c>
      <c r="N111" s="227">
        <v>0.41875000000000001</v>
      </c>
      <c r="O111" s="228">
        <v>0.4375</v>
      </c>
      <c r="P111" s="229" t="s">
        <v>289</v>
      </c>
      <c r="Q111" s="227">
        <v>0.5625</v>
      </c>
      <c r="R111" s="228" t="s">
        <v>289</v>
      </c>
      <c r="S111" s="228">
        <v>0.68611111111111112</v>
      </c>
      <c r="T111" s="228">
        <v>0.70486111111111116</v>
      </c>
      <c r="U111" s="229" t="s">
        <v>287</v>
      </c>
      <c r="V111" s="227">
        <v>0.81597222222222221</v>
      </c>
      <c r="W111" s="228" t="s">
        <v>292</v>
      </c>
      <c r="X111" s="229">
        <v>0.81597222222222221</v>
      </c>
      <c r="Y111" s="95">
        <f t="shared" si="21"/>
        <v>0.3972222222222222</v>
      </c>
      <c r="Z111" s="95">
        <f t="shared" si="22"/>
        <v>0.27361111111111108</v>
      </c>
      <c r="AA111" s="99">
        <f t="shared" si="23"/>
        <v>0.12361111111111112</v>
      </c>
      <c r="AB111" s="99"/>
      <c r="AC111" s="49"/>
      <c r="AD111" s="74">
        <f t="shared" si="24"/>
        <v>0.125</v>
      </c>
      <c r="AE111" s="74">
        <f t="shared" si="25"/>
        <v>0.11111111111111105</v>
      </c>
      <c r="AF111" s="49"/>
      <c r="AG111" s="49"/>
      <c r="AH111" s="49"/>
    </row>
    <row r="112" spans="1:34" x14ac:dyDescent="0.25">
      <c r="A112" s="49"/>
      <c r="B112" s="49"/>
      <c r="C112"/>
      <c r="D112"/>
      <c r="E112"/>
      <c r="F112"/>
      <c r="G112"/>
      <c r="H112" s="49"/>
      <c r="I112" s="49"/>
      <c r="J112" s="49"/>
      <c r="K112" s="49"/>
      <c r="L112" s="375" t="s">
        <v>384</v>
      </c>
      <c r="M112" s="96" t="s">
        <v>385</v>
      </c>
      <c r="N112" s="227">
        <v>0.46319444444444446</v>
      </c>
      <c r="O112" s="228">
        <v>0.46527777777777779</v>
      </c>
      <c r="P112" s="229" t="s">
        <v>287</v>
      </c>
      <c r="Q112" s="227">
        <v>0.5625</v>
      </c>
      <c r="R112" s="228" t="s">
        <v>288</v>
      </c>
      <c r="S112" s="228">
        <v>0.67708333333333337</v>
      </c>
      <c r="T112" s="228">
        <v>0.70486111111111116</v>
      </c>
      <c r="U112" s="229" t="s">
        <v>287</v>
      </c>
      <c r="V112" s="227">
        <v>0.81944444444444442</v>
      </c>
      <c r="W112" s="228" t="s">
        <v>292</v>
      </c>
      <c r="X112" s="229">
        <v>0.81944444444444442</v>
      </c>
      <c r="Y112" s="95">
        <f t="shared" si="21"/>
        <v>0.35624999999999996</v>
      </c>
      <c r="Z112" s="95">
        <f t="shared" si="22"/>
        <v>0.24166666666666659</v>
      </c>
      <c r="AA112" s="99">
        <f t="shared" si="23"/>
        <v>0.11458333333333337</v>
      </c>
      <c r="AB112" s="99"/>
      <c r="AC112" s="49"/>
      <c r="AD112" s="74">
        <f t="shared" si="24"/>
        <v>9.722222222222221E-2</v>
      </c>
      <c r="AE112" s="74">
        <f t="shared" si="25"/>
        <v>0.11458333333333326</v>
      </c>
      <c r="AF112" s="49"/>
      <c r="AG112" s="49"/>
      <c r="AH112" s="49"/>
    </row>
    <row r="113" spans="1:34" ht="16.5" thickBot="1" x14ac:dyDescent="0.3">
      <c r="A113" s="49"/>
      <c r="B113" s="49"/>
      <c r="C113"/>
      <c r="D113"/>
      <c r="E113"/>
      <c r="F113"/>
      <c r="G113"/>
      <c r="H113" s="49"/>
      <c r="I113" s="49"/>
      <c r="J113" s="49"/>
      <c r="K113" s="49"/>
      <c r="L113" s="124"/>
      <c r="M113" s="125"/>
      <c r="N113" s="358"/>
      <c r="O113" s="359"/>
      <c r="P113" s="360"/>
      <c r="Q113" s="358"/>
      <c r="R113" s="359"/>
      <c r="S113" s="361"/>
      <c r="T113" s="359"/>
      <c r="U113" s="360"/>
      <c r="V113" s="362"/>
      <c r="W113" s="359"/>
      <c r="X113" s="363"/>
      <c r="Y113" s="103"/>
      <c r="Z113" s="126">
        <f>AVERAGE(Z102:Z112)</f>
        <v>0.31174242424242427</v>
      </c>
      <c r="AA113" s="127"/>
      <c r="AB113" s="127"/>
      <c r="AC113" s="49"/>
      <c r="AD113" s="74">
        <f t="shared" si="24"/>
        <v>0</v>
      </c>
      <c r="AE113" s="74">
        <f t="shared" si="25"/>
        <v>0</v>
      </c>
      <c r="AF113" s="49"/>
      <c r="AG113" s="49"/>
      <c r="AH113" s="49"/>
    </row>
    <row r="114" spans="1:34" x14ac:dyDescent="0.25">
      <c r="A114" s="49"/>
      <c r="B114" s="49"/>
      <c r="C114"/>
      <c r="D114"/>
      <c r="E114"/>
      <c r="F114"/>
      <c r="G114"/>
      <c r="H114" s="49"/>
      <c r="I114" s="49"/>
      <c r="J114" s="49"/>
      <c r="K114" s="49"/>
      <c r="L114" s="84" t="s">
        <v>272</v>
      </c>
      <c r="M114" s="85" t="s">
        <v>273</v>
      </c>
      <c r="N114" s="86" t="s">
        <v>274</v>
      </c>
      <c r="O114" s="87"/>
      <c r="P114" s="88"/>
      <c r="Q114" s="86" t="s">
        <v>275</v>
      </c>
      <c r="R114" s="87"/>
      <c r="S114" s="87"/>
      <c r="T114" s="87"/>
      <c r="U114" s="88"/>
      <c r="V114" s="86" t="s">
        <v>276</v>
      </c>
      <c r="W114" s="87"/>
      <c r="X114" s="88"/>
      <c r="Y114" s="84" t="s">
        <v>277</v>
      </c>
      <c r="Z114" s="84" t="s">
        <v>278</v>
      </c>
      <c r="AA114" s="84" t="s">
        <v>279</v>
      </c>
      <c r="AB114" s="84"/>
      <c r="AC114" s="49"/>
      <c r="AD114" s="74"/>
      <c r="AE114" s="74"/>
      <c r="AF114" s="49"/>
      <c r="AG114" s="49"/>
      <c r="AH114" s="49"/>
    </row>
    <row r="115" spans="1:34" ht="16.5" thickBot="1" x14ac:dyDescent="0.3">
      <c r="B115"/>
      <c r="C115"/>
      <c r="D115"/>
      <c r="E115"/>
      <c r="F115"/>
      <c r="G115"/>
      <c r="J115" s="49"/>
      <c r="K115" s="49"/>
      <c r="L115" s="89"/>
      <c r="M115" s="90"/>
      <c r="N115" s="91" t="s">
        <v>281</v>
      </c>
      <c r="O115" s="92" t="s">
        <v>282</v>
      </c>
      <c r="P115" s="93" t="s">
        <v>283</v>
      </c>
      <c r="Q115" s="94" t="s">
        <v>274</v>
      </c>
      <c r="R115" s="92" t="s">
        <v>283</v>
      </c>
      <c r="S115" s="92" t="s">
        <v>281</v>
      </c>
      <c r="T115" s="92" t="s">
        <v>274</v>
      </c>
      <c r="U115" s="93" t="s">
        <v>283</v>
      </c>
      <c r="V115" s="94" t="s">
        <v>276</v>
      </c>
      <c r="W115" s="92" t="s">
        <v>283</v>
      </c>
      <c r="X115" s="93" t="s">
        <v>284</v>
      </c>
      <c r="Y115" s="89"/>
      <c r="Z115" s="89"/>
      <c r="AA115" s="89"/>
      <c r="AB115" s="89"/>
      <c r="AC115" s="49"/>
      <c r="AD115" s="74"/>
      <c r="AE115" s="74"/>
      <c r="AF115" s="49"/>
      <c r="AG115" s="49"/>
      <c r="AH115" s="49"/>
    </row>
    <row r="116" spans="1:34" x14ac:dyDescent="0.25">
      <c r="B116"/>
      <c r="C116"/>
      <c r="D116"/>
      <c r="E116"/>
      <c r="F116"/>
      <c r="G116"/>
      <c r="K116" s="49"/>
      <c r="L116" s="372" t="s">
        <v>386</v>
      </c>
      <c r="M116" s="123" t="s">
        <v>387</v>
      </c>
      <c r="N116" s="224">
        <v>0.19583333333333333</v>
      </c>
      <c r="O116" s="225">
        <v>0.2013888888888889</v>
      </c>
      <c r="P116" s="226" t="s">
        <v>287</v>
      </c>
      <c r="Q116" s="224"/>
      <c r="R116" s="225"/>
      <c r="S116" s="225"/>
      <c r="T116" s="225"/>
      <c r="U116" s="226"/>
      <c r="V116" s="224">
        <v>0.42708333333333331</v>
      </c>
      <c r="W116" s="225" t="s">
        <v>288</v>
      </c>
      <c r="X116" s="226">
        <v>0.45277777777777778</v>
      </c>
      <c r="Y116" s="97">
        <f t="shared" ref="Y116:Y123" si="26">X116-N116</f>
        <v>0.25694444444444442</v>
      </c>
      <c r="Z116" s="97">
        <f t="shared" ref="Z116:Z123" si="27">Y116-AA116</f>
        <v>0.25694444444444442</v>
      </c>
      <c r="AA116" s="98">
        <f t="shared" ref="AA116:AA123" si="28">S116-Q116</f>
        <v>0</v>
      </c>
      <c r="AB116" s="98"/>
      <c r="AC116" s="49"/>
      <c r="AD116" s="74">
        <f t="shared" ref="AD116:AD117" si="29">V116-O116</f>
        <v>0.22569444444444442</v>
      </c>
      <c r="AE116" s="74"/>
      <c r="AF116" s="49"/>
      <c r="AG116" s="49"/>
      <c r="AH116" s="49"/>
    </row>
    <row r="117" spans="1:34" x14ac:dyDescent="0.25">
      <c r="B117"/>
      <c r="C117"/>
      <c r="D117"/>
      <c r="E117"/>
      <c r="F117"/>
      <c r="G117"/>
      <c r="K117" s="49"/>
      <c r="L117" s="375" t="s">
        <v>388</v>
      </c>
      <c r="M117" s="96" t="s">
        <v>389</v>
      </c>
      <c r="N117" s="227">
        <v>0.22708333333333333</v>
      </c>
      <c r="O117" s="228">
        <v>0.2326388888888889</v>
      </c>
      <c r="P117" s="229" t="s">
        <v>287</v>
      </c>
      <c r="Q117" s="227"/>
      <c r="R117" s="228"/>
      <c r="S117" s="228"/>
      <c r="T117" s="228"/>
      <c r="U117" s="229"/>
      <c r="V117" s="227">
        <v>0.375</v>
      </c>
      <c r="W117" s="228" t="s">
        <v>288</v>
      </c>
      <c r="X117" s="229">
        <v>0.40069444444444446</v>
      </c>
      <c r="Y117" s="95">
        <f t="shared" si="26"/>
        <v>0.17361111111111113</v>
      </c>
      <c r="Z117" s="95">
        <f t="shared" si="27"/>
        <v>0.17361111111111113</v>
      </c>
      <c r="AA117" s="99">
        <f t="shared" si="28"/>
        <v>0</v>
      </c>
      <c r="AB117" s="99"/>
      <c r="AC117" s="49"/>
      <c r="AD117" s="74">
        <f t="shared" si="29"/>
        <v>0.1423611111111111</v>
      </c>
      <c r="AE117" s="74"/>
      <c r="AF117" s="49"/>
      <c r="AG117" s="49"/>
      <c r="AH117" s="49"/>
    </row>
    <row r="118" spans="1:34" x14ac:dyDescent="0.25">
      <c r="B118"/>
      <c r="C118"/>
      <c r="D118"/>
      <c r="E118"/>
      <c r="F118"/>
      <c r="G118"/>
      <c r="K118" s="49"/>
      <c r="L118" s="375" t="s">
        <v>390</v>
      </c>
      <c r="M118" s="96" t="s">
        <v>391</v>
      </c>
      <c r="N118" s="227">
        <v>0.2722222222222222</v>
      </c>
      <c r="O118" s="228">
        <v>0.27777777777777779</v>
      </c>
      <c r="P118" s="229" t="s">
        <v>287</v>
      </c>
      <c r="Q118" s="227">
        <v>0.4375</v>
      </c>
      <c r="R118" s="228" t="s">
        <v>288</v>
      </c>
      <c r="S118" s="228">
        <v>0.49722222222222223</v>
      </c>
      <c r="T118" s="228">
        <v>0.5</v>
      </c>
      <c r="U118" s="229" t="s">
        <v>289</v>
      </c>
      <c r="V118" s="227">
        <v>0.625</v>
      </c>
      <c r="W118" s="228" t="s">
        <v>289</v>
      </c>
      <c r="X118" s="229">
        <v>0.64166666666666672</v>
      </c>
      <c r="Y118" s="95">
        <f t="shared" si="26"/>
        <v>0.36944444444444452</v>
      </c>
      <c r="Z118" s="95">
        <f t="shared" si="27"/>
        <v>0.30972222222222229</v>
      </c>
      <c r="AA118" s="99">
        <f t="shared" si="28"/>
        <v>5.9722222222222232E-2</v>
      </c>
      <c r="AB118" s="99"/>
      <c r="AC118" s="49"/>
      <c r="AD118" s="74">
        <f t="shared" ref="AD118:AD123" si="30">Q118-O118</f>
        <v>0.15972222222222221</v>
      </c>
      <c r="AE118" s="74">
        <f t="shared" ref="AE118:AE123" si="31">V118-T118</f>
        <v>0.125</v>
      </c>
      <c r="AF118" s="49"/>
      <c r="AG118" s="49"/>
      <c r="AH118" s="49"/>
    </row>
    <row r="119" spans="1:34" ht="16.5" thickBot="1" x14ac:dyDescent="0.3">
      <c r="B119"/>
      <c r="C119"/>
      <c r="D119"/>
      <c r="E119"/>
      <c r="F119"/>
      <c r="G119"/>
      <c r="K119" s="49"/>
      <c r="L119" s="375" t="s">
        <v>392</v>
      </c>
      <c r="M119" s="96" t="s">
        <v>393</v>
      </c>
      <c r="N119" s="227">
        <v>0.27916666666666667</v>
      </c>
      <c r="O119" s="228">
        <v>0.28472222222222221</v>
      </c>
      <c r="P119" s="229" t="s">
        <v>287</v>
      </c>
      <c r="Q119" s="227">
        <v>0.38194444444444442</v>
      </c>
      <c r="R119" s="228" t="s">
        <v>289</v>
      </c>
      <c r="S119" s="228">
        <v>0.42430555555555549</v>
      </c>
      <c r="T119" s="228">
        <v>0.42708333333333331</v>
      </c>
      <c r="U119" s="229" t="s">
        <v>288</v>
      </c>
      <c r="V119" s="227">
        <v>0.57291666666666663</v>
      </c>
      <c r="W119" s="228" t="s">
        <v>288</v>
      </c>
      <c r="X119" s="229">
        <v>0.59861111111111109</v>
      </c>
      <c r="Y119" s="95">
        <f t="shared" si="26"/>
        <v>0.31944444444444442</v>
      </c>
      <c r="Z119" s="95">
        <f t="shared" si="27"/>
        <v>0.27708333333333335</v>
      </c>
      <c r="AA119" s="99">
        <f t="shared" si="28"/>
        <v>4.2361111111111072E-2</v>
      </c>
      <c r="AB119" s="99"/>
      <c r="AC119" s="49"/>
      <c r="AD119" s="74">
        <f t="shared" si="30"/>
        <v>9.722222222222221E-2</v>
      </c>
      <c r="AE119" s="74">
        <f t="shared" si="31"/>
        <v>0.14583333333333331</v>
      </c>
      <c r="AF119" s="49"/>
      <c r="AG119" s="49"/>
      <c r="AH119" s="49"/>
    </row>
    <row r="120" spans="1:34" x14ac:dyDescent="0.25">
      <c r="B120"/>
      <c r="C120"/>
      <c r="D120"/>
      <c r="E120"/>
      <c r="F120"/>
      <c r="G120"/>
      <c r="K120" s="49"/>
      <c r="L120" s="380" t="s">
        <v>394</v>
      </c>
      <c r="M120" s="129" t="s">
        <v>395</v>
      </c>
      <c r="N120" s="224">
        <v>0.49305555555555558</v>
      </c>
      <c r="O120" s="225">
        <v>0.52083333333333337</v>
      </c>
      <c r="P120" s="234" t="s">
        <v>288</v>
      </c>
      <c r="Q120" s="224">
        <v>0.66666666666666663</v>
      </c>
      <c r="R120" s="225" t="s">
        <v>288</v>
      </c>
      <c r="S120" s="225">
        <v>0.70277777777777783</v>
      </c>
      <c r="T120" s="225">
        <v>0.70833333333333337</v>
      </c>
      <c r="U120" s="226" t="s">
        <v>288</v>
      </c>
      <c r="V120" s="224">
        <v>0.85416666666666663</v>
      </c>
      <c r="W120" s="225" t="s">
        <v>292</v>
      </c>
      <c r="X120" s="226">
        <v>0.85416666666666663</v>
      </c>
      <c r="Y120" s="97">
        <f t="shared" si="26"/>
        <v>0.36111111111111105</v>
      </c>
      <c r="Z120" s="97">
        <f t="shared" si="27"/>
        <v>0.32499999999999984</v>
      </c>
      <c r="AA120" s="98">
        <f t="shared" si="28"/>
        <v>3.6111111111111205E-2</v>
      </c>
      <c r="AB120" s="98"/>
      <c r="AC120" s="49"/>
      <c r="AD120" s="74">
        <f t="shared" si="30"/>
        <v>0.14583333333333326</v>
      </c>
      <c r="AE120" s="74">
        <f t="shared" si="31"/>
        <v>0.14583333333333326</v>
      </c>
      <c r="AF120" s="49"/>
      <c r="AG120" s="49"/>
      <c r="AH120" s="49"/>
    </row>
    <row r="121" spans="1:34" ht="15.75" customHeight="1" thickBot="1" x14ac:dyDescent="0.3">
      <c r="B121"/>
      <c r="C121"/>
      <c r="D121"/>
      <c r="E121"/>
      <c r="F121"/>
      <c r="G121"/>
      <c r="K121" s="49"/>
      <c r="L121" s="373" t="s">
        <v>396</v>
      </c>
      <c r="M121" s="102" t="s">
        <v>397</v>
      </c>
      <c r="N121" s="230">
        <v>0.56597222222222221</v>
      </c>
      <c r="O121" s="231">
        <v>0.59375</v>
      </c>
      <c r="P121" s="364" t="s">
        <v>288</v>
      </c>
      <c r="Q121" s="230">
        <v>0.73958333333333337</v>
      </c>
      <c r="R121" s="231" t="s">
        <v>288</v>
      </c>
      <c r="S121" s="231">
        <v>0.77847222222222234</v>
      </c>
      <c r="T121" s="231">
        <v>0.78125</v>
      </c>
      <c r="U121" s="232" t="s">
        <v>289</v>
      </c>
      <c r="V121" s="230">
        <v>0.89583333333333337</v>
      </c>
      <c r="W121" s="231" t="s">
        <v>289</v>
      </c>
      <c r="X121" s="232">
        <v>0.91249999999999998</v>
      </c>
      <c r="Y121" s="100">
        <f t="shared" si="26"/>
        <v>0.34652777777777777</v>
      </c>
      <c r="Z121" s="100">
        <f t="shared" si="27"/>
        <v>0.3076388888888888</v>
      </c>
      <c r="AA121" s="101">
        <f t="shared" si="28"/>
        <v>3.8888888888888973E-2</v>
      </c>
      <c r="AB121" s="101"/>
      <c r="AC121" s="49"/>
      <c r="AD121" s="74">
        <f t="shared" si="30"/>
        <v>0.14583333333333337</v>
      </c>
      <c r="AE121" s="74">
        <f t="shared" si="31"/>
        <v>0.11458333333333337</v>
      </c>
      <c r="AF121" s="49"/>
      <c r="AG121" s="49"/>
      <c r="AH121" s="49"/>
    </row>
    <row r="122" spans="1:34" x14ac:dyDescent="0.25">
      <c r="B122"/>
      <c r="C122"/>
      <c r="D122"/>
      <c r="E122"/>
      <c r="F122"/>
      <c r="G122"/>
      <c r="K122" s="49"/>
      <c r="L122" s="380" t="s">
        <v>398</v>
      </c>
      <c r="M122" s="129" t="s">
        <v>399</v>
      </c>
      <c r="N122" s="365">
        <v>0.64930555555555558</v>
      </c>
      <c r="O122" s="366">
        <v>0.67708333333333337</v>
      </c>
      <c r="P122" s="367" t="s">
        <v>288</v>
      </c>
      <c r="Q122" s="365">
        <v>0.8125</v>
      </c>
      <c r="R122" s="366" t="s">
        <v>317</v>
      </c>
      <c r="S122" s="366">
        <v>0.85138888888888875</v>
      </c>
      <c r="T122" s="366">
        <v>0.85416666666666663</v>
      </c>
      <c r="U122" s="368" t="s">
        <v>289</v>
      </c>
      <c r="V122" s="365">
        <v>1.03125</v>
      </c>
      <c r="W122" s="366" t="s">
        <v>292</v>
      </c>
      <c r="X122" s="368">
        <v>1.03125</v>
      </c>
      <c r="Y122" s="128">
        <f t="shared" si="26"/>
        <v>0.38194444444444442</v>
      </c>
      <c r="Z122" s="128">
        <f t="shared" si="27"/>
        <v>0.34305555555555567</v>
      </c>
      <c r="AA122" s="130">
        <f t="shared" si="28"/>
        <v>3.8888888888888751E-2</v>
      </c>
      <c r="AB122" s="130"/>
      <c r="AC122" s="49"/>
      <c r="AD122" s="74">
        <f t="shared" si="30"/>
        <v>0.13541666666666663</v>
      </c>
      <c r="AE122" s="74">
        <f t="shared" si="31"/>
        <v>0.17708333333333337</v>
      </c>
      <c r="AF122" s="49"/>
      <c r="AG122" s="49"/>
      <c r="AH122" s="49"/>
    </row>
    <row r="123" spans="1:34" ht="15.75" customHeight="1" thickBot="1" x14ac:dyDescent="0.3">
      <c r="B123"/>
      <c r="C123"/>
      <c r="D123"/>
      <c r="E123"/>
      <c r="F123"/>
      <c r="G123"/>
      <c r="K123" s="49"/>
      <c r="L123" s="381" t="s">
        <v>400</v>
      </c>
      <c r="M123" s="131" t="s">
        <v>401</v>
      </c>
      <c r="N123" s="236">
        <v>0.69930555555555551</v>
      </c>
      <c r="O123" s="237">
        <v>0.70138888888888884</v>
      </c>
      <c r="P123" s="238" t="s">
        <v>287</v>
      </c>
      <c r="Q123" s="236">
        <v>0.8125</v>
      </c>
      <c r="R123" s="237" t="s">
        <v>292</v>
      </c>
      <c r="S123" s="237">
        <v>0.87916666666666665</v>
      </c>
      <c r="T123" s="237">
        <v>0.89583333333333337</v>
      </c>
      <c r="U123" s="238" t="s">
        <v>289</v>
      </c>
      <c r="V123" s="236">
        <v>1.0347222222222223</v>
      </c>
      <c r="W123" s="237" t="s">
        <v>292</v>
      </c>
      <c r="X123" s="238">
        <v>1.0347222222222223</v>
      </c>
      <c r="Y123" s="103">
        <f t="shared" si="26"/>
        <v>0.33541666666666681</v>
      </c>
      <c r="Z123" s="103">
        <f t="shared" si="27"/>
        <v>0.26875000000000016</v>
      </c>
      <c r="AA123" s="104">
        <f t="shared" si="28"/>
        <v>6.6666666666666652E-2</v>
      </c>
      <c r="AB123" s="104"/>
      <c r="AC123" s="49"/>
      <c r="AD123" s="74">
        <f t="shared" si="30"/>
        <v>0.11111111111111116</v>
      </c>
      <c r="AE123" s="74">
        <f t="shared" si="31"/>
        <v>0.13888888888888895</v>
      </c>
      <c r="AF123" s="49"/>
      <c r="AG123" s="49"/>
      <c r="AH123" s="49"/>
    </row>
    <row r="124" spans="1:34" ht="16.5" customHeight="1" thickBot="1" x14ac:dyDescent="0.3">
      <c r="B124"/>
      <c r="C124"/>
      <c r="D124"/>
      <c r="E124"/>
      <c r="F124"/>
      <c r="G124"/>
      <c r="K124" s="49"/>
      <c r="L124" s="132"/>
      <c r="M124" s="133"/>
      <c r="N124" s="134"/>
      <c r="O124" s="135"/>
      <c r="P124" s="136"/>
      <c r="Q124" s="134"/>
      <c r="R124" s="135"/>
      <c r="S124" s="137"/>
      <c r="T124" s="135"/>
      <c r="U124" s="136"/>
      <c r="V124" s="138"/>
      <c r="W124" s="135"/>
      <c r="X124" s="139"/>
      <c r="Y124" s="140"/>
      <c r="Z124" s="126">
        <f>AVERAGE(Z116:Z123)</f>
        <v>0.28272569444444445</v>
      </c>
      <c r="AA124" s="141"/>
      <c r="AB124" s="141"/>
      <c r="AC124" s="49"/>
      <c r="AD124" s="49"/>
      <c r="AE124" s="49"/>
      <c r="AF124" s="49"/>
      <c r="AG124" s="49"/>
      <c r="AH124" s="49"/>
    </row>
    <row r="125" spans="1:34" ht="15.75" customHeight="1" x14ac:dyDescent="0.25">
      <c r="B125"/>
      <c r="C125"/>
      <c r="D125"/>
      <c r="E125"/>
      <c r="F125"/>
      <c r="G125"/>
      <c r="K125" s="49"/>
      <c r="AB125" s="49"/>
      <c r="AC125" s="49"/>
      <c r="AD125" s="49"/>
      <c r="AE125" s="49"/>
      <c r="AF125" s="49"/>
      <c r="AG125" s="49"/>
      <c r="AH125" s="49"/>
    </row>
    <row r="126" spans="1:34" ht="15.75" customHeight="1" x14ac:dyDescent="0.25">
      <c r="B126"/>
      <c r="C126"/>
      <c r="D126"/>
      <c r="E126"/>
      <c r="F126"/>
      <c r="G126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</row>
    <row r="127" spans="1:34" ht="15.75" customHeight="1" x14ac:dyDescent="0.25">
      <c r="B127"/>
      <c r="C127"/>
      <c r="D127"/>
      <c r="E127"/>
      <c r="F127"/>
      <c r="G127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</row>
    <row r="128" spans="1:34" ht="15.75" customHeight="1" x14ac:dyDescent="0.25">
      <c r="B128"/>
      <c r="C128"/>
      <c r="D128"/>
      <c r="E128"/>
      <c r="F128"/>
      <c r="G128"/>
    </row>
    <row r="129" spans="2:30" ht="15.75" customHeight="1" x14ac:dyDescent="0.25">
      <c r="B129"/>
      <c r="C129"/>
      <c r="D129"/>
      <c r="E129"/>
      <c r="F129"/>
      <c r="G129"/>
    </row>
    <row r="130" spans="2:30" ht="15.75" customHeight="1" x14ac:dyDescent="0.25">
      <c r="B130"/>
      <c r="C130"/>
      <c r="D130"/>
      <c r="E130"/>
      <c r="F130"/>
      <c r="G130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</row>
    <row r="131" spans="2:30" ht="15.75" customHeight="1" x14ac:dyDescent="0.25">
      <c r="B131"/>
      <c r="C131"/>
      <c r="D131"/>
      <c r="E131"/>
      <c r="F131"/>
      <c r="G131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</row>
    <row r="132" spans="2:30" ht="15.75" customHeight="1" x14ac:dyDescent="0.25">
      <c r="B132"/>
      <c r="C132"/>
      <c r="D132"/>
      <c r="E132"/>
      <c r="F132"/>
      <c r="G132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</row>
    <row r="133" spans="2:30" ht="15.75" customHeight="1" x14ac:dyDescent="0.25">
      <c r="B133"/>
      <c r="C133"/>
      <c r="D133"/>
      <c r="E133"/>
      <c r="F133"/>
      <c r="G133"/>
    </row>
    <row r="134" spans="2:30" ht="15.75" customHeight="1" x14ac:dyDescent="0.25">
      <c r="B134"/>
      <c r="C134"/>
      <c r="D134"/>
      <c r="E134"/>
      <c r="F134"/>
      <c r="G134"/>
    </row>
    <row r="135" spans="2:30" ht="15.75" customHeight="1" x14ac:dyDescent="0.25">
      <c r="B135"/>
      <c r="C135"/>
      <c r="D135"/>
      <c r="E135"/>
      <c r="F135"/>
      <c r="G135"/>
    </row>
    <row r="136" spans="2:30" ht="15.75" customHeight="1" x14ac:dyDescent="0.25">
      <c r="B136"/>
      <c r="C136"/>
      <c r="D136"/>
      <c r="E136"/>
      <c r="F136"/>
      <c r="G136"/>
    </row>
    <row r="137" spans="2:30" ht="15.75" customHeight="1" x14ac:dyDescent="0.25">
      <c r="B137"/>
      <c r="C137"/>
      <c r="D137"/>
      <c r="E137"/>
      <c r="F137"/>
      <c r="G137"/>
    </row>
    <row r="138" spans="2:30" ht="15.75" customHeight="1" x14ac:dyDescent="0.25">
      <c r="B138"/>
      <c r="C138"/>
      <c r="D138"/>
      <c r="E138"/>
      <c r="F138"/>
      <c r="G138"/>
    </row>
    <row r="139" spans="2:30" ht="15.75" customHeight="1" x14ac:dyDescent="0.25">
      <c r="B139"/>
      <c r="C139"/>
      <c r="D139"/>
      <c r="E139"/>
      <c r="F139"/>
      <c r="G139"/>
    </row>
    <row r="140" spans="2:30" ht="15.75" customHeight="1" x14ac:dyDescent="0.25">
      <c r="B140"/>
      <c r="C140"/>
      <c r="D140"/>
      <c r="E140"/>
      <c r="F140"/>
      <c r="G140"/>
    </row>
    <row r="141" spans="2:30" ht="15.75" customHeight="1" x14ac:dyDescent="0.25">
      <c r="B141"/>
      <c r="C141"/>
      <c r="D141"/>
      <c r="E141"/>
      <c r="F141"/>
      <c r="G141"/>
    </row>
    <row r="142" spans="2:30" ht="15.75" customHeight="1" x14ac:dyDescent="0.25">
      <c r="B142"/>
      <c r="C142"/>
      <c r="D142"/>
      <c r="E142"/>
      <c r="F142"/>
      <c r="G142"/>
    </row>
    <row r="143" spans="2:30" ht="15.75" customHeight="1" x14ac:dyDescent="0.25">
      <c r="B143"/>
      <c r="C143"/>
      <c r="D143"/>
      <c r="E143"/>
      <c r="F143"/>
      <c r="G143"/>
    </row>
    <row r="144" spans="2:30" ht="15.75" customHeight="1" x14ac:dyDescent="0.25">
      <c r="B144"/>
      <c r="C144"/>
      <c r="D144"/>
      <c r="E144"/>
      <c r="F144"/>
      <c r="G144"/>
    </row>
    <row r="145" spans="2:7" ht="15.75" customHeight="1" x14ac:dyDescent="0.25">
      <c r="B145"/>
      <c r="C145"/>
      <c r="D145"/>
      <c r="E145"/>
      <c r="F145"/>
      <c r="G145"/>
    </row>
    <row r="146" spans="2:7" ht="15.75" customHeight="1" x14ac:dyDescent="0.25">
      <c r="B146"/>
      <c r="C146"/>
      <c r="D146"/>
      <c r="E146"/>
      <c r="F146"/>
      <c r="G146"/>
    </row>
    <row r="147" spans="2:7" ht="15.75" customHeight="1" x14ac:dyDescent="0.25">
      <c r="B147"/>
      <c r="C147"/>
      <c r="D147"/>
      <c r="E147"/>
      <c r="F147"/>
      <c r="G147"/>
    </row>
    <row r="148" spans="2:7" ht="15.75" customHeight="1" x14ac:dyDescent="0.25">
      <c r="B148"/>
      <c r="C148"/>
      <c r="D148"/>
      <c r="E148"/>
      <c r="F148"/>
      <c r="G148"/>
    </row>
    <row r="149" spans="2:7" ht="15.75" customHeight="1" x14ac:dyDescent="0.25">
      <c r="B149"/>
      <c r="C149"/>
      <c r="D149"/>
      <c r="E149"/>
      <c r="F149"/>
      <c r="G149"/>
    </row>
    <row r="150" spans="2:7" ht="15.75" customHeight="1" x14ac:dyDescent="0.25">
      <c r="B150"/>
      <c r="C150"/>
      <c r="D150"/>
      <c r="E150"/>
      <c r="F150"/>
      <c r="G150"/>
    </row>
    <row r="151" spans="2:7" ht="15.75" customHeight="1" x14ac:dyDescent="0.25">
      <c r="B151"/>
      <c r="C151"/>
      <c r="D151"/>
      <c r="E151"/>
      <c r="F151"/>
      <c r="G151"/>
    </row>
    <row r="152" spans="2:7" ht="15.75" customHeight="1" x14ac:dyDescent="0.25">
      <c r="B152"/>
      <c r="C152"/>
      <c r="D152"/>
      <c r="E152"/>
      <c r="F152"/>
      <c r="G152"/>
    </row>
    <row r="153" spans="2:7" ht="15.75" customHeight="1" x14ac:dyDescent="0.25">
      <c r="B153"/>
      <c r="C153"/>
      <c r="D153"/>
      <c r="E153"/>
      <c r="F153"/>
      <c r="G153"/>
    </row>
    <row r="154" spans="2:7" ht="15.75" customHeight="1" x14ac:dyDescent="0.25">
      <c r="B154"/>
      <c r="C154"/>
      <c r="D154"/>
      <c r="E154"/>
      <c r="F154"/>
      <c r="G154"/>
    </row>
    <row r="155" spans="2:7" ht="15.75" customHeight="1" x14ac:dyDescent="0.25">
      <c r="B155"/>
      <c r="C155"/>
      <c r="D155"/>
      <c r="E155"/>
      <c r="F155"/>
      <c r="G155"/>
    </row>
    <row r="156" spans="2:7" ht="15.75" customHeight="1" x14ac:dyDescent="0.25">
      <c r="B156"/>
      <c r="C156"/>
      <c r="D156"/>
      <c r="E156"/>
      <c r="F156"/>
      <c r="G156"/>
    </row>
    <row r="157" spans="2:7" ht="15.75" customHeight="1" x14ac:dyDescent="0.25">
      <c r="B157"/>
      <c r="C157"/>
      <c r="D157"/>
      <c r="E157"/>
      <c r="F157"/>
      <c r="G157"/>
    </row>
    <row r="158" spans="2:7" ht="16.5" customHeight="1" x14ac:dyDescent="0.25">
      <c r="B158"/>
      <c r="C158"/>
      <c r="D158"/>
      <c r="E158"/>
      <c r="F158"/>
      <c r="G158"/>
    </row>
    <row r="159" spans="2:7" ht="15.75" customHeight="1" x14ac:dyDescent="0.25">
      <c r="B159"/>
      <c r="C159"/>
      <c r="D159"/>
      <c r="E159"/>
      <c r="F159"/>
      <c r="G159"/>
    </row>
    <row r="160" spans="2:7" ht="15.75" customHeight="1" x14ac:dyDescent="0.25">
      <c r="B160"/>
      <c r="C160"/>
      <c r="D160"/>
      <c r="E160"/>
      <c r="F160"/>
      <c r="G160"/>
    </row>
    <row r="161" spans="2:7" ht="15.75" customHeight="1" x14ac:dyDescent="0.25">
      <c r="B161"/>
      <c r="C161"/>
      <c r="D161"/>
      <c r="E161"/>
      <c r="F161"/>
      <c r="G161"/>
    </row>
    <row r="162" spans="2:7" ht="15.75" customHeight="1" x14ac:dyDescent="0.25">
      <c r="B162"/>
      <c r="C162"/>
      <c r="D162"/>
      <c r="E162"/>
      <c r="F162"/>
      <c r="G162"/>
    </row>
    <row r="163" spans="2:7" ht="15.75" customHeight="1" x14ac:dyDescent="0.25">
      <c r="B163"/>
      <c r="C163"/>
      <c r="D163"/>
      <c r="E163"/>
      <c r="F163"/>
      <c r="G163"/>
    </row>
    <row r="164" spans="2:7" ht="15.75" customHeight="1" x14ac:dyDescent="0.25">
      <c r="B164"/>
      <c r="C164"/>
      <c r="D164"/>
      <c r="E164"/>
      <c r="F164"/>
      <c r="G164"/>
    </row>
    <row r="165" spans="2:7" ht="15.75" customHeight="1" x14ac:dyDescent="0.25">
      <c r="B165"/>
      <c r="C165"/>
      <c r="D165"/>
      <c r="E165"/>
      <c r="F165"/>
      <c r="G165"/>
    </row>
    <row r="166" spans="2:7" ht="15.75" customHeight="1" x14ac:dyDescent="0.25">
      <c r="B166"/>
      <c r="C166"/>
      <c r="D166"/>
      <c r="E166"/>
      <c r="F166"/>
      <c r="G166"/>
    </row>
    <row r="167" spans="2:7" ht="15.75" customHeight="1" x14ac:dyDescent="0.25">
      <c r="B167"/>
      <c r="C167"/>
      <c r="D167"/>
      <c r="E167"/>
      <c r="F167"/>
      <c r="G167"/>
    </row>
    <row r="168" spans="2:7" ht="15.75" customHeight="1" x14ac:dyDescent="0.25">
      <c r="B168"/>
      <c r="C168"/>
      <c r="D168"/>
      <c r="E168"/>
      <c r="F168"/>
      <c r="G168"/>
    </row>
    <row r="169" spans="2:7" ht="16.5" customHeight="1" x14ac:dyDescent="0.25">
      <c r="B169"/>
      <c r="C169"/>
      <c r="D169"/>
      <c r="E169"/>
      <c r="F169"/>
      <c r="G169"/>
    </row>
    <row r="170" spans="2:7" ht="16.5" customHeight="1" x14ac:dyDescent="0.25">
      <c r="B170"/>
      <c r="C170"/>
      <c r="D170"/>
      <c r="E170"/>
      <c r="F170"/>
      <c r="G170"/>
    </row>
    <row r="171" spans="2:7" ht="15.75" customHeight="1" x14ac:dyDescent="0.25">
      <c r="B171"/>
      <c r="C171"/>
      <c r="D171"/>
      <c r="E171"/>
      <c r="F171"/>
      <c r="G171"/>
    </row>
    <row r="172" spans="2:7" ht="16.5" customHeight="1" x14ac:dyDescent="0.25">
      <c r="B172"/>
      <c r="C172"/>
      <c r="D172"/>
      <c r="E172"/>
      <c r="F172"/>
      <c r="G172"/>
    </row>
    <row r="173" spans="2:7" ht="15.75" customHeight="1" x14ac:dyDescent="0.25">
      <c r="B173"/>
      <c r="C173"/>
      <c r="D173"/>
      <c r="E173"/>
      <c r="F173"/>
      <c r="G173"/>
    </row>
    <row r="174" spans="2:7" ht="15.75" customHeight="1" x14ac:dyDescent="0.25">
      <c r="B174"/>
      <c r="C174"/>
      <c r="D174"/>
      <c r="E174"/>
      <c r="F174"/>
      <c r="G174"/>
    </row>
    <row r="175" spans="2:7" ht="15.75" customHeight="1" x14ac:dyDescent="0.25">
      <c r="B175"/>
      <c r="C175"/>
      <c r="D175"/>
      <c r="E175"/>
      <c r="F175"/>
      <c r="G175"/>
    </row>
    <row r="176" spans="2:7" ht="15.75" customHeight="1" x14ac:dyDescent="0.25">
      <c r="B176"/>
      <c r="C176"/>
      <c r="D176"/>
      <c r="E176"/>
      <c r="F176"/>
      <c r="G176"/>
    </row>
    <row r="177" spans="2:12" ht="15.75" customHeight="1" x14ac:dyDescent="0.25">
      <c r="B177"/>
      <c r="C177"/>
      <c r="D177"/>
      <c r="E177"/>
      <c r="F177"/>
      <c r="G177"/>
    </row>
    <row r="178" spans="2:12" ht="15.75" customHeight="1" x14ac:dyDescent="0.25">
      <c r="B178"/>
      <c r="C178"/>
      <c r="D178"/>
      <c r="E178"/>
      <c r="F178"/>
      <c r="G178"/>
    </row>
    <row r="179" spans="2:12" ht="15.75" customHeight="1" x14ac:dyDescent="0.25">
      <c r="B179"/>
      <c r="C179"/>
      <c r="D179"/>
      <c r="E179"/>
      <c r="F179"/>
      <c r="G179"/>
    </row>
    <row r="180" spans="2:12" ht="15.75" customHeight="1" x14ac:dyDescent="0.25">
      <c r="B180"/>
      <c r="C180"/>
      <c r="D180"/>
      <c r="E180"/>
      <c r="F180"/>
      <c r="G180"/>
    </row>
    <row r="181" spans="2:12" ht="15.75" customHeight="1" x14ac:dyDescent="0.25">
      <c r="B181"/>
      <c r="C181"/>
      <c r="D181"/>
      <c r="E181"/>
      <c r="F181"/>
      <c r="G181"/>
    </row>
    <row r="182" spans="2:12" ht="16.5" customHeight="1" x14ac:dyDescent="0.25">
      <c r="B182"/>
      <c r="C182"/>
      <c r="D182"/>
      <c r="E182"/>
      <c r="F182"/>
      <c r="G182"/>
    </row>
    <row r="183" spans="2:12" ht="16.5" customHeight="1" x14ac:dyDescent="0.25">
      <c r="B183"/>
      <c r="C183"/>
      <c r="D183"/>
      <c r="E183"/>
      <c r="F183"/>
      <c r="G183"/>
    </row>
    <row r="184" spans="2:12" ht="15.75" customHeight="1" x14ac:dyDescent="0.25">
      <c r="B184"/>
      <c r="C184"/>
      <c r="D184"/>
      <c r="E184"/>
      <c r="F184"/>
      <c r="G184"/>
    </row>
    <row r="185" spans="2:12" ht="15.75" customHeight="1" x14ac:dyDescent="0.25">
      <c r="B185"/>
      <c r="C185"/>
      <c r="D185"/>
      <c r="E185"/>
      <c r="F185"/>
      <c r="G185"/>
    </row>
    <row r="186" spans="2:12" ht="15.75" customHeight="1" x14ac:dyDescent="0.25">
      <c r="B186"/>
      <c r="C186"/>
      <c r="D186"/>
      <c r="E186"/>
      <c r="F186"/>
      <c r="G186"/>
    </row>
    <row r="187" spans="2:12" ht="15.75" customHeight="1" x14ac:dyDescent="0.25">
      <c r="B187"/>
      <c r="C187"/>
      <c r="D187"/>
      <c r="E187"/>
      <c r="F187"/>
      <c r="G187"/>
    </row>
    <row r="188" spans="2:12" ht="15.75" customHeight="1" x14ac:dyDescent="0.25">
      <c r="B188"/>
      <c r="C188"/>
      <c r="D188"/>
      <c r="E188"/>
      <c r="F188"/>
      <c r="G188"/>
    </row>
    <row r="189" spans="2:12" ht="15.75" customHeight="1" x14ac:dyDescent="0.25">
      <c r="B189"/>
      <c r="C189"/>
      <c r="D189"/>
      <c r="E189"/>
      <c r="F189"/>
      <c r="G189"/>
    </row>
    <row r="190" spans="2:12" ht="15.75" customHeight="1" x14ac:dyDescent="0.25">
      <c r="B190"/>
      <c r="C190"/>
      <c r="D190"/>
      <c r="E190"/>
      <c r="F190"/>
      <c r="G190"/>
    </row>
    <row r="191" spans="2:12" ht="15.75" customHeight="1" x14ac:dyDescent="0.25">
      <c r="B191"/>
      <c r="C191"/>
      <c r="D191"/>
      <c r="E191"/>
      <c r="F191"/>
      <c r="G191"/>
    </row>
    <row r="192" spans="2:12" ht="15.75" customHeight="1" x14ac:dyDescent="0.25">
      <c r="B192"/>
      <c r="C192"/>
      <c r="D192"/>
      <c r="E192"/>
      <c r="F192"/>
      <c r="G192"/>
      <c r="L192"/>
    </row>
    <row r="193" spans="2:12" ht="15.75" customHeight="1" x14ac:dyDescent="0.25">
      <c r="B193"/>
      <c r="C193"/>
      <c r="D193"/>
      <c r="E193"/>
      <c r="F193"/>
      <c r="G193"/>
      <c r="L193"/>
    </row>
    <row r="194" spans="2:12" ht="15.75" customHeight="1" x14ac:dyDescent="0.25">
      <c r="B194"/>
      <c r="C194"/>
      <c r="D194"/>
      <c r="E194"/>
      <c r="F194"/>
      <c r="G194"/>
      <c r="L194"/>
    </row>
    <row r="195" spans="2:12" ht="15.75" customHeight="1" x14ac:dyDescent="0.25">
      <c r="B195"/>
      <c r="C195"/>
      <c r="D195"/>
      <c r="E195"/>
      <c r="F195"/>
      <c r="G195"/>
      <c r="L195"/>
    </row>
    <row r="196" spans="2:12" ht="15.75" customHeight="1" x14ac:dyDescent="0.25">
      <c r="B196"/>
      <c r="C196"/>
      <c r="D196"/>
      <c r="E196"/>
      <c r="F196"/>
      <c r="G196"/>
      <c r="L196"/>
    </row>
    <row r="197" spans="2:12" ht="15.75" customHeight="1" x14ac:dyDescent="0.25">
      <c r="B197"/>
      <c r="C197"/>
      <c r="D197"/>
      <c r="E197"/>
      <c r="F197"/>
      <c r="G197"/>
      <c r="L197"/>
    </row>
    <row r="198" spans="2:12" ht="15.75" customHeight="1" x14ac:dyDescent="0.25">
      <c r="B198"/>
      <c r="C198"/>
      <c r="D198"/>
      <c r="E198"/>
      <c r="F198"/>
      <c r="G198"/>
      <c r="L198"/>
    </row>
    <row r="199" spans="2:12" ht="15.75" customHeight="1" x14ac:dyDescent="0.25">
      <c r="B199"/>
      <c r="C199"/>
      <c r="D199"/>
      <c r="E199"/>
      <c r="F199"/>
      <c r="G199"/>
      <c r="L199"/>
    </row>
    <row r="200" spans="2:12" x14ac:dyDescent="0.25">
      <c r="B200"/>
      <c r="C200"/>
      <c r="D200"/>
      <c r="E200"/>
      <c r="F200"/>
      <c r="G200"/>
      <c r="L200"/>
    </row>
    <row r="201" spans="2:12" x14ac:dyDescent="0.25">
      <c r="B201"/>
      <c r="C201"/>
      <c r="D201"/>
      <c r="E201"/>
      <c r="F201"/>
      <c r="G201"/>
      <c r="L201"/>
    </row>
    <row r="202" spans="2:12" x14ac:dyDescent="0.25">
      <c r="B202"/>
      <c r="C202"/>
      <c r="D202"/>
      <c r="E202"/>
      <c r="F202"/>
      <c r="G202"/>
      <c r="L202"/>
    </row>
    <row r="203" spans="2:12" x14ac:dyDescent="0.25">
      <c r="B203"/>
      <c r="C203"/>
      <c r="D203"/>
      <c r="E203"/>
      <c r="F203"/>
      <c r="G203"/>
      <c r="L203"/>
    </row>
    <row r="204" spans="2:12" x14ac:dyDescent="0.25">
      <c r="B204"/>
      <c r="C204"/>
      <c r="D204"/>
      <c r="E204"/>
      <c r="F204"/>
      <c r="G204"/>
      <c r="H204"/>
      <c r="I204"/>
      <c r="L204"/>
    </row>
    <row r="205" spans="2:12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4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4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4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4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4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4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4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4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4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4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4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4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4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4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2:14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2:14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2:14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2:14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2:14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2:14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2:14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2:14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2:14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2:14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2:14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2:14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2:14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2:14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2:14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2:14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2:14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2:14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2:14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2:14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2:14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2:14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2:14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2:14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2:14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2:14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2:14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2:14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2:14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2:14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2:14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2:14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2:14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2:14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2:14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2:14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2:14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2:14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2:14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2:14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2:14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2:14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2:14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2:14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2:14" x14ac:dyDescent="0.25">
      <c r="B267"/>
      <c r="C267"/>
      <c r="D267"/>
      <c r="E267"/>
      <c r="F267"/>
      <c r="G267"/>
      <c r="H267"/>
      <c r="I267"/>
      <c r="J267"/>
      <c r="K267"/>
    </row>
    <row r="268" spans="2:14" x14ac:dyDescent="0.25">
      <c r="B268"/>
      <c r="C268"/>
      <c r="D268"/>
      <c r="E268"/>
      <c r="F268"/>
      <c r="G268"/>
      <c r="H268"/>
      <c r="I268"/>
      <c r="J268"/>
      <c r="K268"/>
    </row>
    <row r="269" spans="2:14" x14ac:dyDescent="0.25">
      <c r="B269"/>
      <c r="C269"/>
      <c r="D269"/>
      <c r="E269"/>
      <c r="F269"/>
      <c r="G269"/>
      <c r="H269"/>
      <c r="I269"/>
      <c r="J269"/>
      <c r="K269"/>
    </row>
    <row r="270" spans="2:14" x14ac:dyDescent="0.25">
      <c r="B270"/>
      <c r="C270"/>
      <c r="D270"/>
      <c r="E270"/>
      <c r="F270"/>
      <c r="G270"/>
      <c r="H270"/>
      <c r="I270"/>
      <c r="J270"/>
      <c r="K270"/>
    </row>
    <row r="271" spans="2:14" x14ac:dyDescent="0.25">
      <c r="B271"/>
      <c r="C271"/>
      <c r="D271"/>
      <c r="E271"/>
      <c r="F271"/>
      <c r="G271"/>
      <c r="H271"/>
      <c r="I271"/>
      <c r="J271"/>
      <c r="K271"/>
    </row>
    <row r="272" spans="2:14" x14ac:dyDescent="0.25">
      <c r="B272"/>
      <c r="C272"/>
      <c r="D272"/>
      <c r="E272"/>
      <c r="F272"/>
      <c r="G272"/>
      <c r="H272"/>
      <c r="I272"/>
      <c r="J272"/>
      <c r="K272"/>
    </row>
    <row r="273" spans="2:11" x14ac:dyDescent="0.25">
      <c r="B273"/>
      <c r="C273"/>
      <c r="D273"/>
      <c r="E273"/>
      <c r="F273"/>
      <c r="G273"/>
      <c r="H273"/>
      <c r="I273"/>
      <c r="J273"/>
      <c r="K273"/>
    </row>
    <row r="274" spans="2:11" x14ac:dyDescent="0.25">
      <c r="B274"/>
      <c r="C274"/>
      <c r="D274"/>
      <c r="E274"/>
      <c r="F274"/>
      <c r="G274"/>
      <c r="H274"/>
      <c r="I274"/>
      <c r="J274"/>
      <c r="K274"/>
    </row>
    <row r="275" spans="2:11" x14ac:dyDescent="0.25">
      <c r="B275"/>
      <c r="C275"/>
      <c r="D275"/>
      <c r="E275"/>
      <c r="F275"/>
      <c r="G275"/>
      <c r="H275"/>
      <c r="I275"/>
      <c r="J275"/>
      <c r="K275"/>
    </row>
    <row r="276" spans="2:11" x14ac:dyDescent="0.25">
      <c r="B276"/>
      <c r="C276"/>
      <c r="D276"/>
      <c r="E276"/>
      <c r="F276"/>
      <c r="G276"/>
      <c r="H276"/>
      <c r="I276"/>
      <c r="J276"/>
      <c r="K276"/>
    </row>
    <row r="277" spans="2:11" x14ac:dyDescent="0.25">
      <c r="B277"/>
      <c r="C277"/>
      <c r="D277"/>
      <c r="E277"/>
      <c r="F277"/>
      <c r="G277"/>
      <c r="H277"/>
      <c r="I277"/>
      <c r="J277"/>
      <c r="K277"/>
    </row>
    <row r="278" spans="2:11" x14ac:dyDescent="0.25">
      <c r="B278"/>
      <c r="C278"/>
      <c r="D278"/>
      <c r="E278"/>
      <c r="F278"/>
      <c r="G278"/>
      <c r="H278"/>
      <c r="I278"/>
      <c r="J278"/>
      <c r="K278"/>
    </row>
    <row r="279" spans="2:11" x14ac:dyDescent="0.25">
      <c r="J279"/>
      <c r="K279"/>
    </row>
  </sheetData>
  <mergeCells count="11">
    <mergeCell ref="AB60:AB61"/>
    <mergeCell ref="A1:D1"/>
    <mergeCell ref="L60:L61"/>
    <mergeCell ref="M60:M61"/>
    <mergeCell ref="N60:P60"/>
    <mergeCell ref="Q60:U60"/>
    <mergeCell ref="V60:X60"/>
    <mergeCell ref="Y60:Y61"/>
    <mergeCell ref="Z60:Z61"/>
    <mergeCell ref="AA60:AA61"/>
    <mergeCell ref="Y1:Z1"/>
  </mergeCells>
  <conditionalFormatting sqref="Y62:Y67">
    <cfRule type="cellIs" dxfId="145" priority="2" operator="greaterThan">
      <formula>0.375</formula>
    </cfRule>
  </conditionalFormatting>
  <conditionalFormatting sqref="Y123">
    <cfRule type="cellIs" dxfId="144" priority="3" operator="greaterThan">
      <formula>0.375</formula>
    </cfRule>
  </conditionalFormatting>
  <conditionalFormatting sqref="AD62:AE123">
    <cfRule type="cellIs" dxfId="143" priority="1" operator="greaterThan">
      <formula>0.222222222222222</formula>
    </cfRule>
  </conditionalFormatting>
  <pageMargins left="0.25" right="0.25" top="0.75" bottom="0.75" header="0.3" footer="0.3"/>
  <pageSetup paperSize="8" scale="5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FB8F-8901-45E0-9497-1D3E18F9F79A}">
  <sheetPr>
    <pageSetUpPr fitToPage="1"/>
  </sheetPr>
  <dimension ref="A1:AE110"/>
  <sheetViews>
    <sheetView topLeftCell="A68" zoomScale="70" zoomScaleNormal="70" workbookViewId="0">
      <selection activeCell="Z90" sqref="Z90:AA90"/>
    </sheetView>
    <sheetView workbookViewId="1"/>
  </sheetViews>
  <sheetFormatPr defaultRowHeight="15" x14ac:dyDescent="0.25"/>
  <cols>
    <col min="1" max="1" width="20.5703125" customWidth="1"/>
    <col min="2" max="3" width="11.28515625" bestFit="1" customWidth="1"/>
    <col min="4" max="5" width="11.5703125" bestFit="1" customWidth="1"/>
    <col min="6" max="6" width="11.28515625" bestFit="1" customWidth="1"/>
    <col min="7" max="7" width="11.5703125" bestFit="1" customWidth="1"/>
    <col min="8" max="8" width="11.28515625" bestFit="1" customWidth="1"/>
    <col min="9" max="9" width="12.7109375" bestFit="1" customWidth="1"/>
    <col min="10" max="10" width="11.5703125" bestFit="1" customWidth="1"/>
    <col min="11" max="11" width="11.28515625" bestFit="1" customWidth="1"/>
    <col min="12" max="12" width="11.5703125" bestFit="1" customWidth="1"/>
    <col min="13" max="13" width="11.28515625" bestFit="1" customWidth="1"/>
    <col min="14" max="15" width="11.5703125" bestFit="1" customWidth="1"/>
    <col min="16" max="19" width="11.28515625" bestFit="1" customWidth="1"/>
    <col min="20" max="23" width="11.5703125" bestFit="1" customWidth="1"/>
    <col min="24" max="24" width="15.7109375" bestFit="1" customWidth="1"/>
    <col min="25" max="25" width="15.28515625" bestFit="1" customWidth="1"/>
    <col min="26" max="26" width="13.140625" bestFit="1" customWidth="1"/>
    <col min="27" max="27" width="10" bestFit="1" customWidth="1"/>
    <col min="28" max="28" width="11.28515625" bestFit="1" customWidth="1"/>
    <col min="29" max="29" width="11" bestFit="1" customWidth="1"/>
  </cols>
  <sheetData>
    <row r="1" spans="1:25" ht="21.75" thickBot="1" x14ac:dyDescent="0.4">
      <c r="A1" s="142" t="s">
        <v>402</v>
      </c>
      <c r="B1" s="143"/>
      <c r="C1" s="143"/>
      <c r="D1" s="143"/>
      <c r="E1" s="144"/>
      <c r="F1" s="144"/>
      <c r="G1" s="144"/>
      <c r="H1" s="144" t="s">
        <v>403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370" t="s">
        <v>3</v>
      </c>
      <c r="W1" s="144"/>
      <c r="X1" s="145"/>
      <c r="Y1" s="146"/>
    </row>
    <row r="2" spans="1:25" ht="16.5" thickBot="1" x14ac:dyDescent="0.3">
      <c r="A2" s="147" t="s">
        <v>24</v>
      </c>
      <c r="B2" s="1124" t="s">
        <v>23</v>
      </c>
      <c r="C2" s="1124" t="s">
        <v>404</v>
      </c>
      <c r="D2" s="1124" t="s">
        <v>230</v>
      </c>
      <c r="E2" s="149"/>
      <c r="F2" s="1124" t="s">
        <v>20</v>
      </c>
      <c r="G2" s="1124" t="s">
        <v>231</v>
      </c>
      <c r="H2" s="150"/>
      <c r="I2" s="150"/>
      <c r="J2" s="1124" t="s">
        <v>12</v>
      </c>
      <c r="K2" s="1124" t="s">
        <v>405</v>
      </c>
      <c r="L2" s="1124" t="s">
        <v>16</v>
      </c>
      <c r="M2" s="151"/>
      <c r="N2" s="150"/>
      <c r="O2" s="150"/>
      <c r="P2" s="1124" t="s">
        <v>1280</v>
      </c>
      <c r="Q2" s="1124" t="s">
        <v>10</v>
      </c>
      <c r="R2" s="150"/>
      <c r="S2" s="150"/>
      <c r="T2" s="150"/>
      <c r="U2" s="1124" t="s">
        <v>6</v>
      </c>
      <c r="V2" s="150"/>
      <c r="W2" s="150"/>
      <c r="X2" s="152" t="s">
        <v>24</v>
      </c>
      <c r="Y2" s="146"/>
    </row>
    <row r="3" spans="1:25" ht="16.5" thickBot="1" x14ac:dyDescent="0.3">
      <c r="A3" s="153"/>
      <c r="B3" s="154" t="s">
        <v>407</v>
      </c>
      <c r="C3" s="154" t="s">
        <v>408</v>
      </c>
      <c r="D3" s="154" t="s">
        <v>409</v>
      </c>
      <c r="E3" s="149"/>
      <c r="F3" s="154" t="s">
        <v>410</v>
      </c>
      <c r="G3" s="154" t="s">
        <v>411</v>
      </c>
      <c r="H3" s="155"/>
      <c r="I3" s="155"/>
      <c r="J3" s="154" t="s">
        <v>412</v>
      </c>
      <c r="K3" s="154" t="s">
        <v>413</v>
      </c>
      <c r="L3" s="154" t="s">
        <v>414</v>
      </c>
      <c r="M3" s="156"/>
      <c r="N3" s="155"/>
      <c r="O3" s="155"/>
      <c r="P3" s="154" t="s">
        <v>415</v>
      </c>
      <c r="Q3" s="154" t="s">
        <v>416</v>
      </c>
      <c r="R3" s="155"/>
      <c r="S3" s="155"/>
      <c r="T3" s="155"/>
      <c r="U3" s="154" t="s">
        <v>417</v>
      </c>
      <c r="V3" s="155"/>
      <c r="W3" s="155"/>
      <c r="X3" s="157"/>
      <c r="Y3" s="146"/>
    </row>
    <row r="4" spans="1:25" ht="15.75" x14ac:dyDescent="0.25">
      <c r="A4" s="158" t="s">
        <v>45</v>
      </c>
      <c r="B4" s="961" t="s">
        <v>418</v>
      </c>
      <c r="C4" s="959" t="s">
        <v>419</v>
      </c>
      <c r="D4" s="963" t="s">
        <v>420</v>
      </c>
      <c r="E4" s="149"/>
      <c r="F4" s="960" t="s">
        <v>421</v>
      </c>
      <c r="G4" s="962" t="s">
        <v>422</v>
      </c>
      <c r="H4" s="155"/>
      <c r="I4" s="155"/>
      <c r="J4" s="963" t="s">
        <v>423</v>
      </c>
      <c r="K4" s="962" t="s">
        <v>424</v>
      </c>
      <c r="L4" s="959" t="s">
        <v>425</v>
      </c>
      <c r="M4" s="159"/>
      <c r="N4" s="155"/>
      <c r="O4" s="155"/>
      <c r="P4" s="963" t="s">
        <v>426</v>
      </c>
      <c r="Q4" s="959" t="s">
        <v>427</v>
      </c>
      <c r="R4" s="155"/>
      <c r="S4" s="155"/>
      <c r="T4" s="160"/>
      <c r="U4" s="961" t="s">
        <v>428</v>
      </c>
      <c r="V4" s="155"/>
      <c r="X4" s="161" t="s">
        <v>45</v>
      </c>
      <c r="Y4" s="146"/>
    </row>
    <row r="5" spans="1:25" ht="15.75" x14ac:dyDescent="0.25">
      <c r="A5" s="158"/>
      <c r="B5" s="155"/>
      <c r="C5" s="162"/>
      <c r="D5" s="163"/>
      <c r="E5" s="149"/>
      <c r="F5" s="149"/>
      <c r="G5" s="163"/>
      <c r="H5" s="155"/>
      <c r="I5" s="155"/>
      <c r="J5" s="163"/>
      <c r="K5" s="163"/>
      <c r="L5" s="160"/>
      <c r="M5" s="163"/>
      <c r="N5" s="155"/>
      <c r="O5" s="155"/>
      <c r="Q5" s="163"/>
      <c r="R5" s="155"/>
      <c r="S5" s="155"/>
      <c r="T5" s="160"/>
      <c r="U5" s="163"/>
      <c r="V5" s="155"/>
      <c r="X5" s="164"/>
      <c r="Y5" s="146"/>
    </row>
    <row r="6" spans="1:25" ht="15.75" x14ac:dyDescent="0.25">
      <c r="A6" s="165" t="s">
        <v>51</v>
      </c>
      <c r="B6" s="162"/>
      <c r="C6" s="162"/>
      <c r="D6" s="149"/>
      <c r="E6" s="149"/>
      <c r="F6" s="160"/>
      <c r="G6" s="149"/>
      <c r="H6" s="155"/>
      <c r="I6" s="155"/>
      <c r="J6" s="149"/>
      <c r="K6" s="163"/>
      <c r="L6" s="160"/>
      <c r="M6" s="166"/>
      <c r="N6" s="155"/>
      <c r="O6" s="155"/>
      <c r="Q6" s="166">
        <v>0.27083333333333331</v>
      </c>
      <c r="R6" s="160"/>
      <c r="S6" s="155"/>
      <c r="T6" s="160"/>
      <c r="U6" s="166" t="s">
        <v>53</v>
      </c>
      <c r="V6" s="155"/>
      <c r="X6" s="167" t="s">
        <v>51</v>
      </c>
      <c r="Y6" s="146"/>
    </row>
    <row r="7" spans="1:25" ht="15.75" x14ac:dyDescent="0.25">
      <c r="A7" s="168" t="s">
        <v>48</v>
      </c>
      <c r="B7" s="162"/>
      <c r="C7" s="162"/>
      <c r="D7" s="149" t="s">
        <v>53</v>
      </c>
      <c r="E7" s="149"/>
      <c r="F7" s="162"/>
      <c r="G7" s="149"/>
      <c r="H7" s="155"/>
      <c r="I7" s="155"/>
      <c r="J7" s="149" t="s">
        <v>54</v>
      </c>
      <c r="K7" s="163"/>
      <c r="L7" s="160"/>
      <c r="M7" s="149"/>
      <c r="N7" s="155"/>
      <c r="O7" s="155"/>
      <c r="P7" s="149" t="s">
        <v>429</v>
      </c>
      <c r="Q7" s="149"/>
      <c r="R7" s="160"/>
      <c r="S7" s="155"/>
      <c r="T7" s="160"/>
      <c r="U7" s="149" t="s">
        <v>70</v>
      </c>
      <c r="V7" s="155"/>
      <c r="X7" s="169" t="s">
        <v>48</v>
      </c>
      <c r="Y7" s="146"/>
    </row>
    <row r="8" spans="1:25" ht="16.5" thickBot="1" x14ac:dyDescent="0.3">
      <c r="A8" s="170" t="s">
        <v>50</v>
      </c>
      <c r="B8" s="162"/>
      <c r="C8" s="162"/>
      <c r="D8" s="162"/>
      <c r="E8" s="149"/>
      <c r="F8" s="155"/>
      <c r="G8" s="171">
        <v>0.27083333333333331</v>
      </c>
      <c r="H8" s="155"/>
      <c r="I8" s="155"/>
      <c r="J8" s="162"/>
      <c r="K8" s="171">
        <v>0.29166666666666669</v>
      </c>
      <c r="L8" s="160"/>
      <c r="M8" s="149"/>
      <c r="N8" s="155"/>
      <c r="O8" s="155"/>
      <c r="P8" s="149"/>
      <c r="Q8" s="171">
        <v>0.3125</v>
      </c>
      <c r="R8" s="160"/>
      <c r="S8" s="155"/>
      <c r="T8" s="160"/>
      <c r="U8" s="149"/>
      <c r="V8" s="155"/>
      <c r="X8" s="172" t="s">
        <v>50</v>
      </c>
      <c r="Y8" s="146"/>
    </row>
    <row r="9" spans="1:25" ht="16.5" thickBot="1" x14ac:dyDescent="0.3">
      <c r="A9" s="173" t="s">
        <v>47</v>
      </c>
      <c r="B9" s="162"/>
      <c r="C9" s="162"/>
      <c r="D9" s="162"/>
      <c r="E9" s="149"/>
      <c r="F9" s="149" t="s">
        <v>430</v>
      </c>
      <c r="G9" s="162"/>
      <c r="H9" s="1124" t="s">
        <v>21</v>
      </c>
      <c r="I9" s="155"/>
      <c r="J9" s="162"/>
      <c r="K9" s="162"/>
      <c r="L9" s="149"/>
      <c r="M9" s="149"/>
      <c r="N9" s="155"/>
      <c r="O9" s="155"/>
      <c r="P9" s="149"/>
      <c r="Q9" s="174" t="s">
        <v>431</v>
      </c>
      <c r="R9" s="160"/>
      <c r="S9" s="162"/>
      <c r="T9" s="160"/>
      <c r="U9" s="160"/>
      <c r="V9" s="155"/>
      <c r="X9" s="175" t="s">
        <v>47</v>
      </c>
      <c r="Y9" s="146"/>
    </row>
    <row r="10" spans="1:25" ht="16.5" thickBot="1" x14ac:dyDescent="0.3">
      <c r="A10" s="165" t="s">
        <v>51</v>
      </c>
      <c r="B10" s="176" t="s">
        <v>54</v>
      </c>
      <c r="C10" s="166">
        <v>0.29166666666666669</v>
      </c>
      <c r="D10" s="166">
        <v>0.3125</v>
      </c>
      <c r="E10" s="1124" t="s">
        <v>432</v>
      </c>
      <c r="F10" s="176" t="s">
        <v>429</v>
      </c>
      <c r="G10" s="176" t="s">
        <v>70</v>
      </c>
      <c r="H10" s="154" t="s">
        <v>433</v>
      </c>
      <c r="I10" s="1124" t="s">
        <v>434</v>
      </c>
      <c r="J10" s="166">
        <v>0.33333333333333331</v>
      </c>
      <c r="K10" s="176" t="s">
        <v>435</v>
      </c>
      <c r="L10" s="166">
        <v>0.34722222222222221</v>
      </c>
      <c r="M10" s="166"/>
      <c r="N10" s="155"/>
      <c r="O10" s="155"/>
      <c r="P10" s="166" t="s">
        <v>60</v>
      </c>
      <c r="Q10" s="166" t="s">
        <v>436</v>
      </c>
      <c r="R10" s="155"/>
      <c r="S10" s="155"/>
      <c r="T10" s="160"/>
      <c r="U10" s="166" t="s">
        <v>437</v>
      </c>
      <c r="V10" s="1140" t="s">
        <v>438</v>
      </c>
      <c r="X10" s="167" t="s">
        <v>51</v>
      </c>
      <c r="Y10" s="146"/>
    </row>
    <row r="11" spans="1:25" ht="16.5" thickBot="1" x14ac:dyDescent="0.3">
      <c r="A11" s="168" t="s">
        <v>48</v>
      </c>
      <c r="B11" s="149" t="s">
        <v>439</v>
      </c>
      <c r="C11" s="149"/>
      <c r="D11" s="149"/>
      <c r="E11" s="154" t="s">
        <v>440</v>
      </c>
      <c r="F11" s="149" t="s">
        <v>441</v>
      </c>
      <c r="G11" s="969" t="s">
        <v>442</v>
      </c>
      <c r="H11" s="962" t="s">
        <v>443</v>
      </c>
      <c r="I11" s="154" t="s">
        <v>444</v>
      </c>
      <c r="J11" s="163"/>
      <c r="K11" s="149" t="s">
        <v>445</v>
      </c>
      <c r="L11" s="163"/>
      <c r="M11" s="163"/>
      <c r="N11" s="155"/>
      <c r="O11" s="1124" t="s">
        <v>446</v>
      </c>
      <c r="P11" s="149" t="s">
        <v>447</v>
      </c>
      <c r="Q11" s="149"/>
      <c r="R11" s="155"/>
      <c r="S11" s="155"/>
      <c r="T11" s="1140" t="s">
        <v>18</v>
      </c>
      <c r="U11" s="149" t="s">
        <v>448</v>
      </c>
      <c r="V11" s="179" t="s">
        <v>449</v>
      </c>
      <c r="X11" s="169" t="s">
        <v>48</v>
      </c>
      <c r="Y11" s="146"/>
    </row>
    <row r="12" spans="1:25" ht="16.5" thickBot="1" x14ac:dyDescent="0.3">
      <c r="A12" s="170" t="s">
        <v>50</v>
      </c>
      <c r="B12" s="162"/>
      <c r="C12" s="171">
        <v>0.33333333333333331</v>
      </c>
      <c r="D12" s="171">
        <v>0.35416666666666669</v>
      </c>
      <c r="E12" s="961" t="s">
        <v>450</v>
      </c>
      <c r="F12" s="162"/>
      <c r="G12" s="177" t="s">
        <v>451</v>
      </c>
      <c r="H12" s="171">
        <v>0.375</v>
      </c>
      <c r="I12" s="959" t="s">
        <v>452</v>
      </c>
      <c r="J12" s="965" t="s">
        <v>453</v>
      </c>
      <c r="K12" s="162"/>
      <c r="L12" s="171">
        <v>0.39583333333333331</v>
      </c>
      <c r="M12" s="1124" t="s">
        <v>244</v>
      </c>
      <c r="N12" s="155"/>
      <c r="O12" s="154" t="s">
        <v>454</v>
      </c>
      <c r="P12" s="149"/>
      <c r="Q12" s="171">
        <v>0.41666666666666669</v>
      </c>
      <c r="R12" s="155"/>
      <c r="S12" s="155"/>
      <c r="T12" s="179" t="s">
        <v>455</v>
      </c>
      <c r="U12" s="162"/>
      <c r="V12" s="961" t="s">
        <v>456</v>
      </c>
      <c r="W12" s="1140" t="s">
        <v>457</v>
      </c>
      <c r="X12" s="172" t="s">
        <v>50</v>
      </c>
      <c r="Y12" s="146"/>
    </row>
    <row r="13" spans="1:25" ht="16.5" thickBot="1" x14ac:dyDescent="0.3">
      <c r="A13" s="165" t="s">
        <v>51</v>
      </c>
      <c r="B13" s="166" t="s">
        <v>458</v>
      </c>
      <c r="C13" s="166" t="s">
        <v>459</v>
      </c>
      <c r="D13" s="166" t="s">
        <v>460</v>
      </c>
      <c r="E13" s="166" t="s">
        <v>461</v>
      </c>
      <c r="F13" s="166" t="s">
        <v>462</v>
      </c>
      <c r="G13" s="155"/>
      <c r="H13" s="176" t="s">
        <v>448</v>
      </c>
      <c r="I13" s="166">
        <v>0.4375</v>
      </c>
      <c r="J13" s="177" t="s">
        <v>463</v>
      </c>
      <c r="K13" s="166" t="s">
        <v>464</v>
      </c>
      <c r="L13" s="166" t="s">
        <v>465</v>
      </c>
      <c r="M13" s="154" t="s">
        <v>466</v>
      </c>
      <c r="N13" s="155"/>
      <c r="O13" s="963" t="s">
        <v>467</v>
      </c>
      <c r="P13" s="166" t="s">
        <v>468</v>
      </c>
      <c r="Q13" s="166" t="s">
        <v>469</v>
      </c>
      <c r="R13" s="1140" t="s">
        <v>1279</v>
      </c>
      <c r="S13" s="1140" t="s">
        <v>4</v>
      </c>
      <c r="T13" s="963" t="s">
        <v>470</v>
      </c>
      <c r="U13" s="166" t="s">
        <v>471</v>
      </c>
      <c r="V13" s="166" t="s">
        <v>472</v>
      </c>
      <c r="W13" s="179" t="s">
        <v>473</v>
      </c>
      <c r="X13" s="167" t="s">
        <v>51</v>
      </c>
      <c r="Y13" s="146"/>
    </row>
    <row r="14" spans="1:25" ht="16.5" thickBot="1" x14ac:dyDescent="0.3">
      <c r="A14" s="168" t="s">
        <v>48</v>
      </c>
      <c r="B14" s="149" t="s">
        <v>474</v>
      </c>
      <c r="C14" s="149"/>
      <c r="D14" s="149"/>
      <c r="E14" s="149" t="s">
        <v>475</v>
      </c>
      <c r="F14" s="149"/>
      <c r="G14" s="155"/>
      <c r="H14" s="149" t="s">
        <v>472</v>
      </c>
      <c r="I14" s="163"/>
      <c r="J14" s="1140" t="s">
        <v>1277</v>
      </c>
      <c r="K14" s="149" t="s">
        <v>477</v>
      </c>
      <c r="L14" s="149"/>
      <c r="M14" s="962" t="s">
        <v>478</v>
      </c>
      <c r="N14" s="155"/>
      <c r="O14" s="149" t="s">
        <v>479</v>
      </c>
      <c r="P14" s="970" t="s">
        <v>480</v>
      </c>
      <c r="Q14" s="149"/>
      <c r="R14" s="179" t="s">
        <v>481</v>
      </c>
      <c r="S14" s="179" t="s">
        <v>482</v>
      </c>
      <c r="T14" s="149" t="s">
        <v>483</v>
      </c>
      <c r="U14" s="160"/>
      <c r="V14" s="149" t="s">
        <v>484</v>
      </c>
      <c r="W14" s="962" t="s">
        <v>485</v>
      </c>
      <c r="X14" s="169" t="s">
        <v>48</v>
      </c>
      <c r="Y14" s="146"/>
    </row>
    <row r="15" spans="1:25" ht="16.5" thickBot="1" x14ac:dyDescent="0.3">
      <c r="A15" s="170" t="s">
        <v>50</v>
      </c>
      <c r="B15" s="149"/>
      <c r="C15" s="171">
        <v>0.4375</v>
      </c>
      <c r="D15" s="171">
        <v>0.45833333333333331</v>
      </c>
      <c r="E15" s="149"/>
      <c r="F15" s="171">
        <v>0.47916666666666669</v>
      </c>
      <c r="G15" s="155"/>
      <c r="H15" s="149"/>
      <c r="I15" s="171">
        <v>0.5</v>
      </c>
      <c r="J15" s="179" t="s">
        <v>486</v>
      </c>
      <c r="K15" s="162"/>
      <c r="L15" s="967" t="s">
        <v>487</v>
      </c>
      <c r="M15" s="171">
        <v>0.52083333333333337</v>
      </c>
      <c r="N15" s="1140" t="s">
        <v>476</v>
      </c>
      <c r="O15" s="163"/>
      <c r="P15" s="180" t="s">
        <v>131</v>
      </c>
      <c r="Q15" s="171">
        <v>0.54166666666666663</v>
      </c>
      <c r="R15" s="961" t="s">
        <v>488</v>
      </c>
      <c r="S15" s="959" t="s">
        <v>489</v>
      </c>
      <c r="T15" s="160"/>
      <c r="U15" s="171">
        <v>0.5625</v>
      </c>
      <c r="V15" s="160"/>
      <c r="W15" s="171">
        <v>0.58333333333333337</v>
      </c>
      <c r="X15" s="172" t="s">
        <v>50</v>
      </c>
      <c r="Y15" s="146"/>
    </row>
    <row r="16" spans="1:25" ht="16.5" thickBot="1" x14ac:dyDescent="0.3">
      <c r="A16" s="165" t="s">
        <v>51</v>
      </c>
      <c r="B16" s="166" t="s">
        <v>490</v>
      </c>
      <c r="C16" s="166" t="s">
        <v>491</v>
      </c>
      <c r="D16" s="166" t="s">
        <v>492</v>
      </c>
      <c r="E16" s="166" t="s">
        <v>493</v>
      </c>
      <c r="F16" s="166" t="s">
        <v>494</v>
      </c>
      <c r="G16" s="166"/>
      <c r="H16" s="166" t="s">
        <v>495</v>
      </c>
      <c r="I16" s="166" t="s">
        <v>496</v>
      </c>
      <c r="J16" s="963" t="s">
        <v>497</v>
      </c>
      <c r="K16" s="166" t="s">
        <v>498</v>
      </c>
      <c r="L16" s="181" t="s">
        <v>499</v>
      </c>
      <c r="M16" s="166" t="s">
        <v>500</v>
      </c>
      <c r="N16" s="179" t="s">
        <v>501</v>
      </c>
      <c r="O16" s="972" t="s">
        <v>502</v>
      </c>
      <c r="P16" s="182"/>
      <c r="Q16" s="166" t="s">
        <v>503</v>
      </c>
      <c r="R16" s="176" t="s">
        <v>504</v>
      </c>
      <c r="S16" s="166">
        <v>0.61805555555555558</v>
      </c>
      <c r="T16" s="166" t="s">
        <v>505</v>
      </c>
      <c r="U16" s="166" t="s">
        <v>506</v>
      </c>
      <c r="V16" s="166" t="s">
        <v>507</v>
      </c>
      <c r="W16" s="166" t="s">
        <v>508</v>
      </c>
      <c r="X16" s="167" t="s">
        <v>51</v>
      </c>
      <c r="Y16" s="146"/>
    </row>
    <row r="17" spans="1:31" ht="16.5" thickBot="1" x14ac:dyDescent="0.3">
      <c r="A17" s="168" t="s">
        <v>48</v>
      </c>
      <c r="B17" s="160"/>
      <c r="C17" s="969" t="s">
        <v>509</v>
      </c>
      <c r="D17" s="149" t="s">
        <v>500</v>
      </c>
      <c r="E17" s="160"/>
      <c r="F17" s="149" t="s">
        <v>510</v>
      </c>
      <c r="G17" s="155"/>
      <c r="H17" s="155"/>
      <c r="I17" s="969" t="s">
        <v>511</v>
      </c>
      <c r="J17" s="149" t="s">
        <v>512</v>
      </c>
      <c r="K17" s="160"/>
      <c r="L17" s="182"/>
      <c r="M17" s="149" t="s">
        <v>513</v>
      </c>
      <c r="N17" s="962" t="s">
        <v>514</v>
      </c>
      <c r="O17" s="177" t="s">
        <v>515</v>
      </c>
      <c r="P17" s="182"/>
      <c r="Q17" s="178"/>
      <c r="R17" s="149" t="s">
        <v>517</v>
      </c>
      <c r="S17" s="160"/>
      <c r="T17" s="149" t="s">
        <v>518</v>
      </c>
      <c r="U17" s="160"/>
      <c r="V17" s="149" t="s">
        <v>519</v>
      </c>
      <c r="W17" s="160"/>
      <c r="X17" s="169" t="s">
        <v>48</v>
      </c>
      <c r="Y17" s="146"/>
    </row>
    <row r="18" spans="1:31" ht="16.5" thickBot="1" x14ac:dyDescent="0.3">
      <c r="A18" s="170" t="s">
        <v>50</v>
      </c>
      <c r="B18" s="171">
        <v>0.60416666666666663</v>
      </c>
      <c r="C18" s="177" t="s">
        <v>520</v>
      </c>
      <c r="D18" s="160"/>
      <c r="E18" s="965" t="s">
        <v>521</v>
      </c>
      <c r="F18" s="160"/>
      <c r="G18" s="155"/>
      <c r="H18" s="171">
        <v>0.625</v>
      </c>
      <c r="I18" s="177" t="s">
        <v>522</v>
      </c>
      <c r="J18" s="155"/>
      <c r="K18" s="171">
        <v>0.64583333333333337</v>
      </c>
      <c r="L18" s="182"/>
      <c r="M18" s="155"/>
      <c r="N18" s="171">
        <v>0.66666666666666663</v>
      </c>
      <c r="O18" s="182"/>
      <c r="P18" s="182"/>
      <c r="Q18" s="965" t="s">
        <v>516</v>
      </c>
      <c r="R18" s="155"/>
      <c r="S18" s="171">
        <v>0.6875</v>
      </c>
      <c r="T18" s="155"/>
      <c r="U18" s="171">
        <v>0.70833333333333337</v>
      </c>
      <c r="V18" s="155"/>
      <c r="W18" s="171">
        <v>0.72916666666666663</v>
      </c>
      <c r="X18" s="172" t="s">
        <v>50</v>
      </c>
      <c r="Y18" s="146"/>
    </row>
    <row r="19" spans="1:31" ht="16.5" thickBot="1" x14ac:dyDescent="0.3">
      <c r="A19" s="165" t="s">
        <v>51</v>
      </c>
      <c r="B19" s="166" t="s">
        <v>524</v>
      </c>
      <c r="C19" s="166"/>
      <c r="D19" s="972" t="s">
        <v>525</v>
      </c>
      <c r="E19" s="177" t="s">
        <v>526</v>
      </c>
      <c r="F19" s="166" t="s">
        <v>527</v>
      </c>
      <c r="G19" s="166"/>
      <c r="H19" s="166" t="s">
        <v>528</v>
      </c>
      <c r="I19" s="166"/>
      <c r="J19" s="166" t="s">
        <v>529</v>
      </c>
      <c r="K19" s="166" t="s">
        <v>530</v>
      </c>
      <c r="L19" s="166"/>
      <c r="M19" s="166" t="s">
        <v>531</v>
      </c>
      <c r="N19" s="166" t="s">
        <v>532</v>
      </c>
      <c r="O19" s="166"/>
      <c r="P19" s="166"/>
      <c r="Q19" s="177" t="s">
        <v>523</v>
      </c>
      <c r="R19" s="166" t="s">
        <v>533</v>
      </c>
      <c r="S19" s="166" t="s">
        <v>534</v>
      </c>
      <c r="T19" s="166" t="s">
        <v>535</v>
      </c>
      <c r="U19" s="166" t="s">
        <v>536</v>
      </c>
      <c r="V19" s="166" t="s">
        <v>537</v>
      </c>
      <c r="W19" s="968" t="s">
        <v>538</v>
      </c>
      <c r="X19" s="167" t="s">
        <v>51</v>
      </c>
      <c r="Y19" s="146"/>
    </row>
    <row r="20" spans="1:31" ht="16.5" thickBot="1" x14ac:dyDescent="0.3">
      <c r="A20" s="168" t="s">
        <v>48</v>
      </c>
      <c r="B20" s="149" t="s">
        <v>539</v>
      </c>
      <c r="C20" s="155"/>
      <c r="D20" s="177" t="s">
        <v>540</v>
      </c>
      <c r="E20" s="155"/>
      <c r="F20" s="149"/>
      <c r="G20" s="155"/>
      <c r="H20" s="149" t="s">
        <v>541</v>
      </c>
      <c r="I20" s="155"/>
      <c r="J20" s="160"/>
      <c r="K20" s="149" t="s">
        <v>542</v>
      </c>
      <c r="L20" s="182"/>
      <c r="M20" s="149"/>
      <c r="N20" s="149" t="s">
        <v>173</v>
      </c>
      <c r="O20" s="149"/>
      <c r="P20" s="160"/>
      <c r="Q20" s="160"/>
      <c r="R20" s="176"/>
      <c r="S20" s="149" t="s">
        <v>543</v>
      </c>
      <c r="T20" s="149"/>
      <c r="U20" s="149" t="s">
        <v>544</v>
      </c>
      <c r="V20" s="149"/>
      <c r="W20" s="177" t="s">
        <v>262</v>
      </c>
      <c r="X20" s="169" t="s">
        <v>48</v>
      </c>
      <c r="Y20" s="146"/>
    </row>
    <row r="21" spans="1:31" ht="16.5" thickBot="1" x14ac:dyDescent="0.3">
      <c r="A21" s="170" t="s">
        <v>50</v>
      </c>
      <c r="B21" s="160"/>
      <c r="C21" s="155"/>
      <c r="D21" s="155"/>
      <c r="E21" s="155"/>
      <c r="F21" s="171">
        <v>0.75</v>
      </c>
      <c r="G21" s="155"/>
      <c r="H21" s="160"/>
      <c r="I21" s="155"/>
      <c r="J21" s="171">
        <v>0.77083333333333337</v>
      </c>
      <c r="K21" s="171"/>
      <c r="L21" s="182"/>
      <c r="M21" s="171">
        <v>0.79166666666666663</v>
      </c>
      <c r="N21" s="160"/>
      <c r="O21" s="160"/>
      <c r="P21" s="160"/>
      <c r="Q21" s="162"/>
      <c r="R21" s="171">
        <v>0.8125</v>
      </c>
      <c r="S21" s="160"/>
      <c r="T21" s="171">
        <v>0.83333333333333337</v>
      </c>
      <c r="U21" s="171"/>
      <c r="V21" s="171">
        <v>0.86111111111111116</v>
      </c>
      <c r="X21" s="172" t="s">
        <v>50</v>
      </c>
      <c r="Y21" s="146"/>
    </row>
    <row r="22" spans="1:31" ht="16.5" thickBot="1" x14ac:dyDescent="0.3">
      <c r="A22" s="165" t="s">
        <v>51</v>
      </c>
      <c r="B22" s="166" t="s">
        <v>545</v>
      </c>
      <c r="C22" s="1140" t="s">
        <v>546</v>
      </c>
      <c r="D22" s="166"/>
      <c r="E22" s="166"/>
      <c r="F22" s="166" t="s">
        <v>547</v>
      </c>
      <c r="G22" s="155"/>
      <c r="H22" s="972" t="s">
        <v>548</v>
      </c>
      <c r="I22" s="155"/>
      <c r="J22" s="176" t="s">
        <v>549</v>
      </c>
      <c r="K22" s="166">
        <v>0.84027777777777779</v>
      </c>
      <c r="L22" s="166"/>
      <c r="M22" s="166" t="s">
        <v>550</v>
      </c>
      <c r="N22" s="973" t="s">
        <v>265</v>
      </c>
      <c r="O22" s="163"/>
      <c r="P22" s="160"/>
      <c r="Q22" s="162"/>
      <c r="R22" s="166" t="s">
        <v>551</v>
      </c>
      <c r="S22" s="974" t="s">
        <v>552</v>
      </c>
      <c r="T22" s="166" t="s">
        <v>553</v>
      </c>
      <c r="U22" s="166">
        <v>0.89583333333333337</v>
      </c>
      <c r="V22" s="166" t="s">
        <v>554</v>
      </c>
      <c r="X22" s="167" t="s">
        <v>51</v>
      </c>
      <c r="Y22" s="146"/>
    </row>
    <row r="23" spans="1:31" ht="16.5" thickBot="1" x14ac:dyDescent="0.3">
      <c r="A23" s="168" t="s">
        <v>48</v>
      </c>
      <c r="B23" s="149" t="s">
        <v>184</v>
      </c>
      <c r="C23" s="179" t="s">
        <v>555</v>
      </c>
      <c r="D23" s="155"/>
      <c r="E23" s="155"/>
      <c r="F23" s="160"/>
      <c r="G23" s="155"/>
      <c r="H23" s="177" t="s">
        <v>556</v>
      </c>
      <c r="I23" s="155"/>
      <c r="J23" s="969" t="s">
        <v>557</v>
      </c>
      <c r="K23" s="176"/>
      <c r="L23" s="182"/>
      <c r="M23" s="149" t="s">
        <v>558</v>
      </c>
      <c r="N23" s="177" t="s">
        <v>710</v>
      </c>
      <c r="O23" s="163"/>
      <c r="P23" s="160"/>
      <c r="Q23" s="160"/>
      <c r="R23" s="176"/>
      <c r="S23" s="177" t="s">
        <v>559</v>
      </c>
      <c r="T23" s="149" t="s">
        <v>560</v>
      </c>
      <c r="U23" s="176"/>
      <c r="V23" s="149" t="s">
        <v>210</v>
      </c>
      <c r="X23" s="169" t="s">
        <v>48</v>
      </c>
      <c r="Y23" s="146"/>
    </row>
    <row r="24" spans="1:31" ht="16.5" thickBot="1" x14ac:dyDescent="0.3">
      <c r="A24" s="170" t="s">
        <v>50</v>
      </c>
      <c r="B24" s="162"/>
      <c r="C24" s="959" t="s">
        <v>561</v>
      </c>
      <c r="D24" s="155"/>
      <c r="E24" s="155"/>
      <c r="F24" s="171">
        <v>0.88888888888888884</v>
      </c>
      <c r="G24" s="155"/>
      <c r="H24" s="149"/>
      <c r="I24" s="155"/>
      <c r="J24" s="177" t="s">
        <v>562</v>
      </c>
      <c r="K24" s="965" t="s">
        <v>563</v>
      </c>
      <c r="L24" s="182"/>
      <c r="M24" s="162"/>
      <c r="N24" s="160"/>
      <c r="O24" s="160"/>
      <c r="P24" s="155"/>
      <c r="Q24" s="149"/>
      <c r="R24" s="171">
        <v>0.91666666666666663</v>
      </c>
      <c r="S24" s="160"/>
      <c r="T24" s="163"/>
      <c r="U24" s="171">
        <v>0.94444444444444453</v>
      </c>
      <c r="V24" s="162"/>
      <c r="X24" s="172" t="s">
        <v>50</v>
      </c>
      <c r="Y24" s="146"/>
      <c r="Z24" s="146"/>
      <c r="AC24" s="146"/>
      <c r="AD24" s="146"/>
    </row>
    <row r="25" spans="1:31" ht="16.5" thickBot="1" x14ac:dyDescent="0.3">
      <c r="A25" s="165" t="s">
        <v>51</v>
      </c>
      <c r="B25" s="972" t="s">
        <v>564</v>
      </c>
      <c r="C25" s="166">
        <v>0.92361111111111116</v>
      </c>
      <c r="D25" s="155"/>
      <c r="E25" s="155"/>
      <c r="F25" s="176" t="s">
        <v>209</v>
      </c>
      <c r="G25" s="155"/>
      <c r="H25" s="162"/>
      <c r="I25" s="162"/>
      <c r="J25" s="162"/>
      <c r="K25" s="177" t="s">
        <v>565</v>
      </c>
      <c r="L25" s="182"/>
      <c r="M25" s="166">
        <v>0.95138888888888884</v>
      </c>
      <c r="N25" s="163"/>
      <c r="O25" s="163"/>
      <c r="P25" s="155"/>
      <c r="Q25" s="160"/>
      <c r="R25" s="176" t="s">
        <v>566</v>
      </c>
      <c r="S25" s="162"/>
      <c r="T25" s="166">
        <v>0.97916666666666663</v>
      </c>
      <c r="U25" s="968" t="s">
        <v>567</v>
      </c>
      <c r="V25" s="973" t="s">
        <v>568</v>
      </c>
      <c r="X25" s="167" t="s">
        <v>51</v>
      </c>
      <c r="Y25" s="146"/>
      <c r="Z25" s="146"/>
      <c r="AC25" s="146"/>
      <c r="AD25" s="146"/>
    </row>
    <row r="26" spans="1:31" ht="16.5" thickBot="1" x14ac:dyDescent="0.3">
      <c r="A26" s="168" t="s">
        <v>48</v>
      </c>
      <c r="B26" s="177" t="s">
        <v>569</v>
      </c>
      <c r="C26" s="160"/>
      <c r="D26" s="155"/>
      <c r="E26" s="155"/>
      <c r="F26" s="149" t="s">
        <v>211</v>
      </c>
      <c r="G26" s="155"/>
      <c r="H26" s="166"/>
      <c r="I26" s="166"/>
      <c r="J26" s="166"/>
      <c r="K26" s="155"/>
      <c r="L26" s="182"/>
      <c r="M26" s="160"/>
      <c r="N26" s="160"/>
      <c r="O26" s="160"/>
      <c r="P26" s="155"/>
      <c r="Q26" s="160"/>
      <c r="R26" s="971" t="s">
        <v>570</v>
      </c>
      <c r="S26" s="160"/>
      <c r="T26" s="163"/>
      <c r="U26" s="182"/>
      <c r="V26" s="182"/>
      <c r="X26" s="169" t="s">
        <v>48</v>
      </c>
      <c r="Y26" s="146"/>
      <c r="Z26" s="146"/>
      <c r="AC26" s="146"/>
      <c r="AD26" s="146"/>
    </row>
    <row r="27" spans="1:31" ht="15.75" x14ac:dyDescent="0.25">
      <c r="A27" s="170" t="s">
        <v>50</v>
      </c>
      <c r="B27" s="171"/>
      <c r="C27" s="171">
        <v>0.96875</v>
      </c>
      <c r="D27" s="155"/>
      <c r="E27" s="155"/>
      <c r="F27" s="162"/>
      <c r="G27" s="155"/>
      <c r="H27" s="149"/>
      <c r="I27" s="149"/>
      <c r="J27" s="149"/>
      <c r="K27" s="155"/>
      <c r="L27" s="182"/>
      <c r="M27" s="965" t="s">
        <v>212</v>
      </c>
      <c r="N27" s="149"/>
      <c r="O27" s="149"/>
      <c r="P27" s="155"/>
      <c r="Q27" s="163"/>
      <c r="R27" s="182"/>
      <c r="S27" s="160"/>
      <c r="T27" s="966" t="s">
        <v>571</v>
      </c>
      <c r="U27" s="163"/>
      <c r="V27" s="149"/>
      <c r="X27" s="172" t="s">
        <v>50</v>
      </c>
      <c r="Y27" s="146"/>
      <c r="Z27" s="146"/>
      <c r="AC27" s="146"/>
      <c r="AD27" s="146"/>
    </row>
    <row r="28" spans="1:31" ht="15.75" x14ac:dyDescent="0.25">
      <c r="A28" s="165" t="s">
        <v>51</v>
      </c>
      <c r="B28" s="183"/>
      <c r="C28" s="968" t="s">
        <v>572</v>
      </c>
      <c r="D28" s="155"/>
      <c r="E28" s="155"/>
      <c r="F28" s="973" t="s">
        <v>216</v>
      </c>
      <c r="G28" s="171"/>
      <c r="H28" s="171"/>
      <c r="I28" s="171"/>
      <c r="J28" s="171"/>
      <c r="K28" s="171"/>
      <c r="L28" s="182"/>
      <c r="M28" s="182"/>
      <c r="N28" s="160"/>
      <c r="O28" s="160"/>
      <c r="P28" s="160"/>
      <c r="Q28" s="149"/>
      <c r="R28" s="149"/>
      <c r="S28" s="160"/>
      <c r="T28" s="182"/>
      <c r="U28" s="160"/>
      <c r="V28" s="160"/>
      <c r="X28" s="167" t="s">
        <v>51</v>
      </c>
      <c r="Y28" s="146"/>
      <c r="Z28" s="146"/>
      <c r="AC28" s="146"/>
      <c r="AD28" s="146"/>
    </row>
    <row r="29" spans="1:31" ht="15.75" x14ac:dyDescent="0.25">
      <c r="A29" s="168"/>
      <c r="B29" s="160"/>
      <c r="C29" s="160"/>
      <c r="D29" s="182"/>
      <c r="E29" s="182"/>
      <c r="F29" s="182"/>
      <c r="G29" s="182"/>
      <c r="H29" s="182"/>
      <c r="I29" s="182"/>
      <c r="J29" s="182"/>
      <c r="K29" s="182"/>
      <c r="L29" s="182"/>
      <c r="M29" s="160"/>
      <c r="N29" s="160"/>
      <c r="O29" s="184"/>
      <c r="P29" s="160"/>
      <c r="Q29" s="149"/>
      <c r="R29" s="149"/>
      <c r="S29" s="160"/>
      <c r="T29" s="160"/>
      <c r="U29" s="160"/>
      <c r="V29" s="160"/>
      <c r="X29" s="169"/>
      <c r="Y29" s="146"/>
      <c r="Z29" s="146"/>
      <c r="AC29" s="146"/>
      <c r="AD29" s="146"/>
    </row>
    <row r="30" spans="1:31" ht="16.5" thickBot="1" x14ac:dyDescent="0.3">
      <c r="A30" s="185" t="s">
        <v>45</v>
      </c>
      <c r="B30" s="186"/>
      <c r="C30" s="186" t="s">
        <v>226</v>
      </c>
      <c r="D30" s="187"/>
      <c r="E30" s="187"/>
      <c r="F30" s="186" t="s">
        <v>573</v>
      </c>
      <c r="G30" s="188"/>
      <c r="H30" s="188"/>
      <c r="I30" s="188"/>
      <c r="J30" s="188"/>
      <c r="K30" s="188"/>
      <c r="L30" s="189"/>
      <c r="M30" s="186" t="s">
        <v>222</v>
      </c>
      <c r="N30" s="189"/>
      <c r="O30" s="189"/>
      <c r="P30" s="186"/>
      <c r="Q30" s="190"/>
      <c r="R30" s="186" t="s">
        <v>224</v>
      </c>
      <c r="S30" s="189"/>
      <c r="T30" s="186" t="s">
        <v>574</v>
      </c>
      <c r="U30" s="186" t="s">
        <v>575</v>
      </c>
      <c r="V30" s="186" t="s">
        <v>223</v>
      </c>
      <c r="W30" s="186"/>
      <c r="X30" s="191" t="s">
        <v>45</v>
      </c>
      <c r="Y30" s="146"/>
      <c r="Z30" s="146"/>
      <c r="AC30" s="146"/>
      <c r="AD30" s="146"/>
    </row>
    <row r="31" spans="1:31" ht="15.75" x14ac:dyDescent="0.25">
      <c r="Y31" s="146"/>
      <c r="Z31" s="146"/>
      <c r="AC31" s="146"/>
      <c r="AD31" s="146"/>
    </row>
    <row r="32" spans="1:31" ht="15.75" hidden="1" x14ac:dyDescent="0.25">
      <c r="A32" s="1018">
        <v>9.2013888888888893</v>
      </c>
      <c r="B32" s="1027">
        <v>0.94444444444444442</v>
      </c>
      <c r="C32" s="1027">
        <v>0.59722222222222221</v>
      </c>
      <c r="D32" s="1027">
        <v>0.68055555555555558</v>
      </c>
      <c r="E32" s="1027">
        <v>0.62847222222222221</v>
      </c>
      <c r="F32" s="1027">
        <v>1.0381944444444444</v>
      </c>
      <c r="G32" s="1027">
        <v>0.3923611111111111</v>
      </c>
      <c r="H32" s="1027">
        <v>0.84375</v>
      </c>
      <c r="I32" s="1027">
        <v>0.66319444444444442</v>
      </c>
      <c r="J32" s="1027">
        <v>0.40277777777777779</v>
      </c>
      <c r="K32" s="1027">
        <v>0.92013888888888884</v>
      </c>
      <c r="L32" s="1027">
        <v>0.54166666666666663</v>
      </c>
      <c r="M32" s="1027">
        <v>1.0173611111111112</v>
      </c>
      <c r="N32" s="1027">
        <v>0.87847222222222221</v>
      </c>
      <c r="O32" s="1027">
        <v>0.62152777777777779</v>
      </c>
      <c r="P32" s="1027">
        <v>0.55555555555555558</v>
      </c>
      <c r="Q32" s="1027">
        <v>0.69097222222222221</v>
      </c>
      <c r="R32" s="1027">
        <v>1.0347222222222223</v>
      </c>
      <c r="S32" s="1027">
        <v>0.89236111111111116</v>
      </c>
      <c r="T32" s="1027">
        <v>1.0416666666666667</v>
      </c>
      <c r="U32" s="1027">
        <v>1</v>
      </c>
      <c r="V32" s="1027">
        <v>1.0208333333333333</v>
      </c>
      <c r="W32" s="1027">
        <v>0.80555555555555558</v>
      </c>
      <c r="Z32" s="146"/>
      <c r="AA32" s="146"/>
      <c r="AD32" s="146"/>
      <c r="AE32" s="146"/>
    </row>
    <row r="33" spans="2:31" ht="15.75" hidden="1" x14ac:dyDescent="0.25">
      <c r="B33" s="1027">
        <v>0.26041666666666669</v>
      </c>
      <c r="C33" s="1027">
        <v>0.27083333333333331</v>
      </c>
      <c r="D33" s="1027">
        <v>0.23958333333333334</v>
      </c>
      <c r="E33" s="1027">
        <v>0.3888888888888889</v>
      </c>
      <c r="F33" s="1027">
        <v>0.21875</v>
      </c>
      <c r="G33" s="1027">
        <v>0.25</v>
      </c>
      <c r="H33" s="1027">
        <v>0.35416666666666669</v>
      </c>
      <c r="I33" s="1027">
        <v>0.41666666666666669</v>
      </c>
      <c r="J33" s="1027">
        <v>0.26041666666666669</v>
      </c>
      <c r="K33" s="1027">
        <v>0.27083333333333331</v>
      </c>
      <c r="L33" s="1027">
        <v>0.3263888888888889</v>
      </c>
      <c r="M33" s="1027">
        <v>0.5</v>
      </c>
      <c r="N33" s="1027">
        <v>0.64583333333333337</v>
      </c>
      <c r="O33" s="1027">
        <v>0.51041666666666663</v>
      </c>
      <c r="P33" s="1027">
        <v>0.28125</v>
      </c>
      <c r="Q33" s="1027">
        <v>0.25</v>
      </c>
      <c r="R33" s="1027">
        <v>0.58680555555555558</v>
      </c>
      <c r="S33" s="1027">
        <v>0.59375</v>
      </c>
      <c r="T33" s="1027">
        <v>0.53125</v>
      </c>
      <c r="U33" s="1027">
        <v>0.23958333333333334</v>
      </c>
      <c r="V33" s="1027">
        <v>0.46527777777777779</v>
      </c>
      <c r="W33" s="1027">
        <v>0.5625</v>
      </c>
      <c r="Z33" s="146"/>
      <c r="AA33" s="146"/>
      <c r="AD33" s="146"/>
      <c r="AE33" s="146"/>
    </row>
    <row r="34" spans="2:31" hidden="1" x14ac:dyDescent="0.25">
      <c r="B34" s="1028">
        <f>B32-B33</f>
        <v>0.68402777777777768</v>
      </c>
      <c r="C34" s="1028">
        <f t="shared" ref="C34:W34" si="0">C32-C33</f>
        <v>0.3263888888888889</v>
      </c>
      <c r="D34" s="1028">
        <f t="shared" si="0"/>
        <v>0.44097222222222221</v>
      </c>
      <c r="E34" s="1028">
        <f t="shared" si="0"/>
        <v>0.23958333333333331</v>
      </c>
      <c r="F34" s="1028">
        <f t="shared" si="0"/>
        <v>0.81944444444444442</v>
      </c>
      <c r="G34" s="1028">
        <f t="shared" si="0"/>
        <v>0.1423611111111111</v>
      </c>
      <c r="H34" s="1028">
        <f t="shared" si="0"/>
        <v>0.48958333333333331</v>
      </c>
      <c r="I34" s="1028">
        <f t="shared" si="0"/>
        <v>0.24652777777777773</v>
      </c>
      <c r="J34" s="1028">
        <f t="shared" si="0"/>
        <v>0.1423611111111111</v>
      </c>
      <c r="K34" s="1028">
        <f t="shared" si="0"/>
        <v>0.64930555555555558</v>
      </c>
      <c r="L34" s="1028">
        <f t="shared" si="0"/>
        <v>0.21527777777777773</v>
      </c>
      <c r="M34" s="1028">
        <f t="shared" si="0"/>
        <v>0.51736111111111116</v>
      </c>
      <c r="N34" s="1028">
        <f t="shared" si="0"/>
        <v>0.23263888888888884</v>
      </c>
      <c r="O34" s="1028">
        <f t="shared" si="0"/>
        <v>0.11111111111111116</v>
      </c>
      <c r="P34" s="1028">
        <f t="shared" si="0"/>
        <v>0.27430555555555558</v>
      </c>
      <c r="Q34" s="1028">
        <f t="shared" si="0"/>
        <v>0.44097222222222221</v>
      </c>
      <c r="R34" s="1028">
        <f t="shared" si="0"/>
        <v>0.44791666666666674</v>
      </c>
      <c r="S34" s="1028">
        <f t="shared" si="0"/>
        <v>0.29861111111111116</v>
      </c>
      <c r="T34" s="1028">
        <f t="shared" si="0"/>
        <v>0.51041666666666674</v>
      </c>
      <c r="U34" s="1028">
        <f t="shared" si="0"/>
        <v>0.76041666666666663</v>
      </c>
      <c r="V34" s="1028">
        <f t="shared" si="0"/>
        <v>0.55555555555555547</v>
      </c>
      <c r="W34" s="1028">
        <f t="shared" si="0"/>
        <v>0.24305555555555558</v>
      </c>
    </row>
    <row r="35" spans="2:31" ht="15.75" hidden="1" x14ac:dyDescent="0.25">
      <c r="K35" s="166"/>
    </row>
    <row r="36" spans="2:31" hidden="1" x14ac:dyDescent="0.25">
      <c r="B36" s="1027">
        <v>0.52083333333333337</v>
      </c>
      <c r="C36" s="1027">
        <v>1.0277777777777777</v>
      </c>
      <c r="D36" s="1027">
        <v>0.3125</v>
      </c>
      <c r="E36" s="1027">
        <v>0.54166666666666663</v>
      </c>
      <c r="F36" s="1027">
        <v>0.30208333333333331</v>
      </c>
      <c r="G36" s="1027">
        <v>0.3923611111111111</v>
      </c>
      <c r="H36" s="1027">
        <v>0.5625</v>
      </c>
      <c r="I36" s="1027">
        <v>0.66319444444444442</v>
      </c>
      <c r="J36" s="1027">
        <v>0.90972222222222221</v>
      </c>
      <c r="K36" s="1027">
        <v>0.58333333333333337</v>
      </c>
      <c r="L36" s="1027">
        <v>0.54166666666666663</v>
      </c>
      <c r="M36" s="1027">
        <v>0.71875</v>
      </c>
      <c r="N36" s="1027">
        <v>0.87847222222222221</v>
      </c>
      <c r="O36" s="1027">
        <v>0.62152777777777779</v>
      </c>
      <c r="P36" s="1027">
        <v>0.55555555555555558</v>
      </c>
      <c r="Q36" s="1027">
        <v>0.69097222222222221</v>
      </c>
      <c r="R36" s="1027">
        <v>0.73958333333333337</v>
      </c>
      <c r="S36" s="1027">
        <v>0.89236111111111116</v>
      </c>
      <c r="T36" s="1027">
        <v>0.76041666666666663</v>
      </c>
      <c r="U36" s="1027">
        <v>0.5</v>
      </c>
      <c r="V36" s="1027">
        <v>0.78472222222222221</v>
      </c>
      <c r="W36" s="1027">
        <v>0.80555555555555558</v>
      </c>
    </row>
    <row r="37" spans="2:31" hidden="1" x14ac:dyDescent="0.25">
      <c r="B37" s="1027">
        <v>0.26041666666666669</v>
      </c>
      <c r="C37" s="1027">
        <v>0.90277777777777779</v>
      </c>
      <c r="D37" s="1027">
        <v>0.23958333333333334</v>
      </c>
      <c r="E37" s="1027">
        <v>0.3888888888888889</v>
      </c>
      <c r="F37" s="1027">
        <v>0.21875</v>
      </c>
      <c r="G37" s="1027">
        <v>0.32291666666666669</v>
      </c>
      <c r="H37" s="1027">
        <v>0.42708333333333331</v>
      </c>
      <c r="I37" s="1027">
        <v>0.57291666666666663</v>
      </c>
      <c r="J37" s="1027">
        <v>0.61458333333333337</v>
      </c>
      <c r="K37" s="1027">
        <v>0.34027777777777779</v>
      </c>
      <c r="L37" s="1027">
        <v>0.3263888888888889</v>
      </c>
      <c r="M37" s="1027">
        <v>0.59375</v>
      </c>
      <c r="N37" s="1027">
        <v>0.72916666666666663</v>
      </c>
      <c r="O37" s="1027">
        <v>0.51041666666666663</v>
      </c>
      <c r="P37" s="1027">
        <v>0.28125</v>
      </c>
      <c r="Q37" s="1027">
        <v>0.25</v>
      </c>
      <c r="R37" s="1027">
        <v>0.58680555555555558</v>
      </c>
      <c r="S37" s="1027">
        <v>0.75</v>
      </c>
      <c r="T37" s="1027">
        <v>0.53125</v>
      </c>
      <c r="U37" s="1027">
        <v>0.23958333333333334</v>
      </c>
      <c r="V37" s="1027">
        <v>0.46527777777777779</v>
      </c>
      <c r="W37" s="1027">
        <v>0.5625</v>
      </c>
    </row>
    <row r="38" spans="2:31" hidden="1" x14ac:dyDescent="0.25">
      <c r="B38" s="1029">
        <f t="shared" ref="B38:K38" si="1">B36-B37</f>
        <v>0.26041666666666669</v>
      </c>
      <c r="C38" s="1028">
        <f t="shared" si="1"/>
        <v>0.12499999999999989</v>
      </c>
      <c r="D38" s="1029">
        <f t="shared" si="1"/>
        <v>7.2916666666666657E-2</v>
      </c>
      <c r="E38" s="1029">
        <f t="shared" si="1"/>
        <v>0.15277777777777773</v>
      </c>
      <c r="F38" s="1031">
        <f t="shared" si="1"/>
        <v>8.3333333333333315E-2</v>
      </c>
      <c r="G38" s="1029">
        <f t="shared" si="1"/>
        <v>6.944444444444442E-2</v>
      </c>
      <c r="H38" s="1029">
        <f t="shared" si="1"/>
        <v>0.13541666666666669</v>
      </c>
      <c r="I38" s="1029">
        <f t="shared" si="1"/>
        <v>9.027777777777779E-2</v>
      </c>
      <c r="J38" s="1028">
        <f t="shared" si="1"/>
        <v>0.29513888888888884</v>
      </c>
      <c r="K38" s="1029">
        <f t="shared" si="1"/>
        <v>0.24305555555555558</v>
      </c>
      <c r="L38" s="1030">
        <f t="shared" ref="L38" si="2">L36-L37</f>
        <v>0.21527777777777773</v>
      </c>
      <c r="M38" s="1029">
        <f>M36-M37</f>
        <v>0.125</v>
      </c>
      <c r="N38" s="1029">
        <f>N36-N37</f>
        <v>0.14930555555555558</v>
      </c>
      <c r="O38" s="1029">
        <f t="shared" ref="O38" si="3">O36-O37</f>
        <v>0.11111111111111116</v>
      </c>
      <c r="P38" s="1029">
        <f t="shared" ref="P38" si="4">P36-P37</f>
        <v>0.27430555555555558</v>
      </c>
      <c r="Q38" s="1030">
        <f t="shared" ref="Q38" si="5">Q36-Q37</f>
        <v>0.44097222222222221</v>
      </c>
      <c r="R38" s="1029">
        <f>R36-R37</f>
        <v>0.15277777777777779</v>
      </c>
      <c r="S38" s="1029">
        <f>S36-S37</f>
        <v>0.14236111111111116</v>
      </c>
      <c r="T38" s="1029">
        <f>T36-T37</f>
        <v>0.22916666666666663</v>
      </c>
      <c r="U38" s="1029">
        <f>U36-U37</f>
        <v>0.26041666666666663</v>
      </c>
      <c r="V38" s="1029">
        <f>V36-V37</f>
        <v>0.31944444444444442</v>
      </c>
      <c r="W38" s="1030">
        <f t="shared" ref="W38" si="6">W36-W37</f>
        <v>0.24305555555555558</v>
      </c>
    </row>
    <row r="39" spans="2:31" hidden="1" x14ac:dyDescent="0.25"/>
    <row r="40" spans="2:31" hidden="1" x14ac:dyDescent="0.25">
      <c r="B40" s="1027">
        <v>0.94444444444444442</v>
      </c>
      <c r="C40" s="1027">
        <v>0.59722222222222221</v>
      </c>
      <c r="D40" s="1027">
        <v>0.68055555555555558</v>
      </c>
      <c r="E40" s="1027">
        <v>0.62847222222222221</v>
      </c>
      <c r="F40" s="1027">
        <v>0.41666666666666669</v>
      </c>
      <c r="G40" s="1027">
        <v>0.32291666666666669</v>
      </c>
      <c r="H40" s="1027">
        <v>0.84375</v>
      </c>
      <c r="I40" s="1027">
        <v>0.57291666666666663</v>
      </c>
      <c r="J40" s="1027">
        <v>0.33333333333333331</v>
      </c>
      <c r="K40" s="1027">
        <v>0.84027777777777779</v>
      </c>
      <c r="L40" s="1027"/>
      <c r="M40" s="1027">
        <v>0.95138888888888884</v>
      </c>
      <c r="N40" s="1027">
        <v>0.72916666666666663</v>
      </c>
      <c r="O40" s="1027"/>
      <c r="P40" s="1027"/>
      <c r="Q40" s="1027"/>
      <c r="R40" s="1027">
        <v>1.0347222222222223</v>
      </c>
      <c r="S40" s="1027">
        <v>0.75</v>
      </c>
      <c r="T40" s="1027">
        <v>0.97916666666666663</v>
      </c>
      <c r="U40" s="1027">
        <v>0.89583333333333337</v>
      </c>
      <c r="V40" s="1027">
        <v>1.0208333333333333</v>
      </c>
      <c r="W40" s="1027"/>
    </row>
    <row r="41" spans="2:31" hidden="1" x14ac:dyDescent="0.25">
      <c r="B41" s="1027">
        <v>0.66666666666666663</v>
      </c>
      <c r="C41" s="1027">
        <v>0.51041666666666663</v>
      </c>
      <c r="D41" s="1027">
        <v>0.53125</v>
      </c>
      <c r="E41" s="1027">
        <v>0.54166666666666663</v>
      </c>
      <c r="F41" s="1027">
        <v>0.30208333333333331</v>
      </c>
      <c r="G41" s="1027">
        <v>0.25</v>
      </c>
      <c r="H41" s="1027">
        <v>0.6875</v>
      </c>
      <c r="I41" s="1027">
        <v>0.41666666666666669</v>
      </c>
      <c r="J41" s="1027">
        <v>0.26041666666666669</v>
      </c>
      <c r="K41" s="1027">
        <v>0.70833333333333337</v>
      </c>
      <c r="L41" s="1027"/>
      <c r="M41" s="1027">
        <v>0.85416666666666663</v>
      </c>
      <c r="N41" s="1027">
        <v>0.64583333333333337</v>
      </c>
      <c r="O41" s="1027"/>
      <c r="P41" s="1027"/>
      <c r="Q41" s="1027"/>
      <c r="R41" s="1027">
        <v>0.96527777777777779</v>
      </c>
      <c r="S41" s="1027">
        <v>0.59375</v>
      </c>
      <c r="T41" s="1027">
        <v>0.88194444444444442</v>
      </c>
      <c r="U41" s="1027">
        <v>0.77083333333333337</v>
      </c>
      <c r="V41" s="1027">
        <v>0.90972222222222221</v>
      </c>
      <c r="W41" s="1027"/>
    </row>
    <row r="42" spans="2:31" hidden="1" x14ac:dyDescent="0.25">
      <c r="B42" s="1029">
        <f t="shared" ref="B42:K42" si="7">B40-B41</f>
        <v>0.27777777777777779</v>
      </c>
      <c r="C42" s="1029">
        <f t="shared" si="7"/>
        <v>8.680555555555558E-2</v>
      </c>
      <c r="D42" s="1029">
        <f t="shared" si="7"/>
        <v>0.14930555555555558</v>
      </c>
      <c r="E42" s="1030">
        <f t="shared" si="7"/>
        <v>8.680555555555558E-2</v>
      </c>
      <c r="F42" s="1029">
        <f t="shared" si="7"/>
        <v>0.11458333333333337</v>
      </c>
      <c r="G42" s="1030">
        <f t="shared" si="7"/>
        <v>7.2916666666666685E-2</v>
      </c>
      <c r="H42" s="1029">
        <f t="shared" si="7"/>
        <v>0.15625</v>
      </c>
      <c r="I42" s="1030">
        <f t="shared" si="7"/>
        <v>0.15624999999999994</v>
      </c>
      <c r="J42" s="1029">
        <f t="shared" si="7"/>
        <v>7.291666666666663E-2</v>
      </c>
      <c r="K42" s="1029">
        <f t="shared" si="7"/>
        <v>0.13194444444444442</v>
      </c>
      <c r="M42" s="1029">
        <f>M40-M41</f>
        <v>9.722222222222221E-2</v>
      </c>
      <c r="N42" s="1030">
        <f>N40-N41</f>
        <v>8.3333333333333259E-2</v>
      </c>
      <c r="R42" s="1029">
        <f>R40-R41</f>
        <v>6.9444444444444531E-2</v>
      </c>
      <c r="S42" s="1030">
        <f>S40-S41</f>
        <v>0.15625</v>
      </c>
      <c r="T42" s="1029">
        <f>T40-T41</f>
        <v>9.722222222222221E-2</v>
      </c>
      <c r="U42" s="1029">
        <f>U40-U41</f>
        <v>0.125</v>
      </c>
      <c r="V42" s="1029">
        <f>V40-V41</f>
        <v>0.11111111111111105</v>
      </c>
      <c r="X42" s="1032">
        <v>4.4548611111111107</v>
      </c>
      <c r="Y42" s="705">
        <v>7</v>
      </c>
      <c r="Z42">
        <f>5/60</f>
        <v>8.3333333333333329E-2</v>
      </c>
    </row>
    <row r="43" spans="2:31" hidden="1" x14ac:dyDescent="0.25">
      <c r="X43" s="1033">
        <v>4.6701388888888893</v>
      </c>
      <c r="Y43" s="705" t="s">
        <v>727</v>
      </c>
    </row>
    <row r="44" spans="2:31" hidden="1" x14ac:dyDescent="0.25">
      <c r="B44" s="1027">
        <v>0.66666666666666663</v>
      </c>
      <c r="C44" s="1027">
        <v>0.51041666666666663</v>
      </c>
      <c r="D44" s="1027">
        <v>0.53125</v>
      </c>
      <c r="E44" s="1027"/>
      <c r="F44" s="1027">
        <v>0.67708333333333337</v>
      </c>
      <c r="G44" s="1027"/>
      <c r="H44" s="1027">
        <v>0.42708333333333331</v>
      </c>
      <c r="I44" s="1027"/>
      <c r="J44" s="1027">
        <v>0.40277777777777779</v>
      </c>
      <c r="K44" s="1027">
        <v>0.34027777777777779</v>
      </c>
      <c r="L44" s="1027"/>
      <c r="M44" s="1027">
        <v>0.59375</v>
      </c>
      <c r="N44" s="1027"/>
      <c r="O44" s="1027"/>
      <c r="P44" s="1027"/>
      <c r="Q44" s="1027"/>
      <c r="R44" s="1027">
        <v>0.96527777777777779</v>
      </c>
      <c r="S44" s="1027"/>
      <c r="T44" s="1027">
        <v>0.88194444444444442</v>
      </c>
      <c r="U44" s="1027">
        <v>0.77083333333333337</v>
      </c>
      <c r="V44" s="1027">
        <v>0.90972222222222221</v>
      </c>
      <c r="W44" s="1027"/>
      <c r="X44" s="1031">
        <v>8.3333333333333329E-2</v>
      </c>
      <c r="Y44" s="705" t="s">
        <v>729</v>
      </c>
    </row>
    <row r="45" spans="2:31" hidden="1" x14ac:dyDescent="0.25">
      <c r="B45" s="1027">
        <v>0.52083333333333337</v>
      </c>
      <c r="C45" s="1027">
        <v>0.27083333333333331</v>
      </c>
      <c r="D45" s="1027">
        <v>0.3125</v>
      </c>
      <c r="E45" s="1027"/>
      <c r="F45" s="1027">
        <v>0.55208333333333337</v>
      </c>
      <c r="G45" s="1027"/>
      <c r="H45" s="1027">
        <v>0.35416666666666669</v>
      </c>
      <c r="I45" s="1027"/>
      <c r="J45" s="1027">
        <v>0.33333333333333331</v>
      </c>
      <c r="K45" s="1027">
        <v>0.27083333333333331</v>
      </c>
      <c r="L45" s="1027"/>
      <c r="M45" s="1027">
        <v>0.5</v>
      </c>
      <c r="N45" s="1027"/>
      <c r="O45" s="1027"/>
      <c r="P45" s="1027"/>
      <c r="Q45" s="1027"/>
      <c r="R45" s="1027">
        <v>0.73958333333333337</v>
      </c>
      <c r="S45" s="1027"/>
      <c r="T45" s="1027">
        <v>0.76041666666666663</v>
      </c>
      <c r="U45" s="1027">
        <v>0.5</v>
      </c>
      <c r="V45" s="1027">
        <v>0.78472222222222221</v>
      </c>
      <c r="W45" s="1027"/>
      <c r="X45" s="1027"/>
    </row>
    <row r="46" spans="2:31" hidden="1" x14ac:dyDescent="0.25">
      <c r="B46" s="1030">
        <f>B44-B45</f>
        <v>0.14583333333333326</v>
      </c>
      <c r="C46" s="1030">
        <f>C44-C45</f>
        <v>0.23958333333333331</v>
      </c>
      <c r="D46" s="1030">
        <f>D44-D45</f>
        <v>0.21875</v>
      </c>
      <c r="F46" s="1029">
        <f>F44-F45</f>
        <v>0.125</v>
      </c>
      <c r="H46" s="1030">
        <f>H44-H45</f>
        <v>7.291666666666663E-2</v>
      </c>
      <c r="J46" s="1030">
        <f>J44-J45</f>
        <v>6.9444444444444475E-2</v>
      </c>
      <c r="K46" s="1030">
        <f>K44-K45</f>
        <v>6.9444444444444475E-2</v>
      </c>
      <c r="M46" s="1030">
        <f>M44-M45</f>
        <v>9.375E-2</v>
      </c>
      <c r="R46" s="1030">
        <f>R44-R45</f>
        <v>0.22569444444444442</v>
      </c>
      <c r="T46" s="1030">
        <f>T44-T45</f>
        <v>0.12152777777777779</v>
      </c>
      <c r="U46" s="1030">
        <f>U44-U45</f>
        <v>0.27083333333333337</v>
      </c>
      <c r="V46" s="1030">
        <f>V44-V45</f>
        <v>0.125</v>
      </c>
    </row>
    <row r="47" spans="2:31" hidden="1" x14ac:dyDescent="0.25"/>
    <row r="48" spans="2:31" hidden="1" x14ac:dyDescent="0.25">
      <c r="C48" s="1027">
        <v>1.0277777777777777</v>
      </c>
      <c r="F48" s="1027">
        <v>1.0381944444444444</v>
      </c>
      <c r="H48" s="1027">
        <v>0.6875</v>
      </c>
      <c r="I48" s="1027">
        <v>0.90972222222222221</v>
      </c>
      <c r="J48" s="1027">
        <v>0.69791666666666663</v>
      </c>
      <c r="K48" s="1027">
        <v>0.70833333333333337</v>
      </c>
      <c r="M48" s="1027">
        <v>0.85416666666666663</v>
      </c>
      <c r="T48" s="1027">
        <v>1.0416666666666667</v>
      </c>
      <c r="U48" s="1027">
        <v>1</v>
      </c>
    </row>
    <row r="49" spans="1:27" hidden="1" x14ac:dyDescent="0.25">
      <c r="C49" s="1027">
        <v>0.90277777777777779</v>
      </c>
      <c r="F49" s="1027">
        <v>0.9375</v>
      </c>
      <c r="H49" s="1027">
        <v>0.5625</v>
      </c>
      <c r="I49" s="1027">
        <v>0.82638888888888884</v>
      </c>
      <c r="J49" s="1027">
        <v>0.61458333333333337</v>
      </c>
      <c r="K49" s="1027">
        <v>0.58333333333333337</v>
      </c>
      <c r="M49" s="1027">
        <v>0.71875</v>
      </c>
      <c r="T49" s="1027">
        <v>0.97916666666666663</v>
      </c>
      <c r="U49" s="1027">
        <v>0.89583333333333337</v>
      </c>
    </row>
    <row r="50" spans="1:27" hidden="1" x14ac:dyDescent="0.25">
      <c r="C50" s="1030">
        <f>C48-C49</f>
        <v>0.12499999999999989</v>
      </c>
      <c r="F50" s="1029">
        <f>F48-F49</f>
        <v>0.10069444444444442</v>
      </c>
      <c r="H50" s="1030">
        <f>H48-H49</f>
        <v>0.125</v>
      </c>
      <c r="I50" s="1029">
        <f>I48-I49</f>
        <v>8.333333333333337E-2</v>
      </c>
      <c r="J50" s="1029">
        <f>J48-J49</f>
        <v>8.3333333333333259E-2</v>
      </c>
      <c r="K50" s="1030">
        <f>K48-K49</f>
        <v>0.125</v>
      </c>
      <c r="M50" s="1030">
        <f>M48-M49</f>
        <v>0.13541666666666663</v>
      </c>
      <c r="T50" s="1030">
        <f>T48-T49</f>
        <v>6.2500000000000111E-2</v>
      </c>
      <c r="U50" s="1030">
        <f>U48-U49</f>
        <v>0.10416666666666663</v>
      </c>
    </row>
    <row r="51" spans="1:27" hidden="1" x14ac:dyDescent="0.25">
      <c r="X51">
        <f>55/60</f>
        <v>0.91666666666666663</v>
      </c>
    </row>
    <row r="52" spans="1:27" hidden="1" x14ac:dyDescent="0.25">
      <c r="F52" s="1027">
        <v>0.55208333333333337</v>
      </c>
      <c r="J52" s="1027">
        <v>0.82638888888888884</v>
      </c>
      <c r="K52" s="1027">
        <v>0.92013888888888884</v>
      </c>
      <c r="M52" s="1027">
        <v>1.0173611111111112</v>
      </c>
    </row>
    <row r="53" spans="1:27" hidden="1" x14ac:dyDescent="0.25">
      <c r="F53" s="1027">
        <v>0.41666666666666669</v>
      </c>
      <c r="J53" s="1027">
        <v>0.69791666666666663</v>
      </c>
      <c r="K53" s="1027">
        <v>0.84027777777777779</v>
      </c>
      <c r="M53" s="1027">
        <v>0.95138888888888884</v>
      </c>
    </row>
    <row r="54" spans="1:27" hidden="1" x14ac:dyDescent="0.25">
      <c r="F54" s="1030">
        <f>F52-F53</f>
        <v>0.13541666666666669</v>
      </c>
      <c r="J54" s="1030">
        <f>J52-J53</f>
        <v>0.12847222222222221</v>
      </c>
      <c r="K54" s="1030">
        <f>K52-K53</f>
        <v>7.9861111111111049E-2</v>
      </c>
      <c r="M54" s="1030">
        <f>M52-M53</f>
        <v>6.5972222222222321E-2</v>
      </c>
    </row>
    <row r="55" spans="1:27" hidden="1" x14ac:dyDescent="0.25"/>
    <row r="56" spans="1:27" hidden="1" x14ac:dyDescent="0.25">
      <c r="F56" s="1027">
        <v>0.9375</v>
      </c>
    </row>
    <row r="57" spans="1:27" hidden="1" x14ac:dyDescent="0.25">
      <c r="F57" s="1027">
        <v>0.67708333333333337</v>
      </c>
    </row>
    <row r="58" spans="1:27" hidden="1" x14ac:dyDescent="0.25">
      <c r="F58" s="1030">
        <f>F56-F57</f>
        <v>0.26041666666666663</v>
      </c>
    </row>
    <row r="60" spans="1:27" ht="15.75" thickBot="1" x14ac:dyDescent="0.3"/>
    <row r="61" spans="1:27" ht="21.75" thickBot="1" x14ac:dyDescent="0.4">
      <c r="A61" s="192" t="s">
        <v>227</v>
      </c>
      <c r="B61" s="144" t="s">
        <v>403</v>
      </c>
      <c r="C61" s="256"/>
      <c r="D61" s="371" t="s">
        <v>3</v>
      </c>
      <c r="E61" s="145"/>
      <c r="H61" s="1200" t="s">
        <v>272</v>
      </c>
      <c r="I61" s="1203" t="s">
        <v>273</v>
      </c>
      <c r="J61" s="1205" t="s">
        <v>274</v>
      </c>
      <c r="K61" s="1206"/>
      <c r="L61" s="1207"/>
      <c r="M61" s="1205" t="s">
        <v>275</v>
      </c>
      <c r="N61" s="1206"/>
      <c r="O61" s="1206"/>
      <c r="P61" s="1206"/>
      <c r="Q61" s="1207"/>
      <c r="R61" s="1205" t="s">
        <v>276</v>
      </c>
      <c r="S61" s="1206"/>
      <c r="T61" s="1207"/>
      <c r="U61" s="1200" t="s">
        <v>277</v>
      </c>
      <c r="V61" s="1200" t="s">
        <v>278</v>
      </c>
      <c r="W61" s="1200" t="s">
        <v>279</v>
      </c>
      <c r="X61" s="1200" t="s">
        <v>280</v>
      </c>
    </row>
    <row r="62" spans="1:27" ht="16.5" thickBot="1" x14ac:dyDescent="0.3">
      <c r="A62" s="193"/>
      <c r="B62" s="194" t="s">
        <v>20</v>
      </c>
      <c r="C62" s="148" t="s">
        <v>6</v>
      </c>
      <c r="D62" s="159"/>
      <c r="E62" s="195"/>
      <c r="H62" s="1201"/>
      <c r="I62" s="1204"/>
      <c r="J62" s="220" t="s">
        <v>281</v>
      </c>
      <c r="K62" s="221" t="s">
        <v>282</v>
      </c>
      <c r="L62" s="222" t="s">
        <v>283</v>
      </c>
      <c r="M62" s="223" t="s">
        <v>274</v>
      </c>
      <c r="N62" s="221" t="s">
        <v>283</v>
      </c>
      <c r="O62" s="221" t="s">
        <v>281</v>
      </c>
      <c r="P62" s="221" t="s">
        <v>274</v>
      </c>
      <c r="Q62" s="222" t="s">
        <v>283</v>
      </c>
      <c r="R62" s="223" t="s">
        <v>276</v>
      </c>
      <c r="S62" s="221" t="s">
        <v>283</v>
      </c>
      <c r="T62" s="222" t="s">
        <v>284</v>
      </c>
      <c r="U62" s="1201"/>
      <c r="V62" s="1201"/>
      <c r="W62" s="1201"/>
      <c r="X62" s="1201"/>
    </row>
    <row r="63" spans="1:27" ht="16.5" thickBot="1" x14ac:dyDescent="0.3">
      <c r="A63" s="196"/>
      <c r="B63" s="197" t="s">
        <v>576</v>
      </c>
      <c r="C63" s="154" t="s">
        <v>577</v>
      </c>
      <c r="D63" s="159"/>
      <c r="E63" s="198"/>
      <c r="H63" s="372" t="s">
        <v>285</v>
      </c>
      <c r="I63" s="105" t="s">
        <v>286</v>
      </c>
      <c r="J63" s="224">
        <v>0.23402777777777778</v>
      </c>
      <c r="K63" s="225">
        <v>0.23958333333333334</v>
      </c>
      <c r="L63" s="226" t="s">
        <v>592</v>
      </c>
      <c r="M63" s="224"/>
      <c r="N63" s="225"/>
      <c r="O63" s="225"/>
      <c r="P63" s="225"/>
      <c r="Q63" s="226"/>
      <c r="R63" s="224">
        <v>0.40277777777777779</v>
      </c>
      <c r="S63" s="225" t="s">
        <v>593</v>
      </c>
      <c r="T63" s="226">
        <v>0.4284722222222222</v>
      </c>
      <c r="U63" s="95">
        <f t="shared" ref="U63:U91" si="8">T63-J63</f>
        <v>0.19444444444444442</v>
      </c>
      <c r="V63" s="95">
        <f t="shared" ref="V63:V91" si="9">U63-W63</f>
        <v>0.19444444444444442</v>
      </c>
      <c r="W63" s="99">
        <f t="shared" ref="W63:W91" si="10">O63-M63</f>
        <v>0</v>
      </c>
      <c r="X63" s="99"/>
      <c r="Z63" s="74">
        <f>R63-K63</f>
        <v>0.16319444444444445</v>
      </c>
      <c r="AA63" s="74"/>
    </row>
    <row r="64" spans="1:27" ht="15.75" x14ac:dyDescent="0.25">
      <c r="A64" s="199" t="s">
        <v>45</v>
      </c>
      <c r="B64" s="1004" t="s">
        <v>578</v>
      </c>
      <c r="C64" s="963" t="s">
        <v>579</v>
      </c>
      <c r="D64" s="159"/>
      <c r="E64" s="198"/>
      <c r="H64" s="375" t="s">
        <v>290</v>
      </c>
      <c r="I64" s="108" t="s">
        <v>291</v>
      </c>
      <c r="J64" s="227">
        <v>0.23402777777777778</v>
      </c>
      <c r="K64" s="228">
        <v>0.23958333333333334</v>
      </c>
      <c r="L64" s="229" t="s">
        <v>592</v>
      </c>
      <c r="M64" s="227">
        <v>0.375</v>
      </c>
      <c r="N64" s="228" t="s">
        <v>593</v>
      </c>
      <c r="O64" s="228">
        <v>0.45277777777777772</v>
      </c>
      <c r="P64" s="228">
        <v>0.45833333333333331</v>
      </c>
      <c r="Q64" s="229" t="s">
        <v>593</v>
      </c>
      <c r="R64" s="227">
        <v>0.54166666666666663</v>
      </c>
      <c r="S64" s="228" t="s">
        <v>592</v>
      </c>
      <c r="T64" s="229">
        <v>0.54166666666666663</v>
      </c>
      <c r="U64" s="95">
        <f t="shared" si="8"/>
        <v>0.30763888888888885</v>
      </c>
      <c r="V64" s="95">
        <f t="shared" si="9"/>
        <v>0.22986111111111113</v>
      </c>
      <c r="W64" s="99">
        <f t="shared" si="10"/>
        <v>7.7777777777777724E-2</v>
      </c>
      <c r="X64" s="99"/>
      <c r="Z64" s="74">
        <f t="shared" ref="Z64:Z74" si="11">M64-K64</f>
        <v>0.13541666666666666</v>
      </c>
      <c r="AA64" s="74">
        <f t="shared" ref="AA64:AA74" si="12">R64-P64</f>
        <v>8.3333333333333315E-2</v>
      </c>
    </row>
    <row r="65" spans="1:27" ht="15.75" x14ac:dyDescent="0.25">
      <c r="A65" s="200"/>
      <c r="B65" s="201"/>
      <c r="C65" s="201"/>
      <c r="D65" s="202"/>
      <c r="E65" s="198"/>
      <c r="H65" s="375" t="s">
        <v>293</v>
      </c>
      <c r="I65" s="108" t="s">
        <v>294</v>
      </c>
      <c r="J65" s="227">
        <v>0.24444444444444444</v>
      </c>
      <c r="K65" s="228">
        <v>0.25</v>
      </c>
      <c r="L65" s="229" t="s">
        <v>592</v>
      </c>
      <c r="M65" s="227">
        <v>0.3576388888888889</v>
      </c>
      <c r="N65" s="228" t="s">
        <v>593</v>
      </c>
      <c r="O65" s="228">
        <v>0.39722222222222231</v>
      </c>
      <c r="P65" s="228">
        <v>0.40277777777777779</v>
      </c>
      <c r="Q65" s="229" t="s">
        <v>593</v>
      </c>
      <c r="R65" s="227">
        <v>0.53125</v>
      </c>
      <c r="S65" s="228" t="s">
        <v>593</v>
      </c>
      <c r="T65" s="229">
        <v>0.55694444444444446</v>
      </c>
      <c r="U65" s="95">
        <f t="shared" si="8"/>
        <v>0.3125</v>
      </c>
      <c r="V65" s="95">
        <f t="shared" si="9"/>
        <v>0.27291666666666659</v>
      </c>
      <c r="W65" s="99">
        <f t="shared" si="10"/>
        <v>3.9583333333333415E-2</v>
      </c>
      <c r="X65" s="99"/>
      <c r="Z65" s="74">
        <f t="shared" si="11"/>
        <v>0.1076388888888889</v>
      </c>
      <c r="AA65" s="74">
        <f t="shared" si="12"/>
        <v>0.12847222222222221</v>
      </c>
    </row>
    <row r="66" spans="1:27" ht="15.75" x14ac:dyDescent="0.25">
      <c r="A66" s="203" t="s">
        <v>237</v>
      </c>
      <c r="B66" s="204"/>
      <c r="C66" s="204">
        <v>0.3125</v>
      </c>
      <c r="D66" s="205"/>
      <c r="E66" s="198"/>
      <c r="H66" s="375" t="s">
        <v>295</v>
      </c>
      <c r="I66" s="108" t="s">
        <v>389</v>
      </c>
      <c r="J66" s="227">
        <v>0.24444444444444444</v>
      </c>
      <c r="K66" s="228">
        <v>0.25</v>
      </c>
      <c r="L66" s="229" t="s">
        <v>592</v>
      </c>
      <c r="M66" s="227">
        <v>0.3923611111111111</v>
      </c>
      <c r="N66" s="228" t="s">
        <v>592</v>
      </c>
      <c r="O66" s="228">
        <v>0.44305555555555559</v>
      </c>
      <c r="P66" s="228">
        <v>0.46875</v>
      </c>
      <c r="Q66" s="229" t="s">
        <v>593</v>
      </c>
      <c r="R66" s="227">
        <v>0.55555555555555558</v>
      </c>
      <c r="S66" s="228" t="s">
        <v>592</v>
      </c>
      <c r="T66" s="229">
        <v>0.55555555555555558</v>
      </c>
      <c r="U66" s="95">
        <f t="shared" si="8"/>
        <v>0.31111111111111112</v>
      </c>
      <c r="V66" s="95">
        <f t="shared" si="9"/>
        <v>0.26041666666666663</v>
      </c>
      <c r="W66" s="99">
        <f t="shared" si="10"/>
        <v>5.0694444444444486E-2</v>
      </c>
      <c r="X66" s="99"/>
      <c r="Z66" s="74">
        <f t="shared" si="11"/>
        <v>0.1423611111111111</v>
      </c>
      <c r="AA66" s="74">
        <f t="shared" si="12"/>
        <v>8.680555555555558E-2</v>
      </c>
    </row>
    <row r="67" spans="1:27" ht="15.75" x14ac:dyDescent="0.25">
      <c r="A67" s="200" t="s">
        <v>236</v>
      </c>
      <c r="B67" s="201">
        <v>0.3125</v>
      </c>
      <c r="C67" s="201">
        <v>0.35416666666666669</v>
      </c>
      <c r="D67" s="202"/>
      <c r="E67" s="198"/>
      <c r="H67" s="375" t="s">
        <v>297</v>
      </c>
      <c r="I67" s="108" t="s">
        <v>296</v>
      </c>
      <c r="J67" s="227">
        <v>0.25486111111111109</v>
      </c>
      <c r="K67" s="228">
        <v>0.26041666666666669</v>
      </c>
      <c r="L67" s="229" t="s">
        <v>592</v>
      </c>
      <c r="M67" s="227">
        <v>0.39583333333333331</v>
      </c>
      <c r="N67" s="228" t="s">
        <v>593</v>
      </c>
      <c r="O67" s="228">
        <v>0.44236111111111109</v>
      </c>
      <c r="P67" s="228">
        <v>0.44791666666666669</v>
      </c>
      <c r="Q67" s="229" t="s">
        <v>593</v>
      </c>
      <c r="R67" s="227">
        <v>0.58333333333333337</v>
      </c>
      <c r="S67" s="228" t="s">
        <v>593</v>
      </c>
      <c r="T67" s="229">
        <v>0.60902777777777772</v>
      </c>
      <c r="U67" s="95">
        <f t="shared" si="8"/>
        <v>0.35416666666666663</v>
      </c>
      <c r="V67" s="95">
        <f t="shared" si="9"/>
        <v>0.30763888888888885</v>
      </c>
      <c r="W67" s="99">
        <f t="shared" si="10"/>
        <v>4.6527777777777779E-2</v>
      </c>
      <c r="X67" s="99"/>
      <c r="Z67" s="74">
        <f t="shared" si="11"/>
        <v>0.13541666666666663</v>
      </c>
      <c r="AA67" s="74">
        <f t="shared" si="12"/>
        <v>0.13541666666666669</v>
      </c>
    </row>
    <row r="68" spans="1:27" ht="15.75" x14ac:dyDescent="0.25">
      <c r="A68" s="203" t="s">
        <v>237</v>
      </c>
      <c r="B68" s="204">
        <v>0.35416666666666669</v>
      </c>
      <c r="C68" s="206" t="s">
        <v>580</v>
      </c>
      <c r="D68" s="205"/>
      <c r="E68" s="198"/>
      <c r="H68" s="375" t="s">
        <v>299</v>
      </c>
      <c r="I68" s="108" t="s">
        <v>298</v>
      </c>
      <c r="J68" s="227">
        <v>0.25486111111111109</v>
      </c>
      <c r="K68" s="228">
        <v>0.26041666666666669</v>
      </c>
      <c r="L68" s="229" t="s">
        <v>592</v>
      </c>
      <c r="M68" s="227">
        <v>0.40277777777777779</v>
      </c>
      <c r="N68" s="228" t="s">
        <v>592</v>
      </c>
      <c r="O68" s="228">
        <v>0.45347222222222217</v>
      </c>
      <c r="P68" s="228">
        <v>0.47916666666666669</v>
      </c>
      <c r="Q68" s="229" t="s">
        <v>593</v>
      </c>
      <c r="R68" s="227">
        <v>0.60416666666666663</v>
      </c>
      <c r="S68" s="228" t="s">
        <v>593</v>
      </c>
      <c r="T68" s="229">
        <v>0.62986111111111109</v>
      </c>
      <c r="U68" s="95">
        <f t="shared" si="8"/>
        <v>0.375</v>
      </c>
      <c r="V68" s="95">
        <f t="shared" si="9"/>
        <v>0.32430555555555562</v>
      </c>
      <c r="W68" s="99">
        <f t="shared" si="10"/>
        <v>5.0694444444444375E-2</v>
      </c>
      <c r="X68" s="99"/>
      <c r="Z68" s="74">
        <f t="shared" si="11"/>
        <v>0.1423611111111111</v>
      </c>
      <c r="AA68" s="74">
        <f t="shared" si="12"/>
        <v>0.12499999999999994</v>
      </c>
    </row>
    <row r="69" spans="1:27" ht="15.75" x14ac:dyDescent="0.25">
      <c r="A69" s="200" t="s">
        <v>236</v>
      </c>
      <c r="B69" s="201">
        <v>0.39583333333333331</v>
      </c>
      <c r="C69" s="201">
        <v>0.44791666666666669</v>
      </c>
      <c r="D69" s="202"/>
      <c r="E69" s="198"/>
      <c r="H69" s="375" t="s">
        <v>301</v>
      </c>
      <c r="I69" s="108" t="s">
        <v>300</v>
      </c>
      <c r="J69" s="227">
        <v>0.26527777777777778</v>
      </c>
      <c r="K69" s="228">
        <v>0.27083333333333331</v>
      </c>
      <c r="L69" s="229" t="s">
        <v>592</v>
      </c>
      <c r="M69" s="227">
        <v>0.44791666666666669</v>
      </c>
      <c r="N69" s="228" t="s">
        <v>593</v>
      </c>
      <c r="O69" s="228">
        <v>0.49444444444444452</v>
      </c>
      <c r="P69" s="228">
        <v>0.5</v>
      </c>
      <c r="Q69" s="229" t="s">
        <v>593</v>
      </c>
      <c r="R69" s="227">
        <v>0.63541666666666663</v>
      </c>
      <c r="S69" s="228" t="s">
        <v>593</v>
      </c>
      <c r="T69" s="229">
        <v>0.66111111111111109</v>
      </c>
      <c r="U69" s="95">
        <f t="shared" si="8"/>
        <v>0.39583333333333331</v>
      </c>
      <c r="V69" s="95">
        <f t="shared" si="9"/>
        <v>0.34930555555555548</v>
      </c>
      <c r="W69" s="99">
        <f t="shared" si="10"/>
        <v>4.6527777777777835E-2</v>
      </c>
      <c r="X69" s="99"/>
      <c r="Z69" s="74">
        <f t="shared" si="11"/>
        <v>0.17708333333333337</v>
      </c>
      <c r="AA69" s="74">
        <f t="shared" si="12"/>
        <v>0.13541666666666663</v>
      </c>
    </row>
    <row r="70" spans="1:27" ht="15.75" x14ac:dyDescent="0.25">
      <c r="A70" s="203" t="s">
        <v>237</v>
      </c>
      <c r="B70" s="206" t="s">
        <v>581</v>
      </c>
      <c r="C70" s="204">
        <v>0.5</v>
      </c>
      <c r="D70" s="206"/>
      <c r="E70" s="198"/>
      <c r="H70" s="375" t="s">
        <v>303</v>
      </c>
      <c r="I70" s="108" t="s">
        <v>304</v>
      </c>
      <c r="J70" s="227">
        <v>0.27569444444444446</v>
      </c>
      <c r="K70" s="228">
        <v>0.28125</v>
      </c>
      <c r="L70" s="229" t="s">
        <v>592</v>
      </c>
      <c r="M70" s="227">
        <v>0.46875</v>
      </c>
      <c r="N70" s="228" t="s">
        <v>593</v>
      </c>
      <c r="O70" s="228">
        <v>0.52569444444444446</v>
      </c>
      <c r="P70" s="228">
        <v>0.53125</v>
      </c>
      <c r="Q70" s="229" t="s">
        <v>593</v>
      </c>
      <c r="R70" s="227">
        <v>0.68055555555555558</v>
      </c>
      <c r="S70" s="228" t="s">
        <v>592</v>
      </c>
      <c r="T70" s="229">
        <v>0.68055555555555558</v>
      </c>
      <c r="U70" s="95">
        <f t="shared" si="8"/>
        <v>0.40486111111111112</v>
      </c>
      <c r="V70" s="95">
        <f t="shared" si="9"/>
        <v>0.34791666666666665</v>
      </c>
      <c r="W70" s="99">
        <f t="shared" si="10"/>
        <v>5.6944444444444464E-2</v>
      </c>
      <c r="X70" s="99"/>
      <c r="Z70" s="74">
        <f t="shared" si="11"/>
        <v>0.1875</v>
      </c>
      <c r="AA70" s="74">
        <f t="shared" si="12"/>
        <v>0.14930555555555558</v>
      </c>
    </row>
    <row r="71" spans="1:27" ht="15.75" x14ac:dyDescent="0.25">
      <c r="A71" s="200" t="s">
        <v>236</v>
      </c>
      <c r="B71" s="201">
        <v>0.5</v>
      </c>
      <c r="C71" s="201">
        <v>0.55208333333333337</v>
      </c>
      <c r="D71" s="207"/>
      <c r="E71" s="198"/>
      <c r="H71" s="375" t="s">
        <v>305</v>
      </c>
      <c r="I71" s="108" t="s">
        <v>308</v>
      </c>
      <c r="J71" s="227">
        <v>0.28611111111111109</v>
      </c>
      <c r="K71" s="228">
        <v>0.29166666666666669</v>
      </c>
      <c r="L71" s="229" t="s">
        <v>592</v>
      </c>
      <c r="M71" s="227">
        <v>0.39583333333333331</v>
      </c>
      <c r="N71" s="228" t="s">
        <v>594</v>
      </c>
      <c r="O71" s="228">
        <v>0.4465277777777778</v>
      </c>
      <c r="P71" s="228">
        <v>0.46527777777777779</v>
      </c>
      <c r="Q71" s="229" t="s">
        <v>592</v>
      </c>
      <c r="R71" s="227">
        <v>0.64583333333333337</v>
      </c>
      <c r="S71" s="228" t="s">
        <v>593</v>
      </c>
      <c r="T71" s="229">
        <v>0.67152777777777772</v>
      </c>
      <c r="U71" s="95">
        <f t="shared" si="8"/>
        <v>0.38541666666666663</v>
      </c>
      <c r="V71" s="95">
        <f t="shared" si="9"/>
        <v>0.33472222222222214</v>
      </c>
      <c r="W71" s="99">
        <f t="shared" si="10"/>
        <v>5.0694444444444486E-2</v>
      </c>
      <c r="X71" s="99"/>
      <c r="Z71" s="74">
        <f t="shared" si="11"/>
        <v>0.10416666666666663</v>
      </c>
      <c r="AA71" s="74">
        <f t="shared" si="12"/>
        <v>0.18055555555555558</v>
      </c>
    </row>
    <row r="72" spans="1:27" ht="15.75" x14ac:dyDescent="0.25">
      <c r="A72" s="203" t="s">
        <v>237</v>
      </c>
      <c r="B72" s="204">
        <v>0.55208333333333337</v>
      </c>
      <c r="C72" s="206" t="s">
        <v>582</v>
      </c>
      <c r="D72" s="204"/>
      <c r="E72" s="198"/>
      <c r="H72" s="375" t="s">
        <v>307</v>
      </c>
      <c r="I72" s="108" t="s">
        <v>310</v>
      </c>
      <c r="J72" s="227">
        <v>0.32083333333333336</v>
      </c>
      <c r="K72" s="228">
        <v>0.3263888888888889</v>
      </c>
      <c r="L72" s="229" t="s">
        <v>592</v>
      </c>
      <c r="M72" s="227">
        <v>0.45833333333333331</v>
      </c>
      <c r="N72" s="228" t="s">
        <v>593</v>
      </c>
      <c r="O72" s="228">
        <v>0.50486111111111109</v>
      </c>
      <c r="P72" s="228">
        <v>0.51041666666666663</v>
      </c>
      <c r="Q72" s="229" t="s">
        <v>593</v>
      </c>
      <c r="R72" s="227">
        <v>0.59722222222222221</v>
      </c>
      <c r="S72" s="228" t="s">
        <v>592</v>
      </c>
      <c r="T72" s="229">
        <v>0.59722222222222221</v>
      </c>
      <c r="U72" s="95">
        <f t="shared" si="8"/>
        <v>0.27638888888888885</v>
      </c>
      <c r="V72" s="95">
        <f t="shared" si="9"/>
        <v>0.22986111111111107</v>
      </c>
      <c r="W72" s="99">
        <f t="shared" si="10"/>
        <v>4.6527777777777779E-2</v>
      </c>
      <c r="X72" s="99"/>
      <c r="Z72" s="74">
        <f t="shared" si="11"/>
        <v>0.13194444444444442</v>
      </c>
      <c r="AA72" s="74">
        <f t="shared" si="12"/>
        <v>8.680555555555558E-2</v>
      </c>
    </row>
    <row r="73" spans="1:27" ht="16.5" thickBot="1" x14ac:dyDescent="0.3">
      <c r="A73" s="200" t="s">
        <v>236</v>
      </c>
      <c r="B73" s="201">
        <v>0.60416666666666663</v>
      </c>
      <c r="C73" s="201">
        <v>0.65625</v>
      </c>
      <c r="D73" s="207"/>
      <c r="E73" s="208"/>
      <c r="H73" s="375" t="s">
        <v>309</v>
      </c>
      <c r="I73" s="108" t="s">
        <v>391</v>
      </c>
      <c r="J73" s="227">
        <v>0.33680555555555558</v>
      </c>
      <c r="K73" s="228">
        <v>0.36458333333333331</v>
      </c>
      <c r="L73" s="229" t="s">
        <v>593</v>
      </c>
      <c r="M73" s="227">
        <v>0.47916666666666669</v>
      </c>
      <c r="N73" s="228" t="s">
        <v>593</v>
      </c>
      <c r="O73" s="228">
        <v>0.53611111111111098</v>
      </c>
      <c r="P73" s="228">
        <v>0.54166666666666663</v>
      </c>
      <c r="Q73" s="229" t="s">
        <v>593</v>
      </c>
      <c r="R73" s="227">
        <v>0.62847222222222221</v>
      </c>
      <c r="S73" s="228" t="s">
        <v>592</v>
      </c>
      <c r="T73" s="229">
        <v>0.62847222222222221</v>
      </c>
      <c r="U73" s="95">
        <f t="shared" si="8"/>
        <v>0.29166666666666663</v>
      </c>
      <c r="V73" s="95">
        <f t="shared" si="9"/>
        <v>0.23472222222222233</v>
      </c>
      <c r="W73" s="99">
        <f t="shared" si="10"/>
        <v>5.6944444444444298E-2</v>
      </c>
      <c r="X73" s="99"/>
      <c r="Z73" s="74">
        <f t="shared" si="11"/>
        <v>0.11458333333333337</v>
      </c>
      <c r="AA73" s="74">
        <f t="shared" si="12"/>
        <v>8.680555555555558E-2</v>
      </c>
    </row>
    <row r="74" spans="1:27" ht="16.5" thickBot="1" x14ac:dyDescent="0.3">
      <c r="A74" s="203" t="s">
        <v>237</v>
      </c>
      <c r="B74" s="206" t="s">
        <v>583</v>
      </c>
      <c r="C74" s="206" t="s">
        <v>584</v>
      </c>
      <c r="D74" s="154" t="s">
        <v>8</v>
      </c>
      <c r="E74" s="209"/>
      <c r="H74" s="375" t="s">
        <v>311</v>
      </c>
      <c r="I74" s="108" t="s">
        <v>312</v>
      </c>
      <c r="J74" s="230">
        <v>0.34722222222222221</v>
      </c>
      <c r="K74" s="231">
        <v>0.375</v>
      </c>
      <c r="L74" s="232" t="s">
        <v>593</v>
      </c>
      <c r="M74" s="230">
        <v>0.5</v>
      </c>
      <c r="N74" s="231" t="s">
        <v>593</v>
      </c>
      <c r="O74" s="231">
        <v>0.56736111111111098</v>
      </c>
      <c r="P74" s="231">
        <v>0.57291666666666663</v>
      </c>
      <c r="Q74" s="232" t="s">
        <v>593</v>
      </c>
      <c r="R74" s="230">
        <v>0.66319444444444442</v>
      </c>
      <c r="S74" s="231" t="s">
        <v>592</v>
      </c>
      <c r="T74" s="232">
        <v>0.66319444444444442</v>
      </c>
      <c r="U74" s="100">
        <f t="shared" si="8"/>
        <v>0.31597222222222221</v>
      </c>
      <c r="V74" s="100">
        <f t="shared" si="9"/>
        <v>0.24861111111111123</v>
      </c>
      <c r="W74" s="101">
        <f t="shared" si="10"/>
        <v>6.7361111111110983E-2</v>
      </c>
      <c r="X74" s="101"/>
      <c r="Z74" s="74">
        <f t="shared" si="11"/>
        <v>0.125</v>
      </c>
      <c r="AA74" s="74">
        <f t="shared" si="12"/>
        <v>9.027777777777779E-2</v>
      </c>
    </row>
    <row r="75" spans="1:27" ht="16.5" thickBot="1" x14ac:dyDescent="0.3">
      <c r="A75" s="200" t="s">
        <v>236</v>
      </c>
      <c r="B75" s="201">
        <v>0.70833333333333337</v>
      </c>
      <c r="C75" s="201">
        <v>0.76041666666666663</v>
      </c>
      <c r="D75" s="154" t="s">
        <v>585</v>
      </c>
      <c r="E75" s="210"/>
      <c r="H75" s="373" t="s">
        <v>313</v>
      </c>
      <c r="I75" s="233" t="s">
        <v>314</v>
      </c>
      <c r="J75" s="230">
        <v>0.34861111111111109</v>
      </c>
      <c r="K75" s="231">
        <v>0.35416666666666669</v>
      </c>
      <c r="L75" s="232" t="s">
        <v>592</v>
      </c>
      <c r="M75" s="230"/>
      <c r="N75" s="231"/>
      <c r="O75" s="231"/>
      <c r="P75" s="231"/>
      <c r="Q75" s="232"/>
      <c r="R75" s="230">
        <v>0.5625</v>
      </c>
      <c r="S75" s="231" t="s">
        <v>593</v>
      </c>
      <c r="T75" s="232">
        <v>0.58819444444444446</v>
      </c>
      <c r="U75" s="100">
        <f t="shared" si="8"/>
        <v>0.23958333333333337</v>
      </c>
      <c r="V75" s="100">
        <f t="shared" si="9"/>
        <v>0.23958333333333337</v>
      </c>
      <c r="W75" s="101">
        <f t="shared" si="10"/>
        <v>0</v>
      </c>
      <c r="X75" s="101"/>
      <c r="Z75" s="74">
        <f>R75-K75</f>
        <v>0.20833333333333331</v>
      </c>
      <c r="AA75" s="74"/>
    </row>
    <row r="76" spans="1:27" ht="15.75" x14ac:dyDescent="0.25">
      <c r="A76" s="203" t="s">
        <v>237</v>
      </c>
      <c r="B76" s="206" t="s">
        <v>586</v>
      </c>
      <c r="C76" s="206" t="s">
        <v>587</v>
      </c>
      <c r="D76" s="1003" t="s">
        <v>588</v>
      </c>
      <c r="E76" s="211"/>
      <c r="H76" s="378" t="s">
        <v>315</v>
      </c>
      <c r="I76" s="105" t="s">
        <v>393</v>
      </c>
      <c r="J76" s="224">
        <v>0.49305555555555558</v>
      </c>
      <c r="K76" s="225">
        <v>0.52083333333333337</v>
      </c>
      <c r="L76" s="226" t="s">
        <v>593</v>
      </c>
      <c r="M76" s="224">
        <v>0.66666666666666663</v>
      </c>
      <c r="N76" s="225" t="s">
        <v>593</v>
      </c>
      <c r="O76" s="225">
        <v>0.72361111111111109</v>
      </c>
      <c r="P76" s="225">
        <v>0.72916666666666663</v>
      </c>
      <c r="Q76" s="226" t="s">
        <v>593</v>
      </c>
      <c r="R76" s="224">
        <v>0.87847222222222221</v>
      </c>
      <c r="S76" s="225" t="s">
        <v>592</v>
      </c>
      <c r="T76" s="234">
        <v>0.87847222222222221</v>
      </c>
      <c r="U76" s="97">
        <f t="shared" si="8"/>
        <v>0.38541666666666663</v>
      </c>
      <c r="V76" s="97">
        <f t="shared" si="9"/>
        <v>0.32847222222222217</v>
      </c>
      <c r="W76" s="98">
        <f t="shared" si="10"/>
        <v>5.6944444444444464E-2</v>
      </c>
      <c r="X76" s="98"/>
      <c r="Z76" s="74">
        <f t="shared" ref="Z76:Z89" si="13">M76-K76</f>
        <v>0.14583333333333326</v>
      </c>
      <c r="AA76" s="74">
        <f t="shared" ref="AA76:AA89" si="14">R76-P76</f>
        <v>0.14930555555555558</v>
      </c>
    </row>
    <row r="77" spans="1:27" ht="16.5" thickBot="1" x14ac:dyDescent="0.3">
      <c r="A77" s="200" t="s">
        <v>236</v>
      </c>
      <c r="B77" s="201">
        <v>0.8125</v>
      </c>
      <c r="C77" s="1005" t="s">
        <v>589</v>
      </c>
      <c r="D77" s="201">
        <v>0.85416666666666663</v>
      </c>
      <c r="E77" s="212"/>
      <c r="H77" s="376" t="s">
        <v>318</v>
      </c>
      <c r="I77" s="108" t="s">
        <v>319</v>
      </c>
      <c r="J77" s="227">
        <v>0.52430555555555558</v>
      </c>
      <c r="K77" s="228">
        <v>0.55208333333333337</v>
      </c>
      <c r="L77" s="229" t="s">
        <v>593</v>
      </c>
      <c r="M77" s="227">
        <v>0.67708333333333337</v>
      </c>
      <c r="N77" s="228" t="s">
        <v>593</v>
      </c>
      <c r="O77" s="228">
        <v>0.74444444444444446</v>
      </c>
      <c r="P77" s="228">
        <v>0.75</v>
      </c>
      <c r="Q77" s="229" t="s">
        <v>593</v>
      </c>
      <c r="R77" s="227">
        <v>0.89236111111111116</v>
      </c>
      <c r="S77" s="228" t="s">
        <v>592</v>
      </c>
      <c r="T77" s="235">
        <v>0.89236111111111116</v>
      </c>
      <c r="U77" s="95">
        <f t="shared" si="8"/>
        <v>0.36805555555555558</v>
      </c>
      <c r="V77" s="95">
        <f t="shared" si="9"/>
        <v>0.30069444444444449</v>
      </c>
      <c r="W77" s="99">
        <f t="shared" si="10"/>
        <v>6.7361111111111094E-2</v>
      </c>
      <c r="X77" s="99"/>
      <c r="Z77" s="74">
        <f t="shared" si="13"/>
        <v>0.125</v>
      </c>
      <c r="AA77" s="74">
        <f t="shared" si="14"/>
        <v>0.14236111111111116</v>
      </c>
    </row>
    <row r="78" spans="1:27" ht="16.5" thickBot="1" x14ac:dyDescent="0.3">
      <c r="A78" s="203" t="s">
        <v>237</v>
      </c>
      <c r="B78" s="206" t="s">
        <v>590</v>
      </c>
      <c r="C78" s="181" t="s">
        <v>191</v>
      </c>
      <c r="D78" s="204">
        <v>0.89583333333333337</v>
      </c>
      <c r="E78" s="213"/>
      <c r="H78" s="376" t="s">
        <v>320</v>
      </c>
      <c r="I78" s="108" t="s">
        <v>321</v>
      </c>
      <c r="J78" s="227">
        <v>0.52916666666666667</v>
      </c>
      <c r="K78" s="228">
        <v>0.53125</v>
      </c>
      <c r="L78" s="229" t="s">
        <v>592</v>
      </c>
      <c r="M78" s="227">
        <v>0.625</v>
      </c>
      <c r="N78" s="228" t="s">
        <v>593</v>
      </c>
      <c r="O78" s="228">
        <v>0.69236111111111098</v>
      </c>
      <c r="P78" s="228">
        <v>0.69791666666666663</v>
      </c>
      <c r="Q78" s="229" t="s">
        <v>593</v>
      </c>
      <c r="R78" s="227">
        <v>0.90972222222222221</v>
      </c>
      <c r="S78" s="228" t="s">
        <v>592</v>
      </c>
      <c r="T78" s="235">
        <v>0.90972222222222221</v>
      </c>
      <c r="U78" s="95">
        <f t="shared" si="8"/>
        <v>0.38055555555555554</v>
      </c>
      <c r="V78" s="95">
        <f t="shared" si="9"/>
        <v>0.31319444444444455</v>
      </c>
      <c r="W78" s="99">
        <f t="shared" si="10"/>
        <v>6.7361111111110983E-2</v>
      </c>
      <c r="X78" s="99"/>
      <c r="Z78" s="74">
        <f t="shared" si="13"/>
        <v>9.375E-2</v>
      </c>
      <c r="AA78" s="74">
        <f t="shared" si="14"/>
        <v>0.21180555555555558</v>
      </c>
    </row>
    <row r="79" spans="1:27" ht="15.75" x14ac:dyDescent="0.25">
      <c r="A79" s="200" t="s">
        <v>236</v>
      </c>
      <c r="B79" s="201">
        <v>0.89583333333333337</v>
      </c>
      <c r="D79" s="201">
        <v>0.9375</v>
      </c>
      <c r="E79" s="212"/>
      <c r="H79" s="376" t="s">
        <v>322</v>
      </c>
      <c r="I79" s="108" t="s">
        <v>323</v>
      </c>
      <c r="J79" s="227">
        <v>0.53472222222222221</v>
      </c>
      <c r="K79" s="228">
        <v>0.5625</v>
      </c>
      <c r="L79" s="229" t="s">
        <v>593</v>
      </c>
      <c r="M79" s="227">
        <v>0.6875</v>
      </c>
      <c r="N79" s="228" t="s">
        <v>593</v>
      </c>
      <c r="O79" s="228">
        <v>0.73402777777777795</v>
      </c>
      <c r="P79" s="228">
        <v>0.73958333333333337</v>
      </c>
      <c r="Q79" s="229" t="s">
        <v>593</v>
      </c>
      <c r="R79" s="227">
        <v>0.86805555555555558</v>
      </c>
      <c r="S79" s="228" t="s">
        <v>593</v>
      </c>
      <c r="T79" s="235">
        <v>0.89375000000000004</v>
      </c>
      <c r="U79" s="95">
        <f t="shared" si="8"/>
        <v>0.35902777777777783</v>
      </c>
      <c r="V79" s="95">
        <f t="shared" si="9"/>
        <v>0.31249999999999989</v>
      </c>
      <c r="W79" s="99">
        <f t="shared" si="10"/>
        <v>4.6527777777777946E-2</v>
      </c>
      <c r="X79" s="99"/>
      <c r="Z79" s="74">
        <f t="shared" si="13"/>
        <v>0.125</v>
      </c>
      <c r="AA79" s="74">
        <f t="shared" si="14"/>
        <v>0.12847222222222221</v>
      </c>
    </row>
    <row r="80" spans="1:27" ht="15.75" x14ac:dyDescent="0.25">
      <c r="A80" s="203" t="s">
        <v>237</v>
      </c>
      <c r="B80" s="204">
        <v>0.9375</v>
      </c>
      <c r="D80" s="204">
        <v>0.97916666666666663</v>
      </c>
      <c r="E80" s="213"/>
      <c r="H80" s="376" t="s">
        <v>324</v>
      </c>
      <c r="I80" s="108" t="s">
        <v>395</v>
      </c>
      <c r="J80" s="227">
        <v>0.56041666666666667</v>
      </c>
      <c r="K80" s="228">
        <v>0.5625</v>
      </c>
      <c r="L80" s="229" t="s">
        <v>592</v>
      </c>
      <c r="M80" s="227">
        <v>0.65625</v>
      </c>
      <c r="N80" s="228" t="s">
        <v>593</v>
      </c>
      <c r="O80" s="228">
        <v>0.70277777777777795</v>
      </c>
      <c r="P80" s="228">
        <v>0.70833333333333337</v>
      </c>
      <c r="Q80" s="229" t="s">
        <v>593</v>
      </c>
      <c r="R80" s="227">
        <v>0.92013888888888884</v>
      </c>
      <c r="S80" s="228" t="s">
        <v>592</v>
      </c>
      <c r="T80" s="235">
        <v>0.92013888888888884</v>
      </c>
      <c r="U80" s="95">
        <f t="shared" si="8"/>
        <v>0.35972222222222217</v>
      </c>
      <c r="V80" s="95">
        <f t="shared" si="9"/>
        <v>0.31319444444444422</v>
      </c>
      <c r="W80" s="99">
        <f t="shared" si="10"/>
        <v>4.6527777777777946E-2</v>
      </c>
      <c r="X80" s="99"/>
      <c r="Z80" s="74">
        <f t="shared" si="13"/>
        <v>9.375E-2</v>
      </c>
      <c r="AA80" s="74">
        <f t="shared" si="14"/>
        <v>0.21180555555555547</v>
      </c>
    </row>
    <row r="81" spans="1:27" ht="15.75" x14ac:dyDescent="0.25">
      <c r="A81" s="200" t="s">
        <v>236</v>
      </c>
      <c r="B81" s="201">
        <v>0.97916666666666663</v>
      </c>
      <c r="C81" s="201"/>
      <c r="D81" s="1006" t="s">
        <v>591</v>
      </c>
      <c r="E81" s="214"/>
      <c r="H81" s="376" t="s">
        <v>326</v>
      </c>
      <c r="I81" s="108" t="s">
        <v>327</v>
      </c>
      <c r="J81" s="227">
        <v>0.5854166666666667</v>
      </c>
      <c r="K81" s="228">
        <v>0.60416666666666663</v>
      </c>
      <c r="L81" s="229" t="s">
        <v>594</v>
      </c>
      <c r="M81" s="227">
        <v>0.70833333333333337</v>
      </c>
      <c r="N81" s="228" t="s">
        <v>594</v>
      </c>
      <c r="O81" s="228">
        <v>0.75763888888888886</v>
      </c>
      <c r="P81" s="228">
        <v>0.76041666666666663</v>
      </c>
      <c r="Q81" s="229" t="s">
        <v>593</v>
      </c>
      <c r="R81" s="227">
        <v>0.88194444444444442</v>
      </c>
      <c r="S81" s="228" t="s">
        <v>593</v>
      </c>
      <c r="T81" s="235">
        <v>0.90763888888888888</v>
      </c>
      <c r="U81" s="95">
        <f t="shared" si="8"/>
        <v>0.32222222222222219</v>
      </c>
      <c r="V81" s="95">
        <f t="shared" si="9"/>
        <v>0.2729166666666667</v>
      </c>
      <c r="W81" s="99">
        <f t="shared" si="10"/>
        <v>4.9305555555555491E-2</v>
      </c>
      <c r="X81" s="99"/>
      <c r="Z81" s="74">
        <f t="shared" si="13"/>
        <v>0.10416666666666674</v>
      </c>
      <c r="AA81" s="74">
        <f t="shared" si="14"/>
        <v>0.12152777777777779</v>
      </c>
    </row>
    <row r="82" spans="1:27" ht="16.5" thickBot="1" x14ac:dyDescent="0.3">
      <c r="A82" s="203" t="s">
        <v>237</v>
      </c>
      <c r="B82" s="1007" t="s">
        <v>591</v>
      </c>
      <c r="C82" s="146"/>
      <c r="E82" s="215"/>
      <c r="H82" s="379" t="s">
        <v>328</v>
      </c>
      <c r="I82" s="109" t="s">
        <v>329</v>
      </c>
      <c r="J82" s="236">
        <v>0.59166666666666667</v>
      </c>
      <c r="K82" s="237">
        <v>0.59375</v>
      </c>
      <c r="L82" s="238" t="s">
        <v>592</v>
      </c>
      <c r="M82" s="236">
        <v>0.75</v>
      </c>
      <c r="N82" s="237" t="s">
        <v>593</v>
      </c>
      <c r="O82" s="237">
        <v>0.80972222222222223</v>
      </c>
      <c r="P82" s="237">
        <v>0.8125</v>
      </c>
      <c r="Q82" s="238" t="s">
        <v>594</v>
      </c>
      <c r="R82" s="236">
        <v>0.88194444444444442</v>
      </c>
      <c r="S82" s="237" t="s">
        <v>592</v>
      </c>
      <c r="T82" s="239">
        <v>0.88194444444444442</v>
      </c>
      <c r="U82" s="103">
        <f t="shared" si="8"/>
        <v>0.29027777777777775</v>
      </c>
      <c r="V82" s="103">
        <f t="shared" si="9"/>
        <v>0.23055555555555551</v>
      </c>
      <c r="W82" s="104">
        <f t="shared" si="10"/>
        <v>5.9722222222222232E-2</v>
      </c>
      <c r="X82" s="104"/>
      <c r="Z82" s="74">
        <f t="shared" si="13"/>
        <v>0.15625</v>
      </c>
      <c r="AA82" s="74">
        <f t="shared" si="14"/>
        <v>6.944444444444442E-2</v>
      </c>
    </row>
    <row r="83" spans="1:27" ht="16.5" thickBot="1" x14ac:dyDescent="0.3">
      <c r="A83" s="216" t="s">
        <v>45</v>
      </c>
      <c r="B83" s="217" t="s">
        <v>573</v>
      </c>
      <c r="C83" s="218"/>
      <c r="D83" s="217" t="s">
        <v>573</v>
      </c>
      <c r="E83" s="219"/>
      <c r="H83" s="374" t="s">
        <v>330</v>
      </c>
      <c r="I83" s="240" t="s">
        <v>331</v>
      </c>
      <c r="J83" s="227">
        <v>0.61250000000000004</v>
      </c>
      <c r="K83" s="228">
        <v>0.61458333333333337</v>
      </c>
      <c r="L83" s="229" t="s">
        <v>592</v>
      </c>
      <c r="M83" s="227">
        <v>0.69791666666666663</v>
      </c>
      <c r="N83" s="228" t="s">
        <v>593</v>
      </c>
      <c r="O83" s="228">
        <v>0.79305555555555551</v>
      </c>
      <c r="P83" s="228">
        <v>0.79861111111111116</v>
      </c>
      <c r="Q83" s="229" t="s">
        <v>593</v>
      </c>
      <c r="R83" s="227">
        <v>0.94444444444444442</v>
      </c>
      <c r="S83" s="228" t="s">
        <v>592</v>
      </c>
      <c r="T83" s="229">
        <v>0.94444444444444442</v>
      </c>
      <c r="U83" s="106">
        <f t="shared" si="8"/>
        <v>0.33194444444444438</v>
      </c>
      <c r="V83" s="106">
        <f t="shared" si="9"/>
        <v>0.23680555555555549</v>
      </c>
      <c r="W83" s="107">
        <f t="shared" si="10"/>
        <v>9.5138888888888884E-2</v>
      </c>
      <c r="X83" s="107" t="s">
        <v>280</v>
      </c>
      <c r="Z83" s="74">
        <f t="shared" si="13"/>
        <v>8.3333333333333259E-2</v>
      </c>
      <c r="AA83" s="74">
        <f t="shared" si="14"/>
        <v>0.14583333333333326</v>
      </c>
    </row>
    <row r="84" spans="1:27" ht="15.75" x14ac:dyDescent="0.25">
      <c r="H84" s="375" t="s">
        <v>332</v>
      </c>
      <c r="I84" s="108" t="s">
        <v>333</v>
      </c>
      <c r="J84" s="241">
        <v>0.61805555555555558</v>
      </c>
      <c r="K84" s="242">
        <v>0.64583333333333337</v>
      </c>
      <c r="L84" s="243" t="s">
        <v>593</v>
      </c>
      <c r="M84" s="241">
        <v>0.78472222222222221</v>
      </c>
      <c r="N84" s="242" t="s">
        <v>593</v>
      </c>
      <c r="O84" s="242">
        <v>0.84861111111111109</v>
      </c>
      <c r="P84" s="242">
        <v>0.85416666666666663</v>
      </c>
      <c r="Q84" s="243" t="s">
        <v>593</v>
      </c>
      <c r="R84" s="241">
        <v>1.0173611111111112</v>
      </c>
      <c r="S84" s="242" t="s">
        <v>592</v>
      </c>
      <c r="T84" s="243">
        <v>1.0173611111111112</v>
      </c>
      <c r="U84" s="95">
        <f t="shared" si="8"/>
        <v>0.39930555555555558</v>
      </c>
      <c r="V84" s="95">
        <f t="shared" si="9"/>
        <v>0.3354166666666667</v>
      </c>
      <c r="W84" s="99">
        <f t="shared" si="10"/>
        <v>6.3888888888888884E-2</v>
      </c>
      <c r="X84" s="99" t="s">
        <v>280</v>
      </c>
      <c r="Z84" s="74">
        <f t="shared" si="13"/>
        <v>0.13888888888888884</v>
      </c>
      <c r="AA84" s="74">
        <f t="shared" si="14"/>
        <v>0.16319444444444453</v>
      </c>
    </row>
    <row r="85" spans="1:27" ht="15.75" x14ac:dyDescent="0.25">
      <c r="B85" s="1018">
        <v>1.0381944444444444</v>
      </c>
      <c r="C85" s="1019">
        <v>0.88194444444444442</v>
      </c>
      <c r="D85" s="1018">
        <v>1.0381944444444444</v>
      </c>
      <c r="H85" s="375" t="s">
        <v>334</v>
      </c>
      <c r="I85" s="108" t="s">
        <v>335</v>
      </c>
      <c r="J85" s="227">
        <v>0.63888888888888884</v>
      </c>
      <c r="K85" s="228">
        <v>0.66666666666666663</v>
      </c>
      <c r="L85" s="229" t="s">
        <v>593</v>
      </c>
      <c r="M85" s="227">
        <v>0.79861111111111116</v>
      </c>
      <c r="N85" s="228" t="s">
        <v>593</v>
      </c>
      <c r="O85" s="228">
        <v>0.86250000000000004</v>
      </c>
      <c r="P85" s="228">
        <v>0.86805555555555558</v>
      </c>
      <c r="Q85" s="229" t="s">
        <v>593</v>
      </c>
      <c r="R85" s="227">
        <v>1.0347222222222223</v>
      </c>
      <c r="S85" s="228" t="s">
        <v>592</v>
      </c>
      <c r="T85" s="229">
        <v>1.0347222222222223</v>
      </c>
      <c r="U85" s="95">
        <f t="shared" si="8"/>
        <v>0.39583333333333348</v>
      </c>
      <c r="V85" s="95">
        <f t="shared" si="9"/>
        <v>0.3319444444444446</v>
      </c>
      <c r="W85" s="99">
        <f t="shared" si="10"/>
        <v>6.3888888888888884E-2</v>
      </c>
      <c r="X85" s="99" t="s">
        <v>280</v>
      </c>
      <c r="Z85" s="74">
        <f t="shared" si="13"/>
        <v>0.13194444444444453</v>
      </c>
      <c r="AA85" s="74">
        <f t="shared" si="14"/>
        <v>0.16666666666666674</v>
      </c>
    </row>
    <row r="86" spans="1:27" ht="15.75" x14ac:dyDescent="0.25">
      <c r="B86" s="1019">
        <v>0.29166666666666669</v>
      </c>
      <c r="C86" s="1019">
        <v>0.29166666666666669</v>
      </c>
      <c r="D86" s="1019">
        <v>0.82986111111111116</v>
      </c>
      <c r="H86" s="375" t="s">
        <v>336</v>
      </c>
      <c r="I86" s="108" t="s">
        <v>337</v>
      </c>
      <c r="J86" s="227">
        <v>0.64375000000000004</v>
      </c>
      <c r="K86" s="228">
        <v>0.64583333333333337</v>
      </c>
      <c r="L86" s="229" t="s">
        <v>592</v>
      </c>
      <c r="M86" s="227">
        <v>0.72916666666666663</v>
      </c>
      <c r="N86" s="228" t="s">
        <v>593</v>
      </c>
      <c r="O86" s="228">
        <v>0.80694444444444446</v>
      </c>
      <c r="P86" s="228">
        <v>0.8125</v>
      </c>
      <c r="Q86" s="229" t="s">
        <v>593</v>
      </c>
      <c r="R86" s="227">
        <v>1.0381944444444444</v>
      </c>
      <c r="S86" s="228" t="s">
        <v>592</v>
      </c>
      <c r="T86" s="229">
        <v>1.0381944444444444</v>
      </c>
      <c r="U86" s="95">
        <f t="shared" si="8"/>
        <v>0.39444444444444438</v>
      </c>
      <c r="V86" s="95">
        <f t="shared" si="9"/>
        <v>0.31666666666666654</v>
      </c>
      <c r="W86" s="99">
        <f t="shared" si="10"/>
        <v>7.7777777777777835E-2</v>
      </c>
      <c r="X86" s="99" t="s">
        <v>280</v>
      </c>
      <c r="Z86" s="74">
        <f t="shared" si="13"/>
        <v>8.3333333333333259E-2</v>
      </c>
      <c r="AA86" s="74">
        <f t="shared" si="14"/>
        <v>0.22569444444444442</v>
      </c>
    </row>
    <row r="87" spans="1:27" ht="15.75" x14ac:dyDescent="0.25">
      <c r="B87" s="1018">
        <f>B85-B86</f>
        <v>0.74652777777777768</v>
      </c>
      <c r="C87" s="1018">
        <f t="shared" ref="C87:D87" si="15">C85-C86</f>
        <v>0.59027777777777768</v>
      </c>
      <c r="D87" s="1018">
        <f t="shared" si="15"/>
        <v>0.20833333333333326</v>
      </c>
      <c r="H87" s="375" t="s">
        <v>338</v>
      </c>
      <c r="I87" s="108" t="s">
        <v>397</v>
      </c>
      <c r="J87" s="227">
        <v>0.64930555555555558</v>
      </c>
      <c r="K87" s="228">
        <v>0.67708333333333337</v>
      </c>
      <c r="L87" s="229" t="s">
        <v>593</v>
      </c>
      <c r="M87" s="227">
        <v>0.8125</v>
      </c>
      <c r="N87" s="228" t="s">
        <v>593</v>
      </c>
      <c r="O87" s="228">
        <v>0.87638888888888888</v>
      </c>
      <c r="P87" s="228">
        <v>0.88194444444444442</v>
      </c>
      <c r="Q87" s="229" t="s">
        <v>593</v>
      </c>
      <c r="R87" s="227">
        <v>1.0416666666666667</v>
      </c>
      <c r="S87" s="228" t="s">
        <v>592</v>
      </c>
      <c r="T87" s="229">
        <v>1.0416666666666667</v>
      </c>
      <c r="U87" s="95">
        <f t="shared" si="8"/>
        <v>0.39236111111111116</v>
      </c>
      <c r="V87" s="95">
        <f t="shared" si="9"/>
        <v>0.32847222222222228</v>
      </c>
      <c r="W87" s="99">
        <f t="shared" si="10"/>
        <v>6.3888888888888884E-2</v>
      </c>
      <c r="X87" s="99" t="s">
        <v>280</v>
      </c>
      <c r="Z87" s="74">
        <f t="shared" si="13"/>
        <v>0.13541666666666663</v>
      </c>
      <c r="AA87" s="74">
        <f t="shared" si="14"/>
        <v>0.15972222222222232</v>
      </c>
    </row>
    <row r="88" spans="1:27" ht="15.75" x14ac:dyDescent="0.25">
      <c r="H88" s="375" t="s">
        <v>340</v>
      </c>
      <c r="I88" s="108" t="s">
        <v>339</v>
      </c>
      <c r="J88" s="227">
        <v>0.65972222222222221</v>
      </c>
      <c r="K88" s="228">
        <v>0.6875</v>
      </c>
      <c r="L88" s="229" t="s">
        <v>593</v>
      </c>
      <c r="M88" s="227">
        <v>0.84375</v>
      </c>
      <c r="N88" s="228" t="s">
        <v>592</v>
      </c>
      <c r="O88" s="228">
        <v>0.90069444444444446</v>
      </c>
      <c r="P88" s="228">
        <v>0.90277777777777779</v>
      </c>
      <c r="Q88" s="229" t="s">
        <v>592</v>
      </c>
      <c r="R88" s="227">
        <v>1.0277777777777777</v>
      </c>
      <c r="S88" s="228" t="s">
        <v>592</v>
      </c>
      <c r="T88" s="229">
        <v>1.0277777777777777</v>
      </c>
      <c r="U88" s="95">
        <f t="shared" si="8"/>
        <v>0.36805555555555547</v>
      </c>
      <c r="V88" s="95">
        <f t="shared" si="9"/>
        <v>0.31111111111111101</v>
      </c>
      <c r="W88" s="99">
        <f t="shared" si="10"/>
        <v>5.6944444444444464E-2</v>
      </c>
      <c r="X88" s="99"/>
      <c r="Z88" s="74">
        <f t="shared" si="13"/>
        <v>0.15625</v>
      </c>
      <c r="AA88" s="74">
        <f t="shared" si="14"/>
        <v>0.12499999999999989</v>
      </c>
    </row>
    <row r="89" spans="1:27" ht="15.75" x14ac:dyDescent="0.25">
      <c r="H89" s="375" t="s">
        <v>342</v>
      </c>
      <c r="I89" s="108" t="s">
        <v>343</v>
      </c>
      <c r="J89" s="227">
        <v>0.69097222222222221</v>
      </c>
      <c r="K89" s="228">
        <v>0.71875</v>
      </c>
      <c r="L89" s="229" t="s">
        <v>593</v>
      </c>
      <c r="M89" s="227">
        <v>0.85416666666666663</v>
      </c>
      <c r="N89" s="228" t="s">
        <v>593</v>
      </c>
      <c r="O89" s="228">
        <v>0.90416666666666667</v>
      </c>
      <c r="P89" s="228">
        <v>0.90972222222222221</v>
      </c>
      <c r="Q89" s="229" t="s">
        <v>593</v>
      </c>
      <c r="R89" s="227">
        <v>1.0208333333333333</v>
      </c>
      <c r="S89" s="228" t="s">
        <v>592</v>
      </c>
      <c r="T89" s="229">
        <v>1.0208333333333333</v>
      </c>
      <c r="U89" s="95">
        <f t="shared" si="8"/>
        <v>0.32986111111111105</v>
      </c>
      <c r="V89" s="95">
        <f t="shared" si="9"/>
        <v>0.27986111111111101</v>
      </c>
      <c r="W89" s="99">
        <f t="shared" si="10"/>
        <v>5.0000000000000044E-2</v>
      </c>
      <c r="X89" s="99"/>
      <c r="Z89" s="74">
        <f t="shared" si="13"/>
        <v>0.13541666666666663</v>
      </c>
      <c r="AA89" s="74">
        <f t="shared" si="14"/>
        <v>0.11111111111111105</v>
      </c>
    </row>
    <row r="90" spans="1:27" ht="15.75" x14ac:dyDescent="0.25">
      <c r="H90" s="375" t="s">
        <v>344</v>
      </c>
      <c r="I90" s="108" t="s">
        <v>345</v>
      </c>
      <c r="J90" s="227">
        <v>0.74305555555555558</v>
      </c>
      <c r="K90" s="228">
        <v>0.77083333333333337</v>
      </c>
      <c r="L90" s="229" t="s">
        <v>593</v>
      </c>
      <c r="M90" s="227"/>
      <c r="N90" s="228"/>
      <c r="O90" s="228"/>
      <c r="P90" s="228"/>
      <c r="Q90" s="229"/>
      <c r="R90" s="227">
        <v>1</v>
      </c>
      <c r="S90" s="228" t="s">
        <v>592</v>
      </c>
      <c r="T90" s="229">
        <v>1</v>
      </c>
      <c r="U90" s="95">
        <f t="shared" si="8"/>
        <v>0.25694444444444442</v>
      </c>
      <c r="V90" s="95">
        <f t="shared" si="9"/>
        <v>0.25694444444444442</v>
      </c>
      <c r="W90" s="99">
        <f t="shared" si="10"/>
        <v>0</v>
      </c>
      <c r="X90" s="99"/>
      <c r="Z90" s="74">
        <f t="shared" ref="Z90:Z91" si="16">R90-K90</f>
        <v>0.22916666666666663</v>
      </c>
      <c r="AA90" s="74"/>
    </row>
    <row r="91" spans="1:27" ht="16.5" thickBot="1" x14ac:dyDescent="0.3">
      <c r="H91" s="375" t="s">
        <v>346</v>
      </c>
      <c r="I91" s="109" t="s">
        <v>347</v>
      </c>
      <c r="J91" s="236">
        <v>0.82777777777777772</v>
      </c>
      <c r="K91" s="237">
        <v>0.82986111111111116</v>
      </c>
      <c r="L91" s="238" t="s">
        <v>592</v>
      </c>
      <c r="M91" s="236"/>
      <c r="N91" s="237"/>
      <c r="O91" s="237"/>
      <c r="P91" s="237"/>
      <c r="Q91" s="238"/>
      <c r="R91" s="236">
        <v>1.0381944444444444</v>
      </c>
      <c r="S91" s="237" t="s">
        <v>592</v>
      </c>
      <c r="T91" s="238">
        <v>1.0381944444444444</v>
      </c>
      <c r="U91" s="103">
        <f t="shared" si="8"/>
        <v>0.2104166666666667</v>
      </c>
      <c r="V91" s="103">
        <f t="shared" si="9"/>
        <v>0.2104166666666667</v>
      </c>
      <c r="W91" s="104">
        <f t="shared" si="10"/>
        <v>0</v>
      </c>
      <c r="X91" s="104"/>
      <c r="Z91" s="74">
        <f t="shared" si="16"/>
        <v>0.20833333333333326</v>
      </c>
      <c r="AA91" s="74"/>
    </row>
    <row r="92" spans="1:27" ht="16.5" thickBot="1" x14ac:dyDescent="0.3">
      <c r="H92" s="110"/>
      <c r="I92" s="244"/>
      <c r="J92" s="245"/>
      <c r="K92" s="246"/>
      <c r="L92" s="247"/>
      <c r="M92" s="245"/>
      <c r="N92" s="246"/>
      <c r="O92" s="246"/>
      <c r="P92" s="246"/>
      <c r="Q92" s="247"/>
      <c r="R92" s="245"/>
      <c r="S92" s="246"/>
      <c r="T92" s="247"/>
      <c r="U92" s="120"/>
      <c r="V92" s="121">
        <f>AVERAGE(V63:V91)</f>
        <v>0.28460249042145591</v>
      </c>
      <c r="W92" s="248"/>
      <c r="X92" s="248"/>
      <c r="Z92" s="74"/>
      <c r="AA92" s="74"/>
    </row>
    <row r="93" spans="1:27" ht="15.75" x14ac:dyDescent="0.25">
      <c r="H93" s="84" t="s">
        <v>272</v>
      </c>
      <c r="I93" s="85" t="s">
        <v>273</v>
      </c>
      <c r="J93" s="86" t="s">
        <v>274</v>
      </c>
      <c r="K93" s="87"/>
      <c r="L93" s="88"/>
      <c r="M93" s="86" t="s">
        <v>275</v>
      </c>
      <c r="N93" s="87"/>
      <c r="O93" s="87"/>
      <c r="P93" s="87"/>
      <c r="Q93" s="88"/>
      <c r="R93" s="86" t="s">
        <v>276</v>
      </c>
      <c r="S93" s="87"/>
      <c r="T93" s="88"/>
      <c r="U93" s="84" t="s">
        <v>277</v>
      </c>
      <c r="V93" s="84" t="s">
        <v>278</v>
      </c>
      <c r="W93" s="84" t="s">
        <v>279</v>
      </c>
      <c r="X93" s="84"/>
      <c r="Z93" s="74"/>
      <c r="AA93" s="74"/>
    </row>
    <row r="94" spans="1:27" ht="16.5" thickBot="1" x14ac:dyDescent="0.3">
      <c r="H94" s="89"/>
      <c r="I94" s="90"/>
      <c r="J94" s="94" t="s">
        <v>281</v>
      </c>
      <c r="K94" s="92" t="s">
        <v>282</v>
      </c>
      <c r="L94" s="93" t="s">
        <v>283</v>
      </c>
      <c r="M94" s="94" t="s">
        <v>274</v>
      </c>
      <c r="N94" s="92" t="s">
        <v>283</v>
      </c>
      <c r="O94" s="92" t="s">
        <v>281</v>
      </c>
      <c r="P94" s="92" t="s">
        <v>274</v>
      </c>
      <c r="Q94" s="93" t="s">
        <v>283</v>
      </c>
      <c r="R94" s="94" t="s">
        <v>276</v>
      </c>
      <c r="S94" s="92" t="s">
        <v>283</v>
      </c>
      <c r="T94" s="93" t="s">
        <v>284</v>
      </c>
      <c r="U94" s="89"/>
      <c r="V94" s="89"/>
      <c r="W94" s="89"/>
      <c r="X94" s="89"/>
      <c r="Z94" s="74"/>
      <c r="AA94" s="74"/>
    </row>
    <row r="95" spans="1:27" ht="15.75" x14ac:dyDescent="0.25">
      <c r="H95" s="372" t="s">
        <v>364</v>
      </c>
      <c r="I95" s="123" t="s">
        <v>365</v>
      </c>
      <c r="J95" s="224">
        <v>0.3576388888888889</v>
      </c>
      <c r="K95" s="225">
        <v>0.38541666666666669</v>
      </c>
      <c r="L95" s="226" t="s">
        <v>593</v>
      </c>
      <c r="M95" s="224">
        <v>0.51041666666666663</v>
      </c>
      <c r="N95" s="225" t="s">
        <v>593</v>
      </c>
      <c r="O95" s="225">
        <v>0.59861111111111098</v>
      </c>
      <c r="P95" s="225">
        <v>0.60416666666666663</v>
      </c>
      <c r="Q95" s="226" t="s">
        <v>593</v>
      </c>
      <c r="R95" s="224">
        <v>0.69097222222222221</v>
      </c>
      <c r="S95" s="225" t="s">
        <v>592</v>
      </c>
      <c r="T95" s="226">
        <v>0.69097222222222221</v>
      </c>
      <c r="U95" s="97">
        <f t="shared" ref="U95:U100" si="17">T95-J95</f>
        <v>0.33333333333333331</v>
      </c>
      <c r="V95" s="97">
        <f t="shared" ref="V95:V100" si="18">U95-W95</f>
        <v>0.24513888888888896</v>
      </c>
      <c r="W95" s="98">
        <f t="shared" ref="W95:W100" si="19">O95-M95</f>
        <v>8.8194444444444353E-2</v>
      </c>
      <c r="X95" s="98"/>
      <c r="Z95" s="74">
        <f t="shared" ref="Z95:Z100" si="20">M95-K95</f>
        <v>0.12499999999999994</v>
      </c>
      <c r="AA95" s="74">
        <f t="shared" ref="AA95:AA100" si="21">R95-P95</f>
        <v>8.680555555555558E-2</v>
      </c>
    </row>
    <row r="96" spans="1:27" ht="15.75" x14ac:dyDescent="0.25">
      <c r="H96" s="375" t="s">
        <v>366</v>
      </c>
      <c r="I96" s="111" t="s">
        <v>367</v>
      </c>
      <c r="J96" s="227">
        <v>0.36805555555555558</v>
      </c>
      <c r="K96" s="228">
        <v>0.39583333333333331</v>
      </c>
      <c r="L96" s="229" t="s">
        <v>593</v>
      </c>
      <c r="M96" s="227">
        <v>0.52083333333333337</v>
      </c>
      <c r="N96" s="228" t="s">
        <v>593</v>
      </c>
      <c r="O96" s="228">
        <v>0.57777777777777783</v>
      </c>
      <c r="P96" s="228">
        <v>0.58333333333333337</v>
      </c>
      <c r="Q96" s="229" t="s">
        <v>593</v>
      </c>
      <c r="R96" s="227">
        <v>0.70833333333333337</v>
      </c>
      <c r="S96" s="228" t="s">
        <v>593</v>
      </c>
      <c r="T96" s="229">
        <v>0.73402777777777772</v>
      </c>
      <c r="U96" s="95">
        <f t="shared" si="17"/>
        <v>0.36597222222222214</v>
      </c>
      <c r="V96" s="95">
        <f t="shared" si="18"/>
        <v>0.30902777777777768</v>
      </c>
      <c r="W96" s="99">
        <f t="shared" si="19"/>
        <v>5.6944444444444464E-2</v>
      </c>
      <c r="X96" s="99"/>
      <c r="Z96" s="74">
        <f t="shared" si="20"/>
        <v>0.12500000000000006</v>
      </c>
      <c r="AA96" s="74">
        <f t="shared" si="21"/>
        <v>0.125</v>
      </c>
    </row>
    <row r="97" spans="8:27" ht="15.75" x14ac:dyDescent="0.25">
      <c r="H97" s="375" t="s">
        <v>368</v>
      </c>
      <c r="I97" s="111" t="s">
        <v>369</v>
      </c>
      <c r="J97" s="227">
        <v>0.37708333333333333</v>
      </c>
      <c r="K97" s="228">
        <v>0.39583333333333331</v>
      </c>
      <c r="L97" s="229" t="s">
        <v>594</v>
      </c>
      <c r="M97" s="227">
        <v>0.60416666666666663</v>
      </c>
      <c r="N97" s="228" t="s">
        <v>594</v>
      </c>
      <c r="O97" s="242">
        <v>0.65624999999999989</v>
      </c>
      <c r="P97" s="242">
        <v>0.65625</v>
      </c>
      <c r="Q97" s="243" t="s">
        <v>594</v>
      </c>
      <c r="R97" s="241">
        <v>0.76041666666666663</v>
      </c>
      <c r="S97" s="242" t="s">
        <v>594</v>
      </c>
      <c r="T97" s="243">
        <v>0.77708333333333335</v>
      </c>
      <c r="U97" s="95">
        <f t="shared" si="17"/>
        <v>0.4</v>
      </c>
      <c r="V97" s="95">
        <f t="shared" si="18"/>
        <v>0.34791666666666676</v>
      </c>
      <c r="W97" s="99">
        <f t="shared" si="19"/>
        <v>5.2083333333333259E-2</v>
      </c>
      <c r="X97" s="99"/>
      <c r="Z97" s="74">
        <f t="shared" si="20"/>
        <v>0.20833333333333331</v>
      </c>
      <c r="AA97" s="74">
        <f t="shared" si="21"/>
        <v>0.10416666666666663</v>
      </c>
    </row>
    <row r="98" spans="8:27" ht="15.75" x14ac:dyDescent="0.25">
      <c r="H98" s="375" t="s">
        <v>370</v>
      </c>
      <c r="I98" s="111" t="s">
        <v>371</v>
      </c>
      <c r="J98" s="227">
        <v>0.38333333333333336</v>
      </c>
      <c r="K98" s="228">
        <v>0.3888888888888889</v>
      </c>
      <c r="L98" s="229" t="s">
        <v>592</v>
      </c>
      <c r="M98" s="227">
        <v>0.54166666666666663</v>
      </c>
      <c r="N98" s="228" t="s">
        <v>593</v>
      </c>
      <c r="O98" s="228">
        <v>0.65069444444444435</v>
      </c>
      <c r="P98" s="228">
        <v>0.65625</v>
      </c>
      <c r="Q98" s="229" t="s">
        <v>593</v>
      </c>
      <c r="R98" s="227">
        <v>0.80555555555555558</v>
      </c>
      <c r="S98" s="228" t="s">
        <v>592</v>
      </c>
      <c r="T98" s="229">
        <v>0.80555555555555558</v>
      </c>
      <c r="U98" s="95">
        <f t="shared" si="17"/>
        <v>0.42222222222222222</v>
      </c>
      <c r="V98" s="95">
        <f t="shared" si="18"/>
        <v>0.3131944444444445</v>
      </c>
      <c r="W98" s="99">
        <f t="shared" si="19"/>
        <v>0.10902777777777772</v>
      </c>
      <c r="X98" s="99"/>
      <c r="Z98" s="74">
        <f t="shared" si="20"/>
        <v>0.15277777777777773</v>
      </c>
      <c r="AA98" s="74">
        <f t="shared" si="21"/>
        <v>0.14930555555555558</v>
      </c>
    </row>
    <row r="99" spans="8:27" ht="15.75" x14ac:dyDescent="0.25">
      <c r="H99" s="375" t="s">
        <v>372</v>
      </c>
      <c r="I99" s="111" t="s">
        <v>373</v>
      </c>
      <c r="J99" s="227">
        <v>0.3888888888888889</v>
      </c>
      <c r="K99" s="228">
        <v>0.41666666666666669</v>
      </c>
      <c r="L99" s="229" t="s">
        <v>593</v>
      </c>
      <c r="M99" s="227">
        <v>0.55208333333333337</v>
      </c>
      <c r="N99" s="228" t="s">
        <v>593</v>
      </c>
      <c r="O99" s="228">
        <v>0.61944444444444458</v>
      </c>
      <c r="P99" s="228">
        <v>0.625</v>
      </c>
      <c r="Q99" s="229" t="s">
        <v>593</v>
      </c>
      <c r="R99" s="227">
        <v>0.76041666666666663</v>
      </c>
      <c r="S99" s="228" t="s">
        <v>593</v>
      </c>
      <c r="T99" s="229">
        <v>0.78611111111111109</v>
      </c>
      <c r="U99" s="95">
        <f t="shared" si="17"/>
        <v>0.3972222222222222</v>
      </c>
      <c r="V99" s="95">
        <f t="shared" si="18"/>
        <v>0.32986111111111099</v>
      </c>
      <c r="W99" s="99">
        <f t="shared" si="19"/>
        <v>6.7361111111111205E-2</v>
      </c>
      <c r="X99" s="99"/>
      <c r="Z99" s="74">
        <f t="shared" si="20"/>
        <v>0.13541666666666669</v>
      </c>
      <c r="AA99" s="74">
        <f t="shared" si="21"/>
        <v>0.13541666666666663</v>
      </c>
    </row>
    <row r="100" spans="8:27" ht="16.5" thickBot="1" x14ac:dyDescent="0.3">
      <c r="H100" s="381" t="s">
        <v>374</v>
      </c>
      <c r="I100" s="255" t="s">
        <v>375</v>
      </c>
      <c r="J100" s="236">
        <v>0.41111111111111109</v>
      </c>
      <c r="K100" s="237">
        <v>0.41666666666666669</v>
      </c>
      <c r="L100" s="238" t="s">
        <v>592</v>
      </c>
      <c r="M100" s="236">
        <v>0.57291666666666663</v>
      </c>
      <c r="N100" s="237" t="s">
        <v>593</v>
      </c>
      <c r="O100" s="237">
        <v>0.62986111111111109</v>
      </c>
      <c r="P100" s="237">
        <v>0.63541666666666663</v>
      </c>
      <c r="Q100" s="238" t="s">
        <v>593</v>
      </c>
      <c r="R100" s="236">
        <v>0.77083333333333337</v>
      </c>
      <c r="S100" s="237" t="s">
        <v>593</v>
      </c>
      <c r="T100" s="238">
        <v>0.79652777777777772</v>
      </c>
      <c r="U100" s="103">
        <f t="shared" si="17"/>
        <v>0.38541666666666663</v>
      </c>
      <c r="V100" s="103">
        <f t="shared" si="18"/>
        <v>0.32847222222222217</v>
      </c>
      <c r="W100" s="104">
        <f t="shared" si="19"/>
        <v>5.6944444444444464E-2</v>
      </c>
      <c r="X100" s="104"/>
      <c r="Z100" s="74">
        <f t="shared" si="20"/>
        <v>0.15624999999999994</v>
      </c>
      <c r="AA100" s="74">
        <f t="shared" si="21"/>
        <v>0.13541666666666674</v>
      </c>
    </row>
    <row r="101" spans="8:27" ht="16.5" thickBot="1" x14ac:dyDescent="0.3">
      <c r="H101" s="140"/>
      <c r="I101" s="255"/>
      <c r="J101" s="251"/>
      <c r="K101" s="252"/>
      <c r="L101" s="253"/>
      <c r="M101" s="251"/>
      <c r="N101" s="252"/>
      <c r="O101" s="252"/>
      <c r="P101" s="252"/>
      <c r="Q101" s="253"/>
      <c r="R101" s="251"/>
      <c r="S101" s="252"/>
      <c r="T101" s="253"/>
      <c r="U101" s="140"/>
      <c r="V101" s="126">
        <f>AVERAGE(V95:V100)</f>
        <v>0.3122685185185185</v>
      </c>
      <c r="W101" s="254"/>
      <c r="X101" s="254"/>
      <c r="Z101" s="74"/>
      <c r="AA101" s="74"/>
    </row>
    <row r="102" spans="8:27" ht="15.75" x14ac:dyDescent="0.25">
      <c r="H102" s="84" t="s">
        <v>272</v>
      </c>
      <c r="I102" s="85" t="s">
        <v>273</v>
      </c>
      <c r="J102" s="86" t="s">
        <v>274</v>
      </c>
      <c r="K102" s="87"/>
      <c r="L102" s="88"/>
      <c r="M102" s="86" t="s">
        <v>275</v>
      </c>
      <c r="N102" s="87"/>
      <c r="O102" s="87"/>
      <c r="P102" s="87"/>
      <c r="Q102" s="88"/>
      <c r="R102" s="86" t="s">
        <v>276</v>
      </c>
      <c r="S102" s="87"/>
      <c r="T102" s="88"/>
      <c r="U102" s="84" t="s">
        <v>277</v>
      </c>
      <c r="V102" s="84" t="s">
        <v>278</v>
      </c>
      <c r="W102" s="84" t="s">
        <v>279</v>
      </c>
      <c r="X102" s="84"/>
      <c r="Z102" s="74"/>
      <c r="AA102" s="74"/>
    </row>
    <row r="103" spans="8:27" ht="16.5" thickBot="1" x14ac:dyDescent="0.3">
      <c r="H103" s="89"/>
      <c r="I103" s="90"/>
      <c r="J103" s="94" t="s">
        <v>281</v>
      </c>
      <c r="K103" s="92" t="s">
        <v>282</v>
      </c>
      <c r="L103" s="93" t="s">
        <v>283</v>
      </c>
      <c r="M103" s="94" t="s">
        <v>274</v>
      </c>
      <c r="N103" s="92" t="s">
        <v>283</v>
      </c>
      <c r="O103" s="92" t="s">
        <v>281</v>
      </c>
      <c r="P103" s="92" t="s">
        <v>274</v>
      </c>
      <c r="Q103" s="93" t="s">
        <v>283</v>
      </c>
      <c r="R103" s="94" t="s">
        <v>276</v>
      </c>
      <c r="S103" s="92" t="s">
        <v>283</v>
      </c>
      <c r="T103" s="93" t="s">
        <v>284</v>
      </c>
      <c r="U103" s="89"/>
      <c r="V103" s="89"/>
      <c r="W103" s="89"/>
      <c r="X103" s="89"/>
      <c r="Z103" s="74"/>
      <c r="AA103" s="74"/>
    </row>
    <row r="104" spans="8:27" ht="15.75" x14ac:dyDescent="0.25">
      <c r="H104" s="372" t="s">
        <v>386</v>
      </c>
      <c r="I104" s="123" t="s">
        <v>387</v>
      </c>
      <c r="J104" s="224">
        <v>0.21319444444444444</v>
      </c>
      <c r="K104" s="225">
        <v>0.21875</v>
      </c>
      <c r="L104" s="226" t="s">
        <v>592</v>
      </c>
      <c r="M104" s="224"/>
      <c r="N104" s="225"/>
      <c r="O104" s="225"/>
      <c r="P104" s="225"/>
      <c r="Q104" s="226"/>
      <c r="R104" s="224">
        <v>0.41666666666666669</v>
      </c>
      <c r="S104" s="225" t="s">
        <v>593</v>
      </c>
      <c r="T104" s="226">
        <v>0.44236111111111109</v>
      </c>
      <c r="U104" s="95">
        <f t="shared" ref="U104:U109" si="22">T104-J104</f>
        <v>0.22916666666666666</v>
      </c>
      <c r="V104" s="95">
        <f t="shared" ref="V104:V109" si="23">U104-W104</f>
        <v>0.22916666666666666</v>
      </c>
      <c r="W104" s="99">
        <f t="shared" ref="W104:W109" si="24">O104-M104</f>
        <v>0</v>
      </c>
      <c r="X104" s="99"/>
      <c r="Z104" s="74">
        <f>R104-K104</f>
        <v>0.19791666666666669</v>
      </c>
      <c r="AA104" s="74"/>
    </row>
    <row r="105" spans="8:27" ht="15.75" x14ac:dyDescent="0.25">
      <c r="H105" s="375" t="s">
        <v>388</v>
      </c>
      <c r="I105" s="96" t="s">
        <v>302</v>
      </c>
      <c r="J105" s="227">
        <v>0.26527777777777778</v>
      </c>
      <c r="K105" s="228">
        <v>0.27083333333333331</v>
      </c>
      <c r="L105" s="229" t="s">
        <v>592</v>
      </c>
      <c r="M105" s="227">
        <v>0.38541666666666669</v>
      </c>
      <c r="N105" s="228" t="s">
        <v>593</v>
      </c>
      <c r="O105" s="228">
        <v>0.44513888888888892</v>
      </c>
      <c r="P105" s="228">
        <v>0.44791666666666669</v>
      </c>
      <c r="Q105" s="229" t="s">
        <v>594</v>
      </c>
      <c r="R105" s="227">
        <v>0.65625</v>
      </c>
      <c r="S105" s="228" t="s">
        <v>594</v>
      </c>
      <c r="T105" s="229">
        <v>0.67291666666666672</v>
      </c>
      <c r="U105" s="95">
        <f t="shared" si="22"/>
        <v>0.40763888888888894</v>
      </c>
      <c r="V105" s="95">
        <f t="shared" si="23"/>
        <v>0.34791666666666671</v>
      </c>
      <c r="W105" s="99">
        <f t="shared" si="24"/>
        <v>5.9722222222222232E-2</v>
      </c>
      <c r="X105" s="99"/>
      <c r="Z105" s="74">
        <f>M105-K105</f>
        <v>0.11458333333333337</v>
      </c>
      <c r="AA105" s="74">
        <f>R105-P105</f>
        <v>0.20833333333333331</v>
      </c>
    </row>
    <row r="106" spans="8:27" ht="16.5" thickBot="1" x14ac:dyDescent="0.3">
      <c r="H106" s="373" t="s">
        <v>390</v>
      </c>
      <c r="I106" s="102" t="s">
        <v>306</v>
      </c>
      <c r="J106" s="230">
        <v>0.28611111111111109</v>
      </c>
      <c r="K106" s="231">
        <v>0.29166666666666669</v>
      </c>
      <c r="L106" s="232" t="s">
        <v>592</v>
      </c>
      <c r="M106" s="230">
        <v>0.44791666666666669</v>
      </c>
      <c r="N106" s="231" t="s">
        <v>594</v>
      </c>
      <c r="O106" s="231">
        <v>0.49166666666666664</v>
      </c>
      <c r="P106" s="231">
        <v>0.51041666666666663</v>
      </c>
      <c r="Q106" s="232" t="s">
        <v>592</v>
      </c>
      <c r="R106" s="230">
        <v>0.62152777777777779</v>
      </c>
      <c r="S106" s="231" t="s">
        <v>592</v>
      </c>
      <c r="T106" s="232">
        <v>0.62152777777777779</v>
      </c>
      <c r="U106" s="100">
        <f t="shared" si="22"/>
        <v>0.3354166666666667</v>
      </c>
      <c r="V106" s="100">
        <f t="shared" si="23"/>
        <v>0.29166666666666674</v>
      </c>
      <c r="W106" s="101">
        <f t="shared" si="24"/>
        <v>4.3749999999999956E-2</v>
      </c>
      <c r="X106" s="101"/>
      <c r="Z106" s="74">
        <f>M106-K106</f>
        <v>0.15625</v>
      </c>
      <c r="AA106" s="74">
        <f>R106-P106</f>
        <v>0.11111111111111116</v>
      </c>
    </row>
    <row r="107" spans="8:27" ht="15.75" x14ac:dyDescent="0.25">
      <c r="H107" s="380" t="s">
        <v>392</v>
      </c>
      <c r="I107" s="249" t="s">
        <v>316</v>
      </c>
      <c r="J107" s="224">
        <v>0.49791666666666667</v>
      </c>
      <c r="K107" s="225">
        <v>0.5</v>
      </c>
      <c r="L107" s="226" t="s">
        <v>592</v>
      </c>
      <c r="M107" s="224">
        <v>0.71875</v>
      </c>
      <c r="N107" s="225" t="s">
        <v>593</v>
      </c>
      <c r="O107" s="225">
        <v>0.75763888888888875</v>
      </c>
      <c r="P107" s="225">
        <v>0.76041666666666663</v>
      </c>
      <c r="Q107" s="226" t="s">
        <v>594</v>
      </c>
      <c r="R107" s="224">
        <v>0.85416666666666663</v>
      </c>
      <c r="S107" s="225" t="s">
        <v>594</v>
      </c>
      <c r="T107" s="234">
        <v>0.87083333333333335</v>
      </c>
      <c r="U107" s="97">
        <f t="shared" si="22"/>
        <v>0.37291666666666667</v>
      </c>
      <c r="V107" s="97">
        <f t="shared" si="23"/>
        <v>0.33402777777777792</v>
      </c>
      <c r="W107" s="98">
        <f t="shared" si="24"/>
        <v>3.8888888888888751E-2</v>
      </c>
      <c r="X107" s="98"/>
      <c r="Z107" s="74">
        <f>M107-K107</f>
        <v>0.21875</v>
      </c>
      <c r="AA107" s="74">
        <f>R107-P107</f>
        <v>9.375E-2</v>
      </c>
    </row>
    <row r="108" spans="8:27" ht="16.5" thickBot="1" x14ac:dyDescent="0.3">
      <c r="H108" s="381" t="s">
        <v>394</v>
      </c>
      <c r="I108" s="109" t="s">
        <v>325</v>
      </c>
      <c r="J108" s="236">
        <v>0.58472222222222225</v>
      </c>
      <c r="K108" s="237">
        <v>0.58680555555555558</v>
      </c>
      <c r="L108" s="238" t="s">
        <v>592</v>
      </c>
      <c r="M108" s="236">
        <v>0.73958333333333337</v>
      </c>
      <c r="N108" s="237" t="s">
        <v>593</v>
      </c>
      <c r="O108" s="237">
        <v>0.77916666666666667</v>
      </c>
      <c r="P108" s="237">
        <v>0.78472222222222221</v>
      </c>
      <c r="Q108" s="238" t="s">
        <v>593</v>
      </c>
      <c r="R108" s="236">
        <v>0.90972222222222221</v>
      </c>
      <c r="S108" s="237" t="s">
        <v>593</v>
      </c>
      <c r="T108" s="239">
        <v>0.93541666666666667</v>
      </c>
      <c r="U108" s="103">
        <f t="shared" si="22"/>
        <v>0.35069444444444442</v>
      </c>
      <c r="V108" s="103">
        <f t="shared" si="23"/>
        <v>0.31111111111111112</v>
      </c>
      <c r="W108" s="104">
        <f t="shared" si="24"/>
        <v>3.9583333333333304E-2</v>
      </c>
      <c r="X108" s="104"/>
      <c r="Z108" s="74">
        <f>M108-K108</f>
        <v>0.15277777777777779</v>
      </c>
      <c r="AA108" s="74">
        <f>R108-P108</f>
        <v>0.125</v>
      </c>
    </row>
    <row r="109" spans="8:27" ht="16.5" thickBot="1" x14ac:dyDescent="0.3">
      <c r="H109" s="382" t="s">
        <v>396</v>
      </c>
      <c r="I109" s="250" t="s">
        <v>341</v>
      </c>
      <c r="J109" s="251">
        <v>0.68958333333333333</v>
      </c>
      <c r="K109" s="252">
        <v>0.70833333333333337</v>
      </c>
      <c r="L109" s="253" t="s">
        <v>594</v>
      </c>
      <c r="M109" s="251">
        <v>0.8125</v>
      </c>
      <c r="N109" s="252" t="s">
        <v>594</v>
      </c>
      <c r="O109" s="252">
        <v>0.85416666666666652</v>
      </c>
      <c r="P109" s="252">
        <v>0.85416666666666663</v>
      </c>
      <c r="Q109" s="253" t="s">
        <v>594</v>
      </c>
      <c r="R109" s="251">
        <v>1.0381944444444444</v>
      </c>
      <c r="S109" s="252" t="s">
        <v>592</v>
      </c>
      <c r="T109" s="253">
        <v>1.0381944444444444</v>
      </c>
      <c r="U109" s="140">
        <f t="shared" si="22"/>
        <v>0.34861111111111109</v>
      </c>
      <c r="V109" s="140">
        <f t="shared" si="23"/>
        <v>0.30694444444444458</v>
      </c>
      <c r="W109" s="254">
        <f t="shared" si="24"/>
        <v>4.1666666666666519E-2</v>
      </c>
      <c r="X109" s="254"/>
      <c r="Z109" s="74">
        <f>M109-K109</f>
        <v>0.10416666666666663</v>
      </c>
      <c r="AA109" s="74">
        <f>R109-P109</f>
        <v>0.18402777777777779</v>
      </c>
    </row>
    <row r="110" spans="8:27" ht="15.75" thickBot="1" x14ac:dyDescent="0.3">
      <c r="H110" s="140"/>
      <c r="I110" s="255"/>
      <c r="J110" s="251"/>
      <c r="K110" s="252"/>
      <c r="L110" s="253"/>
      <c r="M110" s="251"/>
      <c r="N110" s="252"/>
      <c r="O110" s="252"/>
      <c r="P110" s="252"/>
      <c r="Q110" s="253"/>
      <c r="R110" s="251"/>
      <c r="S110" s="252"/>
      <c r="T110" s="253"/>
      <c r="U110" s="140"/>
      <c r="V110" s="126">
        <f>AVERAGE(V104:V109)</f>
        <v>0.30347222222222231</v>
      </c>
      <c r="W110" s="254"/>
      <c r="X110" s="254"/>
    </row>
  </sheetData>
  <mergeCells count="9">
    <mergeCell ref="U61:U62"/>
    <mergeCell ref="V61:V62"/>
    <mergeCell ref="W61:W62"/>
    <mergeCell ref="X61:X62"/>
    <mergeCell ref="H61:H62"/>
    <mergeCell ref="I61:I62"/>
    <mergeCell ref="J61:L61"/>
    <mergeCell ref="M61:Q61"/>
    <mergeCell ref="R61:T61"/>
  </mergeCells>
  <conditionalFormatting sqref="B2">
    <cfRule type="duplicateValues" dxfId="142" priority="13"/>
  </conditionalFormatting>
  <conditionalFormatting sqref="B3">
    <cfRule type="duplicateValues" dxfId="141" priority="14"/>
  </conditionalFormatting>
  <conditionalFormatting sqref="B62:C62 E74">
    <cfRule type="duplicateValues" dxfId="140" priority="7"/>
  </conditionalFormatting>
  <conditionalFormatting sqref="B63:C63">
    <cfRule type="duplicateValues" dxfId="139" priority="6"/>
    <cfRule type="duplicateValues" dxfId="138" priority="4"/>
    <cfRule type="duplicateValues" dxfId="137" priority="5"/>
  </conditionalFormatting>
  <conditionalFormatting sqref="B64:C64 E76">
    <cfRule type="duplicateValues" dxfId="136" priority="40"/>
  </conditionalFormatting>
  <conditionalFormatting sqref="B65:C65">
    <cfRule type="duplicateValues" dxfId="135" priority="38"/>
    <cfRule type="duplicateValues" dxfId="134" priority="37"/>
    <cfRule type="duplicateValues" dxfId="133" priority="39"/>
  </conditionalFormatting>
  <conditionalFormatting sqref="C22:C23">
    <cfRule type="duplicateValues" dxfId="132" priority="9"/>
  </conditionalFormatting>
  <conditionalFormatting sqref="C23:C24">
    <cfRule type="duplicateValues" dxfId="131" priority="10"/>
  </conditionalFormatting>
  <conditionalFormatting sqref="D74:D77">
    <cfRule type="duplicateValues" dxfId="130" priority="30"/>
    <cfRule type="duplicateValues" dxfId="129" priority="29"/>
    <cfRule type="duplicateValues" dxfId="128" priority="28"/>
  </conditionalFormatting>
  <conditionalFormatting sqref="E10">
    <cfRule type="duplicateValues" dxfId="127" priority="24"/>
  </conditionalFormatting>
  <conditionalFormatting sqref="E11">
    <cfRule type="duplicateValues" dxfId="126" priority="25"/>
  </conditionalFormatting>
  <conditionalFormatting sqref="E75">
    <cfRule type="duplicateValues" dxfId="125" priority="2"/>
    <cfRule type="duplicateValues" dxfId="124" priority="3"/>
    <cfRule type="duplicateValues" dxfId="123" priority="8"/>
  </conditionalFormatting>
  <conditionalFormatting sqref="E77">
    <cfRule type="duplicateValues" dxfId="122" priority="35"/>
    <cfRule type="duplicateValues" dxfId="121" priority="36"/>
    <cfRule type="duplicateValues" dxfId="120" priority="41"/>
  </conditionalFormatting>
  <conditionalFormatting sqref="H9">
    <cfRule type="duplicateValues" dxfId="119" priority="20"/>
  </conditionalFormatting>
  <conditionalFormatting sqref="H10">
    <cfRule type="duplicateValues" dxfId="118" priority="21"/>
  </conditionalFormatting>
  <conditionalFormatting sqref="I10">
    <cfRule type="duplicateValues" dxfId="117" priority="22"/>
  </conditionalFormatting>
  <conditionalFormatting sqref="I11">
    <cfRule type="duplicateValues" dxfId="116" priority="23"/>
  </conditionalFormatting>
  <conditionalFormatting sqref="J15:J16 N16:N17 J3:M3 C3:D3 F3:G3 T12 R15:T15 P3:R3 V11">
    <cfRule type="duplicateValues" dxfId="115" priority="43"/>
  </conditionalFormatting>
  <conditionalFormatting sqref="M12">
    <cfRule type="duplicateValues" dxfId="114" priority="34"/>
  </conditionalFormatting>
  <conditionalFormatting sqref="M13">
    <cfRule type="duplicateValues" dxfId="113" priority="33"/>
  </conditionalFormatting>
  <conditionalFormatting sqref="N15:N16 J14:J15 J2:M2 C2:D2 F2:G2 R14:T14 T11 P2:R2 V10">
    <cfRule type="duplicateValues" dxfId="112" priority="42"/>
  </conditionalFormatting>
  <conditionalFormatting sqref="O11">
    <cfRule type="duplicateValues" dxfId="111" priority="32"/>
  </conditionalFormatting>
  <conditionalFormatting sqref="O12">
    <cfRule type="duplicateValues" dxfId="110" priority="31"/>
  </conditionalFormatting>
  <conditionalFormatting sqref="R13:T13">
    <cfRule type="duplicateValues" dxfId="109" priority="27"/>
  </conditionalFormatting>
  <conditionalFormatting sqref="R14:T14">
    <cfRule type="duplicateValues" dxfId="108" priority="26"/>
  </conditionalFormatting>
  <conditionalFormatting sqref="U2">
    <cfRule type="duplicateValues" dxfId="107" priority="18"/>
  </conditionalFormatting>
  <conditionalFormatting sqref="U3">
    <cfRule type="duplicateValues" dxfId="106" priority="19"/>
  </conditionalFormatting>
  <conditionalFormatting sqref="V14">
    <cfRule type="duplicateValues" dxfId="105" priority="15"/>
    <cfRule type="duplicateValues" dxfId="104" priority="16"/>
  </conditionalFormatting>
  <conditionalFormatting sqref="V15">
    <cfRule type="duplicateValues" dxfId="103" priority="17"/>
  </conditionalFormatting>
  <conditionalFormatting sqref="W12:W13">
    <cfRule type="duplicateValues" dxfId="102" priority="11"/>
  </conditionalFormatting>
  <conditionalFormatting sqref="W13">
    <cfRule type="duplicateValues" dxfId="101" priority="12"/>
  </conditionalFormatting>
  <conditionalFormatting sqref="Z63:AA109">
    <cfRule type="cellIs" dxfId="100" priority="1" operator="greaterThan">
      <formula>0.222222222222222</formula>
    </cfRule>
  </conditionalFormatting>
  <pageMargins left="0.7" right="0.7" top="0.75" bottom="0.75" header="0.3" footer="0.3"/>
  <pageSetup paperSize="8"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58A1-3D14-48EC-BA3C-3137AB2F3249}">
  <sheetPr>
    <tabColor rgb="FF92D050"/>
    <pageSetUpPr fitToPage="1"/>
  </sheetPr>
  <dimension ref="A1:AO84"/>
  <sheetViews>
    <sheetView topLeftCell="M25" zoomScale="60" zoomScaleNormal="60" workbookViewId="0">
      <selection activeCell="AR63" sqref="AR63"/>
    </sheetView>
    <sheetView tabSelected="1" topLeftCell="C24" zoomScale="70" zoomScaleNormal="70" workbookViewId="1">
      <selection activeCell="W75" sqref="W75"/>
    </sheetView>
  </sheetViews>
  <sheetFormatPr defaultColWidth="9.140625" defaultRowHeight="15.75" x14ac:dyDescent="0.25"/>
  <cols>
    <col min="1" max="1" width="20.5703125" style="146" bestFit="1" customWidth="1"/>
    <col min="2" max="2" width="14.140625" style="146" bestFit="1" customWidth="1"/>
    <col min="3" max="3" width="13.28515625" style="146" bestFit="1" customWidth="1"/>
    <col min="4" max="4" width="10.5703125" style="146" bestFit="1" customWidth="1"/>
    <col min="5" max="5" width="10.42578125" style="146" bestFit="1" customWidth="1"/>
    <col min="6" max="6" width="17" style="146" bestFit="1" customWidth="1"/>
    <col min="7" max="7" width="10.5703125" style="146" bestFit="1" customWidth="1"/>
    <col min="8" max="8" width="10.85546875" style="146" bestFit="1" customWidth="1"/>
    <col min="9" max="9" width="11.42578125" style="146" bestFit="1" customWidth="1"/>
    <col min="10" max="11" width="10.5703125" style="146" bestFit="1" customWidth="1"/>
    <col min="12" max="12" width="10.85546875" style="146" bestFit="1" customWidth="1"/>
    <col min="13" max="13" width="10.42578125" style="146" bestFit="1" customWidth="1"/>
    <col min="14" max="14" width="10.85546875" style="146" bestFit="1" customWidth="1"/>
    <col min="15" max="15" width="10.140625" style="146" bestFit="1" customWidth="1"/>
    <col min="16" max="16" width="20.5703125" style="146" bestFit="1" customWidth="1"/>
    <col min="17" max="17" width="15.5703125" style="146" bestFit="1" customWidth="1"/>
    <col min="18" max="18" width="15.5703125" style="146" hidden="1" customWidth="1"/>
    <col min="19" max="19" width="11.140625" style="146" hidden="1" customWidth="1"/>
    <col min="20" max="20" width="13.7109375" style="146" hidden="1" customWidth="1"/>
    <col min="21" max="21" width="11.5703125" style="146" hidden="1" customWidth="1"/>
    <col min="22" max="22" width="12" style="146" customWidth="1"/>
    <col min="23" max="25" width="10" style="146" customWidth="1"/>
    <col min="26" max="27" width="10.7109375" style="146" bestFit="1" customWidth="1"/>
    <col min="28" max="28" width="9.140625" style="146"/>
    <col min="29" max="29" width="11.85546875" style="146" customWidth="1"/>
    <col min="30" max="16384" width="9.140625" style="146"/>
  </cols>
  <sheetData>
    <row r="1" spans="1:30" s="258" customFormat="1" ht="21" x14ac:dyDescent="0.35">
      <c r="A1" s="192" t="s">
        <v>595</v>
      </c>
      <c r="B1" s="256"/>
      <c r="C1" s="256"/>
      <c r="D1" s="256"/>
      <c r="E1" s="256"/>
      <c r="F1" s="256" t="s">
        <v>596</v>
      </c>
      <c r="G1" s="256"/>
      <c r="H1" s="256"/>
      <c r="I1" s="256"/>
      <c r="J1" s="256"/>
      <c r="K1" s="256"/>
      <c r="L1" s="256"/>
      <c r="M1" s="256" t="s">
        <v>597</v>
      </c>
      <c r="N1" s="256"/>
      <c r="O1" s="371" t="s">
        <v>3</v>
      </c>
      <c r="P1" s="257"/>
      <c r="R1" s="192" t="s">
        <v>598</v>
      </c>
      <c r="S1" s="256"/>
      <c r="T1" s="145" t="s">
        <v>597</v>
      </c>
      <c r="U1" s="192" t="s">
        <v>598</v>
      </c>
      <c r="AB1" s="146"/>
      <c r="AC1" s="146"/>
    </row>
    <row r="2" spans="1:30" ht="21" x14ac:dyDescent="0.35">
      <c r="A2" s="259" t="s">
        <v>24</v>
      </c>
      <c r="B2" s="678" t="s">
        <v>6</v>
      </c>
      <c r="C2" s="260"/>
      <c r="D2" s="260"/>
      <c r="E2" s="260"/>
      <c r="F2" s="678" t="s">
        <v>22</v>
      </c>
      <c r="G2" s="261"/>
      <c r="H2" s="260"/>
      <c r="I2" s="678" t="s">
        <v>23</v>
      </c>
      <c r="J2" s="678" t="s">
        <v>20</v>
      </c>
      <c r="K2" s="678" t="s">
        <v>230</v>
      </c>
      <c r="L2" s="678" t="s">
        <v>10</v>
      </c>
      <c r="M2" s="678" t="s">
        <v>599</v>
      </c>
      <c r="N2" s="260"/>
      <c r="O2" s="678" t="s">
        <v>404</v>
      </c>
      <c r="P2" s="262" t="s">
        <v>24</v>
      </c>
      <c r="Q2" s="258"/>
      <c r="R2" s="263"/>
      <c r="S2" s="154" t="s">
        <v>229</v>
      </c>
      <c r="T2" s="154" t="s">
        <v>600</v>
      </c>
      <c r="U2" s="263"/>
    </row>
    <row r="3" spans="1:30" ht="21" x14ac:dyDescent="0.35">
      <c r="A3" s="259"/>
      <c r="B3" s="154" t="s">
        <v>417</v>
      </c>
      <c r="F3" s="678" t="s">
        <v>411</v>
      </c>
      <c r="G3" s="264"/>
      <c r="I3" s="678" t="s">
        <v>407</v>
      </c>
      <c r="J3" s="678" t="s">
        <v>410</v>
      </c>
      <c r="K3" s="678" t="s">
        <v>409</v>
      </c>
      <c r="L3" s="678" t="s">
        <v>416</v>
      </c>
      <c r="M3" s="678" t="s">
        <v>412</v>
      </c>
      <c r="O3" s="678" t="s">
        <v>408</v>
      </c>
      <c r="P3" s="262"/>
      <c r="Q3" s="258"/>
      <c r="R3" s="265"/>
      <c r="S3" s="154" t="s">
        <v>601</v>
      </c>
      <c r="T3" s="154" t="s">
        <v>602</v>
      </c>
      <c r="U3" s="265"/>
    </row>
    <row r="4" spans="1:30" ht="21" x14ac:dyDescent="0.35">
      <c r="A4" s="259" t="s">
        <v>45</v>
      </c>
      <c r="B4" s="979" t="s">
        <v>603</v>
      </c>
      <c r="F4" s="977" t="s">
        <v>604</v>
      </c>
      <c r="G4" s="264"/>
      <c r="I4" s="978" t="s">
        <v>605</v>
      </c>
      <c r="J4" s="976" t="s">
        <v>606</v>
      </c>
      <c r="K4" s="980" t="s">
        <v>607</v>
      </c>
      <c r="L4" s="976" t="s">
        <v>608</v>
      </c>
      <c r="M4" s="980" t="s">
        <v>609</v>
      </c>
      <c r="O4" s="975" t="s">
        <v>610</v>
      </c>
      <c r="P4" s="262" t="s">
        <v>45</v>
      </c>
      <c r="Q4" s="258"/>
      <c r="R4" s="259" t="s">
        <v>45</v>
      </c>
      <c r="S4" s="266" t="s">
        <v>611</v>
      </c>
      <c r="T4" s="267" t="s">
        <v>612</v>
      </c>
      <c r="U4" s="259" t="s">
        <v>45</v>
      </c>
    </row>
    <row r="5" spans="1:30" ht="21.75" thickBot="1" x14ac:dyDescent="0.4">
      <c r="A5" s="268" t="s">
        <v>51</v>
      </c>
      <c r="B5" s="269"/>
      <c r="F5" s="270"/>
      <c r="G5" s="264"/>
      <c r="I5" s="270"/>
      <c r="J5" s="271">
        <v>0.3263888888888889</v>
      </c>
      <c r="K5" s="272" t="s">
        <v>435</v>
      </c>
      <c r="L5" s="271">
        <v>0.35416666666666669</v>
      </c>
      <c r="M5" s="272" t="s">
        <v>613</v>
      </c>
      <c r="N5" s="272"/>
      <c r="O5" s="213">
        <v>0.38194444444444442</v>
      </c>
      <c r="P5" s="273" t="s">
        <v>51</v>
      </c>
      <c r="Q5" s="258"/>
      <c r="R5" s="274"/>
      <c r="S5" s="275"/>
      <c r="T5" s="198"/>
      <c r="U5" s="274"/>
    </row>
    <row r="6" spans="1:30" ht="21.75" thickBot="1" x14ac:dyDescent="0.4">
      <c r="A6" s="276" t="s">
        <v>48</v>
      </c>
      <c r="B6" s="269" t="s">
        <v>59</v>
      </c>
      <c r="E6" s="678" t="s">
        <v>7</v>
      </c>
      <c r="F6" s="264"/>
      <c r="G6" s="264"/>
      <c r="I6" s="270" t="s">
        <v>614</v>
      </c>
      <c r="J6" s="277"/>
      <c r="K6" s="270" t="s">
        <v>615</v>
      </c>
      <c r="L6" s="277"/>
      <c r="M6" s="270" t="s">
        <v>90</v>
      </c>
      <c r="N6" s="678" t="s">
        <v>11</v>
      </c>
      <c r="O6" s="278"/>
      <c r="P6" s="279" t="s">
        <v>48</v>
      </c>
      <c r="Q6" s="258"/>
      <c r="R6" s="276" t="s">
        <v>236</v>
      </c>
      <c r="S6" s="280"/>
      <c r="T6" s="281">
        <v>0.39583333333333331</v>
      </c>
      <c r="U6" s="276" t="s">
        <v>236</v>
      </c>
      <c r="AC6" s="201"/>
      <c r="AD6" s="282"/>
    </row>
    <row r="7" spans="1:30" ht="21.75" thickBot="1" x14ac:dyDescent="0.4">
      <c r="A7" s="283" t="s">
        <v>50</v>
      </c>
      <c r="B7" s="269"/>
      <c r="D7" s="678" t="s">
        <v>405</v>
      </c>
      <c r="E7" s="154" t="s">
        <v>415</v>
      </c>
      <c r="F7" s="284">
        <v>0.34722222222222227</v>
      </c>
      <c r="G7" s="264"/>
      <c r="I7" s="270"/>
      <c r="J7" s="284">
        <v>0.375</v>
      </c>
      <c r="K7" s="264"/>
      <c r="L7" s="284">
        <v>0.40277777777777773</v>
      </c>
      <c r="M7" s="272"/>
      <c r="N7" s="154" t="s">
        <v>440</v>
      </c>
      <c r="O7" s="285">
        <v>0.43055555555555558</v>
      </c>
      <c r="P7" s="286" t="s">
        <v>50</v>
      </c>
      <c r="Q7" s="258"/>
      <c r="R7" s="268" t="s">
        <v>237</v>
      </c>
      <c r="S7" s="287">
        <v>0.39583333333333331</v>
      </c>
      <c r="T7" s="288">
        <v>0.4375</v>
      </c>
      <c r="U7" s="268" t="s">
        <v>237</v>
      </c>
    </row>
    <row r="8" spans="1:30" ht="21.75" thickBot="1" x14ac:dyDescent="0.4">
      <c r="A8" s="268" t="s">
        <v>51</v>
      </c>
      <c r="B8" s="289" t="s">
        <v>89</v>
      </c>
      <c r="C8" s="678" t="s">
        <v>406</v>
      </c>
      <c r="D8" s="154" t="s">
        <v>413</v>
      </c>
      <c r="E8" s="978" t="s">
        <v>616</v>
      </c>
      <c r="F8" s="271">
        <v>0.40972222222222227</v>
      </c>
      <c r="G8" s="678" t="s">
        <v>21</v>
      </c>
      <c r="I8" s="272" t="s">
        <v>617</v>
      </c>
      <c r="J8" s="271" t="s">
        <v>618</v>
      </c>
      <c r="K8" s="272" t="s">
        <v>619</v>
      </c>
      <c r="L8" s="271" t="s">
        <v>620</v>
      </c>
      <c r="M8" s="272" t="s">
        <v>621</v>
      </c>
      <c r="N8" s="978" t="s">
        <v>622</v>
      </c>
      <c r="O8" s="213">
        <v>0.4861111111111111</v>
      </c>
      <c r="P8" s="273" t="s">
        <v>51</v>
      </c>
      <c r="Q8" s="258"/>
      <c r="R8" s="276" t="s">
        <v>236</v>
      </c>
      <c r="S8" s="290">
        <v>0.4375</v>
      </c>
      <c r="T8" s="281">
        <v>0.47916666666666669</v>
      </c>
      <c r="U8" s="276" t="s">
        <v>236</v>
      </c>
    </row>
    <row r="9" spans="1:30" ht="21.75" customHeight="1" thickBot="1" x14ac:dyDescent="0.4">
      <c r="A9" s="276" t="s">
        <v>48</v>
      </c>
      <c r="B9" s="269" t="s">
        <v>623</v>
      </c>
      <c r="C9" s="154" t="s">
        <v>414</v>
      </c>
      <c r="D9" s="977" t="s">
        <v>624</v>
      </c>
      <c r="E9" s="270" t="s">
        <v>625</v>
      </c>
      <c r="F9" s="264"/>
      <c r="G9" s="154" t="s">
        <v>433</v>
      </c>
      <c r="I9" s="270" t="s">
        <v>101</v>
      </c>
      <c r="J9" s="277"/>
      <c r="K9" s="270" t="s">
        <v>626</v>
      </c>
      <c r="L9" s="277"/>
      <c r="M9" s="985" t="s">
        <v>118</v>
      </c>
      <c r="N9" s="270" t="s">
        <v>627</v>
      </c>
      <c r="O9" s="278"/>
      <c r="P9" s="279" t="s">
        <v>48</v>
      </c>
      <c r="Q9" s="258"/>
      <c r="R9" s="268" t="s">
        <v>237</v>
      </c>
      <c r="S9" s="287">
        <v>0.47916666666666669</v>
      </c>
      <c r="T9" s="213" t="s">
        <v>628</v>
      </c>
      <c r="U9" s="268" t="s">
        <v>237</v>
      </c>
    </row>
    <row r="10" spans="1:30" ht="21.75" customHeight="1" thickBot="1" x14ac:dyDescent="0.4">
      <c r="A10" s="283" t="s">
        <v>50</v>
      </c>
      <c r="B10" s="269"/>
      <c r="C10" s="980" t="s">
        <v>629</v>
      </c>
      <c r="D10" s="284">
        <v>0.45833333333333331</v>
      </c>
      <c r="E10" s="202"/>
      <c r="F10" s="284">
        <v>0.4861111111111111</v>
      </c>
      <c r="G10" s="976" t="s">
        <v>630</v>
      </c>
      <c r="J10" s="284">
        <v>0.51388888888888895</v>
      </c>
      <c r="L10" s="284">
        <v>0.54166666666666663</v>
      </c>
      <c r="M10" s="292" t="s">
        <v>131</v>
      </c>
      <c r="N10" s="264"/>
      <c r="O10" s="981" t="s">
        <v>631</v>
      </c>
      <c r="P10" s="286" t="s">
        <v>50</v>
      </c>
      <c r="Q10" s="258"/>
      <c r="R10" s="276" t="s">
        <v>236</v>
      </c>
      <c r="S10" s="290">
        <v>0.53125</v>
      </c>
      <c r="T10" s="281">
        <v>0.58333333333333337</v>
      </c>
      <c r="U10" s="276" t="s">
        <v>236</v>
      </c>
    </row>
    <row r="11" spans="1:30" ht="21.75" customHeight="1" thickBot="1" x14ac:dyDescent="0.4">
      <c r="A11" s="268" t="s">
        <v>51</v>
      </c>
      <c r="B11" s="291" t="s">
        <v>632</v>
      </c>
      <c r="C11" s="272" t="s">
        <v>101</v>
      </c>
      <c r="D11" s="272" t="s">
        <v>633</v>
      </c>
      <c r="E11" s="271" t="s">
        <v>634</v>
      </c>
      <c r="F11" s="272" t="s">
        <v>635</v>
      </c>
      <c r="G11" s="271">
        <v>0.55555555555555558</v>
      </c>
      <c r="H11" s="678" t="s">
        <v>476</v>
      </c>
      <c r="I11" s="272" t="s">
        <v>636</v>
      </c>
      <c r="J11" s="271" t="s">
        <v>637</v>
      </c>
      <c r="K11" s="272" t="s">
        <v>638</v>
      </c>
      <c r="L11" s="271" t="s">
        <v>639</v>
      </c>
      <c r="N11" s="272" t="s">
        <v>640</v>
      </c>
      <c r="O11" s="292" t="s">
        <v>641</v>
      </c>
      <c r="P11" s="273" t="s">
        <v>51</v>
      </c>
      <c r="Q11" s="258"/>
      <c r="R11" s="268" t="s">
        <v>237</v>
      </c>
      <c r="S11" s="271" t="s">
        <v>642</v>
      </c>
      <c r="T11" s="213" t="s">
        <v>643</v>
      </c>
      <c r="U11" s="268" t="s">
        <v>237</v>
      </c>
    </row>
    <row r="12" spans="1:30" ht="21.75" customHeight="1" thickBot="1" x14ac:dyDescent="0.4">
      <c r="A12" s="276" t="s">
        <v>48</v>
      </c>
      <c r="B12" s="266"/>
      <c r="C12" s="270" t="s">
        <v>128</v>
      </c>
      <c r="D12" s="985" t="s">
        <v>644</v>
      </c>
      <c r="E12" s="293"/>
      <c r="F12" s="270" t="s">
        <v>504</v>
      </c>
      <c r="G12" s="270"/>
      <c r="H12" s="154" t="s">
        <v>444</v>
      </c>
      <c r="I12" s="270" t="s">
        <v>645</v>
      </c>
      <c r="J12" s="270"/>
      <c r="K12" s="270" t="s">
        <v>134</v>
      </c>
      <c r="L12" s="270"/>
      <c r="N12" s="270" t="s">
        <v>646</v>
      </c>
      <c r="O12" s="214"/>
      <c r="P12" s="279" t="s">
        <v>48</v>
      </c>
      <c r="Q12" s="258"/>
      <c r="R12" s="276" t="s">
        <v>236</v>
      </c>
      <c r="S12" s="201">
        <v>0.63541666666666663</v>
      </c>
      <c r="T12" s="281">
        <v>0.6875</v>
      </c>
      <c r="U12" s="276" t="s">
        <v>236</v>
      </c>
    </row>
    <row r="13" spans="1:30" ht="21.75" thickBot="1" x14ac:dyDescent="0.4">
      <c r="A13" s="283" t="s">
        <v>50</v>
      </c>
      <c r="B13" s="294">
        <v>0.56944444444444442</v>
      </c>
      <c r="C13" s="264"/>
      <c r="D13" s="292" t="s">
        <v>135</v>
      </c>
      <c r="E13" s="284">
        <v>0.59722222222222221</v>
      </c>
      <c r="F13" s="264"/>
      <c r="G13" s="284">
        <v>0.625</v>
      </c>
      <c r="H13" s="980" t="s">
        <v>647</v>
      </c>
      <c r="I13" s="207"/>
      <c r="J13" s="284">
        <v>0.65277777777777779</v>
      </c>
      <c r="K13" s="207"/>
      <c r="L13" s="284">
        <v>0.68055555555555547</v>
      </c>
      <c r="O13" s="214"/>
      <c r="P13" s="286" t="s">
        <v>50</v>
      </c>
      <c r="Q13" s="258"/>
      <c r="R13" s="268" t="s">
        <v>237</v>
      </c>
      <c r="S13" s="271" t="s">
        <v>648</v>
      </c>
      <c r="T13" s="213" t="s">
        <v>649</v>
      </c>
      <c r="U13" s="268" t="s">
        <v>237</v>
      </c>
    </row>
    <row r="14" spans="1:30" ht="21" x14ac:dyDescent="0.35">
      <c r="A14" s="268" t="s">
        <v>51</v>
      </c>
      <c r="B14" s="291" t="s">
        <v>650</v>
      </c>
      <c r="C14" s="272" t="s">
        <v>651</v>
      </c>
      <c r="D14" s="207"/>
      <c r="E14" s="271" t="s">
        <v>652</v>
      </c>
      <c r="F14" s="272" t="s">
        <v>653</v>
      </c>
      <c r="G14" s="271" t="s">
        <v>654</v>
      </c>
      <c r="H14" s="272" t="s">
        <v>655</v>
      </c>
      <c r="I14" s="271" t="s">
        <v>656</v>
      </c>
      <c r="J14" s="272" t="s">
        <v>657</v>
      </c>
      <c r="K14" s="271" t="s">
        <v>658</v>
      </c>
      <c r="L14" s="272" t="s">
        <v>659</v>
      </c>
      <c r="N14" s="271" t="s">
        <v>660</v>
      </c>
      <c r="O14" s="214"/>
      <c r="P14" s="273" t="s">
        <v>51</v>
      </c>
      <c r="Q14" s="258"/>
      <c r="R14" s="276" t="s">
        <v>236</v>
      </c>
      <c r="S14" s="201">
        <v>0.73958333333333337</v>
      </c>
      <c r="T14" s="281">
        <v>0.79166666666666663</v>
      </c>
      <c r="U14" s="276" t="s">
        <v>236</v>
      </c>
    </row>
    <row r="15" spans="1:30" ht="21.75" thickBot="1" x14ac:dyDescent="0.4">
      <c r="A15" s="276" t="s">
        <v>48</v>
      </c>
      <c r="B15" s="295"/>
      <c r="C15" s="270" t="s">
        <v>657</v>
      </c>
      <c r="F15" s="270" t="s">
        <v>163</v>
      </c>
      <c r="G15" s="270"/>
      <c r="H15" s="270" t="s">
        <v>661</v>
      </c>
      <c r="I15" s="207"/>
      <c r="J15" s="985" t="s">
        <v>666</v>
      </c>
      <c r="K15" s="207"/>
      <c r="L15" s="270" t="s">
        <v>662</v>
      </c>
      <c r="N15" s="207"/>
      <c r="O15" s="214"/>
      <c r="P15" s="279" t="s">
        <v>48</v>
      </c>
      <c r="Q15" s="258"/>
      <c r="R15" s="268" t="s">
        <v>237</v>
      </c>
      <c r="S15" s="271" t="s">
        <v>663</v>
      </c>
      <c r="T15" s="213" t="s">
        <v>664</v>
      </c>
      <c r="U15" s="268" t="s">
        <v>237</v>
      </c>
    </row>
    <row r="16" spans="1:30" ht="21.75" thickBot="1" x14ac:dyDescent="0.4">
      <c r="A16" s="283" t="s">
        <v>50</v>
      </c>
      <c r="B16" s="294">
        <v>0.70833333333333337</v>
      </c>
      <c r="C16" s="207"/>
      <c r="E16" s="284">
        <v>0.73611111111111116</v>
      </c>
      <c r="G16" s="284">
        <v>0.76388888888888884</v>
      </c>
      <c r="I16" s="982" t="s">
        <v>665</v>
      </c>
      <c r="J16" s="292" t="s">
        <v>674</v>
      </c>
      <c r="K16" s="284">
        <v>0.79166666666666663</v>
      </c>
      <c r="L16" s="207"/>
      <c r="N16" s="284">
        <v>0.81944444444444453</v>
      </c>
      <c r="O16" s="214"/>
      <c r="P16" s="286" t="s">
        <v>50</v>
      </c>
      <c r="Q16" s="258"/>
      <c r="R16" s="276" t="s">
        <v>236</v>
      </c>
      <c r="S16" s="201">
        <v>0.84375</v>
      </c>
      <c r="T16" s="281">
        <v>0.89583333333333337</v>
      </c>
      <c r="U16" s="276" t="s">
        <v>236</v>
      </c>
    </row>
    <row r="17" spans="1:21" ht="21.75" thickBot="1" x14ac:dyDescent="0.4">
      <c r="A17" s="268" t="s">
        <v>51</v>
      </c>
      <c r="B17" s="983" t="s">
        <v>667</v>
      </c>
      <c r="C17" s="272" t="s">
        <v>668</v>
      </c>
      <c r="E17" s="271" t="s">
        <v>669</v>
      </c>
      <c r="F17" s="272" t="s">
        <v>670</v>
      </c>
      <c r="G17" s="271" t="s">
        <v>671</v>
      </c>
      <c r="H17" s="271" t="s">
        <v>672</v>
      </c>
      <c r="I17" s="292" t="s">
        <v>673</v>
      </c>
      <c r="J17" s="264"/>
      <c r="K17" s="271" t="s">
        <v>675</v>
      </c>
      <c r="L17" s="272" t="s">
        <v>676</v>
      </c>
      <c r="N17" s="271" t="s">
        <v>677</v>
      </c>
      <c r="O17" s="208"/>
      <c r="P17" s="273" t="s">
        <v>51</v>
      </c>
      <c r="Q17" s="258"/>
      <c r="R17" s="268" t="s">
        <v>237</v>
      </c>
      <c r="S17" s="271" t="s">
        <v>678</v>
      </c>
      <c r="T17" s="288">
        <v>0.9375</v>
      </c>
      <c r="U17" s="268" t="s">
        <v>237</v>
      </c>
    </row>
    <row r="18" spans="1:21" ht="21.75" thickBot="1" x14ac:dyDescent="0.4">
      <c r="A18" s="296" t="s">
        <v>48</v>
      </c>
      <c r="B18" s="292" t="s">
        <v>679</v>
      </c>
      <c r="C18" s="270" t="s">
        <v>180</v>
      </c>
      <c r="E18" s="207"/>
      <c r="F18" s="270" t="s">
        <v>680</v>
      </c>
      <c r="G18" s="272"/>
      <c r="H18" s="270" t="s">
        <v>681</v>
      </c>
      <c r="I18" s="207"/>
      <c r="J18" s="264"/>
      <c r="K18" s="207"/>
      <c r="L18" s="985" t="s">
        <v>563</v>
      </c>
      <c r="N18" s="207"/>
      <c r="O18" s="208"/>
      <c r="P18" s="279" t="s">
        <v>48</v>
      </c>
      <c r="Q18" s="258"/>
      <c r="R18" s="276" t="s">
        <v>236</v>
      </c>
      <c r="S18" s="201">
        <v>0.9375</v>
      </c>
      <c r="T18" s="281">
        <v>0.97916666666666663</v>
      </c>
      <c r="U18" s="276" t="s">
        <v>236</v>
      </c>
    </row>
    <row r="19" spans="1:21" ht="21.75" thickBot="1" x14ac:dyDescent="0.4">
      <c r="A19" s="283" t="s">
        <v>50</v>
      </c>
      <c r="B19" s="295"/>
      <c r="C19" s="207"/>
      <c r="E19" s="284">
        <v>0.84722222222222221</v>
      </c>
      <c r="F19" s="264"/>
      <c r="G19" s="284">
        <v>0.875</v>
      </c>
      <c r="I19" s="207"/>
      <c r="J19" s="207"/>
      <c r="K19" s="284">
        <v>0.90277777777777779</v>
      </c>
      <c r="L19" s="292" t="s">
        <v>565</v>
      </c>
      <c r="N19" s="284">
        <v>0.93055555555555547</v>
      </c>
      <c r="O19" s="208"/>
      <c r="P19" s="286" t="s">
        <v>50</v>
      </c>
      <c r="Q19" s="258"/>
      <c r="R19" s="268" t="s">
        <v>237</v>
      </c>
      <c r="S19" s="282">
        <v>0.97916666666666663</v>
      </c>
      <c r="T19" s="214" t="s">
        <v>570</v>
      </c>
      <c r="U19" s="268" t="s">
        <v>237</v>
      </c>
    </row>
    <row r="20" spans="1:21" ht="21" x14ac:dyDescent="0.35">
      <c r="A20" s="268" t="s">
        <v>51</v>
      </c>
      <c r="B20" s="295"/>
      <c r="C20" s="272" t="s">
        <v>682</v>
      </c>
      <c r="E20" s="271">
        <v>0.88888888888888884</v>
      </c>
      <c r="F20" s="272" t="s">
        <v>558</v>
      </c>
      <c r="G20" s="271">
        <v>0.91666666666666663</v>
      </c>
      <c r="H20" s="272" t="s">
        <v>560</v>
      </c>
      <c r="I20" s="207"/>
      <c r="J20" s="207"/>
      <c r="K20" s="271">
        <v>0.94444444444444453</v>
      </c>
      <c r="N20" s="271">
        <v>0.96875</v>
      </c>
      <c r="O20" s="208"/>
      <c r="P20" s="273" t="s">
        <v>51</v>
      </c>
      <c r="Q20" s="258"/>
      <c r="R20" s="276" t="s">
        <v>236</v>
      </c>
      <c r="S20" s="207" t="s">
        <v>213</v>
      </c>
      <c r="T20" s="267" t="s">
        <v>226</v>
      </c>
      <c r="U20" s="276" t="s">
        <v>236</v>
      </c>
    </row>
    <row r="21" spans="1:21" ht="21" x14ac:dyDescent="0.35">
      <c r="A21" s="276" t="s">
        <v>48</v>
      </c>
      <c r="B21" s="295"/>
      <c r="C21" s="270" t="s">
        <v>189</v>
      </c>
      <c r="E21" s="207"/>
      <c r="F21" s="270" t="s">
        <v>683</v>
      </c>
      <c r="G21" s="272"/>
      <c r="H21" s="270" t="s">
        <v>211</v>
      </c>
      <c r="I21" s="207"/>
      <c r="J21" s="207"/>
      <c r="K21" s="272"/>
      <c r="N21" s="207"/>
      <c r="O21" s="208"/>
      <c r="P21" s="279" t="s">
        <v>48</v>
      </c>
      <c r="Q21" s="258"/>
      <c r="R21" s="268" t="s">
        <v>237</v>
      </c>
      <c r="S21" s="202" t="s">
        <v>684</v>
      </c>
      <c r="T21" s="208"/>
      <c r="U21" s="268" t="s">
        <v>237</v>
      </c>
    </row>
    <row r="22" spans="1:21" ht="21.75" thickBot="1" x14ac:dyDescent="0.4">
      <c r="A22" s="283" t="s">
        <v>50</v>
      </c>
      <c r="B22" s="295"/>
      <c r="C22" s="207"/>
      <c r="E22" s="284">
        <v>0.95833333333333337</v>
      </c>
      <c r="F22" s="207"/>
      <c r="G22" s="982" t="s">
        <v>685</v>
      </c>
      <c r="H22" s="264"/>
      <c r="I22" s="207"/>
      <c r="J22" s="207"/>
      <c r="K22" s="982" t="s">
        <v>214</v>
      </c>
      <c r="N22" s="982" t="s">
        <v>572</v>
      </c>
      <c r="O22" s="208"/>
      <c r="P22" s="286" t="s">
        <v>50</v>
      </c>
      <c r="Q22" s="258"/>
      <c r="R22" s="276" t="s">
        <v>236</v>
      </c>
      <c r="S22" s="277"/>
      <c r="T22" s="267"/>
      <c r="U22" s="276" t="s">
        <v>236</v>
      </c>
    </row>
    <row r="23" spans="1:21" ht="21.75" thickBot="1" x14ac:dyDescent="0.4">
      <c r="A23" s="268" t="s">
        <v>51</v>
      </c>
      <c r="B23" s="295"/>
      <c r="C23" s="272" t="s">
        <v>210</v>
      </c>
      <c r="E23" s="984" t="s">
        <v>686</v>
      </c>
      <c r="F23" s="272" t="s">
        <v>211</v>
      </c>
      <c r="G23" s="292" t="s">
        <v>687</v>
      </c>
      <c r="H23" s="986" t="s">
        <v>216</v>
      </c>
      <c r="I23" s="207"/>
      <c r="J23" s="207"/>
      <c r="K23" s="292" t="s">
        <v>221</v>
      </c>
      <c r="N23" s="292" t="s">
        <v>226</v>
      </c>
      <c r="O23" s="208"/>
      <c r="P23" s="273" t="s">
        <v>51</v>
      </c>
      <c r="Q23" s="258"/>
      <c r="R23" s="268" t="s">
        <v>237</v>
      </c>
      <c r="S23" s="277"/>
      <c r="T23" s="267"/>
      <c r="U23" s="268" t="s">
        <v>237</v>
      </c>
    </row>
    <row r="24" spans="1:21" ht="21.75" thickBot="1" x14ac:dyDescent="0.4">
      <c r="A24" s="276" t="s">
        <v>48</v>
      </c>
      <c r="B24" s="295"/>
      <c r="C24" s="985" t="s">
        <v>568</v>
      </c>
      <c r="E24" s="292" t="s">
        <v>688</v>
      </c>
      <c r="F24" s="985" t="s">
        <v>213</v>
      </c>
      <c r="G24" s="207"/>
      <c r="H24" s="292" t="s">
        <v>573</v>
      </c>
      <c r="I24" s="207"/>
      <c r="J24" s="207"/>
      <c r="K24" s="207"/>
      <c r="M24" s="207"/>
      <c r="N24" s="207"/>
      <c r="O24" s="214"/>
      <c r="P24" s="279" t="s">
        <v>48</v>
      </c>
      <c r="Q24" s="258"/>
      <c r="R24" s="276" t="s">
        <v>236</v>
      </c>
      <c r="S24" s="277"/>
      <c r="T24" s="297"/>
      <c r="U24" s="276" t="s">
        <v>236</v>
      </c>
    </row>
    <row r="25" spans="1:21" ht="21.75" thickBot="1" x14ac:dyDescent="0.4">
      <c r="A25" s="283" t="s">
        <v>50</v>
      </c>
      <c r="B25" s="295"/>
      <c r="C25" s="292" t="s">
        <v>223</v>
      </c>
      <c r="F25" s="292" t="s">
        <v>226</v>
      </c>
      <c r="G25" s="202"/>
      <c r="H25" s="264"/>
      <c r="I25" s="207"/>
      <c r="J25" s="207"/>
      <c r="M25" s="207"/>
      <c r="N25" s="207"/>
      <c r="O25" s="214"/>
      <c r="P25" s="286" t="s">
        <v>50</v>
      </c>
      <c r="Q25" s="258"/>
      <c r="R25" s="276"/>
      <c r="S25" s="277"/>
      <c r="T25" s="297"/>
      <c r="U25" s="276"/>
    </row>
    <row r="26" spans="1:21" ht="21.75" thickBot="1" x14ac:dyDescent="0.4">
      <c r="A26" s="298" t="s">
        <v>45</v>
      </c>
      <c r="B26" s="299"/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1"/>
      <c r="P26" s="302" t="s">
        <v>45</v>
      </c>
      <c r="Q26" s="258"/>
      <c r="R26" s="298" t="s">
        <v>45</v>
      </c>
      <c r="S26" s="303"/>
      <c r="T26" s="304"/>
      <c r="U26" s="298" t="s">
        <v>45</v>
      </c>
    </row>
    <row r="28" spans="1:21" hidden="1" x14ac:dyDescent="0.25">
      <c r="B28" s="1017">
        <v>0.78402777777777777</v>
      </c>
      <c r="C28" s="1017">
        <v>1.0208333333333333</v>
      </c>
      <c r="D28" s="1017">
        <v>0.60069444444444442</v>
      </c>
      <c r="E28" s="1017">
        <v>1.0138888888888888</v>
      </c>
      <c r="F28" s="1017">
        <v>1.0277777777777777</v>
      </c>
      <c r="G28" s="1017">
        <v>0.98611111111111116</v>
      </c>
      <c r="H28" s="1017">
        <v>1.0381944444444444</v>
      </c>
      <c r="I28" s="1017">
        <v>0.78749999999999998</v>
      </c>
      <c r="J28" s="1017">
        <v>0.80138888888888893</v>
      </c>
      <c r="K28" s="1017">
        <v>1.0069444444444444</v>
      </c>
      <c r="L28" s="1017">
        <v>0.92013888888888884</v>
      </c>
      <c r="M28" s="1017">
        <v>0.55555555555555558</v>
      </c>
      <c r="N28" s="1017">
        <v>1.0277777777777777</v>
      </c>
      <c r="O28" s="1017">
        <v>0.56597222222222221</v>
      </c>
    </row>
    <row r="29" spans="1:21" hidden="1" x14ac:dyDescent="0.25">
      <c r="A29" s="1035">
        <v>6.3798611111111114</v>
      </c>
      <c r="B29" s="1017">
        <v>0.3125</v>
      </c>
      <c r="C29" s="1017">
        <v>0.47916666666666669</v>
      </c>
      <c r="D29" s="1017">
        <v>0.4375</v>
      </c>
      <c r="E29" s="1017">
        <v>0.4513888888888889</v>
      </c>
      <c r="F29" s="1017">
        <v>0.3263888888888889</v>
      </c>
      <c r="G29" s="1017">
        <v>0.53125</v>
      </c>
      <c r="H29" s="1017">
        <v>0.67708333333333337</v>
      </c>
      <c r="I29" s="1017">
        <v>0.34027777777777779</v>
      </c>
      <c r="J29" s="1017">
        <v>0.30555555555555558</v>
      </c>
      <c r="K29" s="1017">
        <v>0.31944444444444442</v>
      </c>
      <c r="L29" s="1017">
        <v>0.33333333333333331</v>
      </c>
      <c r="M29" s="1017">
        <v>0.34722222222222221</v>
      </c>
      <c r="N29" s="1017">
        <v>0.53472222222222221</v>
      </c>
      <c r="O29" s="1017">
        <v>0.3611111111111111</v>
      </c>
    </row>
    <row r="30" spans="1:21" ht="16.5" hidden="1" customHeight="1" x14ac:dyDescent="0.25">
      <c r="B30" s="1034">
        <f>B28-B29</f>
        <v>0.47152777777777777</v>
      </c>
      <c r="C30" s="1034">
        <f t="shared" ref="C30:O30" si="0">C28-C29</f>
        <v>0.54166666666666652</v>
      </c>
      <c r="D30" s="1034">
        <f t="shared" si="0"/>
        <v>0.16319444444444442</v>
      </c>
      <c r="E30" s="1034">
        <f t="shared" si="0"/>
        <v>0.5625</v>
      </c>
      <c r="F30" s="1034">
        <f t="shared" si="0"/>
        <v>0.70138888888888884</v>
      </c>
      <c r="G30" s="1034">
        <f t="shared" si="0"/>
        <v>0.45486111111111116</v>
      </c>
      <c r="H30" s="1034">
        <f t="shared" si="0"/>
        <v>0.36111111111111105</v>
      </c>
      <c r="I30" s="1034">
        <f t="shared" si="0"/>
        <v>0.44722222222222219</v>
      </c>
      <c r="J30" s="1034">
        <f t="shared" si="0"/>
        <v>0.49583333333333335</v>
      </c>
      <c r="K30" s="1034">
        <f t="shared" si="0"/>
        <v>0.6875</v>
      </c>
      <c r="L30" s="1034">
        <f t="shared" si="0"/>
        <v>0.58680555555555558</v>
      </c>
      <c r="M30" s="1034">
        <f t="shared" si="0"/>
        <v>0.20833333333333337</v>
      </c>
      <c r="N30" s="1034">
        <f t="shared" si="0"/>
        <v>0.49305555555555547</v>
      </c>
      <c r="O30" s="1034">
        <f t="shared" si="0"/>
        <v>0.2048611111111111</v>
      </c>
      <c r="P30" s="306"/>
      <c r="Q30" s="306"/>
      <c r="R30" s="306"/>
    </row>
    <row r="31" spans="1:21" hidden="1" x14ac:dyDescent="0.25">
      <c r="P31" s="306"/>
      <c r="Q31" s="306"/>
    </row>
    <row r="32" spans="1:21" hidden="1" x14ac:dyDescent="0.25">
      <c r="B32" s="1017">
        <v>0.51041666666666663</v>
      </c>
      <c r="C32" s="1017">
        <v>1.0208333333333333</v>
      </c>
      <c r="D32" s="1017">
        <v>0.60069444444444442</v>
      </c>
      <c r="E32" s="1017">
        <v>0.52777777777777779</v>
      </c>
      <c r="F32" s="1017">
        <v>1.0277777777777777</v>
      </c>
      <c r="G32" s="1017">
        <v>0.98611111111111116</v>
      </c>
      <c r="H32" s="1017">
        <v>1.0381944444444444</v>
      </c>
      <c r="I32" s="1017">
        <v>0.71180555555555558</v>
      </c>
      <c r="J32" s="1017">
        <v>0.80138888888888893</v>
      </c>
      <c r="K32" s="1017">
        <v>0.73611111111111116</v>
      </c>
      <c r="L32" s="1017">
        <v>0.92013888888888884</v>
      </c>
      <c r="M32" s="1017">
        <v>0.55555555555555558</v>
      </c>
      <c r="N32" s="1017">
        <v>0.76388888888888884</v>
      </c>
      <c r="O32" s="1017">
        <v>0.56597222222222221</v>
      </c>
    </row>
    <row r="33" spans="1:41" hidden="1" x14ac:dyDescent="0.25">
      <c r="B33" s="1017">
        <v>0.3125</v>
      </c>
      <c r="C33" s="1017">
        <v>0.47916666666666669</v>
      </c>
      <c r="D33" s="1017">
        <v>0.4375</v>
      </c>
      <c r="E33" s="1017">
        <v>0.4513888888888889</v>
      </c>
      <c r="F33" s="1017">
        <v>0.54166666666666663</v>
      </c>
      <c r="G33" s="1017">
        <v>0.53125</v>
      </c>
      <c r="H33" s="1017">
        <v>0.67708333333333337</v>
      </c>
      <c r="I33" s="1017">
        <v>0.34027777777777779</v>
      </c>
      <c r="J33" s="1017">
        <v>0.72222222222222221</v>
      </c>
      <c r="K33" s="1017">
        <v>0.31944444444444442</v>
      </c>
      <c r="L33" s="1017">
        <v>0.75</v>
      </c>
      <c r="M33" s="1017">
        <v>0.34722222222222221</v>
      </c>
      <c r="N33" s="1017">
        <v>0.53472222222222221</v>
      </c>
      <c r="O33" s="1017">
        <v>0.3611111111111111</v>
      </c>
    </row>
    <row r="34" spans="1:41" hidden="1" x14ac:dyDescent="0.25">
      <c r="B34" s="1036">
        <f>B32-B33</f>
        <v>0.19791666666666663</v>
      </c>
      <c r="C34" s="1036">
        <f t="shared" ref="C34:D34" si="1">C32-C33</f>
        <v>0.54166666666666652</v>
      </c>
      <c r="D34" s="171">
        <f t="shared" si="1"/>
        <v>0.16319444444444442</v>
      </c>
      <c r="E34" s="1036">
        <f>E32-E33</f>
        <v>7.6388888888888895E-2</v>
      </c>
      <c r="F34" s="1036">
        <f>F32-F33</f>
        <v>0.48611111111111105</v>
      </c>
      <c r="G34" s="171">
        <f t="shared" ref="G34:H34" si="2">G32-G33</f>
        <v>0.45486111111111116</v>
      </c>
      <c r="H34" s="1036">
        <f t="shared" si="2"/>
        <v>0.36111111111111105</v>
      </c>
      <c r="I34" s="1036">
        <f>I32-I33</f>
        <v>0.37152777777777779</v>
      </c>
      <c r="J34" s="1036">
        <f>J32-J33</f>
        <v>7.9166666666666718E-2</v>
      </c>
      <c r="K34" s="1036">
        <f>K32-K33</f>
        <v>0.41666666666666674</v>
      </c>
      <c r="L34" s="1036">
        <f>L32-L33</f>
        <v>0.17013888888888884</v>
      </c>
      <c r="M34" s="1036">
        <f t="shared" ref="M34" si="3">M32-M33</f>
        <v>0.20833333333333337</v>
      </c>
      <c r="N34" s="1036">
        <f>N32-N33</f>
        <v>0.22916666666666663</v>
      </c>
      <c r="O34" s="171">
        <f t="shared" ref="O34" si="4">O32-O33</f>
        <v>0.2048611111111111</v>
      </c>
    </row>
    <row r="35" spans="1:41" hidden="1" x14ac:dyDescent="0.25"/>
    <row r="36" spans="1:41" hidden="1" x14ac:dyDescent="0.25">
      <c r="B36" s="1017">
        <v>0.78402777777777777</v>
      </c>
      <c r="E36" s="1017">
        <v>1.0138888888888888</v>
      </c>
      <c r="F36" s="1017">
        <v>0.54166666666666663</v>
      </c>
      <c r="I36" s="1017">
        <v>0.78749999999999998</v>
      </c>
      <c r="J36" s="1017">
        <v>0.72222222222222221</v>
      </c>
      <c r="K36" s="1017">
        <v>1.0069444444444444</v>
      </c>
      <c r="L36" s="1017">
        <v>0.75</v>
      </c>
      <c r="N36" s="1017">
        <v>1.0277777777777777</v>
      </c>
    </row>
    <row r="37" spans="1:41" hidden="1" x14ac:dyDescent="0.25">
      <c r="B37" s="1017">
        <v>0.51041666666666663</v>
      </c>
      <c r="E37" s="1017">
        <v>0.52777777777777779</v>
      </c>
      <c r="F37" s="1017">
        <v>0.3263888888888889</v>
      </c>
      <c r="I37" s="1017">
        <v>0.71180555555555558</v>
      </c>
      <c r="J37" s="1017">
        <v>0.30555555555555558</v>
      </c>
      <c r="K37" s="1017">
        <v>0.73611111111111116</v>
      </c>
      <c r="L37" s="1017">
        <v>0.33333333333333331</v>
      </c>
      <c r="N37" s="1017">
        <v>0.76388888888888884</v>
      </c>
    </row>
    <row r="38" spans="1:41" hidden="1" x14ac:dyDescent="0.25">
      <c r="B38" s="171">
        <f>B36-B37</f>
        <v>0.27361111111111114</v>
      </c>
      <c r="E38" s="171">
        <f>E36-E37</f>
        <v>0.48611111111111105</v>
      </c>
      <c r="F38" s="171">
        <f>F36-F37</f>
        <v>0.21527777777777773</v>
      </c>
      <c r="I38" s="171">
        <f>I36-I37</f>
        <v>7.5694444444444398E-2</v>
      </c>
      <c r="J38" s="171">
        <f>J36-J37</f>
        <v>0.41666666666666663</v>
      </c>
      <c r="K38" s="171">
        <f>K36-K37</f>
        <v>0.27083333333333326</v>
      </c>
      <c r="L38" s="171">
        <f>L36-L37</f>
        <v>0.41666666666666669</v>
      </c>
      <c r="N38" s="171">
        <f>N36-N37</f>
        <v>0.26388888888888884</v>
      </c>
    </row>
    <row r="39" spans="1:41" hidden="1" x14ac:dyDescent="0.25">
      <c r="P39" s="1037">
        <v>3.2416666666666667</v>
      </c>
    </row>
    <row r="40" spans="1:41" hidden="1" x14ac:dyDescent="0.25">
      <c r="P40" s="1038">
        <v>3.1381944444444443</v>
      </c>
    </row>
    <row r="42" spans="1:41" ht="16.5" thickBot="1" x14ac:dyDescent="0.3">
      <c r="W42" s="307"/>
      <c r="X42" s="307"/>
    </row>
    <row r="43" spans="1:41" ht="21.75" thickBot="1" x14ac:dyDescent="0.4">
      <c r="A43" s="192" t="s">
        <v>598</v>
      </c>
      <c r="B43" s="256" t="s">
        <v>597</v>
      </c>
      <c r="C43" s="256"/>
      <c r="D43" s="256"/>
      <c r="E43" s="371" t="s">
        <v>3</v>
      </c>
      <c r="F43" s="145"/>
      <c r="V43" s="1200" t="s">
        <v>272</v>
      </c>
      <c r="W43" s="1203" t="s">
        <v>273</v>
      </c>
      <c r="X43" s="1205" t="s">
        <v>274</v>
      </c>
      <c r="Y43" s="1206"/>
      <c r="Z43" s="1207"/>
      <c r="AA43" s="1205" t="s">
        <v>275</v>
      </c>
      <c r="AB43" s="1206"/>
      <c r="AC43" s="1206"/>
      <c r="AD43" s="1206"/>
      <c r="AE43" s="1207"/>
      <c r="AF43" s="1205" t="s">
        <v>276</v>
      </c>
      <c r="AG43" s="1206"/>
      <c r="AH43" s="1207"/>
      <c r="AI43" s="1200" t="s">
        <v>277</v>
      </c>
      <c r="AJ43" s="1200" t="s">
        <v>278</v>
      </c>
      <c r="AK43" s="1200" t="s">
        <v>279</v>
      </c>
      <c r="AL43" s="1200" t="s">
        <v>280</v>
      </c>
    </row>
    <row r="44" spans="1:41" ht="16.5" thickBot="1" x14ac:dyDescent="0.3">
      <c r="A44" s="263"/>
      <c r="B44" s="678" t="s">
        <v>230</v>
      </c>
      <c r="C44" s="678" t="s">
        <v>229</v>
      </c>
      <c r="D44" s="260"/>
      <c r="E44" s="260"/>
      <c r="F44" s="678" t="s">
        <v>20</v>
      </c>
      <c r="V44" s="1208"/>
      <c r="W44" s="1209"/>
      <c r="X44" s="91" t="s">
        <v>281</v>
      </c>
      <c r="Y44" s="92" t="s">
        <v>282</v>
      </c>
      <c r="Z44" s="93" t="s">
        <v>283</v>
      </c>
      <c r="AA44" s="94" t="s">
        <v>274</v>
      </c>
      <c r="AB44" s="92" t="s">
        <v>283</v>
      </c>
      <c r="AC44" s="92" t="s">
        <v>281</v>
      </c>
      <c r="AD44" s="92" t="s">
        <v>274</v>
      </c>
      <c r="AE44" s="93" t="s">
        <v>283</v>
      </c>
      <c r="AF44" s="94" t="s">
        <v>276</v>
      </c>
      <c r="AG44" s="92" t="s">
        <v>283</v>
      </c>
      <c r="AH44" s="93" t="s">
        <v>284</v>
      </c>
      <c r="AI44" s="1208"/>
      <c r="AJ44" s="1208"/>
      <c r="AK44" s="1208"/>
      <c r="AL44" s="1208"/>
    </row>
    <row r="45" spans="1:41" ht="16.5" thickBot="1" x14ac:dyDescent="0.3">
      <c r="A45" s="265"/>
      <c r="B45" s="305" t="s">
        <v>689</v>
      </c>
      <c r="C45" s="305" t="s">
        <v>601</v>
      </c>
      <c r="D45" s="205"/>
      <c r="E45" s="205"/>
      <c r="F45" s="305" t="s">
        <v>602</v>
      </c>
      <c r="V45" s="374" t="s">
        <v>285</v>
      </c>
      <c r="W45" s="111" t="s">
        <v>291</v>
      </c>
      <c r="X45" s="241">
        <v>0.31388888888888888</v>
      </c>
      <c r="Y45" s="242">
        <v>0.31944444444444442</v>
      </c>
      <c r="Z45" s="243" t="s">
        <v>592</v>
      </c>
      <c r="AA45" s="241">
        <v>0.4513888888888889</v>
      </c>
      <c r="AB45" s="242" t="s">
        <v>593</v>
      </c>
      <c r="AC45" s="242">
        <v>0.51527777777777795</v>
      </c>
      <c r="AD45" s="242">
        <v>0.52083333333333337</v>
      </c>
      <c r="AE45" s="243" t="s">
        <v>593</v>
      </c>
      <c r="AF45" s="241">
        <v>0.60069444444444442</v>
      </c>
      <c r="AG45" s="242" t="s">
        <v>592</v>
      </c>
      <c r="AH45" s="243">
        <v>0.60069444444444442</v>
      </c>
      <c r="AI45" s="106">
        <f t="shared" ref="AI45:AI66" si="5">AH45-X45</f>
        <v>0.28680555555555554</v>
      </c>
      <c r="AJ45" s="106">
        <f t="shared" ref="AJ45:AJ66" si="6">AI45-AK45</f>
        <v>0.22291666666666649</v>
      </c>
      <c r="AK45" s="107">
        <f t="shared" ref="AK45:AK66" si="7">AC45-AA45</f>
        <v>6.388888888888905E-2</v>
      </c>
      <c r="AL45" s="107"/>
      <c r="AN45" s="74">
        <f>AA45-Y45</f>
        <v>0.13194444444444448</v>
      </c>
      <c r="AO45" s="74">
        <f>AF45-AD45</f>
        <v>7.9861111111111049E-2</v>
      </c>
    </row>
    <row r="46" spans="1:41" x14ac:dyDescent="0.25">
      <c r="A46" s="259" t="s">
        <v>45</v>
      </c>
      <c r="B46" s="1009" t="s">
        <v>690</v>
      </c>
      <c r="C46" s="1011" t="s">
        <v>691</v>
      </c>
      <c r="D46" s="205"/>
      <c r="E46" s="205"/>
      <c r="F46" s="1008" t="s">
        <v>692</v>
      </c>
      <c r="V46" s="375" t="s">
        <v>290</v>
      </c>
      <c r="W46" s="96" t="s">
        <v>294</v>
      </c>
      <c r="X46" s="227">
        <v>0.32083333333333336</v>
      </c>
      <c r="Y46" s="228">
        <v>0.3263888888888889</v>
      </c>
      <c r="Z46" s="229" t="s">
        <v>592</v>
      </c>
      <c r="AA46" s="227"/>
      <c r="AB46" s="228"/>
      <c r="AC46" s="228"/>
      <c r="AD46" s="228"/>
      <c r="AE46" s="229"/>
      <c r="AF46" s="227">
        <v>0.54166666666666663</v>
      </c>
      <c r="AG46" s="228" t="s">
        <v>593</v>
      </c>
      <c r="AH46" s="229">
        <v>0.56736111111111109</v>
      </c>
      <c r="AI46" s="95">
        <f t="shared" si="5"/>
        <v>0.24652777777777773</v>
      </c>
      <c r="AJ46" s="95">
        <f t="shared" si="6"/>
        <v>0.24652777777777773</v>
      </c>
      <c r="AK46" s="99">
        <f t="shared" si="7"/>
        <v>0</v>
      </c>
      <c r="AL46" s="99"/>
      <c r="AN46" s="74">
        <f t="shared" ref="AN46" si="8">AF46-Y46</f>
        <v>0.21527777777777773</v>
      </c>
      <c r="AO46" s="74"/>
    </row>
    <row r="47" spans="1:41" x14ac:dyDescent="0.25">
      <c r="A47" s="274"/>
      <c r="B47" s="275"/>
      <c r="C47" s="205"/>
      <c r="D47" s="205"/>
      <c r="E47" s="205"/>
      <c r="F47" s="198"/>
      <c r="V47" s="375" t="s">
        <v>293</v>
      </c>
      <c r="W47" s="96" t="s">
        <v>389</v>
      </c>
      <c r="X47" s="227">
        <v>0.32777777777777778</v>
      </c>
      <c r="Y47" s="228">
        <v>0.33333333333333331</v>
      </c>
      <c r="Z47" s="229" t="s">
        <v>592</v>
      </c>
      <c r="AA47" s="227">
        <v>0.46527777777777779</v>
      </c>
      <c r="AB47" s="228" t="s">
        <v>593</v>
      </c>
      <c r="AC47" s="228">
        <v>0.53472222222222221</v>
      </c>
      <c r="AD47" s="228">
        <v>0.5625</v>
      </c>
      <c r="AE47" s="229" t="s">
        <v>592</v>
      </c>
      <c r="AF47" s="227">
        <v>0.64583333333333337</v>
      </c>
      <c r="AG47" s="228" t="s">
        <v>594</v>
      </c>
      <c r="AH47" s="229">
        <v>0.66249999999999998</v>
      </c>
      <c r="AI47" s="95">
        <f t="shared" si="5"/>
        <v>0.3347222222222222</v>
      </c>
      <c r="AJ47" s="95">
        <f t="shared" si="6"/>
        <v>0.26527777777777778</v>
      </c>
      <c r="AK47" s="99">
        <f t="shared" si="7"/>
        <v>6.944444444444442E-2</v>
      </c>
      <c r="AL47" s="99"/>
      <c r="AN47" s="74">
        <f>AA47-Y47</f>
        <v>0.13194444444444448</v>
      </c>
      <c r="AO47" s="74">
        <f>AF47-AD47</f>
        <v>8.333333333333337E-2</v>
      </c>
    </row>
    <row r="48" spans="1:41" ht="16.5" thickBot="1" x14ac:dyDescent="0.3">
      <c r="A48" s="276" t="s">
        <v>236</v>
      </c>
      <c r="B48" s="280"/>
      <c r="C48" s="277"/>
      <c r="D48" s="277"/>
      <c r="E48" s="277"/>
      <c r="F48" s="281">
        <v>0.375</v>
      </c>
      <c r="V48" s="375" t="s">
        <v>295</v>
      </c>
      <c r="W48" s="96" t="s">
        <v>296</v>
      </c>
      <c r="X48" s="227">
        <v>0.3347222222222222</v>
      </c>
      <c r="Y48" s="228">
        <v>0.34027777777777779</v>
      </c>
      <c r="Z48" s="229" t="s">
        <v>592</v>
      </c>
      <c r="AA48" s="227">
        <v>0.4236111111111111</v>
      </c>
      <c r="AB48" s="228" t="s">
        <v>593</v>
      </c>
      <c r="AC48" s="228">
        <v>0.4597222222222222</v>
      </c>
      <c r="AD48" s="228">
        <v>0.46527777777777779</v>
      </c>
      <c r="AE48" s="229" t="s">
        <v>593</v>
      </c>
      <c r="AF48" s="227">
        <v>0.61111111111111116</v>
      </c>
      <c r="AG48" s="228" t="s">
        <v>593</v>
      </c>
      <c r="AH48" s="229">
        <v>0.63680555555555551</v>
      </c>
      <c r="AI48" s="95">
        <f t="shared" si="5"/>
        <v>0.30208333333333331</v>
      </c>
      <c r="AJ48" s="95">
        <f t="shared" si="6"/>
        <v>0.26597222222222222</v>
      </c>
      <c r="AK48" s="99">
        <f t="shared" si="7"/>
        <v>3.6111111111111094E-2</v>
      </c>
      <c r="AL48" s="99"/>
      <c r="AN48" s="74">
        <f>AA48-Y48</f>
        <v>8.3333333333333315E-2</v>
      </c>
      <c r="AO48" s="74">
        <f>AF48-AD48</f>
        <v>0.14583333333333337</v>
      </c>
    </row>
    <row r="49" spans="1:41" ht="16.5" thickBot="1" x14ac:dyDescent="0.3">
      <c r="A49" s="268" t="s">
        <v>237</v>
      </c>
      <c r="B49" s="287"/>
      <c r="C49" s="282">
        <v>0.39583333333333331</v>
      </c>
      <c r="D49" s="154" t="s">
        <v>22</v>
      </c>
      <c r="E49" s="205"/>
      <c r="F49" s="288">
        <v>0.4375</v>
      </c>
      <c r="V49" s="375" t="s">
        <v>297</v>
      </c>
      <c r="W49" s="96" t="s">
        <v>298</v>
      </c>
      <c r="X49" s="227">
        <v>0.34166666666666667</v>
      </c>
      <c r="Y49" s="228">
        <v>0.34722222222222221</v>
      </c>
      <c r="Z49" s="229" t="s">
        <v>592</v>
      </c>
      <c r="AA49" s="227"/>
      <c r="AB49" s="228"/>
      <c r="AC49" s="228"/>
      <c r="AD49" s="228"/>
      <c r="AE49" s="229"/>
      <c r="AF49" s="227">
        <v>0.55555555555555558</v>
      </c>
      <c r="AG49" s="228" t="s">
        <v>592</v>
      </c>
      <c r="AH49" s="229">
        <v>0.55555555555555558</v>
      </c>
      <c r="AI49" s="95">
        <f t="shared" si="5"/>
        <v>0.21388888888888891</v>
      </c>
      <c r="AJ49" s="95">
        <f t="shared" si="6"/>
        <v>0.21388888888888891</v>
      </c>
      <c r="AK49" s="99">
        <f t="shared" si="7"/>
        <v>0</v>
      </c>
      <c r="AL49" s="99"/>
      <c r="AN49" s="74">
        <f t="shared" ref="AN49:AN52" si="9">AF49-Y49</f>
        <v>0.20833333333333337</v>
      </c>
      <c r="AO49" s="74"/>
    </row>
    <row r="50" spans="1:41" ht="16.5" thickBot="1" x14ac:dyDescent="0.3">
      <c r="A50" s="276" t="s">
        <v>236</v>
      </c>
      <c r="B50" s="290">
        <v>0.41666666666666669</v>
      </c>
      <c r="C50" s="201">
        <v>0.45833333333333331</v>
      </c>
      <c r="D50" s="154" t="s">
        <v>693</v>
      </c>
      <c r="E50" s="205"/>
      <c r="F50" s="281">
        <v>0.5</v>
      </c>
      <c r="V50" s="375" t="s">
        <v>299</v>
      </c>
      <c r="W50" s="96" t="s">
        <v>300</v>
      </c>
      <c r="X50" s="227">
        <v>0.34513888888888888</v>
      </c>
      <c r="Y50" s="228">
        <v>0.35069444444444442</v>
      </c>
      <c r="Z50" s="229" t="s">
        <v>592</v>
      </c>
      <c r="AA50" s="227"/>
      <c r="AB50" s="228"/>
      <c r="AC50" s="228"/>
      <c r="AD50" s="228"/>
      <c r="AE50" s="229"/>
      <c r="AF50" s="227">
        <v>0.5625</v>
      </c>
      <c r="AG50" s="228" t="s">
        <v>594</v>
      </c>
      <c r="AH50" s="229">
        <v>0.57916666666666672</v>
      </c>
      <c r="AI50" s="95">
        <f t="shared" si="5"/>
        <v>0.23402777777777783</v>
      </c>
      <c r="AJ50" s="95">
        <f t="shared" si="6"/>
        <v>0.23402777777777783</v>
      </c>
      <c r="AK50" s="99">
        <f t="shared" si="7"/>
        <v>0</v>
      </c>
      <c r="AL50" s="99"/>
      <c r="AN50" s="74">
        <f t="shared" si="9"/>
        <v>0.21180555555555558</v>
      </c>
      <c r="AO50" s="74"/>
    </row>
    <row r="51" spans="1:41" ht="16.5" thickBot="1" x14ac:dyDescent="0.3">
      <c r="A51" s="268" t="s">
        <v>237</v>
      </c>
      <c r="B51" s="287">
        <v>0.47916666666666669</v>
      </c>
      <c r="C51" s="282">
        <v>0.52083333333333337</v>
      </c>
      <c r="D51" s="1010" t="s">
        <v>694</v>
      </c>
      <c r="E51" s="678" t="s">
        <v>246</v>
      </c>
      <c r="F51" s="213" t="s">
        <v>695</v>
      </c>
      <c r="V51" s="375" t="s">
        <v>301</v>
      </c>
      <c r="W51" s="96" t="s">
        <v>302</v>
      </c>
      <c r="X51" s="227">
        <v>0.35555555555555557</v>
      </c>
      <c r="Y51" s="228">
        <v>0.3611111111111111</v>
      </c>
      <c r="Z51" s="229" t="s">
        <v>592</v>
      </c>
      <c r="AA51" s="227"/>
      <c r="AB51" s="228"/>
      <c r="AC51" s="228"/>
      <c r="AD51" s="228"/>
      <c r="AE51" s="229"/>
      <c r="AF51" s="227">
        <v>0.56597222222222221</v>
      </c>
      <c r="AG51" s="228" t="s">
        <v>592</v>
      </c>
      <c r="AH51" s="229">
        <v>0.56597222222222221</v>
      </c>
      <c r="AI51" s="95">
        <f t="shared" si="5"/>
        <v>0.21041666666666664</v>
      </c>
      <c r="AJ51" s="95">
        <f t="shared" si="6"/>
        <v>0.21041666666666664</v>
      </c>
      <c r="AK51" s="99">
        <f t="shared" si="7"/>
        <v>0</v>
      </c>
      <c r="AL51" s="99"/>
      <c r="AN51" s="74">
        <f t="shared" si="9"/>
        <v>0.2048611111111111</v>
      </c>
      <c r="AO51" s="74"/>
    </row>
    <row r="52" spans="1:41" ht="16.5" thickBot="1" x14ac:dyDescent="0.3">
      <c r="A52" s="276" t="s">
        <v>236</v>
      </c>
      <c r="B52" s="290">
        <v>0.54166666666666663</v>
      </c>
      <c r="C52" s="1014" t="s">
        <v>696</v>
      </c>
      <c r="D52" s="201">
        <v>0.58333333333333337</v>
      </c>
      <c r="E52" s="154" t="s">
        <v>697</v>
      </c>
      <c r="F52" s="281">
        <v>0.625</v>
      </c>
      <c r="V52" s="373" t="s">
        <v>303</v>
      </c>
      <c r="W52" s="102" t="s">
        <v>304</v>
      </c>
      <c r="X52" s="230">
        <v>0.36944444444444446</v>
      </c>
      <c r="Y52" s="231">
        <v>0.375</v>
      </c>
      <c r="Z52" s="232" t="s">
        <v>592</v>
      </c>
      <c r="AA52" s="230"/>
      <c r="AB52" s="231"/>
      <c r="AC52" s="231"/>
      <c r="AD52" s="231"/>
      <c r="AE52" s="232"/>
      <c r="AF52" s="230">
        <v>0.59375</v>
      </c>
      <c r="AG52" s="231" t="s">
        <v>592</v>
      </c>
      <c r="AH52" s="232">
        <v>0.59375</v>
      </c>
      <c r="AI52" s="100">
        <f t="shared" si="5"/>
        <v>0.22430555555555554</v>
      </c>
      <c r="AJ52" s="100">
        <f t="shared" si="6"/>
        <v>0.22430555555555554</v>
      </c>
      <c r="AK52" s="101">
        <f t="shared" si="7"/>
        <v>0</v>
      </c>
      <c r="AL52" s="101"/>
      <c r="AN52" s="74">
        <f t="shared" si="9"/>
        <v>0.21875</v>
      </c>
      <c r="AO52" s="74"/>
    </row>
    <row r="53" spans="1:41" ht="16.5" thickBot="1" x14ac:dyDescent="0.3">
      <c r="A53" s="268" t="s">
        <v>237</v>
      </c>
      <c r="B53" s="291" t="s">
        <v>698</v>
      </c>
      <c r="C53" s="181" t="s">
        <v>699</v>
      </c>
      <c r="D53" s="271" t="s">
        <v>700</v>
      </c>
      <c r="E53" s="1010" t="s">
        <v>701</v>
      </c>
      <c r="F53" s="213" t="s">
        <v>702</v>
      </c>
      <c r="V53" s="378" t="s">
        <v>305</v>
      </c>
      <c r="W53" s="105" t="s">
        <v>306</v>
      </c>
      <c r="X53" s="224">
        <v>0.5</v>
      </c>
      <c r="Y53" s="225">
        <v>0.52777777777777779</v>
      </c>
      <c r="Z53" s="226" t="s">
        <v>593</v>
      </c>
      <c r="AA53" s="224">
        <v>0.66666666666666663</v>
      </c>
      <c r="AB53" s="225" t="s">
        <v>593</v>
      </c>
      <c r="AC53" s="225">
        <v>0.72638888888888886</v>
      </c>
      <c r="AD53" s="225">
        <v>0.72916666666666663</v>
      </c>
      <c r="AE53" s="226" t="s">
        <v>594</v>
      </c>
      <c r="AF53" s="224">
        <v>0.85416666666666663</v>
      </c>
      <c r="AG53" s="225" t="s">
        <v>594</v>
      </c>
      <c r="AH53" s="226">
        <v>0.87083333333333335</v>
      </c>
      <c r="AI53" s="97">
        <f t="shared" si="5"/>
        <v>0.37083333333333335</v>
      </c>
      <c r="AJ53" s="97">
        <f t="shared" si="6"/>
        <v>0.31111111111111112</v>
      </c>
      <c r="AK53" s="98">
        <f t="shared" si="7"/>
        <v>5.9722222222222232E-2</v>
      </c>
      <c r="AL53" s="98"/>
      <c r="AN53" s="74">
        <f t="shared" ref="AN53:AN64" si="10">AA53-Y53</f>
        <v>0.13888888888888884</v>
      </c>
      <c r="AO53" s="74">
        <f t="shared" ref="AO53:AO64" si="11">AF53-AD53</f>
        <v>0.125</v>
      </c>
    </row>
    <row r="54" spans="1:41" ht="16.5" thickBot="1" x14ac:dyDescent="0.3">
      <c r="A54" s="276" t="s">
        <v>236</v>
      </c>
      <c r="B54" s="290">
        <v>0.66666666666666663</v>
      </c>
      <c r="C54" s="201"/>
      <c r="D54" s="1014" t="s">
        <v>703</v>
      </c>
      <c r="E54" s="201">
        <v>0.70833333333333337</v>
      </c>
      <c r="F54" s="281">
        <v>0.75</v>
      </c>
      <c r="V54" s="376" t="s">
        <v>307</v>
      </c>
      <c r="W54" s="108" t="s">
        <v>308</v>
      </c>
      <c r="X54" s="227">
        <v>0.51388888888888884</v>
      </c>
      <c r="Y54" s="228">
        <v>0.54166666666666663</v>
      </c>
      <c r="Z54" s="229" t="s">
        <v>593</v>
      </c>
      <c r="AA54" s="227">
        <v>0.68055555555555558</v>
      </c>
      <c r="AB54" s="228" t="s">
        <v>593</v>
      </c>
      <c r="AC54" s="309">
        <v>0.74444444444444458</v>
      </c>
      <c r="AD54" s="309">
        <v>0.75</v>
      </c>
      <c r="AE54" s="310" t="s">
        <v>593</v>
      </c>
      <c r="AF54" s="311">
        <v>0.92013888888888884</v>
      </c>
      <c r="AG54" s="309" t="s">
        <v>592</v>
      </c>
      <c r="AH54" s="310">
        <v>0.92013888888888884</v>
      </c>
      <c r="AI54" s="95">
        <f t="shared" si="5"/>
        <v>0.40625</v>
      </c>
      <c r="AJ54" s="95">
        <f t="shared" si="6"/>
        <v>0.34236111111111101</v>
      </c>
      <c r="AK54" s="99">
        <f t="shared" si="7"/>
        <v>6.3888888888888995E-2</v>
      </c>
      <c r="AL54" s="99" t="s">
        <v>280</v>
      </c>
      <c r="AN54" s="74">
        <f t="shared" si="10"/>
        <v>0.13888888888888895</v>
      </c>
      <c r="AO54" s="74">
        <f t="shared" si="11"/>
        <v>0.17013888888888884</v>
      </c>
    </row>
    <row r="55" spans="1:41" ht="16.5" thickBot="1" x14ac:dyDescent="0.3">
      <c r="A55" s="268" t="s">
        <v>237</v>
      </c>
      <c r="B55" s="291" t="s">
        <v>704</v>
      </c>
      <c r="C55" s="271"/>
      <c r="D55" s="181" t="s">
        <v>705</v>
      </c>
      <c r="E55" s="271" t="s">
        <v>706</v>
      </c>
      <c r="F55" s="213" t="s">
        <v>707</v>
      </c>
      <c r="V55" s="376" t="s">
        <v>309</v>
      </c>
      <c r="W55" s="108" t="s">
        <v>310</v>
      </c>
      <c r="X55" s="227">
        <v>0.52569444444444446</v>
      </c>
      <c r="Y55" s="228">
        <v>0.53125</v>
      </c>
      <c r="Z55" s="229" t="s">
        <v>592</v>
      </c>
      <c r="AA55" s="227">
        <v>0.69097222222222221</v>
      </c>
      <c r="AB55" s="228" t="s">
        <v>593</v>
      </c>
      <c r="AC55" s="309">
        <v>0.7583333333333333</v>
      </c>
      <c r="AD55" s="309">
        <v>0.76388888888888884</v>
      </c>
      <c r="AE55" s="310" t="s">
        <v>593</v>
      </c>
      <c r="AF55" s="311">
        <v>0.86111111111111116</v>
      </c>
      <c r="AG55" s="309" t="s">
        <v>593</v>
      </c>
      <c r="AH55" s="310">
        <v>0.88680555555555551</v>
      </c>
      <c r="AI55" s="95">
        <f t="shared" si="5"/>
        <v>0.36111111111111105</v>
      </c>
      <c r="AJ55" s="95">
        <f t="shared" si="6"/>
        <v>0.29374999999999996</v>
      </c>
      <c r="AK55" s="99">
        <f t="shared" si="7"/>
        <v>6.7361111111111094E-2</v>
      </c>
      <c r="AL55" s="99"/>
      <c r="AN55" s="74">
        <f t="shared" si="10"/>
        <v>0.15972222222222221</v>
      </c>
      <c r="AO55" s="74">
        <f t="shared" si="11"/>
        <v>9.7222222222222321E-2</v>
      </c>
    </row>
    <row r="56" spans="1:41" ht="16.5" thickBot="1" x14ac:dyDescent="0.3">
      <c r="A56" s="276" t="s">
        <v>236</v>
      </c>
      <c r="B56" s="290">
        <v>0.79166666666666663</v>
      </c>
      <c r="C56" s="201"/>
      <c r="D56" s="201"/>
      <c r="E56" s="201">
        <v>0.84375</v>
      </c>
      <c r="F56" s="1012" t="s">
        <v>589</v>
      </c>
      <c r="V56" s="376" t="s">
        <v>311</v>
      </c>
      <c r="W56" s="108" t="s">
        <v>391</v>
      </c>
      <c r="X56" s="227">
        <v>0.52916666666666667</v>
      </c>
      <c r="Y56" s="228">
        <v>0.53472222222222221</v>
      </c>
      <c r="Z56" s="229" t="s">
        <v>592</v>
      </c>
      <c r="AA56" s="227">
        <v>0.625</v>
      </c>
      <c r="AB56" s="228" t="s">
        <v>593</v>
      </c>
      <c r="AC56" s="228">
        <v>0.68541666666666667</v>
      </c>
      <c r="AD56" s="228">
        <v>0.69097222222222221</v>
      </c>
      <c r="AE56" s="229" t="s">
        <v>593</v>
      </c>
      <c r="AF56" s="227">
        <v>0.81944444444444442</v>
      </c>
      <c r="AG56" s="228" t="s">
        <v>593</v>
      </c>
      <c r="AH56" s="229">
        <v>0.84513888888888888</v>
      </c>
      <c r="AI56" s="95">
        <f t="shared" si="5"/>
        <v>0.31597222222222221</v>
      </c>
      <c r="AJ56" s="95">
        <f t="shared" si="6"/>
        <v>0.25555555555555554</v>
      </c>
      <c r="AK56" s="99">
        <f t="shared" si="7"/>
        <v>6.0416666666666674E-2</v>
      </c>
      <c r="AL56" s="99" t="s">
        <v>280</v>
      </c>
      <c r="AN56" s="74">
        <f t="shared" si="10"/>
        <v>9.027777777777779E-2</v>
      </c>
      <c r="AO56" s="74">
        <f t="shared" si="11"/>
        <v>0.12847222222222221</v>
      </c>
    </row>
    <row r="57" spans="1:41" ht="16.5" thickBot="1" x14ac:dyDescent="0.3">
      <c r="A57" s="268" t="s">
        <v>237</v>
      </c>
      <c r="B57" s="291" t="s">
        <v>708</v>
      </c>
      <c r="C57" s="271"/>
      <c r="D57" s="271"/>
      <c r="E57" s="271" t="s">
        <v>709</v>
      </c>
      <c r="F57" s="292" t="s">
        <v>710</v>
      </c>
      <c r="V57" s="376" t="s">
        <v>313</v>
      </c>
      <c r="W57" s="108" t="s">
        <v>314</v>
      </c>
      <c r="X57" s="227">
        <v>0.56944444444444442</v>
      </c>
      <c r="Y57" s="228">
        <v>0.59722222222222221</v>
      </c>
      <c r="Z57" s="229" t="s">
        <v>593</v>
      </c>
      <c r="AA57" s="227">
        <v>0.73611111111111116</v>
      </c>
      <c r="AB57" s="228" t="s">
        <v>593</v>
      </c>
      <c r="AC57" s="309">
        <v>0.80972222222222223</v>
      </c>
      <c r="AD57" s="309">
        <v>0.8125</v>
      </c>
      <c r="AE57" s="310" t="s">
        <v>594</v>
      </c>
      <c r="AF57" s="311">
        <v>0.87847222222222221</v>
      </c>
      <c r="AG57" s="309" t="s">
        <v>592</v>
      </c>
      <c r="AH57" s="310">
        <v>0.87847222222222221</v>
      </c>
      <c r="AI57" s="95">
        <f t="shared" si="5"/>
        <v>0.30902777777777779</v>
      </c>
      <c r="AJ57" s="95">
        <f t="shared" si="6"/>
        <v>0.23541666666666672</v>
      </c>
      <c r="AK57" s="99">
        <f t="shared" si="7"/>
        <v>7.3611111111111072E-2</v>
      </c>
      <c r="AL57" s="99"/>
      <c r="AN57" s="74">
        <f t="shared" si="10"/>
        <v>0.13888888888888895</v>
      </c>
      <c r="AO57" s="74">
        <f t="shared" si="11"/>
        <v>6.597222222222221E-2</v>
      </c>
    </row>
    <row r="58" spans="1:41" ht="16.5" thickBot="1" x14ac:dyDescent="0.3">
      <c r="A58" s="276" t="s">
        <v>236</v>
      </c>
      <c r="B58" s="290">
        <v>0.89583333333333337</v>
      </c>
      <c r="C58" s="201"/>
      <c r="D58" s="201"/>
      <c r="E58" s="201">
        <v>0.9375</v>
      </c>
      <c r="F58" s="281"/>
      <c r="V58" s="379" t="s">
        <v>315</v>
      </c>
      <c r="W58" s="109" t="s">
        <v>393</v>
      </c>
      <c r="X58" s="236">
        <v>0.5854166666666667</v>
      </c>
      <c r="Y58" s="237">
        <v>0.60416666666666663</v>
      </c>
      <c r="Z58" s="238" t="s">
        <v>594</v>
      </c>
      <c r="AA58" s="236">
        <v>0.72916666666666663</v>
      </c>
      <c r="AB58" s="237" t="s">
        <v>594</v>
      </c>
      <c r="AC58" s="312">
        <v>0.77083333333333337</v>
      </c>
      <c r="AD58" s="312">
        <v>0.77083333333333337</v>
      </c>
      <c r="AE58" s="313" t="s">
        <v>594</v>
      </c>
      <c r="AF58" s="314">
        <v>0.89583333333333337</v>
      </c>
      <c r="AG58" s="312" t="s">
        <v>594</v>
      </c>
      <c r="AH58" s="313">
        <v>0.91249999999999998</v>
      </c>
      <c r="AI58" s="103">
        <f t="shared" si="5"/>
        <v>0.32708333333333328</v>
      </c>
      <c r="AJ58" s="103">
        <f t="shared" si="6"/>
        <v>0.28541666666666654</v>
      </c>
      <c r="AK58" s="104">
        <f t="shared" si="7"/>
        <v>4.1666666666666741E-2</v>
      </c>
      <c r="AL58" s="104"/>
      <c r="AN58" s="74">
        <f t="shared" si="10"/>
        <v>0.125</v>
      </c>
      <c r="AO58" s="74">
        <f t="shared" si="11"/>
        <v>0.125</v>
      </c>
    </row>
    <row r="59" spans="1:41" x14ac:dyDescent="0.25">
      <c r="A59" s="268" t="s">
        <v>237</v>
      </c>
      <c r="B59" s="287">
        <v>0.9375</v>
      </c>
      <c r="C59" s="271"/>
      <c r="D59" s="271"/>
      <c r="E59" s="282">
        <v>0.97916666666666663</v>
      </c>
      <c r="F59" s="288"/>
      <c r="V59" s="374" t="s">
        <v>318</v>
      </c>
      <c r="W59" s="111" t="s">
        <v>316</v>
      </c>
      <c r="X59" s="241">
        <v>0.625</v>
      </c>
      <c r="Y59" s="242">
        <v>0.65277777777777779</v>
      </c>
      <c r="Z59" s="243" t="s">
        <v>593</v>
      </c>
      <c r="AA59" s="241">
        <v>0.77777777777777779</v>
      </c>
      <c r="AB59" s="242" t="s">
        <v>593</v>
      </c>
      <c r="AC59" s="228">
        <v>0.82430555555555551</v>
      </c>
      <c r="AD59" s="228">
        <v>0.82986111111111116</v>
      </c>
      <c r="AE59" s="229" t="s">
        <v>593</v>
      </c>
      <c r="AF59" s="227">
        <v>1.0381944444444444</v>
      </c>
      <c r="AG59" s="228" t="s">
        <v>592</v>
      </c>
      <c r="AH59" s="229">
        <v>1.0381944444444444</v>
      </c>
      <c r="AI59" s="106">
        <f t="shared" si="5"/>
        <v>0.41319444444444442</v>
      </c>
      <c r="AJ59" s="106">
        <f t="shared" si="6"/>
        <v>0.3666666666666667</v>
      </c>
      <c r="AK59" s="107">
        <f t="shared" si="7"/>
        <v>4.6527777777777724E-2</v>
      </c>
      <c r="AL59" s="107" t="s">
        <v>280</v>
      </c>
      <c r="AN59" s="74">
        <f t="shared" si="10"/>
        <v>0.125</v>
      </c>
      <c r="AO59" s="74">
        <f t="shared" si="11"/>
        <v>0.20833333333333326</v>
      </c>
    </row>
    <row r="60" spans="1:41" x14ac:dyDescent="0.25">
      <c r="A60" s="276" t="s">
        <v>236</v>
      </c>
      <c r="B60" s="290">
        <v>0.97916666666666663</v>
      </c>
      <c r="C60" s="201"/>
      <c r="D60" s="201"/>
      <c r="E60" s="1013" t="s">
        <v>711</v>
      </c>
      <c r="F60" s="214"/>
      <c r="V60" s="375" t="s">
        <v>320</v>
      </c>
      <c r="W60" s="96" t="s">
        <v>319</v>
      </c>
      <c r="X60" s="227">
        <v>0.63888888888888884</v>
      </c>
      <c r="Y60" s="228">
        <v>0.66666666666666663</v>
      </c>
      <c r="Z60" s="229" t="s">
        <v>593</v>
      </c>
      <c r="AA60" s="227">
        <v>0.79166666666666663</v>
      </c>
      <c r="AB60" s="228" t="s">
        <v>593</v>
      </c>
      <c r="AC60" s="242">
        <v>0.83472222222222225</v>
      </c>
      <c r="AD60" s="242">
        <v>0.84027777777777779</v>
      </c>
      <c r="AE60" s="243" t="s">
        <v>593</v>
      </c>
      <c r="AF60" s="241">
        <v>1.0069444444444444</v>
      </c>
      <c r="AG60" s="242" t="s">
        <v>592</v>
      </c>
      <c r="AH60" s="243">
        <v>1.0069444444444444</v>
      </c>
      <c r="AI60" s="95">
        <f t="shared" si="5"/>
        <v>0.36805555555555558</v>
      </c>
      <c r="AJ60" s="95">
        <f t="shared" si="6"/>
        <v>0.32499999999999996</v>
      </c>
      <c r="AK60" s="99">
        <f t="shared" si="7"/>
        <v>4.3055555555555625E-2</v>
      </c>
      <c r="AL60" s="99" t="s">
        <v>280</v>
      </c>
      <c r="AN60" s="74">
        <f t="shared" si="10"/>
        <v>0.125</v>
      </c>
      <c r="AO60" s="74">
        <f t="shared" si="11"/>
        <v>0.16666666666666663</v>
      </c>
    </row>
    <row r="61" spans="1:41" x14ac:dyDescent="0.25">
      <c r="A61" s="268" t="s">
        <v>237</v>
      </c>
      <c r="B61" s="1015" t="s">
        <v>711</v>
      </c>
      <c r="C61" s="282"/>
      <c r="D61" s="282"/>
      <c r="E61" s="202" t="s">
        <v>574</v>
      </c>
      <c r="F61" s="267"/>
      <c r="V61" s="375" t="s">
        <v>322</v>
      </c>
      <c r="W61" s="96" t="s">
        <v>321</v>
      </c>
      <c r="X61" s="227">
        <v>0.65277777777777779</v>
      </c>
      <c r="Y61" s="228">
        <v>0.68055555555555558</v>
      </c>
      <c r="Z61" s="229" t="s">
        <v>593</v>
      </c>
      <c r="AA61" s="227">
        <v>0.80555555555555558</v>
      </c>
      <c r="AB61" s="228" t="s">
        <v>593</v>
      </c>
      <c r="AC61" s="228">
        <v>0.8555555555555554</v>
      </c>
      <c r="AD61" s="228">
        <v>0.86111111111111116</v>
      </c>
      <c r="AE61" s="229" t="s">
        <v>593</v>
      </c>
      <c r="AF61" s="227">
        <v>1.0277777777777777</v>
      </c>
      <c r="AG61" s="228" t="s">
        <v>592</v>
      </c>
      <c r="AH61" s="229">
        <v>1.0277777777777777</v>
      </c>
      <c r="AI61" s="95">
        <f t="shared" si="5"/>
        <v>0.37499999999999989</v>
      </c>
      <c r="AJ61" s="95">
        <f t="shared" si="6"/>
        <v>0.32500000000000007</v>
      </c>
      <c r="AK61" s="99">
        <f t="shared" si="7"/>
        <v>4.9999999999999822E-2</v>
      </c>
      <c r="AL61" s="99" t="s">
        <v>280</v>
      </c>
      <c r="AN61" s="74">
        <f t="shared" si="10"/>
        <v>0.125</v>
      </c>
      <c r="AO61" s="74">
        <f t="shared" si="11"/>
        <v>0.16666666666666652</v>
      </c>
    </row>
    <row r="62" spans="1:41" x14ac:dyDescent="0.25">
      <c r="A62" s="276" t="s">
        <v>236</v>
      </c>
      <c r="B62" s="266" t="s">
        <v>224</v>
      </c>
      <c r="C62" s="207"/>
      <c r="D62" s="207"/>
      <c r="E62" s="202"/>
      <c r="F62" s="267"/>
      <c r="V62" s="375" t="s">
        <v>324</v>
      </c>
      <c r="W62" s="96" t="s">
        <v>323</v>
      </c>
      <c r="X62" s="227">
        <v>0.66874999999999996</v>
      </c>
      <c r="Y62" s="228">
        <v>0.6875</v>
      </c>
      <c r="Z62" s="229" t="s">
        <v>594</v>
      </c>
      <c r="AA62" s="227">
        <v>0.8125</v>
      </c>
      <c r="AB62" s="228" t="s">
        <v>594</v>
      </c>
      <c r="AC62" s="228">
        <v>0.85416666666666663</v>
      </c>
      <c r="AD62" s="228">
        <v>0.85416666666666663</v>
      </c>
      <c r="AE62" s="229" t="s">
        <v>594</v>
      </c>
      <c r="AF62" s="227">
        <v>1.0347222222222223</v>
      </c>
      <c r="AG62" s="228" t="s">
        <v>592</v>
      </c>
      <c r="AH62" s="229">
        <v>1.0347222222222223</v>
      </c>
      <c r="AI62" s="95">
        <f t="shared" si="5"/>
        <v>0.36597222222222237</v>
      </c>
      <c r="AJ62" s="95">
        <f t="shared" si="6"/>
        <v>0.32430555555555574</v>
      </c>
      <c r="AK62" s="99">
        <f t="shared" si="7"/>
        <v>4.166666666666663E-2</v>
      </c>
      <c r="AL62" s="99"/>
      <c r="AN62" s="74">
        <f t="shared" si="10"/>
        <v>0.125</v>
      </c>
      <c r="AO62" s="74">
        <f t="shared" si="11"/>
        <v>0.18055555555555569</v>
      </c>
    </row>
    <row r="63" spans="1:41" x14ac:dyDescent="0.25">
      <c r="A63" s="268"/>
      <c r="B63" s="266"/>
      <c r="C63" s="202"/>
      <c r="D63" s="202"/>
      <c r="F63" s="208"/>
      <c r="V63" s="375" t="s">
        <v>326</v>
      </c>
      <c r="W63" s="96" t="s">
        <v>395</v>
      </c>
      <c r="X63" s="227">
        <v>0.67500000000000004</v>
      </c>
      <c r="Y63" s="228">
        <v>0.67708333333333337</v>
      </c>
      <c r="Z63" s="229" t="s">
        <v>592</v>
      </c>
      <c r="AA63" s="227">
        <v>0.82986111111111116</v>
      </c>
      <c r="AB63" s="228" t="s">
        <v>593</v>
      </c>
      <c r="AC63" s="228">
        <v>0.86944444444444446</v>
      </c>
      <c r="AD63" s="228">
        <v>0.875</v>
      </c>
      <c r="AE63" s="229" t="s">
        <v>593</v>
      </c>
      <c r="AF63" s="227">
        <v>1.0208333333333333</v>
      </c>
      <c r="AG63" s="228" t="s">
        <v>592</v>
      </c>
      <c r="AH63" s="229">
        <v>1.0208333333333333</v>
      </c>
      <c r="AI63" s="95">
        <f t="shared" si="5"/>
        <v>0.34583333333333321</v>
      </c>
      <c r="AJ63" s="95">
        <f t="shared" si="6"/>
        <v>0.30624999999999991</v>
      </c>
      <c r="AK63" s="99">
        <f t="shared" si="7"/>
        <v>3.9583333333333304E-2</v>
      </c>
      <c r="AL63" s="99" t="s">
        <v>280</v>
      </c>
      <c r="AN63" s="74">
        <f t="shared" si="10"/>
        <v>0.15277777777777779</v>
      </c>
      <c r="AO63" s="74">
        <f t="shared" si="11"/>
        <v>0.14583333333333326</v>
      </c>
    </row>
    <row r="64" spans="1:41" ht="16.5" thickBot="1" x14ac:dyDescent="0.3">
      <c r="A64" s="298" t="s">
        <v>45</v>
      </c>
      <c r="B64" s="299"/>
      <c r="C64" s="303"/>
      <c r="D64" s="303"/>
      <c r="E64" s="303"/>
      <c r="F64" s="304"/>
      <c r="V64" s="375" t="s">
        <v>328</v>
      </c>
      <c r="W64" s="96" t="s">
        <v>325</v>
      </c>
      <c r="X64" s="227">
        <v>0.68194444444444446</v>
      </c>
      <c r="Y64" s="228">
        <v>0.68402777777777779</v>
      </c>
      <c r="Z64" s="229" t="s">
        <v>592</v>
      </c>
      <c r="AA64" s="227">
        <v>0.77083333333333337</v>
      </c>
      <c r="AB64" s="228" t="s">
        <v>594</v>
      </c>
      <c r="AC64" s="228">
        <v>0.81666666666666665</v>
      </c>
      <c r="AD64" s="228">
        <v>0.81944444444444442</v>
      </c>
      <c r="AE64" s="229" t="s">
        <v>593</v>
      </c>
      <c r="AF64" s="227">
        <v>0.98611111111111116</v>
      </c>
      <c r="AG64" s="228" t="s">
        <v>592</v>
      </c>
      <c r="AH64" s="229">
        <v>0.98611111111111116</v>
      </c>
      <c r="AI64" s="95">
        <f t="shared" si="5"/>
        <v>0.3041666666666667</v>
      </c>
      <c r="AJ64" s="95">
        <f t="shared" si="6"/>
        <v>0.25833333333333341</v>
      </c>
      <c r="AK64" s="99">
        <f t="shared" si="7"/>
        <v>4.5833333333333282E-2</v>
      </c>
      <c r="AL64" s="99"/>
      <c r="AN64" s="74">
        <f t="shared" si="10"/>
        <v>8.680555555555558E-2</v>
      </c>
      <c r="AO64" s="74">
        <f t="shared" si="11"/>
        <v>0.16666666666666674</v>
      </c>
    </row>
    <row r="65" spans="2:41" x14ac:dyDescent="0.25">
      <c r="V65" s="375" t="s">
        <v>330</v>
      </c>
      <c r="W65" s="96" t="s">
        <v>329</v>
      </c>
      <c r="X65" s="230">
        <v>0.76388888888888884</v>
      </c>
      <c r="Y65" s="231">
        <v>0.79166666666666663</v>
      </c>
      <c r="Z65" s="232" t="s">
        <v>593</v>
      </c>
      <c r="AA65" s="230"/>
      <c r="AB65" s="231"/>
      <c r="AC65" s="231"/>
      <c r="AD65" s="231"/>
      <c r="AE65" s="232"/>
      <c r="AF65" s="230">
        <v>1.0138888888888888</v>
      </c>
      <c r="AG65" s="231" t="s">
        <v>592</v>
      </c>
      <c r="AH65" s="232">
        <v>1.0138888888888888</v>
      </c>
      <c r="AI65" s="100">
        <f t="shared" si="5"/>
        <v>0.25</v>
      </c>
      <c r="AJ65" s="95">
        <f t="shared" si="6"/>
        <v>0.25</v>
      </c>
      <c r="AK65" s="99">
        <f t="shared" si="7"/>
        <v>0</v>
      </c>
      <c r="AL65" s="99"/>
      <c r="AN65" s="74">
        <f t="shared" ref="AN65:AN66" si="12">AF65-Y65</f>
        <v>0.22222222222222221</v>
      </c>
      <c r="AO65" s="74"/>
    </row>
    <row r="66" spans="2:41" ht="16.5" thickBot="1" x14ac:dyDescent="0.3">
      <c r="B66" s="1020">
        <v>1.0347222222222223</v>
      </c>
      <c r="C66" s="308">
        <v>0.59375</v>
      </c>
      <c r="D66" s="308">
        <v>0.71875</v>
      </c>
      <c r="E66" s="1020">
        <v>1.0416666666666667</v>
      </c>
      <c r="F66" s="308">
        <v>0.87847222222222221</v>
      </c>
      <c r="V66" s="375" t="s">
        <v>332</v>
      </c>
      <c r="W66" s="96" t="s">
        <v>331</v>
      </c>
      <c r="X66" s="230">
        <v>0.77777777777777779</v>
      </c>
      <c r="Y66" s="231">
        <v>0.80555555555555558</v>
      </c>
      <c r="Z66" s="232" t="s">
        <v>593</v>
      </c>
      <c r="AA66" s="230"/>
      <c r="AB66" s="231"/>
      <c r="AC66" s="231"/>
      <c r="AD66" s="231"/>
      <c r="AE66" s="232"/>
      <c r="AF66" s="230">
        <v>1.0277777777777777</v>
      </c>
      <c r="AG66" s="231" t="s">
        <v>592</v>
      </c>
      <c r="AH66" s="232">
        <v>1.0277777777777777</v>
      </c>
      <c r="AI66" s="100">
        <f t="shared" si="5"/>
        <v>0.24999999999999989</v>
      </c>
      <c r="AJ66" s="100">
        <f t="shared" si="6"/>
        <v>0.24999999999999989</v>
      </c>
      <c r="AK66" s="101">
        <f t="shared" si="7"/>
        <v>0</v>
      </c>
      <c r="AL66" s="101"/>
      <c r="AN66" s="74">
        <f t="shared" si="12"/>
        <v>0.2222222222222221</v>
      </c>
      <c r="AO66" s="74"/>
    </row>
    <row r="67" spans="2:41" ht="16.5" thickBot="1" x14ac:dyDescent="0.3">
      <c r="B67" s="308">
        <v>0.39583333333333331</v>
      </c>
      <c r="C67" s="308">
        <v>0.375</v>
      </c>
      <c r="D67" s="308">
        <v>0.5625</v>
      </c>
      <c r="E67" s="308">
        <v>0.68402777777777779</v>
      </c>
      <c r="F67" s="308">
        <v>0.35069444444444442</v>
      </c>
      <c r="V67" s="315"/>
      <c r="W67" s="316"/>
      <c r="X67" s="317"/>
      <c r="Y67" s="318"/>
      <c r="Z67" s="319"/>
      <c r="AA67" s="317"/>
      <c r="AB67" s="318"/>
      <c r="AC67" s="318"/>
      <c r="AD67" s="318"/>
      <c r="AE67" s="319"/>
      <c r="AF67" s="317"/>
      <c r="AG67" s="318"/>
      <c r="AH67" s="319"/>
      <c r="AI67" s="320"/>
      <c r="AJ67" s="321">
        <f>AVERAGE(AJ45:AJ66)</f>
        <v>0.27329545454545456</v>
      </c>
      <c r="AK67" s="322"/>
      <c r="AL67" s="322"/>
      <c r="AN67" s="74"/>
      <c r="AO67" s="74"/>
    </row>
    <row r="68" spans="2:41" x14ac:dyDescent="0.25">
      <c r="B68" s="1020">
        <f>B66-B67</f>
        <v>0.63888888888888906</v>
      </c>
      <c r="C68" s="1020">
        <f t="shared" ref="C68:F68" si="13">C66-C67</f>
        <v>0.21875</v>
      </c>
      <c r="D68" s="1020">
        <f t="shared" si="13"/>
        <v>0.15625</v>
      </c>
      <c r="E68" s="1020">
        <f t="shared" si="13"/>
        <v>0.35763888888888895</v>
      </c>
      <c r="F68" s="1020">
        <f t="shared" si="13"/>
        <v>0.52777777777777779</v>
      </c>
      <c r="V68" s="84" t="s">
        <v>272</v>
      </c>
      <c r="W68" s="85" t="s">
        <v>273</v>
      </c>
      <c r="X68" s="86" t="s">
        <v>274</v>
      </c>
      <c r="Y68" s="87"/>
      <c r="Z68" s="88"/>
      <c r="AA68" s="86" t="s">
        <v>275</v>
      </c>
      <c r="AB68" s="87"/>
      <c r="AC68" s="87"/>
      <c r="AD68" s="87"/>
      <c r="AE68" s="88"/>
      <c r="AF68" s="86" t="s">
        <v>276</v>
      </c>
      <c r="AG68" s="87"/>
      <c r="AH68" s="88"/>
      <c r="AI68" s="84" t="s">
        <v>277</v>
      </c>
      <c r="AJ68" s="84" t="s">
        <v>278</v>
      </c>
      <c r="AK68" s="84" t="s">
        <v>279</v>
      </c>
      <c r="AL68" s="84"/>
      <c r="AN68" s="74"/>
      <c r="AO68" s="74"/>
    </row>
    <row r="69" spans="2:41" ht="16.5" thickBot="1" x14ac:dyDescent="0.3">
      <c r="V69" s="89"/>
      <c r="W69" s="90"/>
      <c r="X69" s="94" t="s">
        <v>281</v>
      </c>
      <c r="Y69" s="92" t="s">
        <v>282</v>
      </c>
      <c r="Z69" s="93" t="s">
        <v>283</v>
      </c>
      <c r="AA69" s="94" t="s">
        <v>274</v>
      </c>
      <c r="AB69" s="92" t="s">
        <v>283</v>
      </c>
      <c r="AC69" s="92" t="s">
        <v>281</v>
      </c>
      <c r="AD69" s="92" t="s">
        <v>274</v>
      </c>
      <c r="AE69" s="93" t="s">
        <v>283</v>
      </c>
      <c r="AF69" s="94" t="s">
        <v>276</v>
      </c>
      <c r="AG69" s="92" t="s">
        <v>283</v>
      </c>
      <c r="AH69" s="93" t="s">
        <v>284</v>
      </c>
      <c r="AI69" s="89"/>
      <c r="AJ69" s="89"/>
      <c r="AK69" s="89"/>
      <c r="AL69" s="89"/>
      <c r="AN69" s="74"/>
      <c r="AO69" s="74"/>
    </row>
    <row r="70" spans="2:41" x14ac:dyDescent="0.25">
      <c r="V70" s="374" t="s">
        <v>364</v>
      </c>
      <c r="W70" s="111" t="s">
        <v>365</v>
      </c>
      <c r="X70" s="227">
        <v>0.39027777777777778</v>
      </c>
      <c r="Y70" s="228">
        <v>0.39583333333333331</v>
      </c>
      <c r="Z70" s="229" t="s">
        <v>592</v>
      </c>
      <c r="AA70" s="227">
        <v>0.60416666666666663</v>
      </c>
      <c r="AB70" s="228" t="s">
        <v>594</v>
      </c>
      <c r="AC70" s="242">
        <v>0.64583333333333337</v>
      </c>
      <c r="AD70" s="228">
        <v>0.64583333333333337</v>
      </c>
      <c r="AE70" s="229" t="s">
        <v>594</v>
      </c>
      <c r="AF70" s="227">
        <v>0.71875</v>
      </c>
      <c r="AG70" s="228" t="s">
        <v>592</v>
      </c>
      <c r="AH70" s="229">
        <v>0.71875</v>
      </c>
      <c r="AI70" s="95">
        <f t="shared" ref="AI70:AI76" si="14">AH70-X70</f>
        <v>0.32847222222222222</v>
      </c>
      <c r="AJ70" s="95">
        <f t="shared" ref="AJ70:AJ76" si="15">AI70-AK70</f>
        <v>0.28680555555555548</v>
      </c>
      <c r="AK70" s="99">
        <f t="shared" ref="AK70:AK76" si="16">AC70-AA70</f>
        <v>4.1666666666666741E-2</v>
      </c>
      <c r="AL70" s="99"/>
      <c r="AN70" s="74">
        <f t="shared" ref="AN70:AN76" si="17">AA70-Y70</f>
        <v>0.20833333333333331</v>
      </c>
      <c r="AO70" s="74">
        <f t="shared" ref="AO70:AO76" si="18">AF70-AD70</f>
        <v>7.291666666666663E-2</v>
      </c>
    </row>
    <row r="71" spans="2:41" x14ac:dyDescent="0.25">
      <c r="V71" s="374" t="s">
        <v>366</v>
      </c>
      <c r="W71" s="111" t="s">
        <v>367</v>
      </c>
      <c r="X71" s="227">
        <v>0.39583333333333331</v>
      </c>
      <c r="Y71" s="228">
        <v>0.4236111111111111</v>
      </c>
      <c r="Z71" s="229" t="s">
        <v>593</v>
      </c>
      <c r="AA71" s="227">
        <v>0.56944444444444442</v>
      </c>
      <c r="AB71" s="228" t="s">
        <v>593</v>
      </c>
      <c r="AC71" s="242">
        <v>0.60555555555555551</v>
      </c>
      <c r="AD71" s="228">
        <v>0.61111111111111116</v>
      </c>
      <c r="AE71" s="229" t="s">
        <v>593</v>
      </c>
      <c r="AF71" s="227">
        <v>0.75</v>
      </c>
      <c r="AG71" s="228" t="s">
        <v>593</v>
      </c>
      <c r="AH71" s="229">
        <v>0.77569444444444446</v>
      </c>
      <c r="AI71" s="95">
        <f t="shared" si="14"/>
        <v>0.37986111111111115</v>
      </c>
      <c r="AJ71" s="95">
        <f t="shared" si="15"/>
        <v>0.34375000000000006</v>
      </c>
      <c r="AK71" s="99">
        <f t="shared" si="16"/>
        <v>3.6111111111111094E-2</v>
      </c>
      <c r="AL71" s="99"/>
      <c r="AN71" s="74">
        <f t="shared" si="17"/>
        <v>0.14583333333333331</v>
      </c>
      <c r="AO71" s="74">
        <f t="shared" si="18"/>
        <v>0.13888888888888884</v>
      </c>
    </row>
    <row r="72" spans="2:41" x14ac:dyDescent="0.25">
      <c r="V72" s="375" t="s">
        <v>368</v>
      </c>
      <c r="W72" s="111" t="s">
        <v>369</v>
      </c>
      <c r="X72" s="241">
        <v>0.40972222222222221</v>
      </c>
      <c r="Y72" s="242">
        <v>0.4375</v>
      </c>
      <c r="Z72" s="243" t="s">
        <v>593</v>
      </c>
      <c r="AA72" s="241">
        <v>0.58333333333333337</v>
      </c>
      <c r="AB72" s="242" t="s">
        <v>593</v>
      </c>
      <c r="AC72" s="242">
        <v>0.61944444444444446</v>
      </c>
      <c r="AD72" s="242">
        <v>0.625</v>
      </c>
      <c r="AE72" s="243" t="s">
        <v>593</v>
      </c>
      <c r="AF72" s="241">
        <v>0.76388888888888884</v>
      </c>
      <c r="AG72" s="242" t="s">
        <v>593</v>
      </c>
      <c r="AH72" s="243">
        <v>0.7895833333333333</v>
      </c>
      <c r="AI72" s="95">
        <f t="shared" si="14"/>
        <v>0.37986111111111109</v>
      </c>
      <c r="AJ72" s="95">
        <f t="shared" si="15"/>
        <v>0.34375</v>
      </c>
      <c r="AK72" s="99">
        <f t="shared" si="16"/>
        <v>3.6111111111111094E-2</v>
      </c>
      <c r="AL72" s="99"/>
      <c r="AN72" s="74">
        <f t="shared" si="17"/>
        <v>0.14583333333333337</v>
      </c>
      <c r="AO72" s="74">
        <f t="shared" si="18"/>
        <v>0.13888888888888884</v>
      </c>
    </row>
    <row r="73" spans="2:41" x14ac:dyDescent="0.25">
      <c r="V73" s="375" t="s">
        <v>370</v>
      </c>
      <c r="W73" s="111" t="s">
        <v>371</v>
      </c>
      <c r="X73" s="227">
        <v>0.4236111111111111</v>
      </c>
      <c r="Y73" s="228">
        <v>0.4513888888888889</v>
      </c>
      <c r="Z73" s="229" t="s">
        <v>593</v>
      </c>
      <c r="AA73" s="227">
        <v>0.59722222222222221</v>
      </c>
      <c r="AB73" s="228" t="s">
        <v>593</v>
      </c>
      <c r="AC73" s="228">
        <v>0.63333333333333341</v>
      </c>
      <c r="AD73" s="228">
        <v>0.63888888888888884</v>
      </c>
      <c r="AE73" s="229" t="s">
        <v>593</v>
      </c>
      <c r="AF73" s="227">
        <v>0.78402777777777777</v>
      </c>
      <c r="AG73" s="228" t="s">
        <v>592</v>
      </c>
      <c r="AH73" s="229">
        <v>0.78402777777777777</v>
      </c>
      <c r="AI73" s="95">
        <f t="shared" si="14"/>
        <v>0.36041666666666666</v>
      </c>
      <c r="AJ73" s="95">
        <f t="shared" si="15"/>
        <v>0.32430555555555546</v>
      </c>
      <c r="AK73" s="99">
        <f t="shared" si="16"/>
        <v>3.6111111111111205E-2</v>
      </c>
      <c r="AL73" s="99"/>
      <c r="AN73" s="74">
        <f t="shared" si="17"/>
        <v>0.14583333333333331</v>
      </c>
      <c r="AO73" s="74">
        <f t="shared" si="18"/>
        <v>0.14513888888888893</v>
      </c>
    </row>
    <row r="74" spans="2:41" x14ac:dyDescent="0.25">
      <c r="V74" s="375" t="s">
        <v>372</v>
      </c>
      <c r="W74" s="111" t="s">
        <v>373</v>
      </c>
      <c r="X74" s="227">
        <v>0.43194444444444446</v>
      </c>
      <c r="Y74" s="228">
        <v>0.4375</v>
      </c>
      <c r="Z74" s="229" t="s">
        <v>592</v>
      </c>
      <c r="AA74" s="227">
        <v>0.52083333333333337</v>
      </c>
      <c r="AB74" s="228" t="s">
        <v>593</v>
      </c>
      <c r="AC74" s="242">
        <v>0.55972222222222223</v>
      </c>
      <c r="AD74" s="242">
        <v>0.5625</v>
      </c>
      <c r="AE74" s="243" t="s">
        <v>594</v>
      </c>
      <c r="AF74" s="241">
        <v>0.6875</v>
      </c>
      <c r="AG74" s="242" t="s">
        <v>594</v>
      </c>
      <c r="AH74" s="243">
        <v>0.70416666666666672</v>
      </c>
      <c r="AI74" s="95">
        <f t="shared" si="14"/>
        <v>0.27222222222222225</v>
      </c>
      <c r="AJ74" s="95">
        <f t="shared" si="15"/>
        <v>0.23333333333333339</v>
      </c>
      <c r="AK74" s="99">
        <f t="shared" si="16"/>
        <v>3.8888888888888862E-2</v>
      </c>
      <c r="AL74" s="99"/>
      <c r="AN74" s="74">
        <f t="shared" si="17"/>
        <v>8.333333333333337E-2</v>
      </c>
      <c r="AO74" s="74">
        <f t="shared" si="18"/>
        <v>0.125</v>
      </c>
    </row>
    <row r="75" spans="2:41" x14ac:dyDescent="0.25">
      <c r="V75" s="375" t="s">
        <v>374</v>
      </c>
      <c r="W75" s="111" t="s">
        <v>375</v>
      </c>
      <c r="X75" s="227">
        <v>0.44583333333333336</v>
      </c>
      <c r="Y75" s="228">
        <v>0.4513888888888889</v>
      </c>
      <c r="Z75" s="229" t="s">
        <v>592</v>
      </c>
      <c r="AA75" s="227">
        <v>0.52777777777777779</v>
      </c>
      <c r="AB75" s="228" t="s">
        <v>593</v>
      </c>
      <c r="AC75" s="228">
        <v>0.57777777777777772</v>
      </c>
      <c r="AD75" s="228">
        <v>0.58333333333333337</v>
      </c>
      <c r="AE75" s="229" t="s">
        <v>593</v>
      </c>
      <c r="AF75" s="227">
        <v>0.80138888888888893</v>
      </c>
      <c r="AG75" s="228" t="s">
        <v>592</v>
      </c>
      <c r="AH75" s="229">
        <v>0.80138888888888893</v>
      </c>
      <c r="AI75" s="95">
        <f t="shared" si="14"/>
        <v>0.35555555555555557</v>
      </c>
      <c r="AJ75" s="95">
        <f t="shared" si="15"/>
        <v>0.30555555555555564</v>
      </c>
      <c r="AK75" s="99">
        <f t="shared" si="16"/>
        <v>4.9999999999999933E-2</v>
      </c>
      <c r="AL75" s="99"/>
      <c r="AN75" s="74">
        <f t="shared" si="17"/>
        <v>7.6388888888888895E-2</v>
      </c>
      <c r="AO75" s="74">
        <f t="shared" si="18"/>
        <v>0.21805555555555556</v>
      </c>
    </row>
    <row r="76" spans="2:41" ht="16.5" thickBot="1" x14ac:dyDescent="0.3">
      <c r="V76" s="373" t="s">
        <v>376</v>
      </c>
      <c r="W76" s="111" t="s">
        <v>377</v>
      </c>
      <c r="X76" s="230">
        <v>0.47361111111111109</v>
      </c>
      <c r="Y76" s="231">
        <v>0.47916666666666669</v>
      </c>
      <c r="Z76" s="232" t="s">
        <v>592</v>
      </c>
      <c r="AA76" s="230">
        <v>0.65277777777777779</v>
      </c>
      <c r="AB76" s="231" t="s">
        <v>593</v>
      </c>
      <c r="AC76" s="231">
        <v>0.70625000000000016</v>
      </c>
      <c r="AD76" s="231">
        <v>0.71180555555555558</v>
      </c>
      <c r="AE76" s="232" t="s">
        <v>593</v>
      </c>
      <c r="AF76" s="230">
        <v>0.78749999999999998</v>
      </c>
      <c r="AG76" s="231" t="s">
        <v>592</v>
      </c>
      <c r="AH76" s="232">
        <v>0.78749999999999998</v>
      </c>
      <c r="AI76" s="100">
        <f t="shared" si="14"/>
        <v>0.31388888888888888</v>
      </c>
      <c r="AJ76" s="100">
        <f t="shared" si="15"/>
        <v>0.26041666666666652</v>
      </c>
      <c r="AK76" s="101">
        <f t="shared" si="16"/>
        <v>5.3472222222222365E-2</v>
      </c>
      <c r="AL76" s="101"/>
      <c r="AN76" s="74">
        <f t="shared" si="17"/>
        <v>0.1736111111111111</v>
      </c>
      <c r="AO76" s="74">
        <f t="shared" si="18"/>
        <v>7.5694444444444398E-2</v>
      </c>
    </row>
    <row r="77" spans="2:41" ht="16.5" thickBot="1" x14ac:dyDescent="0.3">
      <c r="V77" s="323"/>
      <c r="W77" s="324"/>
      <c r="X77" s="325"/>
      <c r="Y77" s="326"/>
      <c r="Z77" s="327"/>
      <c r="AA77" s="325"/>
      <c r="AB77" s="326"/>
      <c r="AC77" s="326"/>
      <c r="AD77" s="326"/>
      <c r="AE77" s="327"/>
      <c r="AF77" s="325"/>
      <c r="AG77" s="326"/>
      <c r="AH77" s="327"/>
      <c r="AI77" s="323"/>
      <c r="AJ77" s="321">
        <f>AVERAGE(AJ70:AJ76)</f>
        <v>0.29970238095238094</v>
      </c>
      <c r="AK77" s="328"/>
      <c r="AL77" s="328"/>
      <c r="AN77" s="74"/>
      <c r="AO77" s="74"/>
    </row>
    <row r="78" spans="2:41" x14ac:dyDescent="0.25">
      <c r="V78" s="84" t="s">
        <v>272</v>
      </c>
      <c r="W78" s="85" t="s">
        <v>273</v>
      </c>
      <c r="X78" s="86" t="s">
        <v>274</v>
      </c>
      <c r="Y78" s="87"/>
      <c r="Z78" s="88"/>
      <c r="AA78" s="86" t="s">
        <v>275</v>
      </c>
      <c r="AB78" s="87"/>
      <c r="AC78" s="87"/>
      <c r="AD78" s="87"/>
      <c r="AE78" s="88"/>
      <c r="AF78" s="86" t="s">
        <v>276</v>
      </c>
      <c r="AG78" s="87"/>
      <c r="AH78" s="88"/>
      <c r="AI78" s="84" t="s">
        <v>277</v>
      </c>
      <c r="AJ78" s="84" t="s">
        <v>278</v>
      </c>
      <c r="AK78" s="84" t="s">
        <v>279</v>
      </c>
      <c r="AL78" s="84"/>
      <c r="AN78" s="74"/>
      <c r="AO78" s="74"/>
    </row>
    <row r="79" spans="2:41" ht="16.5" thickBot="1" x14ac:dyDescent="0.3">
      <c r="V79" s="89"/>
      <c r="W79" s="90"/>
      <c r="X79" s="94" t="s">
        <v>281</v>
      </c>
      <c r="Y79" s="92" t="s">
        <v>282</v>
      </c>
      <c r="Z79" s="93" t="s">
        <v>283</v>
      </c>
      <c r="AA79" s="94" t="s">
        <v>274</v>
      </c>
      <c r="AB79" s="92" t="s">
        <v>283</v>
      </c>
      <c r="AC79" s="92" t="s">
        <v>281</v>
      </c>
      <c r="AD79" s="92" t="s">
        <v>274</v>
      </c>
      <c r="AE79" s="93" t="s">
        <v>283</v>
      </c>
      <c r="AF79" s="94" t="s">
        <v>276</v>
      </c>
      <c r="AG79" s="92" t="s">
        <v>283</v>
      </c>
      <c r="AH79" s="93" t="s">
        <v>284</v>
      </c>
      <c r="AI79" s="89"/>
      <c r="AJ79" s="89"/>
      <c r="AK79" s="89"/>
      <c r="AL79" s="89"/>
      <c r="AN79" s="74"/>
      <c r="AO79" s="74"/>
    </row>
    <row r="80" spans="2:41" x14ac:dyDescent="0.25">
      <c r="V80" s="372" t="s">
        <v>386</v>
      </c>
      <c r="W80" s="123" t="s">
        <v>387</v>
      </c>
      <c r="X80" s="224">
        <v>0.3</v>
      </c>
      <c r="Y80" s="225">
        <v>0.30555555555555558</v>
      </c>
      <c r="Z80" s="226" t="s">
        <v>592</v>
      </c>
      <c r="AA80" s="224">
        <v>0.4375</v>
      </c>
      <c r="AB80" s="225" t="s">
        <v>593</v>
      </c>
      <c r="AC80" s="225">
        <v>0.50486111111111109</v>
      </c>
      <c r="AD80" s="225">
        <v>0.51041666666666663</v>
      </c>
      <c r="AE80" s="226" t="s">
        <v>593</v>
      </c>
      <c r="AF80" s="224">
        <v>0.63888888888888884</v>
      </c>
      <c r="AG80" s="225" t="s">
        <v>593</v>
      </c>
      <c r="AH80" s="226">
        <v>0.6645833333333333</v>
      </c>
      <c r="AI80" s="95">
        <f>AH80-X80</f>
        <v>0.36458333333333331</v>
      </c>
      <c r="AJ80" s="95">
        <f>AI80-AK80</f>
        <v>0.29722222222222222</v>
      </c>
      <c r="AK80" s="99">
        <f>AC80-AA80</f>
        <v>6.7361111111111094E-2</v>
      </c>
      <c r="AL80" s="99"/>
      <c r="AN80" s="74">
        <f>AA80-Y80</f>
        <v>0.13194444444444442</v>
      </c>
      <c r="AO80" s="74">
        <f>AF80-AD80</f>
        <v>0.12847222222222221</v>
      </c>
    </row>
    <row r="81" spans="22:41" ht="16.5" thickBot="1" x14ac:dyDescent="0.3">
      <c r="V81" s="373" t="s">
        <v>388</v>
      </c>
      <c r="W81" s="102" t="s">
        <v>286</v>
      </c>
      <c r="X81" s="230">
        <v>0.30694444444444446</v>
      </c>
      <c r="Y81" s="231">
        <v>0.3125</v>
      </c>
      <c r="Z81" s="232" t="s">
        <v>592</v>
      </c>
      <c r="AA81" s="230"/>
      <c r="AB81" s="231"/>
      <c r="AC81" s="231"/>
      <c r="AD81" s="231"/>
      <c r="AE81" s="232"/>
      <c r="AF81" s="230">
        <v>0.51041666666666663</v>
      </c>
      <c r="AG81" s="231" t="s">
        <v>593</v>
      </c>
      <c r="AH81" s="232">
        <v>0.53611111111111109</v>
      </c>
      <c r="AI81" s="100">
        <f>AH81-X81</f>
        <v>0.22916666666666663</v>
      </c>
      <c r="AJ81" s="100">
        <f>AI81-AK81</f>
        <v>0.22916666666666663</v>
      </c>
      <c r="AK81" s="101">
        <f>AC81-AA81</f>
        <v>0</v>
      </c>
      <c r="AL81" s="101"/>
      <c r="AN81" s="74">
        <f t="shared" ref="AN81" si="19">AF81-Y81</f>
        <v>0.19791666666666663</v>
      </c>
      <c r="AO81" s="74"/>
    </row>
    <row r="82" spans="22:41" ht="16.5" thickBot="1" x14ac:dyDescent="0.3">
      <c r="V82" s="377" t="s">
        <v>390</v>
      </c>
      <c r="W82" s="324" t="s">
        <v>312</v>
      </c>
      <c r="X82" s="325">
        <v>0.54166666666666663</v>
      </c>
      <c r="Y82" s="326">
        <v>0.56944444444444442</v>
      </c>
      <c r="Z82" s="327" t="s">
        <v>593</v>
      </c>
      <c r="AA82" s="325">
        <v>0.71180555555555558</v>
      </c>
      <c r="AB82" s="326" t="s">
        <v>593</v>
      </c>
      <c r="AC82" s="326">
        <v>0.77222222222222237</v>
      </c>
      <c r="AD82" s="326">
        <v>0.77777777777777779</v>
      </c>
      <c r="AE82" s="327" t="s">
        <v>593</v>
      </c>
      <c r="AF82" s="325">
        <v>0.875</v>
      </c>
      <c r="AG82" s="326" t="s">
        <v>593</v>
      </c>
      <c r="AH82" s="327">
        <v>0.90069444444444446</v>
      </c>
      <c r="AI82" s="323">
        <f>AH82-X82</f>
        <v>0.35902777777777783</v>
      </c>
      <c r="AJ82" s="323">
        <f>AI82-AK82</f>
        <v>0.29861111111111105</v>
      </c>
      <c r="AK82" s="328">
        <f>AC82-AA82</f>
        <v>6.0416666666666785E-2</v>
      </c>
      <c r="AL82" s="328"/>
      <c r="AN82" s="74">
        <f>AA82-Y82</f>
        <v>0.14236111111111116</v>
      </c>
      <c r="AO82" s="74">
        <f>AF82-AD82</f>
        <v>9.722222222222221E-2</v>
      </c>
    </row>
    <row r="83" spans="22:41" ht="16.5" thickBot="1" x14ac:dyDescent="0.3">
      <c r="V83" s="374" t="s">
        <v>392</v>
      </c>
      <c r="W83" s="111" t="s">
        <v>327</v>
      </c>
      <c r="X83" s="241">
        <v>0.70833333333333337</v>
      </c>
      <c r="Y83" s="242">
        <v>0.73611111111111116</v>
      </c>
      <c r="Z83" s="243" t="s">
        <v>593</v>
      </c>
      <c r="AA83" s="241">
        <v>0.84027777777777779</v>
      </c>
      <c r="AB83" s="242" t="s">
        <v>593</v>
      </c>
      <c r="AC83" s="242">
        <v>0.8930555555555556</v>
      </c>
      <c r="AD83" s="242">
        <v>0.89583333333333337</v>
      </c>
      <c r="AE83" s="243" t="s">
        <v>594</v>
      </c>
      <c r="AF83" s="241">
        <v>1.0416666666666667</v>
      </c>
      <c r="AG83" s="242" t="s">
        <v>592</v>
      </c>
      <c r="AH83" s="243">
        <v>1.0416666666666667</v>
      </c>
      <c r="AI83" s="106">
        <f>AH83-X83</f>
        <v>0.33333333333333337</v>
      </c>
      <c r="AJ83" s="106">
        <f>AI83-AK83</f>
        <v>0.28055555555555556</v>
      </c>
      <c r="AK83" s="107">
        <f>AC83-AA83</f>
        <v>5.2777777777777812E-2</v>
      </c>
      <c r="AL83" s="107"/>
      <c r="AN83" s="74">
        <f>AA83-Y83</f>
        <v>0.10416666666666663</v>
      </c>
      <c r="AO83" s="74">
        <f>AF83-AD83</f>
        <v>0.14583333333333337</v>
      </c>
    </row>
    <row r="84" spans="22:41" ht="16.5" thickBot="1" x14ac:dyDescent="0.3">
      <c r="V84" s="323"/>
      <c r="W84" s="324"/>
      <c r="X84" s="325"/>
      <c r="Y84" s="326"/>
      <c r="Z84" s="327"/>
      <c r="AA84" s="325"/>
      <c r="AB84" s="326"/>
      <c r="AC84" s="326"/>
      <c r="AD84" s="326"/>
      <c r="AE84" s="327"/>
      <c r="AF84" s="325"/>
      <c r="AG84" s="326"/>
      <c r="AH84" s="327"/>
      <c r="AI84" s="323"/>
      <c r="AJ84" s="321">
        <f>AVERAGE(AJ80:AJ83)</f>
        <v>0.27638888888888885</v>
      </c>
      <c r="AK84" s="328"/>
      <c r="AL84" s="328"/>
    </row>
  </sheetData>
  <mergeCells count="9">
    <mergeCell ref="AJ43:AJ44"/>
    <mergeCell ref="AK43:AK44"/>
    <mergeCell ref="AL43:AL44"/>
    <mergeCell ref="V43:V44"/>
    <mergeCell ref="W43:W44"/>
    <mergeCell ref="X43:Z43"/>
    <mergeCell ref="AA43:AE43"/>
    <mergeCell ref="AF43:AH43"/>
    <mergeCell ref="AI43:AI44"/>
  </mergeCells>
  <phoneticPr fontId="40" type="noConversion"/>
  <conditionalFormatting sqref="B2 F2">
    <cfRule type="duplicateValues" dxfId="99" priority="78"/>
  </conditionalFormatting>
  <conditionalFormatting sqref="B75:B77">
    <cfRule type="duplicateValues" dxfId="98" priority="139"/>
    <cfRule type="duplicateValues" dxfId="97" priority="138"/>
    <cfRule type="duplicateValues" dxfId="96" priority="140"/>
  </conditionalFormatting>
  <conditionalFormatting sqref="B78 R54 A42 A65:A82">
    <cfRule type="duplicateValues" dxfId="95" priority="142"/>
    <cfRule type="duplicateValues" dxfId="94" priority="143"/>
    <cfRule type="duplicateValues" dxfId="93" priority="141"/>
  </conditionalFormatting>
  <conditionalFormatting sqref="B44:C44 F44">
    <cfRule type="duplicateValues" dxfId="92" priority="36"/>
  </conditionalFormatting>
  <conditionalFormatting sqref="B44:C44">
    <cfRule type="duplicateValues" dxfId="91" priority="37"/>
  </conditionalFormatting>
  <conditionalFormatting sqref="B45:C45 F45">
    <cfRule type="duplicateValues" dxfId="90" priority="34"/>
    <cfRule type="duplicateValues" dxfId="89" priority="33"/>
    <cfRule type="duplicateValues" dxfId="88" priority="35"/>
  </conditionalFormatting>
  <conditionalFormatting sqref="B69:U74">
    <cfRule type="duplicateValues" dxfId="87" priority="161"/>
    <cfRule type="duplicateValues" dxfId="86" priority="162"/>
    <cfRule type="duplicateValues" dxfId="85" priority="160"/>
  </conditionalFormatting>
  <conditionalFormatting sqref="C8">
    <cfRule type="duplicateValues" dxfId="84" priority="75"/>
  </conditionalFormatting>
  <conditionalFormatting sqref="D7">
    <cfRule type="duplicateValues" dxfId="83" priority="71"/>
    <cfRule type="duplicateValues" dxfId="82" priority="69"/>
    <cfRule type="duplicateValues" dxfId="81" priority="70"/>
  </conditionalFormatting>
  <conditionalFormatting sqref="D49">
    <cfRule type="duplicateValues" dxfId="80" priority="13"/>
    <cfRule type="duplicateValues" dxfId="79" priority="14"/>
  </conditionalFormatting>
  <conditionalFormatting sqref="D50">
    <cfRule type="duplicateValues" dxfId="78" priority="10"/>
    <cfRule type="duplicateValues" dxfId="77" priority="12"/>
    <cfRule type="duplicateValues" dxfId="76" priority="11"/>
  </conditionalFormatting>
  <conditionalFormatting sqref="D52:E52">
    <cfRule type="duplicateValues" dxfId="75" priority="28"/>
    <cfRule type="duplicateValues" dxfId="74" priority="30"/>
    <cfRule type="duplicateValues" dxfId="73" priority="29"/>
  </conditionalFormatting>
  <conditionalFormatting sqref="E6">
    <cfRule type="duplicateValues" dxfId="72" priority="63"/>
    <cfRule type="duplicateValues" dxfId="71" priority="64"/>
    <cfRule type="duplicateValues" dxfId="70" priority="65"/>
  </conditionalFormatting>
  <conditionalFormatting sqref="E51">
    <cfRule type="duplicateValues" dxfId="69" priority="31"/>
    <cfRule type="duplicateValues" dxfId="68" priority="32"/>
  </conditionalFormatting>
  <conditionalFormatting sqref="F2">
    <cfRule type="duplicateValues" dxfId="67" priority="77"/>
  </conditionalFormatting>
  <conditionalFormatting sqref="F44">
    <cfRule type="duplicateValues" dxfId="66" priority="38"/>
  </conditionalFormatting>
  <conditionalFormatting sqref="G8">
    <cfRule type="duplicateValues" dxfId="65" priority="66"/>
    <cfRule type="duplicateValues" dxfId="64" priority="68"/>
    <cfRule type="duplicateValues" dxfId="63" priority="67"/>
  </conditionalFormatting>
  <conditionalFormatting sqref="G63:Q63 R59:R63">
    <cfRule type="duplicateValues" dxfId="62" priority="133"/>
    <cfRule type="duplicateValues" dxfId="61" priority="132"/>
    <cfRule type="duplicateValues" dxfId="60" priority="134"/>
  </conditionalFormatting>
  <conditionalFormatting sqref="G64:U68 S33:U63 C75:S83 T75:U82">
    <cfRule type="duplicateValues" dxfId="59" priority="157"/>
    <cfRule type="duplicateValues" dxfId="58" priority="158"/>
    <cfRule type="duplicateValues" dxfId="57" priority="159"/>
  </conditionalFormatting>
  <conditionalFormatting sqref="H11 B2 C8 D7 E6 F2 G8 I2:M2 O2">
    <cfRule type="duplicateValues" dxfId="56" priority="87"/>
  </conditionalFormatting>
  <conditionalFormatting sqref="H11 I2:M2 F2 C8 B2 O2">
    <cfRule type="duplicateValues" dxfId="55" priority="88"/>
  </conditionalFormatting>
  <conditionalFormatting sqref="H11">
    <cfRule type="duplicateValues" dxfId="54" priority="72"/>
    <cfRule type="duplicateValues" dxfId="53" priority="73"/>
  </conditionalFormatting>
  <conditionalFormatting sqref="H12 C9 D8 E7 G9 I3:M3 F3 B3 O3">
    <cfRule type="duplicateValues" dxfId="52" priority="86"/>
  </conditionalFormatting>
  <conditionalFormatting sqref="I2:L2">
    <cfRule type="duplicateValues" dxfId="51" priority="81"/>
  </conditionalFormatting>
  <conditionalFormatting sqref="I2:M2 C8 O2">
    <cfRule type="duplicateValues" dxfId="50" priority="89"/>
  </conditionalFormatting>
  <conditionalFormatting sqref="M2">
    <cfRule type="duplicateValues" dxfId="49" priority="76"/>
  </conditionalFormatting>
  <conditionalFormatting sqref="N6">
    <cfRule type="duplicateValues" dxfId="48" priority="25"/>
    <cfRule type="duplicateValues" dxfId="47" priority="27"/>
    <cfRule type="duplicateValues" dxfId="46" priority="23"/>
    <cfRule type="duplicateValues" dxfId="45" priority="24"/>
  </conditionalFormatting>
  <conditionalFormatting sqref="N7">
    <cfRule type="duplicateValues" dxfId="44" priority="26"/>
  </conditionalFormatting>
  <conditionalFormatting sqref="O2">
    <cfRule type="duplicateValues" dxfId="43" priority="74"/>
  </conditionalFormatting>
  <conditionalFormatting sqref="P28:R29">
    <cfRule type="duplicateValues" dxfId="42" priority="59"/>
    <cfRule type="duplicateValues" dxfId="41" priority="58"/>
    <cfRule type="duplicateValues" dxfId="40" priority="57"/>
  </conditionalFormatting>
  <conditionalFormatting sqref="R55:R56">
    <cfRule type="duplicateValues" dxfId="39" priority="52"/>
    <cfRule type="duplicateValues" dxfId="38" priority="53"/>
    <cfRule type="duplicateValues" dxfId="37" priority="51"/>
  </conditionalFormatting>
  <conditionalFormatting sqref="R57">
    <cfRule type="duplicateValues" dxfId="36" priority="50"/>
    <cfRule type="duplicateValues" dxfId="35" priority="49"/>
    <cfRule type="duplicateValues" dxfId="34" priority="48"/>
  </conditionalFormatting>
  <conditionalFormatting sqref="R58">
    <cfRule type="duplicateValues" dxfId="33" priority="47"/>
    <cfRule type="duplicateValues" dxfId="32" priority="46"/>
    <cfRule type="duplicateValues" dxfId="31" priority="45"/>
  </conditionalFormatting>
  <conditionalFormatting sqref="S2">
    <cfRule type="duplicateValues" dxfId="30" priority="80"/>
  </conditionalFormatting>
  <conditionalFormatting sqref="S2:T2">
    <cfRule type="duplicateValues" dxfId="29" priority="79"/>
  </conditionalFormatting>
  <conditionalFormatting sqref="S3:T3">
    <cfRule type="duplicateValues" dxfId="28" priority="60"/>
    <cfRule type="duplicateValues" dxfId="27" priority="61"/>
    <cfRule type="duplicateValues" dxfId="26" priority="62"/>
  </conditionalFormatting>
  <conditionalFormatting sqref="S28:U30 R31:U32 R33:R53">
    <cfRule type="duplicateValues" dxfId="25" priority="170"/>
    <cfRule type="duplicateValues" dxfId="24" priority="171"/>
    <cfRule type="duplicateValues" dxfId="23" priority="172"/>
  </conditionalFormatting>
  <conditionalFormatting sqref="T2">
    <cfRule type="duplicateValues" dxfId="22" priority="82"/>
  </conditionalFormatting>
  <conditionalFormatting sqref="V83:V84">
    <cfRule type="duplicateValues" dxfId="21" priority="7"/>
    <cfRule type="duplicateValues" dxfId="20" priority="9"/>
    <cfRule type="duplicateValues" dxfId="19" priority="8"/>
  </conditionalFormatting>
  <conditionalFormatting sqref="W42:X42">
    <cfRule type="cellIs" dxfId="18" priority="22" operator="greaterThan">
      <formula>0.208333333333333</formula>
    </cfRule>
  </conditionalFormatting>
  <conditionalFormatting sqref="AB5:AM5 AB6 AE6:AM6 AM7:AM30 V42 Y42">
    <cfRule type="duplicateValues" dxfId="17" priority="209"/>
    <cfRule type="duplicateValues" dxfId="16" priority="207"/>
    <cfRule type="duplicateValues" dxfId="15" priority="208"/>
  </conditionalFormatting>
  <conditionalFormatting sqref="AI45:AI51 AI62:AI66">
    <cfRule type="cellIs" dxfId="14" priority="6" operator="greaterThan">
      <formula>0.375</formula>
    </cfRule>
  </conditionalFormatting>
  <conditionalFormatting sqref="AM34:AO37">
    <cfRule type="duplicateValues" dxfId="13" priority="119"/>
    <cfRule type="duplicateValues" dxfId="12" priority="117"/>
    <cfRule type="duplicateValues" dxfId="11" priority="118"/>
  </conditionalFormatting>
  <conditionalFormatting sqref="AN45:AO83">
    <cfRule type="cellIs" dxfId="10" priority="1" operator="greaterThan">
      <formula>0.222222222222222</formula>
    </cfRule>
  </conditionalFormatting>
  <pageMargins left="0.25" right="0.25" top="0.75" bottom="0.75" header="0.3" footer="0.3"/>
  <pageSetup paperSize="8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C5C2-FB1C-465F-B53E-1FB694A8E087}">
  <dimension ref="A1:L1040"/>
  <sheetViews>
    <sheetView topLeftCell="A331" zoomScale="70" zoomScaleNormal="70" workbookViewId="0">
      <selection activeCell="A361" sqref="A361:XFD364"/>
    </sheetView>
    <sheetView workbookViewId="1">
      <selection sqref="A1:L1"/>
    </sheetView>
  </sheetViews>
  <sheetFormatPr defaultRowHeight="15" x14ac:dyDescent="0.25"/>
  <cols>
    <col min="1" max="3" width="10.42578125" customWidth="1"/>
    <col min="4" max="4" width="27.85546875" customWidth="1"/>
    <col min="5" max="9" width="10.42578125" customWidth="1"/>
    <col min="10" max="10" width="27.85546875" customWidth="1"/>
    <col min="11" max="12" width="10.42578125" customWidth="1"/>
  </cols>
  <sheetData>
    <row r="1" spans="1:12" ht="23.25" x14ac:dyDescent="0.35">
      <c r="A1" s="1228" t="s">
        <v>712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30"/>
    </row>
    <row r="2" spans="1:12" ht="24" thickBot="1" x14ac:dyDescent="0.4">
      <c r="A2" s="1231" t="s">
        <v>713</v>
      </c>
      <c r="B2" s="1232"/>
      <c r="C2" s="1232"/>
      <c r="D2" s="1232"/>
      <c r="E2" s="1232"/>
      <c r="F2" s="1232"/>
      <c r="G2" s="1232"/>
      <c r="H2" s="1232"/>
      <c r="I2" s="1232"/>
      <c r="J2" s="1232"/>
      <c r="K2" s="1232"/>
      <c r="L2" s="1233"/>
    </row>
    <row r="3" spans="1:12" ht="24" thickBot="1" x14ac:dyDescent="0.4">
      <c r="A3" s="1234" t="s">
        <v>714</v>
      </c>
      <c r="B3" s="1235"/>
      <c r="C3" s="1235"/>
      <c r="D3" s="1235"/>
      <c r="E3" s="1235"/>
      <c r="F3" s="1235"/>
      <c r="G3" s="1235"/>
      <c r="H3" s="1235"/>
      <c r="I3" s="1235"/>
      <c r="J3" s="1235"/>
      <c r="K3" s="1235"/>
      <c r="L3" s="1236"/>
    </row>
    <row r="4" spans="1:12" ht="23.25" x14ac:dyDescent="0.35">
      <c r="A4" s="557" t="s">
        <v>715</v>
      </c>
      <c r="B4" s="558"/>
      <c r="C4" s="558"/>
      <c r="D4" s="559" t="s">
        <v>716</v>
      </c>
      <c r="E4" s="1232" t="s">
        <v>717</v>
      </c>
      <c r="F4" s="1232"/>
      <c r="G4" s="1232"/>
      <c r="H4" s="1232"/>
      <c r="I4" s="1232"/>
      <c r="J4" s="556" t="s">
        <v>718</v>
      </c>
      <c r="K4" s="1232"/>
      <c r="L4" s="1233"/>
    </row>
    <row r="5" spans="1:12" ht="15.75" thickBot="1" x14ac:dyDescent="0.3">
      <c r="A5" s="560"/>
      <c r="B5" s="561"/>
      <c r="C5" s="561"/>
      <c r="D5" s="562"/>
      <c r="E5" s="561"/>
      <c r="F5" s="561"/>
      <c r="G5" s="561"/>
      <c r="H5" s="561"/>
      <c r="I5" s="1227"/>
      <c r="J5" s="1227"/>
      <c r="K5" s="561"/>
      <c r="L5" s="563"/>
    </row>
    <row r="6" spans="1:12" ht="16.5" thickBot="1" x14ac:dyDescent="0.3">
      <c r="A6" s="564" t="s">
        <v>719</v>
      </c>
      <c r="B6" s="565"/>
      <c r="C6" s="566"/>
      <c r="D6" s="567" t="s">
        <v>720</v>
      </c>
      <c r="E6" s="568" t="s">
        <v>721</v>
      </c>
      <c r="F6" s="569" t="s">
        <v>722</v>
      </c>
      <c r="G6" s="564" t="s">
        <v>719</v>
      </c>
      <c r="H6" s="570"/>
      <c r="I6" s="571"/>
      <c r="J6" s="572" t="s">
        <v>720</v>
      </c>
      <c r="K6" s="564" t="s">
        <v>721</v>
      </c>
      <c r="L6" s="564" t="s">
        <v>722</v>
      </c>
    </row>
    <row r="7" spans="1:12" ht="15.75" x14ac:dyDescent="0.25">
      <c r="A7" s="573"/>
      <c r="B7" s="574"/>
      <c r="C7" s="575"/>
      <c r="D7" s="576"/>
      <c r="E7" s="577"/>
      <c r="F7" s="578"/>
      <c r="G7" s="579"/>
      <c r="H7" s="580"/>
      <c r="I7" s="581"/>
      <c r="J7" s="582"/>
      <c r="K7" s="583"/>
      <c r="L7" s="584"/>
    </row>
    <row r="8" spans="1:12" ht="15.75" x14ac:dyDescent="0.25">
      <c r="A8" s="585"/>
      <c r="B8" s="586" t="s">
        <v>273</v>
      </c>
      <c r="C8" s="587">
        <v>101</v>
      </c>
      <c r="D8" s="588" t="s">
        <v>723</v>
      </c>
      <c r="E8" s="589"/>
      <c r="F8" s="590"/>
      <c r="G8" s="585"/>
      <c r="H8" s="586" t="s">
        <v>273</v>
      </c>
      <c r="I8" s="587">
        <v>142</v>
      </c>
      <c r="J8" s="588" t="s">
        <v>724</v>
      </c>
      <c r="K8" s="589"/>
      <c r="L8" s="591"/>
    </row>
    <row r="9" spans="1:12" ht="15.75" x14ac:dyDescent="0.25">
      <c r="A9" s="585" t="s">
        <v>725</v>
      </c>
      <c r="B9" s="592"/>
      <c r="C9" s="587"/>
      <c r="D9" s="588" t="s">
        <v>726</v>
      </c>
      <c r="E9" s="589"/>
      <c r="F9" s="593">
        <v>0.2013888888888889</v>
      </c>
      <c r="G9" s="585" t="s">
        <v>727</v>
      </c>
      <c r="H9" s="586"/>
      <c r="I9" s="587"/>
      <c r="J9" s="613" t="s">
        <v>728</v>
      </c>
      <c r="K9" s="589"/>
      <c r="L9" s="614">
        <v>0.71875</v>
      </c>
    </row>
    <row r="10" spans="1:12" ht="15.75" x14ac:dyDescent="0.25">
      <c r="A10" s="585" t="s">
        <v>729</v>
      </c>
      <c r="B10" s="586"/>
      <c r="C10" s="587"/>
      <c r="D10" s="595" t="s">
        <v>48</v>
      </c>
      <c r="E10" s="589"/>
      <c r="F10" s="596">
        <v>0.22222222222222221</v>
      </c>
      <c r="G10" s="585"/>
      <c r="H10" s="586"/>
      <c r="I10" s="587"/>
      <c r="J10" s="588"/>
      <c r="K10" s="589"/>
      <c r="L10" s="591"/>
    </row>
    <row r="11" spans="1:12" ht="15.75" x14ac:dyDescent="0.25">
      <c r="A11" s="585"/>
      <c r="B11" s="586"/>
      <c r="C11" s="587"/>
      <c r="D11" s="594"/>
      <c r="E11" s="589"/>
      <c r="F11" s="591"/>
      <c r="G11" s="585" t="s">
        <v>727</v>
      </c>
      <c r="H11" s="586"/>
      <c r="I11" s="587"/>
      <c r="J11" s="595" t="s">
        <v>48</v>
      </c>
      <c r="K11" s="589"/>
      <c r="L11" s="596">
        <v>0.79166666666666663</v>
      </c>
    </row>
    <row r="12" spans="1:12" ht="15.75" x14ac:dyDescent="0.25">
      <c r="A12" s="585" t="s">
        <v>727</v>
      </c>
      <c r="B12" s="586"/>
      <c r="C12" s="587"/>
      <c r="D12" s="613" t="s">
        <v>728</v>
      </c>
      <c r="E12" s="589"/>
      <c r="F12" s="614">
        <v>0.28125</v>
      </c>
      <c r="G12" s="585"/>
      <c r="H12" s="586"/>
      <c r="I12" s="587"/>
      <c r="J12" s="594"/>
      <c r="K12" s="589"/>
      <c r="L12" s="591"/>
    </row>
    <row r="13" spans="1:12" ht="15.75" x14ac:dyDescent="0.25">
      <c r="A13" s="585"/>
      <c r="B13" s="586"/>
      <c r="C13" s="587"/>
      <c r="D13" s="588"/>
      <c r="E13" s="589"/>
      <c r="F13" s="591"/>
      <c r="G13" s="585"/>
      <c r="H13" s="586"/>
      <c r="I13" s="587"/>
      <c r="J13" s="613" t="s">
        <v>728</v>
      </c>
      <c r="K13" s="599">
        <v>0.84375</v>
      </c>
      <c r="L13" s="614"/>
    </row>
    <row r="14" spans="1:12" ht="15.75" x14ac:dyDescent="0.25">
      <c r="A14" s="585" t="s">
        <v>727</v>
      </c>
      <c r="B14" s="586"/>
      <c r="C14" s="587"/>
      <c r="D14" s="595" t="s">
        <v>48</v>
      </c>
      <c r="E14" s="589"/>
      <c r="F14" s="596">
        <v>0.35416666666666669</v>
      </c>
      <c r="G14" s="585"/>
      <c r="H14" s="586" t="s">
        <v>273</v>
      </c>
      <c r="I14" s="587">
        <v>142</v>
      </c>
      <c r="J14" s="588" t="s">
        <v>730</v>
      </c>
      <c r="K14" s="589"/>
      <c r="L14" s="591"/>
    </row>
    <row r="15" spans="1:12" ht="15.75" x14ac:dyDescent="0.25">
      <c r="A15" s="585"/>
      <c r="B15" s="586"/>
      <c r="C15" s="587"/>
      <c r="D15" s="594"/>
      <c r="E15" s="589"/>
      <c r="F15" s="591"/>
      <c r="G15" s="585"/>
      <c r="H15" s="586"/>
      <c r="I15" s="587"/>
      <c r="J15" s="588"/>
      <c r="K15" s="589"/>
      <c r="L15" s="591"/>
    </row>
    <row r="16" spans="1:12" ht="15.75" x14ac:dyDescent="0.25">
      <c r="A16" s="585"/>
      <c r="B16" s="586"/>
      <c r="C16" s="587"/>
      <c r="D16" s="613" t="s">
        <v>728</v>
      </c>
      <c r="E16" s="599">
        <v>0.42708333333333331</v>
      </c>
      <c r="F16" s="614"/>
      <c r="G16" s="585"/>
      <c r="H16" s="586" t="s">
        <v>273</v>
      </c>
      <c r="I16" s="587">
        <v>135</v>
      </c>
      <c r="J16" s="588" t="s">
        <v>731</v>
      </c>
      <c r="K16" s="589"/>
      <c r="L16" s="591"/>
    </row>
    <row r="17" spans="1:12" ht="15.75" x14ac:dyDescent="0.25">
      <c r="A17" s="585"/>
      <c r="B17" s="586" t="s">
        <v>276</v>
      </c>
      <c r="C17" s="587" t="s">
        <v>273</v>
      </c>
      <c r="D17" s="588"/>
      <c r="E17" s="589"/>
      <c r="F17" s="591"/>
      <c r="G17" s="585" t="s">
        <v>727</v>
      </c>
      <c r="H17" s="586"/>
      <c r="I17" s="587"/>
      <c r="J17" s="613" t="s">
        <v>728</v>
      </c>
      <c r="K17" s="589"/>
      <c r="L17" s="614">
        <v>0.84375</v>
      </c>
    </row>
    <row r="18" spans="1:12" ht="15.75" x14ac:dyDescent="0.25">
      <c r="A18" s="585"/>
      <c r="B18" s="586"/>
      <c r="C18" s="587"/>
      <c r="D18" s="594"/>
      <c r="E18" s="589"/>
      <c r="F18" s="591"/>
      <c r="G18" s="585"/>
      <c r="H18" s="586"/>
      <c r="I18" s="587"/>
      <c r="J18" s="588"/>
      <c r="K18" s="589"/>
      <c r="L18" s="591"/>
    </row>
    <row r="19" spans="1:12" ht="15.75" x14ac:dyDescent="0.25">
      <c r="A19" s="585"/>
      <c r="B19" s="586" t="s">
        <v>273</v>
      </c>
      <c r="C19" s="587">
        <v>117</v>
      </c>
      <c r="D19" s="588" t="s">
        <v>732</v>
      </c>
      <c r="E19" s="589"/>
      <c r="F19" s="591"/>
      <c r="G19" s="585" t="s">
        <v>727</v>
      </c>
      <c r="H19" s="586"/>
      <c r="I19" s="587"/>
      <c r="J19" s="595" t="s">
        <v>48</v>
      </c>
      <c r="K19" s="589"/>
      <c r="L19" s="596">
        <v>0.89583333333333337</v>
      </c>
    </row>
    <row r="20" spans="1:12" ht="15.75" x14ac:dyDescent="0.25">
      <c r="A20" s="585" t="s">
        <v>727</v>
      </c>
      <c r="B20" s="586"/>
      <c r="C20" s="587"/>
      <c r="D20" s="613" t="s">
        <v>728</v>
      </c>
      <c r="E20" s="589"/>
      <c r="F20" s="614">
        <v>0.42708333333333331</v>
      </c>
      <c r="G20" s="585"/>
      <c r="H20" s="586"/>
      <c r="I20" s="587"/>
      <c r="J20" s="594"/>
      <c r="K20" s="589"/>
      <c r="L20" s="591"/>
    </row>
    <row r="21" spans="1:12" ht="15.75" x14ac:dyDescent="0.25">
      <c r="A21" s="585"/>
      <c r="B21" s="586"/>
      <c r="C21" s="587"/>
      <c r="D21" s="588"/>
      <c r="E21" s="589"/>
      <c r="F21" s="591"/>
      <c r="G21" s="585" t="s">
        <v>727</v>
      </c>
      <c r="H21" s="586"/>
      <c r="I21" s="587"/>
      <c r="J21" s="613" t="s">
        <v>728</v>
      </c>
      <c r="K21" s="599"/>
      <c r="L21" s="614">
        <v>0.94791666666666663</v>
      </c>
    </row>
    <row r="22" spans="1:12" ht="15.75" x14ac:dyDescent="0.25">
      <c r="A22" s="585" t="s">
        <v>727</v>
      </c>
      <c r="B22" s="586"/>
      <c r="C22" s="587"/>
      <c r="D22" s="595" t="s">
        <v>48</v>
      </c>
      <c r="E22" s="589"/>
      <c r="F22" s="596">
        <v>0.5</v>
      </c>
      <c r="G22" s="585"/>
      <c r="H22" s="586"/>
      <c r="I22" s="587"/>
      <c r="J22" s="588"/>
      <c r="K22" s="589"/>
      <c r="L22" s="591"/>
    </row>
    <row r="23" spans="1:12" ht="15.75" x14ac:dyDescent="0.25">
      <c r="A23" s="585"/>
      <c r="B23" s="586"/>
      <c r="C23" s="587"/>
      <c r="D23" s="594"/>
      <c r="E23" s="589"/>
      <c r="F23" s="591"/>
      <c r="G23" s="585" t="s">
        <v>725</v>
      </c>
      <c r="H23" s="586"/>
      <c r="I23" s="587"/>
      <c r="J23" s="595" t="s">
        <v>48</v>
      </c>
      <c r="K23" s="599">
        <v>0.99652777777777779</v>
      </c>
      <c r="L23" s="596"/>
    </row>
    <row r="24" spans="1:12" ht="15.75" x14ac:dyDescent="0.25">
      <c r="A24" s="585"/>
      <c r="B24" s="586"/>
      <c r="C24" s="587"/>
      <c r="D24" s="613" t="s">
        <v>728</v>
      </c>
      <c r="E24" s="599">
        <v>0.57291666666666663</v>
      </c>
      <c r="F24" s="614"/>
      <c r="G24" s="585"/>
      <c r="H24" s="586"/>
      <c r="I24" s="587"/>
      <c r="J24" s="650" t="s">
        <v>733</v>
      </c>
      <c r="K24" s="662">
        <v>1.0173611111111112</v>
      </c>
      <c r="L24" s="598"/>
    </row>
    <row r="25" spans="1:12" ht="15.75" x14ac:dyDescent="0.25">
      <c r="A25" s="585"/>
      <c r="B25" s="586" t="s">
        <v>276</v>
      </c>
      <c r="C25" s="587" t="s">
        <v>273</v>
      </c>
      <c r="D25" s="588"/>
      <c r="E25" s="589"/>
      <c r="F25" s="591"/>
      <c r="G25" s="585"/>
      <c r="H25" s="586" t="s">
        <v>276</v>
      </c>
      <c r="I25" s="587" t="s">
        <v>273</v>
      </c>
      <c r="J25" s="588"/>
      <c r="K25" s="651"/>
      <c r="L25" s="591"/>
    </row>
    <row r="26" spans="1:12" ht="15.75" x14ac:dyDescent="0.25">
      <c r="A26" s="585"/>
      <c r="B26" s="586"/>
      <c r="C26" s="587"/>
      <c r="D26" s="594"/>
      <c r="E26" s="589"/>
      <c r="F26" s="591"/>
      <c r="G26" s="585"/>
      <c r="H26" s="586"/>
      <c r="I26" s="587"/>
      <c r="J26" s="663"/>
      <c r="K26" s="662"/>
      <c r="L26" s="596"/>
    </row>
    <row r="27" spans="1:12" ht="15.75" x14ac:dyDescent="0.25">
      <c r="A27" s="585"/>
      <c r="B27" s="586" t="s">
        <v>273</v>
      </c>
      <c r="C27" s="587">
        <v>156</v>
      </c>
      <c r="D27" s="588" t="s">
        <v>734</v>
      </c>
      <c r="E27" s="589"/>
      <c r="F27" s="591"/>
      <c r="G27" s="585"/>
      <c r="H27" s="586"/>
      <c r="I27" s="587"/>
      <c r="J27" s="597"/>
      <c r="K27" s="651"/>
      <c r="L27" s="591"/>
    </row>
    <row r="28" spans="1:12" ht="15.75" x14ac:dyDescent="0.25">
      <c r="A28" s="585" t="s">
        <v>727</v>
      </c>
      <c r="B28" s="586"/>
      <c r="C28" s="587"/>
      <c r="D28" s="613" t="s">
        <v>728</v>
      </c>
      <c r="E28" s="589"/>
      <c r="F28" s="614">
        <v>0.57291666666666663</v>
      </c>
      <c r="G28" s="585"/>
      <c r="H28" s="586"/>
      <c r="I28" s="587"/>
      <c r="J28" s="650"/>
      <c r="K28" s="589"/>
      <c r="L28" s="598"/>
    </row>
    <row r="29" spans="1:12" ht="15.75" x14ac:dyDescent="0.25">
      <c r="A29" s="585"/>
      <c r="B29" s="586"/>
      <c r="C29" s="587"/>
      <c r="D29" s="588"/>
      <c r="E29" s="589"/>
      <c r="F29" s="591"/>
      <c r="G29" s="585"/>
      <c r="H29" s="586"/>
      <c r="I29" s="587"/>
      <c r="J29" s="588"/>
      <c r="K29" s="589"/>
      <c r="L29" s="591"/>
    </row>
    <row r="30" spans="1:12" ht="15.75" x14ac:dyDescent="0.25">
      <c r="A30" s="585" t="s">
        <v>727</v>
      </c>
      <c r="B30" s="586"/>
      <c r="C30" s="587"/>
      <c r="D30" s="595" t="s">
        <v>48</v>
      </c>
      <c r="E30" s="589"/>
      <c r="F30" s="596">
        <v>0.64583333333333337</v>
      </c>
      <c r="G30" s="585"/>
      <c r="H30" s="586"/>
      <c r="I30" s="587"/>
      <c r="J30" s="595"/>
      <c r="K30" s="589"/>
      <c r="L30" s="596"/>
    </row>
    <row r="31" spans="1:12" ht="15.75" x14ac:dyDescent="0.25">
      <c r="A31" s="585"/>
      <c r="B31" s="586"/>
      <c r="C31" s="587"/>
      <c r="D31" s="594"/>
      <c r="E31" s="589"/>
      <c r="F31" s="591"/>
      <c r="G31" s="585"/>
      <c r="H31" s="586"/>
      <c r="I31" s="587"/>
      <c r="J31" s="594"/>
      <c r="K31" s="589"/>
      <c r="L31" s="591"/>
    </row>
    <row r="32" spans="1:12" ht="15.75" x14ac:dyDescent="0.25">
      <c r="A32" s="585"/>
      <c r="B32" s="586"/>
      <c r="C32" s="587"/>
      <c r="D32" s="613" t="s">
        <v>728</v>
      </c>
      <c r="E32" s="599">
        <v>0.71875</v>
      </c>
      <c r="F32" s="614"/>
      <c r="G32" s="585"/>
      <c r="H32" s="586"/>
      <c r="I32" s="587"/>
      <c r="J32" s="588"/>
      <c r="K32" s="599"/>
      <c r="L32" s="598"/>
    </row>
    <row r="33" spans="1:12" ht="15.75" x14ac:dyDescent="0.25">
      <c r="A33" s="585"/>
      <c r="B33" s="586" t="s">
        <v>276</v>
      </c>
      <c r="C33" s="587" t="s">
        <v>273</v>
      </c>
      <c r="D33" s="588"/>
      <c r="E33" s="589"/>
      <c r="F33" s="591"/>
      <c r="G33" s="585"/>
      <c r="H33" s="586"/>
      <c r="I33" s="587"/>
      <c r="J33" s="588"/>
      <c r="K33" s="589"/>
      <c r="L33" s="591"/>
    </row>
    <row r="34" spans="1:12" ht="15.75" x14ac:dyDescent="0.25">
      <c r="A34" s="585"/>
      <c r="B34" s="586"/>
      <c r="C34" s="587"/>
      <c r="D34" s="588"/>
      <c r="E34" s="589"/>
      <c r="F34" s="591"/>
      <c r="G34" s="585"/>
      <c r="H34" s="586"/>
      <c r="I34" s="587"/>
      <c r="J34" s="588"/>
      <c r="K34" s="599"/>
      <c r="L34" s="596"/>
    </row>
    <row r="35" spans="1:12" ht="15.75" x14ac:dyDescent="0.25">
      <c r="A35" s="585"/>
      <c r="B35" s="586"/>
      <c r="C35" s="587"/>
      <c r="D35" s="594"/>
      <c r="E35" s="589"/>
      <c r="F35" s="591"/>
      <c r="G35" s="585"/>
      <c r="H35" s="586"/>
      <c r="I35" s="587"/>
      <c r="J35" s="594"/>
      <c r="K35" s="589"/>
      <c r="L35" s="591"/>
    </row>
    <row r="36" spans="1:12" ht="15.75" x14ac:dyDescent="0.25">
      <c r="A36" s="585"/>
      <c r="B36" s="586"/>
      <c r="C36" s="587"/>
      <c r="D36" s="597"/>
      <c r="E36" s="599"/>
      <c r="F36" s="598"/>
      <c r="G36" s="585"/>
      <c r="H36" s="586"/>
      <c r="I36" s="587"/>
      <c r="J36" s="588"/>
      <c r="K36" s="599"/>
      <c r="L36" s="598"/>
    </row>
    <row r="37" spans="1:12" ht="15.75" x14ac:dyDescent="0.25">
      <c r="A37" s="585"/>
      <c r="B37" s="586"/>
      <c r="C37" s="587"/>
      <c r="D37" s="594"/>
      <c r="E37" s="589"/>
      <c r="F37" s="591"/>
      <c r="G37" s="585"/>
      <c r="H37" s="586"/>
      <c r="I37" s="587"/>
      <c r="J37" s="594"/>
      <c r="K37" s="589"/>
      <c r="L37" s="591"/>
    </row>
    <row r="38" spans="1:12" ht="15.75" x14ac:dyDescent="0.25">
      <c r="A38" s="585"/>
      <c r="B38" s="586"/>
      <c r="C38" s="587"/>
      <c r="D38" s="588"/>
      <c r="E38" s="589"/>
      <c r="F38" s="591"/>
      <c r="G38" s="585"/>
      <c r="H38" s="586"/>
      <c r="I38" s="587"/>
      <c r="J38" s="588"/>
      <c r="K38" s="589"/>
      <c r="L38" s="591"/>
    </row>
    <row r="39" spans="1:12" ht="15.75" x14ac:dyDescent="0.25">
      <c r="A39" s="585"/>
      <c r="B39" s="586"/>
      <c r="C39" s="601"/>
      <c r="D39" s="594"/>
      <c r="E39" s="589"/>
      <c r="F39" s="591"/>
      <c r="G39" s="600"/>
      <c r="H39" s="586"/>
      <c r="I39" s="601"/>
      <c r="J39" s="588"/>
      <c r="K39" s="589"/>
      <c r="L39" s="591"/>
    </row>
    <row r="40" spans="1:12" ht="16.5" thickBot="1" x14ac:dyDescent="0.3">
      <c r="A40" s="602"/>
      <c r="B40" s="603"/>
      <c r="C40" s="604"/>
      <c r="D40" s="605"/>
      <c r="E40" s="606"/>
      <c r="F40" s="607"/>
      <c r="G40" s="608"/>
      <c r="H40" s="609"/>
      <c r="I40" s="610"/>
      <c r="J40" s="611"/>
      <c r="K40" s="606"/>
      <c r="L40" s="612"/>
    </row>
    <row r="41" spans="1:12" ht="23.25" x14ac:dyDescent="0.35">
      <c r="A41" s="1228" t="s">
        <v>712</v>
      </c>
      <c r="B41" s="1229"/>
      <c r="C41" s="1229"/>
      <c r="D41" s="1229"/>
      <c r="E41" s="1229"/>
      <c r="F41" s="1229"/>
      <c r="G41" s="1229"/>
      <c r="H41" s="1229"/>
      <c r="I41" s="1229"/>
      <c r="J41" s="1229"/>
      <c r="K41" s="1229"/>
      <c r="L41" s="1230"/>
    </row>
    <row r="42" spans="1:12" ht="24" thickBot="1" x14ac:dyDescent="0.4">
      <c r="A42" s="1231" t="s">
        <v>713</v>
      </c>
      <c r="B42" s="1232"/>
      <c r="C42" s="1232"/>
      <c r="D42" s="1232"/>
      <c r="E42" s="1232"/>
      <c r="F42" s="1232"/>
      <c r="G42" s="1232"/>
      <c r="H42" s="1232"/>
      <c r="I42" s="1232"/>
      <c r="J42" s="1232"/>
      <c r="K42" s="1232"/>
      <c r="L42" s="1233"/>
    </row>
    <row r="43" spans="1:12" ht="24" thickBot="1" x14ac:dyDescent="0.4">
      <c r="A43" s="1234" t="s">
        <v>714</v>
      </c>
      <c r="B43" s="1235"/>
      <c r="C43" s="1235"/>
      <c r="D43" s="1235"/>
      <c r="E43" s="1235"/>
      <c r="F43" s="1235"/>
      <c r="G43" s="1235"/>
      <c r="H43" s="1235"/>
      <c r="I43" s="1235"/>
      <c r="J43" s="1235"/>
      <c r="K43" s="1235"/>
      <c r="L43" s="1236"/>
    </row>
    <row r="44" spans="1:12" ht="23.25" x14ac:dyDescent="0.35">
      <c r="A44" s="557" t="s">
        <v>715</v>
      </c>
      <c r="B44" s="558"/>
      <c r="C44" s="558"/>
      <c r="D44" s="559" t="s">
        <v>716</v>
      </c>
      <c r="E44" s="1232" t="s">
        <v>717</v>
      </c>
      <c r="F44" s="1232"/>
      <c r="G44" s="1232"/>
      <c r="H44" s="1232"/>
      <c r="I44" s="1232"/>
      <c r="J44" s="556" t="s">
        <v>735</v>
      </c>
      <c r="K44" s="1232"/>
      <c r="L44" s="1233"/>
    </row>
    <row r="45" spans="1:12" ht="15.75" thickBot="1" x14ac:dyDescent="0.3">
      <c r="A45" s="560"/>
      <c r="B45" s="561"/>
      <c r="C45" s="561"/>
      <c r="D45" s="562"/>
      <c r="E45" s="561"/>
      <c r="F45" s="561"/>
      <c r="G45" s="561"/>
      <c r="H45" s="561"/>
      <c r="I45" s="1227"/>
      <c r="J45" s="1227"/>
      <c r="K45" s="561"/>
      <c r="L45" s="563"/>
    </row>
    <row r="46" spans="1:12" ht="16.5" thickBot="1" x14ac:dyDescent="0.3">
      <c r="A46" s="564" t="s">
        <v>719</v>
      </c>
      <c r="B46" s="565"/>
      <c r="C46" s="566"/>
      <c r="D46" s="567" t="s">
        <v>720</v>
      </c>
      <c r="E46" s="568" t="s">
        <v>721</v>
      </c>
      <c r="F46" s="569" t="s">
        <v>722</v>
      </c>
      <c r="G46" s="564" t="s">
        <v>719</v>
      </c>
      <c r="H46" s="570"/>
      <c r="I46" s="571"/>
      <c r="J46" s="572" t="s">
        <v>720</v>
      </c>
      <c r="K46" s="564" t="s">
        <v>721</v>
      </c>
      <c r="L46" s="564" t="s">
        <v>722</v>
      </c>
    </row>
    <row r="47" spans="1:12" ht="15.75" x14ac:dyDescent="0.25">
      <c r="A47" s="573"/>
      <c r="B47" s="574"/>
      <c r="C47" s="575"/>
      <c r="D47" s="576"/>
      <c r="E47" s="577"/>
      <c r="F47" s="578"/>
      <c r="G47" s="579"/>
      <c r="H47" s="580"/>
      <c r="I47" s="581"/>
      <c r="J47" s="582"/>
      <c r="K47" s="583"/>
      <c r="L47" s="584"/>
    </row>
    <row r="48" spans="1:12" ht="15.75" x14ac:dyDescent="0.25">
      <c r="A48" s="585"/>
      <c r="B48" s="586" t="s">
        <v>273</v>
      </c>
      <c r="C48" s="587">
        <v>102</v>
      </c>
      <c r="D48" s="588" t="s">
        <v>736</v>
      </c>
      <c r="E48" s="589"/>
      <c r="F48" s="590"/>
      <c r="G48" s="585"/>
      <c r="H48" s="586" t="s">
        <v>273</v>
      </c>
      <c r="I48" s="587">
        <v>126</v>
      </c>
      <c r="J48" s="588" t="s">
        <v>737</v>
      </c>
      <c r="K48" s="589"/>
      <c r="L48" s="591"/>
    </row>
    <row r="49" spans="1:12" ht="15.75" x14ac:dyDescent="0.25">
      <c r="A49" s="585" t="s">
        <v>725</v>
      </c>
      <c r="B49" s="592"/>
      <c r="C49" s="587"/>
      <c r="D49" s="588" t="s">
        <v>726</v>
      </c>
      <c r="E49" s="589"/>
      <c r="F49" s="593">
        <v>0.21388888888888888</v>
      </c>
      <c r="G49" s="585" t="s">
        <v>727</v>
      </c>
      <c r="H49" s="586"/>
      <c r="I49" s="587"/>
      <c r="J49" s="613" t="s">
        <v>728</v>
      </c>
      <c r="K49" s="589"/>
      <c r="L49" s="614">
        <v>0.78125</v>
      </c>
    </row>
    <row r="50" spans="1:12" ht="15.75" x14ac:dyDescent="0.25">
      <c r="A50" s="585">
        <v>7</v>
      </c>
      <c r="B50" s="586"/>
      <c r="C50" s="587"/>
      <c r="D50" s="613" t="s">
        <v>728</v>
      </c>
      <c r="E50" s="589"/>
      <c r="F50" s="614">
        <v>0.22916666666666666</v>
      </c>
      <c r="G50" s="585"/>
      <c r="H50" s="586"/>
      <c r="I50" s="587"/>
      <c r="J50" s="588"/>
      <c r="K50" s="589"/>
      <c r="L50" s="591"/>
    </row>
    <row r="51" spans="1:12" ht="15.75" x14ac:dyDescent="0.25">
      <c r="A51" s="585"/>
      <c r="B51" s="586"/>
      <c r="C51" s="587"/>
      <c r="D51" s="588"/>
      <c r="E51" s="589"/>
      <c r="F51" s="591"/>
      <c r="G51" s="585" t="s">
        <v>727</v>
      </c>
      <c r="H51" s="586"/>
      <c r="I51" s="587"/>
      <c r="J51" s="595" t="s">
        <v>48</v>
      </c>
      <c r="K51" s="589"/>
      <c r="L51" s="596">
        <v>0.85416666666666663</v>
      </c>
    </row>
    <row r="52" spans="1:12" ht="15.75" x14ac:dyDescent="0.25">
      <c r="A52" s="585">
        <v>7</v>
      </c>
      <c r="B52" s="586"/>
      <c r="C52" s="587"/>
      <c r="D52" s="616" t="s">
        <v>50</v>
      </c>
      <c r="E52" s="589"/>
      <c r="F52" s="615">
        <v>0.28125</v>
      </c>
      <c r="G52" s="585"/>
      <c r="H52" s="586"/>
      <c r="I52" s="587"/>
      <c r="J52" s="594"/>
      <c r="K52" s="589"/>
      <c r="L52" s="591"/>
    </row>
    <row r="53" spans="1:12" ht="15.75" x14ac:dyDescent="0.25">
      <c r="A53" s="585"/>
      <c r="B53" s="586"/>
      <c r="C53" s="587"/>
      <c r="D53" s="594"/>
      <c r="E53" s="589"/>
      <c r="F53" s="591"/>
      <c r="G53" s="585"/>
      <c r="H53" s="586"/>
      <c r="I53" s="587"/>
      <c r="J53" s="613" t="s">
        <v>728</v>
      </c>
      <c r="K53" s="599">
        <v>0.90625</v>
      </c>
      <c r="L53" s="614"/>
    </row>
    <row r="54" spans="1:12" ht="15.75" x14ac:dyDescent="0.25">
      <c r="A54" s="585"/>
      <c r="B54" s="586"/>
      <c r="C54" s="587"/>
      <c r="D54" s="613" t="s">
        <v>728</v>
      </c>
      <c r="E54" s="599">
        <v>0.34375</v>
      </c>
      <c r="F54" s="614"/>
      <c r="G54" s="585"/>
      <c r="H54" s="586" t="s">
        <v>276</v>
      </c>
      <c r="I54" s="587" t="s">
        <v>273</v>
      </c>
      <c r="J54" s="588"/>
      <c r="K54" s="589"/>
      <c r="L54" s="591"/>
    </row>
    <row r="55" spans="1:12" ht="15.75" x14ac:dyDescent="0.25">
      <c r="A55" s="585"/>
      <c r="B55" s="586" t="s">
        <v>273</v>
      </c>
      <c r="C55" s="587">
        <v>102</v>
      </c>
      <c r="D55" s="588" t="s">
        <v>738</v>
      </c>
      <c r="E55" s="589"/>
      <c r="F55" s="591"/>
      <c r="G55" s="585"/>
      <c r="H55" s="586"/>
      <c r="I55" s="587"/>
      <c r="J55" s="588"/>
      <c r="K55" s="589"/>
      <c r="L55" s="591"/>
    </row>
    <row r="56" spans="1:12" ht="15.75" x14ac:dyDescent="0.25">
      <c r="A56" s="585"/>
      <c r="B56" s="586"/>
      <c r="C56" s="587"/>
      <c r="D56" s="594"/>
      <c r="E56" s="589"/>
      <c r="F56" s="591"/>
      <c r="G56" s="585"/>
      <c r="H56" s="586" t="s">
        <v>273</v>
      </c>
      <c r="I56" s="587">
        <v>144</v>
      </c>
      <c r="J56" s="588" t="s">
        <v>739</v>
      </c>
      <c r="K56" s="589"/>
      <c r="L56" s="591"/>
    </row>
    <row r="57" spans="1:12" ht="15.75" x14ac:dyDescent="0.25">
      <c r="A57" s="585"/>
      <c r="B57" s="586" t="s">
        <v>273</v>
      </c>
      <c r="C57" s="587">
        <v>154</v>
      </c>
      <c r="D57" s="588" t="s">
        <v>740</v>
      </c>
      <c r="E57" s="589"/>
      <c r="F57" s="591"/>
      <c r="G57" s="585" t="s">
        <v>727</v>
      </c>
      <c r="H57" s="586"/>
      <c r="I57" s="587"/>
      <c r="J57" s="613" t="s">
        <v>728</v>
      </c>
      <c r="K57" s="589"/>
      <c r="L57" s="614">
        <v>0.90625</v>
      </c>
    </row>
    <row r="58" spans="1:12" ht="15.75" x14ac:dyDescent="0.25">
      <c r="A58" s="585" t="s">
        <v>727</v>
      </c>
      <c r="B58" s="586"/>
      <c r="C58" s="587"/>
      <c r="D58" s="613" t="s">
        <v>728</v>
      </c>
      <c r="E58" s="589"/>
      <c r="F58" s="614">
        <v>0.34375</v>
      </c>
      <c r="G58" s="585"/>
      <c r="H58" s="586"/>
      <c r="I58" s="587"/>
      <c r="J58" s="588"/>
      <c r="K58" s="589"/>
      <c r="L58" s="591"/>
    </row>
    <row r="59" spans="1:12" ht="15.75" x14ac:dyDescent="0.25">
      <c r="A59" s="585"/>
      <c r="B59" s="586"/>
      <c r="C59" s="587"/>
      <c r="D59" s="588"/>
      <c r="E59" s="589"/>
      <c r="F59" s="591"/>
      <c r="G59" s="585" t="s">
        <v>727</v>
      </c>
      <c r="H59" s="586"/>
      <c r="I59" s="587"/>
      <c r="J59" s="595" t="s">
        <v>48</v>
      </c>
      <c r="K59" s="589"/>
      <c r="L59" s="596">
        <v>0.95833333333333337</v>
      </c>
    </row>
    <row r="60" spans="1:12" ht="15.75" x14ac:dyDescent="0.25">
      <c r="A60" s="585" t="s">
        <v>727</v>
      </c>
      <c r="B60" s="586"/>
      <c r="C60" s="587"/>
      <c r="D60" s="595" t="s">
        <v>48</v>
      </c>
      <c r="E60" s="589"/>
      <c r="F60" s="596">
        <v>0.41666666666666669</v>
      </c>
      <c r="G60" s="585"/>
      <c r="H60" s="586"/>
      <c r="I60" s="587"/>
      <c r="J60" s="594"/>
      <c r="K60" s="589"/>
      <c r="L60" s="591"/>
    </row>
    <row r="61" spans="1:12" ht="15.75" x14ac:dyDescent="0.25">
      <c r="A61" s="585"/>
      <c r="B61" s="586"/>
      <c r="C61" s="587"/>
      <c r="D61" s="594"/>
      <c r="E61" s="589"/>
      <c r="F61" s="591"/>
      <c r="G61" s="585" t="s">
        <v>725</v>
      </c>
      <c r="H61" s="586"/>
      <c r="I61" s="587"/>
      <c r="J61" s="613" t="s">
        <v>728</v>
      </c>
      <c r="K61" s="599">
        <v>0.99652777777777779</v>
      </c>
      <c r="L61" s="614"/>
    </row>
    <row r="62" spans="1:12" ht="15.75" x14ac:dyDescent="0.25">
      <c r="A62" s="585"/>
      <c r="B62" s="586"/>
      <c r="C62" s="587"/>
      <c r="D62" s="613" t="s">
        <v>728</v>
      </c>
      <c r="E62" s="599">
        <v>0.48958333333333331</v>
      </c>
      <c r="F62" s="614"/>
      <c r="G62" s="585"/>
      <c r="H62" s="586"/>
      <c r="I62" s="587"/>
      <c r="J62" s="650" t="s">
        <v>733</v>
      </c>
      <c r="K62" s="662">
        <v>1.0173611111111112</v>
      </c>
      <c r="L62" s="598"/>
    </row>
    <row r="63" spans="1:12" ht="15.75" x14ac:dyDescent="0.25">
      <c r="A63" s="585"/>
      <c r="B63" s="586" t="s">
        <v>273</v>
      </c>
      <c r="C63" s="587">
        <v>154</v>
      </c>
      <c r="D63" s="588" t="s">
        <v>741</v>
      </c>
      <c r="E63" s="589"/>
      <c r="F63" s="591"/>
      <c r="G63" s="585"/>
      <c r="H63" s="586" t="s">
        <v>276</v>
      </c>
      <c r="I63" s="587" t="s">
        <v>273</v>
      </c>
      <c r="J63" s="588"/>
      <c r="K63" s="651"/>
      <c r="L63" s="591"/>
    </row>
    <row r="64" spans="1:12" ht="15.75" x14ac:dyDescent="0.25">
      <c r="A64" s="585"/>
      <c r="B64" s="586"/>
      <c r="C64" s="587"/>
      <c r="D64" s="594"/>
      <c r="E64" s="589"/>
      <c r="F64" s="591"/>
      <c r="G64" s="585"/>
      <c r="H64" s="586"/>
      <c r="I64" s="587"/>
      <c r="J64" s="663"/>
      <c r="K64" s="662"/>
      <c r="L64" s="596"/>
    </row>
    <row r="65" spans="1:12" ht="15.75" x14ac:dyDescent="0.25">
      <c r="A65" s="585"/>
      <c r="B65" s="586" t="s">
        <v>273</v>
      </c>
      <c r="C65" s="587">
        <v>151</v>
      </c>
      <c r="D65" s="588" t="s">
        <v>742</v>
      </c>
      <c r="E65" s="589"/>
      <c r="F65" s="591"/>
      <c r="G65" s="585"/>
      <c r="H65" s="586"/>
      <c r="I65" s="587"/>
      <c r="J65" s="597"/>
      <c r="K65" s="651"/>
      <c r="L65" s="591"/>
    </row>
    <row r="66" spans="1:12" ht="15.75" x14ac:dyDescent="0.25">
      <c r="A66" s="585" t="s">
        <v>727</v>
      </c>
      <c r="B66" s="586"/>
      <c r="C66" s="587"/>
      <c r="D66" s="613" t="s">
        <v>728</v>
      </c>
      <c r="E66" s="589"/>
      <c r="F66" s="614">
        <v>0.48958333333333331</v>
      </c>
      <c r="G66" s="585"/>
      <c r="H66" s="586"/>
      <c r="I66" s="587"/>
      <c r="J66" s="650"/>
      <c r="K66" s="589"/>
      <c r="L66" s="598"/>
    </row>
    <row r="67" spans="1:12" ht="15.75" x14ac:dyDescent="0.25">
      <c r="A67" s="585"/>
      <c r="B67" s="586"/>
      <c r="C67" s="587"/>
      <c r="D67" s="588"/>
      <c r="E67" s="589"/>
      <c r="F67" s="591"/>
      <c r="G67" s="585"/>
      <c r="H67" s="586"/>
      <c r="I67" s="587"/>
      <c r="J67" s="617"/>
      <c r="K67" s="589"/>
      <c r="L67" s="591"/>
    </row>
    <row r="68" spans="1:12" ht="15.75" x14ac:dyDescent="0.25">
      <c r="A68" s="585" t="s">
        <v>727</v>
      </c>
      <c r="B68" s="586"/>
      <c r="C68" s="587"/>
      <c r="D68" s="595" t="s">
        <v>48</v>
      </c>
      <c r="E68" s="589"/>
      <c r="F68" s="596">
        <v>0.5625</v>
      </c>
      <c r="G68" s="585"/>
      <c r="H68" s="586"/>
      <c r="I68" s="587"/>
      <c r="J68" s="661"/>
      <c r="K68" s="589"/>
      <c r="L68" s="596"/>
    </row>
    <row r="69" spans="1:12" ht="15.75" x14ac:dyDescent="0.25">
      <c r="A69" s="585"/>
      <c r="B69" s="586"/>
      <c r="C69" s="587"/>
      <c r="D69" s="594"/>
      <c r="E69" s="589"/>
      <c r="F69" s="591"/>
      <c r="G69" s="585"/>
      <c r="H69" s="586"/>
      <c r="I69" s="587"/>
      <c r="J69" s="617"/>
      <c r="K69" s="589"/>
      <c r="L69" s="591"/>
    </row>
    <row r="70" spans="1:12" ht="15.75" x14ac:dyDescent="0.25">
      <c r="A70" s="585"/>
      <c r="B70" s="586"/>
      <c r="C70" s="587"/>
      <c r="D70" s="613" t="s">
        <v>728</v>
      </c>
      <c r="E70" s="599">
        <v>0.63541666666666663</v>
      </c>
      <c r="F70" s="614"/>
      <c r="G70" s="585"/>
      <c r="H70" s="586"/>
      <c r="I70" s="587"/>
      <c r="J70" s="661"/>
      <c r="K70" s="589"/>
      <c r="L70" s="596"/>
    </row>
    <row r="71" spans="1:12" ht="15.75" x14ac:dyDescent="0.25">
      <c r="A71" s="585"/>
      <c r="B71" s="586" t="s">
        <v>276</v>
      </c>
      <c r="C71" s="587" t="s">
        <v>273</v>
      </c>
      <c r="D71" s="588"/>
      <c r="E71" s="589"/>
      <c r="F71" s="591"/>
      <c r="G71" s="585"/>
      <c r="H71" s="586"/>
      <c r="I71" s="587"/>
      <c r="J71" s="594"/>
      <c r="K71" s="589"/>
      <c r="L71" s="591"/>
    </row>
    <row r="72" spans="1:12" ht="15.75" x14ac:dyDescent="0.25">
      <c r="A72" s="585"/>
      <c r="B72" s="586"/>
      <c r="C72" s="587"/>
      <c r="D72" s="588"/>
      <c r="E72" s="589"/>
      <c r="F72" s="591"/>
      <c r="G72" s="585"/>
      <c r="H72" s="586"/>
      <c r="I72" s="587"/>
      <c r="J72" s="588"/>
      <c r="K72" s="599"/>
      <c r="L72" s="598"/>
    </row>
    <row r="73" spans="1:12" ht="15.75" x14ac:dyDescent="0.25">
      <c r="A73" s="585"/>
      <c r="B73" s="586" t="s">
        <v>273</v>
      </c>
      <c r="C73" s="587">
        <v>159</v>
      </c>
      <c r="D73" s="588" t="s">
        <v>743</v>
      </c>
      <c r="E73" s="589"/>
      <c r="F73" s="591"/>
      <c r="G73" s="585"/>
      <c r="H73" s="586"/>
      <c r="I73" s="587"/>
      <c r="J73" s="588"/>
      <c r="K73" s="589"/>
      <c r="L73" s="591"/>
    </row>
    <row r="74" spans="1:12" ht="15.75" x14ac:dyDescent="0.25">
      <c r="A74" s="585" t="s">
        <v>727</v>
      </c>
      <c r="B74" s="586"/>
      <c r="C74" s="587"/>
      <c r="D74" s="613" t="s">
        <v>728</v>
      </c>
      <c r="E74" s="589"/>
      <c r="F74" s="614">
        <v>0.63541666666666663</v>
      </c>
      <c r="G74" s="585"/>
      <c r="H74" s="586"/>
      <c r="I74" s="587"/>
      <c r="J74" s="588"/>
      <c r="K74" s="599"/>
      <c r="L74" s="596"/>
    </row>
    <row r="75" spans="1:12" ht="15.75" x14ac:dyDescent="0.25">
      <c r="A75" s="585"/>
      <c r="B75" s="586"/>
      <c r="C75" s="587"/>
      <c r="D75" s="588"/>
      <c r="E75" s="589"/>
      <c r="F75" s="591"/>
      <c r="G75" s="585"/>
      <c r="H75" s="586"/>
      <c r="I75" s="587"/>
      <c r="J75" s="594"/>
      <c r="K75" s="589"/>
      <c r="L75" s="591"/>
    </row>
    <row r="76" spans="1:12" ht="15.75" x14ac:dyDescent="0.25">
      <c r="A76" s="585" t="s">
        <v>727</v>
      </c>
      <c r="B76" s="586"/>
      <c r="C76" s="587"/>
      <c r="D76" s="595" t="s">
        <v>48</v>
      </c>
      <c r="E76" s="589"/>
      <c r="F76" s="596">
        <v>0.70833333333333337</v>
      </c>
      <c r="G76" s="585"/>
      <c r="H76" s="586"/>
      <c r="I76" s="587"/>
      <c r="J76" s="588"/>
      <c r="K76" s="599"/>
      <c r="L76" s="598"/>
    </row>
    <row r="77" spans="1:12" ht="15.75" x14ac:dyDescent="0.25">
      <c r="A77" s="585"/>
      <c r="B77" s="586"/>
      <c r="C77" s="587"/>
      <c r="D77" s="594"/>
      <c r="E77" s="589"/>
      <c r="F77" s="591"/>
      <c r="G77" s="585"/>
      <c r="H77" s="586"/>
      <c r="I77" s="587"/>
      <c r="J77" s="594"/>
      <c r="K77" s="589"/>
      <c r="L77" s="591"/>
    </row>
    <row r="78" spans="1:12" ht="15.75" x14ac:dyDescent="0.25">
      <c r="A78" s="585"/>
      <c r="B78" s="586"/>
      <c r="C78" s="587"/>
      <c r="D78" s="613" t="s">
        <v>728</v>
      </c>
      <c r="E78" s="599">
        <v>0.78125</v>
      </c>
      <c r="F78" s="614"/>
      <c r="G78" s="585"/>
      <c r="H78" s="586"/>
      <c r="I78" s="587"/>
      <c r="J78" s="588"/>
      <c r="K78" s="589"/>
      <c r="L78" s="591"/>
    </row>
    <row r="79" spans="1:12" ht="15.75" x14ac:dyDescent="0.25">
      <c r="A79" s="585"/>
      <c r="B79" s="586" t="s">
        <v>276</v>
      </c>
      <c r="C79" s="587" t="s">
        <v>273</v>
      </c>
      <c r="D79" s="588"/>
      <c r="E79" s="589"/>
      <c r="F79" s="591"/>
      <c r="G79" s="600"/>
      <c r="H79" s="586"/>
      <c r="I79" s="601"/>
      <c r="J79" s="588"/>
      <c r="K79" s="589"/>
      <c r="L79" s="591"/>
    </row>
    <row r="80" spans="1:12" ht="16.5" thickBot="1" x14ac:dyDescent="0.3">
      <c r="A80" s="602"/>
      <c r="B80" s="603"/>
      <c r="C80" s="604"/>
      <c r="D80" s="605"/>
      <c r="E80" s="606"/>
      <c r="F80" s="607"/>
      <c r="G80" s="608"/>
      <c r="H80" s="609"/>
      <c r="I80" s="610"/>
      <c r="J80" s="611"/>
      <c r="K80" s="606"/>
      <c r="L80" s="612"/>
    </row>
    <row r="81" spans="1:12" ht="23.25" x14ac:dyDescent="0.35">
      <c r="A81" s="1228" t="s">
        <v>712</v>
      </c>
      <c r="B81" s="1229"/>
      <c r="C81" s="1229"/>
      <c r="D81" s="1229"/>
      <c r="E81" s="1229"/>
      <c r="F81" s="1229"/>
      <c r="G81" s="1229"/>
      <c r="H81" s="1229"/>
      <c r="I81" s="1229"/>
      <c r="J81" s="1229"/>
      <c r="K81" s="1229"/>
      <c r="L81" s="1230"/>
    </row>
    <row r="82" spans="1:12" ht="24" thickBot="1" x14ac:dyDescent="0.4">
      <c r="A82" s="1231" t="s">
        <v>713</v>
      </c>
      <c r="B82" s="1232"/>
      <c r="C82" s="1232"/>
      <c r="D82" s="1232"/>
      <c r="E82" s="1232"/>
      <c r="F82" s="1232"/>
      <c r="G82" s="1232"/>
      <c r="H82" s="1232"/>
      <c r="I82" s="1232"/>
      <c r="J82" s="1232"/>
      <c r="K82" s="1232"/>
      <c r="L82" s="1233"/>
    </row>
    <row r="83" spans="1:12" ht="24" thickBot="1" x14ac:dyDescent="0.4">
      <c r="A83" s="1234" t="s">
        <v>714</v>
      </c>
      <c r="B83" s="1235"/>
      <c r="C83" s="1235"/>
      <c r="D83" s="1235"/>
      <c r="E83" s="1235"/>
      <c r="F83" s="1235"/>
      <c r="G83" s="1235"/>
      <c r="H83" s="1235"/>
      <c r="I83" s="1235"/>
      <c r="J83" s="1235"/>
      <c r="K83" s="1235"/>
      <c r="L83" s="1236"/>
    </row>
    <row r="84" spans="1:12" ht="23.25" x14ac:dyDescent="0.35">
      <c r="A84" s="557" t="s">
        <v>715</v>
      </c>
      <c r="B84" s="558"/>
      <c r="C84" s="558"/>
      <c r="D84" s="559" t="s">
        <v>716</v>
      </c>
      <c r="E84" s="1232" t="s">
        <v>717</v>
      </c>
      <c r="F84" s="1232"/>
      <c r="G84" s="1232"/>
      <c r="H84" s="1232"/>
      <c r="I84" s="1232"/>
      <c r="J84" s="556" t="s">
        <v>744</v>
      </c>
      <c r="K84" s="1232"/>
      <c r="L84" s="1233"/>
    </row>
    <row r="85" spans="1:12" ht="15.75" thickBot="1" x14ac:dyDescent="0.3">
      <c r="A85" s="560"/>
      <c r="B85" s="561"/>
      <c r="C85" s="561"/>
      <c r="D85" s="562"/>
      <c r="E85" s="561"/>
      <c r="F85" s="561"/>
      <c r="G85" s="561"/>
      <c r="H85" s="561"/>
      <c r="I85" s="1227"/>
      <c r="J85" s="1227"/>
      <c r="K85" s="561"/>
      <c r="L85" s="563"/>
    </row>
    <row r="86" spans="1:12" ht="16.5" thickBot="1" x14ac:dyDescent="0.3">
      <c r="A86" s="564" t="s">
        <v>719</v>
      </c>
      <c r="B86" s="565"/>
      <c r="C86" s="566"/>
      <c r="D86" s="567" t="s">
        <v>720</v>
      </c>
      <c r="E86" s="568" t="s">
        <v>721</v>
      </c>
      <c r="F86" s="569" t="s">
        <v>722</v>
      </c>
      <c r="G86" s="564" t="s">
        <v>719</v>
      </c>
      <c r="H86" s="570"/>
      <c r="I86" s="571"/>
      <c r="J86" s="572" t="s">
        <v>720</v>
      </c>
      <c r="K86" s="564" t="s">
        <v>721</v>
      </c>
      <c r="L86" s="564" t="s">
        <v>722</v>
      </c>
    </row>
    <row r="87" spans="1:12" ht="15.75" x14ac:dyDescent="0.25">
      <c r="A87" s="573"/>
      <c r="B87" s="574"/>
      <c r="C87" s="575"/>
      <c r="D87" s="576"/>
      <c r="E87" s="577"/>
      <c r="F87" s="578"/>
      <c r="G87" s="579"/>
      <c r="H87" s="580"/>
      <c r="I87" s="581"/>
      <c r="J87" s="582"/>
      <c r="K87" s="583"/>
      <c r="L87" s="584"/>
    </row>
    <row r="88" spans="1:12" ht="15.75" x14ac:dyDescent="0.25">
      <c r="A88" s="585"/>
      <c r="B88" s="586" t="s">
        <v>273</v>
      </c>
      <c r="C88" s="587">
        <v>103</v>
      </c>
      <c r="D88" s="588" t="s">
        <v>745</v>
      </c>
      <c r="E88" s="589"/>
      <c r="F88" s="590"/>
      <c r="G88" s="585"/>
      <c r="H88" s="586" t="s">
        <v>273</v>
      </c>
      <c r="I88" s="587">
        <v>133</v>
      </c>
      <c r="J88" s="588" t="s">
        <v>746</v>
      </c>
      <c r="K88" s="589"/>
      <c r="L88" s="590"/>
    </row>
    <row r="89" spans="1:12" ht="15.75" x14ac:dyDescent="0.25">
      <c r="A89" s="585" t="s">
        <v>725</v>
      </c>
      <c r="B89" s="592"/>
      <c r="C89" s="587"/>
      <c r="D89" s="588" t="s">
        <v>726</v>
      </c>
      <c r="E89" s="589"/>
      <c r="F89" s="593">
        <v>0.22222222222222221</v>
      </c>
      <c r="G89" s="585" t="s">
        <v>725</v>
      </c>
      <c r="H89" s="592"/>
      <c r="I89" s="587"/>
      <c r="J89" s="588" t="s">
        <v>726</v>
      </c>
      <c r="K89" s="589"/>
      <c r="L89" s="593">
        <v>0.86458333333333337</v>
      </c>
    </row>
    <row r="90" spans="1:12" ht="15.75" x14ac:dyDescent="0.25">
      <c r="A90" s="585" t="s">
        <v>727</v>
      </c>
      <c r="B90" s="586"/>
      <c r="C90" s="587"/>
      <c r="D90" s="613" t="s">
        <v>728</v>
      </c>
      <c r="E90" s="589"/>
      <c r="F90" s="614">
        <v>0.23958333333333334</v>
      </c>
      <c r="G90" s="585">
        <v>7</v>
      </c>
      <c r="H90" s="586"/>
      <c r="I90" s="587"/>
      <c r="J90" s="616" t="s">
        <v>50</v>
      </c>
      <c r="K90" s="589"/>
      <c r="L90" s="615">
        <v>0.88541666666666663</v>
      </c>
    </row>
    <row r="91" spans="1:12" ht="15.75" x14ac:dyDescent="0.25">
      <c r="A91" s="585"/>
      <c r="B91" s="586"/>
      <c r="C91" s="587"/>
      <c r="D91" s="588"/>
      <c r="E91" s="589"/>
      <c r="F91" s="591"/>
      <c r="G91" s="585"/>
      <c r="H91" s="586"/>
      <c r="I91" s="587"/>
      <c r="J91" s="588"/>
      <c r="K91" s="589"/>
      <c r="L91" s="591"/>
    </row>
    <row r="92" spans="1:12" ht="15.75" x14ac:dyDescent="0.25">
      <c r="A92" s="585" t="s">
        <v>727</v>
      </c>
      <c r="B92" s="586"/>
      <c r="C92" s="587"/>
      <c r="D92" s="595" t="s">
        <v>48</v>
      </c>
      <c r="E92" s="589"/>
      <c r="F92" s="596">
        <v>0.29166666666666669</v>
      </c>
      <c r="G92" s="585">
        <v>7</v>
      </c>
      <c r="H92" s="586"/>
      <c r="I92" s="587"/>
      <c r="J92" s="613" t="s">
        <v>728</v>
      </c>
      <c r="K92" s="589"/>
      <c r="L92" s="614">
        <v>0.9375</v>
      </c>
    </row>
    <row r="93" spans="1:12" ht="15.75" x14ac:dyDescent="0.25">
      <c r="A93" s="585"/>
      <c r="B93" s="586"/>
      <c r="C93" s="587"/>
      <c r="D93" s="594"/>
      <c r="E93" s="589"/>
      <c r="F93" s="591"/>
      <c r="G93" s="585"/>
      <c r="H93" s="586"/>
      <c r="I93" s="587"/>
      <c r="J93" s="594"/>
      <c r="K93" s="589"/>
      <c r="L93" s="591"/>
    </row>
    <row r="94" spans="1:12" ht="15.75" x14ac:dyDescent="0.25">
      <c r="A94" s="585"/>
      <c r="B94" s="586"/>
      <c r="C94" s="587"/>
      <c r="D94" s="613" t="s">
        <v>728</v>
      </c>
      <c r="E94" s="599">
        <v>0.36458333333333331</v>
      </c>
      <c r="F94" s="614"/>
      <c r="G94" s="585" t="s">
        <v>725</v>
      </c>
      <c r="H94" s="586"/>
      <c r="I94" s="587"/>
      <c r="J94" s="616" t="s">
        <v>50</v>
      </c>
      <c r="K94" s="599">
        <v>0.98611111111111116</v>
      </c>
      <c r="L94" s="614"/>
    </row>
    <row r="95" spans="1:12" ht="15.75" x14ac:dyDescent="0.25">
      <c r="A95" s="585"/>
      <c r="B95" s="586" t="s">
        <v>273</v>
      </c>
      <c r="C95" s="587">
        <v>103</v>
      </c>
      <c r="D95" s="588" t="s">
        <v>747</v>
      </c>
      <c r="E95" s="589"/>
      <c r="F95" s="591"/>
      <c r="G95" s="585"/>
      <c r="H95" s="586"/>
      <c r="I95" s="587"/>
      <c r="J95" s="650" t="s">
        <v>733</v>
      </c>
      <c r="K95" s="662">
        <v>1.0069444444444444</v>
      </c>
      <c r="L95" s="598"/>
    </row>
    <row r="96" spans="1:12" ht="15.75" x14ac:dyDescent="0.25">
      <c r="A96" s="585"/>
      <c r="B96" s="586"/>
      <c r="C96" s="587"/>
      <c r="D96" s="594"/>
      <c r="E96" s="589"/>
      <c r="F96" s="591"/>
      <c r="G96" s="585"/>
      <c r="H96" s="586" t="s">
        <v>276</v>
      </c>
      <c r="I96" s="587" t="s">
        <v>273</v>
      </c>
      <c r="J96" s="588"/>
      <c r="K96" s="651"/>
      <c r="L96" s="591"/>
    </row>
    <row r="97" spans="1:12" ht="15.75" x14ac:dyDescent="0.25">
      <c r="A97" s="585"/>
      <c r="B97" s="586" t="s">
        <v>273</v>
      </c>
      <c r="C97" s="587">
        <v>156</v>
      </c>
      <c r="D97" s="588" t="s">
        <v>748</v>
      </c>
      <c r="E97" s="589"/>
      <c r="F97" s="591"/>
      <c r="G97" s="585"/>
      <c r="H97" s="586"/>
      <c r="I97" s="587"/>
      <c r="J97" s="663"/>
      <c r="K97" s="662"/>
      <c r="L97" s="596"/>
    </row>
    <row r="98" spans="1:12" ht="15.75" x14ac:dyDescent="0.25">
      <c r="A98" s="585" t="s">
        <v>727</v>
      </c>
      <c r="B98" s="586"/>
      <c r="C98" s="587"/>
      <c r="D98" s="613" t="s">
        <v>728</v>
      </c>
      <c r="E98" s="589"/>
      <c r="F98" s="614">
        <v>0.36458333333333331</v>
      </c>
      <c r="G98" s="585"/>
      <c r="H98" s="586"/>
      <c r="I98" s="587"/>
      <c r="J98" s="650"/>
      <c r="K98" s="651"/>
      <c r="L98" s="591"/>
    </row>
    <row r="99" spans="1:12" ht="15.75" x14ac:dyDescent="0.25">
      <c r="A99" s="585"/>
      <c r="B99" s="586"/>
      <c r="C99" s="587"/>
      <c r="D99" s="588"/>
      <c r="E99" s="589"/>
      <c r="F99" s="591"/>
      <c r="G99" s="585"/>
      <c r="H99" s="586"/>
      <c r="I99" s="587"/>
      <c r="J99" s="617"/>
      <c r="K99" s="589"/>
      <c r="L99" s="591"/>
    </row>
    <row r="100" spans="1:12" ht="15.75" x14ac:dyDescent="0.25">
      <c r="A100" s="585" t="s">
        <v>727</v>
      </c>
      <c r="B100" s="586"/>
      <c r="C100" s="587"/>
      <c r="D100" s="595" t="s">
        <v>48</v>
      </c>
      <c r="E100" s="589"/>
      <c r="F100" s="596">
        <v>0.4375</v>
      </c>
      <c r="G100" s="585"/>
      <c r="H100" s="586"/>
      <c r="I100" s="587"/>
      <c r="J100" s="661"/>
      <c r="K100" s="589"/>
      <c r="L100" s="596"/>
    </row>
    <row r="101" spans="1:12" ht="15.75" x14ac:dyDescent="0.25">
      <c r="A101" s="585"/>
      <c r="B101" s="586"/>
      <c r="C101" s="587"/>
      <c r="D101" s="594"/>
      <c r="E101" s="589"/>
      <c r="F101" s="591"/>
      <c r="G101" s="585"/>
      <c r="H101" s="586"/>
      <c r="I101" s="587"/>
      <c r="J101" s="594"/>
      <c r="K101" s="589"/>
      <c r="L101" s="591"/>
    </row>
    <row r="102" spans="1:12" ht="15.75" x14ac:dyDescent="0.25">
      <c r="A102" s="585"/>
      <c r="B102" s="586"/>
      <c r="C102" s="587"/>
      <c r="D102" s="613" t="s">
        <v>728</v>
      </c>
      <c r="E102" s="599">
        <v>0.51041666666666663</v>
      </c>
      <c r="F102" s="614"/>
      <c r="G102" s="585"/>
      <c r="H102" s="586"/>
      <c r="I102" s="587"/>
      <c r="J102" s="595"/>
      <c r="K102" s="589"/>
      <c r="L102" s="596"/>
    </row>
    <row r="103" spans="1:12" ht="15.75" x14ac:dyDescent="0.25">
      <c r="A103" s="585"/>
      <c r="B103" s="586" t="s">
        <v>273</v>
      </c>
      <c r="C103" s="587">
        <v>156</v>
      </c>
      <c r="D103" s="588" t="s">
        <v>749</v>
      </c>
      <c r="E103" s="589"/>
      <c r="F103" s="591"/>
      <c r="G103" s="585"/>
      <c r="H103" s="586"/>
      <c r="I103" s="587"/>
      <c r="J103" s="594"/>
      <c r="K103" s="589"/>
      <c r="L103" s="591"/>
    </row>
    <row r="104" spans="1:12" ht="15.75" x14ac:dyDescent="0.25">
      <c r="A104" s="585"/>
      <c r="B104" s="586"/>
      <c r="C104" s="587"/>
      <c r="D104" s="594"/>
      <c r="E104" s="589"/>
      <c r="F104" s="591"/>
      <c r="G104" s="585"/>
      <c r="H104" s="586"/>
      <c r="I104" s="587"/>
      <c r="J104" s="588"/>
      <c r="K104" s="599"/>
      <c r="L104" s="598"/>
    </row>
    <row r="105" spans="1:12" ht="15.75" x14ac:dyDescent="0.25">
      <c r="A105" s="585"/>
      <c r="B105" s="586" t="s">
        <v>273</v>
      </c>
      <c r="C105" s="587">
        <v>112</v>
      </c>
      <c r="D105" s="588" t="s">
        <v>750</v>
      </c>
      <c r="E105" s="589"/>
      <c r="F105" s="591"/>
      <c r="G105" s="585"/>
      <c r="H105" s="586"/>
      <c r="I105" s="587"/>
      <c r="J105" s="588"/>
      <c r="K105" s="589"/>
      <c r="L105" s="591"/>
    </row>
    <row r="106" spans="1:12" ht="15.75" x14ac:dyDescent="0.25">
      <c r="A106" s="585" t="s">
        <v>727</v>
      </c>
      <c r="B106" s="586"/>
      <c r="C106" s="587"/>
      <c r="D106" s="613" t="s">
        <v>728</v>
      </c>
      <c r="E106" s="589"/>
      <c r="F106" s="614">
        <v>0.51041666666666663</v>
      </c>
      <c r="G106" s="585"/>
      <c r="H106" s="586"/>
      <c r="I106" s="587"/>
      <c r="J106" s="588"/>
      <c r="K106" s="599"/>
      <c r="L106" s="596"/>
    </row>
    <row r="107" spans="1:12" ht="15.75" x14ac:dyDescent="0.25">
      <c r="A107" s="585"/>
      <c r="B107" s="586"/>
      <c r="C107" s="587"/>
      <c r="D107" s="588"/>
      <c r="E107" s="589"/>
      <c r="F107" s="591"/>
      <c r="G107" s="585"/>
      <c r="H107" s="586"/>
      <c r="I107" s="587"/>
      <c r="J107" s="594"/>
      <c r="K107" s="589"/>
      <c r="L107" s="591"/>
    </row>
    <row r="108" spans="1:12" ht="15.75" x14ac:dyDescent="0.25">
      <c r="A108" s="585" t="s">
        <v>725</v>
      </c>
      <c r="B108" s="586"/>
      <c r="C108" s="587"/>
      <c r="D108" s="595" t="s">
        <v>48</v>
      </c>
      <c r="E108" s="599">
        <v>0.57986111111111116</v>
      </c>
      <c r="F108" s="596"/>
      <c r="G108" s="585"/>
      <c r="H108" s="586"/>
      <c r="I108" s="587"/>
      <c r="J108" s="588"/>
      <c r="K108" s="599"/>
      <c r="L108" s="598"/>
    </row>
    <row r="109" spans="1:12" ht="15.75" x14ac:dyDescent="0.25">
      <c r="A109" s="585"/>
      <c r="B109" s="586"/>
      <c r="C109" s="587"/>
      <c r="D109" s="588" t="s">
        <v>733</v>
      </c>
      <c r="E109" s="599">
        <v>0.60069444444444442</v>
      </c>
      <c r="F109" s="591"/>
      <c r="G109" s="585"/>
      <c r="H109" s="586"/>
      <c r="I109" s="587"/>
      <c r="J109" s="594"/>
      <c r="K109" s="589"/>
      <c r="L109" s="591"/>
    </row>
    <row r="110" spans="1:12" ht="15.75" x14ac:dyDescent="0.25">
      <c r="A110" s="585"/>
      <c r="B110" s="586" t="s">
        <v>276</v>
      </c>
      <c r="C110" s="587" t="s">
        <v>273</v>
      </c>
      <c r="D110" s="588"/>
      <c r="E110" s="589"/>
      <c r="F110" s="614"/>
      <c r="G110" s="585"/>
      <c r="H110" s="586"/>
      <c r="I110" s="587"/>
      <c r="J110" s="595"/>
      <c r="K110" s="589"/>
      <c r="L110" s="596"/>
    </row>
    <row r="111" spans="1:12" ht="15.75" x14ac:dyDescent="0.25">
      <c r="A111" s="585"/>
      <c r="B111" s="586"/>
      <c r="C111" s="587"/>
      <c r="D111" s="588"/>
      <c r="E111" s="589"/>
      <c r="F111" s="591"/>
      <c r="G111" s="585"/>
      <c r="H111" s="586"/>
      <c r="I111" s="587"/>
      <c r="J111" s="594"/>
      <c r="K111" s="589"/>
      <c r="L111" s="591"/>
    </row>
    <row r="112" spans="1:12" ht="15.75" x14ac:dyDescent="0.25">
      <c r="A112" s="585"/>
      <c r="B112" s="586"/>
      <c r="C112" s="587"/>
      <c r="D112" s="588"/>
      <c r="E112" s="589"/>
      <c r="F112" s="591"/>
      <c r="G112" s="585"/>
      <c r="H112" s="586"/>
      <c r="I112" s="587"/>
      <c r="J112" s="588"/>
      <c r="K112" s="599"/>
      <c r="L112" s="598"/>
    </row>
    <row r="113" spans="1:12" ht="15.75" x14ac:dyDescent="0.25">
      <c r="A113" s="585"/>
      <c r="B113" s="586"/>
      <c r="C113" s="587"/>
      <c r="D113" s="588"/>
      <c r="E113" s="589"/>
      <c r="F113" s="591"/>
      <c r="G113" s="585"/>
      <c r="H113" s="586"/>
      <c r="I113" s="587"/>
      <c r="J113" s="588"/>
      <c r="K113" s="589"/>
      <c r="L113" s="591"/>
    </row>
    <row r="114" spans="1:12" ht="15.75" x14ac:dyDescent="0.25">
      <c r="A114" s="585"/>
      <c r="B114" s="586"/>
      <c r="C114" s="587"/>
      <c r="D114" s="613"/>
      <c r="E114" s="589"/>
      <c r="F114" s="614"/>
      <c r="G114" s="585"/>
      <c r="H114" s="586"/>
      <c r="I114" s="587"/>
      <c r="J114" s="588"/>
      <c r="K114" s="599"/>
      <c r="L114" s="596"/>
    </row>
    <row r="115" spans="1:12" ht="15.75" x14ac:dyDescent="0.25">
      <c r="A115" s="585"/>
      <c r="B115" s="586"/>
      <c r="C115" s="587"/>
      <c r="D115" s="588"/>
      <c r="E115" s="589"/>
      <c r="F115" s="591"/>
      <c r="G115" s="585"/>
      <c r="H115" s="586"/>
      <c r="I115" s="587"/>
      <c r="J115" s="594"/>
      <c r="K115" s="589"/>
      <c r="L115" s="591"/>
    </row>
    <row r="116" spans="1:12" ht="15.75" x14ac:dyDescent="0.25">
      <c r="A116" s="585"/>
      <c r="B116" s="586"/>
      <c r="C116" s="587"/>
      <c r="D116" s="595"/>
      <c r="E116" s="589"/>
      <c r="F116" s="596"/>
      <c r="G116" s="585"/>
      <c r="H116" s="586"/>
      <c r="I116" s="587"/>
      <c r="J116" s="588"/>
      <c r="K116" s="599"/>
      <c r="L116" s="598"/>
    </row>
    <row r="117" spans="1:12" ht="15.75" x14ac:dyDescent="0.25">
      <c r="A117" s="585"/>
      <c r="B117" s="586"/>
      <c r="C117" s="587"/>
      <c r="D117" s="594"/>
      <c r="E117" s="589"/>
      <c r="F117" s="591"/>
      <c r="G117" s="585"/>
      <c r="H117" s="586"/>
      <c r="I117" s="587"/>
      <c r="J117" s="594"/>
      <c r="K117" s="589"/>
      <c r="L117" s="591"/>
    </row>
    <row r="118" spans="1:12" ht="15.75" x14ac:dyDescent="0.25">
      <c r="A118" s="585"/>
      <c r="B118" s="586"/>
      <c r="C118" s="587"/>
      <c r="D118" s="613"/>
      <c r="E118" s="599"/>
      <c r="F118" s="614"/>
      <c r="G118" s="585"/>
      <c r="H118" s="586"/>
      <c r="I118" s="587"/>
      <c r="J118" s="588"/>
      <c r="K118" s="589"/>
      <c r="L118" s="591"/>
    </row>
    <row r="119" spans="1:12" ht="15.75" x14ac:dyDescent="0.25">
      <c r="A119" s="585"/>
      <c r="B119" s="586"/>
      <c r="C119" s="587"/>
      <c r="D119" s="588"/>
      <c r="E119" s="589"/>
      <c r="F119" s="591"/>
      <c r="G119" s="600"/>
      <c r="H119" s="586"/>
      <c r="I119" s="601"/>
      <c r="J119" s="588"/>
      <c r="K119" s="589"/>
      <c r="L119" s="591"/>
    </row>
    <row r="120" spans="1:12" ht="16.5" thickBot="1" x14ac:dyDescent="0.3">
      <c r="A120" s="602"/>
      <c r="B120" s="603"/>
      <c r="C120" s="604"/>
      <c r="D120" s="605"/>
      <c r="E120" s="606"/>
      <c r="F120" s="607"/>
      <c r="G120" s="608"/>
      <c r="H120" s="609"/>
      <c r="I120" s="610"/>
      <c r="J120" s="611"/>
      <c r="K120" s="606"/>
      <c r="L120" s="612"/>
    </row>
    <row r="121" spans="1:12" ht="23.25" x14ac:dyDescent="0.35">
      <c r="A121" s="1228" t="s">
        <v>712</v>
      </c>
      <c r="B121" s="1229"/>
      <c r="C121" s="1229"/>
      <c r="D121" s="1229"/>
      <c r="E121" s="1229"/>
      <c r="F121" s="1229"/>
      <c r="G121" s="1229"/>
      <c r="H121" s="1229"/>
      <c r="I121" s="1229"/>
      <c r="J121" s="1229"/>
      <c r="K121" s="1229"/>
      <c r="L121" s="1230"/>
    </row>
    <row r="122" spans="1:12" ht="24" thickBot="1" x14ac:dyDescent="0.4">
      <c r="A122" s="1231" t="s">
        <v>713</v>
      </c>
      <c r="B122" s="1232"/>
      <c r="C122" s="1232"/>
      <c r="D122" s="1232"/>
      <c r="E122" s="1232"/>
      <c r="F122" s="1232"/>
      <c r="G122" s="1232"/>
      <c r="H122" s="1232"/>
      <c r="I122" s="1232"/>
      <c r="J122" s="1232"/>
      <c r="K122" s="1232"/>
      <c r="L122" s="1233"/>
    </row>
    <row r="123" spans="1:12" ht="24" thickBot="1" x14ac:dyDescent="0.4">
      <c r="A123" s="1234" t="s">
        <v>714</v>
      </c>
      <c r="B123" s="1235"/>
      <c r="C123" s="1235"/>
      <c r="D123" s="1235"/>
      <c r="E123" s="1235"/>
      <c r="F123" s="1235"/>
      <c r="G123" s="1235"/>
      <c r="H123" s="1235"/>
      <c r="I123" s="1235"/>
      <c r="J123" s="1235"/>
      <c r="K123" s="1235"/>
      <c r="L123" s="1236"/>
    </row>
    <row r="124" spans="1:12" ht="23.25" x14ac:dyDescent="0.35">
      <c r="A124" s="557" t="s">
        <v>715</v>
      </c>
      <c r="B124" s="558"/>
      <c r="C124" s="558"/>
      <c r="D124" s="559" t="s">
        <v>716</v>
      </c>
      <c r="E124" s="1232" t="s">
        <v>717</v>
      </c>
      <c r="F124" s="1232"/>
      <c r="G124" s="1232"/>
      <c r="H124" s="1232"/>
      <c r="I124" s="1232"/>
      <c r="J124" s="556" t="s">
        <v>751</v>
      </c>
      <c r="K124" s="1232"/>
      <c r="L124" s="1233"/>
    </row>
    <row r="125" spans="1:12" ht="15.75" thickBot="1" x14ac:dyDescent="0.3">
      <c r="A125" s="560"/>
      <c r="B125" s="561"/>
      <c r="C125" s="561"/>
      <c r="D125" s="562"/>
      <c r="E125" s="561"/>
      <c r="F125" s="561"/>
      <c r="G125" s="561"/>
      <c r="H125" s="561"/>
      <c r="I125" s="1227"/>
      <c r="J125" s="1227"/>
      <c r="K125" s="561"/>
      <c r="L125" s="563"/>
    </row>
    <row r="126" spans="1:12" ht="16.5" thickBot="1" x14ac:dyDescent="0.3">
      <c r="A126" s="564" t="s">
        <v>719</v>
      </c>
      <c r="B126" s="565"/>
      <c r="C126" s="566"/>
      <c r="D126" s="567" t="s">
        <v>720</v>
      </c>
      <c r="E126" s="568" t="s">
        <v>721</v>
      </c>
      <c r="F126" s="569" t="s">
        <v>722</v>
      </c>
      <c r="G126" s="564" t="s">
        <v>719</v>
      </c>
      <c r="H126" s="570"/>
      <c r="I126" s="571"/>
      <c r="J126" s="572" t="s">
        <v>720</v>
      </c>
      <c r="K126" s="564" t="s">
        <v>721</v>
      </c>
      <c r="L126" s="564" t="s">
        <v>722</v>
      </c>
    </row>
    <row r="127" spans="1:12" ht="15.75" x14ac:dyDescent="0.25">
      <c r="A127" s="573"/>
      <c r="B127" s="574"/>
      <c r="C127" s="575"/>
      <c r="D127" s="576"/>
      <c r="E127" s="577"/>
      <c r="F127" s="578"/>
      <c r="G127" s="579"/>
      <c r="H127" s="580"/>
      <c r="I127" s="581"/>
      <c r="J127" s="582"/>
      <c r="K127" s="583"/>
      <c r="L127" s="584"/>
    </row>
    <row r="128" spans="1:12" ht="15.75" x14ac:dyDescent="0.25">
      <c r="A128" s="585"/>
      <c r="B128" s="586" t="s">
        <v>273</v>
      </c>
      <c r="C128" s="587">
        <v>104</v>
      </c>
      <c r="D128" s="588" t="s">
        <v>752</v>
      </c>
      <c r="E128" s="589"/>
      <c r="F128" s="590"/>
      <c r="G128" s="585"/>
      <c r="H128" s="586" t="s">
        <v>273</v>
      </c>
      <c r="I128" s="587">
        <v>123</v>
      </c>
      <c r="J128" s="588" t="s">
        <v>753</v>
      </c>
      <c r="K128" s="589"/>
      <c r="L128" s="591"/>
    </row>
    <row r="129" spans="1:12" ht="15.75" x14ac:dyDescent="0.25">
      <c r="A129" s="585" t="s">
        <v>725</v>
      </c>
      <c r="B129" s="592"/>
      <c r="C129" s="587"/>
      <c r="D129" s="588" t="s">
        <v>726</v>
      </c>
      <c r="E129" s="589"/>
      <c r="F129" s="593">
        <v>0.22916666666666666</v>
      </c>
      <c r="G129" s="585" t="s">
        <v>727</v>
      </c>
      <c r="H129" s="586"/>
      <c r="I129" s="587"/>
      <c r="J129" s="613" t="s">
        <v>728</v>
      </c>
      <c r="K129" s="589"/>
      <c r="L129" s="614">
        <v>0.73958333333333337</v>
      </c>
    </row>
    <row r="130" spans="1:12" ht="15.75" x14ac:dyDescent="0.25">
      <c r="A130" s="585" t="s">
        <v>727</v>
      </c>
      <c r="B130" s="586"/>
      <c r="C130" s="587"/>
      <c r="D130" s="595" t="s">
        <v>48</v>
      </c>
      <c r="E130" s="589"/>
      <c r="F130" s="596">
        <v>0.25</v>
      </c>
      <c r="G130" s="585"/>
      <c r="H130" s="586"/>
      <c r="I130" s="587"/>
      <c r="J130" s="588"/>
      <c r="K130" s="589"/>
      <c r="L130" s="591"/>
    </row>
    <row r="131" spans="1:12" ht="15.75" x14ac:dyDescent="0.25">
      <c r="A131" s="585"/>
      <c r="B131" s="586"/>
      <c r="C131" s="587"/>
      <c r="D131" s="594"/>
      <c r="E131" s="589"/>
      <c r="F131" s="591"/>
      <c r="G131" s="585" t="s">
        <v>727</v>
      </c>
      <c r="H131" s="586"/>
      <c r="I131" s="587"/>
      <c r="J131" s="595" t="s">
        <v>48</v>
      </c>
      <c r="K131" s="589"/>
      <c r="L131" s="596">
        <v>0.8125</v>
      </c>
    </row>
    <row r="132" spans="1:12" ht="15.75" x14ac:dyDescent="0.25">
      <c r="A132" s="585" t="s">
        <v>727</v>
      </c>
      <c r="B132" s="586"/>
      <c r="C132" s="587"/>
      <c r="D132" s="613" t="s">
        <v>728</v>
      </c>
      <c r="E132" s="589"/>
      <c r="F132" s="614">
        <v>0.30555555555555558</v>
      </c>
      <c r="G132" s="585"/>
      <c r="H132" s="586"/>
      <c r="I132" s="587"/>
      <c r="J132" s="594"/>
      <c r="K132" s="589"/>
      <c r="L132" s="591"/>
    </row>
    <row r="133" spans="1:12" ht="15.75" x14ac:dyDescent="0.25">
      <c r="A133" s="585"/>
      <c r="B133" s="586"/>
      <c r="C133" s="587"/>
      <c r="D133" s="588"/>
      <c r="E133" s="589"/>
      <c r="F133" s="591"/>
      <c r="G133" s="585"/>
      <c r="H133" s="586"/>
      <c r="I133" s="587"/>
      <c r="J133" s="613" t="s">
        <v>728</v>
      </c>
      <c r="K133" s="599">
        <v>0.86458333333333337</v>
      </c>
      <c r="L133" s="614"/>
    </row>
    <row r="134" spans="1:12" ht="15.75" x14ac:dyDescent="0.25">
      <c r="A134" s="585" t="s">
        <v>727</v>
      </c>
      <c r="B134" s="586"/>
      <c r="C134" s="587"/>
      <c r="D134" s="595" t="s">
        <v>48</v>
      </c>
      <c r="E134" s="589"/>
      <c r="F134" s="596">
        <v>0.375</v>
      </c>
      <c r="G134" s="585"/>
      <c r="H134" s="586" t="s">
        <v>276</v>
      </c>
      <c r="I134" s="587" t="s">
        <v>273</v>
      </c>
      <c r="J134" s="588"/>
      <c r="K134" s="589"/>
      <c r="L134" s="591"/>
    </row>
    <row r="135" spans="1:12" ht="15.75" x14ac:dyDescent="0.25">
      <c r="A135" s="585"/>
      <c r="B135" s="586"/>
      <c r="C135" s="587"/>
      <c r="D135" s="594"/>
      <c r="E135" s="589"/>
      <c r="F135" s="591"/>
      <c r="G135" s="585"/>
      <c r="H135" s="586"/>
      <c r="I135" s="587"/>
      <c r="J135" s="588"/>
      <c r="K135" s="589"/>
      <c r="L135" s="591"/>
    </row>
    <row r="136" spans="1:12" ht="15.75" x14ac:dyDescent="0.25">
      <c r="A136" s="585"/>
      <c r="B136" s="586"/>
      <c r="C136" s="587"/>
      <c r="D136" s="613" t="s">
        <v>728</v>
      </c>
      <c r="E136" s="599">
        <v>0.44791666666666669</v>
      </c>
      <c r="F136" s="614"/>
      <c r="G136" s="585"/>
      <c r="H136" s="586" t="s">
        <v>273</v>
      </c>
      <c r="I136" s="587">
        <v>139</v>
      </c>
      <c r="J136" s="588" t="s">
        <v>754</v>
      </c>
      <c r="K136" s="589"/>
      <c r="L136" s="591"/>
    </row>
    <row r="137" spans="1:12" ht="15.75" x14ac:dyDescent="0.25">
      <c r="A137" s="585"/>
      <c r="B137" s="586" t="s">
        <v>276</v>
      </c>
      <c r="C137" s="587" t="s">
        <v>273</v>
      </c>
      <c r="D137" s="588"/>
      <c r="E137" s="589"/>
      <c r="F137" s="591"/>
      <c r="G137" s="585" t="s">
        <v>727</v>
      </c>
      <c r="H137" s="586"/>
      <c r="I137" s="587"/>
      <c r="J137" s="613" t="s">
        <v>728</v>
      </c>
      <c r="K137" s="589"/>
      <c r="L137" s="614">
        <v>0.86458333333333337</v>
      </c>
    </row>
    <row r="138" spans="1:12" ht="15.75" x14ac:dyDescent="0.25">
      <c r="A138" s="585"/>
      <c r="B138" s="586"/>
      <c r="C138" s="587"/>
      <c r="D138" s="594"/>
      <c r="E138" s="589"/>
      <c r="F138" s="591"/>
      <c r="G138" s="585"/>
      <c r="H138" s="586"/>
      <c r="I138" s="587"/>
      <c r="J138" s="588"/>
      <c r="K138" s="589"/>
      <c r="L138" s="591"/>
    </row>
    <row r="139" spans="1:12" ht="15.75" x14ac:dyDescent="0.25">
      <c r="A139" s="585"/>
      <c r="B139" s="586" t="s">
        <v>273</v>
      </c>
      <c r="C139" s="587">
        <v>120</v>
      </c>
      <c r="D139" s="588" t="s">
        <v>755</v>
      </c>
      <c r="E139" s="589"/>
      <c r="F139" s="591"/>
      <c r="G139" s="585" t="s">
        <v>727</v>
      </c>
      <c r="H139" s="586"/>
      <c r="I139" s="587"/>
      <c r="J139" s="595" t="s">
        <v>48</v>
      </c>
      <c r="K139" s="589"/>
      <c r="L139" s="596">
        <v>0.91666666666666663</v>
      </c>
    </row>
    <row r="140" spans="1:12" ht="15.75" x14ac:dyDescent="0.25">
      <c r="A140" s="585" t="s">
        <v>727</v>
      </c>
      <c r="B140" s="586"/>
      <c r="C140" s="587"/>
      <c r="D140" s="613" t="s">
        <v>728</v>
      </c>
      <c r="E140" s="589"/>
      <c r="F140" s="614">
        <v>0.44791666666666669</v>
      </c>
      <c r="G140" s="585"/>
      <c r="H140" s="586"/>
      <c r="I140" s="587"/>
      <c r="J140" s="594"/>
      <c r="K140" s="589"/>
      <c r="L140" s="591"/>
    </row>
    <row r="141" spans="1:12" ht="15.75" x14ac:dyDescent="0.25">
      <c r="A141" s="585"/>
      <c r="B141" s="586"/>
      <c r="C141" s="587"/>
      <c r="D141" s="588"/>
      <c r="E141" s="589"/>
      <c r="F141" s="591"/>
      <c r="G141" s="585" t="s">
        <v>727</v>
      </c>
      <c r="H141" s="586"/>
      <c r="I141" s="587"/>
      <c r="J141" s="613" t="s">
        <v>728</v>
      </c>
      <c r="K141" s="599"/>
      <c r="L141" s="614">
        <v>0.96875</v>
      </c>
    </row>
    <row r="142" spans="1:12" ht="15.75" x14ac:dyDescent="0.25">
      <c r="A142" s="585" t="s">
        <v>727</v>
      </c>
      <c r="B142" s="586"/>
      <c r="C142" s="587"/>
      <c r="D142" s="595" t="s">
        <v>48</v>
      </c>
      <c r="E142" s="589"/>
      <c r="F142" s="596">
        <v>0.52083333333333337</v>
      </c>
      <c r="G142" s="585"/>
      <c r="H142" s="586"/>
      <c r="I142" s="587"/>
      <c r="J142" s="588"/>
      <c r="K142" s="589"/>
      <c r="L142" s="591"/>
    </row>
    <row r="143" spans="1:12" ht="15.75" x14ac:dyDescent="0.25">
      <c r="A143" s="585"/>
      <c r="B143" s="586"/>
      <c r="C143" s="587"/>
      <c r="D143" s="594"/>
      <c r="E143" s="589"/>
      <c r="F143" s="591"/>
      <c r="G143" s="585" t="s">
        <v>725</v>
      </c>
      <c r="H143" s="586"/>
      <c r="I143" s="587"/>
      <c r="J143" s="595" t="s">
        <v>48</v>
      </c>
      <c r="K143" s="599">
        <v>1.0104166666666667</v>
      </c>
      <c r="L143" s="596"/>
    </row>
    <row r="144" spans="1:12" ht="15.75" x14ac:dyDescent="0.25">
      <c r="A144" s="585"/>
      <c r="B144" s="586"/>
      <c r="C144" s="587"/>
      <c r="D144" s="613" t="s">
        <v>728</v>
      </c>
      <c r="E144" s="599">
        <v>0.59375</v>
      </c>
      <c r="F144" s="614"/>
      <c r="G144" s="585"/>
      <c r="H144" s="586"/>
      <c r="I144" s="587"/>
      <c r="J144" s="650" t="s">
        <v>733</v>
      </c>
      <c r="K144" s="662">
        <v>1.0277777777777777</v>
      </c>
      <c r="L144" s="598"/>
    </row>
    <row r="145" spans="1:12" ht="15.75" x14ac:dyDescent="0.25">
      <c r="A145" s="585"/>
      <c r="B145" s="586" t="s">
        <v>276</v>
      </c>
      <c r="C145" s="587" t="s">
        <v>273</v>
      </c>
      <c r="D145" s="588"/>
      <c r="E145" s="589"/>
      <c r="F145" s="591"/>
      <c r="G145" s="585"/>
      <c r="H145" s="586" t="s">
        <v>276</v>
      </c>
      <c r="I145" s="587" t="s">
        <v>273</v>
      </c>
      <c r="J145" s="588"/>
      <c r="K145" s="651"/>
      <c r="L145" s="591"/>
    </row>
    <row r="146" spans="1:12" ht="15.75" x14ac:dyDescent="0.25">
      <c r="A146" s="585"/>
      <c r="B146" s="586"/>
      <c r="C146" s="587"/>
      <c r="D146" s="594"/>
      <c r="E146" s="589"/>
      <c r="F146" s="591"/>
      <c r="G146" s="585"/>
      <c r="H146" s="586"/>
      <c r="I146" s="587"/>
      <c r="J146" s="663"/>
      <c r="K146" s="662"/>
      <c r="L146" s="596"/>
    </row>
    <row r="147" spans="1:12" ht="15.75" x14ac:dyDescent="0.25">
      <c r="A147" s="585"/>
      <c r="B147" s="586" t="s">
        <v>273</v>
      </c>
      <c r="C147" s="587">
        <v>130</v>
      </c>
      <c r="D147" s="588" t="s">
        <v>756</v>
      </c>
      <c r="E147" s="589"/>
      <c r="F147" s="591"/>
      <c r="G147" s="585"/>
      <c r="H147" s="586"/>
      <c r="I147" s="587"/>
      <c r="J147" s="597"/>
      <c r="K147" s="651"/>
      <c r="L147" s="591"/>
    </row>
    <row r="148" spans="1:12" ht="15.75" x14ac:dyDescent="0.25">
      <c r="A148" s="585" t="s">
        <v>727</v>
      </c>
      <c r="B148" s="586"/>
      <c r="C148" s="587"/>
      <c r="D148" s="613" t="s">
        <v>728</v>
      </c>
      <c r="E148" s="589"/>
      <c r="F148" s="614">
        <v>0.59375</v>
      </c>
      <c r="G148" s="585"/>
      <c r="H148" s="586"/>
      <c r="I148" s="587"/>
      <c r="J148" s="650"/>
      <c r="K148" s="589"/>
      <c r="L148" s="598"/>
    </row>
    <row r="149" spans="1:12" ht="15.75" x14ac:dyDescent="0.25">
      <c r="A149" s="585"/>
      <c r="B149" s="586"/>
      <c r="C149" s="587"/>
      <c r="D149" s="588"/>
      <c r="E149" s="589"/>
      <c r="F149" s="591"/>
      <c r="G149" s="585"/>
      <c r="H149" s="586"/>
      <c r="I149" s="587"/>
      <c r="J149" s="617"/>
      <c r="K149" s="589"/>
      <c r="L149" s="591"/>
    </row>
    <row r="150" spans="1:12" ht="15.75" x14ac:dyDescent="0.25">
      <c r="A150" s="585" t="s">
        <v>727</v>
      </c>
      <c r="B150" s="586"/>
      <c r="C150" s="587"/>
      <c r="D150" s="595" t="s">
        <v>48</v>
      </c>
      <c r="E150" s="589"/>
      <c r="F150" s="596">
        <v>0.66666666666666663</v>
      </c>
      <c r="G150" s="585"/>
      <c r="H150" s="586"/>
      <c r="I150" s="587"/>
      <c r="J150" s="595"/>
      <c r="K150" s="589"/>
      <c r="L150" s="596"/>
    </row>
    <row r="151" spans="1:12" ht="15.75" x14ac:dyDescent="0.25">
      <c r="A151" s="585"/>
      <c r="B151" s="586"/>
      <c r="C151" s="587"/>
      <c r="D151" s="594"/>
      <c r="E151" s="589"/>
      <c r="F151" s="591"/>
      <c r="G151" s="585"/>
      <c r="H151" s="586"/>
      <c r="I151" s="587"/>
      <c r="J151" s="594"/>
      <c r="K151" s="589"/>
      <c r="L151" s="591"/>
    </row>
    <row r="152" spans="1:12" ht="15.75" x14ac:dyDescent="0.25">
      <c r="A152" s="585"/>
      <c r="B152" s="586"/>
      <c r="C152" s="587"/>
      <c r="D152" s="613" t="s">
        <v>728</v>
      </c>
      <c r="E152" s="599">
        <v>0.73958333333333337</v>
      </c>
      <c r="F152" s="614"/>
      <c r="G152" s="585"/>
      <c r="H152" s="586"/>
      <c r="I152" s="587"/>
      <c r="J152" s="588"/>
      <c r="K152" s="599"/>
      <c r="L152" s="598"/>
    </row>
    <row r="153" spans="1:12" ht="15.75" x14ac:dyDescent="0.25">
      <c r="A153" s="585"/>
      <c r="B153" s="586" t="s">
        <v>273</v>
      </c>
      <c r="C153" s="587">
        <v>130</v>
      </c>
      <c r="D153" s="588" t="s">
        <v>757</v>
      </c>
      <c r="E153" s="589"/>
      <c r="F153" s="591"/>
      <c r="G153" s="585"/>
      <c r="H153" s="586"/>
      <c r="I153" s="587"/>
      <c r="J153" s="588"/>
      <c r="K153" s="589"/>
      <c r="L153" s="591"/>
    </row>
    <row r="154" spans="1:12" ht="15.75" x14ac:dyDescent="0.25">
      <c r="A154" s="585"/>
      <c r="B154" s="586"/>
      <c r="C154" s="587"/>
      <c r="D154" s="588"/>
      <c r="E154" s="589"/>
      <c r="F154" s="591"/>
      <c r="G154" s="585"/>
      <c r="H154" s="586"/>
      <c r="I154" s="587"/>
      <c r="J154" s="588"/>
      <c r="K154" s="599"/>
      <c r="L154" s="596"/>
    </row>
    <row r="155" spans="1:12" ht="15.75" x14ac:dyDescent="0.25">
      <c r="A155" s="585"/>
      <c r="B155" s="586"/>
      <c r="C155" s="587"/>
      <c r="D155" s="594"/>
      <c r="E155" s="589"/>
      <c r="F155" s="591"/>
      <c r="G155" s="585"/>
      <c r="H155" s="586"/>
      <c r="I155" s="587"/>
      <c r="J155" s="594"/>
      <c r="K155" s="589"/>
      <c r="L155" s="591"/>
    </row>
    <row r="156" spans="1:12" ht="15.75" x14ac:dyDescent="0.25">
      <c r="A156" s="585"/>
      <c r="B156" s="586"/>
      <c r="C156" s="587"/>
      <c r="D156" s="597"/>
      <c r="E156" s="599"/>
      <c r="F156" s="598"/>
      <c r="G156" s="585"/>
      <c r="H156" s="586"/>
      <c r="I156" s="587"/>
      <c r="J156" s="588"/>
      <c r="K156" s="599"/>
      <c r="L156" s="598"/>
    </row>
    <row r="157" spans="1:12" ht="15.75" x14ac:dyDescent="0.25">
      <c r="A157" s="585"/>
      <c r="B157" s="586"/>
      <c r="C157" s="587"/>
      <c r="D157" s="594"/>
      <c r="E157" s="589"/>
      <c r="F157" s="591"/>
      <c r="G157" s="585"/>
      <c r="H157" s="586"/>
      <c r="I157" s="587"/>
      <c r="J157" s="594"/>
      <c r="K157" s="589"/>
      <c r="L157" s="591"/>
    </row>
    <row r="158" spans="1:12" ht="15.75" x14ac:dyDescent="0.25">
      <c r="A158" s="585"/>
      <c r="B158" s="586"/>
      <c r="C158" s="587"/>
      <c r="D158" s="588"/>
      <c r="E158" s="589"/>
      <c r="F158" s="591"/>
      <c r="G158" s="585"/>
      <c r="H158" s="586"/>
      <c r="I158" s="587"/>
      <c r="J158" s="588"/>
      <c r="K158" s="589"/>
      <c r="L158" s="591"/>
    </row>
    <row r="159" spans="1:12" ht="15.75" x14ac:dyDescent="0.25">
      <c r="A159" s="585"/>
      <c r="B159" s="586"/>
      <c r="C159" s="601"/>
      <c r="D159" s="594"/>
      <c r="E159" s="589"/>
      <c r="F159" s="591"/>
      <c r="G159" s="600"/>
      <c r="H159" s="586"/>
      <c r="I159" s="601"/>
      <c r="J159" s="588"/>
      <c r="K159" s="589"/>
      <c r="L159" s="591"/>
    </row>
    <row r="160" spans="1:12" ht="16.5" thickBot="1" x14ac:dyDescent="0.3">
      <c r="A160" s="602"/>
      <c r="B160" s="603"/>
      <c r="C160" s="604"/>
      <c r="D160" s="605"/>
      <c r="E160" s="606"/>
      <c r="F160" s="607"/>
      <c r="G160" s="608"/>
      <c r="H160" s="609"/>
      <c r="I160" s="610"/>
      <c r="J160" s="611"/>
      <c r="K160" s="606"/>
      <c r="L160" s="612"/>
    </row>
    <row r="161" spans="1:12" ht="23.25" x14ac:dyDescent="0.35">
      <c r="A161" s="1228" t="s">
        <v>712</v>
      </c>
      <c r="B161" s="1229"/>
      <c r="C161" s="1229"/>
      <c r="D161" s="1229"/>
      <c r="E161" s="1229"/>
      <c r="F161" s="1229"/>
      <c r="G161" s="1229"/>
      <c r="H161" s="1229"/>
      <c r="I161" s="1229"/>
      <c r="J161" s="1229"/>
      <c r="K161" s="1229"/>
      <c r="L161" s="1230"/>
    </row>
    <row r="162" spans="1:12" ht="24" thickBot="1" x14ac:dyDescent="0.4">
      <c r="A162" s="1231" t="s">
        <v>713</v>
      </c>
      <c r="B162" s="1232"/>
      <c r="C162" s="1232"/>
      <c r="D162" s="1232"/>
      <c r="E162" s="1232"/>
      <c r="F162" s="1232"/>
      <c r="G162" s="1232"/>
      <c r="H162" s="1232"/>
      <c r="I162" s="1232"/>
      <c r="J162" s="1232"/>
      <c r="K162" s="1232"/>
      <c r="L162" s="1233"/>
    </row>
    <row r="163" spans="1:12" ht="24" thickBot="1" x14ac:dyDescent="0.4">
      <c r="A163" s="1234" t="s">
        <v>714</v>
      </c>
      <c r="B163" s="1235"/>
      <c r="C163" s="1235"/>
      <c r="D163" s="1235"/>
      <c r="E163" s="1235"/>
      <c r="F163" s="1235"/>
      <c r="G163" s="1235"/>
      <c r="H163" s="1235"/>
      <c r="I163" s="1235"/>
      <c r="J163" s="1235"/>
      <c r="K163" s="1235"/>
      <c r="L163" s="1236"/>
    </row>
    <row r="164" spans="1:12" ht="23.25" x14ac:dyDescent="0.35">
      <c r="A164" s="557" t="s">
        <v>715</v>
      </c>
      <c r="B164" s="558"/>
      <c r="C164" s="558"/>
      <c r="D164" s="559" t="s">
        <v>716</v>
      </c>
      <c r="E164" s="1232" t="s">
        <v>717</v>
      </c>
      <c r="F164" s="1232"/>
      <c r="G164" s="1232"/>
      <c r="H164" s="1232"/>
      <c r="I164" s="1232"/>
      <c r="J164" s="556" t="s">
        <v>758</v>
      </c>
      <c r="K164" s="1232"/>
      <c r="L164" s="1233"/>
    </row>
    <row r="165" spans="1:12" ht="15.75" thickBot="1" x14ac:dyDescent="0.3">
      <c r="A165" s="560"/>
      <c r="B165" s="561"/>
      <c r="C165" s="561"/>
      <c r="D165" s="562"/>
      <c r="E165" s="561"/>
      <c r="F165" s="561"/>
      <c r="G165" s="561"/>
      <c r="H165" s="561"/>
      <c r="I165" s="1227"/>
      <c r="J165" s="1227"/>
      <c r="K165" s="561"/>
      <c r="L165" s="563"/>
    </row>
    <row r="166" spans="1:12" ht="16.5" thickBot="1" x14ac:dyDescent="0.3">
      <c r="A166" s="564" t="s">
        <v>719</v>
      </c>
      <c r="B166" s="565"/>
      <c r="C166" s="566"/>
      <c r="D166" s="567" t="s">
        <v>720</v>
      </c>
      <c r="E166" s="568" t="s">
        <v>721</v>
      </c>
      <c r="F166" s="569" t="s">
        <v>722</v>
      </c>
      <c r="G166" s="564" t="s">
        <v>719</v>
      </c>
      <c r="H166" s="570"/>
      <c r="I166" s="571"/>
      <c r="J166" s="572" t="s">
        <v>720</v>
      </c>
      <c r="K166" s="564" t="s">
        <v>721</v>
      </c>
      <c r="L166" s="564" t="s">
        <v>722</v>
      </c>
    </row>
    <row r="167" spans="1:12" ht="15.75" x14ac:dyDescent="0.25">
      <c r="A167" s="573"/>
      <c r="B167" s="574"/>
      <c r="C167" s="575"/>
      <c r="D167" s="576"/>
      <c r="E167" s="577"/>
      <c r="F167" s="578"/>
      <c r="G167" s="579"/>
      <c r="H167" s="580"/>
      <c r="I167" s="581"/>
      <c r="J167" s="582"/>
      <c r="K167" s="583"/>
      <c r="L167" s="584"/>
    </row>
    <row r="168" spans="1:12" ht="15.75" x14ac:dyDescent="0.25">
      <c r="A168" s="585"/>
      <c r="B168" s="586" t="s">
        <v>273</v>
      </c>
      <c r="C168" s="587">
        <v>105</v>
      </c>
      <c r="D168" s="588" t="s">
        <v>759</v>
      </c>
      <c r="E168" s="589"/>
      <c r="F168" s="590"/>
      <c r="G168" s="585"/>
      <c r="H168" s="586" t="s">
        <v>273</v>
      </c>
      <c r="I168" s="587">
        <v>136</v>
      </c>
      <c r="J168" s="588" t="s">
        <v>760</v>
      </c>
      <c r="K168" s="589"/>
      <c r="L168" s="591"/>
    </row>
    <row r="169" spans="1:12" ht="15.75" x14ac:dyDescent="0.25">
      <c r="A169" s="585" t="s">
        <v>725</v>
      </c>
      <c r="B169" s="592"/>
      <c r="C169" s="587"/>
      <c r="D169" s="588" t="s">
        <v>726</v>
      </c>
      <c r="E169" s="589"/>
      <c r="F169" s="593">
        <v>0.2326388888888889</v>
      </c>
      <c r="G169" s="585">
        <v>7</v>
      </c>
      <c r="H169" s="586"/>
      <c r="I169" s="587"/>
      <c r="J169" s="613" t="s">
        <v>728</v>
      </c>
      <c r="K169" s="589"/>
      <c r="L169" s="614">
        <v>0.66666666666666663</v>
      </c>
    </row>
    <row r="170" spans="1:12" ht="15.75" x14ac:dyDescent="0.25">
      <c r="A170" s="585">
        <v>7</v>
      </c>
      <c r="B170" s="586"/>
      <c r="C170" s="587"/>
      <c r="D170" s="613" t="s">
        <v>728</v>
      </c>
      <c r="E170" s="589"/>
      <c r="F170" s="614">
        <v>0.25</v>
      </c>
      <c r="G170" s="585"/>
      <c r="H170" s="586"/>
      <c r="I170" s="587"/>
      <c r="J170" s="588"/>
      <c r="K170" s="589"/>
      <c r="L170" s="591"/>
    </row>
    <row r="171" spans="1:12" ht="15.75" x14ac:dyDescent="0.25">
      <c r="A171" s="585"/>
      <c r="B171" s="586"/>
      <c r="C171" s="587"/>
      <c r="D171" s="588"/>
      <c r="E171" s="589"/>
      <c r="F171" s="591"/>
      <c r="G171" s="585">
        <v>7</v>
      </c>
      <c r="H171" s="586"/>
      <c r="I171" s="587"/>
      <c r="J171" s="616" t="s">
        <v>50</v>
      </c>
      <c r="K171" s="589"/>
      <c r="L171" s="615">
        <v>0.73958333333333337</v>
      </c>
    </row>
    <row r="172" spans="1:12" ht="15.75" x14ac:dyDescent="0.25">
      <c r="A172" s="585">
        <v>7</v>
      </c>
      <c r="B172" s="586"/>
      <c r="C172" s="587"/>
      <c r="D172" s="616" t="s">
        <v>50</v>
      </c>
      <c r="E172" s="589"/>
      <c r="F172" s="615">
        <v>0.30208333333333331</v>
      </c>
      <c r="G172" s="585"/>
      <c r="H172" s="586"/>
      <c r="I172" s="587"/>
      <c r="J172" s="594"/>
      <c r="K172" s="589"/>
      <c r="L172" s="591"/>
    </row>
    <row r="173" spans="1:12" ht="15.75" x14ac:dyDescent="0.25">
      <c r="A173" s="585"/>
      <c r="B173" s="586"/>
      <c r="C173" s="587"/>
      <c r="D173" s="594"/>
      <c r="E173" s="589"/>
      <c r="F173" s="591"/>
      <c r="G173" s="585" t="s">
        <v>727</v>
      </c>
      <c r="H173" s="586"/>
      <c r="I173" s="587"/>
      <c r="J173" s="613" t="s">
        <v>728</v>
      </c>
      <c r="K173" s="599"/>
      <c r="L173" s="614">
        <v>0.80208333333333337</v>
      </c>
    </row>
    <row r="174" spans="1:12" ht="15.75" x14ac:dyDescent="0.25">
      <c r="A174" s="585"/>
      <c r="B174" s="586"/>
      <c r="C174" s="587"/>
      <c r="D174" s="613" t="s">
        <v>728</v>
      </c>
      <c r="E174" s="599">
        <v>0.375</v>
      </c>
      <c r="F174" s="614"/>
      <c r="G174" s="585"/>
      <c r="H174" s="586"/>
      <c r="I174" s="587"/>
      <c r="J174" s="588"/>
      <c r="K174" s="589"/>
      <c r="L174" s="591"/>
    </row>
    <row r="175" spans="1:12" ht="15.75" x14ac:dyDescent="0.25">
      <c r="A175" s="585"/>
      <c r="B175" s="586" t="s">
        <v>276</v>
      </c>
      <c r="C175" s="587" t="s">
        <v>273</v>
      </c>
      <c r="D175" s="588"/>
      <c r="E175" s="589"/>
      <c r="F175" s="591"/>
      <c r="G175" s="585" t="s">
        <v>725</v>
      </c>
      <c r="H175" s="586"/>
      <c r="I175" s="587"/>
      <c r="J175" s="595" t="s">
        <v>48</v>
      </c>
      <c r="K175" s="599">
        <v>0.86111111111111116</v>
      </c>
      <c r="L175" s="596"/>
    </row>
    <row r="176" spans="1:12" ht="15.75" x14ac:dyDescent="0.25">
      <c r="A176" s="585"/>
      <c r="B176" s="586"/>
      <c r="C176" s="587"/>
      <c r="D176" s="594"/>
      <c r="E176" s="589"/>
      <c r="F176" s="591"/>
      <c r="G176" s="585"/>
      <c r="H176" s="586"/>
      <c r="I176" s="587"/>
      <c r="J176" s="650" t="s">
        <v>733</v>
      </c>
      <c r="K176" s="662">
        <v>0.88194444444444442</v>
      </c>
      <c r="L176" s="653"/>
    </row>
    <row r="177" spans="1:12" ht="15.75" x14ac:dyDescent="0.25">
      <c r="A177" s="585"/>
      <c r="B177" s="586" t="s">
        <v>273</v>
      </c>
      <c r="C177" s="587">
        <v>157</v>
      </c>
      <c r="D177" s="588" t="s">
        <v>761</v>
      </c>
      <c r="E177" s="589"/>
      <c r="F177" s="591"/>
      <c r="G177" s="585"/>
      <c r="H177" s="586" t="s">
        <v>276</v>
      </c>
      <c r="I177" s="587" t="s">
        <v>273</v>
      </c>
      <c r="J177" s="588"/>
      <c r="K177" s="651"/>
      <c r="L177" s="658"/>
    </row>
    <row r="178" spans="1:12" ht="15.75" x14ac:dyDescent="0.25">
      <c r="A178" s="585">
        <v>7</v>
      </c>
      <c r="B178" s="586"/>
      <c r="C178" s="587"/>
      <c r="D178" s="613" t="s">
        <v>728</v>
      </c>
      <c r="E178" s="589"/>
      <c r="F178" s="614">
        <v>0.375</v>
      </c>
      <c r="G178" s="585"/>
      <c r="H178" s="586"/>
      <c r="I178" s="587"/>
      <c r="J178" s="663"/>
      <c r="K178" s="662"/>
      <c r="L178" s="653"/>
    </row>
    <row r="179" spans="1:12" ht="15.75" x14ac:dyDescent="0.25">
      <c r="A179" s="585"/>
      <c r="B179" s="586"/>
      <c r="C179" s="587"/>
      <c r="D179" s="588"/>
      <c r="E179" s="589"/>
      <c r="F179" s="591"/>
      <c r="G179" s="585"/>
      <c r="H179" s="586"/>
      <c r="I179" s="587"/>
      <c r="J179" s="597"/>
      <c r="K179" s="651"/>
      <c r="L179" s="664"/>
    </row>
    <row r="180" spans="1:12" ht="15.75" x14ac:dyDescent="0.25">
      <c r="A180" s="585">
        <v>7</v>
      </c>
      <c r="B180" s="586"/>
      <c r="C180" s="587"/>
      <c r="D180" s="616" t="s">
        <v>50</v>
      </c>
      <c r="E180" s="589"/>
      <c r="F180" s="615">
        <v>0.44791666666666669</v>
      </c>
      <c r="G180" s="585"/>
      <c r="H180" s="586"/>
      <c r="I180" s="587"/>
      <c r="J180" s="650"/>
      <c r="K180" s="589"/>
      <c r="L180" s="653"/>
    </row>
    <row r="181" spans="1:12" ht="15.75" x14ac:dyDescent="0.25">
      <c r="A181" s="585"/>
      <c r="B181" s="586"/>
      <c r="C181" s="587"/>
      <c r="D181" s="594"/>
      <c r="E181" s="589"/>
      <c r="F181" s="591"/>
      <c r="G181" s="585"/>
      <c r="H181" s="586"/>
      <c r="I181" s="587"/>
      <c r="J181" s="617"/>
      <c r="K181" s="589"/>
      <c r="L181" s="658"/>
    </row>
    <row r="182" spans="1:12" ht="15.75" x14ac:dyDescent="0.25">
      <c r="A182" s="585"/>
      <c r="B182" s="586"/>
      <c r="C182" s="587"/>
      <c r="D182" s="613" t="s">
        <v>728</v>
      </c>
      <c r="E182" s="599">
        <v>0.52083333333333337</v>
      </c>
      <c r="F182" s="614"/>
      <c r="G182" s="585"/>
      <c r="H182" s="586"/>
      <c r="I182" s="587"/>
      <c r="J182" s="595"/>
      <c r="K182" s="589"/>
      <c r="L182" s="596"/>
    </row>
    <row r="183" spans="1:12" ht="15.75" x14ac:dyDescent="0.25">
      <c r="A183" s="585"/>
      <c r="B183" s="586" t="s">
        <v>273</v>
      </c>
      <c r="C183" s="587">
        <v>157</v>
      </c>
      <c r="D183" s="588" t="s">
        <v>762</v>
      </c>
      <c r="E183" s="589"/>
      <c r="F183" s="591"/>
      <c r="G183" s="585"/>
      <c r="H183" s="586"/>
      <c r="I183" s="587"/>
      <c r="J183" s="594"/>
      <c r="K183" s="589"/>
      <c r="L183" s="591"/>
    </row>
    <row r="184" spans="1:12" ht="15.75" x14ac:dyDescent="0.25">
      <c r="A184" s="585"/>
      <c r="B184" s="586"/>
      <c r="C184" s="587"/>
      <c r="D184" s="594"/>
      <c r="E184" s="589"/>
      <c r="F184" s="591"/>
      <c r="G184" s="585"/>
      <c r="H184" s="586"/>
      <c r="I184" s="587"/>
      <c r="J184" s="588"/>
      <c r="K184" s="599"/>
      <c r="L184" s="598"/>
    </row>
    <row r="185" spans="1:12" ht="15.75" x14ac:dyDescent="0.25">
      <c r="A185" s="585"/>
      <c r="B185" s="586" t="s">
        <v>273</v>
      </c>
      <c r="C185" s="587">
        <v>122</v>
      </c>
      <c r="D185" s="588" t="s">
        <v>763</v>
      </c>
      <c r="E185" s="589"/>
      <c r="F185" s="591"/>
      <c r="G185" s="585"/>
      <c r="H185" s="586"/>
      <c r="I185" s="587"/>
      <c r="J185" s="588"/>
      <c r="K185" s="589"/>
      <c r="L185" s="591"/>
    </row>
    <row r="186" spans="1:12" ht="15.75" x14ac:dyDescent="0.25">
      <c r="A186" s="585">
        <v>7</v>
      </c>
      <c r="B186" s="586"/>
      <c r="C186" s="587"/>
      <c r="D186" s="613" t="s">
        <v>728</v>
      </c>
      <c r="E186" s="589"/>
      <c r="F186" s="614">
        <v>0.52083333333333337</v>
      </c>
      <c r="G186" s="585"/>
      <c r="H186" s="586"/>
      <c r="I186" s="587"/>
      <c r="J186" s="588"/>
      <c r="K186" s="589"/>
      <c r="L186" s="596"/>
    </row>
    <row r="187" spans="1:12" ht="15.75" x14ac:dyDescent="0.25">
      <c r="A187" s="585"/>
      <c r="B187" s="586"/>
      <c r="C187" s="587"/>
      <c r="D187" s="588"/>
      <c r="E187" s="589"/>
      <c r="F187" s="591"/>
      <c r="G187" s="585"/>
      <c r="H187" s="586"/>
      <c r="I187" s="587"/>
      <c r="J187" s="597"/>
      <c r="K187" s="599"/>
      <c r="L187" s="591"/>
    </row>
    <row r="188" spans="1:12" ht="15.75" x14ac:dyDescent="0.25">
      <c r="A188" s="585">
        <v>7</v>
      </c>
      <c r="B188" s="586"/>
      <c r="C188" s="587"/>
      <c r="D188" s="616" t="s">
        <v>50</v>
      </c>
      <c r="E188" s="589"/>
      <c r="F188" s="615">
        <v>0.59375</v>
      </c>
      <c r="G188" s="585"/>
      <c r="H188" s="586"/>
      <c r="I188" s="587"/>
      <c r="J188" s="597"/>
      <c r="K188" s="589"/>
      <c r="L188" s="598"/>
    </row>
    <row r="189" spans="1:12" ht="15.75" x14ac:dyDescent="0.25">
      <c r="A189" s="585"/>
      <c r="B189" s="586"/>
      <c r="C189" s="587"/>
      <c r="D189" s="594"/>
      <c r="E189" s="589"/>
      <c r="F189" s="591"/>
      <c r="G189" s="585"/>
      <c r="H189" s="586"/>
      <c r="I189" s="587"/>
      <c r="J189" s="588"/>
      <c r="K189" s="589"/>
      <c r="L189" s="591"/>
    </row>
    <row r="190" spans="1:12" ht="15.75" x14ac:dyDescent="0.25">
      <c r="A190" s="585"/>
      <c r="B190" s="586"/>
      <c r="C190" s="587"/>
      <c r="D190" s="613" t="s">
        <v>728</v>
      </c>
      <c r="E190" s="599">
        <v>0.66666666666666663</v>
      </c>
      <c r="F190" s="614"/>
      <c r="G190" s="585"/>
      <c r="H190" s="586"/>
      <c r="I190" s="587"/>
      <c r="J190" s="595"/>
      <c r="K190" s="589"/>
      <c r="L190" s="596"/>
    </row>
    <row r="191" spans="1:12" ht="15.75" x14ac:dyDescent="0.25">
      <c r="A191" s="585"/>
      <c r="B191" s="586" t="s">
        <v>273</v>
      </c>
      <c r="C191" s="587">
        <v>122</v>
      </c>
      <c r="D191" s="588" t="s">
        <v>764</v>
      </c>
      <c r="E191" s="589"/>
      <c r="F191" s="591"/>
      <c r="G191" s="585"/>
      <c r="H191" s="586"/>
      <c r="I191" s="587"/>
      <c r="J191" s="594"/>
      <c r="K191" s="589"/>
      <c r="L191" s="591"/>
    </row>
    <row r="192" spans="1:12" ht="15.75" x14ac:dyDescent="0.25">
      <c r="A192" s="585"/>
      <c r="B192" s="586"/>
      <c r="C192" s="587"/>
      <c r="D192" s="588"/>
      <c r="E192" s="589"/>
      <c r="F192" s="591"/>
      <c r="G192" s="585"/>
      <c r="H192" s="586"/>
      <c r="I192" s="587"/>
      <c r="J192" s="588"/>
      <c r="K192" s="599"/>
      <c r="L192" s="598"/>
    </row>
    <row r="193" spans="1:12" ht="15.75" x14ac:dyDescent="0.25">
      <c r="A193" s="585"/>
      <c r="B193" s="586"/>
      <c r="C193" s="587"/>
      <c r="D193" s="594"/>
      <c r="E193" s="589"/>
      <c r="F193" s="591"/>
      <c r="G193" s="585"/>
      <c r="H193" s="586"/>
      <c r="I193" s="587"/>
      <c r="J193" s="588"/>
      <c r="K193" s="589"/>
      <c r="L193" s="591"/>
    </row>
    <row r="194" spans="1:12" ht="15.75" x14ac:dyDescent="0.25">
      <c r="A194" s="585"/>
      <c r="B194" s="586"/>
      <c r="C194" s="587"/>
      <c r="D194" s="597"/>
      <c r="E194" s="599"/>
      <c r="F194" s="598"/>
      <c r="G194" s="585"/>
      <c r="H194" s="586"/>
      <c r="I194" s="587"/>
      <c r="J194" s="588"/>
      <c r="K194" s="599"/>
      <c r="L194" s="596"/>
    </row>
    <row r="195" spans="1:12" ht="15.75" x14ac:dyDescent="0.25">
      <c r="A195" s="585"/>
      <c r="B195" s="586"/>
      <c r="C195" s="587"/>
      <c r="D195" s="594"/>
      <c r="E195" s="589"/>
      <c r="F195" s="591"/>
      <c r="G195" s="585"/>
      <c r="H195" s="586"/>
      <c r="I195" s="587"/>
      <c r="J195" s="594"/>
      <c r="K195" s="589"/>
      <c r="L195" s="591"/>
    </row>
    <row r="196" spans="1:12" ht="15.75" x14ac:dyDescent="0.25">
      <c r="A196" s="585"/>
      <c r="B196" s="586"/>
      <c r="C196" s="587"/>
      <c r="D196" s="588"/>
      <c r="E196" s="589"/>
      <c r="F196" s="591"/>
      <c r="G196" s="585"/>
      <c r="H196" s="586"/>
      <c r="I196" s="587"/>
      <c r="J196" s="588"/>
      <c r="K196" s="599"/>
      <c r="L196" s="598"/>
    </row>
    <row r="197" spans="1:12" ht="15.75" x14ac:dyDescent="0.25">
      <c r="A197" s="585"/>
      <c r="B197" s="586"/>
      <c r="C197" s="587"/>
      <c r="D197" s="594"/>
      <c r="E197" s="589"/>
      <c r="F197" s="591"/>
      <c r="G197" s="585"/>
      <c r="H197" s="586"/>
      <c r="I197" s="587"/>
      <c r="J197" s="594"/>
      <c r="K197" s="589"/>
      <c r="L197" s="591"/>
    </row>
    <row r="198" spans="1:12" ht="15.75" x14ac:dyDescent="0.25">
      <c r="A198" s="585"/>
      <c r="B198" s="586"/>
      <c r="C198" s="587"/>
      <c r="D198" s="588"/>
      <c r="E198" s="589"/>
      <c r="F198" s="591"/>
      <c r="G198" s="585"/>
      <c r="H198" s="586"/>
      <c r="I198" s="587"/>
      <c r="J198" s="588"/>
      <c r="K198" s="589"/>
      <c r="L198" s="591"/>
    </row>
    <row r="199" spans="1:12" ht="15.75" x14ac:dyDescent="0.25">
      <c r="A199" s="585"/>
      <c r="B199" s="586"/>
      <c r="C199" s="601"/>
      <c r="D199" s="594"/>
      <c r="E199" s="589"/>
      <c r="F199" s="591"/>
      <c r="G199" s="600"/>
      <c r="H199" s="586"/>
      <c r="I199" s="601"/>
      <c r="J199" s="588"/>
      <c r="K199" s="589"/>
      <c r="L199" s="591"/>
    </row>
    <row r="200" spans="1:12" ht="16.5" thickBot="1" x14ac:dyDescent="0.3">
      <c r="A200" s="602"/>
      <c r="B200" s="603"/>
      <c r="C200" s="604"/>
      <c r="D200" s="605"/>
      <c r="E200" s="606"/>
      <c r="F200" s="607"/>
      <c r="G200" s="608"/>
      <c r="H200" s="609"/>
      <c r="I200" s="610"/>
      <c r="J200" s="611"/>
      <c r="K200" s="606"/>
      <c r="L200" s="612"/>
    </row>
    <row r="201" spans="1:12" ht="23.25" x14ac:dyDescent="0.35">
      <c r="A201" s="1228" t="s">
        <v>712</v>
      </c>
      <c r="B201" s="1229"/>
      <c r="C201" s="1229"/>
      <c r="D201" s="1229"/>
      <c r="E201" s="1229"/>
      <c r="F201" s="1229"/>
      <c r="G201" s="1229"/>
      <c r="H201" s="1229"/>
      <c r="I201" s="1229"/>
      <c r="J201" s="1229"/>
      <c r="K201" s="1229"/>
      <c r="L201" s="1230"/>
    </row>
    <row r="202" spans="1:12" ht="24" thickBot="1" x14ac:dyDescent="0.4">
      <c r="A202" s="1231" t="s">
        <v>713</v>
      </c>
      <c r="B202" s="1232"/>
      <c r="C202" s="1232"/>
      <c r="D202" s="1232"/>
      <c r="E202" s="1232"/>
      <c r="F202" s="1232"/>
      <c r="G202" s="1232"/>
      <c r="H202" s="1232"/>
      <c r="I202" s="1232"/>
      <c r="J202" s="1232"/>
      <c r="K202" s="1232"/>
      <c r="L202" s="1233"/>
    </row>
    <row r="203" spans="1:12" ht="24" thickBot="1" x14ac:dyDescent="0.4">
      <c r="A203" s="1234" t="s">
        <v>714</v>
      </c>
      <c r="B203" s="1235"/>
      <c r="C203" s="1235"/>
      <c r="D203" s="1235"/>
      <c r="E203" s="1235"/>
      <c r="F203" s="1235"/>
      <c r="G203" s="1235"/>
      <c r="H203" s="1235"/>
      <c r="I203" s="1235"/>
      <c r="J203" s="1235"/>
      <c r="K203" s="1235"/>
      <c r="L203" s="1236"/>
    </row>
    <row r="204" spans="1:12" ht="23.25" x14ac:dyDescent="0.35">
      <c r="A204" s="557" t="s">
        <v>715</v>
      </c>
      <c r="B204" s="558"/>
      <c r="C204" s="558"/>
      <c r="D204" s="559" t="s">
        <v>716</v>
      </c>
      <c r="E204" s="1232" t="s">
        <v>717</v>
      </c>
      <c r="F204" s="1232"/>
      <c r="G204" s="1232"/>
      <c r="H204" s="1232"/>
      <c r="I204" s="1232"/>
      <c r="J204" s="556" t="s">
        <v>765</v>
      </c>
      <c r="K204" s="1232"/>
      <c r="L204" s="1233"/>
    </row>
    <row r="205" spans="1:12" ht="15.75" thickBot="1" x14ac:dyDescent="0.3">
      <c r="A205" s="560"/>
      <c r="B205" s="561"/>
      <c r="C205" s="561"/>
      <c r="D205" s="562"/>
      <c r="E205" s="561"/>
      <c r="F205" s="561"/>
      <c r="G205" s="561"/>
      <c r="H205" s="561"/>
      <c r="I205" s="1227"/>
      <c r="J205" s="1227"/>
      <c r="K205" s="561"/>
      <c r="L205" s="563"/>
    </row>
    <row r="206" spans="1:12" ht="16.5" thickBot="1" x14ac:dyDescent="0.3">
      <c r="A206" s="564" t="s">
        <v>719</v>
      </c>
      <c r="B206" s="565"/>
      <c r="C206" s="566"/>
      <c r="D206" s="567" t="s">
        <v>720</v>
      </c>
      <c r="E206" s="568" t="s">
        <v>721</v>
      </c>
      <c r="F206" s="569" t="s">
        <v>722</v>
      </c>
      <c r="G206" s="564" t="s">
        <v>719</v>
      </c>
      <c r="H206" s="570"/>
      <c r="I206" s="571"/>
      <c r="J206" s="572" t="s">
        <v>720</v>
      </c>
      <c r="K206" s="564" t="s">
        <v>721</v>
      </c>
      <c r="L206" s="564" t="s">
        <v>722</v>
      </c>
    </row>
    <row r="207" spans="1:12" ht="15.75" x14ac:dyDescent="0.25">
      <c r="A207" s="573"/>
      <c r="B207" s="574"/>
      <c r="C207" s="575"/>
      <c r="D207" s="576"/>
      <c r="E207" s="577"/>
      <c r="F207" s="578"/>
      <c r="G207" s="579"/>
      <c r="H207" s="580"/>
      <c r="I207" s="581"/>
      <c r="J207" s="582"/>
      <c r="K207" s="583"/>
      <c r="L207" s="584"/>
    </row>
    <row r="208" spans="1:12" ht="15.75" x14ac:dyDescent="0.25">
      <c r="A208" s="585"/>
      <c r="B208" s="586" t="s">
        <v>273</v>
      </c>
      <c r="C208" s="587">
        <v>106</v>
      </c>
      <c r="D208" s="588" t="s">
        <v>766</v>
      </c>
      <c r="E208" s="589"/>
      <c r="F208" s="590"/>
      <c r="G208" s="585"/>
      <c r="H208" s="586" t="s">
        <v>273</v>
      </c>
      <c r="I208" s="587">
        <v>124</v>
      </c>
      <c r="J208" s="588" t="s">
        <v>767</v>
      </c>
      <c r="K208" s="589"/>
      <c r="L208" s="591"/>
    </row>
    <row r="209" spans="1:12" ht="15.75" x14ac:dyDescent="0.25">
      <c r="A209" s="585" t="s">
        <v>725</v>
      </c>
      <c r="B209" s="592"/>
      <c r="C209" s="587"/>
      <c r="D209" s="588" t="s">
        <v>726</v>
      </c>
      <c r="E209" s="589"/>
      <c r="F209" s="593">
        <v>0.23958333333333334</v>
      </c>
      <c r="G209" s="585">
        <v>7</v>
      </c>
      <c r="H209" s="586"/>
      <c r="I209" s="587"/>
      <c r="J209" s="613" t="s">
        <v>728</v>
      </c>
      <c r="K209" s="589"/>
      <c r="L209" s="614">
        <v>0.75</v>
      </c>
    </row>
    <row r="210" spans="1:12" ht="15.75" x14ac:dyDescent="0.25">
      <c r="A210" s="585">
        <v>7</v>
      </c>
      <c r="B210" s="586"/>
      <c r="C210" s="587"/>
      <c r="D210" s="616" t="s">
        <v>50</v>
      </c>
      <c r="E210" s="589"/>
      <c r="F210" s="615">
        <v>0.26041666666666669</v>
      </c>
      <c r="G210" s="585"/>
      <c r="H210" s="586"/>
      <c r="I210" s="587"/>
      <c r="J210" s="588"/>
      <c r="K210" s="589"/>
      <c r="L210" s="591"/>
    </row>
    <row r="211" spans="1:12" ht="15.75" x14ac:dyDescent="0.25">
      <c r="A211" s="585"/>
      <c r="B211" s="586"/>
      <c r="C211" s="587"/>
      <c r="D211" s="588"/>
      <c r="E211" s="589"/>
      <c r="F211" s="591"/>
      <c r="G211" s="585">
        <v>7</v>
      </c>
      <c r="H211" s="586"/>
      <c r="I211" s="587"/>
      <c r="J211" s="616" t="s">
        <v>50</v>
      </c>
      <c r="K211" s="589"/>
      <c r="L211" s="615">
        <v>0.82291666666666663</v>
      </c>
    </row>
    <row r="212" spans="1:12" ht="15.75" x14ac:dyDescent="0.25">
      <c r="A212" s="585">
        <v>7</v>
      </c>
      <c r="B212" s="586"/>
      <c r="C212" s="587"/>
      <c r="D212" s="613" t="s">
        <v>728</v>
      </c>
      <c r="E212" s="589"/>
      <c r="F212" s="614">
        <v>0.3125</v>
      </c>
      <c r="G212" s="585"/>
      <c r="H212" s="586"/>
      <c r="I212" s="587"/>
      <c r="J212" s="594"/>
      <c r="K212" s="589"/>
      <c r="L212" s="591"/>
    </row>
    <row r="213" spans="1:12" ht="15.75" x14ac:dyDescent="0.25">
      <c r="A213" s="585"/>
      <c r="B213" s="586"/>
      <c r="C213" s="587"/>
      <c r="D213" s="588"/>
      <c r="E213" s="589"/>
      <c r="F213" s="591"/>
      <c r="G213" s="585"/>
      <c r="H213" s="586"/>
      <c r="I213" s="587"/>
      <c r="J213" s="613" t="s">
        <v>728</v>
      </c>
      <c r="K213" s="599">
        <v>0.875</v>
      </c>
      <c r="L213" s="614"/>
    </row>
    <row r="214" spans="1:12" ht="15.75" x14ac:dyDescent="0.25">
      <c r="A214" s="585">
        <v>7</v>
      </c>
      <c r="B214" s="586"/>
      <c r="C214" s="587"/>
      <c r="D214" s="616" t="s">
        <v>50</v>
      </c>
      <c r="E214" s="589"/>
      <c r="F214" s="615">
        <v>0.38541666666666669</v>
      </c>
      <c r="G214" s="585"/>
      <c r="H214" s="586" t="s">
        <v>276</v>
      </c>
      <c r="I214" s="587" t="s">
        <v>273</v>
      </c>
      <c r="J214" s="588"/>
      <c r="K214" s="589"/>
      <c r="L214" s="591"/>
    </row>
    <row r="215" spans="1:12" ht="15.75" x14ac:dyDescent="0.25">
      <c r="A215" s="585"/>
      <c r="B215" s="586"/>
      <c r="C215" s="587"/>
      <c r="D215" s="594"/>
      <c r="E215" s="589"/>
      <c r="F215" s="591"/>
      <c r="G215" s="585"/>
      <c r="H215" s="586"/>
      <c r="I215" s="587"/>
      <c r="J215" s="597"/>
      <c r="K215" s="599"/>
      <c r="L215" s="598"/>
    </row>
    <row r="216" spans="1:12" ht="15.75" x14ac:dyDescent="0.25">
      <c r="A216" s="585"/>
      <c r="B216" s="586"/>
      <c r="C216" s="587"/>
      <c r="D216" s="613" t="s">
        <v>728</v>
      </c>
      <c r="E216" s="599">
        <v>0.45833333333333331</v>
      </c>
      <c r="F216" s="614"/>
      <c r="G216" s="585"/>
      <c r="H216" s="586" t="s">
        <v>273</v>
      </c>
      <c r="I216" s="587">
        <v>141</v>
      </c>
      <c r="J216" s="588" t="s">
        <v>768</v>
      </c>
      <c r="K216" s="589"/>
      <c r="L216" s="591"/>
    </row>
    <row r="217" spans="1:12" ht="15.75" x14ac:dyDescent="0.25">
      <c r="A217" s="585"/>
      <c r="B217" s="586" t="s">
        <v>276</v>
      </c>
      <c r="C217" s="587" t="s">
        <v>273</v>
      </c>
      <c r="D217" s="588"/>
      <c r="E217" s="589"/>
      <c r="F217" s="591"/>
      <c r="G217" s="585">
        <v>7</v>
      </c>
      <c r="H217" s="586"/>
      <c r="I217" s="587"/>
      <c r="J217" s="613" t="s">
        <v>728</v>
      </c>
      <c r="K217" s="589"/>
      <c r="L217" s="614">
        <v>0.875</v>
      </c>
    </row>
    <row r="218" spans="1:12" ht="15.75" x14ac:dyDescent="0.25">
      <c r="A218" s="585"/>
      <c r="B218" s="586"/>
      <c r="C218" s="587"/>
      <c r="D218" s="594"/>
      <c r="E218" s="589"/>
      <c r="F218" s="591"/>
      <c r="G218" s="585"/>
      <c r="H218" s="586"/>
      <c r="I218" s="587"/>
      <c r="J218" s="588"/>
      <c r="K218" s="589"/>
      <c r="L218" s="591"/>
    </row>
    <row r="219" spans="1:12" ht="15.75" x14ac:dyDescent="0.25">
      <c r="A219" s="585"/>
      <c r="B219" s="586" t="s">
        <v>273</v>
      </c>
      <c r="C219" s="587">
        <v>119</v>
      </c>
      <c r="D219" s="588" t="s">
        <v>769</v>
      </c>
      <c r="E219" s="589"/>
      <c r="F219" s="591"/>
      <c r="G219" s="585">
        <v>7</v>
      </c>
      <c r="H219" s="586"/>
      <c r="I219" s="587"/>
      <c r="J219" s="616" t="s">
        <v>50</v>
      </c>
      <c r="K219" s="589"/>
      <c r="L219" s="615">
        <v>0.92708333333333337</v>
      </c>
    </row>
    <row r="220" spans="1:12" ht="15.75" x14ac:dyDescent="0.25">
      <c r="A220" s="585">
        <v>7</v>
      </c>
      <c r="B220" s="586"/>
      <c r="C220" s="587"/>
      <c r="D220" s="613" t="s">
        <v>728</v>
      </c>
      <c r="E220" s="589"/>
      <c r="F220" s="614">
        <v>0.45833333333333331</v>
      </c>
      <c r="G220" s="585"/>
      <c r="H220" s="586"/>
      <c r="I220" s="587"/>
      <c r="J220" s="594"/>
      <c r="K220" s="589"/>
      <c r="L220" s="591"/>
    </row>
    <row r="221" spans="1:12" ht="15.75" x14ac:dyDescent="0.25">
      <c r="A221" s="585"/>
      <c r="B221" s="586"/>
      <c r="C221" s="587"/>
      <c r="D221" s="588"/>
      <c r="E221" s="589"/>
      <c r="F221" s="591"/>
      <c r="G221" s="585">
        <v>7</v>
      </c>
      <c r="H221" s="586"/>
      <c r="I221" s="587"/>
      <c r="J221" s="613" t="s">
        <v>728</v>
      </c>
      <c r="K221" s="599"/>
      <c r="L221" s="614">
        <v>0.97916666666666663</v>
      </c>
    </row>
    <row r="222" spans="1:12" ht="15.75" x14ac:dyDescent="0.25">
      <c r="A222" s="585">
        <v>7</v>
      </c>
      <c r="B222" s="586"/>
      <c r="C222" s="587"/>
      <c r="D222" s="616" t="s">
        <v>50</v>
      </c>
      <c r="E222" s="589"/>
      <c r="F222" s="615">
        <v>0.53125</v>
      </c>
      <c r="G222" s="585"/>
      <c r="H222" s="586"/>
      <c r="I222" s="587"/>
      <c r="J222" s="588"/>
      <c r="K222" s="589"/>
      <c r="L222" s="591"/>
    </row>
    <row r="223" spans="1:12" ht="15.75" x14ac:dyDescent="0.25">
      <c r="A223" s="585"/>
      <c r="B223" s="586"/>
      <c r="C223" s="587"/>
      <c r="D223" s="594"/>
      <c r="E223" s="589"/>
      <c r="F223" s="591"/>
      <c r="G223" s="585" t="s">
        <v>725</v>
      </c>
      <c r="H223" s="586"/>
      <c r="I223" s="587"/>
      <c r="J223" s="616" t="s">
        <v>50</v>
      </c>
      <c r="K223" s="599">
        <v>1.0173611111111112</v>
      </c>
      <c r="L223" s="596"/>
    </row>
    <row r="224" spans="1:12" ht="15.75" x14ac:dyDescent="0.25">
      <c r="A224" s="585"/>
      <c r="B224" s="586"/>
      <c r="C224" s="587"/>
      <c r="D224" s="613" t="s">
        <v>728</v>
      </c>
      <c r="E224" s="599">
        <v>0.60416666666666663</v>
      </c>
      <c r="F224" s="614"/>
      <c r="G224" s="585"/>
      <c r="H224" s="586"/>
      <c r="I224" s="587"/>
      <c r="J224" s="650" t="s">
        <v>733</v>
      </c>
      <c r="K224" s="662">
        <v>1.0347222222222223</v>
      </c>
      <c r="L224" s="598"/>
    </row>
    <row r="225" spans="1:12" ht="15.75" x14ac:dyDescent="0.25">
      <c r="A225" s="585"/>
      <c r="B225" s="586" t="s">
        <v>276</v>
      </c>
      <c r="C225" s="587" t="s">
        <v>273</v>
      </c>
      <c r="D225" s="588"/>
      <c r="E225" s="589"/>
      <c r="F225" s="591"/>
      <c r="G225" s="585"/>
      <c r="H225" s="586" t="s">
        <v>276</v>
      </c>
      <c r="I225" s="587" t="s">
        <v>273</v>
      </c>
      <c r="J225" s="588"/>
      <c r="K225" s="651"/>
      <c r="L225" s="591"/>
    </row>
    <row r="226" spans="1:12" ht="15.75" x14ac:dyDescent="0.25">
      <c r="A226" s="585"/>
      <c r="B226" s="586"/>
      <c r="C226" s="587"/>
      <c r="D226" s="594"/>
      <c r="E226" s="589"/>
      <c r="F226" s="591"/>
      <c r="G226" s="585"/>
      <c r="H226" s="586"/>
      <c r="I226" s="587"/>
      <c r="J226" s="663"/>
      <c r="K226" s="662"/>
      <c r="L226" s="596"/>
    </row>
    <row r="227" spans="1:12" ht="15.75" x14ac:dyDescent="0.25">
      <c r="A227" s="585"/>
      <c r="B227" s="586" t="s">
        <v>273</v>
      </c>
      <c r="C227" s="587">
        <v>154</v>
      </c>
      <c r="D227" s="588" t="s">
        <v>770</v>
      </c>
      <c r="E227" s="589"/>
      <c r="F227" s="591"/>
      <c r="G227" s="585"/>
      <c r="H227" s="586"/>
      <c r="I227" s="587"/>
      <c r="J227" s="617"/>
      <c r="K227" s="651"/>
      <c r="L227" s="591"/>
    </row>
    <row r="228" spans="1:12" ht="15.75" x14ac:dyDescent="0.25">
      <c r="A228" s="585">
        <v>7</v>
      </c>
      <c r="B228" s="586"/>
      <c r="C228" s="587"/>
      <c r="D228" s="613" t="s">
        <v>728</v>
      </c>
      <c r="E228" s="589"/>
      <c r="F228" s="614">
        <v>0.60416666666666663</v>
      </c>
      <c r="G228" s="585"/>
      <c r="H228" s="586"/>
      <c r="I228" s="587"/>
      <c r="J228" s="661"/>
      <c r="K228" s="589"/>
      <c r="L228" s="596"/>
    </row>
    <row r="229" spans="1:12" ht="15.75" x14ac:dyDescent="0.25">
      <c r="A229" s="585"/>
      <c r="B229" s="586"/>
      <c r="C229" s="587"/>
      <c r="D229" s="588"/>
      <c r="E229" s="589"/>
      <c r="F229" s="591"/>
      <c r="G229" s="585"/>
      <c r="H229" s="586"/>
      <c r="I229" s="587"/>
      <c r="J229" s="650"/>
      <c r="K229" s="662"/>
      <c r="L229" s="591"/>
    </row>
    <row r="230" spans="1:12" ht="15.75" x14ac:dyDescent="0.25">
      <c r="A230" s="585">
        <v>7</v>
      </c>
      <c r="B230" s="586"/>
      <c r="C230" s="587"/>
      <c r="D230" s="616" t="s">
        <v>50</v>
      </c>
      <c r="E230" s="589"/>
      <c r="F230" s="615">
        <v>0.67708333333333337</v>
      </c>
      <c r="G230" s="585"/>
      <c r="H230" s="586"/>
      <c r="I230" s="587"/>
      <c r="J230" s="661"/>
      <c r="K230" s="651"/>
      <c r="L230" s="598"/>
    </row>
    <row r="231" spans="1:12" ht="15.75" x14ac:dyDescent="0.25">
      <c r="A231" s="585"/>
      <c r="B231" s="586"/>
      <c r="C231" s="587"/>
      <c r="D231" s="594"/>
      <c r="E231" s="589"/>
      <c r="F231" s="591"/>
      <c r="G231" s="585"/>
      <c r="H231" s="586"/>
      <c r="I231" s="587"/>
      <c r="J231" s="594"/>
      <c r="K231" s="589"/>
      <c r="L231" s="591"/>
    </row>
    <row r="232" spans="1:12" ht="15.75" x14ac:dyDescent="0.25">
      <c r="A232" s="585"/>
      <c r="B232" s="586"/>
      <c r="C232" s="587"/>
      <c r="D232" s="613" t="s">
        <v>728</v>
      </c>
      <c r="E232" s="599">
        <v>0.75</v>
      </c>
      <c r="F232" s="614"/>
      <c r="G232" s="585"/>
      <c r="H232" s="586"/>
      <c r="I232" s="587"/>
      <c r="J232" s="588"/>
      <c r="K232" s="599"/>
      <c r="L232" s="598"/>
    </row>
    <row r="233" spans="1:12" ht="15.75" x14ac:dyDescent="0.25">
      <c r="A233" s="585"/>
      <c r="B233" s="586" t="s">
        <v>276</v>
      </c>
      <c r="C233" s="587" t="s">
        <v>273</v>
      </c>
      <c r="D233" s="588"/>
      <c r="E233" s="589"/>
      <c r="F233" s="591"/>
      <c r="G233" s="585"/>
      <c r="H233" s="586"/>
      <c r="I233" s="587"/>
      <c r="J233" s="588"/>
      <c r="K233" s="589"/>
      <c r="L233" s="591"/>
    </row>
    <row r="234" spans="1:12" ht="15.75" x14ac:dyDescent="0.25">
      <c r="A234" s="585"/>
      <c r="B234" s="586"/>
      <c r="C234" s="587"/>
      <c r="D234" s="597"/>
      <c r="E234" s="599"/>
      <c r="F234" s="598"/>
      <c r="G234" s="585"/>
      <c r="H234" s="586"/>
      <c r="I234" s="587"/>
      <c r="J234" s="588"/>
      <c r="K234" s="599"/>
      <c r="L234" s="596"/>
    </row>
    <row r="235" spans="1:12" ht="15.75" x14ac:dyDescent="0.25">
      <c r="A235" s="585"/>
      <c r="B235" s="586"/>
      <c r="C235" s="587"/>
      <c r="D235" s="594"/>
      <c r="E235" s="589"/>
      <c r="F235" s="591"/>
      <c r="G235" s="585"/>
      <c r="H235" s="586"/>
      <c r="I235" s="587"/>
      <c r="J235" s="594"/>
      <c r="K235" s="589"/>
      <c r="L235" s="591"/>
    </row>
    <row r="236" spans="1:12" ht="15.75" x14ac:dyDescent="0.25">
      <c r="A236" s="585"/>
      <c r="B236" s="586"/>
      <c r="C236" s="587"/>
      <c r="D236" s="588"/>
      <c r="E236" s="589"/>
      <c r="F236" s="591"/>
      <c r="G236" s="585"/>
      <c r="H236" s="586"/>
      <c r="I236" s="587"/>
      <c r="J236" s="588"/>
      <c r="K236" s="599"/>
      <c r="L236" s="598"/>
    </row>
    <row r="237" spans="1:12" ht="15.75" x14ac:dyDescent="0.25">
      <c r="A237" s="585"/>
      <c r="B237" s="586"/>
      <c r="C237" s="587"/>
      <c r="D237" s="594"/>
      <c r="E237" s="589"/>
      <c r="F237" s="591"/>
      <c r="G237" s="585"/>
      <c r="H237" s="586"/>
      <c r="I237" s="587"/>
      <c r="J237" s="594"/>
      <c r="K237" s="589"/>
      <c r="L237" s="591"/>
    </row>
    <row r="238" spans="1:12" ht="15.75" x14ac:dyDescent="0.25">
      <c r="A238" s="585"/>
      <c r="B238" s="586"/>
      <c r="C238" s="587"/>
      <c r="D238" s="588"/>
      <c r="E238" s="589"/>
      <c r="F238" s="591"/>
      <c r="G238" s="585"/>
      <c r="H238" s="586"/>
      <c r="I238" s="587"/>
      <c r="J238" s="588"/>
      <c r="K238" s="589"/>
      <c r="L238" s="591"/>
    </row>
    <row r="239" spans="1:12" ht="15.75" x14ac:dyDescent="0.25">
      <c r="A239" s="585"/>
      <c r="B239" s="586"/>
      <c r="C239" s="601"/>
      <c r="D239" s="594"/>
      <c r="E239" s="589"/>
      <c r="F239" s="591"/>
      <c r="G239" s="600"/>
      <c r="H239" s="586"/>
      <c r="I239" s="601"/>
      <c r="J239" s="588"/>
      <c r="K239" s="589"/>
      <c r="L239" s="591"/>
    </row>
    <row r="240" spans="1:12" ht="16.5" thickBot="1" x14ac:dyDescent="0.3">
      <c r="A240" s="602"/>
      <c r="B240" s="603"/>
      <c r="C240" s="604"/>
      <c r="D240" s="605"/>
      <c r="E240" s="606"/>
      <c r="F240" s="607"/>
      <c r="G240" s="608"/>
      <c r="H240" s="609"/>
      <c r="I240" s="610"/>
      <c r="J240" s="611"/>
      <c r="K240" s="606"/>
      <c r="L240" s="612"/>
    </row>
    <row r="241" spans="1:12" ht="23.25" x14ac:dyDescent="0.35">
      <c r="A241" s="1228" t="s">
        <v>712</v>
      </c>
      <c r="B241" s="1229"/>
      <c r="C241" s="1229"/>
      <c r="D241" s="1229"/>
      <c r="E241" s="1229"/>
      <c r="F241" s="1229"/>
      <c r="G241" s="1229"/>
      <c r="H241" s="1229"/>
      <c r="I241" s="1229"/>
      <c r="J241" s="1229"/>
      <c r="K241" s="1229"/>
      <c r="L241" s="1230"/>
    </row>
    <row r="242" spans="1:12" ht="24" thickBot="1" x14ac:dyDescent="0.4">
      <c r="A242" s="1231" t="s">
        <v>713</v>
      </c>
      <c r="B242" s="1232"/>
      <c r="C242" s="1232"/>
      <c r="D242" s="1232"/>
      <c r="E242" s="1232"/>
      <c r="F242" s="1232"/>
      <c r="G242" s="1232"/>
      <c r="H242" s="1232"/>
      <c r="I242" s="1232"/>
      <c r="J242" s="1232"/>
      <c r="K242" s="1232"/>
      <c r="L242" s="1233"/>
    </row>
    <row r="243" spans="1:12" ht="24" thickBot="1" x14ac:dyDescent="0.4">
      <c r="A243" s="1234" t="s">
        <v>714</v>
      </c>
      <c r="B243" s="1235"/>
      <c r="C243" s="1235"/>
      <c r="D243" s="1235"/>
      <c r="E243" s="1235"/>
      <c r="F243" s="1235"/>
      <c r="G243" s="1235"/>
      <c r="H243" s="1235"/>
      <c r="I243" s="1235"/>
      <c r="J243" s="1235"/>
      <c r="K243" s="1235"/>
      <c r="L243" s="1236"/>
    </row>
    <row r="244" spans="1:12" ht="23.25" x14ac:dyDescent="0.35">
      <c r="A244" s="557" t="s">
        <v>715</v>
      </c>
      <c r="B244" s="558"/>
      <c r="C244" s="558"/>
      <c r="D244" s="559" t="s">
        <v>716</v>
      </c>
      <c r="E244" s="1232" t="s">
        <v>717</v>
      </c>
      <c r="F244" s="1232"/>
      <c r="G244" s="1232"/>
      <c r="H244" s="1232"/>
      <c r="I244" s="1232"/>
      <c r="J244" s="556" t="s">
        <v>771</v>
      </c>
      <c r="K244" s="1232"/>
      <c r="L244" s="1233"/>
    </row>
    <row r="245" spans="1:12" ht="15.75" thickBot="1" x14ac:dyDescent="0.3">
      <c r="A245" s="560"/>
      <c r="B245" s="561"/>
      <c r="C245" s="561"/>
      <c r="D245" s="562"/>
      <c r="E245" s="561"/>
      <c r="F245" s="561"/>
      <c r="G245" s="561"/>
      <c r="H245" s="561"/>
      <c r="I245" s="1227"/>
      <c r="J245" s="1227"/>
      <c r="K245" s="561"/>
      <c r="L245" s="563"/>
    </row>
    <row r="246" spans="1:12" ht="16.5" thickBot="1" x14ac:dyDescent="0.3">
      <c r="A246" s="564" t="s">
        <v>719</v>
      </c>
      <c r="B246" s="565"/>
      <c r="C246" s="566"/>
      <c r="D246" s="567" t="s">
        <v>720</v>
      </c>
      <c r="E246" s="568" t="s">
        <v>721</v>
      </c>
      <c r="F246" s="569" t="s">
        <v>722</v>
      </c>
      <c r="G246" s="564" t="s">
        <v>719</v>
      </c>
      <c r="H246" s="570"/>
      <c r="I246" s="571"/>
      <c r="J246" s="572" t="s">
        <v>720</v>
      </c>
      <c r="K246" s="564" t="s">
        <v>721</v>
      </c>
      <c r="L246" s="564" t="s">
        <v>722</v>
      </c>
    </row>
    <row r="247" spans="1:12" ht="15.75" x14ac:dyDescent="0.25">
      <c r="A247" s="573"/>
      <c r="B247" s="574"/>
      <c r="C247" s="575"/>
      <c r="D247" s="576"/>
      <c r="E247" s="577"/>
      <c r="F247" s="578"/>
      <c r="G247" s="579"/>
      <c r="H247" s="580"/>
      <c r="I247" s="581"/>
      <c r="J247" s="582"/>
      <c r="K247" s="583"/>
      <c r="L247" s="584"/>
    </row>
    <row r="248" spans="1:12" ht="15.75" x14ac:dyDescent="0.25">
      <c r="A248" s="585"/>
      <c r="B248" s="586" t="s">
        <v>273</v>
      </c>
      <c r="C248" s="587">
        <v>107</v>
      </c>
      <c r="D248" s="588" t="s">
        <v>772</v>
      </c>
      <c r="E248" s="589"/>
      <c r="F248" s="590"/>
      <c r="G248" s="585"/>
      <c r="H248" s="586" t="s">
        <v>273</v>
      </c>
      <c r="I248" s="587">
        <v>145</v>
      </c>
      <c r="J248" s="588" t="s">
        <v>773</v>
      </c>
      <c r="K248" s="589"/>
      <c r="L248" s="590"/>
    </row>
    <row r="249" spans="1:12" ht="15.75" x14ac:dyDescent="0.25">
      <c r="A249" s="585" t="s">
        <v>725</v>
      </c>
      <c r="B249" s="592"/>
      <c r="C249" s="587"/>
      <c r="D249" s="588" t="s">
        <v>726</v>
      </c>
      <c r="E249" s="589"/>
      <c r="F249" s="593">
        <v>0.24305555555555555</v>
      </c>
      <c r="G249" s="585" t="s">
        <v>727</v>
      </c>
      <c r="H249" s="586"/>
      <c r="I249" s="587"/>
      <c r="J249" s="613" t="s">
        <v>728</v>
      </c>
      <c r="K249" s="589"/>
      <c r="L249" s="614">
        <v>0.82291666666666663</v>
      </c>
    </row>
    <row r="250" spans="1:12" ht="15.75" x14ac:dyDescent="0.25">
      <c r="A250" s="585" t="s">
        <v>727</v>
      </c>
      <c r="B250" s="586"/>
      <c r="C250" s="587"/>
      <c r="D250" s="613" t="s">
        <v>728</v>
      </c>
      <c r="E250" s="589"/>
      <c r="F250" s="614">
        <v>0.26041666666666669</v>
      </c>
      <c r="G250" s="585"/>
      <c r="H250" s="586"/>
      <c r="I250" s="587"/>
      <c r="J250" s="588"/>
      <c r="K250" s="589"/>
      <c r="L250" s="591"/>
    </row>
    <row r="251" spans="1:12" ht="15.75" x14ac:dyDescent="0.25">
      <c r="A251" s="585"/>
      <c r="B251" s="586"/>
      <c r="C251" s="587"/>
      <c r="D251" s="588"/>
      <c r="E251" s="589"/>
      <c r="F251" s="591"/>
      <c r="G251" s="585" t="s">
        <v>727</v>
      </c>
      <c r="H251" s="586"/>
      <c r="I251" s="587"/>
      <c r="J251" s="595" t="s">
        <v>48</v>
      </c>
      <c r="K251" s="589"/>
      <c r="L251" s="596">
        <v>0.875</v>
      </c>
    </row>
    <row r="252" spans="1:12" ht="15.75" x14ac:dyDescent="0.25">
      <c r="A252" s="585" t="s">
        <v>727</v>
      </c>
      <c r="B252" s="586"/>
      <c r="C252" s="587"/>
      <c r="D252" s="595" t="s">
        <v>48</v>
      </c>
      <c r="E252" s="589"/>
      <c r="F252" s="596">
        <v>0.3125</v>
      </c>
      <c r="G252" s="585"/>
      <c r="H252" s="586"/>
      <c r="I252" s="587"/>
      <c r="J252" s="594"/>
      <c r="K252" s="589"/>
      <c r="L252" s="591"/>
    </row>
    <row r="253" spans="1:12" ht="15.75" x14ac:dyDescent="0.25">
      <c r="A253" s="585"/>
      <c r="B253" s="586"/>
      <c r="C253" s="587"/>
      <c r="D253" s="588"/>
      <c r="E253" s="589"/>
      <c r="F253" s="591"/>
      <c r="G253" s="585" t="s">
        <v>727</v>
      </c>
      <c r="H253" s="586"/>
      <c r="I253" s="587"/>
      <c r="J253" s="613" t="s">
        <v>728</v>
      </c>
      <c r="K253" s="599"/>
      <c r="L253" s="614">
        <v>0.92708333333333337</v>
      </c>
    </row>
    <row r="254" spans="1:12" ht="15.75" x14ac:dyDescent="0.25">
      <c r="A254" s="585" t="s">
        <v>725</v>
      </c>
      <c r="B254" s="586"/>
      <c r="C254" s="587"/>
      <c r="D254" s="613" t="s">
        <v>728</v>
      </c>
      <c r="E254" s="599">
        <v>0.3888888888888889</v>
      </c>
      <c r="F254" s="596"/>
      <c r="G254" s="585"/>
      <c r="H254" s="586"/>
      <c r="I254" s="587"/>
      <c r="J254" s="588"/>
      <c r="K254" s="589"/>
      <c r="L254" s="591"/>
    </row>
    <row r="255" spans="1:12" ht="15.75" x14ac:dyDescent="0.25">
      <c r="A255" s="585"/>
      <c r="B255" s="586"/>
      <c r="C255" s="587"/>
      <c r="D255" s="588" t="s">
        <v>733</v>
      </c>
      <c r="E255" s="599">
        <v>0.40972222222222221</v>
      </c>
      <c r="F255" s="591"/>
      <c r="G255" s="585" t="s">
        <v>727</v>
      </c>
      <c r="H255" s="586"/>
      <c r="I255" s="587"/>
      <c r="J255" s="595" t="s">
        <v>48</v>
      </c>
      <c r="K255" s="589"/>
      <c r="L255" s="596">
        <v>0.97916666666666663</v>
      </c>
    </row>
    <row r="256" spans="1:12" ht="15.75" x14ac:dyDescent="0.25">
      <c r="A256" s="585"/>
      <c r="B256" s="586" t="s">
        <v>276</v>
      </c>
      <c r="C256" s="587" t="s">
        <v>273</v>
      </c>
      <c r="D256" s="588"/>
      <c r="E256" s="589"/>
      <c r="F256" s="614"/>
      <c r="G256" s="585"/>
      <c r="H256" s="586"/>
      <c r="I256" s="587"/>
      <c r="J256" s="594"/>
      <c r="K256" s="589"/>
      <c r="L256" s="591"/>
    </row>
    <row r="257" spans="1:12" ht="15.75" x14ac:dyDescent="0.25">
      <c r="A257" s="585"/>
      <c r="B257" s="586"/>
      <c r="C257" s="587"/>
      <c r="D257" s="588"/>
      <c r="E257" s="589"/>
      <c r="F257" s="591"/>
      <c r="G257" s="585" t="s">
        <v>725</v>
      </c>
      <c r="H257" s="586"/>
      <c r="I257" s="587"/>
      <c r="J257" s="613" t="s">
        <v>728</v>
      </c>
      <c r="K257" s="599">
        <v>1.0173611111111112</v>
      </c>
      <c r="L257" s="614"/>
    </row>
    <row r="258" spans="1:12" ht="15.75" x14ac:dyDescent="0.25">
      <c r="A258" s="585"/>
      <c r="B258" s="586" t="s">
        <v>273</v>
      </c>
      <c r="C258" s="587">
        <v>124</v>
      </c>
      <c r="D258" s="588" t="s">
        <v>774</v>
      </c>
      <c r="E258" s="589"/>
      <c r="F258" s="590"/>
      <c r="G258" s="585"/>
      <c r="H258" s="586"/>
      <c r="I258" s="587"/>
      <c r="J258" s="588" t="s">
        <v>733</v>
      </c>
      <c r="K258" s="662">
        <v>1.0347222222222223</v>
      </c>
      <c r="L258" s="658"/>
    </row>
    <row r="259" spans="1:12" ht="15.75" x14ac:dyDescent="0.25">
      <c r="A259" s="585" t="s">
        <v>725</v>
      </c>
      <c r="B259" s="592"/>
      <c r="C259" s="587"/>
      <c r="D259" s="588" t="s">
        <v>726</v>
      </c>
      <c r="E259" s="589"/>
      <c r="F259" s="593">
        <v>0.51736111111111116</v>
      </c>
      <c r="G259" s="585"/>
      <c r="H259" s="586" t="s">
        <v>276</v>
      </c>
      <c r="I259" s="587" t="s">
        <v>273</v>
      </c>
      <c r="J259" s="588"/>
      <c r="K259" s="651"/>
      <c r="L259" s="664"/>
    </row>
    <row r="260" spans="1:12" ht="15.75" x14ac:dyDescent="0.25">
      <c r="A260" s="585">
        <v>7</v>
      </c>
      <c r="B260" s="586"/>
      <c r="C260" s="587"/>
      <c r="D260" s="613" t="s">
        <v>728</v>
      </c>
      <c r="E260" s="589"/>
      <c r="F260" s="614">
        <v>0.54166666666666663</v>
      </c>
      <c r="G260" s="585"/>
      <c r="H260" s="586"/>
      <c r="I260" s="587"/>
      <c r="J260" s="661"/>
      <c r="K260" s="589"/>
      <c r="L260" s="653"/>
    </row>
    <row r="261" spans="1:12" ht="15.75" x14ac:dyDescent="0.25">
      <c r="A261" s="585"/>
      <c r="B261" s="586"/>
      <c r="C261" s="587"/>
      <c r="D261" s="588"/>
      <c r="E261" s="589"/>
      <c r="F261" s="591"/>
      <c r="G261" s="585"/>
      <c r="H261" s="586"/>
      <c r="I261" s="587"/>
      <c r="J261" s="650"/>
      <c r="K261" s="662"/>
      <c r="L261" s="658"/>
    </row>
    <row r="262" spans="1:12" ht="15.75" x14ac:dyDescent="0.25">
      <c r="A262" s="585">
        <v>7</v>
      </c>
      <c r="B262" s="586"/>
      <c r="C262" s="587"/>
      <c r="D262" s="616" t="s">
        <v>50</v>
      </c>
      <c r="E262" s="589"/>
      <c r="F262" s="615">
        <v>0.61458333333333337</v>
      </c>
      <c r="G262" s="585"/>
      <c r="H262" s="586"/>
      <c r="I262" s="587"/>
      <c r="J262" s="588"/>
      <c r="K262" s="651"/>
      <c r="L262" s="653"/>
    </row>
    <row r="263" spans="1:12" ht="15.75" x14ac:dyDescent="0.25">
      <c r="A263" s="585"/>
      <c r="B263" s="586"/>
      <c r="C263" s="587"/>
      <c r="D263" s="594"/>
      <c r="E263" s="589"/>
      <c r="F263" s="591"/>
      <c r="G263" s="585"/>
      <c r="H263" s="586"/>
      <c r="I263" s="587"/>
      <c r="J263" s="588"/>
      <c r="K263" s="662"/>
      <c r="L263" s="664"/>
    </row>
    <row r="264" spans="1:12" ht="15.75" x14ac:dyDescent="0.25">
      <c r="A264" s="585"/>
      <c r="B264" s="586"/>
      <c r="C264" s="587"/>
      <c r="D264" s="613" t="s">
        <v>728</v>
      </c>
      <c r="E264" s="599">
        <v>0.6875</v>
      </c>
      <c r="F264" s="614"/>
      <c r="G264" s="585"/>
      <c r="H264" s="586"/>
      <c r="I264" s="587"/>
      <c r="J264" s="661"/>
      <c r="K264" s="651"/>
      <c r="L264" s="653"/>
    </row>
    <row r="265" spans="1:12" ht="15.75" x14ac:dyDescent="0.25">
      <c r="A265" s="585"/>
      <c r="B265" s="586" t="s">
        <v>273</v>
      </c>
      <c r="C265" s="587">
        <v>124</v>
      </c>
      <c r="D265" s="588" t="s">
        <v>775</v>
      </c>
      <c r="E265" s="589"/>
      <c r="F265" s="591"/>
      <c r="G265" s="585"/>
      <c r="H265" s="586"/>
      <c r="I265" s="587"/>
      <c r="J265" s="594"/>
      <c r="K265" s="589"/>
      <c r="L265" s="591"/>
    </row>
    <row r="266" spans="1:12" ht="15.75" x14ac:dyDescent="0.25">
      <c r="A266" s="585"/>
      <c r="B266" s="586"/>
      <c r="C266" s="587"/>
      <c r="D266" s="594"/>
      <c r="E266" s="589"/>
      <c r="F266" s="591"/>
      <c r="G266" s="585"/>
      <c r="H266" s="586"/>
      <c r="I266" s="587"/>
      <c r="J266" s="588"/>
      <c r="K266" s="599"/>
      <c r="L266" s="596"/>
    </row>
    <row r="267" spans="1:12" ht="15.75" x14ac:dyDescent="0.25">
      <c r="A267" s="585"/>
      <c r="B267" s="586" t="s">
        <v>273</v>
      </c>
      <c r="C267" s="587">
        <v>139</v>
      </c>
      <c r="D267" s="588" t="s">
        <v>776</v>
      </c>
      <c r="E267" s="589"/>
      <c r="F267" s="591"/>
      <c r="G267" s="585"/>
      <c r="H267" s="586"/>
      <c r="I267" s="587"/>
      <c r="J267" s="594"/>
      <c r="K267" s="589"/>
      <c r="L267" s="591"/>
    </row>
    <row r="268" spans="1:12" ht="15.75" x14ac:dyDescent="0.25">
      <c r="A268" s="585">
        <v>7</v>
      </c>
      <c r="B268" s="586"/>
      <c r="C268" s="587"/>
      <c r="D268" s="613" t="s">
        <v>728</v>
      </c>
      <c r="E268" s="589"/>
      <c r="F268" s="614">
        <v>0.6875</v>
      </c>
      <c r="G268" s="585"/>
      <c r="H268" s="586"/>
      <c r="I268" s="587"/>
      <c r="J268" s="588"/>
      <c r="K268" s="599"/>
      <c r="L268" s="598"/>
    </row>
    <row r="269" spans="1:12" ht="15.75" x14ac:dyDescent="0.25">
      <c r="A269" s="585"/>
      <c r="B269" s="586"/>
      <c r="C269" s="587"/>
      <c r="D269" s="588"/>
      <c r="E269" s="589"/>
      <c r="F269" s="591"/>
      <c r="G269" s="585"/>
      <c r="H269" s="586"/>
      <c r="I269" s="587"/>
      <c r="J269" s="594"/>
      <c r="K269" s="589"/>
      <c r="L269" s="591"/>
    </row>
    <row r="270" spans="1:12" ht="15.75" x14ac:dyDescent="0.25">
      <c r="A270" s="585">
        <v>7</v>
      </c>
      <c r="B270" s="586"/>
      <c r="C270" s="587"/>
      <c r="D270" s="616" t="s">
        <v>50</v>
      </c>
      <c r="E270" s="589"/>
      <c r="F270" s="615">
        <v>0.76041666666666663</v>
      </c>
      <c r="G270" s="585"/>
      <c r="H270" s="586"/>
      <c r="I270" s="587"/>
      <c r="J270" s="595"/>
      <c r="K270" s="589"/>
      <c r="L270" s="596"/>
    </row>
    <row r="271" spans="1:12" ht="15.75" x14ac:dyDescent="0.25">
      <c r="A271" s="585"/>
      <c r="B271" s="586"/>
      <c r="C271" s="587"/>
      <c r="D271" s="594"/>
      <c r="E271" s="589"/>
      <c r="F271" s="591"/>
      <c r="G271" s="585"/>
      <c r="H271" s="586"/>
      <c r="I271" s="587"/>
      <c r="J271" s="594"/>
      <c r="K271" s="589"/>
      <c r="L271" s="591"/>
    </row>
    <row r="272" spans="1:12" ht="15.75" x14ac:dyDescent="0.25">
      <c r="A272" s="585"/>
      <c r="B272" s="586"/>
      <c r="C272" s="587"/>
      <c r="D272" s="613" t="s">
        <v>728</v>
      </c>
      <c r="E272" s="599">
        <v>0.82291666666666663</v>
      </c>
      <c r="F272" s="614"/>
      <c r="G272" s="585"/>
      <c r="H272" s="586"/>
      <c r="I272" s="587"/>
      <c r="J272" s="588"/>
      <c r="K272" s="599"/>
      <c r="L272" s="598"/>
    </row>
    <row r="273" spans="1:12" ht="15.75" x14ac:dyDescent="0.25">
      <c r="A273" s="585"/>
      <c r="B273" s="586" t="s">
        <v>273</v>
      </c>
      <c r="C273" s="587">
        <v>139</v>
      </c>
      <c r="D273" s="588" t="s">
        <v>777</v>
      </c>
      <c r="E273" s="589"/>
      <c r="F273" s="591"/>
      <c r="G273" s="585"/>
      <c r="H273" s="586"/>
      <c r="I273" s="587"/>
      <c r="J273" s="588"/>
      <c r="K273" s="589"/>
      <c r="L273" s="591"/>
    </row>
    <row r="274" spans="1:12" ht="15.75" x14ac:dyDescent="0.25">
      <c r="A274" s="585"/>
      <c r="B274" s="586"/>
      <c r="C274" s="587"/>
      <c r="D274" s="613"/>
      <c r="E274" s="589"/>
      <c r="F274" s="614"/>
      <c r="G274" s="585"/>
      <c r="H274" s="586"/>
      <c r="I274" s="587"/>
      <c r="J274" s="588"/>
      <c r="K274" s="599"/>
      <c r="L274" s="596"/>
    </row>
    <row r="275" spans="1:12" ht="15.75" x14ac:dyDescent="0.25">
      <c r="A275" s="585"/>
      <c r="B275" s="586"/>
      <c r="C275" s="587"/>
      <c r="D275" s="588"/>
      <c r="E275" s="589"/>
      <c r="F275" s="591"/>
      <c r="G275" s="585"/>
      <c r="H275" s="586"/>
      <c r="I275" s="587"/>
      <c r="J275" s="594"/>
      <c r="K275" s="589"/>
      <c r="L275" s="591"/>
    </row>
    <row r="276" spans="1:12" ht="15.75" x14ac:dyDescent="0.25">
      <c r="A276" s="585"/>
      <c r="B276" s="586"/>
      <c r="C276" s="587"/>
      <c r="D276" s="595"/>
      <c r="E276" s="589"/>
      <c r="F276" s="596"/>
      <c r="G276" s="585"/>
      <c r="H276" s="586"/>
      <c r="I276" s="587"/>
      <c r="J276" s="588"/>
      <c r="K276" s="599"/>
      <c r="L276" s="598"/>
    </row>
    <row r="277" spans="1:12" ht="15.75" x14ac:dyDescent="0.25">
      <c r="A277" s="585"/>
      <c r="B277" s="586"/>
      <c r="C277" s="587"/>
      <c r="D277" s="594"/>
      <c r="E277" s="589"/>
      <c r="F277" s="591"/>
      <c r="G277" s="585"/>
      <c r="H277" s="586"/>
      <c r="I277" s="587"/>
      <c r="J277" s="594"/>
      <c r="K277" s="589"/>
      <c r="L277" s="591"/>
    </row>
    <row r="278" spans="1:12" ht="15.75" x14ac:dyDescent="0.25">
      <c r="A278" s="585"/>
      <c r="B278" s="586"/>
      <c r="C278" s="587"/>
      <c r="D278" s="613"/>
      <c r="E278" s="599"/>
      <c r="F278" s="614"/>
      <c r="G278" s="585"/>
      <c r="H278" s="586"/>
      <c r="I278" s="587"/>
      <c r="J278" s="588"/>
      <c r="K278" s="589"/>
      <c r="L278" s="591"/>
    </row>
    <row r="279" spans="1:12" ht="15.75" x14ac:dyDescent="0.25">
      <c r="A279" s="585"/>
      <c r="B279" s="586"/>
      <c r="C279" s="587"/>
      <c r="D279" s="588"/>
      <c r="E279" s="589"/>
      <c r="F279" s="591"/>
      <c r="G279" s="600"/>
      <c r="H279" s="586"/>
      <c r="I279" s="601"/>
      <c r="J279" s="588"/>
      <c r="K279" s="589"/>
      <c r="L279" s="591"/>
    </row>
    <row r="280" spans="1:12" ht="16.5" thickBot="1" x14ac:dyDescent="0.3">
      <c r="A280" s="602"/>
      <c r="B280" s="603"/>
      <c r="C280" s="604"/>
      <c r="D280" s="605"/>
      <c r="E280" s="606"/>
      <c r="F280" s="607"/>
      <c r="G280" s="608"/>
      <c r="H280" s="609"/>
      <c r="I280" s="610"/>
      <c r="J280" s="611"/>
      <c r="K280" s="606"/>
      <c r="L280" s="612"/>
    </row>
    <row r="281" spans="1:12" ht="23.25" x14ac:dyDescent="0.35">
      <c r="A281" s="1228" t="s">
        <v>712</v>
      </c>
      <c r="B281" s="1229"/>
      <c r="C281" s="1229"/>
      <c r="D281" s="1229"/>
      <c r="E281" s="1229"/>
      <c r="F281" s="1229"/>
      <c r="G281" s="1229"/>
      <c r="H281" s="1229"/>
      <c r="I281" s="1229"/>
      <c r="J281" s="1229"/>
      <c r="K281" s="1229"/>
      <c r="L281" s="1230"/>
    </row>
    <row r="282" spans="1:12" ht="24" thickBot="1" x14ac:dyDescent="0.4">
      <c r="A282" s="1231" t="s">
        <v>713</v>
      </c>
      <c r="B282" s="1232"/>
      <c r="C282" s="1232"/>
      <c r="D282" s="1232"/>
      <c r="E282" s="1232"/>
      <c r="F282" s="1232"/>
      <c r="G282" s="1232"/>
      <c r="H282" s="1232"/>
      <c r="I282" s="1232"/>
      <c r="J282" s="1232"/>
      <c r="K282" s="1232"/>
      <c r="L282" s="1233"/>
    </row>
    <row r="283" spans="1:12" ht="24" thickBot="1" x14ac:dyDescent="0.4">
      <c r="A283" s="1234" t="s">
        <v>714</v>
      </c>
      <c r="B283" s="1235"/>
      <c r="C283" s="1235"/>
      <c r="D283" s="1235"/>
      <c r="E283" s="1235"/>
      <c r="F283" s="1235"/>
      <c r="G283" s="1235"/>
      <c r="H283" s="1235"/>
      <c r="I283" s="1235"/>
      <c r="J283" s="1235"/>
      <c r="K283" s="1235"/>
      <c r="L283" s="1236"/>
    </row>
    <row r="284" spans="1:12" ht="23.25" x14ac:dyDescent="0.35">
      <c r="A284" s="557" t="s">
        <v>715</v>
      </c>
      <c r="B284" s="558"/>
      <c r="C284" s="558"/>
      <c r="D284" s="559" t="s">
        <v>716</v>
      </c>
      <c r="E284" s="1232" t="s">
        <v>717</v>
      </c>
      <c r="F284" s="1232"/>
      <c r="G284" s="1232"/>
      <c r="H284" s="1232"/>
      <c r="I284" s="1232"/>
      <c r="J284" s="556" t="s">
        <v>778</v>
      </c>
      <c r="K284" s="1232"/>
      <c r="L284" s="1233"/>
    </row>
    <row r="285" spans="1:12" ht="15.75" thickBot="1" x14ac:dyDescent="0.3">
      <c r="A285" s="560"/>
      <c r="B285" s="561"/>
      <c r="C285" s="561"/>
      <c r="D285" s="562"/>
      <c r="E285" s="561"/>
      <c r="F285" s="561"/>
      <c r="G285" s="561"/>
      <c r="H285" s="561"/>
      <c r="I285" s="1227"/>
      <c r="J285" s="1227"/>
      <c r="K285" s="561"/>
      <c r="L285" s="563"/>
    </row>
    <row r="286" spans="1:12" ht="16.5" thickBot="1" x14ac:dyDescent="0.3">
      <c r="A286" s="564" t="s">
        <v>719</v>
      </c>
      <c r="B286" s="565"/>
      <c r="C286" s="566"/>
      <c r="D286" s="567" t="s">
        <v>720</v>
      </c>
      <c r="E286" s="568" t="s">
        <v>721</v>
      </c>
      <c r="F286" s="569" t="s">
        <v>722</v>
      </c>
      <c r="G286" s="564" t="s">
        <v>719</v>
      </c>
      <c r="H286" s="570"/>
      <c r="I286" s="571"/>
      <c r="J286" s="572" t="s">
        <v>720</v>
      </c>
      <c r="K286" s="564" t="s">
        <v>721</v>
      </c>
      <c r="L286" s="564" t="s">
        <v>722</v>
      </c>
    </row>
    <row r="287" spans="1:12" ht="15.75" x14ac:dyDescent="0.25">
      <c r="A287" s="573"/>
      <c r="B287" s="574"/>
      <c r="C287" s="575"/>
      <c r="D287" s="576"/>
      <c r="E287" s="577"/>
      <c r="F287" s="578"/>
      <c r="G287" s="579"/>
      <c r="H287" s="580"/>
      <c r="I287" s="581"/>
      <c r="J287" s="582"/>
      <c r="K287" s="583"/>
      <c r="L287" s="584"/>
    </row>
    <row r="288" spans="1:12" ht="15.75" x14ac:dyDescent="0.25">
      <c r="A288" s="585"/>
      <c r="B288" s="586" t="s">
        <v>273</v>
      </c>
      <c r="C288" s="587">
        <v>109</v>
      </c>
      <c r="D288" s="588" t="s">
        <v>779</v>
      </c>
      <c r="E288" s="589"/>
      <c r="F288" s="590"/>
      <c r="G288" s="585"/>
      <c r="H288" s="586" t="s">
        <v>273</v>
      </c>
      <c r="I288" s="587">
        <v>128</v>
      </c>
      <c r="J288" s="588" t="s">
        <v>780</v>
      </c>
      <c r="K288" s="589"/>
      <c r="L288" s="591"/>
    </row>
    <row r="289" spans="1:12" ht="15.75" x14ac:dyDescent="0.25">
      <c r="A289" s="585" t="s">
        <v>725</v>
      </c>
      <c r="B289" s="592"/>
      <c r="C289" s="587"/>
      <c r="D289" s="588" t="s">
        <v>726</v>
      </c>
      <c r="E289" s="589"/>
      <c r="F289" s="593">
        <v>0.25</v>
      </c>
      <c r="G289" s="585">
        <v>7</v>
      </c>
      <c r="H289" s="586"/>
      <c r="I289" s="587"/>
      <c r="J289" s="613" t="s">
        <v>728</v>
      </c>
      <c r="K289" s="589"/>
      <c r="L289" s="614">
        <v>0.77083333333333337</v>
      </c>
    </row>
    <row r="290" spans="1:12" ht="15.75" x14ac:dyDescent="0.25">
      <c r="A290" s="585" t="s">
        <v>727</v>
      </c>
      <c r="B290" s="586"/>
      <c r="C290" s="587"/>
      <c r="D290" s="595" t="s">
        <v>48</v>
      </c>
      <c r="E290" s="589"/>
      <c r="F290" s="596">
        <v>0.27083333333333331</v>
      </c>
      <c r="G290" s="585"/>
      <c r="H290" s="586"/>
      <c r="I290" s="587"/>
      <c r="J290" s="588"/>
      <c r="K290" s="589"/>
      <c r="L290" s="591"/>
    </row>
    <row r="291" spans="1:12" ht="15.75" x14ac:dyDescent="0.25">
      <c r="A291" s="585"/>
      <c r="B291" s="586"/>
      <c r="C291" s="587"/>
      <c r="D291" s="588"/>
      <c r="E291" s="589"/>
      <c r="F291" s="591"/>
      <c r="G291" s="585">
        <v>7</v>
      </c>
      <c r="H291" s="586"/>
      <c r="I291" s="587"/>
      <c r="J291" s="616" t="s">
        <v>50</v>
      </c>
      <c r="K291" s="589"/>
      <c r="L291" s="615">
        <v>0.84375</v>
      </c>
    </row>
    <row r="292" spans="1:12" ht="15.75" x14ac:dyDescent="0.25">
      <c r="A292" s="585">
        <v>7</v>
      </c>
      <c r="B292" s="586"/>
      <c r="C292" s="587"/>
      <c r="D292" s="613" t="s">
        <v>728</v>
      </c>
      <c r="E292" s="589"/>
      <c r="F292" s="614">
        <v>0.33333333333333331</v>
      </c>
      <c r="G292" s="585"/>
      <c r="H292" s="586"/>
      <c r="I292" s="587"/>
      <c r="J292" s="594"/>
      <c r="K292" s="589"/>
      <c r="L292" s="591"/>
    </row>
    <row r="293" spans="1:12" ht="15.75" x14ac:dyDescent="0.25">
      <c r="A293" s="585"/>
      <c r="B293" s="586"/>
      <c r="C293" s="587"/>
      <c r="D293" s="588"/>
      <c r="E293" s="589"/>
      <c r="F293" s="591"/>
      <c r="G293" s="585"/>
      <c r="H293" s="586"/>
      <c r="I293" s="587"/>
      <c r="J293" s="613" t="s">
        <v>728</v>
      </c>
      <c r="K293" s="599">
        <v>0.89583333333333337</v>
      </c>
      <c r="L293" s="614"/>
    </row>
    <row r="294" spans="1:12" ht="15.75" x14ac:dyDescent="0.25">
      <c r="A294" s="585">
        <v>7</v>
      </c>
      <c r="B294" s="586"/>
      <c r="C294" s="587"/>
      <c r="D294" s="616" t="s">
        <v>50</v>
      </c>
      <c r="E294" s="589"/>
      <c r="F294" s="615">
        <v>0.40625</v>
      </c>
      <c r="G294" s="585"/>
      <c r="H294" s="586" t="s">
        <v>276</v>
      </c>
      <c r="I294" s="587" t="s">
        <v>273</v>
      </c>
      <c r="J294" s="588"/>
      <c r="K294" s="589"/>
      <c r="L294" s="591"/>
    </row>
    <row r="295" spans="1:12" ht="15.75" x14ac:dyDescent="0.25">
      <c r="A295" s="585"/>
      <c r="B295" s="586"/>
      <c r="C295" s="587"/>
      <c r="D295" s="594"/>
      <c r="E295" s="589"/>
      <c r="F295" s="591"/>
      <c r="G295" s="585"/>
      <c r="H295" s="586"/>
      <c r="I295" s="587"/>
      <c r="J295" s="597"/>
      <c r="K295" s="599"/>
      <c r="L295" s="598"/>
    </row>
    <row r="296" spans="1:12" ht="15.75" x14ac:dyDescent="0.25">
      <c r="A296" s="585"/>
      <c r="B296" s="586"/>
      <c r="C296" s="587"/>
      <c r="D296" s="613" t="s">
        <v>728</v>
      </c>
      <c r="E296" s="599">
        <v>0.47916666666666669</v>
      </c>
      <c r="F296" s="614"/>
      <c r="G296" s="585"/>
      <c r="H296" s="586" t="s">
        <v>273</v>
      </c>
      <c r="I296" s="587">
        <v>142</v>
      </c>
      <c r="J296" s="588" t="s">
        <v>781</v>
      </c>
      <c r="K296" s="589"/>
      <c r="L296" s="591"/>
    </row>
    <row r="297" spans="1:12" ht="15.75" x14ac:dyDescent="0.25">
      <c r="A297" s="585"/>
      <c r="B297" s="586" t="s">
        <v>276</v>
      </c>
      <c r="C297" s="587" t="s">
        <v>273</v>
      </c>
      <c r="D297" s="588"/>
      <c r="E297" s="589"/>
      <c r="F297" s="591"/>
      <c r="G297" s="585">
        <v>7</v>
      </c>
      <c r="H297" s="586"/>
      <c r="I297" s="587"/>
      <c r="J297" s="613" t="s">
        <v>728</v>
      </c>
      <c r="K297" s="589"/>
      <c r="L297" s="614">
        <v>0.89583333333333337</v>
      </c>
    </row>
    <row r="298" spans="1:12" ht="15.75" x14ac:dyDescent="0.25">
      <c r="A298" s="585"/>
      <c r="B298" s="586"/>
      <c r="C298" s="587"/>
      <c r="D298" s="594"/>
      <c r="E298" s="589"/>
      <c r="F298" s="591"/>
      <c r="G298" s="585"/>
      <c r="H298" s="586"/>
      <c r="I298" s="587"/>
      <c r="J298" s="588"/>
      <c r="K298" s="589"/>
      <c r="L298" s="591"/>
    </row>
    <row r="299" spans="1:12" ht="15.75" x14ac:dyDescent="0.25">
      <c r="A299" s="585"/>
      <c r="B299" s="586" t="s">
        <v>273</v>
      </c>
      <c r="C299" s="587">
        <v>118</v>
      </c>
      <c r="D299" s="588" t="s">
        <v>782</v>
      </c>
      <c r="E299" s="589"/>
      <c r="F299" s="591"/>
      <c r="G299" s="585">
        <v>7</v>
      </c>
      <c r="H299" s="586"/>
      <c r="I299" s="587"/>
      <c r="J299" s="616" t="s">
        <v>50</v>
      </c>
      <c r="K299" s="589"/>
      <c r="L299" s="615">
        <v>0.94791666666666663</v>
      </c>
    </row>
    <row r="300" spans="1:12" ht="15.75" x14ac:dyDescent="0.25">
      <c r="A300" s="585">
        <v>7</v>
      </c>
      <c r="B300" s="586"/>
      <c r="C300" s="587"/>
      <c r="D300" s="613" t="s">
        <v>728</v>
      </c>
      <c r="E300" s="589"/>
      <c r="F300" s="614">
        <v>0.47916666666666669</v>
      </c>
      <c r="G300" s="585"/>
      <c r="H300" s="586"/>
      <c r="I300" s="587"/>
      <c r="J300" s="594"/>
      <c r="K300" s="589"/>
      <c r="L300" s="591"/>
    </row>
    <row r="301" spans="1:12" ht="15.75" x14ac:dyDescent="0.25">
      <c r="A301" s="585"/>
      <c r="B301" s="586"/>
      <c r="C301" s="587"/>
      <c r="D301" s="588"/>
      <c r="E301" s="589"/>
      <c r="F301" s="591"/>
      <c r="G301" s="585" t="s">
        <v>725</v>
      </c>
      <c r="H301" s="586"/>
      <c r="I301" s="587"/>
      <c r="J301" s="613" t="s">
        <v>728</v>
      </c>
      <c r="K301" s="599">
        <v>0.98611111111111116</v>
      </c>
      <c r="L301" s="614"/>
    </row>
    <row r="302" spans="1:12" ht="15.75" x14ac:dyDescent="0.25">
      <c r="A302" s="585">
        <v>7</v>
      </c>
      <c r="B302" s="586"/>
      <c r="C302" s="587"/>
      <c r="D302" s="616" t="s">
        <v>50</v>
      </c>
      <c r="E302" s="589"/>
      <c r="F302" s="615">
        <v>0.55208333333333337</v>
      </c>
      <c r="G302" s="585"/>
      <c r="H302" s="586"/>
      <c r="I302" s="587"/>
      <c r="J302" s="650" t="s">
        <v>733</v>
      </c>
      <c r="K302" s="662">
        <v>1.0069444444444444</v>
      </c>
      <c r="L302" s="598"/>
    </row>
    <row r="303" spans="1:12" ht="15.75" x14ac:dyDescent="0.25">
      <c r="A303" s="585"/>
      <c r="B303" s="586"/>
      <c r="C303" s="587"/>
      <c r="D303" s="594"/>
      <c r="E303" s="589"/>
      <c r="F303" s="591"/>
      <c r="G303" s="585"/>
      <c r="H303" s="586" t="s">
        <v>276</v>
      </c>
      <c r="I303" s="587" t="s">
        <v>273</v>
      </c>
      <c r="J303" s="588"/>
      <c r="K303" s="651"/>
      <c r="L303" s="591"/>
    </row>
    <row r="304" spans="1:12" ht="15.75" x14ac:dyDescent="0.25">
      <c r="A304" s="585"/>
      <c r="B304" s="586"/>
      <c r="C304" s="587"/>
      <c r="D304" s="613" t="s">
        <v>728</v>
      </c>
      <c r="E304" s="599">
        <v>0.625</v>
      </c>
      <c r="F304" s="614"/>
      <c r="G304" s="585"/>
      <c r="H304" s="586"/>
      <c r="I304" s="587"/>
      <c r="J304" s="663"/>
      <c r="K304" s="662"/>
      <c r="L304" s="596"/>
    </row>
    <row r="305" spans="1:12" ht="15.75" x14ac:dyDescent="0.25">
      <c r="A305" s="585"/>
      <c r="B305" s="586" t="s">
        <v>276</v>
      </c>
      <c r="C305" s="587" t="s">
        <v>273</v>
      </c>
      <c r="D305" s="588"/>
      <c r="E305" s="589"/>
      <c r="F305" s="591"/>
      <c r="G305" s="585"/>
      <c r="H305" s="586"/>
      <c r="I305" s="587"/>
      <c r="J305" s="617"/>
      <c r="K305" s="651"/>
      <c r="L305" s="591"/>
    </row>
    <row r="306" spans="1:12" ht="15.75" x14ac:dyDescent="0.25">
      <c r="A306" s="585"/>
      <c r="B306" s="586"/>
      <c r="C306" s="587"/>
      <c r="D306" s="594"/>
      <c r="E306" s="589"/>
      <c r="F306" s="591"/>
      <c r="G306" s="585"/>
      <c r="H306" s="586"/>
      <c r="I306" s="587"/>
      <c r="J306" s="661"/>
      <c r="K306" s="589"/>
      <c r="L306" s="596"/>
    </row>
    <row r="307" spans="1:12" ht="15.75" x14ac:dyDescent="0.25">
      <c r="A307" s="585"/>
      <c r="B307" s="586" t="s">
        <v>273</v>
      </c>
      <c r="C307" s="587">
        <v>155</v>
      </c>
      <c r="D307" s="588" t="s">
        <v>783</v>
      </c>
      <c r="E307" s="589"/>
      <c r="F307" s="591"/>
      <c r="G307" s="585"/>
      <c r="H307" s="586"/>
      <c r="I307" s="587"/>
      <c r="J307" s="650"/>
      <c r="K307" s="662"/>
      <c r="L307" s="591"/>
    </row>
    <row r="308" spans="1:12" ht="15.75" x14ac:dyDescent="0.25">
      <c r="A308" s="585">
        <v>7</v>
      </c>
      <c r="B308" s="586"/>
      <c r="C308" s="587"/>
      <c r="D308" s="613" t="s">
        <v>728</v>
      </c>
      <c r="E308" s="589"/>
      <c r="F308" s="614">
        <v>0.625</v>
      </c>
      <c r="G308" s="585"/>
      <c r="H308" s="586"/>
      <c r="I308" s="587"/>
      <c r="J308" s="588"/>
      <c r="K308" s="599"/>
      <c r="L308" s="598"/>
    </row>
    <row r="309" spans="1:12" ht="15.75" x14ac:dyDescent="0.25">
      <c r="A309" s="585"/>
      <c r="B309" s="586"/>
      <c r="C309" s="587"/>
      <c r="D309" s="588"/>
      <c r="E309" s="589"/>
      <c r="F309" s="591"/>
      <c r="G309" s="585"/>
      <c r="H309" s="586"/>
      <c r="I309" s="587"/>
      <c r="J309" s="594"/>
      <c r="K309" s="589"/>
      <c r="L309" s="591"/>
    </row>
    <row r="310" spans="1:12" ht="15.75" x14ac:dyDescent="0.25">
      <c r="A310" s="585">
        <v>7</v>
      </c>
      <c r="B310" s="586"/>
      <c r="C310" s="587"/>
      <c r="D310" s="616" t="s">
        <v>50</v>
      </c>
      <c r="E310" s="589"/>
      <c r="F310" s="615">
        <v>0.69791666666666663</v>
      </c>
      <c r="G310" s="585"/>
      <c r="H310" s="586"/>
      <c r="I310" s="587"/>
      <c r="J310" s="588"/>
      <c r="K310" s="599"/>
      <c r="L310" s="598"/>
    </row>
    <row r="311" spans="1:12" ht="15.75" x14ac:dyDescent="0.25">
      <c r="A311" s="585"/>
      <c r="B311" s="586"/>
      <c r="C311" s="587"/>
      <c r="D311" s="594"/>
      <c r="E311" s="589"/>
      <c r="F311" s="591"/>
      <c r="G311" s="585"/>
      <c r="H311" s="586"/>
      <c r="I311" s="587"/>
      <c r="J311" s="594"/>
      <c r="K311" s="589"/>
      <c r="L311" s="591"/>
    </row>
    <row r="312" spans="1:12" ht="15.75" x14ac:dyDescent="0.25">
      <c r="A312" s="585"/>
      <c r="B312" s="586"/>
      <c r="C312" s="587"/>
      <c r="D312" s="613" t="s">
        <v>728</v>
      </c>
      <c r="E312" s="599">
        <v>0.77083333333333337</v>
      </c>
      <c r="F312" s="614"/>
      <c r="G312" s="585"/>
      <c r="H312" s="586"/>
      <c r="I312" s="587"/>
      <c r="J312" s="588"/>
      <c r="K312" s="599"/>
      <c r="L312" s="598"/>
    </row>
    <row r="313" spans="1:12" ht="15.75" x14ac:dyDescent="0.25">
      <c r="A313" s="585"/>
      <c r="B313" s="586" t="s">
        <v>276</v>
      </c>
      <c r="C313" s="587" t="s">
        <v>273</v>
      </c>
      <c r="D313" s="588"/>
      <c r="E313" s="589"/>
      <c r="F313" s="591"/>
      <c r="G313" s="585"/>
      <c r="H313" s="586"/>
      <c r="I313" s="587"/>
      <c r="J313" s="588"/>
      <c r="K313" s="589"/>
      <c r="L313" s="591"/>
    </row>
    <row r="314" spans="1:12" ht="15.75" x14ac:dyDescent="0.25">
      <c r="A314" s="585"/>
      <c r="B314" s="586"/>
      <c r="C314" s="587"/>
      <c r="D314" s="597"/>
      <c r="E314" s="599"/>
      <c r="F314" s="598"/>
      <c r="G314" s="585"/>
      <c r="H314" s="586"/>
      <c r="I314" s="587"/>
      <c r="J314" s="588"/>
      <c r="K314" s="599"/>
      <c r="L314" s="596"/>
    </row>
    <row r="315" spans="1:12" ht="15.75" x14ac:dyDescent="0.25">
      <c r="A315" s="585"/>
      <c r="B315" s="586"/>
      <c r="C315" s="587"/>
      <c r="D315" s="594"/>
      <c r="E315" s="589"/>
      <c r="F315" s="591"/>
      <c r="G315" s="585"/>
      <c r="H315" s="586"/>
      <c r="I315" s="587"/>
      <c r="J315" s="594"/>
      <c r="K315" s="589"/>
      <c r="L315" s="591"/>
    </row>
    <row r="316" spans="1:12" ht="15.75" x14ac:dyDescent="0.25">
      <c r="A316" s="585"/>
      <c r="B316" s="586"/>
      <c r="C316" s="587"/>
      <c r="D316" s="588"/>
      <c r="E316" s="589"/>
      <c r="F316" s="591"/>
      <c r="G316" s="585"/>
      <c r="H316" s="586"/>
      <c r="I316" s="587"/>
      <c r="J316" s="588"/>
      <c r="K316" s="599"/>
      <c r="L316" s="598"/>
    </row>
    <row r="317" spans="1:12" ht="15.75" x14ac:dyDescent="0.25">
      <c r="A317" s="585"/>
      <c r="B317" s="586"/>
      <c r="C317" s="587"/>
      <c r="D317" s="594"/>
      <c r="E317" s="589"/>
      <c r="F317" s="591"/>
      <c r="G317" s="585"/>
      <c r="H317" s="586"/>
      <c r="I317" s="587"/>
      <c r="J317" s="594"/>
      <c r="K317" s="589"/>
      <c r="L317" s="591"/>
    </row>
    <row r="318" spans="1:12" ht="15.75" x14ac:dyDescent="0.25">
      <c r="A318" s="585"/>
      <c r="B318" s="586"/>
      <c r="C318" s="587"/>
      <c r="D318" s="588"/>
      <c r="E318" s="589"/>
      <c r="F318" s="591"/>
      <c r="G318" s="585"/>
      <c r="H318" s="586"/>
      <c r="I318" s="587"/>
      <c r="J318" s="588"/>
      <c r="K318" s="589"/>
      <c r="L318" s="591"/>
    </row>
    <row r="319" spans="1:12" ht="15.75" x14ac:dyDescent="0.25">
      <c r="A319" s="585"/>
      <c r="B319" s="586"/>
      <c r="C319" s="601"/>
      <c r="D319" s="594"/>
      <c r="E319" s="589"/>
      <c r="F319" s="591"/>
      <c r="G319" s="600"/>
      <c r="H319" s="586"/>
      <c r="I319" s="601"/>
      <c r="J319" s="588"/>
      <c r="K319" s="589"/>
      <c r="L319" s="591"/>
    </row>
    <row r="320" spans="1:12" ht="16.5" thickBot="1" x14ac:dyDescent="0.3">
      <c r="A320" s="602"/>
      <c r="B320" s="603"/>
      <c r="C320" s="604"/>
      <c r="D320" s="605"/>
      <c r="E320" s="606"/>
      <c r="F320" s="607"/>
      <c r="G320" s="608"/>
      <c r="H320" s="609"/>
      <c r="I320" s="610"/>
      <c r="J320" s="611"/>
      <c r="K320" s="606"/>
      <c r="L320" s="612"/>
    </row>
    <row r="321" spans="1:12" ht="23.25" x14ac:dyDescent="0.35">
      <c r="A321" s="1228" t="s">
        <v>712</v>
      </c>
      <c r="B321" s="1229"/>
      <c r="C321" s="1229"/>
      <c r="D321" s="1229"/>
      <c r="E321" s="1229"/>
      <c r="F321" s="1229"/>
      <c r="G321" s="1229"/>
      <c r="H321" s="1229"/>
      <c r="I321" s="1229"/>
      <c r="J321" s="1229"/>
      <c r="K321" s="1229"/>
      <c r="L321" s="1230"/>
    </row>
    <row r="322" spans="1:12" ht="24" thickBot="1" x14ac:dyDescent="0.4">
      <c r="A322" s="1231" t="s">
        <v>713</v>
      </c>
      <c r="B322" s="1232"/>
      <c r="C322" s="1232"/>
      <c r="D322" s="1232"/>
      <c r="E322" s="1232"/>
      <c r="F322" s="1232"/>
      <c r="G322" s="1232"/>
      <c r="H322" s="1232"/>
      <c r="I322" s="1232"/>
      <c r="J322" s="1232"/>
      <c r="K322" s="1232"/>
      <c r="L322" s="1233"/>
    </row>
    <row r="323" spans="1:12" ht="24" thickBot="1" x14ac:dyDescent="0.4">
      <c r="A323" s="1234" t="s">
        <v>714</v>
      </c>
      <c r="B323" s="1235"/>
      <c r="C323" s="1235"/>
      <c r="D323" s="1235"/>
      <c r="E323" s="1235"/>
      <c r="F323" s="1235"/>
      <c r="G323" s="1235"/>
      <c r="H323" s="1235"/>
      <c r="I323" s="1235"/>
      <c r="J323" s="1235"/>
      <c r="K323" s="1235"/>
      <c r="L323" s="1236"/>
    </row>
    <row r="324" spans="1:12" ht="23.25" x14ac:dyDescent="0.35">
      <c r="A324" s="557" t="s">
        <v>715</v>
      </c>
      <c r="B324" s="558"/>
      <c r="C324" s="558"/>
      <c r="D324" s="559" t="s">
        <v>716</v>
      </c>
      <c r="E324" s="1232" t="s">
        <v>717</v>
      </c>
      <c r="F324" s="1232"/>
      <c r="G324" s="1232"/>
      <c r="H324" s="1232"/>
      <c r="I324" s="1232"/>
      <c r="J324" s="556" t="s">
        <v>784</v>
      </c>
      <c r="K324" s="1232"/>
      <c r="L324" s="1233"/>
    </row>
    <row r="325" spans="1:12" ht="15.75" thickBot="1" x14ac:dyDescent="0.3">
      <c r="A325" s="560"/>
      <c r="B325" s="561"/>
      <c r="C325" s="561"/>
      <c r="D325" s="562"/>
      <c r="E325" s="561"/>
      <c r="F325" s="561"/>
      <c r="G325" s="561"/>
      <c r="H325" s="561"/>
      <c r="I325" s="1227"/>
      <c r="J325" s="1227"/>
      <c r="K325" s="561"/>
      <c r="L325" s="563"/>
    </row>
    <row r="326" spans="1:12" ht="16.5" thickBot="1" x14ac:dyDescent="0.3">
      <c r="A326" s="564" t="s">
        <v>719</v>
      </c>
      <c r="B326" s="565"/>
      <c r="C326" s="566"/>
      <c r="D326" s="567" t="s">
        <v>720</v>
      </c>
      <c r="E326" s="568" t="s">
        <v>721</v>
      </c>
      <c r="F326" s="569" t="s">
        <v>722</v>
      </c>
      <c r="G326" s="564" t="s">
        <v>719</v>
      </c>
      <c r="H326" s="570"/>
      <c r="I326" s="571"/>
      <c r="J326" s="572" t="s">
        <v>720</v>
      </c>
      <c r="K326" s="564" t="s">
        <v>721</v>
      </c>
      <c r="L326" s="564" t="s">
        <v>722</v>
      </c>
    </row>
    <row r="327" spans="1:12" ht="15.75" x14ac:dyDescent="0.25">
      <c r="A327" s="573"/>
      <c r="B327" s="574"/>
      <c r="C327" s="575"/>
      <c r="D327" s="576"/>
      <c r="E327" s="577"/>
      <c r="F327" s="578"/>
      <c r="G327" s="579"/>
      <c r="H327" s="580"/>
      <c r="I327" s="581"/>
      <c r="J327" s="582"/>
      <c r="K327" s="583"/>
      <c r="L327" s="584"/>
    </row>
    <row r="328" spans="1:12" ht="15.75" x14ac:dyDescent="0.25">
      <c r="A328" s="585"/>
      <c r="B328" s="586" t="s">
        <v>273</v>
      </c>
      <c r="C328" s="587">
        <v>110</v>
      </c>
      <c r="D328" s="588" t="s">
        <v>785</v>
      </c>
      <c r="E328" s="589"/>
      <c r="F328" s="590"/>
      <c r="G328" s="585"/>
      <c r="H328" s="586"/>
      <c r="I328" s="587"/>
      <c r="J328" s="588"/>
      <c r="K328" s="589"/>
      <c r="L328" s="590"/>
    </row>
    <row r="329" spans="1:12" ht="15.75" x14ac:dyDescent="0.25">
      <c r="A329" s="585" t="s">
        <v>725</v>
      </c>
      <c r="B329" s="592"/>
      <c r="C329" s="587"/>
      <c r="D329" s="588" t="s">
        <v>726</v>
      </c>
      <c r="E329" s="589"/>
      <c r="F329" s="593">
        <v>0.25347222222222221</v>
      </c>
      <c r="G329" s="585"/>
      <c r="H329" s="586"/>
      <c r="I329" s="587"/>
      <c r="J329" s="613"/>
      <c r="K329" s="589"/>
      <c r="L329" s="614"/>
    </row>
    <row r="330" spans="1:12" ht="15.75" x14ac:dyDescent="0.25">
      <c r="A330" s="585">
        <v>7</v>
      </c>
      <c r="B330" s="586"/>
      <c r="C330" s="587"/>
      <c r="D330" s="613" t="s">
        <v>728</v>
      </c>
      <c r="E330" s="589"/>
      <c r="F330" s="614">
        <v>0.27083333333333331</v>
      </c>
      <c r="G330" s="585"/>
      <c r="H330" s="586"/>
      <c r="I330" s="587"/>
      <c r="J330" s="588"/>
      <c r="K330" s="589"/>
      <c r="L330" s="591"/>
    </row>
    <row r="331" spans="1:12" ht="15.75" x14ac:dyDescent="0.25">
      <c r="A331" s="585"/>
      <c r="B331" s="586"/>
      <c r="C331" s="587"/>
      <c r="D331" s="588"/>
      <c r="E331" s="589"/>
      <c r="F331" s="591"/>
      <c r="G331" s="585"/>
      <c r="H331" s="586"/>
      <c r="I331" s="587"/>
      <c r="J331" s="595"/>
      <c r="K331" s="589"/>
      <c r="L331" s="596"/>
    </row>
    <row r="332" spans="1:12" ht="15.75" x14ac:dyDescent="0.25">
      <c r="A332" s="585">
        <v>7</v>
      </c>
      <c r="B332" s="586"/>
      <c r="C332" s="587"/>
      <c r="D332" s="616" t="s">
        <v>50</v>
      </c>
      <c r="E332" s="589"/>
      <c r="F332" s="615">
        <v>0.34375</v>
      </c>
      <c r="G332" s="585"/>
      <c r="H332" s="586"/>
      <c r="I332" s="587"/>
      <c r="J332" s="594"/>
      <c r="K332" s="589"/>
      <c r="L332" s="591"/>
    </row>
    <row r="333" spans="1:12" ht="15.75" x14ac:dyDescent="0.25">
      <c r="A333" s="585"/>
      <c r="B333" s="586"/>
      <c r="C333" s="587"/>
      <c r="D333" s="588"/>
      <c r="E333" s="589"/>
      <c r="F333" s="591"/>
      <c r="G333" s="585"/>
      <c r="H333" s="586"/>
      <c r="I333" s="587"/>
      <c r="J333" s="613"/>
      <c r="K333" s="599"/>
      <c r="L333" s="614"/>
    </row>
    <row r="334" spans="1:12" ht="15.75" x14ac:dyDescent="0.25">
      <c r="A334" s="585" t="s">
        <v>725</v>
      </c>
      <c r="B334" s="586"/>
      <c r="C334" s="587"/>
      <c r="D334" s="613" t="s">
        <v>728</v>
      </c>
      <c r="E334" s="599">
        <v>0.4201388888888889</v>
      </c>
      <c r="F334" s="596"/>
      <c r="G334" s="585"/>
      <c r="H334" s="586"/>
      <c r="I334" s="587"/>
      <c r="J334" s="588"/>
      <c r="K334" s="589"/>
      <c r="L334" s="591"/>
    </row>
    <row r="335" spans="1:12" ht="15.75" x14ac:dyDescent="0.25">
      <c r="A335" s="585"/>
      <c r="B335" s="586"/>
      <c r="C335" s="587"/>
      <c r="D335" s="588" t="s">
        <v>733</v>
      </c>
      <c r="E335" s="599">
        <v>0.44097222222222221</v>
      </c>
      <c r="F335" s="591"/>
      <c r="G335" s="585"/>
      <c r="H335" s="586"/>
      <c r="I335" s="587"/>
      <c r="J335" s="595"/>
      <c r="K335" s="589"/>
      <c r="L335" s="596"/>
    </row>
    <row r="336" spans="1:12" ht="15.75" x14ac:dyDescent="0.25">
      <c r="A336" s="585"/>
      <c r="B336" s="586" t="s">
        <v>276</v>
      </c>
      <c r="C336" s="587" t="s">
        <v>273</v>
      </c>
      <c r="D336" s="588"/>
      <c r="E336" s="589"/>
      <c r="F336" s="614"/>
      <c r="G336" s="585"/>
      <c r="H336" s="586"/>
      <c r="I336" s="587"/>
      <c r="J336" s="594"/>
      <c r="K336" s="589"/>
      <c r="L336" s="591"/>
    </row>
    <row r="337" spans="1:12" ht="15.75" x14ac:dyDescent="0.25">
      <c r="A337" s="585"/>
      <c r="B337" s="586"/>
      <c r="C337" s="587"/>
      <c r="D337" s="588"/>
      <c r="E337" s="589"/>
      <c r="F337" s="591"/>
      <c r="G337" s="585"/>
      <c r="H337" s="586"/>
      <c r="I337" s="587"/>
      <c r="J337" s="613"/>
      <c r="K337" s="599"/>
      <c r="L337" s="614"/>
    </row>
    <row r="338" spans="1:12" ht="15.75" x14ac:dyDescent="0.25">
      <c r="A338" s="585"/>
      <c r="B338" s="586" t="s">
        <v>273</v>
      </c>
      <c r="C338" s="587">
        <v>141</v>
      </c>
      <c r="D338" s="588" t="s">
        <v>786</v>
      </c>
      <c r="E338" s="589"/>
      <c r="F338" s="590"/>
      <c r="G338" s="585"/>
      <c r="H338" s="586"/>
      <c r="I338" s="587"/>
      <c r="J338" s="588"/>
      <c r="K338" s="589"/>
      <c r="L338" s="591"/>
    </row>
    <row r="339" spans="1:12" ht="15.75" x14ac:dyDescent="0.25">
      <c r="A339" s="585" t="s">
        <v>725</v>
      </c>
      <c r="B339" s="592"/>
      <c r="C339" s="587"/>
      <c r="D339" s="588" t="s">
        <v>726</v>
      </c>
      <c r="E339" s="589"/>
      <c r="F339" s="593">
        <v>0.69097222222222221</v>
      </c>
      <c r="G339" s="585"/>
      <c r="H339" s="586"/>
      <c r="I339" s="587"/>
      <c r="J339" s="588"/>
      <c r="K339" s="599"/>
      <c r="L339" s="596"/>
    </row>
    <row r="340" spans="1:12" ht="15.75" x14ac:dyDescent="0.25">
      <c r="A340" s="585" t="s">
        <v>787</v>
      </c>
      <c r="B340" s="586"/>
      <c r="C340" s="587"/>
      <c r="D340" s="613" t="s">
        <v>728</v>
      </c>
      <c r="E340" s="589"/>
      <c r="F340" s="614">
        <v>0.72222222222222221</v>
      </c>
      <c r="G340" s="585"/>
      <c r="H340" s="586"/>
      <c r="I340" s="587"/>
      <c r="J340" s="588"/>
      <c r="K340" s="589"/>
      <c r="L340" s="598"/>
    </row>
    <row r="341" spans="1:12" ht="15.75" x14ac:dyDescent="0.25">
      <c r="A341" s="585"/>
      <c r="B341" s="586"/>
      <c r="C341" s="587"/>
      <c r="D341" s="588"/>
      <c r="E341" s="589"/>
      <c r="F341" s="591"/>
      <c r="G341" s="585"/>
      <c r="H341" s="586"/>
      <c r="I341" s="587"/>
      <c r="J341" s="594"/>
      <c r="K341" s="589"/>
      <c r="L341" s="591"/>
    </row>
    <row r="342" spans="1:12" ht="15.75" x14ac:dyDescent="0.25">
      <c r="A342" s="585" t="s">
        <v>725</v>
      </c>
      <c r="B342" s="586"/>
      <c r="C342" s="587"/>
      <c r="D342" s="617" t="s">
        <v>62</v>
      </c>
      <c r="E342" s="599">
        <v>0.78819444444444442</v>
      </c>
      <c r="F342" s="615"/>
      <c r="G342" s="585"/>
      <c r="H342" s="586"/>
      <c r="I342" s="587"/>
      <c r="J342" s="588"/>
      <c r="K342" s="599"/>
      <c r="L342" s="596"/>
    </row>
    <row r="343" spans="1:12" ht="15.75" x14ac:dyDescent="0.25">
      <c r="A343" s="585"/>
      <c r="B343" s="586"/>
      <c r="C343" s="587"/>
      <c r="D343" s="588" t="s">
        <v>733</v>
      </c>
      <c r="E343" s="662">
        <v>0.80902777777777779</v>
      </c>
      <c r="F343" s="657"/>
      <c r="G343" s="585"/>
      <c r="H343" s="586"/>
      <c r="I343" s="587"/>
      <c r="J343" s="588"/>
      <c r="K343" s="589"/>
      <c r="L343" s="591"/>
    </row>
    <row r="344" spans="1:12" ht="15.75" x14ac:dyDescent="0.25">
      <c r="A344" s="585"/>
      <c r="B344" s="586" t="s">
        <v>273</v>
      </c>
      <c r="C344" s="587">
        <v>141</v>
      </c>
      <c r="D344" s="588" t="s">
        <v>788</v>
      </c>
      <c r="E344" s="651"/>
      <c r="F344" s="653"/>
      <c r="G344" s="585"/>
      <c r="H344" s="586"/>
      <c r="I344" s="587"/>
      <c r="J344" s="588"/>
      <c r="K344" s="599"/>
      <c r="L344" s="598"/>
    </row>
    <row r="345" spans="1:12" ht="15.75" x14ac:dyDescent="0.25">
      <c r="A345" s="585"/>
      <c r="B345" s="586"/>
      <c r="C345" s="587"/>
      <c r="D345" s="661"/>
      <c r="E345" s="589"/>
      <c r="F345" s="591"/>
      <c r="G345" s="585"/>
      <c r="H345" s="586"/>
      <c r="I345" s="587"/>
      <c r="J345" s="594"/>
      <c r="K345" s="589"/>
      <c r="L345" s="591"/>
    </row>
    <row r="346" spans="1:12" ht="15.75" x14ac:dyDescent="0.25">
      <c r="A346" s="585"/>
      <c r="B346" s="586"/>
      <c r="C346" s="587"/>
      <c r="D346" s="650"/>
      <c r="E346" s="662"/>
      <c r="F346" s="591"/>
      <c r="G346" s="585"/>
      <c r="H346" s="586"/>
      <c r="I346" s="587"/>
      <c r="J346" s="588"/>
      <c r="K346" s="599"/>
      <c r="L346" s="596"/>
    </row>
    <row r="347" spans="1:12" ht="15.75" x14ac:dyDescent="0.25">
      <c r="A347" s="585"/>
      <c r="B347" s="586"/>
      <c r="C347" s="587"/>
      <c r="D347" s="588"/>
      <c r="E347" s="651"/>
      <c r="F347" s="657"/>
      <c r="G347" s="585"/>
      <c r="H347" s="586"/>
      <c r="I347" s="587"/>
      <c r="J347" s="594"/>
      <c r="K347" s="589"/>
      <c r="L347" s="591"/>
    </row>
    <row r="348" spans="1:12" ht="15.75" x14ac:dyDescent="0.25">
      <c r="A348" s="585"/>
      <c r="B348" s="586"/>
      <c r="C348" s="587"/>
      <c r="D348" s="588"/>
      <c r="E348" s="662"/>
      <c r="F348" s="653"/>
      <c r="G348" s="585"/>
      <c r="H348" s="586"/>
      <c r="I348" s="587"/>
      <c r="J348" s="588"/>
      <c r="K348" s="599"/>
      <c r="L348" s="598"/>
    </row>
    <row r="349" spans="1:12" ht="15.75" x14ac:dyDescent="0.25">
      <c r="A349" s="585"/>
      <c r="B349" s="586"/>
      <c r="C349" s="587"/>
      <c r="D349" s="659"/>
      <c r="E349" s="651"/>
      <c r="F349" s="660"/>
      <c r="G349" s="585"/>
      <c r="H349" s="586"/>
      <c r="I349" s="587"/>
      <c r="J349" s="594"/>
      <c r="K349" s="589"/>
      <c r="L349" s="591"/>
    </row>
    <row r="350" spans="1:12" ht="15.75" x14ac:dyDescent="0.25">
      <c r="A350" s="585"/>
      <c r="B350" s="586"/>
      <c r="C350" s="587"/>
      <c r="D350" s="616"/>
      <c r="E350" s="589"/>
      <c r="F350" s="615"/>
      <c r="G350" s="585"/>
      <c r="H350" s="586"/>
      <c r="I350" s="587"/>
      <c r="J350" s="595"/>
      <c r="K350" s="589"/>
      <c r="L350" s="596"/>
    </row>
    <row r="351" spans="1:12" ht="15.75" x14ac:dyDescent="0.25">
      <c r="A351" s="585"/>
      <c r="B351" s="586"/>
      <c r="C351" s="587"/>
      <c r="D351" s="594"/>
      <c r="E351" s="589"/>
      <c r="F351" s="591"/>
      <c r="G351" s="585"/>
      <c r="H351" s="586"/>
      <c r="I351" s="587"/>
      <c r="J351" s="594"/>
      <c r="K351" s="589"/>
      <c r="L351" s="591"/>
    </row>
    <row r="352" spans="1:12" ht="15.75" x14ac:dyDescent="0.25">
      <c r="A352" s="585"/>
      <c r="B352" s="586"/>
      <c r="C352" s="587"/>
      <c r="D352" s="613"/>
      <c r="E352" s="599"/>
      <c r="F352" s="614"/>
      <c r="G352" s="585"/>
      <c r="H352" s="586"/>
      <c r="I352" s="587"/>
      <c r="J352" s="588"/>
      <c r="K352" s="599"/>
      <c r="L352" s="598"/>
    </row>
    <row r="353" spans="1:12" ht="15.75" x14ac:dyDescent="0.25">
      <c r="A353" s="585"/>
      <c r="B353" s="586"/>
      <c r="C353" s="587"/>
      <c r="D353" s="588"/>
      <c r="E353" s="589"/>
      <c r="F353" s="591"/>
      <c r="G353" s="585"/>
      <c r="H353" s="586"/>
      <c r="I353" s="587"/>
      <c r="J353" s="588"/>
      <c r="K353" s="589"/>
      <c r="L353" s="591"/>
    </row>
    <row r="354" spans="1:12" ht="15.75" x14ac:dyDescent="0.25">
      <c r="A354" s="585"/>
      <c r="B354" s="586"/>
      <c r="C354" s="587"/>
      <c r="D354" s="613"/>
      <c r="E354" s="589"/>
      <c r="F354" s="614"/>
      <c r="G354" s="585"/>
      <c r="H354" s="586"/>
      <c r="I354" s="587"/>
      <c r="J354" s="588"/>
      <c r="K354" s="599"/>
      <c r="L354" s="596"/>
    </row>
    <row r="355" spans="1:12" ht="15.75" x14ac:dyDescent="0.25">
      <c r="A355" s="585"/>
      <c r="B355" s="586"/>
      <c r="C355" s="587"/>
      <c r="D355" s="588"/>
      <c r="E355" s="589"/>
      <c r="F355" s="591"/>
      <c r="G355" s="585"/>
      <c r="H355" s="586"/>
      <c r="I355" s="587"/>
      <c r="J355" s="594"/>
      <c r="K355" s="589"/>
      <c r="L355" s="591"/>
    </row>
    <row r="356" spans="1:12" ht="15.75" x14ac:dyDescent="0.25">
      <c r="A356" s="585"/>
      <c r="B356" s="586"/>
      <c r="C356" s="587"/>
      <c r="D356" s="595"/>
      <c r="E356" s="589"/>
      <c r="F356" s="596"/>
      <c r="G356" s="585"/>
      <c r="H356" s="586"/>
      <c r="I356" s="587"/>
      <c r="J356" s="588"/>
      <c r="K356" s="599"/>
      <c r="L356" s="598"/>
    </row>
    <row r="357" spans="1:12" ht="15.75" x14ac:dyDescent="0.25">
      <c r="A357" s="585"/>
      <c r="B357" s="586"/>
      <c r="C357" s="587"/>
      <c r="D357" s="594"/>
      <c r="E357" s="589"/>
      <c r="F357" s="591"/>
      <c r="G357" s="585"/>
      <c r="H357" s="586"/>
      <c r="I357" s="587"/>
      <c r="J357" s="594"/>
      <c r="K357" s="589"/>
      <c r="L357" s="591"/>
    </row>
    <row r="358" spans="1:12" ht="15.75" x14ac:dyDescent="0.25">
      <c r="A358" s="585"/>
      <c r="B358" s="586"/>
      <c r="C358" s="587"/>
      <c r="D358" s="613"/>
      <c r="E358" s="599"/>
      <c r="F358" s="614"/>
      <c r="G358" s="585"/>
      <c r="H358" s="586"/>
      <c r="I358" s="587"/>
      <c r="J358" s="588"/>
      <c r="K358" s="589"/>
      <c r="L358" s="591"/>
    </row>
    <row r="359" spans="1:12" ht="15.75" x14ac:dyDescent="0.25">
      <c r="A359" s="585"/>
      <c r="B359" s="586"/>
      <c r="C359" s="587"/>
      <c r="D359" s="588"/>
      <c r="E359" s="589"/>
      <c r="F359" s="591"/>
      <c r="G359" s="600"/>
      <c r="H359" s="586"/>
      <c r="I359" s="601"/>
      <c r="J359" s="588"/>
      <c r="K359" s="589"/>
      <c r="L359" s="591"/>
    </row>
    <row r="360" spans="1:12" ht="15.75" x14ac:dyDescent="0.25">
      <c r="A360" s="602"/>
      <c r="B360" s="603"/>
      <c r="C360" s="604"/>
      <c r="D360" s="605"/>
      <c r="E360" s="606"/>
      <c r="F360" s="607"/>
      <c r="G360" s="608"/>
      <c r="H360" s="609"/>
      <c r="I360" s="610"/>
      <c r="J360" s="611"/>
      <c r="K360" s="606"/>
      <c r="L360" s="612"/>
    </row>
    <row r="361" spans="1:12" ht="23.25" x14ac:dyDescent="0.35">
      <c r="A361" s="1237" t="s">
        <v>712</v>
      </c>
      <c r="B361" s="1238"/>
      <c r="C361" s="1238"/>
      <c r="D361" s="1238"/>
      <c r="E361" s="1238"/>
      <c r="F361" s="1238"/>
      <c r="G361" s="1238"/>
      <c r="H361" s="1238"/>
      <c r="I361" s="1238"/>
      <c r="J361" s="1238"/>
      <c r="K361" s="1238"/>
      <c r="L361" s="1239"/>
    </row>
    <row r="362" spans="1:12" ht="23.25" x14ac:dyDescent="0.35">
      <c r="A362" s="1240" t="s">
        <v>713</v>
      </c>
      <c r="B362" s="1241"/>
      <c r="C362" s="1241"/>
      <c r="D362" s="1241"/>
      <c r="E362" s="1241"/>
      <c r="F362" s="1241"/>
      <c r="G362" s="1241"/>
      <c r="H362" s="1241"/>
      <c r="I362" s="1241"/>
      <c r="J362" s="1241"/>
      <c r="K362" s="1241"/>
      <c r="L362" s="1242"/>
    </row>
    <row r="363" spans="1:12" ht="23.25" x14ac:dyDescent="0.35">
      <c r="A363" s="1243" t="s">
        <v>714</v>
      </c>
      <c r="B363" s="1244"/>
      <c r="C363" s="1244"/>
      <c r="D363" s="1244"/>
      <c r="E363" s="1244"/>
      <c r="F363" s="1244"/>
      <c r="G363" s="1244"/>
      <c r="H363" s="1244"/>
      <c r="I363" s="1244"/>
      <c r="J363" s="1244"/>
      <c r="K363" s="1244"/>
      <c r="L363" s="1245"/>
    </row>
    <row r="364" spans="1:12" ht="23.25" x14ac:dyDescent="0.35">
      <c r="A364" s="619" t="s">
        <v>715</v>
      </c>
      <c r="B364" s="620"/>
      <c r="C364" s="620"/>
      <c r="D364" s="621" t="s">
        <v>716</v>
      </c>
      <c r="E364" s="1241" t="s">
        <v>717</v>
      </c>
      <c r="F364" s="1241"/>
      <c r="G364" s="1241"/>
      <c r="H364" s="1241"/>
      <c r="I364" s="1241"/>
      <c r="J364" s="618" t="s">
        <v>789</v>
      </c>
      <c r="K364" s="1241"/>
      <c r="L364" s="1242"/>
    </row>
    <row r="365" spans="1:12" x14ac:dyDescent="0.25">
      <c r="A365" s="622"/>
      <c r="B365" s="623"/>
      <c r="C365" s="623"/>
      <c r="D365" s="624"/>
      <c r="E365" s="623"/>
      <c r="F365" s="623"/>
      <c r="G365" s="623"/>
      <c r="H365" s="623"/>
      <c r="I365" s="1246"/>
      <c r="J365" s="1246"/>
      <c r="K365" s="623"/>
      <c r="L365" s="625"/>
    </row>
    <row r="366" spans="1:12" ht="15.75" x14ac:dyDescent="0.25">
      <c r="A366" s="626" t="s">
        <v>719</v>
      </c>
      <c r="B366" s="627"/>
      <c r="C366" s="628"/>
      <c r="D366" s="629" t="s">
        <v>720</v>
      </c>
      <c r="E366" s="630" t="s">
        <v>721</v>
      </c>
      <c r="F366" s="631" t="s">
        <v>722</v>
      </c>
      <c r="G366" s="626" t="s">
        <v>719</v>
      </c>
      <c r="H366" s="632"/>
      <c r="I366" s="633"/>
      <c r="J366" s="634" t="s">
        <v>720</v>
      </c>
      <c r="K366" s="626" t="s">
        <v>721</v>
      </c>
      <c r="L366" s="626" t="s">
        <v>722</v>
      </c>
    </row>
    <row r="367" spans="1:12" ht="15.75" x14ac:dyDescent="0.25">
      <c r="A367" s="635"/>
      <c r="B367" s="636"/>
      <c r="C367" s="637"/>
      <c r="D367" s="638"/>
      <c r="E367" s="639"/>
      <c r="F367" s="640"/>
      <c r="G367" s="641"/>
      <c r="H367" s="642"/>
      <c r="I367" s="643"/>
      <c r="J367" s="644"/>
      <c r="K367" s="645"/>
      <c r="L367" s="646"/>
    </row>
    <row r="368" spans="1:12" ht="15.75" x14ac:dyDescent="0.25">
      <c r="A368" s="647"/>
      <c r="B368" s="648" t="s">
        <v>273</v>
      </c>
      <c r="C368" s="649">
        <v>111</v>
      </c>
      <c r="D368" s="650" t="s">
        <v>790</v>
      </c>
      <c r="E368" s="651"/>
      <c r="F368" s="652"/>
      <c r="G368" s="647"/>
      <c r="H368" s="648" t="s">
        <v>273</v>
      </c>
      <c r="I368" s="649">
        <v>134</v>
      </c>
      <c r="J368" s="650" t="s">
        <v>791</v>
      </c>
      <c r="K368" s="651"/>
      <c r="L368" s="653"/>
    </row>
    <row r="369" spans="1:12" ht="15.75" x14ac:dyDescent="0.25">
      <c r="A369" s="647" t="s">
        <v>725</v>
      </c>
      <c r="B369" s="654"/>
      <c r="C369" s="649"/>
      <c r="D369" s="650" t="s">
        <v>726</v>
      </c>
      <c r="E369" s="651"/>
      <c r="F369" s="655">
        <v>0.26041666666666669</v>
      </c>
      <c r="G369" s="647">
        <v>7</v>
      </c>
      <c r="H369" s="648"/>
      <c r="I369" s="649"/>
      <c r="J369" s="656" t="s">
        <v>728</v>
      </c>
      <c r="K369" s="651"/>
      <c r="L369" s="657">
        <v>0.64583333333333337</v>
      </c>
    </row>
    <row r="370" spans="1:12" ht="15.75" x14ac:dyDescent="0.25">
      <c r="A370" s="647" t="s">
        <v>787</v>
      </c>
      <c r="B370" s="648"/>
      <c r="C370" s="649"/>
      <c r="D370" s="617" t="s">
        <v>62</v>
      </c>
      <c r="E370" s="651"/>
      <c r="F370" s="658">
        <v>0.28472222222222221</v>
      </c>
      <c r="G370" s="647"/>
      <c r="H370" s="648"/>
      <c r="I370" s="649"/>
      <c r="J370" s="650"/>
      <c r="K370" s="651"/>
      <c r="L370" s="653"/>
    </row>
    <row r="371" spans="1:12" ht="15.75" x14ac:dyDescent="0.25">
      <c r="A371" s="647"/>
      <c r="B371" s="648"/>
      <c r="C371" s="649"/>
      <c r="D371" s="650"/>
      <c r="E371" s="651"/>
      <c r="F371" s="653"/>
      <c r="G371" s="647">
        <v>7</v>
      </c>
      <c r="H371" s="648"/>
      <c r="I371" s="649"/>
      <c r="J371" s="659" t="s">
        <v>50</v>
      </c>
      <c r="K371" s="651"/>
      <c r="L371" s="660">
        <v>0.71875</v>
      </c>
    </row>
    <row r="372" spans="1:12" ht="15.75" x14ac:dyDescent="0.25">
      <c r="A372" s="647"/>
      <c r="B372" s="648"/>
      <c r="C372" s="649"/>
      <c r="D372" s="656" t="s">
        <v>728</v>
      </c>
      <c r="E372" s="662">
        <v>0.35416666666666669</v>
      </c>
      <c r="F372" s="657"/>
      <c r="G372" s="647"/>
      <c r="H372" s="648"/>
      <c r="I372" s="649"/>
      <c r="J372" s="661"/>
      <c r="K372" s="651"/>
      <c r="L372" s="653"/>
    </row>
    <row r="373" spans="1:12" ht="15.75" x14ac:dyDescent="0.25">
      <c r="A373" s="647"/>
      <c r="B373" s="648" t="s">
        <v>273</v>
      </c>
      <c r="C373" s="649">
        <v>111</v>
      </c>
      <c r="D373" s="650" t="s">
        <v>792</v>
      </c>
      <c r="E373" s="651"/>
      <c r="F373" s="653"/>
      <c r="G373" s="647">
        <v>7</v>
      </c>
      <c r="H373" s="648"/>
      <c r="I373" s="649"/>
      <c r="J373" s="656" t="s">
        <v>728</v>
      </c>
      <c r="K373" s="651"/>
      <c r="L373" s="657">
        <v>0.79166666666666663</v>
      </c>
    </row>
    <row r="374" spans="1:12" ht="15.75" x14ac:dyDescent="0.25">
      <c r="A374" s="647"/>
      <c r="B374" s="648"/>
      <c r="C374" s="649"/>
      <c r="D374" s="661"/>
      <c r="E374" s="651"/>
      <c r="F374" s="653"/>
      <c r="G374" s="647"/>
      <c r="H374" s="648"/>
      <c r="I374" s="649"/>
      <c r="J374" s="650"/>
      <c r="K374" s="651"/>
      <c r="L374" s="653"/>
    </row>
    <row r="375" spans="1:12" ht="15.75" x14ac:dyDescent="0.25">
      <c r="A375" s="647"/>
      <c r="B375" s="648" t="s">
        <v>273</v>
      </c>
      <c r="C375" s="649">
        <v>155</v>
      </c>
      <c r="D375" s="650" t="s">
        <v>793</v>
      </c>
      <c r="E375" s="651"/>
      <c r="F375" s="653"/>
      <c r="G375" s="647" t="s">
        <v>725</v>
      </c>
      <c r="H375" s="648"/>
      <c r="I375" s="649"/>
      <c r="J375" s="659" t="s">
        <v>50</v>
      </c>
      <c r="K375" s="662">
        <v>0.85069444444444442</v>
      </c>
      <c r="L375" s="660"/>
    </row>
    <row r="376" spans="1:12" ht="15.75" x14ac:dyDescent="0.25">
      <c r="A376" s="647">
        <v>7</v>
      </c>
      <c r="B376" s="648"/>
      <c r="C376" s="649"/>
      <c r="D376" s="656" t="s">
        <v>728</v>
      </c>
      <c r="E376" s="651"/>
      <c r="F376" s="657">
        <v>0.35416666666666669</v>
      </c>
      <c r="G376" s="647"/>
      <c r="H376" s="648"/>
      <c r="I376" s="649"/>
      <c r="J376" s="650" t="s">
        <v>733</v>
      </c>
      <c r="K376" s="662">
        <v>0.87152777777777779</v>
      </c>
      <c r="L376" s="653"/>
    </row>
    <row r="377" spans="1:12" ht="15.75" x14ac:dyDescent="0.25">
      <c r="A377" s="647"/>
      <c r="B377" s="648"/>
      <c r="C377" s="649"/>
      <c r="D377" s="650"/>
      <c r="E377" s="651"/>
      <c r="F377" s="653"/>
      <c r="G377" s="647"/>
      <c r="H377" s="648" t="s">
        <v>276</v>
      </c>
      <c r="I377" s="649" t="s">
        <v>273</v>
      </c>
      <c r="J377" s="650"/>
      <c r="K377" s="651"/>
      <c r="L377" s="658"/>
    </row>
    <row r="378" spans="1:12" ht="15.75" x14ac:dyDescent="0.25">
      <c r="A378" s="647">
        <v>7</v>
      </c>
      <c r="B378" s="648"/>
      <c r="C378" s="649"/>
      <c r="D378" s="659" t="s">
        <v>50</v>
      </c>
      <c r="E378" s="651"/>
      <c r="F378" s="660">
        <v>0.42708333333333331</v>
      </c>
      <c r="G378" s="647"/>
      <c r="H378" s="648"/>
      <c r="I378" s="649"/>
      <c r="J378" s="663"/>
      <c r="K378" s="662"/>
      <c r="L378" s="653"/>
    </row>
    <row r="379" spans="1:12" ht="15.75" x14ac:dyDescent="0.25">
      <c r="A379" s="647"/>
      <c r="B379" s="648"/>
      <c r="C379" s="649"/>
      <c r="D379" s="661"/>
      <c r="E379" s="651"/>
      <c r="F379" s="653"/>
      <c r="G379" s="647"/>
      <c r="H379" s="648"/>
      <c r="I379" s="649"/>
      <c r="J379" s="617"/>
      <c r="K379" s="651"/>
      <c r="L379" s="658"/>
    </row>
    <row r="380" spans="1:12" ht="15.75" x14ac:dyDescent="0.25">
      <c r="A380" s="647"/>
      <c r="B380" s="648"/>
      <c r="C380" s="649"/>
      <c r="D380" s="656" t="s">
        <v>728</v>
      </c>
      <c r="E380" s="662">
        <v>0.5</v>
      </c>
      <c r="F380" s="657"/>
      <c r="G380" s="647"/>
      <c r="H380" s="648"/>
      <c r="I380" s="649"/>
      <c r="J380" s="661"/>
      <c r="K380" s="651"/>
      <c r="L380" s="653"/>
    </row>
    <row r="381" spans="1:12" ht="15.75" x14ac:dyDescent="0.25">
      <c r="A381" s="647"/>
      <c r="B381" s="648" t="s">
        <v>273</v>
      </c>
      <c r="C381" s="649">
        <v>155</v>
      </c>
      <c r="D381" s="650" t="s">
        <v>794</v>
      </c>
      <c r="E381" s="651"/>
      <c r="F381" s="653"/>
      <c r="G381" s="647"/>
      <c r="H381" s="648"/>
      <c r="I381" s="649"/>
      <c r="J381" s="650"/>
      <c r="K381" s="662"/>
      <c r="L381" s="664"/>
    </row>
    <row r="382" spans="1:12" ht="15.75" x14ac:dyDescent="0.25">
      <c r="A382" s="647"/>
      <c r="B382" s="648"/>
      <c r="C382" s="649"/>
      <c r="D382" s="661"/>
      <c r="E382" s="651"/>
      <c r="F382" s="653"/>
      <c r="G382" s="647"/>
      <c r="H382" s="648"/>
      <c r="I382" s="649"/>
      <c r="J382" s="650"/>
      <c r="K382" s="662"/>
      <c r="L382" s="664"/>
    </row>
    <row r="383" spans="1:12" ht="15.75" x14ac:dyDescent="0.25">
      <c r="A383" s="647"/>
      <c r="B383" s="648" t="s">
        <v>273</v>
      </c>
      <c r="C383" s="649">
        <v>152</v>
      </c>
      <c r="D383" s="650" t="s">
        <v>795</v>
      </c>
      <c r="E383" s="651"/>
      <c r="F383" s="653"/>
      <c r="G383" s="647"/>
      <c r="H383" s="648"/>
      <c r="I383" s="649"/>
      <c r="J383" s="661"/>
      <c r="K383" s="651"/>
      <c r="L383" s="653"/>
    </row>
    <row r="384" spans="1:12" ht="15.75" x14ac:dyDescent="0.25">
      <c r="A384" s="647">
        <v>7</v>
      </c>
      <c r="B384" s="648"/>
      <c r="C384" s="649"/>
      <c r="D384" s="656" t="s">
        <v>728</v>
      </c>
      <c r="E384" s="651"/>
      <c r="F384" s="657">
        <v>0.5</v>
      </c>
      <c r="G384" s="647"/>
      <c r="H384" s="648"/>
      <c r="I384" s="649"/>
      <c r="J384" s="650"/>
      <c r="K384" s="662"/>
      <c r="L384" s="664"/>
    </row>
    <row r="385" spans="1:12" ht="15.75" x14ac:dyDescent="0.25">
      <c r="A385" s="647"/>
      <c r="B385" s="648"/>
      <c r="C385" s="649"/>
      <c r="D385" s="650"/>
      <c r="E385" s="651"/>
      <c r="F385" s="653"/>
      <c r="G385" s="647"/>
      <c r="H385" s="648"/>
      <c r="I385" s="649"/>
      <c r="J385" s="661"/>
      <c r="K385" s="651"/>
      <c r="L385" s="653"/>
    </row>
    <row r="386" spans="1:12" ht="15.75" x14ac:dyDescent="0.25">
      <c r="A386" s="647">
        <v>7</v>
      </c>
      <c r="B386" s="648"/>
      <c r="C386" s="649"/>
      <c r="D386" s="659" t="s">
        <v>50</v>
      </c>
      <c r="E386" s="651"/>
      <c r="F386" s="660">
        <v>0.57291666666666663</v>
      </c>
      <c r="G386" s="647"/>
      <c r="H386" s="648"/>
      <c r="I386" s="649"/>
      <c r="J386" s="650"/>
      <c r="K386" s="662"/>
      <c r="L386" s="664"/>
    </row>
    <row r="387" spans="1:12" ht="15.75" x14ac:dyDescent="0.25">
      <c r="A387" s="647"/>
      <c r="B387" s="648"/>
      <c r="C387" s="649"/>
      <c r="D387" s="661"/>
      <c r="E387" s="651"/>
      <c r="F387" s="653"/>
      <c r="G387" s="647"/>
      <c r="H387" s="648"/>
      <c r="I387" s="649"/>
      <c r="J387" s="661"/>
      <c r="K387" s="651"/>
      <c r="L387" s="653"/>
    </row>
    <row r="388" spans="1:12" ht="15.75" x14ac:dyDescent="0.25">
      <c r="A388" s="647"/>
      <c r="B388" s="648"/>
      <c r="C388" s="649"/>
      <c r="D388" s="656" t="s">
        <v>728</v>
      </c>
      <c r="E388" s="662">
        <v>0.64583333333333337</v>
      </c>
      <c r="F388" s="657"/>
      <c r="G388" s="647"/>
      <c r="H388" s="648"/>
      <c r="I388" s="649"/>
      <c r="J388" s="650"/>
      <c r="K388" s="662"/>
      <c r="L388" s="664"/>
    </row>
    <row r="389" spans="1:12" ht="15.75" x14ac:dyDescent="0.25">
      <c r="A389" s="647"/>
      <c r="B389" s="648" t="s">
        <v>276</v>
      </c>
      <c r="C389" s="649" t="s">
        <v>273</v>
      </c>
      <c r="D389" s="650"/>
      <c r="E389" s="651"/>
      <c r="F389" s="653"/>
      <c r="G389" s="647"/>
      <c r="H389" s="648"/>
      <c r="I389" s="649"/>
      <c r="J389" s="661"/>
      <c r="K389" s="651"/>
      <c r="L389" s="653"/>
    </row>
    <row r="390" spans="1:12" ht="15.75" x14ac:dyDescent="0.25">
      <c r="A390" s="647"/>
      <c r="B390" s="648"/>
      <c r="C390" s="649"/>
      <c r="D390" s="663"/>
      <c r="E390" s="662"/>
      <c r="F390" s="664"/>
      <c r="G390" s="647"/>
      <c r="H390" s="648"/>
      <c r="I390" s="649"/>
      <c r="J390" s="650"/>
      <c r="K390" s="662"/>
      <c r="L390" s="664"/>
    </row>
    <row r="391" spans="1:12" ht="15.75" x14ac:dyDescent="0.25">
      <c r="A391" s="647"/>
      <c r="B391" s="648"/>
      <c r="C391" s="649"/>
      <c r="D391" s="661"/>
      <c r="E391" s="651"/>
      <c r="F391" s="653"/>
      <c r="G391" s="647"/>
      <c r="H391" s="648"/>
      <c r="I391" s="649"/>
      <c r="J391" s="661"/>
      <c r="K391" s="651"/>
      <c r="L391" s="653"/>
    </row>
    <row r="392" spans="1:12" ht="15.75" x14ac:dyDescent="0.25">
      <c r="A392" s="647"/>
      <c r="B392" s="648"/>
      <c r="C392" s="649"/>
      <c r="D392" s="650"/>
      <c r="E392" s="651"/>
      <c r="F392" s="653"/>
      <c r="G392" s="647"/>
      <c r="H392" s="648"/>
      <c r="I392" s="649"/>
      <c r="J392" s="650"/>
      <c r="K392" s="662"/>
      <c r="L392" s="664"/>
    </row>
    <row r="393" spans="1:12" ht="15.75" x14ac:dyDescent="0.25">
      <c r="A393" s="647"/>
      <c r="B393" s="648"/>
      <c r="C393" s="649"/>
      <c r="D393" s="650"/>
      <c r="E393" s="651"/>
      <c r="F393" s="653"/>
      <c r="G393" s="647"/>
      <c r="H393" s="648"/>
      <c r="I393" s="649"/>
      <c r="J393" s="650"/>
      <c r="K393" s="651"/>
      <c r="L393" s="653"/>
    </row>
    <row r="394" spans="1:12" ht="15.75" x14ac:dyDescent="0.25">
      <c r="A394" s="647"/>
      <c r="B394" s="648"/>
      <c r="C394" s="649"/>
      <c r="D394" s="663"/>
      <c r="E394" s="662"/>
      <c r="F394" s="664"/>
      <c r="G394" s="647"/>
      <c r="H394" s="648"/>
      <c r="I394" s="649"/>
      <c r="J394" s="650"/>
      <c r="K394" s="662"/>
      <c r="L394" s="658"/>
    </row>
    <row r="395" spans="1:12" ht="15.75" x14ac:dyDescent="0.25">
      <c r="A395" s="647"/>
      <c r="B395" s="648"/>
      <c r="C395" s="649"/>
      <c r="D395" s="661"/>
      <c r="E395" s="651"/>
      <c r="F395" s="653"/>
      <c r="G395" s="647"/>
      <c r="H395" s="648"/>
      <c r="I395" s="649"/>
      <c r="J395" s="661"/>
      <c r="K395" s="651"/>
      <c r="L395" s="653"/>
    </row>
    <row r="396" spans="1:12" ht="15.75" x14ac:dyDescent="0.25">
      <c r="A396" s="647"/>
      <c r="B396" s="648"/>
      <c r="C396" s="649"/>
      <c r="D396" s="650"/>
      <c r="E396" s="651"/>
      <c r="F396" s="653"/>
      <c r="G396" s="647"/>
      <c r="H396" s="648"/>
      <c r="I396" s="649"/>
      <c r="J396" s="650"/>
      <c r="K396" s="662"/>
      <c r="L396" s="664"/>
    </row>
    <row r="397" spans="1:12" ht="15.75" x14ac:dyDescent="0.25">
      <c r="A397" s="647"/>
      <c r="B397" s="648"/>
      <c r="C397" s="649"/>
      <c r="D397" s="661"/>
      <c r="E397" s="651"/>
      <c r="F397" s="653"/>
      <c r="G397" s="647"/>
      <c r="H397" s="648"/>
      <c r="I397" s="649"/>
      <c r="J397" s="661"/>
      <c r="K397" s="651"/>
      <c r="L397" s="653"/>
    </row>
    <row r="398" spans="1:12" ht="15.75" x14ac:dyDescent="0.25">
      <c r="A398" s="647"/>
      <c r="B398" s="648"/>
      <c r="C398" s="649"/>
      <c r="D398" s="650"/>
      <c r="E398" s="651"/>
      <c r="F398" s="653"/>
      <c r="G398" s="647"/>
      <c r="H398" s="648"/>
      <c r="I398" s="649"/>
      <c r="J398" s="650"/>
      <c r="K398" s="651"/>
      <c r="L398" s="653"/>
    </row>
    <row r="399" spans="1:12" ht="15.75" x14ac:dyDescent="0.25">
      <c r="A399" s="647"/>
      <c r="B399" s="648"/>
      <c r="C399" s="665"/>
      <c r="D399" s="661"/>
      <c r="E399" s="651"/>
      <c r="F399" s="653"/>
      <c r="G399" s="666"/>
      <c r="H399" s="648"/>
      <c r="I399" s="665"/>
      <c r="J399" s="650"/>
      <c r="K399" s="651"/>
      <c r="L399" s="653"/>
    </row>
    <row r="400" spans="1:12" ht="15.75" x14ac:dyDescent="0.25">
      <c r="A400" s="667"/>
      <c r="B400" s="668"/>
      <c r="C400" s="669"/>
      <c r="D400" s="670"/>
      <c r="E400" s="671"/>
      <c r="F400" s="672"/>
      <c r="G400" s="673"/>
      <c r="H400" s="674"/>
      <c r="I400" s="675"/>
      <c r="J400" s="676"/>
      <c r="K400" s="671"/>
      <c r="L400" s="677"/>
    </row>
    <row r="401" spans="1:12" ht="23.25" x14ac:dyDescent="0.35">
      <c r="A401" s="1237" t="s">
        <v>712</v>
      </c>
      <c r="B401" s="1238"/>
      <c r="C401" s="1238"/>
      <c r="D401" s="1238"/>
      <c r="E401" s="1238"/>
      <c r="F401" s="1238"/>
      <c r="G401" s="1238"/>
      <c r="H401" s="1238"/>
      <c r="I401" s="1238"/>
      <c r="J401" s="1238"/>
      <c r="K401" s="1238"/>
      <c r="L401" s="1239"/>
    </row>
    <row r="402" spans="1:12" ht="23.25" x14ac:dyDescent="0.35">
      <c r="A402" s="1240" t="s">
        <v>713</v>
      </c>
      <c r="B402" s="1241"/>
      <c r="C402" s="1241"/>
      <c r="D402" s="1241"/>
      <c r="E402" s="1241"/>
      <c r="F402" s="1241"/>
      <c r="G402" s="1241"/>
      <c r="H402" s="1241"/>
      <c r="I402" s="1241"/>
      <c r="J402" s="1241"/>
      <c r="K402" s="1241"/>
      <c r="L402" s="1242"/>
    </row>
    <row r="403" spans="1:12" ht="23.25" x14ac:dyDescent="0.35">
      <c r="A403" s="1243" t="s">
        <v>714</v>
      </c>
      <c r="B403" s="1244"/>
      <c r="C403" s="1244"/>
      <c r="D403" s="1244"/>
      <c r="E403" s="1244"/>
      <c r="F403" s="1244"/>
      <c r="G403" s="1244"/>
      <c r="H403" s="1244"/>
      <c r="I403" s="1244"/>
      <c r="J403" s="1244"/>
      <c r="K403" s="1244"/>
      <c r="L403" s="1245"/>
    </row>
    <row r="404" spans="1:12" ht="23.25" x14ac:dyDescent="0.35">
      <c r="A404" s="619" t="s">
        <v>715</v>
      </c>
      <c r="B404" s="620"/>
      <c r="C404" s="620"/>
      <c r="D404" s="621" t="s">
        <v>716</v>
      </c>
      <c r="E404" s="1241" t="s">
        <v>717</v>
      </c>
      <c r="F404" s="1241"/>
      <c r="G404" s="1241"/>
      <c r="H404" s="1241"/>
      <c r="I404" s="1241"/>
      <c r="J404" s="618" t="s">
        <v>796</v>
      </c>
      <c r="K404" s="1241"/>
      <c r="L404" s="1242"/>
    </row>
    <row r="405" spans="1:12" x14ac:dyDescent="0.25">
      <c r="A405" s="622"/>
      <c r="B405" s="623"/>
      <c r="C405" s="623"/>
      <c r="D405" s="624"/>
      <c r="E405" s="623"/>
      <c r="F405" s="623"/>
      <c r="G405" s="623"/>
      <c r="H405" s="623"/>
      <c r="I405" s="1246"/>
      <c r="J405" s="1246"/>
      <c r="K405" s="623"/>
      <c r="L405" s="625"/>
    </row>
    <row r="406" spans="1:12" ht="15.75" x14ac:dyDescent="0.25">
      <c r="A406" s="626" t="s">
        <v>719</v>
      </c>
      <c r="B406" s="627"/>
      <c r="C406" s="628"/>
      <c r="D406" s="629" t="s">
        <v>720</v>
      </c>
      <c r="E406" s="630" t="s">
        <v>721</v>
      </c>
      <c r="F406" s="631" t="s">
        <v>722</v>
      </c>
      <c r="G406" s="626" t="s">
        <v>719</v>
      </c>
      <c r="H406" s="632"/>
      <c r="I406" s="633"/>
      <c r="J406" s="634" t="s">
        <v>720</v>
      </c>
      <c r="K406" s="626" t="s">
        <v>721</v>
      </c>
      <c r="L406" s="626" t="s">
        <v>722</v>
      </c>
    </row>
    <row r="407" spans="1:12" ht="15.75" x14ac:dyDescent="0.25">
      <c r="A407" s="635"/>
      <c r="B407" s="636"/>
      <c r="C407" s="637"/>
      <c r="D407" s="638"/>
      <c r="E407" s="639"/>
      <c r="F407" s="640"/>
      <c r="G407" s="641"/>
      <c r="H407" s="642"/>
      <c r="I407" s="643"/>
      <c r="J407" s="644"/>
      <c r="K407" s="645"/>
      <c r="L407" s="646"/>
    </row>
    <row r="408" spans="1:12" ht="15.75" x14ac:dyDescent="0.25">
      <c r="A408" s="647"/>
      <c r="B408" s="648" t="s">
        <v>273</v>
      </c>
      <c r="C408" s="649">
        <v>113</v>
      </c>
      <c r="D408" s="650" t="s">
        <v>797</v>
      </c>
      <c r="E408" s="651"/>
      <c r="F408" s="652"/>
      <c r="G408" s="647"/>
      <c r="H408" s="648"/>
      <c r="I408" s="649"/>
      <c r="J408" s="650"/>
      <c r="K408" s="651"/>
      <c r="L408" s="652"/>
    </row>
    <row r="409" spans="1:12" ht="15.75" x14ac:dyDescent="0.25">
      <c r="A409" s="647" t="s">
        <v>725</v>
      </c>
      <c r="B409" s="654"/>
      <c r="C409" s="649"/>
      <c r="D409" s="650" t="s">
        <v>726</v>
      </c>
      <c r="E409" s="651"/>
      <c r="F409" s="655">
        <v>0.27083333333333331</v>
      </c>
      <c r="G409" s="647"/>
      <c r="H409" s="648"/>
      <c r="I409" s="649"/>
      <c r="J409" s="656"/>
      <c r="K409" s="651"/>
      <c r="L409" s="657"/>
    </row>
    <row r="410" spans="1:12" ht="15.75" x14ac:dyDescent="0.25">
      <c r="A410" s="647">
        <v>7</v>
      </c>
      <c r="B410" s="648"/>
      <c r="C410" s="649"/>
      <c r="D410" s="656" t="s">
        <v>728</v>
      </c>
      <c r="E410" s="651"/>
      <c r="F410" s="657">
        <v>0.29166666666666669</v>
      </c>
      <c r="G410" s="647"/>
      <c r="H410" s="648"/>
      <c r="I410" s="649"/>
      <c r="J410" s="650"/>
      <c r="K410" s="651"/>
      <c r="L410" s="653"/>
    </row>
    <row r="411" spans="1:12" ht="15.75" x14ac:dyDescent="0.25">
      <c r="A411" s="647"/>
      <c r="B411" s="648"/>
      <c r="C411" s="649"/>
      <c r="D411" s="650"/>
      <c r="E411" s="651"/>
      <c r="F411" s="653"/>
      <c r="G411" s="647"/>
      <c r="H411" s="648"/>
      <c r="I411" s="649"/>
      <c r="J411" s="617"/>
      <c r="K411" s="651"/>
      <c r="L411" s="658"/>
    </row>
    <row r="412" spans="1:12" ht="15.75" x14ac:dyDescent="0.25">
      <c r="A412" s="647">
        <v>7</v>
      </c>
      <c r="B412" s="648"/>
      <c r="C412" s="649"/>
      <c r="D412" s="659" t="s">
        <v>50</v>
      </c>
      <c r="E412" s="651"/>
      <c r="F412" s="660">
        <v>0.35416666666666669</v>
      </c>
      <c r="G412" s="647"/>
      <c r="H412" s="648"/>
      <c r="I412" s="649"/>
      <c r="J412" s="661"/>
      <c r="K412" s="651"/>
      <c r="L412" s="653"/>
    </row>
    <row r="413" spans="1:12" ht="15.75" x14ac:dyDescent="0.25">
      <c r="A413" s="647"/>
      <c r="B413" s="648"/>
      <c r="C413" s="649"/>
      <c r="D413" s="650"/>
      <c r="E413" s="651"/>
      <c r="F413" s="653"/>
      <c r="G413" s="647"/>
      <c r="H413" s="648"/>
      <c r="I413" s="649"/>
      <c r="J413" s="656"/>
      <c r="K413" s="662"/>
      <c r="L413" s="657"/>
    </row>
    <row r="414" spans="1:12" ht="15.75" x14ac:dyDescent="0.25">
      <c r="A414" s="647" t="s">
        <v>725</v>
      </c>
      <c r="B414" s="648"/>
      <c r="C414" s="649"/>
      <c r="D414" s="656" t="s">
        <v>728</v>
      </c>
      <c r="E414" s="662">
        <v>0.42708333333333331</v>
      </c>
      <c r="F414" s="658"/>
      <c r="G414" s="647"/>
      <c r="H414" s="648"/>
      <c r="I414" s="649"/>
      <c r="J414" s="650"/>
      <c r="K414" s="651"/>
      <c r="L414" s="653"/>
    </row>
    <row r="415" spans="1:12" ht="15.75" x14ac:dyDescent="0.25">
      <c r="A415" s="647"/>
      <c r="B415" s="648"/>
      <c r="C415" s="649"/>
      <c r="D415" s="650" t="s">
        <v>733</v>
      </c>
      <c r="E415" s="662">
        <v>0.44791666666666669</v>
      </c>
      <c r="F415" s="653"/>
      <c r="G415" s="647"/>
      <c r="H415" s="648"/>
      <c r="I415" s="649"/>
      <c r="J415" s="617"/>
      <c r="K415" s="651"/>
      <c r="L415" s="658"/>
    </row>
    <row r="416" spans="1:12" ht="15.75" x14ac:dyDescent="0.25">
      <c r="A416" s="647"/>
      <c r="B416" s="648" t="s">
        <v>276</v>
      </c>
      <c r="C416" s="649" t="s">
        <v>273</v>
      </c>
      <c r="D416" s="650"/>
      <c r="E416" s="651"/>
      <c r="F416" s="657"/>
      <c r="G416" s="647"/>
      <c r="H416" s="648"/>
      <c r="I416" s="649"/>
      <c r="J416" s="661"/>
      <c r="K416" s="651"/>
      <c r="L416" s="653"/>
    </row>
    <row r="417" spans="1:12" ht="15.75" x14ac:dyDescent="0.25">
      <c r="A417" s="647"/>
      <c r="B417" s="648"/>
      <c r="C417" s="649"/>
      <c r="D417" s="650"/>
      <c r="E417" s="651"/>
      <c r="F417" s="653"/>
      <c r="G417" s="647"/>
      <c r="H417" s="648"/>
      <c r="I417" s="649"/>
      <c r="J417" s="656"/>
      <c r="K417" s="662"/>
      <c r="L417" s="657"/>
    </row>
    <row r="418" spans="1:12" ht="15.75" x14ac:dyDescent="0.25">
      <c r="A418" s="647"/>
      <c r="B418" s="648" t="s">
        <v>273</v>
      </c>
      <c r="C418" s="649">
        <v>158</v>
      </c>
      <c r="D418" s="650" t="s">
        <v>798</v>
      </c>
      <c r="E418" s="651"/>
      <c r="F418" s="652"/>
      <c r="G418" s="647"/>
      <c r="H418" s="648"/>
      <c r="I418" s="649"/>
      <c r="J418" s="650"/>
      <c r="K418" s="651"/>
      <c r="L418" s="653"/>
    </row>
    <row r="419" spans="1:12" ht="15.75" x14ac:dyDescent="0.25">
      <c r="A419" s="647" t="s">
        <v>725</v>
      </c>
      <c r="B419" s="654"/>
      <c r="C419" s="649"/>
      <c r="D419" s="650" t="s">
        <v>726</v>
      </c>
      <c r="E419" s="651"/>
      <c r="F419" s="655">
        <v>0.69791666666666663</v>
      </c>
      <c r="G419" s="647"/>
      <c r="H419" s="648"/>
      <c r="I419" s="649"/>
      <c r="J419" s="650"/>
      <c r="K419" s="662"/>
      <c r="L419" s="658"/>
    </row>
    <row r="420" spans="1:12" ht="15.75" x14ac:dyDescent="0.25">
      <c r="A420" s="647" t="s">
        <v>787</v>
      </c>
      <c r="B420" s="648"/>
      <c r="C420" s="649"/>
      <c r="D420" s="656" t="s">
        <v>728</v>
      </c>
      <c r="E420" s="651"/>
      <c r="F420" s="657">
        <v>0.72916666666666663</v>
      </c>
      <c r="G420" s="647"/>
      <c r="H420" s="648"/>
      <c r="I420" s="649"/>
      <c r="J420" s="650"/>
      <c r="K420" s="651"/>
      <c r="L420" s="664"/>
    </row>
    <row r="421" spans="1:12" ht="15.75" x14ac:dyDescent="0.25">
      <c r="A421" s="647"/>
      <c r="B421" s="648"/>
      <c r="C421" s="649"/>
      <c r="D421" s="650"/>
      <c r="E421" s="651"/>
      <c r="F421" s="653"/>
      <c r="G421" s="647"/>
      <c r="H421" s="648"/>
      <c r="I421" s="649"/>
      <c r="J421" s="661"/>
      <c r="K421" s="651"/>
      <c r="L421" s="653"/>
    </row>
    <row r="422" spans="1:12" ht="15.75" x14ac:dyDescent="0.25">
      <c r="A422" s="647" t="s">
        <v>725</v>
      </c>
      <c r="B422" s="648"/>
      <c r="C422" s="649"/>
      <c r="D422" s="617" t="s">
        <v>62</v>
      </c>
      <c r="E422" s="662">
        <v>0.79166666666666663</v>
      </c>
      <c r="F422" s="660"/>
      <c r="G422" s="647"/>
      <c r="H422" s="648"/>
      <c r="I422" s="649"/>
      <c r="J422" s="650"/>
      <c r="K422" s="662"/>
      <c r="L422" s="658"/>
    </row>
    <row r="423" spans="1:12" ht="15.75" x14ac:dyDescent="0.25">
      <c r="A423" s="647"/>
      <c r="B423" s="648"/>
      <c r="C423" s="649"/>
      <c r="D423" s="650" t="s">
        <v>733</v>
      </c>
      <c r="E423" s="662">
        <v>0.8125</v>
      </c>
      <c r="F423" s="653"/>
      <c r="G423" s="647"/>
      <c r="H423" s="648"/>
      <c r="I423" s="649"/>
      <c r="J423" s="650"/>
      <c r="K423" s="651"/>
      <c r="L423" s="653"/>
    </row>
    <row r="424" spans="1:12" ht="15.75" x14ac:dyDescent="0.25">
      <c r="A424" s="647"/>
      <c r="B424" s="648" t="s">
        <v>276</v>
      </c>
      <c r="C424" s="649" t="s">
        <v>273</v>
      </c>
      <c r="D424" s="650"/>
      <c r="E424" s="651"/>
      <c r="F424" s="657"/>
      <c r="G424" s="647"/>
      <c r="H424" s="648"/>
      <c r="I424" s="649"/>
      <c r="J424" s="650"/>
      <c r="K424" s="662"/>
      <c r="L424" s="664"/>
    </row>
    <row r="425" spans="1:12" ht="15.75" x14ac:dyDescent="0.25">
      <c r="A425" s="647"/>
      <c r="B425" s="648"/>
      <c r="C425" s="649"/>
      <c r="D425" s="661"/>
      <c r="E425" s="651"/>
      <c r="F425" s="653"/>
      <c r="G425" s="647"/>
      <c r="H425" s="648"/>
      <c r="I425" s="649"/>
      <c r="J425" s="661"/>
      <c r="K425" s="651"/>
      <c r="L425" s="653"/>
    </row>
    <row r="426" spans="1:12" ht="15.75" x14ac:dyDescent="0.25">
      <c r="A426" s="647"/>
      <c r="B426" s="648"/>
      <c r="C426" s="649"/>
      <c r="D426" s="650"/>
      <c r="E426" s="662"/>
      <c r="F426" s="653"/>
      <c r="G426" s="647"/>
      <c r="H426" s="648"/>
      <c r="I426" s="649"/>
      <c r="J426" s="650"/>
      <c r="K426" s="662"/>
      <c r="L426" s="658"/>
    </row>
    <row r="427" spans="1:12" ht="15.75" x14ac:dyDescent="0.25">
      <c r="A427" s="647"/>
      <c r="B427" s="648"/>
      <c r="C427" s="649"/>
      <c r="D427" s="650"/>
      <c r="E427" s="662"/>
      <c r="F427" s="653"/>
      <c r="G427" s="647"/>
      <c r="H427" s="648"/>
      <c r="I427" s="649"/>
      <c r="J427" s="661"/>
      <c r="K427" s="651"/>
      <c r="L427" s="653"/>
    </row>
    <row r="428" spans="1:12" ht="15.75" x14ac:dyDescent="0.25">
      <c r="A428" s="647"/>
      <c r="B428" s="648"/>
      <c r="C428" s="649"/>
      <c r="D428" s="650"/>
      <c r="E428" s="651"/>
      <c r="F428" s="657"/>
      <c r="G428" s="647"/>
      <c r="H428" s="648"/>
      <c r="I428" s="649"/>
      <c r="J428" s="650"/>
      <c r="K428" s="662"/>
      <c r="L428" s="664"/>
    </row>
    <row r="429" spans="1:12" ht="15.75" x14ac:dyDescent="0.25">
      <c r="A429" s="647"/>
      <c r="B429" s="648"/>
      <c r="C429" s="649"/>
      <c r="D429" s="650"/>
      <c r="E429" s="662"/>
      <c r="F429" s="653"/>
      <c r="G429" s="647"/>
      <c r="H429" s="648"/>
      <c r="I429" s="649"/>
      <c r="J429" s="661"/>
      <c r="K429" s="651"/>
      <c r="L429" s="653"/>
    </row>
    <row r="430" spans="1:12" ht="15.75" x14ac:dyDescent="0.25">
      <c r="A430" s="647"/>
      <c r="B430" s="648"/>
      <c r="C430" s="649"/>
      <c r="D430" s="659"/>
      <c r="E430" s="651"/>
      <c r="F430" s="660"/>
      <c r="G430" s="647"/>
      <c r="H430" s="648"/>
      <c r="I430" s="649"/>
      <c r="J430" s="617"/>
      <c r="K430" s="651"/>
      <c r="L430" s="658"/>
    </row>
    <row r="431" spans="1:12" ht="15.75" x14ac:dyDescent="0.25">
      <c r="A431" s="647"/>
      <c r="B431" s="648"/>
      <c r="C431" s="649"/>
      <c r="D431" s="661"/>
      <c r="E431" s="651"/>
      <c r="F431" s="653"/>
      <c r="G431" s="647"/>
      <c r="H431" s="648"/>
      <c r="I431" s="649"/>
      <c r="J431" s="661"/>
      <c r="K431" s="651"/>
      <c r="L431" s="653"/>
    </row>
    <row r="432" spans="1:12" ht="15.75" x14ac:dyDescent="0.25">
      <c r="A432" s="647"/>
      <c r="B432" s="648"/>
      <c r="C432" s="649"/>
      <c r="D432" s="656"/>
      <c r="E432" s="662"/>
      <c r="F432" s="657"/>
      <c r="G432" s="647"/>
      <c r="H432" s="648"/>
      <c r="I432" s="649"/>
      <c r="J432" s="650"/>
      <c r="K432" s="662"/>
      <c r="L432" s="664"/>
    </row>
    <row r="433" spans="1:12" ht="15.75" x14ac:dyDescent="0.25">
      <c r="A433" s="647"/>
      <c r="B433" s="648"/>
      <c r="C433" s="649"/>
      <c r="D433" s="650"/>
      <c r="E433" s="651"/>
      <c r="F433" s="653"/>
      <c r="G433" s="647"/>
      <c r="H433" s="648"/>
      <c r="I433" s="649"/>
      <c r="J433" s="650"/>
      <c r="K433" s="651"/>
      <c r="L433" s="653"/>
    </row>
    <row r="434" spans="1:12" ht="15.75" x14ac:dyDescent="0.25">
      <c r="A434" s="647"/>
      <c r="B434" s="648"/>
      <c r="C434" s="649"/>
      <c r="D434" s="656"/>
      <c r="E434" s="651"/>
      <c r="F434" s="657"/>
      <c r="G434" s="647"/>
      <c r="H434" s="648"/>
      <c r="I434" s="649"/>
      <c r="J434" s="650"/>
      <c r="K434" s="662"/>
      <c r="L434" s="658"/>
    </row>
    <row r="435" spans="1:12" ht="15.75" x14ac:dyDescent="0.25">
      <c r="A435" s="647"/>
      <c r="B435" s="648"/>
      <c r="C435" s="649"/>
      <c r="D435" s="650"/>
      <c r="E435" s="651"/>
      <c r="F435" s="653"/>
      <c r="G435" s="647"/>
      <c r="H435" s="648"/>
      <c r="I435" s="649"/>
      <c r="J435" s="661"/>
      <c r="K435" s="651"/>
      <c r="L435" s="653"/>
    </row>
    <row r="436" spans="1:12" ht="15.75" x14ac:dyDescent="0.25">
      <c r="A436" s="647"/>
      <c r="B436" s="648"/>
      <c r="C436" s="649"/>
      <c r="D436" s="617"/>
      <c r="E436" s="651"/>
      <c r="F436" s="658"/>
      <c r="G436" s="647"/>
      <c r="H436" s="648"/>
      <c r="I436" s="649"/>
      <c r="J436" s="650"/>
      <c r="K436" s="662"/>
      <c r="L436" s="664"/>
    </row>
    <row r="437" spans="1:12" ht="15.75" x14ac:dyDescent="0.25">
      <c r="A437" s="647"/>
      <c r="B437" s="648"/>
      <c r="C437" s="649"/>
      <c r="D437" s="661"/>
      <c r="E437" s="651"/>
      <c r="F437" s="653"/>
      <c r="G437" s="647"/>
      <c r="H437" s="648"/>
      <c r="I437" s="649"/>
      <c r="J437" s="661"/>
      <c r="K437" s="651"/>
      <c r="L437" s="653"/>
    </row>
    <row r="438" spans="1:12" ht="15.75" x14ac:dyDescent="0.25">
      <c r="A438" s="647"/>
      <c r="B438" s="648"/>
      <c r="C438" s="649"/>
      <c r="D438" s="656"/>
      <c r="E438" s="662"/>
      <c r="F438" s="657"/>
      <c r="G438" s="647"/>
      <c r="H438" s="648"/>
      <c r="I438" s="649"/>
      <c r="J438" s="650"/>
      <c r="K438" s="651"/>
      <c r="L438" s="653"/>
    </row>
    <row r="439" spans="1:12" ht="15.75" x14ac:dyDescent="0.25">
      <c r="A439" s="647"/>
      <c r="B439" s="648"/>
      <c r="C439" s="649"/>
      <c r="D439" s="650"/>
      <c r="E439" s="651"/>
      <c r="F439" s="653"/>
      <c r="G439" s="666"/>
      <c r="H439" s="648"/>
      <c r="I439" s="665"/>
      <c r="J439" s="650"/>
      <c r="K439" s="651"/>
      <c r="L439" s="653"/>
    </row>
    <row r="440" spans="1:12" ht="15.75" x14ac:dyDescent="0.25">
      <c r="A440" s="667"/>
      <c r="B440" s="668"/>
      <c r="C440" s="669"/>
      <c r="D440" s="670"/>
      <c r="E440" s="671"/>
      <c r="F440" s="672"/>
      <c r="G440" s="673"/>
      <c r="H440" s="674"/>
      <c r="I440" s="675"/>
      <c r="J440" s="676"/>
      <c r="K440" s="671"/>
      <c r="L440" s="677"/>
    </row>
    <row r="441" spans="1:12" ht="23.25" x14ac:dyDescent="0.35">
      <c r="A441" s="1237" t="s">
        <v>712</v>
      </c>
      <c r="B441" s="1238"/>
      <c r="C441" s="1238"/>
      <c r="D441" s="1238"/>
      <c r="E441" s="1238"/>
      <c r="F441" s="1238"/>
      <c r="G441" s="1238"/>
      <c r="H441" s="1238"/>
      <c r="I441" s="1238"/>
      <c r="J441" s="1238"/>
      <c r="K441" s="1238"/>
      <c r="L441" s="1239"/>
    </row>
    <row r="442" spans="1:12" ht="23.25" x14ac:dyDescent="0.35">
      <c r="A442" s="1240" t="s">
        <v>713</v>
      </c>
      <c r="B442" s="1241"/>
      <c r="C442" s="1241"/>
      <c r="D442" s="1241"/>
      <c r="E442" s="1241"/>
      <c r="F442" s="1241"/>
      <c r="G442" s="1241"/>
      <c r="H442" s="1241"/>
      <c r="I442" s="1241"/>
      <c r="J442" s="1241"/>
      <c r="K442" s="1241"/>
      <c r="L442" s="1242"/>
    </row>
    <row r="443" spans="1:12" ht="23.25" x14ac:dyDescent="0.35">
      <c r="A443" s="1243" t="s">
        <v>714</v>
      </c>
      <c r="B443" s="1244"/>
      <c r="C443" s="1244"/>
      <c r="D443" s="1244"/>
      <c r="E443" s="1244"/>
      <c r="F443" s="1244"/>
      <c r="G443" s="1244"/>
      <c r="H443" s="1244"/>
      <c r="I443" s="1244"/>
      <c r="J443" s="1244"/>
      <c r="K443" s="1244"/>
      <c r="L443" s="1245"/>
    </row>
    <row r="444" spans="1:12" ht="23.25" x14ac:dyDescent="0.35">
      <c r="A444" s="619" t="s">
        <v>715</v>
      </c>
      <c r="B444" s="620"/>
      <c r="C444" s="620"/>
      <c r="D444" s="621" t="s">
        <v>716</v>
      </c>
      <c r="E444" s="1241" t="s">
        <v>717</v>
      </c>
      <c r="F444" s="1241"/>
      <c r="G444" s="1241"/>
      <c r="H444" s="1241"/>
      <c r="I444" s="1241"/>
      <c r="J444" s="618" t="s">
        <v>799</v>
      </c>
      <c r="K444" s="1241"/>
      <c r="L444" s="1242"/>
    </row>
    <row r="445" spans="1:12" x14ac:dyDescent="0.25">
      <c r="A445" s="622"/>
      <c r="B445" s="623"/>
      <c r="C445" s="623"/>
      <c r="D445" s="624"/>
      <c r="E445" s="623"/>
      <c r="F445" s="623"/>
      <c r="G445" s="623"/>
      <c r="H445" s="623"/>
      <c r="I445" s="1246"/>
      <c r="J445" s="1246"/>
      <c r="K445" s="623"/>
      <c r="L445" s="625"/>
    </row>
    <row r="446" spans="1:12" ht="15.75" x14ac:dyDescent="0.25">
      <c r="A446" s="626" t="s">
        <v>719</v>
      </c>
      <c r="B446" s="627"/>
      <c r="C446" s="628"/>
      <c r="D446" s="629" t="s">
        <v>720</v>
      </c>
      <c r="E446" s="630" t="s">
        <v>721</v>
      </c>
      <c r="F446" s="631" t="s">
        <v>722</v>
      </c>
      <c r="G446" s="626" t="s">
        <v>719</v>
      </c>
      <c r="H446" s="632"/>
      <c r="I446" s="633"/>
      <c r="J446" s="634" t="s">
        <v>720</v>
      </c>
      <c r="K446" s="626" t="s">
        <v>721</v>
      </c>
      <c r="L446" s="626" t="s">
        <v>722</v>
      </c>
    </row>
    <row r="447" spans="1:12" ht="15.75" x14ac:dyDescent="0.25">
      <c r="A447" s="635"/>
      <c r="B447" s="636"/>
      <c r="C447" s="637"/>
      <c r="D447" s="638"/>
      <c r="E447" s="639"/>
      <c r="F447" s="640"/>
      <c r="G447" s="641"/>
      <c r="H447" s="642"/>
      <c r="I447" s="643"/>
      <c r="J447" s="644"/>
      <c r="K447" s="645"/>
      <c r="L447" s="646"/>
    </row>
    <row r="448" spans="1:12" ht="15.75" x14ac:dyDescent="0.25">
      <c r="A448" s="647"/>
      <c r="B448" s="648" t="s">
        <v>273</v>
      </c>
      <c r="C448" s="649">
        <v>114</v>
      </c>
      <c r="D448" s="650" t="s">
        <v>800</v>
      </c>
      <c r="E448" s="651"/>
      <c r="F448" s="652"/>
      <c r="G448" s="647"/>
      <c r="H448" s="648" t="s">
        <v>273</v>
      </c>
      <c r="I448" s="649">
        <v>127</v>
      </c>
      <c r="J448" s="650" t="s">
        <v>801</v>
      </c>
      <c r="K448" s="651"/>
      <c r="L448" s="653"/>
    </row>
    <row r="449" spans="1:12" ht="15.75" x14ac:dyDescent="0.25">
      <c r="A449" s="647" t="s">
        <v>725</v>
      </c>
      <c r="B449" s="654"/>
      <c r="C449" s="649"/>
      <c r="D449" s="650" t="s">
        <v>726</v>
      </c>
      <c r="E449" s="651"/>
      <c r="F449" s="655">
        <v>0.27777777777777779</v>
      </c>
      <c r="G449" s="647">
        <v>7</v>
      </c>
      <c r="H449" s="648"/>
      <c r="I449" s="649"/>
      <c r="J449" s="656" t="s">
        <v>728</v>
      </c>
      <c r="K449" s="651"/>
      <c r="L449" s="657">
        <v>0.72569444444444442</v>
      </c>
    </row>
    <row r="450" spans="1:12" ht="15.75" x14ac:dyDescent="0.25">
      <c r="A450" s="647">
        <v>7</v>
      </c>
      <c r="B450" s="648"/>
      <c r="C450" s="649"/>
      <c r="D450" s="656" t="s">
        <v>728</v>
      </c>
      <c r="E450" s="651"/>
      <c r="F450" s="657">
        <v>0.2986111111111111</v>
      </c>
      <c r="G450" s="647"/>
      <c r="H450" s="648"/>
      <c r="I450" s="649"/>
      <c r="J450" s="650"/>
      <c r="K450" s="651"/>
      <c r="L450" s="653"/>
    </row>
    <row r="451" spans="1:12" ht="15.75" x14ac:dyDescent="0.25">
      <c r="A451" s="647"/>
      <c r="B451" s="648"/>
      <c r="C451" s="649"/>
      <c r="D451" s="650"/>
      <c r="E451" s="651"/>
      <c r="F451" s="653"/>
      <c r="G451" s="647">
        <v>7</v>
      </c>
      <c r="H451" s="648"/>
      <c r="I451" s="649"/>
      <c r="J451" s="659" t="s">
        <v>50</v>
      </c>
      <c r="K451" s="651"/>
      <c r="L451" s="660">
        <v>0.80208333333333337</v>
      </c>
    </row>
    <row r="452" spans="1:12" ht="15.75" x14ac:dyDescent="0.25">
      <c r="A452" s="647">
        <v>7</v>
      </c>
      <c r="B452" s="648"/>
      <c r="C452" s="649"/>
      <c r="D452" s="659" t="s">
        <v>50</v>
      </c>
      <c r="E452" s="651"/>
      <c r="F452" s="660">
        <v>0.36458333333333331</v>
      </c>
      <c r="G452" s="647"/>
      <c r="H452" s="648"/>
      <c r="I452" s="649"/>
      <c r="J452" s="661"/>
      <c r="K452" s="651"/>
      <c r="L452" s="653"/>
    </row>
    <row r="453" spans="1:12" ht="15.75" x14ac:dyDescent="0.25">
      <c r="A453" s="647"/>
      <c r="B453" s="648"/>
      <c r="C453" s="649"/>
      <c r="D453" s="661"/>
      <c r="E453" s="651"/>
      <c r="F453" s="653"/>
      <c r="G453" s="647">
        <v>7</v>
      </c>
      <c r="H453" s="648"/>
      <c r="I453" s="649"/>
      <c r="J453" s="656" t="s">
        <v>728</v>
      </c>
      <c r="K453" s="662"/>
      <c r="L453" s="657">
        <v>0.85416666666666663</v>
      </c>
    </row>
    <row r="454" spans="1:12" ht="15.75" x14ac:dyDescent="0.25">
      <c r="A454" s="647"/>
      <c r="B454" s="648"/>
      <c r="C454" s="649"/>
      <c r="D454" s="656" t="s">
        <v>728</v>
      </c>
      <c r="E454" s="662">
        <v>0.4375</v>
      </c>
      <c r="F454" s="657"/>
      <c r="G454" s="647"/>
      <c r="H454" s="648"/>
      <c r="I454" s="649"/>
      <c r="J454" s="650"/>
      <c r="K454" s="651"/>
      <c r="L454" s="653"/>
    </row>
    <row r="455" spans="1:12" ht="15.75" x14ac:dyDescent="0.25">
      <c r="A455" s="647"/>
      <c r="B455" s="648" t="s">
        <v>273</v>
      </c>
      <c r="C455" s="649">
        <v>114</v>
      </c>
      <c r="D455" s="650" t="s">
        <v>802</v>
      </c>
      <c r="E455" s="651"/>
      <c r="F455" s="653"/>
      <c r="G455" s="647" t="s">
        <v>725</v>
      </c>
      <c r="H455" s="648"/>
      <c r="I455" s="649"/>
      <c r="J455" s="659" t="s">
        <v>50</v>
      </c>
      <c r="K455" s="662">
        <v>0.90972222222222221</v>
      </c>
      <c r="L455" s="658"/>
    </row>
    <row r="456" spans="1:12" ht="15.75" x14ac:dyDescent="0.25">
      <c r="A456" s="647"/>
      <c r="B456" s="648"/>
      <c r="C456" s="649"/>
      <c r="D456" s="661"/>
      <c r="E456" s="651"/>
      <c r="F456" s="653"/>
      <c r="G456" s="647"/>
      <c r="H456" s="648"/>
      <c r="I456" s="649"/>
      <c r="J456" s="650" t="s">
        <v>733</v>
      </c>
      <c r="K456" s="662">
        <v>0.93055555555555558</v>
      </c>
      <c r="L456" s="664"/>
    </row>
    <row r="457" spans="1:12" ht="15.75" x14ac:dyDescent="0.25">
      <c r="A457" s="647"/>
      <c r="B457" s="648" t="s">
        <v>273</v>
      </c>
      <c r="C457" s="649">
        <v>115</v>
      </c>
      <c r="D457" s="650" t="s">
        <v>803</v>
      </c>
      <c r="E457" s="651"/>
      <c r="F457" s="653"/>
      <c r="G457" s="647"/>
      <c r="H457" s="648" t="s">
        <v>276</v>
      </c>
      <c r="I457" s="649" t="s">
        <v>273</v>
      </c>
      <c r="J457" s="650"/>
      <c r="K457" s="651"/>
      <c r="L457" s="653"/>
    </row>
    <row r="458" spans="1:12" ht="15.75" x14ac:dyDescent="0.25">
      <c r="A458" s="647">
        <v>7</v>
      </c>
      <c r="B458" s="648"/>
      <c r="C458" s="649"/>
      <c r="D458" s="656" t="s">
        <v>728</v>
      </c>
      <c r="E458" s="651"/>
      <c r="F458" s="657">
        <v>0.4375</v>
      </c>
      <c r="G458" s="647"/>
      <c r="H458" s="648"/>
      <c r="I458" s="649"/>
      <c r="J458" s="663"/>
      <c r="K458" s="662"/>
      <c r="L458" s="658"/>
    </row>
    <row r="459" spans="1:12" ht="15.75" x14ac:dyDescent="0.25">
      <c r="A459" s="647"/>
      <c r="B459" s="648"/>
      <c r="C459" s="649"/>
      <c r="D459" s="650"/>
      <c r="E459" s="651"/>
      <c r="F459" s="653"/>
      <c r="G459" s="647"/>
      <c r="H459" s="648"/>
      <c r="I459" s="649"/>
      <c r="J459" s="663"/>
      <c r="K459" s="662"/>
      <c r="L459" s="653"/>
    </row>
    <row r="460" spans="1:12" ht="15.75" x14ac:dyDescent="0.25">
      <c r="A460" s="647">
        <v>7</v>
      </c>
      <c r="B460" s="648"/>
      <c r="C460" s="649"/>
      <c r="D460" s="659" t="s">
        <v>50</v>
      </c>
      <c r="E460" s="651"/>
      <c r="F460" s="660">
        <v>0.51041666666666663</v>
      </c>
      <c r="G460" s="647"/>
      <c r="H460" s="648"/>
      <c r="I460" s="649"/>
      <c r="J460" s="617"/>
      <c r="K460" s="651"/>
      <c r="L460" s="658"/>
    </row>
    <row r="461" spans="1:12" ht="15.75" x14ac:dyDescent="0.25">
      <c r="A461" s="647"/>
      <c r="B461" s="648"/>
      <c r="C461" s="649"/>
      <c r="D461" s="661"/>
      <c r="E461" s="651"/>
      <c r="F461" s="653"/>
      <c r="G461" s="647"/>
      <c r="H461" s="648"/>
      <c r="I461" s="649"/>
      <c r="J461" s="661"/>
      <c r="K461" s="651"/>
      <c r="L461" s="653"/>
    </row>
    <row r="462" spans="1:12" ht="15.75" x14ac:dyDescent="0.25">
      <c r="A462" s="647"/>
      <c r="B462" s="648"/>
      <c r="C462" s="649"/>
      <c r="D462" s="656" t="s">
        <v>728</v>
      </c>
      <c r="E462" s="662">
        <v>0.58333333333333337</v>
      </c>
      <c r="F462" s="657"/>
      <c r="G462" s="647"/>
      <c r="H462" s="648"/>
      <c r="I462" s="649"/>
      <c r="J462" s="650"/>
      <c r="K462" s="662"/>
      <c r="L462" s="664"/>
    </row>
    <row r="463" spans="1:12" ht="15.75" x14ac:dyDescent="0.25">
      <c r="A463" s="647"/>
      <c r="B463" s="648" t="s">
        <v>276</v>
      </c>
      <c r="C463" s="649" t="s">
        <v>273</v>
      </c>
      <c r="D463" s="650"/>
      <c r="E463" s="651"/>
      <c r="F463" s="653"/>
      <c r="G463" s="647"/>
      <c r="H463" s="648"/>
      <c r="I463" s="649"/>
      <c r="J463" s="661"/>
      <c r="K463" s="651"/>
      <c r="L463" s="653"/>
    </row>
    <row r="464" spans="1:12" ht="15.75" x14ac:dyDescent="0.25">
      <c r="A464" s="647"/>
      <c r="B464" s="648"/>
      <c r="C464" s="649"/>
      <c r="D464" s="661"/>
      <c r="E464" s="651"/>
      <c r="F464" s="653"/>
      <c r="G464" s="647"/>
      <c r="H464" s="648"/>
      <c r="I464" s="649"/>
      <c r="J464" s="650"/>
      <c r="K464" s="662"/>
      <c r="L464" s="664"/>
    </row>
    <row r="465" spans="1:12" ht="15.75" x14ac:dyDescent="0.25">
      <c r="A465" s="647"/>
      <c r="B465" s="648" t="s">
        <v>273</v>
      </c>
      <c r="C465" s="649">
        <v>128</v>
      </c>
      <c r="D465" s="650" t="s">
        <v>804</v>
      </c>
      <c r="E465" s="651"/>
      <c r="F465" s="653"/>
      <c r="G465" s="647"/>
      <c r="H465" s="648"/>
      <c r="I465" s="649"/>
      <c r="J465" s="650"/>
      <c r="K465" s="651"/>
      <c r="L465" s="653"/>
    </row>
    <row r="466" spans="1:12" ht="15.75" x14ac:dyDescent="0.25">
      <c r="A466" s="647">
        <v>7</v>
      </c>
      <c r="B466" s="648"/>
      <c r="C466" s="649"/>
      <c r="D466" s="656" t="s">
        <v>728</v>
      </c>
      <c r="E466" s="651"/>
      <c r="F466" s="657">
        <v>0.58333333333333337</v>
      </c>
      <c r="G466" s="647"/>
      <c r="H466" s="648"/>
      <c r="I466" s="649"/>
      <c r="J466" s="650"/>
      <c r="K466" s="662"/>
      <c r="L466" s="658"/>
    </row>
    <row r="467" spans="1:12" ht="15.75" x14ac:dyDescent="0.25">
      <c r="A467" s="647"/>
      <c r="B467" s="648"/>
      <c r="C467" s="649"/>
      <c r="D467" s="650"/>
      <c r="E467" s="651"/>
      <c r="F467" s="653"/>
      <c r="G467" s="647"/>
      <c r="H467" s="648"/>
      <c r="I467" s="649"/>
      <c r="J467" s="661"/>
      <c r="K467" s="651"/>
      <c r="L467" s="653"/>
    </row>
    <row r="468" spans="1:12" ht="15.75" x14ac:dyDescent="0.25">
      <c r="A468" s="647">
        <v>7</v>
      </c>
      <c r="B468" s="648"/>
      <c r="C468" s="649"/>
      <c r="D468" s="659" t="s">
        <v>50</v>
      </c>
      <c r="E468" s="651"/>
      <c r="F468" s="660">
        <v>0.65625</v>
      </c>
      <c r="G468" s="647"/>
      <c r="H468" s="648"/>
      <c r="I468" s="649"/>
      <c r="J468" s="650"/>
      <c r="K468" s="662"/>
      <c r="L468" s="664"/>
    </row>
    <row r="469" spans="1:12" ht="15.75" x14ac:dyDescent="0.25">
      <c r="A469" s="647"/>
      <c r="B469" s="648"/>
      <c r="C469" s="649"/>
      <c r="D469" s="661"/>
      <c r="E469" s="651"/>
      <c r="F469" s="653"/>
      <c r="G469" s="647"/>
      <c r="H469" s="648"/>
      <c r="I469" s="649"/>
      <c r="J469" s="661"/>
      <c r="K469" s="651"/>
      <c r="L469" s="653"/>
    </row>
    <row r="470" spans="1:12" ht="15.75" x14ac:dyDescent="0.25">
      <c r="A470" s="647"/>
      <c r="B470" s="648"/>
      <c r="C470" s="649"/>
      <c r="D470" s="656" t="s">
        <v>728</v>
      </c>
      <c r="E470" s="662">
        <v>0.72569444444444442</v>
      </c>
      <c r="F470" s="657"/>
      <c r="G470" s="647"/>
      <c r="H470" s="648"/>
      <c r="I470" s="649"/>
      <c r="J470" s="650"/>
      <c r="K470" s="651"/>
      <c r="L470" s="653"/>
    </row>
    <row r="471" spans="1:12" ht="15.75" x14ac:dyDescent="0.25">
      <c r="A471" s="647"/>
      <c r="B471" s="648" t="s">
        <v>273</v>
      </c>
      <c r="C471" s="649">
        <v>128</v>
      </c>
      <c r="D471" s="650" t="s">
        <v>805</v>
      </c>
      <c r="E471" s="651"/>
      <c r="F471" s="653"/>
      <c r="G471" s="647"/>
      <c r="H471" s="648"/>
      <c r="I471" s="649"/>
      <c r="J471" s="661"/>
      <c r="K471" s="651"/>
      <c r="L471" s="653"/>
    </row>
    <row r="472" spans="1:12" ht="15.75" x14ac:dyDescent="0.25">
      <c r="A472" s="647"/>
      <c r="B472" s="648"/>
      <c r="C472" s="649"/>
      <c r="D472" s="663"/>
      <c r="E472" s="662"/>
      <c r="F472" s="664"/>
      <c r="G472" s="647"/>
      <c r="H472" s="648"/>
      <c r="I472" s="649"/>
      <c r="J472" s="650"/>
      <c r="K472" s="662"/>
      <c r="L472" s="664"/>
    </row>
    <row r="473" spans="1:12" ht="15.75" x14ac:dyDescent="0.25">
      <c r="A473" s="647"/>
      <c r="B473" s="648"/>
      <c r="C473" s="649"/>
      <c r="D473" s="661"/>
      <c r="E473" s="651"/>
      <c r="F473" s="653"/>
      <c r="G473" s="647"/>
      <c r="H473" s="648"/>
      <c r="I473" s="649"/>
      <c r="J473" s="650"/>
      <c r="K473" s="651"/>
      <c r="L473" s="653"/>
    </row>
    <row r="474" spans="1:12" ht="15.75" x14ac:dyDescent="0.25">
      <c r="A474" s="647"/>
      <c r="B474" s="648"/>
      <c r="C474" s="649"/>
      <c r="D474" s="650"/>
      <c r="E474" s="651"/>
      <c r="F474" s="653"/>
      <c r="G474" s="647"/>
      <c r="H474" s="648"/>
      <c r="I474" s="649"/>
      <c r="J474" s="650"/>
      <c r="K474" s="662"/>
      <c r="L474" s="658"/>
    </row>
    <row r="475" spans="1:12" ht="15.75" x14ac:dyDescent="0.25">
      <c r="A475" s="647"/>
      <c r="B475" s="648"/>
      <c r="C475" s="649"/>
      <c r="D475" s="661"/>
      <c r="E475" s="651"/>
      <c r="F475" s="653"/>
      <c r="G475" s="647"/>
      <c r="H475" s="648"/>
      <c r="I475" s="649"/>
      <c r="J475" s="661"/>
      <c r="K475" s="651"/>
      <c r="L475" s="653"/>
    </row>
    <row r="476" spans="1:12" ht="15.75" x14ac:dyDescent="0.25">
      <c r="A476" s="647"/>
      <c r="B476" s="648"/>
      <c r="C476" s="649"/>
      <c r="D476" s="650"/>
      <c r="E476" s="651"/>
      <c r="F476" s="653"/>
      <c r="G476" s="647"/>
      <c r="H476" s="648"/>
      <c r="I476" s="649"/>
      <c r="J476" s="650"/>
      <c r="K476" s="662"/>
      <c r="L476" s="664"/>
    </row>
    <row r="477" spans="1:12" ht="15.75" x14ac:dyDescent="0.25">
      <c r="A477" s="647"/>
      <c r="B477" s="648"/>
      <c r="C477" s="649"/>
      <c r="D477" s="661"/>
      <c r="E477" s="651"/>
      <c r="F477" s="653"/>
      <c r="G477" s="647"/>
      <c r="H477" s="648"/>
      <c r="I477" s="649"/>
      <c r="J477" s="661"/>
      <c r="K477" s="651"/>
      <c r="L477" s="653"/>
    </row>
    <row r="478" spans="1:12" ht="15.75" x14ac:dyDescent="0.25">
      <c r="A478" s="647"/>
      <c r="B478" s="648"/>
      <c r="C478" s="649"/>
      <c r="D478" s="650"/>
      <c r="E478" s="651"/>
      <c r="F478" s="653"/>
      <c r="G478" s="647"/>
      <c r="H478" s="648"/>
      <c r="I478" s="649"/>
      <c r="J478" s="650"/>
      <c r="K478" s="651"/>
      <c r="L478" s="653"/>
    </row>
    <row r="479" spans="1:12" ht="15.75" x14ac:dyDescent="0.25">
      <c r="A479" s="647"/>
      <c r="B479" s="648"/>
      <c r="C479" s="665"/>
      <c r="D479" s="661"/>
      <c r="E479" s="651"/>
      <c r="F479" s="653"/>
      <c r="G479" s="666"/>
      <c r="H479" s="648"/>
      <c r="I479" s="665"/>
      <c r="J479" s="650"/>
      <c r="K479" s="651"/>
      <c r="L479" s="653"/>
    </row>
    <row r="480" spans="1:12" ht="15.75" x14ac:dyDescent="0.25">
      <c r="A480" s="667"/>
      <c r="B480" s="668"/>
      <c r="C480" s="669"/>
      <c r="D480" s="670"/>
      <c r="E480" s="671"/>
      <c r="F480" s="672"/>
      <c r="G480" s="673"/>
      <c r="H480" s="674"/>
      <c r="I480" s="675"/>
      <c r="J480" s="676"/>
      <c r="K480" s="671"/>
      <c r="L480" s="677"/>
    </row>
    <row r="481" spans="1:12" ht="23.25" x14ac:dyDescent="0.35">
      <c r="A481" s="1237" t="s">
        <v>712</v>
      </c>
      <c r="B481" s="1238"/>
      <c r="C481" s="1238"/>
      <c r="D481" s="1238"/>
      <c r="E481" s="1238"/>
      <c r="F481" s="1238"/>
      <c r="G481" s="1238"/>
      <c r="H481" s="1238"/>
      <c r="I481" s="1238"/>
      <c r="J481" s="1238"/>
      <c r="K481" s="1238"/>
      <c r="L481" s="1239"/>
    </row>
    <row r="482" spans="1:12" ht="23.25" x14ac:dyDescent="0.35">
      <c r="A482" s="1240" t="s">
        <v>713</v>
      </c>
      <c r="B482" s="1241"/>
      <c r="C482" s="1241"/>
      <c r="D482" s="1241"/>
      <c r="E482" s="1241"/>
      <c r="F482" s="1241"/>
      <c r="G482" s="1241"/>
      <c r="H482" s="1241"/>
      <c r="I482" s="1241"/>
      <c r="J482" s="1241"/>
      <c r="K482" s="1241"/>
      <c r="L482" s="1242"/>
    </row>
    <row r="483" spans="1:12" ht="23.25" x14ac:dyDescent="0.35">
      <c r="A483" s="1243" t="s">
        <v>714</v>
      </c>
      <c r="B483" s="1244"/>
      <c r="C483" s="1244"/>
      <c r="D483" s="1244"/>
      <c r="E483" s="1244"/>
      <c r="F483" s="1244"/>
      <c r="G483" s="1244"/>
      <c r="H483" s="1244"/>
      <c r="I483" s="1244"/>
      <c r="J483" s="1244"/>
      <c r="K483" s="1244"/>
      <c r="L483" s="1245"/>
    </row>
    <row r="484" spans="1:12" ht="23.25" x14ac:dyDescent="0.35">
      <c r="A484" s="619" t="s">
        <v>715</v>
      </c>
      <c r="B484" s="620"/>
      <c r="C484" s="620"/>
      <c r="D484" s="621" t="s">
        <v>716</v>
      </c>
      <c r="E484" s="1241" t="s">
        <v>717</v>
      </c>
      <c r="F484" s="1241"/>
      <c r="G484" s="1241"/>
      <c r="H484" s="1241"/>
      <c r="I484" s="1241"/>
      <c r="J484" s="618" t="s">
        <v>806</v>
      </c>
      <c r="K484" s="1241"/>
      <c r="L484" s="1242"/>
    </row>
    <row r="485" spans="1:12" x14ac:dyDescent="0.25">
      <c r="A485" s="622"/>
      <c r="B485" s="623"/>
      <c r="C485" s="623"/>
      <c r="D485" s="624"/>
      <c r="E485" s="623"/>
      <c r="F485" s="623"/>
      <c r="G485" s="623"/>
      <c r="H485" s="623"/>
      <c r="I485" s="1246"/>
      <c r="J485" s="1246"/>
      <c r="K485" s="623"/>
      <c r="L485" s="625"/>
    </row>
    <row r="486" spans="1:12" ht="15.75" x14ac:dyDescent="0.25">
      <c r="A486" s="626" t="s">
        <v>719</v>
      </c>
      <c r="B486" s="627"/>
      <c r="C486" s="628"/>
      <c r="D486" s="629" t="s">
        <v>720</v>
      </c>
      <c r="E486" s="630" t="s">
        <v>721</v>
      </c>
      <c r="F486" s="631" t="s">
        <v>722</v>
      </c>
      <c r="G486" s="626" t="s">
        <v>719</v>
      </c>
      <c r="H486" s="632"/>
      <c r="I486" s="633"/>
      <c r="J486" s="634" t="s">
        <v>720</v>
      </c>
      <c r="K486" s="626" t="s">
        <v>721</v>
      </c>
      <c r="L486" s="626" t="s">
        <v>722</v>
      </c>
    </row>
    <row r="487" spans="1:12" ht="15.75" x14ac:dyDescent="0.25">
      <c r="A487" s="635"/>
      <c r="B487" s="636"/>
      <c r="C487" s="637"/>
      <c r="D487" s="638"/>
      <c r="E487" s="639"/>
      <c r="F487" s="640"/>
      <c r="G487" s="641"/>
      <c r="H487" s="642"/>
      <c r="I487" s="643"/>
      <c r="J487" s="644"/>
      <c r="K487" s="645"/>
      <c r="L487" s="646"/>
    </row>
    <row r="488" spans="1:12" ht="15.75" x14ac:dyDescent="0.25">
      <c r="A488" s="647"/>
      <c r="B488" s="648" t="s">
        <v>273</v>
      </c>
      <c r="C488" s="649">
        <v>115</v>
      </c>
      <c r="D488" s="650" t="s">
        <v>800</v>
      </c>
      <c r="E488" s="651"/>
      <c r="F488" s="652"/>
      <c r="G488" s="647"/>
      <c r="H488" s="648" t="s">
        <v>273</v>
      </c>
      <c r="I488" s="649">
        <v>132</v>
      </c>
      <c r="J488" s="650" t="s">
        <v>807</v>
      </c>
      <c r="K488" s="651"/>
      <c r="L488" s="653"/>
    </row>
    <row r="489" spans="1:12" ht="15.75" x14ac:dyDescent="0.25">
      <c r="A489" s="647" t="s">
        <v>725</v>
      </c>
      <c r="B489" s="654"/>
      <c r="C489" s="649"/>
      <c r="D489" s="650" t="s">
        <v>726</v>
      </c>
      <c r="E489" s="651"/>
      <c r="F489" s="655">
        <v>0.27777777777777779</v>
      </c>
      <c r="G489" s="647">
        <v>7</v>
      </c>
      <c r="H489" s="648"/>
      <c r="I489" s="649"/>
      <c r="J489" s="656" t="s">
        <v>728</v>
      </c>
      <c r="K489" s="651"/>
      <c r="L489" s="657">
        <v>0.8125</v>
      </c>
    </row>
    <row r="490" spans="1:12" ht="15.75" x14ac:dyDescent="0.25">
      <c r="A490" s="647" t="s">
        <v>787</v>
      </c>
      <c r="B490" s="648"/>
      <c r="C490" s="649"/>
      <c r="D490" s="617" t="s">
        <v>62</v>
      </c>
      <c r="E490" s="651"/>
      <c r="F490" s="658">
        <v>0.30208333333333331</v>
      </c>
      <c r="G490" s="647"/>
      <c r="H490" s="648"/>
      <c r="I490" s="649"/>
      <c r="J490" s="650"/>
      <c r="K490" s="651"/>
      <c r="L490" s="653"/>
    </row>
    <row r="491" spans="1:12" ht="15.75" x14ac:dyDescent="0.25">
      <c r="A491" s="647"/>
      <c r="B491" s="648"/>
      <c r="C491" s="649"/>
      <c r="D491" s="661"/>
      <c r="E491" s="651"/>
      <c r="F491" s="653"/>
      <c r="G491" s="647">
        <v>7</v>
      </c>
      <c r="H491" s="648"/>
      <c r="I491" s="649"/>
      <c r="J491" s="659" t="s">
        <v>50</v>
      </c>
      <c r="K491" s="651"/>
      <c r="L491" s="660">
        <v>0.86458333333333337</v>
      </c>
    </row>
    <row r="492" spans="1:12" ht="15.75" x14ac:dyDescent="0.25">
      <c r="A492" s="647"/>
      <c r="B492" s="648"/>
      <c r="C492" s="649"/>
      <c r="D492" s="656" t="s">
        <v>728</v>
      </c>
      <c r="E492" s="662">
        <v>0.38541666666666669</v>
      </c>
      <c r="F492" s="657"/>
      <c r="G492" s="647"/>
      <c r="H492" s="648"/>
      <c r="I492" s="649"/>
      <c r="J492" s="661"/>
      <c r="K492" s="651"/>
      <c r="L492" s="653"/>
    </row>
    <row r="493" spans="1:12" ht="15.75" x14ac:dyDescent="0.25">
      <c r="A493" s="647"/>
      <c r="B493" s="648" t="s">
        <v>273</v>
      </c>
      <c r="C493" s="649">
        <v>115</v>
      </c>
      <c r="D493" s="650" t="s">
        <v>808</v>
      </c>
      <c r="E493" s="651"/>
      <c r="F493" s="653"/>
      <c r="G493" s="647">
        <v>7</v>
      </c>
      <c r="H493" s="648"/>
      <c r="I493" s="649"/>
      <c r="J493" s="656" t="s">
        <v>728</v>
      </c>
      <c r="K493" s="662"/>
      <c r="L493" s="657">
        <v>0.91666666666666663</v>
      </c>
    </row>
    <row r="494" spans="1:12" ht="15.75" x14ac:dyDescent="0.25">
      <c r="A494" s="647"/>
      <c r="B494" s="648"/>
      <c r="C494" s="649"/>
      <c r="D494" s="650"/>
      <c r="E494" s="651"/>
      <c r="F494" s="653"/>
      <c r="G494" s="647"/>
      <c r="H494" s="648"/>
      <c r="I494" s="649"/>
      <c r="J494" s="650"/>
      <c r="K494" s="651"/>
      <c r="L494" s="653"/>
    </row>
    <row r="495" spans="1:12" ht="15.75" x14ac:dyDescent="0.25">
      <c r="A495" s="647"/>
      <c r="B495" s="648" t="s">
        <v>273</v>
      </c>
      <c r="C495" s="649">
        <v>158</v>
      </c>
      <c r="D495" s="650" t="s">
        <v>809</v>
      </c>
      <c r="E495" s="651"/>
      <c r="F495" s="653"/>
      <c r="G495" s="647">
        <v>7</v>
      </c>
      <c r="H495" s="648"/>
      <c r="I495" s="649"/>
      <c r="J495" s="659" t="s">
        <v>50</v>
      </c>
      <c r="K495" s="651"/>
      <c r="L495" s="660">
        <v>0.96875</v>
      </c>
    </row>
    <row r="496" spans="1:12" ht="15.75" x14ac:dyDescent="0.25">
      <c r="A496" s="647" t="s">
        <v>727</v>
      </c>
      <c r="B496" s="648"/>
      <c r="C496" s="649"/>
      <c r="D496" s="656" t="s">
        <v>728</v>
      </c>
      <c r="E496" s="651"/>
      <c r="F496" s="657">
        <v>0.38541666666666669</v>
      </c>
      <c r="G496" s="647"/>
      <c r="H496" s="648"/>
      <c r="I496" s="649"/>
      <c r="J496" s="661"/>
      <c r="K496" s="651"/>
      <c r="L496" s="653"/>
    </row>
    <row r="497" spans="1:12" ht="15.75" x14ac:dyDescent="0.25">
      <c r="A497" s="647"/>
      <c r="B497" s="648"/>
      <c r="C497" s="649"/>
      <c r="D497" s="650"/>
      <c r="E497" s="651"/>
      <c r="F497" s="653"/>
      <c r="G497" s="647" t="s">
        <v>725</v>
      </c>
      <c r="H497" s="648"/>
      <c r="I497" s="649"/>
      <c r="J497" s="656" t="s">
        <v>728</v>
      </c>
      <c r="K497" s="662">
        <v>1.0034722222222223</v>
      </c>
      <c r="L497" s="657"/>
    </row>
    <row r="498" spans="1:12" ht="15.75" x14ac:dyDescent="0.25">
      <c r="A498" s="647" t="s">
        <v>727</v>
      </c>
      <c r="B498" s="648"/>
      <c r="C498" s="649"/>
      <c r="D498" s="617" t="s">
        <v>48</v>
      </c>
      <c r="E498" s="651"/>
      <c r="F498" s="658">
        <v>0.45833333333333331</v>
      </c>
      <c r="G498" s="647"/>
      <c r="H498" s="648"/>
      <c r="I498" s="649"/>
      <c r="J498" s="650" t="s">
        <v>733</v>
      </c>
      <c r="K498" s="662">
        <v>1.0208333333333333</v>
      </c>
      <c r="L498" s="653"/>
    </row>
    <row r="499" spans="1:12" ht="15.75" x14ac:dyDescent="0.25">
      <c r="A499" s="647"/>
      <c r="B499" s="648"/>
      <c r="C499" s="649"/>
      <c r="D499" s="661"/>
      <c r="E499" s="651"/>
      <c r="F499" s="653"/>
      <c r="G499" s="647"/>
      <c r="H499" s="648" t="s">
        <v>276</v>
      </c>
      <c r="I499" s="649" t="s">
        <v>273</v>
      </c>
      <c r="J499" s="650"/>
      <c r="K499" s="651"/>
      <c r="L499" s="658"/>
    </row>
    <row r="500" spans="1:12" ht="15.75" x14ac:dyDescent="0.25">
      <c r="A500" s="647"/>
      <c r="B500" s="648"/>
      <c r="C500" s="649"/>
      <c r="D500" s="656" t="s">
        <v>728</v>
      </c>
      <c r="E500" s="662">
        <v>0.53125</v>
      </c>
      <c r="F500" s="657"/>
      <c r="G500" s="647"/>
      <c r="H500" s="648"/>
      <c r="I500" s="649"/>
      <c r="J500" s="663"/>
      <c r="K500" s="662"/>
      <c r="L500" s="653"/>
    </row>
    <row r="501" spans="1:12" ht="15.75" x14ac:dyDescent="0.25">
      <c r="A501" s="647"/>
      <c r="B501" s="648" t="s">
        <v>273</v>
      </c>
      <c r="C501" s="649">
        <v>158</v>
      </c>
      <c r="D501" s="650" t="s">
        <v>810</v>
      </c>
      <c r="E501" s="651"/>
      <c r="F501" s="653"/>
      <c r="G501" s="647"/>
      <c r="H501" s="648"/>
      <c r="I501" s="649"/>
      <c r="J501" s="650"/>
      <c r="K501" s="662"/>
      <c r="L501" s="664"/>
    </row>
    <row r="502" spans="1:12" ht="15.75" x14ac:dyDescent="0.25">
      <c r="A502" s="647"/>
      <c r="B502" s="648"/>
      <c r="C502" s="649"/>
      <c r="D502" s="661"/>
      <c r="E502" s="651"/>
      <c r="F502" s="653"/>
      <c r="G502" s="647"/>
      <c r="H502" s="648"/>
      <c r="I502" s="649"/>
      <c r="J502" s="650"/>
      <c r="K502" s="651"/>
      <c r="L502" s="653"/>
    </row>
    <row r="503" spans="1:12" ht="15.75" x14ac:dyDescent="0.25">
      <c r="A503" s="647"/>
      <c r="B503" s="648" t="s">
        <v>273</v>
      </c>
      <c r="C503" s="649">
        <v>123</v>
      </c>
      <c r="D503" s="650" t="s">
        <v>811</v>
      </c>
      <c r="E503" s="651"/>
      <c r="F503" s="653"/>
      <c r="G503" s="647"/>
      <c r="H503" s="648"/>
      <c r="I503" s="649"/>
      <c r="J503" s="650"/>
      <c r="K503" s="662"/>
      <c r="L503" s="658"/>
    </row>
    <row r="504" spans="1:12" ht="15.75" x14ac:dyDescent="0.25">
      <c r="A504" s="647" t="s">
        <v>727</v>
      </c>
      <c r="B504" s="648"/>
      <c r="C504" s="649"/>
      <c r="D504" s="656" t="s">
        <v>728</v>
      </c>
      <c r="E504" s="651"/>
      <c r="F504" s="657">
        <v>0.53125</v>
      </c>
      <c r="G504" s="647"/>
      <c r="H504" s="648"/>
      <c r="I504" s="649"/>
      <c r="J504" s="661"/>
      <c r="K504" s="651"/>
      <c r="L504" s="653"/>
    </row>
    <row r="505" spans="1:12" ht="15.75" x14ac:dyDescent="0.25">
      <c r="A505" s="647"/>
      <c r="B505" s="648"/>
      <c r="C505" s="649"/>
      <c r="D505" s="650"/>
      <c r="E505" s="651"/>
      <c r="F505" s="653"/>
      <c r="G505" s="647"/>
      <c r="H505" s="648"/>
      <c r="I505" s="649"/>
      <c r="J505" s="650"/>
      <c r="K505" s="662"/>
      <c r="L505" s="664"/>
    </row>
    <row r="506" spans="1:12" ht="15.75" x14ac:dyDescent="0.25">
      <c r="A506" s="647" t="s">
        <v>727</v>
      </c>
      <c r="B506" s="648"/>
      <c r="C506" s="649"/>
      <c r="D506" s="617" t="s">
        <v>48</v>
      </c>
      <c r="E506" s="651"/>
      <c r="F506" s="658">
        <v>0.60416666666666663</v>
      </c>
      <c r="G506" s="647"/>
      <c r="H506" s="648"/>
      <c r="I506" s="649"/>
      <c r="J506" s="650"/>
      <c r="K506" s="662"/>
      <c r="L506" s="658"/>
    </row>
    <row r="507" spans="1:12" ht="15.75" x14ac:dyDescent="0.25">
      <c r="A507" s="647"/>
      <c r="B507" s="648"/>
      <c r="C507" s="649"/>
      <c r="D507" s="661"/>
      <c r="E507" s="651"/>
      <c r="F507" s="653"/>
      <c r="G507" s="647"/>
      <c r="H507" s="648"/>
      <c r="I507" s="649"/>
      <c r="J507" s="661"/>
      <c r="K507" s="651"/>
      <c r="L507" s="653"/>
    </row>
    <row r="508" spans="1:12" ht="15.75" x14ac:dyDescent="0.25">
      <c r="A508" s="647"/>
      <c r="B508" s="648"/>
      <c r="C508" s="649"/>
      <c r="D508" s="656" t="s">
        <v>728</v>
      </c>
      <c r="E508" s="662">
        <v>0.67708333333333337</v>
      </c>
      <c r="F508" s="657"/>
      <c r="G508" s="647"/>
      <c r="H508" s="648"/>
      <c r="I508" s="649"/>
      <c r="J508" s="650"/>
      <c r="K508" s="662"/>
      <c r="L508" s="664"/>
    </row>
    <row r="509" spans="1:12" ht="15.75" x14ac:dyDescent="0.25">
      <c r="A509" s="647"/>
      <c r="B509" s="648" t="s">
        <v>273</v>
      </c>
      <c r="C509" s="649">
        <v>123</v>
      </c>
      <c r="D509" s="650" t="s">
        <v>812</v>
      </c>
      <c r="E509" s="651"/>
      <c r="F509" s="653"/>
      <c r="G509" s="647"/>
      <c r="H509" s="648"/>
      <c r="I509" s="649"/>
      <c r="J509" s="661"/>
      <c r="K509" s="651"/>
      <c r="L509" s="653"/>
    </row>
    <row r="510" spans="1:12" ht="15.75" x14ac:dyDescent="0.25">
      <c r="A510" s="647"/>
      <c r="B510" s="648"/>
      <c r="C510" s="649"/>
      <c r="D510" s="650"/>
      <c r="E510" s="651"/>
      <c r="F510" s="653"/>
      <c r="G510" s="647"/>
      <c r="H510" s="648"/>
      <c r="I510" s="649"/>
      <c r="J510" s="650"/>
      <c r="K510" s="651"/>
      <c r="L510" s="653"/>
    </row>
    <row r="511" spans="1:12" ht="15.75" x14ac:dyDescent="0.25">
      <c r="A511" s="647"/>
      <c r="B511" s="648" t="s">
        <v>273</v>
      </c>
      <c r="C511" s="649">
        <v>138</v>
      </c>
      <c r="D511" s="650" t="s">
        <v>813</v>
      </c>
      <c r="E511" s="651"/>
      <c r="F511" s="653"/>
      <c r="G511" s="647"/>
      <c r="H511" s="648"/>
      <c r="I511" s="649"/>
      <c r="J511" s="650"/>
      <c r="K511" s="662"/>
      <c r="L511" s="658"/>
    </row>
    <row r="512" spans="1:12" ht="15.75" x14ac:dyDescent="0.25">
      <c r="A512" s="647" t="s">
        <v>727</v>
      </c>
      <c r="B512" s="648"/>
      <c r="C512" s="649"/>
      <c r="D512" s="656" t="s">
        <v>728</v>
      </c>
      <c r="E512" s="651"/>
      <c r="F512" s="657">
        <v>0.67708333333333337</v>
      </c>
      <c r="G512" s="647"/>
      <c r="H512" s="648"/>
      <c r="I512" s="649"/>
      <c r="J512" s="661"/>
      <c r="K512" s="651"/>
      <c r="L512" s="653"/>
    </row>
    <row r="513" spans="1:12" ht="15.75" x14ac:dyDescent="0.25">
      <c r="A513" s="647"/>
      <c r="B513" s="648"/>
      <c r="C513" s="649"/>
      <c r="D513" s="650"/>
      <c r="E513" s="651"/>
      <c r="F513" s="653"/>
      <c r="G513" s="647"/>
      <c r="H513" s="648"/>
      <c r="I513" s="649"/>
      <c r="J513" s="650"/>
      <c r="K513" s="662"/>
      <c r="L513" s="664"/>
    </row>
    <row r="514" spans="1:12" ht="15.75" x14ac:dyDescent="0.25">
      <c r="A514" s="647" t="s">
        <v>727</v>
      </c>
      <c r="B514" s="648"/>
      <c r="C514" s="649"/>
      <c r="D514" s="617" t="s">
        <v>48</v>
      </c>
      <c r="E514" s="651"/>
      <c r="F514" s="658">
        <v>0.75</v>
      </c>
      <c r="G514" s="647"/>
      <c r="H514" s="648"/>
      <c r="I514" s="649"/>
      <c r="J514" s="650"/>
      <c r="K514" s="662"/>
      <c r="L514" s="658"/>
    </row>
    <row r="515" spans="1:12" ht="15.75" x14ac:dyDescent="0.25">
      <c r="A515" s="647"/>
      <c r="B515" s="648"/>
      <c r="C515" s="649"/>
      <c r="D515" s="661"/>
      <c r="E515" s="651"/>
      <c r="F515" s="653"/>
      <c r="G515" s="647"/>
      <c r="H515" s="648"/>
      <c r="I515" s="649"/>
      <c r="J515" s="661"/>
      <c r="K515" s="651"/>
      <c r="L515" s="653"/>
    </row>
    <row r="516" spans="1:12" ht="15.75" x14ac:dyDescent="0.25">
      <c r="A516" s="647"/>
      <c r="B516" s="648"/>
      <c r="C516" s="649"/>
      <c r="D516" s="656" t="s">
        <v>728</v>
      </c>
      <c r="E516" s="662">
        <v>0.8125</v>
      </c>
      <c r="F516" s="657"/>
      <c r="G516" s="647"/>
      <c r="H516" s="648"/>
      <c r="I516" s="649"/>
      <c r="J516" s="650"/>
      <c r="K516" s="662"/>
      <c r="L516" s="664"/>
    </row>
    <row r="517" spans="1:12" ht="15.75" x14ac:dyDescent="0.25">
      <c r="A517" s="647"/>
      <c r="B517" s="648" t="s">
        <v>273</v>
      </c>
      <c r="C517" s="649">
        <v>138</v>
      </c>
      <c r="D517" s="650" t="s">
        <v>814</v>
      </c>
      <c r="E517" s="651"/>
      <c r="F517" s="653"/>
      <c r="G517" s="647"/>
      <c r="H517" s="648"/>
      <c r="I517" s="649"/>
      <c r="J517" s="661"/>
      <c r="K517" s="651"/>
      <c r="L517" s="653"/>
    </row>
    <row r="518" spans="1:12" ht="15.75" x14ac:dyDescent="0.25">
      <c r="A518" s="647"/>
      <c r="B518" s="648"/>
      <c r="C518" s="649"/>
      <c r="D518" s="650"/>
      <c r="E518" s="651"/>
      <c r="F518" s="653"/>
      <c r="G518" s="647"/>
      <c r="H518" s="648"/>
      <c r="I518" s="649"/>
      <c r="J518" s="650"/>
      <c r="K518" s="651"/>
      <c r="L518" s="653"/>
    </row>
    <row r="519" spans="1:12" ht="15.75" x14ac:dyDescent="0.25">
      <c r="A519" s="647"/>
      <c r="B519" s="648"/>
      <c r="C519" s="665"/>
      <c r="D519" s="661"/>
      <c r="E519" s="651"/>
      <c r="F519" s="653"/>
      <c r="G519" s="666"/>
      <c r="H519" s="648"/>
      <c r="I519" s="665"/>
      <c r="J519" s="650"/>
      <c r="K519" s="651"/>
      <c r="L519" s="653"/>
    </row>
    <row r="520" spans="1:12" ht="15.75" x14ac:dyDescent="0.25">
      <c r="A520" s="667"/>
      <c r="B520" s="668"/>
      <c r="C520" s="669"/>
      <c r="D520" s="670"/>
      <c r="E520" s="671"/>
      <c r="F520" s="672"/>
      <c r="G520" s="673"/>
      <c r="H520" s="674"/>
      <c r="I520" s="675"/>
      <c r="J520" s="676"/>
      <c r="K520" s="671"/>
      <c r="L520" s="677"/>
    </row>
    <row r="521" spans="1:12" ht="23.25" x14ac:dyDescent="0.35">
      <c r="A521" s="1237" t="s">
        <v>712</v>
      </c>
      <c r="B521" s="1238"/>
      <c r="C521" s="1238"/>
      <c r="D521" s="1238"/>
      <c r="E521" s="1238"/>
      <c r="F521" s="1238"/>
      <c r="G521" s="1238"/>
      <c r="H521" s="1238"/>
      <c r="I521" s="1238"/>
      <c r="J521" s="1238"/>
      <c r="K521" s="1238"/>
      <c r="L521" s="1239"/>
    </row>
    <row r="522" spans="1:12" ht="23.25" x14ac:dyDescent="0.35">
      <c r="A522" s="1240" t="s">
        <v>713</v>
      </c>
      <c r="B522" s="1241"/>
      <c r="C522" s="1241"/>
      <c r="D522" s="1241"/>
      <c r="E522" s="1241"/>
      <c r="F522" s="1241"/>
      <c r="G522" s="1241"/>
      <c r="H522" s="1241"/>
      <c r="I522" s="1241"/>
      <c r="J522" s="1241"/>
      <c r="K522" s="1241"/>
      <c r="L522" s="1242"/>
    </row>
    <row r="523" spans="1:12" ht="23.25" x14ac:dyDescent="0.35">
      <c r="A523" s="1243" t="s">
        <v>714</v>
      </c>
      <c r="B523" s="1244"/>
      <c r="C523" s="1244"/>
      <c r="D523" s="1244"/>
      <c r="E523" s="1244"/>
      <c r="F523" s="1244"/>
      <c r="G523" s="1244"/>
      <c r="H523" s="1244"/>
      <c r="I523" s="1244"/>
      <c r="J523" s="1244"/>
      <c r="K523" s="1244"/>
      <c r="L523" s="1245"/>
    </row>
    <row r="524" spans="1:12" ht="23.25" x14ac:dyDescent="0.35">
      <c r="A524" s="619" t="s">
        <v>715</v>
      </c>
      <c r="B524" s="620"/>
      <c r="C524" s="620"/>
      <c r="D524" s="621" t="s">
        <v>716</v>
      </c>
      <c r="E524" s="1241" t="s">
        <v>717</v>
      </c>
      <c r="F524" s="1241"/>
      <c r="G524" s="1241"/>
      <c r="H524" s="1241"/>
      <c r="I524" s="1241"/>
      <c r="J524" s="618" t="s">
        <v>815</v>
      </c>
      <c r="K524" s="1241"/>
      <c r="L524" s="1242"/>
    </row>
    <row r="525" spans="1:12" x14ac:dyDescent="0.25">
      <c r="A525" s="622"/>
      <c r="B525" s="623"/>
      <c r="C525" s="623"/>
      <c r="D525" s="624"/>
      <c r="E525" s="623"/>
      <c r="F525" s="623"/>
      <c r="G525" s="623"/>
      <c r="H525" s="623"/>
      <c r="I525" s="1246"/>
      <c r="J525" s="1246"/>
      <c r="K525" s="623"/>
      <c r="L525" s="625"/>
    </row>
    <row r="526" spans="1:12" ht="15.75" x14ac:dyDescent="0.25">
      <c r="A526" s="626" t="s">
        <v>719</v>
      </c>
      <c r="B526" s="627"/>
      <c r="C526" s="628"/>
      <c r="D526" s="629" t="s">
        <v>720</v>
      </c>
      <c r="E526" s="630" t="s">
        <v>721</v>
      </c>
      <c r="F526" s="631" t="s">
        <v>722</v>
      </c>
      <c r="G526" s="626" t="s">
        <v>719</v>
      </c>
      <c r="H526" s="632"/>
      <c r="I526" s="633"/>
      <c r="J526" s="634" t="s">
        <v>720</v>
      </c>
      <c r="K526" s="626" t="s">
        <v>721</v>
      </c>
      <c r="L526" s="626" t="s">
        <v>722</v>
      </c>
    </row>
    <row r="527" spans="1:12" ht="15.75" x14ac:dyDescent="0.25">
      <c r="A527" s="635"/>
      <c r="B527" s="636"/>
      <c r="C527" s="637"/>
      <c r="D527" s="638"/>
      <c r="E527" s="639"/>
      <c r="F527" s="640"/>
      <c r="G527" s="641"/>
      <c r="H527" s="642"/>
      <c r="I527" s="643"/>
      <c r="J527" s="644"/>
      <c r="K527" s="645"/>
      <c r="L527" s="646"/>
    </row>
    <row r="528" spans="1:12" ht="15.75" x14ac:dyDescent="0.25">
      <c r="A528" s="647"/>
      <c r="B528" s="648" t="s">
        <v>273</v>
      </c>
      <c r="C528" s="649">
        <v>116</v>
      </c>
      <c r="D528" s="650" t="s">
        <v>816</v>
      </c>
      <c r="E528" s="651"/>
      <c r="F528" s="652"/>
      <c r="G528" s="647"/>
      <c r="H528" s="648"/>
      <c r="I528" s="649"/>
      <c r="J528" s="650"/>
      <c r="K528" s="651"/>
      <c r="L528" s="653"/>
    </row>
    <row r="529" spans="1:12" ht="15.75" x14ac:dyDescent="0.25">
      <c r="A529" s="647" t="s">
        <v>725</v>
      </c>
      <c r="B529" s="654"/>
      <c r="C529" s="649"/>
      <c r="D529" s="650" t="s">
        <v>726</v>
      </c>
      <c r="E529" s="651"/>
      <c r="F529" s="655">
        <v>0.28125</v>
      </c>
      <c r="G529" s="647"/>
      <c r="H529" s="648"/>
      <c r="I529" s="649"/>
      <c r="J529" s="656"/>
      <c r="K529" s="662"/>
      <c r="L529" s="657"/>
    </row>
    <row r="530" spans="1:12" ht="15.75" x14ac:dyDescent="0.25">
      <c r="A530" s="647" t="s">
        <v>817</v>
      </c>
      <c r="B530" s="648"/>
      <c r="C530" s="649"/>
      <c r="D530" s="617" t="s">
        <v>47</v>
      </c>
      <c r="E530" s="651"/>
      <c r="F530" s="658">
        <v>0.30208333333333331</v>
      </c>
      <c r="G530" s="647"/>
      <c r="H530" s="648"/>
      <c r="I530" s="649"/>
      <c r="J530" s="650"/>
      <c r="K530" s="651"/>
      <c r="L530" s="653"/>
    </row>
    <row r="531" spans="1:12" ht="15.75" x14ac:dyDescent="0.25">
      <c r="A531" s="647"/>
      <c r="B531" s="648"/>
      <c r="C531" s="649"/>
      <c r="D531" s="650"/>
      <c r="E531" s="651"/>
      <c r="F531" s="653"/>
      <c r="G531" s="647"/>
      <c r="H531" s="648"/>
      <c r="I531" s="649"/>
      <c r="J531" s="659"/>
      <c r="K531" s="651"/>
      <c r="L531" s="660"/>
    </row>
    <row r="532" spans="1:12" ht="15.75" x14ac:dyDescent="0.25">
      <c r="A532" s="647" t="s">
        <v>725</v>
      </c>
      <c r="B532" s="648"/>
      <c r="C532" s="649"/>
      <c r="D532" s="656" t="s">
        <v>728</v>
      </c>
      <c r="E532" s="662">
        <v>0.375</v>
      </c>
      <c r="F532" s="658"/>
      <c r="G532" s="647"/>
      <c r="H532" s="648"/>
      <c r="I532" s="649"/>
      <c r="J532" s="661"/>
      <c r="K532" s="651"/>
      <c r="L532" s="653"/>
    </row>
    <row r="533" spans="1:12" ht="15.75" x14ac:dyDescent="0.25">
      <c r="A533" s="647"/>
      <c r="B533" s="648"/>
      <c r="C533" s="649"/>
      <c r="D533" s="650" t="s">
        <v>733</v>
      </c>
      <c r="E533" s="662">
        <v>0.39583333333333331</v>
      </c>
      <c r="F533" s="653"/>
      <c r="G533" s="647"/>
      <c r="H533" s="648"/>
      <c r="I533" s="649"/>
      <c r="J533" s="656"/>
      <c r="K533" s="662"/>
      <c r="L533" s="657"/>
    </row>
    <row r="534" spans="1:12" ht="15.75" x14ac:dyDescent="0.25">
      <c r="A534" s="647"/>
      <c r="B534" s="648" t="s">
        <v>273</v>
      </c>
      <c r="C534" s="649">
        <v>116</v>
      </c>
      <c r="D534" s="650" t="s">
        <v>818</v>
      </c>
      <c r="E534" s="651"/>
      <c r="F534" s="657"/>
      <c r="G534" s="647"/>
      <c r="H534" s="648"/>
      <c r="I534" s="649"/>
      <c r="J534" s="650"/>
      <c r="K534" s="662"/>
      <c r="L534" s="653"/>
    </row>
    <row r="535" spans="1:12" ht="15.75" x14ac:dyDescent="0.25">
      <c r="A535" s="647"/>
      <c r="B535" s="648"/>
      <c r="C535" s="649"/>
      <c r="D535" s="650"/>
      <c r="E535" s="651"/>
      <c r="F535" s="653"/>
      <c r="G535" s="647"/>
      <c r="H535" s="648"/>
      <c r="I535" s="649"/>
      <c r="J535" s="650"/>
      <c r="K535" s="651"/>
      <c r="L535" s="658"/>
    </row>
    <row r="536" spans="1:12" ht="15.75" x14ac:dyDescent="0.25">
      <c r="A536" s="647"/>
      <c r="B536" s="648" t="s">
        <v>273</v>
      </c>
      <c r="C536" s="649">
        <v>161</v>
      </c>
      <c r="D536" s="650" t="s">
        <v>819</v>
      </c>
      <c r="E536" s="651"/>
      <c r="F536" s="652"/>
      <c r="G536" s="647"/>
      <c r="H536" s="648"/>
      <c r="I536" s="649"/>
      <c r="J536" s="663"/>
      <c r="K536" s="662"/>
      <c r="L536" s="653"/>
    </row>
    <row r="537" spans="1:12" ht="15.75" x14ac:dyDescent="0.25">
      <c r="A537" s="647" t="s">
        <v>725</v>
      </c>
      <c r="B537" s="654"/>
      <c r="C537" s="649"/>
      <c r="D537" s="650" t="s">
        <v>726</v>
      </c>
      <c r="E537" s="651"/>
      <c r="F537" s="655">
        <v>0.46527777777777779</v>
      </c>
      <c r="G537" s="647"/>
      <c r="H537" s="648"/>
      <c r="I537" s="649"/>
      <c r="J537" s="661"/>
      <c r="K537" s="651"/>
      <c r="L537" s="653"/>
    </row>
    <row r="538" spans="1:12" ht="15.75" x14ac:dyDescent="0.25">
      <c r="A538" s="647">
        <v>7</v>
      </c>
      <c r="B538" s="648"/>
      <c r="C538" s="649"/>
      <c r="D538" s="659" t="s">
        <v>50</v>
      </c>
      <c r="E538" s="651"/>
      <c r="F538" s="660">
        <v>0.48958333333333331</v>
      </c>
      <c r="G538" s="647"/>
      <c r="H538" s="648"/>
      <c r="I538" s="649"/>
      <c r="J538" s="650"/>
      <c r="K538" s="662"/>
      <c r="L538" s="658"/>
    </row>
    <row r="539" spans="1:12" ht="15.75" x14ac:dyDescent="0.25">
      <c r="A539" s="647"/>
      <c r="B539" s="648"/>
      <c r="C539" s="649"/>
      <c r="D539" s="661"/>
      <c r="E539" s="651"/>
      <c r="F539" s="653"/>
      <c r="G539" s="647"/>
      <c r="H539" s="648"/>
      <c r="I539" s="649"/>
      <c r="J539" s="650"/>
      <c r="K539" s="651"/>
      <c r="L539" s="658"/>
    </row>
    <row r="540" spans="1:12" ht="15.75" x14ac:dyDescent="0.25">
      <c r="A540" s="647"/>
      <c r="B540" s="648"/>
      <c r="C540" s="649"/>
      <c r="D540" s="656" t="s">
        <v>728</v>
      </c>
      <c r="E540" s="662">
        <v>0.5625</v>
      </c>
      <c r="F540" s="657"/>
      <c r="G540" s="647"/>
      <c r="H540" s="648"/>
      <c r="I540" s="649"/>
      <c r="J540" s="663"/>
      <c r="K540" s="662"/>
      <c r="L540" s="653"/>
    </row>
    <row r="541" spans="1:12" ht="15.75" x14ac:dyDescent="0.25">
      <c r="A541" s="647"/>
      <c r="B541" s="648" t="s">
        <v>273</v>
      </c>
      <c r="C541" s="649">
        <v>161</v>
      </c>
      <c r="D541" s="650" t="s">
        <v>820</v>
      </c>
      <c r="E541" s="651"/>
      <c r="F541" s="653"/>
      <c r="G541" s="647"/>
      <c r="H541" s="648"/>
      <c r="I541" s="649"/>
      <c r="J541" s="661"/>
      <c r="K541" s="651"/>
      <c r="L541" s="653"/>
    </row>
    <row r="542" spans="1:12" ht="15.75" x14ac:dyDescent="0.25">
      <c r="A542" s="647"/>
      <c r="B542" s="648"/>
      <c r="C542" s="649"/>
      <c r="D542" s="661"/>
      <c r="E542" s="651"/>
      <c r="F542" s="653"/>
      <c r="G542" s="647"/>
      <c r="H542" s="648"/>
      <c r="I542" s="649"/>
      <c r="J542" s="650"/>
      <c r="K542" s="662"/>
      <c r="L542" s="658"/>
    </row>
    <row r="543" spans="1:12" ht="15.75" x14ac:dyDescent="0.25">
      <c r="A543" s="647"/>
      <c r="B543" s="648" t="s">
        <v>273</v>
      </c>
      <c r="C543" s="649">
        <v>126</v>
      </c>
      <c r="D543" s="650" t="s">
        <v>821</v>
      </c>
      <c r="E543" s="651"/>
      <c r="F543" s="653"/>
      <c r="G543" s="647"/>
      <c r="H543" s="648"/>
      <c r="I543" s="649"/>
      <c r="J543" s="650"/>
      <c r="K543" s="651"/>
      <c r="L543" s="653"/>
    </row>
    <row r="544" spans="1:12" ht="15.75" x14ac:dyDescent="0.25">
      <c r="A544" s="647">
        <v>7</v>
      </c>
      <c r="B544" s="648"/>
      <c r="C544" s="649"/>
      <c r="D544" s="656" t="s">
        <v>728</v>
      </c>
      <c r="E544" s="651"/>
      <c r="F544" s="657">
        <v>0.5625</v>
      </c>
      <c r="G544" s="647"/>
      <c r="H544" s="648"/>
      <c r="I544" s="649"/>
      <c r="J544" s="650"/>
      <c r="K544" s="662"/>
      <c r="L544" s="664"/>
    </row>
    <row r="545" spans="1:12" ht="15.75" x14ac:dyDescent="0.25">
      <c r="A545" s="647"/>
      <c r="B545" s="648"/>
      <c r="C545" s="649"/>
      <c r="D545" s="650"/>
      <c r="E545" s="651"/>
      <c r="F545" s="653"/>
      <c r="G545" s="647"/>
      <c r="H545" s="648"/>
      <c r="I545" s="649"/>
      <c r="J545" s="661"/>
      <c r="K545" s="651"/>
      <c r="L545" s="653"/>
    </row>
    <row r="546" spans="1:12" ht="15.75" x14ac:dyDescent="0.25">
      <c r="A546" s="647">
        <v>7</v>
      </c>
      <c r="B546" s="648"/>
      <c r="C546" s="649"/>
      <c r="D546" s="659" t="s">
        <v>50</v>
      </c>
      <c r="E546" s="651"/>
      <c r="F546" s="660">
        <v>0.63541666666666663</v>
      </c>
      <c r="G546" s="647"/>
      <c r="H546" s="648"/>
      <c r="I546" s="649"/>
      <c r="J546" s="650"/>
      <c r="K546" s="662"/>
      <c r="L546" s="658"/>
    </row>
    <row r="547" spans="1:12" ht="15.75" x14ac:dyDescent="0.25">
      <c r="A547" s="647"/>
      <c r="B547" s="648"/>
      <c r="C547" s="649"/>
      <c r="D547" s="661"/>
      <c r="E547" s="651"/>
      <c r="F547" s="653"/>
      <c r="G547" s="647"/>
      <c r="H547" s="648"/>
      <c r="I547" s="649"/>
      <c r="J547" s="661"/>
      <c r="K547" s="651"/>
      <c r="L547" s="653"/>
    </row>
    <row r="548" spans="1:12" ht="15.75" x14ac:dyDescent="0.25">
      <c r="A548" s="647"/>
      <c r="B548" s="648"/>
      <c r="C548" s="649"/>
      <c r="D548" s="656" t="s">
        <v>728</v>
      </c>
      <c r="E548" s="662">
        <v>0.70833333333333337</v>
      </c>
      <c r="F548" s="657"/>
      <c r="G548" s="647"/>
      <c r="H548" s="648"/>
      <c r="I548" s="649"/>
      <c r="J548" s="650"/>
      <c r="K548" s="662"/>
      <c r="L548" s="664"/>
    </row>
    <row r="549" spans="1:12" ht="15.75" x14ac:dyDescent="0.25">
      <c r="A549" s="647"/>
      <c r="B549" s="648" t="s">
        <v>273</v>
      </c>
      <c r="C549" s="649">
        <v>126</v>
      </c>
      <c r="D549" s="650" t="s">
        <v>822</v>
      </c>
      <c r="E549" s="651"/>
      <c r="F549" s="653"/>
      <c r="G549" s="647"/>
      <c r="H549" s="648"/>
      <c r="I549" s="649"/>
      <c r="J549" s="661"/>
      <c r="K549" s="651"/>
      <c r="L549" s="653"/>
    </row>
    <row r="550" spans="1:12" ht="15.75" x14ac:dyDescent="0.25">
      <c r="A550" s="647"/>
      <c r="B550" s="648"/>
      <c r="C550" s="649"/>
      <c r="D550" s="656"/>
      <c r="E550" s="651"/>
      <c r="F550" s="657"/>
      <c r="G550" s="647"/>
      <c r="H550" s="648"/>
      <c r="I550" s="649"/>
      <c r="J550" s="617"/>
      <c r="K550" s="651"/>
      <c r="L550" s="658"/>
    </row>
    <row r="551" spans="1:12" ht="15.75" x14ac:dyDescent="0.25">
      <c r="A551" s="647"/>
      <c r="B551" s="648" t="s">
        <v>273</v>
      </c>
      <c r="C551" s="649">
        <v>122</v>
      </c>
      <c r="D551" s="650" t="s">
        <v>823</v>
      </c>
      <c r="E551" s="651"/>
      <c r="F551" s="653"/>
      <c r="G551" s="647"/>
      <c r="H551" s="648"/>
      <c r="I551" s="649"/>
      <c r="J551" s="661"/>
      <c r="K551" s="651"/>
      <c r="L551" s="653"/>
    </row>
    <row r="552" spans="1:12" ht="15.75" x14ac:dyDescent="0.25">
      <c r="A552" s="647">
        <v>7</v>
      </c>
      <c r="B552" s="648"/>
      <c r="C552" s="649"/>
      <c r="D552" s="656" t="s">
        <v>728</v>
      </c>
      <c r="E552" s="662"/>
      <c r="F552" s="657">
        <v>0.70833333333333337</v>
      </c>
      <c r="G552" s="647"/>
      <c r="H552" s="648"/>
      <c r="I552" s="649"/>
      <c r="J552" s="650"/>
      <c r="K552" s="662"/>
      <c r="L552" s="664"/>
    </row>
    <row r="553" spans="1:12" ht="15.75" x14ac:dyDescent="0.25">
      <c r="A553" s="647"/>
      <c r="B553" s="648"/>
      <c r="C553" s="649"/>
      <c r="D553" s="650"/>
      <c r="E553" s="651"/>
      <c r="F553" s="653"/>
      <c r="G553" s="647"/>
      <c r="H553" s="648"/>
      <c r="I553" s="649"/>
      <c r="J553" s="650"/>
      <c r="K553" s="651"/>
      <c r="L553" s="653"/>
    </row>
    <row r="554" spans="1:12" ht="15.75" x14ac:dyDescent="0.25">
      <c r="A554" s="647">
        <v>7</v>
      </c>
      <c r="B554" s="648"/>
      <c r="C554" s="649"/>
      <c r="D554" s="659" t="s">
        <v>50</v>
      </c>
      <c r="E554" s="651"/>
      <c r="F554" s="660">
        <v>0.78125</v>
      </c>
      <c r="G554" s="647"/>
      <c r="H554" s="648"/>
      <c r="I554" s="649"/>
      <c r="J554" s="650"/>
      <c r="K554" s="662"/>
      <c r="L554" s="658"/>
    </row>
    <row r="555" spans="1:12" ht="15.75" x14ac:dyDescent="0.25">
      <c r="A555" s="647"/>
      <c r="B555" s="648"/>
      <c r="C555" s="649"/>
      <c r="D555" s="661"/>
      <c r="E555" s="651"/>
      <c r="F555" s="653"/>
      <c r="G555" s="647"/>
      <c r="H555" s="648"/>
      <c r="I555" s="649"/>
      <c r="J555" s="661"/>
      <c r="K555" s="651"/>
      <c r="L555" s="653"/>
    </row>
    <row r="556" spans="1:12" ht="15.75" x14ac:dyDescent="0.25">
      <c r="A556" s="647" t="s">
        <v>725</v>
      </c>
      <c r="B556" s="648"/>
      <c r="C556" s="649"/>
      <c r="D556" s="656" t="s">
        <v>728</v>
      </c>
      <c r="E556" s="662">
        <v>0.83333333333333337</v>
      </c>
      <c r="F556" s="657"/>
      <c r="G556" s="647"/>
      <c r="H556" s="648"/>
      <c r="I556" s="649"/>
      <c r="J556" s="650"/>
      <c r="K556" s="662"/>
      <c r="L556" s="664"/>
    </row>
    <row r="557" spans="1:12" ht="15.75" x14ac:dyDescent="0.25">
      <c r="A557" s="647"/>
      <c r="B557" s="648"/>
      <c r="C557" s="649"/>
      <c r="D557" s="650" t="s">
        <v>733</v>
      </c>
      <c r="E557" s="662">
        <v>0.85416666666666663</v>
      </c>
      <c r="F557" s="653"/>
      <c r="G557" s="647"/>
      <c r="H557" s="648"/>
      <c r="I557" s="649"/>
      <c r="J557" s="661"/>
      <c r="K557" s="651"/>
      <c r="L557" s="653"/>
    </row>
    <row r="558" spans="1:12" ht="15.75" x14ac:dyDescent="0.25">
      <c r="A558" s="647"/>
      <c r="B558" s="648" t="s">
        <v>276</v>
      </c>
      <c r="C558" s="649" t="s">
        <v>273</v>
      </c>
      <c r="D558" s="650"/>
      <c r="E558" s="651"/>
      <c r="F558" s="658"/>
      <c r="G558" s="647"/>
      <c r="H558" s="648"/>
      <c r="I558" s="649"/>
      <c r="J558" s="650"/>
      <c r="K558" s="651"/>
      <c r="L558" s="653"/>
    </row>
    <row r="559" spans="1:12" ht="15.75" x14ac:dyDescent="0.25">
      <c r="A559" s="647"/>
      <c r="B559" s="648"/>
      <c r="C559" s="649"/>
      <c r="D559" s="650"/>
      <c r="E559" s="651"/>
      <c r="F559" s="653"/>
      <c r="G559" s="666"/>
      <c r="H559" s="648"/>
      <c r="I559" s="665"/>
      <c r="J559" s="650"/>
      <c r="K559" s="651"/>
      <c r="L559" s="653"/>
    </row>
    <row r="560" spans="1:12" ht="15.75" x14ac:dyDescent="0.25">
      <c r="A560" s="667"/>
      <c r="B560" s="668"/>
      <c r="C560" s="669"/>
      <c r="D560" s="670"/>
      <c r="E560" s="671"/>
      <c r="F560" s="672"/>
      <c r="G560" s="673"/>
      <c r="H560" s="674"/>
      <c r="I560" s="675"/>
      <c r="J560" s="676"/>
      <c r="K560" s="671"/>
      <c r="L560" s="677"/>
    </row>
    <row r="561" spans="1:12" ht="23.25" x14ac:dyDescent="0.35">
      <c r="A561" s="1237" t="s">
        <v>712</v>
      </c>
      <c r="B561" s="1238"/>
      <c r="C561" s="1238"/>
      <c r="D561" s="1238"/>
      <c r="E561" s="1238"/>
      <c r="F561" s="1238"/>
      <c r="G561" s="1238"/>
      <c r="H561" s="1238"/>
      <c r="I561" s="1238"/>
      <c r="J561" s="1238"/>
      <c r="K561" s="1238"/>
      <c r="L561" s="1239"/>
    </row>
    <row r="562" spans="1:12" ht="23.25" x14ac:dyDescent="0.35">
      <c r="A562" s="1240" t="s">
        <v>713</v>
      </c>
      <c r="B562" s="1241"/>
      <c r="C562" s="1241"/>
      <c r="D562" s="1241"/>
      <c r="E562" s="1241"/>
      <c r="F562" s="1241"/>
      <c r="G562" s="1241"/>
      <c r="H562" s="1241"/>
      <c r="I562" s="1241"/>
      <c r="J562" s="1241"/>
      <c r="K562" s="1241"/>
      <c r="L562" s="1242"/>
    </row>
    <row r="563" spans="1:12" ht="23.25" x14ac:dyDescent="0.35">
      <c r="A563" s="1243" t="s">
        <v>714</v>
      </c>
      <c r="B563" s="1244"/>
      <c r="C563" s="1244"/>
      <c r="D563" s="1244"/>
      <c r="E563" s="1244"/>
      <c r="F563" s="1244"/>
      <c r="G563" s="1244"/>
      <c r="H563" s="1244"/>
      <c r="I563" s="1244"/>
      <c r="J563" s="1244"/>
      <c r="K563" s="1244"/>
      <c r="L563" s="1245"/>
    </row>
    <row r="564" spans="1:12" ht="23.25" x14ac:dyDescent="0.35">
      <c r="A564" s="619" t="s">
        <v>715</v>
      </c>
      <c r="B564" s="620"/>
      <c r="C564" s="620"/>
      <c r="D564" s="621" t="s">
        <v>716</v>
      </c>
      <c r="E564" s="1241" t="s">
        <v>717</v>
      </c>
      <c r="F564" s="1241"/>
      <c r="G564" s="1241"/>
      <c r="H564" s="1241"/>
      <c r="I564" s="1241"/>
      <c r="J564" s="618" t="s">
        <v>824</v>
      </c>
      <c r="K564" s="1241"/>
      <c r="L564" s="1242"/>
    </row>
    <row r="565" spans="1:12" x14ac:dyDescent="0.25">
      <c r="A565" s="622"/>
      <c r="B565" s="623"/>
      <c r="C565" s="623"/>
      <c r="D565" s="624"/>
      <c r="E565" s="623"/>
      <c r="F565" s="623"/>
      <c r="G565" s="623"/>
      <c r="H565" s="623"/>
      <c r="I565" s="1246"/>
      <c r="J565" s="1246"/>
      <c r="K565" s="623"/>
      <c r="L565" s="625"/>
    </row>
    <row r="566" spans="1:12" ht="15.75" x14ac:dyDescent="0.25">
      <c r="A566" s="626" t="s">
        <v>719</v>
      </c>
      <c r="B566" s="627"/>
      <c r="C566" s="628"/>
      <c r="D566" s="629" t="s">
        <v>720</v>
      </c>
      <c r="E566" s="630" t="s">
        <v>721</v>
      </c>
      <c r="F566" s="631" t="s">
        <v>722</v>
      </c>
      <c r="G566" s="626" t="s">
        <v>719</v>
      </c>
      <c r="H566" s="632"/>
      <c r="I566" s="633"/>
      <c r="J566" s="634" t="s">
        <v>720</v>
      </c>
      <c r="K566" s="626" t="s">
        <v>721</v>
      </c>
      <c r="L566" s="626" t="s">
        <v>722</v>
      </c>
    </row>
    <row r="567" spans="1:12" ht="15.75" x14ac:dyDescent="0.25">
      <c r="A567" s="635"/>
      <c r="B567" s="636"/>
      <c r="C567" s="637"/>
      <c r="D567" s="638"/>
      <c r="E567" s="639"/>
      <c r="F567" s="640"/>
      <c r="G567" s="641"/>
      <c r="H567" s="642"/>
      <c r="I567" s="643"/>
      <c r="J567" s="644"/>
      <c r="K567" s="645"/>
      <c r="L567" s="646"/>
    </row>
    <row r="568" spans="1:12" ht="15.75" x14ac:dyDescent="0.25">
      <c r="A568" s="647"/>
      <c r="B568" s="648" t="s">
        <v>273</v>
      </c>
      <c r="C568" s="649">
        <v>118</v>
      </c>
      <c r="D568" s="650" t="s">
        <v>825</v>
      </c>
      <c r="E568" s="651"/>
      <c r="F568" s="652"/>
      <c r="G568" s="647"/>
      <c r="H568" s="648" t="s">
        <v>273</v>
      </c>
      <c r="I568" s="649">
        <v>140</v>
      </c>
      <c r="J568" s="650" t="s">
        <v>826</v>
      </c>
      <c r="K568" s="651"/>
      <c r="L568" s="652"/>
    </row>
    <row r="569" spans="1:12" ht="15.75" x14ac:dyDescent="0.25">
      <c r="A569" s="647" t="s">
        <v>725</v>
      </c>
      <c r="B569" s="654"/>
      <c r="C569" s="649"/>
      <c r="D569" s="650" t="s">
        <v>726</v>
      </c>
      <c r="E569" s="651"/>
      <c r="F569" s="655">
        <v>0.28472222222222221</v>
      </c>
      <c r="G569" s="647" t="s">
        <v>725</v>
      </c>
      <c r="H569" s="654"/>
      <c r="I569" s="649"/>
      <c r="J569" s="650" t="s">
        <v>726</v>
      </c>
      <c r="K569" s="651"/>
      <c r="L569" s="655">
        <v>0.88541666666666663</v>
      </c>
    </row>
    <row r="570" spans="1:12" ht="15.75" x14ac:dyDescent="0.25">
      <c r="A570" s="647" t="s">
        <v>787</v>
      </c>
      <c r="B570" s="648"/>
      <c r="C570" s="649"/>
      <c r="D570" s="617" t="s">
        <v>62</v>
      </c>
      <c r="E570" s="651"/>
      <c r="F570" s="658">
        <v>0.3125</v>
      </c>
      <c r="G570" s="647">
        <v>7</v>
      </c>
      <c r="H570" s="648"/>
      <c r="I570" s="649"/>
      <c r="J570" s="659" t="s">
        <v>50</v>
      </c>
      <c r="K570" s="651"/>
      <c r="L570" s="660">
        <v>0.90625</v>
      </c>
    </row>
    <row r="571" spans="1:12" ht="15.75" x14ac:dyDescent="0.25">
      <c r="A571" s="647"/>
      <c r="B571" s="648"/>
      <c r="C571" s="649"/>
      <c r="D571" s="650"/>
      <c r="E571" s="651"/>
      <c r="F571" s="653"/>
      <c r="G571" s="647"/>
      <c r="H571" s="648"/>
      <c r="I571" s="649"/>
      <c r="J571" s="650"/>
      <c r="K571" s="651"/>
      <c r="L571" s="653"/>
    </row>
    <row r="572" spans="1:12" ht="15.75" x14ac:dyDescent="0.25">
      <c r="A572" s="647" t="s">
        <v>725</v>
      </c>
      <c r="B572" s="648"/>
      <c r="C572" s="649"/>
      <c r="D572" s="656" t="s">
        <v>728</v>
      </c>
      <c r="E572" s="662">
        <v>0.3888888888888889</v>
      </c>
      <c r="F572" s="658"/>
      <c r="G572" s="647">
        <v>7</v>
      </c>
      <c r="H572" s="648"/>
      <c r="I572" s="649"/>
      <c r="J572" s="656" t="s">
        <v>728</v>
      </c>
      <c r="K572" s="651"/>
      <c r="L572" s="657">
        <v>0.95833333333333337</v>
      </c>
    </row>
    <row r="573" spans="1:12" ht="15.75" x14ac:dyDescent="0.25">
      <c r="A573" s="647"/>
      <c r="B573" s="648"/>
      <c r="C573" s="649"/>
      <c r="D573" s="650" t="s">
        <v>733</v>
      </c>
      <c r="E573" s="662">
        <v>0.40972222222222221</v>
      </c>
      <c r="F573" s="653"/>
      <c r="G573" s="647"/>
      <c r="H573" s="648"/>
      <c r="I573" s="649"/>
      <c r="J573" s="661"/>
      <c r="K573" s="651"/>
      <c r="L573" s="653"/>
    </row>
    <row r="574" spans="1:12" ht="15.75" x14ac:dyDescent="0.25">
      <c r="A574" s="647"/>
      <c r="B574" s="648" t="s">
        <v>273</v>
      </c>
      <c r="C574" s="649">
        <v>118</v>
      </c>
      <c r="D574" s="650" t="s">
        <v>827</v>
      </c>
      <c r="E574" s="651"/>
      <c r="F574" s="657"/>
      <c r="G574" s="647" t="s">
        <v>725</v>
      </c>
      <c r="H574" s="648"/>
      <c r="I574" s="649"/>
      <c r="J574" s="659" t="s">
        <v>50</v>
      </c>
      <c r="K574" s="662">
        <v>1.0069444444444444</v>
      </c>
      <c r="L574" s="657"/>
    </row>
    <row r="575" spans="1:12" ht="15.75" x14ac:dyDescent="0.25">
      <c r="A575" s="647"/>
      <c r="B575" s="648"/>
      <c r="C575" s="649"/>
      <c r="D575" s="650"/>
      <c r="E575" s="651"/>
      <c r="F575" s="653"/>
      <c r="G575" s="647"/>
      <c r="H575" s="648"/>
      <c r="I575" s="649"/>
      <c r="J575" s="650" t="s">
        <v>733</v>
      </c>
      <c r="K575" s="662">
        <v>1.0243055555555556</v>
      </c>
      <c r="L575" s="653"/>
    </row>
    <row r="576" spans="1:12" ht="15.75" x14ac:dyDescent="0.25">
      <c r="A576" s="647"/>
      <c r="B576" s="648" t="s">
        <v>273</v>
      </c>
      <c r="C576" s="649">
        <v>129</v>
      </c>
      <c r="D576" s="650" t="s">
        <v>828</v>
      </c>
      <c r="E576" s="651"/>
      <c r="F576" s="652"/>
      <c r="G576" s="647"/>
      <c r="H576" s="648" t="s">
        <v>276</v>
      </c>
      <c r="I576" s="649" t="s">
        <v>273</v>
      </c>
      <c r="J576" s="650"/>
      <c r="K576" s="651"/>
      <c r="L576" s="657"/>
    </row>
    <row r="577" spans="1:12" ht="15.75" x14ac:dyDescent="0.25">
      <c r="A577" s="647" t="s">
        <v>725</v>
      </c>
      <c r="B577" s="654"/>
      <c r="C577" s="649"/>
      <c r="D577" s="650" t="s">
        <v>726</v>
      </c>
      <c r="E577" s="651"/>
      <c r="F577" s="655">
        <v>0.55902777777777779</v>
      </c>
      <c r="G577" s="647"/>
      <c r="H577" s="648"/>
      <c r="I577" s="649"/>
      <c r="J577" s="661"/>
      <c r="K577" s="651"/>
      <c r="L577" s="653"/>
    </row>
    <row r="578" spans="1:12" ht="15.75" x14ac:dyDescent="0.25">
      <c r="A578" s="647" t="s">
        <v>727</v>
      </c>
      <c r="B578" s="648"/>
      <c r="C578" s="649"/>
      <c r="D578" s="617" t="s">
        <v>48</v>
      </c>
      <c r="E578" s="651"/>
      <c r="F578" s="658">
        <v>0.58333333333333337</v>
      </c>
      <c r="G578" s="647"/>
      <c r="H578" s="648"/>
      <c r="I578" s="649"/>
      <c r="J578" s="650"/>
      <c r="K578" s="662"/>
      <c r="L578" s="658"/>
    </row>
    <row r="579" spans="1:12" ht="15.75" x14ac:dyDescent="0.25">
      <c r="A579" s="647"/>
      <c r="B579" s="648"/>
      <c r="C579" s="649"/>
      <c r="D579" s="661"/>
      <c r="E579" s="651"/>
      <c r="F579" s="653"/>
      <c r="G579" s="647"/>
      <c r="H579" s="648"/>
      <c r="I579" s="649"/>
      <c r="J579" s="650"/>
      <c r="K579" s="651"/>
      <c r="L579" s="658"/>
    </row>
    <row r="580" spans="1:12" ht="15.75" x14ac:dyDescent="0.25">
      <c r="A580" s="647"/>
      <c r="B580" s="648"/>
      <c r="C580" s="649"/>
      <c r="D580" s="656" t="s">
        <v>728</v>
      </c>
      <c r="E580" s="662">
        <v>0.65625</v>
      </c>
      <c r="F580" s="657"/>
      <c r="G580" s="647"/>
      <c r="H580" s="648"/>
      <c r="I580" s="649"/>
      <c r="J580" s="663"/>
      <c r="K580" s="662"/>
      <c r="L580" s="653"/>
    </row>
    <row r="581" spans="1:12" ht="15.75" x14ac:dyDescent="0.25">
      <c r="A581" s="647"/>
      <c r="B581" s="648" t="s">
        <v>273</v>
      </c>
      <c r="C581" s="649">
        <v>129</v>
      </c>
      <c r="D581" s="650" t="s">
        <v>829</v>
      </c>
      <c r="E581" s="651"/>
      <c r="F581" s="653"/>
      <c r="G581" s="647"/>
      <c r="H581" s="648"/>
      <c r="I581" s="649"/>
      <c r="J581" s="661"/>
      <c r="K581" s="651"/>
      <c r="L581" s="653"/>
    </row>
    <row r="582" spans="1:12" ht="15.75" x14ac:dyDescent="0.25">
      <c r="A582" s="647"/>
      <c r="B582" s="648"/>
      <c r="C582" s="649"/>
      <c r="D582" s="661"/>
      <c r="E582" s="651"/>
      <c r="F582" s="653"/>
      <c r="G582" s="647"/>
      <c r="H582" s="648"/>
      <c r="I582" s="649"/>
      <c r="J582" s="650"/>
      <c r="K582" s="662"/>
      <c r="L582" s="658"/>
    </row>
    <row r="583" spans="1:12" ht="15.75" x14ac:dyDescent="0.25">
      <c r="A583" s="647"/>
      <c r="B583" s="648" t="s">
        <v>273</v>
      </c>
      <c r="C583" s="649">
        <v>157</v>
      </c>
      <c r="D583" s="650" t="s">
        <v>830</v>
      </c>
      <c r="E583" s="651"/>
      <c r="F583" s="653"/>
      <c r="G583" s="647"/>
      <c r="H583" s="648"/>
      <c r="I583" s="649"/>
      <c r="J583" s="650"/>
      <c r="K583" s="651"/>
      <c r="L583" s="653"/>
    </row>
    <row r="584" spans="1:12" ht="15.75" x14ac:dyDescent="0.25">
      <c r="A584" s="647" t="s">
        <v>727</v>
      </c>
      <c r="B584" s="648"/>
      <c r="C584" s="649"/>
      <c r="D584" s="656" t="s">
        <v>728</v>
      </c>
      <c r="E584" s="651"/>
      <c r="F584" s="657">
        <v>0.65625</v>
      </c>
      <c r="G584" s="647"/>
      <c r="H584" s="648"/>
      <c r="I584" s="649"/>
      <c r="J584" s="650"/>
      <c r="K584" s="662"/>
      <c r="L584" s="664"/>
    </row>
    <row r="585" spans="1:12" ht="15.75" x14ac:dyDescent="0.25">
      <c r="A585" s="647"/>
      <c r="B585" s="648"/>
      <c r="C585" s="649"/>
      <c r="D585" s="650"/>
      <c r="E585" s="651"/>
      <c r="F585" s="653"/>
      <c r="G585" s="647"/>
      <c r="H585" s="648"/>
      <c r="I585" s="649"/>
      <c r="J585" s="661"/>
      <c r="K585" s="651"/>
      <c r="L585" s="653"/>
    </row>
    <row r="586" spans="1:12" ht="15.75" x14ac:dyDescent="0.25">
      <c r="A586" s="647" t="s">
        <v>727</v>
      </c>
      <c r="B586" s="648"/>
      <c r="C586" s="649"/>
      <c r="D586" s="617" t="s">
        <v>48</v>
      </c>
      <c r="E586" s="651"/>
      <c r="F586" s="658">
        <v>0.72916666666666663</v>
      </c>
      <c r="G586" s="647"/>
      <c r="H586" s="648"/>
      <c r="I586" s="649"/>
      <c r="J586" s="650"/>
      <c r="K586" s="662"/>
      <c r="L586" s="658"/>
    </row>
    <row r="587" spans="1:12" ht="15.75" x14ac:dyDescent="0.25">
      <c r="A587" s="647"/>
      <c r="B587" s="648"/>
      <c r="C587" s="649"/>
      <c r="D587" s="661"/>
      <c r="E587" s="651"/>
      <c r="F587" s="653"/>
      <c r="G587" s="647"/>
      <c r="H587" s="648"/>
      <c r="I587" s="649"/>
      <c r="J587" s="661"/>
      <c r="K587" s="651"/>
      <c r="L587" s="653"/>
    </row>
    <row r="588" spans="1:12" ht="15.75" x14ac:dyDescent="0.25">
      <c r="A588" s="647" t="s">
        <v>725</v>
      </c>
      <c r="B588" s="648"/>
      <c r="C588" s="649"/>
      <c r="D588" s="656" t="s">
        <v>728</v>
      </c>
      <c r="E588" s="662">
        <v>0.79166666666666663</v>
      </c>
      <c r="F588" s="657"/>
      <c r="G588" s="647"/>
      <c r="H588" s="648"/>
      <c r="I588" s="649"/>
      <c r="J588" s="650"/>
      <c r="K588" s="662"/>
      <c r="L588" s="664"/>
    </row>
    <row r="589" spans="1:12" ht="15.75" x14ac:dyDescent="0.25">
      <c r="A589" s="647"/>
      <c r="B589" s="648"/>
      <c r="C589" s="649"/>
      <c r="D589" s="650" t="s">
        <v>733</v>
      </c>
      <c r="E589" s="662">
        <v>0.8125</v>
      </c>
      <c r="F589" s="653"/>
      <c r="G589" s="647"/>
      <c r="H589" s="648"/>
      <c r="I589" s="649"/>
      <c r="J589" s="661"/>
      <c r="K589" s="651"/>
      <c r="L589" s="653"/>
    </row>
    <row r="590" spans="1:12" ht="15.75" x14ac:dyDescent="0.25">
      <c r="A590" s="647"/>
      <c r="B590" s="648" t="s">
        <v>276</v>
      </c>
      <c r="C590" s="649" t="s">
        <v>273</v>
      </c>
      <c r="D590" s="650"/>
      <c r="E590" s="651"/>
      <c r="F590" s="657"/>
      <c r="G590" s="647"/>
      <c r="H590" s="648"/>
      <c r="I590" s="649"/>
      <c r="J590" s="617"/>
      <c r="K590" s="651"/>
      <c r="L590" s="658"/>
    </row>
    <row r="591" spans="1:12" ht="15.75" x14ac:dyDescent="0.25">
      <c r="A591" s="647"/>
      <c r="B591" s="648"/>
      <c r="C591" s="649"/>
      <c r="D591" s="650"/>
      <c r="E591" s="651"/>
      <c r="F591" s="653"/>
      <c r="G591" s="647"/>
      <c r="H591" s="648"/>
      <c r="I591" s="649"/>
      <c r="J591" s="661"/>
      <c r="K591" s="651"/>
      <c r="L591" s="653"/>
    </row>
    <row r="592" spans="1:12" ht="15.75" x14ac:dyDescent="0.25">
      <c r="A592" s="647"/>
      <c r="B592" s="648"/>
      <c r="C592" s="649"/>
      <c r="D592" s="650"/>
      <c r="E592" s="651"/>
      <c r="F592" s="653"/>
      <c r="G592" s="647"/>
      <c r="H592" s="648"/>
      <c r="I592" s="649"/>
      <c r="J592" s="650"/>
      <c r="K592" s="662"/>
      <c r="L592" s="664"/>
    </row>
    <row r="593" spans="1:12" ht="15.75" x14ac:dyDescent="0.25">
      <c r="A593" s="647"/>
      <c r="B593" s="648"/>
      <c r="C593" s="649"/>
      <c r="D593" s="659"/>
      <c r="E593" s="651"/>
      <c r="F593" s="660"/>
      <c r="G593" s="647"/>
      <c r="H593" s="648"/>
      <c r="I593" s="649"/>
      <c r="J593" s="650"/>
      <c r="K593" s="651"/>
      <c r="L593" s="653"/>
    </row>
    <row r="594" spans="1:12" ht="15.75" x14ac:dyDescent="0.25">
      <c r="A594" s="647"/>
      <c r="B594" s="648"/>
      <c r="C594" s="649"/>
      <c r="D594" s="650"/>
      <c r="E594" s="651"/>
      <c r="F594" s="653"/>
      <c r="G594" s="647"/>
      <c r="H594" s="648"/>
      <c r="I594" s="649"/>
      <c r="J594" s="650"/>
      <c r="K594" s="662"/>
      <c r="L594" s="658"/>
    </row>
    <row r="595" spans="1:12" ht="15.75" x14ac:dyDescent="0.25">
      <c r="A595" s="647"/>
      <c r="B595" s="648"/>
      <c r="C595" s="649"/>
      <c r="D595" s="656"/>
      <c r="E595" s="651"/>
      <c r="F595" s="657"/>
      <c r="G595" s="647"/>
      <c r="H595" s="648"/>
      <c r="I595" s="649"/>
      <c r="J595" s="661"/>
      <c r="K595" s="651"/>
      <c r="L595" s="653"/>
    </row>
    <row r="596" spans="1:12" ht="15.75" x14ac:dyDescent="0.25">
      <c r="A596" s="647"/>
      <c r="B596" s="648"/>
      <c r="C596" s="649"/>
      <c r="D596" s="661"/>
      <c r="E596" s="651"/>
      <c r="F596" s="653"/>
      <c r="G596" s="647"/>
      <c r="H596" s="648"/>
      <c r="I596" s="649"/>
      <c r="J596" s="650"/>
      <c r="K596" s="662"/>
      <c r="L596" s="664"/>
    </row>
    <row r="597" spans="1:12" ht="15.75" x14ac:dyDescent="0.25">
      <c r="A597" s="647"/>
      <c r="B597" s="648"/>
      <c r="C597" s="649"/>
      <c r="D597" s="659"/>
      <c r="E597" s="662"/>
      <c r="F597" s="657"/>
      <c r="G597" s="647"/>
      <c r="H597" s="648"/>
      <c r="I597" s="649"/>
      <c r="J597" s="661"/>
      <c r="K597" s="651"/>
      <c r="L597" s="653"/>
    </row>
    <row r="598" spans="1:12" ht="15.75" x14ac:dyDescent="0.25">
      <c r="A598" s="647"/>
      <c r="B598" s="648"/>
      <c r="C598" s="649"/>
      <c r="D598" s="650"/>
      <c r="E598" s="662"/>
      <c r="F598" s="653"/>
      <c r="G598" s="647"/>
      <c r="H598" s="648"/>
      <c r="I598" s="649"/>
      <c r="J598" s="650"/>
      <c r="K598" s="651"/>
      <c r="L598" s="653"/>
    </row>
    <row r="599" spans="1:12" ht="15.75" x14ac:dyDescent="0.25">
      <c r="A599" s="647"/>
      <c r="B599" s="648"/>
      <c r="C599" s="649"/>
      <c r="D599" s="650"/>
      <c r="E599" s="651"/>
      <c r="F599" s="657"/>
      <c r="G599" s="666"/>
      <c r="H599" s="648"/>
      <c r="I599" s="665"/>
      <c r="J599" s="650"/>
      <c r="K599" s="651"/>
      <c r="L599" s="653"/>
    </row>
    <row r="600" spans="1:12" ht="15.75" x14ac:dyDescent="0.25">
      <c r="A600" s="667"/>
      <c r="B600" s="668"/>
      <c r="C600" s="669"/>
      <c r="D600" s="670"/>
      <c r="E600" s="671"/>
      <c r="F600" s="672"/>
      <c r="G600" s="673"/>
      <c r="H600" s="674"/>
      <c r="I600" s="675"/>
      <c r="J600" s="676"/>
      <c r="K600" s="671"/>
      <c r="L600" s="677"/>
    </row>
    <row r="601" spans="1:12" ht="23.25" x14ac:dyDescent="0.35">
      <c r="A601" s="1237" t="s">
        <v>712</v>
      </c>
      <c r="B601" s="1238"/>
      <c r="C601" s="1238"/>
      <c r="D601" s="1238"/>
      <c r="E601" s="1238"/>
      <c r="F601" s="1238"/>
      <c r="G601" s="1238"/>
      <c r="H601" s="1238"/>
      <c r="I601" s="1238"/>
      <c r="J601" s="1238"/>
      <c r="K601" s="1238"/>
      <c r="L601" s="1239"/>
    </row>
    <row r="602" spans="1:12" ht="23.25" x14ac:dyDescent="0.35">
      <c r="A602" s="1240" t="s">
        <v>713</v>
      </c>
      <c r="B602" s="1241"/>
      <c r="C602" s="1241"/>
      <c r="D602" s="1241"/>
      <c r="E602" s="1241"/>
      <c r="F602" s="1241"/>
      <c r="G602" s="1241"/>
      <c r="H602" s="1241"/>
      <c r="I602" s="1241"/>
      <c r="J602" s="1241"/>
      <c r="K602" s="1241"/>
      <c r="L602" s="1242"/>
    </row>
    <row r="603" spans="1:12" ht="23.25" x14ac:dyDescent="0.35">
      <c r="A603" s="1243" t="s">
        <v>714</v>
      </c>
      <c r="B603" s="1244"/>
      <c r="C603" s="1244"/>
      <c r="D603" s="1244"/>
      <c r="E603" s="1244"/>
      <c r="F603" s="1244"/>
      <c r="G603" s="1244"/>
      <c r="H603" s="1244"/>
      <c r="I603" s="1244"/>
      <c r="J603" s="1244"/>
      <c r="K603" s="1244"/>
      <c r="L603" s="1245"/>
    </row>
    <row r="604" spans="1:12" ht="23.25" x14ac:dyDescent="0.35">
      <c r="A604" s="619" t="s">
        <v>715</v>
      </c>
      <c r="B604" s="620"/>
      <c r="C604" s="620"/>
      <c r="D604" s="621" t="s">
        <v>716</v>
      </c>
      <c r="E604" s="1241" t="s">
        <v>717</v>
      </c>
      <c r="F604" s="1241"/>
      <c r="G604" s="1241"/>
      <c r="H604" s="1241"/>
      <c r="I604" s="1241"/>
      <c r="J604" s="618" t="s">
        <v>831</v>
      </c>
      <c r="K604" s="1241"/>
      <c r="L604" s="1242"/>
    </row>
    <row r="605" spans="1:12" x14ac:dyDescent="0.25">
      <c r="A605" s="622"/>
      <c r="B605" s="623"/>
      <c r="C605" s="623"/>
      <c r="D605" s="624"/>
      <c r="E605" s="623"/>
      <c r="F605" s="623"/>
      <c r="G605" s="623"/>
      <c r="H605" s="623"/>
      <c r="I605" s="1246"/>
      <c r="J605" s="1246"/>
      <c r="K605" s="623"/>
      <c r="L605" s="625"/>
    </row>
    <row r="606" spans="1:12" ht="15.75" x14ac:dyDescent="0.25">
      <c r="A606" s="626" t="s">
        <v>719</v>
      </c>
      <c r="B606" s="627"/>
      <c r="C606" s="628"/>
      <c r="D606" s="629" t="s">
        <v>720</v>
      </c>
      <c r="E606" s="630" t="s">
        <v>721</v>
      </c>
      <c r="F606" s="631" t="s">
        <v>722</v>
      </c>
      <c r="G606" s="626" t="s">
        <v>719</v>
      </c>
      <c r="H606" s="632"/>
      <c r="I606" s="633"/>
      <c r="J606" s="634" t="s">
        <v>720</v>
      </c>
      <c r="K606" s="626" t="s">
        <v>721</v>
      </c>
      <c r="L606" s="626" t="s">
        <v>722</v>
      </c>
    </row>
    <row r="607" spans="1:12" ht="15.75" x14ac:dyDescent="0.25">
      <c r="A607" s="635"/>
      <c r="B607" s="636"/>
      <c r="C607" s="637"/>
      <c r="D607" s="638"/>
      <c r="E607" s="639"/>
      <c r="F607" s="640"/>
      <c r="G607" s="641"/>
      <c r="H607" s="642"/>
      <c r="I607" s="643"/>
      <c r="J607" s="644"/>
      <c r="K607" s="645"/>
      <c r="L607" s="646"/>
    </row>
    <row r="608" spans="1:12" ht="15.75" x14ac:dyDescent="0.25">
      <c r="A608" s="647"/>
      <c r="B608" s="648" t="s">
        <v>273</v>
      </c>
      <c r="C608" s="649">
        <v>119</v>
      </c>
      <c r="D608" s="650" t="s">
        <v>832</v>
      </c>
      <c r="E608" s="651"/>
      <c r="F608" s="652"/>
      <c r="G608" s="647"/>
      <c r="H608" s="648" t="s">
        <v>273</v>
      </c>
      <c r="I608" s="649">
        <v>129</v>
      </c>
      <c r="J608" s="650" t="s">
        <v>833</v>
      </c>
      <c r="K608" s="651"/>
      <c r="L608" s="653"/>
    </row>
    <row r="609" spans="1:12" ht="15.75" x14ac:dyDescent="0.25">
      <c r="A609" s="647" t="s">
        <v>725</v>
      </c>
      <c r="B609" s="654"/>
      <c r="C609" s="649"/>
      <c r="D609" s="650" t="s">
        <v>726</v>
      </c>
      <c r="E609" s="651"/>
      <c r="F609" s="655">
        <v>0.2951388888888889</v>
      </c>
      <c r="G609" s="647" t="s">
        <v>727</v>
      </c>
      <c r="H609" s="648"/>
      <c r="I609" s="649"/>
      <c r="J609" s="656" t="s">
        <v>728</v>
      </c>
      <c r="K609" s="651"/>
      <c r="L609" s="657">
        <v>0.69791666666666663</v>
      </c>
    </row>
    <row r="610" spans="1:12" ht="15.75" x14ac:dyDescent="0.25">
      <c r="A610" s="647" t="s">
        <v>787</v>
      </c>
      <c r="B610" s="648"/>
      <c r="C610" s="649"/>
      <c r="D610" s="617" t="s">
        <v>62</v>
      </c>
      <c r="E610" s="651"/>
      <c r="F610" s="658">
        <v>0.32291666666666669</v>
      </c>
      <c r="G610" s="647"/>
      <c r="H610" s="648"/>
      <c r="I610" s="649"/>
      <c r="J610" s="650"/>
      <c r="K610" s="651"/>
      <c r="L610" s="653"/>
    </row>
    <row r="611" spans="1:12" ht="15.75" x14ac:dyDescent="0.25">
      <c r="A611" s="647"/>
      <c r="B611" s="648"/>
      <c r="C611" s="649"/>
      <c r="D611" s="661"/>
      <c r="E611" s="651"/>
      <c r="F611" s="653"/>
      <c r="G611" s="647" t="s">
        <v>727</v>
      </c>
      <c r="H611" s="648"/>
      <c r="I611" s="649"/>
      <c r="J611" s="617" t="s">
        <v>48</v>
      </c>
      <c r="K611" s="651"/>
      <c r="L611" s="658">
        <v>0.77083333333333337</v>
      </c>
    </row>
    <row r="612" spans="1:12" ht="15.75" x14ac:dyDescent="0.25">
      <c r="A612" s="647"/>
      <c r="B612" s="648"/>
      <c r="C612" s="649"/>
      <c r="D612" s="656" t="s">
        <v>728</v>
      </c>
      <c r="E612" s="662">
        <v>0.40625</v>
      </c>
      <c r="F612" s="657"/>
      <c r="G612" s="647"/>
      <c r="H612" s="648"/>
      <c r="I612" s="649"/>
      <c r="J612" s="661"/>
      <c r="K612" s="651"/>
      <c r="L612" s="653"/>
    </row>
    <row r="613" spans="1:12" ht="15.75" x14ac:dyDescent="0.25">
      <c r="A613" s="647"/>
      <c r="B613" s="648" t="s">
        <v>273</v>
      </c>
      <c r="C613" s="649">
        <v>119</v>
      </c>
      <c r="D613" s="650" t="s">
        <v>834</v>
      </c>
      <c r="E613" s="651"/>
      <c r="F613" s="653"/>
      <c r="G613" s="647">
        <v>7</v>
      </c>
      <c r="H613" s="648"/>
      <c r="I613" s="649"/>
      <c r="J613" s="656" t="s">
        <v>728</v>
      </c>
      <c r="K613" s="662"/>
      <c r="L613" s="657">
        <v>0.83333333333333337</v>
      </c>
    </row>
    <row r="614" spans="1:12" ht="15.75" x14ac:dyDescent="0.25">
      <c r="A614" s="647"/>
      <c r="B614" s="648"/>
      <c r="C614" s="649"/>
      <c r="D614" s="650"/>
      <c r="E614" s="651"/>
      <c r="F614" s="653"/>
      <c r="G614" s="647"/>
      <c r="H614" s="648"/>
      <c r="I614" s="649"/>
      <c r="J614" s="650"/>
      <c r="K614" s="651"/>
      <c r="L614" s="653"/>
    </row>
    <row r="615" spans="1:12" ht="15.75" x14ac:dyDescent="0.25">
      <c r="A615" s="647"/>
      <c r="B615" s="648" t="s">
        <v>273</v>
      </c>
      <c r="C615" s="649">
        <v>159</v>
      </c>
      <c r="D615" s="650" t="s">
        <v>835</v>
      </c>
      <c r="E615" s="651"/>
      <c r="F615" s="653"/>
      <c r="G615" s="647" t="s">
        <v>725</v>
      </c>
      <c r="H615" s="648"/>
      <c r="I615" s="649"/>
      <c r="J615" s="659" t="s">
        <v>50</v>
      </c>
      <c r="K615" s="662">
        <v>0.88541666666666663</v>
      </c>
      <c r="L615" s="658"/>
    </row>
    <row r="616" spans="1:12" ht="15.75" x14ac:dyDescent="0.25">
      <c r="A616" s="647" t="s">
        <v>727</v>
      </c>
      <c r="B616" s="648"/>
      <c r="C616" s="649"/>
      <c r="D616" s="656" t="s">
        <v>728</v>
      </c>
      <c r="E616" s="651"/>
      <c r="F616" s="657">
        <v>0.40625</v>
      </c>
      <c r="G616" s="647"/>
      <c r="H616" s="648"/>
      <c r="I616" s="649"/>
      <c r="J616" s="650" t="s">
        <v>733</v>
      </c>
      <c r="K616" s="662">
        <v>0.90625</v>
      </c>
      <c r="L616" s="653"/>
    </row>
    <row r="617" spans="1:12" ht="15.75" x14ac:dyDescent="0.25">
      <c r="A617" s="647"/>
      <c r="B617" s="648"/>
      <c r="C617" s="649"/>
      <c r="D617" s="650"/>
      <c r="E617" s="651"/>
      <c r="F617" s="653"/>
      <c r="G617" s="647"/>
      <c r="H617" s="648" t="s">
        <v>276</v>
      </c>
      <c r="I617" s="649" t="s">
        <v>273</v>
      </c>
      <c r="J617" s="650"/>
      <c r="K617" s="651"/>
      <c r="L617" s="658"/>
    </row>
    <row r="618" spans="1:12" ht="15.75" x14ac:dyDescent="0.25">
      <c r="A618" s="647" t="s">
        <v>727</v>
      </c>
      <c r="B618" s="648"/>
      <c r="C618" s="649"/>
      <c r="D618" s="617" t="s">
        <v>48</v>
      </c>
      <c r="E618" s="651"/>
      <c r="F618" s="658">
        <v>0.47916666666666669</v>
      </c>
      <c r="G618" s="647"/>
      <c r="H618" s="648"/>
      <c r="I618" s="649"/>
      <c r="J618" s="663"/>
      <c r="K618" s="662"/>
      <c r="L618" s="653"/>
    </row>
    <row r="619" spans="1:12" ht="15.75" x14ac:dyDescent="0.25">
      <c r="A619" s="647"/>
      <c r="B619" s="648"/>
      <c r="C619" s="649"/>
      <c r="D619" s="661"/>
      <c r="E619" s="651"/>
      <c r="F619" s="653"/>
      <c r="G619" s="647"/>
      <c r="H619" s="648"/>
      <c r="I619" s="649"/>
      <c r="J619" s="650"/>
      <c r="K619" s="662"/>
      <c r="L619" s="664"/>
    </row>
    <row r="620" spans="1:12" ht="15.75" x14ac:dyDescent="0.25">
      <c r="A620" s="647"/>
      <c r="B620" s="648"/>
      <c r="C620" s="649"/>
      <c r="D620" s="656" t="s">
        <v>728</v>
      </c>
      <c r="E620" s="662">
        <v>0.55208333333333337</v>
      </c>
      <c r="F620" s="657"/>
      <c r="G620" s="647"/>
      <c r="H620" s="648"/>
      <c r="I620" s="649"/>
      <c r="J620" s="650"/>
      <c r="K620" s="651"/>
      <c r="L620" s="653"/>
    </row>
    <row r="621" spans="1:12" ht="15.75" x14ac:dyDescent="0.25">
      <c r="A621" s="647"/>
      <c r="B621" s="648" t="s">
        <v>273</v>
      </c>
      <c r="C621" s="649">
        <v>159</v>
      </c>
      <c r="D621" s="650" t="s">
        <v>836</v>
      </c>
      <c r="E621" s="651"/>
      <c r="F621" s="653"/>
      <c r="G621" s="647"/>
      <c r="H621" s="648"/>
      <c r="I621" s="649"/>
      <c r="J621" s="650"/>
      <c r="K621" s="662"/>
      <c r="L621" s="658"/>
    </row>
    <row r="622" spans="1:12" ht="15.75" x14ac:dyDescent="0.25">
      <c r="A622" s="647"/>
      <c r="B622" s="648"/>
      <c r="C622" s="649"/>
      <c r="D622" s="661"/>
      <c r="E622" s="651"/>
      <c r="F622" s="653"/>
      <c r="G622" s="647"/>
      <c r="H622" s="648"/>
      <c r="I622" s="649"/>
      <c r="J622" s="661"/>
      <c r="K622" s="651"/>
      <c r="L622" s="653"/>
    </row>
    <row r="623" spans="1:12" ht="15.75" x14ac:dyDescent="0.25">
      <c r="A623" s="647"/>
      <c r="B623" s="648" t="s">
        <v>273</v>
      </c>
      <c r="C623" s="649">
        <v>125</v>
      </c>
      <c r="D623" s="650" t="s">
        <v>837</v>
      </c>
      <c r="E623" s="651"/>
      <c r="F623" s="653"/>
      <c r="G623" s="647"/>
      <c r="H623" s="648"/>
      <c r="I623" s="649"/>
      <c r="J623" s="650"/>
      <c r="K623" s="662"/>
      <c r="L623" s="664"/>
    </row>
    <row r="624" spans="1:12" ht="15.75" x14ac:dyDescent="0.25">
      <c r="A624" s="647" t="s">
        <v>727</v>
      </c>
      <c r="B624" s="648"/>
      <c r="C624" s="649"/>
      <c r="D624" s="656" t="s">
        <v>728</v>
      </c>
      <c r="E624" s="651"/>
      <c r="F624" s="657">
        <v>0.55208333333333337</v>
      </c>
      <c r="G624" s="647"/>
      <c r="H624" s="648"/>
      <c r="I624" s="649"/>
      <c r="J624" s="650"/>
      <c r="K624" s="662"/>
      <c r="L624" s="658"/>
    </row>
    <row r="625" spans="1:12" ht="15.75" x14ac:dyDescent="0.25">
      <c r="A625" s="647"/>
      <c r="B625" s="648"/>
      <c r="C625" s="649"/>
      <c r="D625" s="650"/>
      <c r="E625" s="651"/>
      <c r="F625" s="653"/>
      <c r="G625" s="647"/>
      <c r="H625" s="648"/>
      <c r="I625" s="649"/>
      <c r="J625" s="661"/>
      <c r="K625" s="651"/>
      <c r="L625" s="653"/>
    </row>
    <row r="626" spans="1:12" ht="15.75" x14ac:dyDescent="0.25">
      <c r="A626" s="647" t="s">
        <v>727</v>
      </c>
      <c r="B626" s="648"/>
      <c r="C626" s="649"/>
      <c r="D626" s="617" t="s">
        <v>48</v>
      </c>
      <c r="E626" s="651"/>
      <c r="F626" s="658">
        <v>0.625</v>
      </c>
      <c r="G626" s="647"/>
      <c r="H626" s="648"/>
      <c r="I626" s="649"/>
      <c r="J626" s="650"/>
      <c r="K626" s="662"/>
      <c r="L626" s="664"/>
    </row>
    <row r="627" spans="1:12" ht="15.75" x14ac:dyDescent="0.25">
      <c r="A627" s="647"/>
      <c r="B627" s="648"/>
      <c r="C627" s="649"/>
      <c r="D627" s="661"/>
      <c r="E627" s="651"/>
      <c r="F627" s="653"/>
      <c r="G627" s="647"/>
      <c r="H627" s="648"/>
      <c r="I627" s="649"/>
      <c r="J627" s="661"/>
      <c r="K627" s="651"/>
      <c r="L627" s="653"/>
    </row>
    <row r="628" spans="1:12" ht="15.75" x14ac:dyDescent="0.25">
      <c r="A628" s="647"/>
      <c r="B628" s="648"/>
      <c r="C628" s="649"/>
      <c r="D628" s="656" t="s">
        <v>728</v>
      </c>
      <c r="E628" s="662">
        <v>0.69791666666666663</v>
      </c>
      <c r="F628" s="657"/>
      <c r="G628" s="647"/>
      <c r="H628" s="648"/>
      <c r="I628" s="649"/>
      <c r="J628" s="650"/>
      <c r="K628" s="662"/>
      <c r="L628" s="664"/>
    </row>
    <row r="629" spans="1:12" ht="15.75" x14ac:dyDescent="0.25">
      <c r="A629" s="647"/>
      <c r="B629" s="648" t="s">
        <v>273</v>
      </c>
      <c r="C629" s="649">
        <v>125</v>
      </c>
      <c r="D629" s="650" t="s">
        <v>838</v>
      </c>
      <c r="E629" s="651"/>
      <c r="F629" s="653"/>
      <c r="G629" s="647"/>
      <c r="H629" s="648"/>
      <c r="I629" s="649"/>
      <c r="J629" s="661"/>
      <c r="K629" s="651"/>
      <c r="L629" s="653"/>
    </row>
    <row r="630" spans="1:12" ht="15.75" x14ac:dyDescent="0.25">
      <c r="A630" s="647"/>
      <c r="B630" s="648"/>
      <c r="C630" s="649"/>
      <c r="D630" s="650"/>
      <c r="E630" s="651"/>
      <c r="F630" s="653"/>
      <c r="G630" s="647"/>
      <c r="H630" s="648"/>
      <c r="I630" s="649"/>
      <c r="J630" s="650"/>
      <c r="K630" s="651"/>
      <c r="L630" s="653"/>
    </row>
    <row r="631" spans="1:12" ht="15.75" x14ac:dyDescent="0.25">
      <c r="A631" s="647"/>
      <c r="B631" s="648"/>
      <c r="C631" s="649"/>
      <c r="D631" s="650"/>
      <c r="E631" s="651"/>
      <c r="F631" s="653"/>
      <c r="G631" s="647"/>
      <c r="H631" s="648"/>
      <c r="I631" s="649"/>
      <c r="J631" s="650"/>
      <c r="K631" s="662"/>
      <c r="L631" s="658"/>
    </row>
    <row r="632" spans="1:12" ht="15.75" x14ac:dyDescent="0.25">
      <c r="A632" s="647"/>
      <c r="B632" s="648"/>
      <c r="C632" s="649"/>
      <c r="D632" s="656"/>
      <c r="E632" s="651"/>
      <c r="F632" s="657"/>
      <c r="G632" s="647"/>
      <c r="H632" s="648"/>
      <c r="I632" s="649"/>
      <c r="J632" s="661"/>
      <c r="K632" s="651"/>
      <c r="L632" s="653"/>
    </row>
    <row r="633" spans="1:12" ht="15.75" x14ac:dyDescent="0.25">
      <c r="A633" s="647"/>
      <c r="B633" s="648"/>
      <c r="C633" s="649"/>
      <c r="D633" s="650"/>
      <c r="E633" s="651"/>
      <c r="F633" s="653"/>
      <c r="G633" s="647"/>
      <c r="H633" s="648"/>
      <c r="I633" s="649"/>
      <c r="J633" s="650"/>
      <c r="K633" s="662"/>
      <c r="L633" s="664"/>
    </row>
    <row r="634" spans="1:12" ht="15.75" x14ac:dyDescent="0.25">
      <c r="A634" s="647"/>
      <c r="B634" s="648"/>
      <c r="C634" s="649"/>
      <c r="D634" s="617"/>
      <c r="E634" s="651"/>
      <c r="F634" s="658"/>
      <c r="G634" s="647"/>
      <c r="H634" s="648"/>
      <c r="I634" s="649"/>
      <c r="J634" s="650"/>
      <c r="K634" s="662"/>
      <c r="L634" s="658"/>
    </row>
    <row r="635" spans="1:12" ht="15.75" x14ac:dyDescent="0.25">
      <c r="A635" s="647"/>
      <c r="B635" s="648"/>
      <c r="C635" s="649"/>
      <c r="D635" s="661"/>
      <c r="E635" s="651"/>
      <c r="F635" s="653"/>
      <c r="G635" s="647"/>
      <c r="H635" s="648"/>
      <c r="I635" s="649"/>
      <c r="J635" s="661"/>
      <c r="K635" s="651"/>
      <c r="L635" s="653"/>
    </row>
    <row r="636" spans="1:12" ht="15.75" x14ac:dyDescent="0.25">
      <c r="A636" s="647"/>
      <c r="B636" s="648"/>
      <c r="C636" s="649"/>
      <c r="D636" s="656"/>
      <c r="E636" s="662"/>
      <c r="F636" s="657"/>
      <c r="G636" s="647"/>
      <c r="H636" s="648"/>
      <c r="I636" s="649"/>
      <c r="J636" s="650"/>
      <c r="K636" s="662"/>
      <c r="L636" s="664"/>
    </row>
    <row r="637" spans="1:12" ht="15.75" x14ac:dyDescent="0.25">
      <c r="A637" s="647"/>
      <c r="B637" s="648"/>
      <c r="C637" s="649"/>
      <c r="D637" s="650"/>
      <c r="E637" s="651"/>
      <c r="F637" s="653"/>
      <c r="G637" s="647"/>
      <c r="H637" s="648"/>
      <c r="I637" s="649"/>
      <c r="J637" s="661"/>
      <c r="K637" s="651"/>
      <c r="L637" s="653"/>
    </row>
    <row r="638" spans="1:12" ht="15.75" x14ac:dyDescent="0.25">
      <c r="A638" s="647"/>
      <c r="B638" s="648"/>
      <c r="C638" s="649"/>
      <c r="D638" s="650"/>
      <c r="E638" s="651"/>
      <c r="F638" s="653"/>
      <c r="G638" s="647"/>
      <c r="H638" s="648"/>
      <c r="I638" s="649"/>
      <c r="J638" s="650"/>
      <c r="K638" s="651"/>
      <c r="L638" s="653"/>
    </row>
    <row r="639" spans="1:12" ht="15.75" x14ac:dyDescent="0.25">
      <c r="A639" s="647"/>
      <c r="B639" s="648"/>
      <c r="C639" s="665"/>
      <c r="D639" s="661"/>
      <c r="E639" s="651"/>
      <c r="F639" s="653"/>
      <c r="G639" s="666"/>
      <c r="H639" s="648"/>
      <c r="I639" s="665"/>
      <c r="J639" s="650"/>
      <c r="K639" s="651"/>
      <c r="L639" s="653"/>
    </row>
    <row r="640" spans="1:12" ht="15.75" x14ac:dyDescent="0.25">
      <c r="A640" s="667"/>
      <c r="B640" s="668"/>
      <c r="C640" s="669"/>
      <c r="D640" s="670"/>
      <c r="E640" s="671"/>
      <c r="F640" s="672"/>
      <c r="G640" s="673"/>
      <c r="H640" s="674"/>
      <c r="I640" s="675"/>
      <c r="J640" s="676"/>
      <c r="K640" s="671"/>
      <c r="L640" s="677"/>
    </row>
    <row r="641" spans="1:12" ht="23.25" x14ac:dyDescent="0.35">
      <c r="A641" s="1237" t="s">
        <v>712</v>
      </c>
      <c r="B641" s="1238"/>
      <c r="C641" s="1238"/>
      <c r="D641" s="1238"/>
      <c r="E641" s="1238"/>
      <c r="F641" s="1238"/>
      <c r="G641" s="1238"/>
      <c r="H641" s="1238"/>
      <c r="I641" s="1238"/>
      <c r="J641" s="1238"/>
      <c r="K641" s="1238"/>
      <c r="L641" s="1239"/>
    </row>
    <row r="642" spans="1:12" ht="23.25" x14ac:dyDescent="0.35">
      <c r="A642" s="1240" t="s">
        <v>713</v>
      </c>
      <c r="B642" s="1241"/>
      <c r="C642" s="1241"/>
      <c r="D642" s="1241"/>
      <c r="E642" s="1241"/>
      <c r="F642" s="1241"/>
      <c r="G642" s="1241"/>
      <c r="H642" s="1241"/>
      <c r="I642" s="1241"/>
      <c r="J642" s="1241"/>
      <c r="K642" s="1241"/>
      <c r="L642" s="1242"/>
    </row>
    <row r="643" spans="1:12" ht="23.25" x14ac:dyDescent="0.35">
      <c r="A643" s="1243" t="s">
        <v>714</v>
      </c>
      <c r="B643" s="1244"/>
      <c r="C643" s="1244"/>
      <c r="D643" s="1244"/>
      <c r="E643" s="1244"/>
      <c r="F643" s="1244"/>
      <c r="G643" s="1244"/>
      <c r="H643" s="1244"/>
      <c r="I643" s="1244"/>
      <c r="J643" s="1244"/>
      <c r="K643" s="1244"/>
      <c r="L643" s="1245"/>
    </row>
    <row r="644" spans="1:12" ht="23.25" x14ac:dyDescent="0.35">
      <c r="A644" s="619" t="s">
        <v>715</v>
      </c>
      <c r="B644" s="620"/>
      <c r="C644" s="620"/>
      <c r="D644" s="621" t="s">
        <v>716</v>
      </c>
      <c r="E644" s="1241" t="s">
        <v>717</v>
      </c>
      <c r="F644" s="1241"/>
      <c r="G644" s="1241"/>
      <c r="H644" s="1241"/>
      <c r="I644" s="1241"/>
      <c r="J644" s="618" t="s">
        <v>839</v>
      </c>
      <c r="K644" s="1241"/>
      <c r="L644" s="1242"/>
    </row>
    <row r="645" spans="1:12" x14ac:dyDescent="0.25">
      <c r="A645" s="622"/>
      <c r="B645" s="623"/>
      <c r="C645" s="623"/>
      <c r="D645" s="624"/>
      <c r="E645" s="623"/>
      <c r="F645" s="623"/>
      <c r="G645" s="623"/>
      <c r="H645" s="623"/>
      <c r="I645" s="1246"/>
      <c r="J645" s="1246"/>
      <c r="K645" s="623"/>
      <c r="L645" s="625"/>
    </row>
    <row r="646" spans="1:12" ht="15.75" x14ac:dyDescent="0.25">
      <c r="A646" s="626" t="s">
        <v>719</v>
      </c>
      <c r="B646" s="627"/>
      <c r="C646" s="628"/>
      <c r="D646" s="629" t="s">
        <v>720</v>
      </c>
      <c r="E646" s="630" t="s">
        <v>721</v>
      </c>
      <c r="F646" s="631" t="s">
        <v>722</v>
      </c>
      <c r="G646" s="626" t="s">
        <v>719</v>
      </c>
      <c r="H646" s="632"/>
      <c r="I646" s="633"/>
      <c r="J646" s="634" t="s">
        <v>720</v>
      </c>
      <c r="K646" s="626" t="s">
        <v>721</v>
      </c>
      <c r="L646" s="626" t="s">
        <v>722</v>
      </c>
    </row>
    <row r="647" spans="1:12" ht="15.75" x14ac:dyDescent="0.25">
      <c r="A647" s="635"/>
      <c r="B647" s="636"/>
      <c r="C647" s="637"/>
      <c r="D647" s="638"/>
      <c r="E647" s="639"/>
      <c r="F647" s="640"/>
      <c r="G647" s="641"/>
      <c r="H647" s="642"/>
      <c r="I647" s="643"/>
      <c r="J647" s="644"/>
      <c r="K647" s="645"/>
      <c r="L647" s="646"/>
    </row>
    <row r="648" spans="1:12" ht="15.75" x14ac:dyDescent="0.25">
      <c r="A648" s="647"/>
      <c r="B648" s="648" t="s">
        <v>273</v>
      </c>
      <c r="C648" s="649">
        <v>120</v>
      </c>
      <c r="D648" s="650" t="s">
        <v>832</v>
      </c>
      <c r="E648" s="651"/>
      <c r="F648" s="652"/>
      <c r="G648" s="647"/>
      <c r="H648" s="648"/>
      <c r="I648" s="649"/>
      <c r="J648" s="650"/>
      <c r="K648" s="651"/>
      <c r="L648" s="653"/>
    </row>
    <row r="649" spans="1:12" ht="15.75" x14ac:dyDescent="0.25">
      <c r="A649" s="647" t="s">
        <v>725</v>
      </c>
      <c r="B649" s="654"/>
      <c r="C649" s="649"/>
      <c r="D649" s="650" t="s">
        <v>726</v>
      </c>
      <c r="E649" s="651"/>
      <c r="F649" s="655">
        <v>0.2951388888888889</v>
      </c>
      <c r="G649" s="647"/>
      <c r="H649" s="648"/>
      <c r="I649" s="649"/>
      <c r="J649" s="656"/>
      <c r="K649" s="662"/>
      <c r="L649" s="657"/>
    </row>
    <row r="650" spans="1:12" ht="15.75" x14ac:dyDescent="0.25">
      <c r="A650" s="647">
        <v>7</v>
      </c>
      <c r="B650" s="648"/>
      <c r="C650" s="649"/>
      <c r="D650" s="659" t="s">
        <v>50</v>
      </c>
      <c r="E650" s="651"/>
      <c r="F650" s="660">
        <v>0.32291666666666669</v>
      </c>
      <c r="G650" s="647"/>
      <c r="H650" s="648"/>
      <c r="I650" s="649"/>
      <c r="J650" s="650"/>
      <c r="K650" s="651"/>
      <c r="L650" s="653"/>
    </row>
    <row r="651" spans="1:12" ht="15.75" x14ac:dyDescent="0.25">
      <c r="A651" s="647"/>
      <c r="B651" s="648"/>
      <c r="C651" s="649"/>
      <c r="D651" s="661"/>
      <c r="E651" s="651"/>
      <c r="F651" s="653"/>
      <c r="G651" s="647"/>
      <c r="H651" s="648"/>
      <c r="I651" s="649"/>
      <c r="J651" s="659"/>
      <c r="K651" s="651"/>
      <c r="L651" s="660"/>
    </row>
    <row r="652" spans="1:12" ht="15.75" x14ac:dyDescent="0.25">
      <c r="A652" s="647"/>
      <c r="B652" s="648"/>
      <c r="C652" s="649"/>
      <c r="D652" s="656" t="s">
        <v>728</v>
      </c>
      <c r="E652" s="662">
        <v>0.39583333333333331</v>
      </c>
      <c r="F652" s="657"/>
      <c r="G652" s="647"/>
      <c r="H652" s="648"/>
      <c r="I652" s="649"/>
      <c r="J652" s="661"/>
      <c r="K652" s="651"/>
      <c r="L652" s="653"/>
    </row>
    <row r="653" spans="1:12" ht="15.75" x14ac:dyDescent="0.25">
      <c r="A653" s="647"/>
      <c r="B653" s="648" t="s">
        <v>273</v>
      </c>
      <c r="C653" s="649">
        <v>120</v>
      </c>
      <c r="D653" s="650" t="s">
        <v>840</v>
      </c>
      <c r="E653" s="651"/>
      <c r="F653" s="653"/>
      <c r="G653" s="647"/>
      <c r="H653" s="648"/>
      <c r="I653" s="649"/>
      <c r="J653" s="656"/>
      <c r="K653" s="662"/>
      <c r="L653" s="657"/>
    </row>
    <row r="654" spans="1:12" ht="15.75" x14ac:dyDescent="0.25">
      <c r="A654" s="647"/>
      <c r="B654" s="648"/>
      <c r="C654" s="649"/>
      <c r="D654" s="661"/>
      <c r="E654" s="651"/>
      <c r="F654" s="653"/>
      <c r="G654" s="647"/>
      <c r="H654" s="648"/>
      <c r="I654" s="649"/>
      <c r="J654" s="650"/>
      <c r="K654" s="662"/>
      <c r="L654" s="653"/>
    </row>
    <row r="655" spans="1:12" ht="15.75" x14ac:dyDescent="0.25">
      <c r="A655" s="647"/>
      <c r="B655" s="648" t="s">
        <v>273</v>
      </c>
      <c r="C655" s="649">
        <v>111</v>
      </c>
      <c r="D655" s="650" t="s">
        <v>841</v>
      </c>
      <c r="E655" s="651"/>
      <c r="F655" s="653"/>
      <c r="G655" s="647"/>
      <c r="H655" s="648"/>
      <c r="I655" s="649"/>
      <c r="J655" s="650"/>
      <c r="K655" s="651"/>
      <c r="L655" s="658"/>
    </row>
    <row r="656" spans="1:12" ht="15.75" x14ac:dyDescent="0.25">
      <c r="A656" s="647">
        <v>7</v>
      </c>
      <c r="B656" s="648"/>
      <c r="C656" s="649"/>
      <c r="D656" s="656" t="s">
        <v>728</v>
      </c>
      <c r="E656" s="651"/>
      <c r="F656" s="657">
        <v>0.39583333333333331</v>
      </c>
      <c r="G656" s="647"/>
      <c r="H656" s="648"/>
      <c r="I656" s="649"/>
      <c r="J656" s="663"/>
      <c r="K656" s="662"/>
      <c r="L656" s="653"/>
    </row>
    <row r="657" spans="1:12" ht="15.75" x14ac:dyDescent="0.25">
      <c r="A657" s="647"/>
      <c r="B657" s="648"/>
      <c r="C657" s="649"/>
      <c r="D657" s="650"/>
      <c r="E657" s="651"/>
      <c r="F657" s="653"/>
      <c r="G657" s="647"/>
      <c r="H657" s="648"/>
      <c r="I657" s="649"/>
      <c r="J657" s="661"/>
      <c r="K657" s="651"/>
      <c r="L657" s="653"/>
    </row>
    <row r="658" spans="1:12" ht="15.75" x14ac:dyDescent="0.25">
      <c r="A658" s="647">
        <v>7</v>
      </c>
      <c r="B658" s="648"/>
      <c r="C658" s="649"/>
      <c r="D658" s="659" t="s">
        <v>50</v>
      </c>
      <c r="E658" s="651"/>
      <c r="F658" s="660">
        <v>0.46875</v>
      </c>
      <c r="G658" s="647"/>
      <c r="H658" s="648"/>
      <c r="I658" s="649"/>
      <c r="J658" s="650"/>
      <c r="K658" s="662"/>
      <c r="L658" s="658"/>
    </row>
    <row r="659" spans="1:12" ht="15.75" x14ac:dyDescent="0.25">
      <c r="A659" s="647"/>
      <c r="B659" s="648"/>
      <c r="C659" s="649"/>
      <c r="D659" s="661"/>
      <c r="E659" s="651"/>
      <c r="F659" s="653"/>
      <c r="G659" s="647"/>
      <c r="H659" s="648"/>
      <c r="I659" s="649"/>
      <c r="J659" s="650"/>
      <c r="K659" s="651"/>
      <c r="L659" s="658"/>
    </row>
    <row r="660" spans="1:12" ht="15.75" x14ac:dyDescent="0.25">
      <c r="A660" s="647" t="s">
        <v>725</v>
      </c>
      <c r="B660" s="648"/>
      <c r="C660" s="649"/>
      <c r="D660" s="656" t="s">
        <v>728</v>
      </c>
      <c r="E660" s="662">
        <v>0.53472222222222221</v>
      </c>
      <c r="F660" s="657"/>
      <c r="G660" s="647"/>
      <c r="H660" s="648"/>
      <c r="I660" s="649"/>
      <c r="J660" s="663"/>
      <c r="K660" s="662"/>
      <c r="L660" s="653"/>
    </row>
    <row r="661" spans="1:12" ht="15.75" x14ac:dyDescent="0.25">
      <c r="A661" s="647"/>
      <c r="B661" s="648"/>
      <c r="C661" s="649"/>
      <c r="D661" s="650" t="s">
        <v>733</v>
      </c>
      <c r="E661" s="662">
        <v>0.55555555555555558</v>
      </c>
      <c r="F661" s="653"/>
      <c r="G661" s="647"/>
      <c r="H661" s="648"/>
      <c r="I661" s="649"/>
      <c r="J661" s="661"/>
      <c r="K661" s="651"/>
      <c r="L661" s="653"/>
    </row>
    <row r="662" spans="1:12" ht="15.75" x14ac:dyDescent="0.25">
      <c r="A662" s="647"/>
      <c r="B662" s="648" t="s">
        <v>276</v>
      </c>
      <c r="C662" s="649" t="s">
        <v>273</v>
      </c>
      <c r="D662" s="650"/>
      <c r="E662" s="651"/>
      <c r="F662" s="653"/>
      <c r="G662" s="647"/>
      <c r="H662" s="648"/>
      <c r="I662" s="649"/>
      <c r="J662" s="650"/>
      <c r="K662" s="662"/>
      <c r="L662" s="658"/>
    </row>
    <row r="663" spans="1:12" ht="15.75" x14ac:dyDescent="0.25">
      <c r="A663" s="647"/>
      <c r="B663" s="648"/>
      <c r="C663" s="649"/>
      <c r="D663" s="650"/>
      <c r="E663" s="651"/>
      <c r="F663" s="652"/>
      <c r="G663" s="647"/>
      <c r="H663" s="648"/>
      <c r="I663" s="649"/>
      <c r="J663" s="650"/>
      <c r="K663" s="651"/>
      <c r="L663" s="653"/>
    </row>
    <row r="664" spans="1:12" ht="15.75" x14ac:dyDescent="0.25">
      <c r="A664" s="647"/>
      <c r="B664" s="648" t="s">
        <v>273</v>
      </c>
      <c r="C664" s="649">
        <v>143</v>
      </c>
      <c r="D664" s="650" t="s">
        <v>842</v>
      </c>
      <c r="E664" s="651"/>
      <c r="F664" s="652"/>
      <c r="G664" s="647"/>
      <c r="H664" s="648"/>
      <c r="I664" s="649"/>
      <c r="J664" s="650"/>
      <c r="K664" s="662"/>
      <c r="L664" s="664"/>
    </row>
    <row r="665" spans="1:12" ht="15.75" x14ac:dyDescent="0.25">
      <c r="A665" s="647" t="s">
        <v>725</v>
      </c>
      <c r="B665" s="654"/>
      <c r="C665" s="649"/>
      <c r="D665" s="650" t="s">
        <v>726</v>
      </c>
      <c r="E665" s="651"/>
      <c r="F665" s="655">
        <v>0.70138888888888884</v>
      </c>
      <c r="G665" s="647"/>
      <c r="H665" s="648"/>
      <c r="I665" s="649"/>
      <c r="J665" s="661"/>
      <c r="K665" s="651"/>
      <c r="L665" s="653"/>
    </row>
    <row r="666" spans="1:12" ht="15.75" x14ac:dyDescent="0.25">
      <c r="A666" s="647" t="s">
        <v>817</v>
      </c>
      <c r="B666" s="648"/>
      <c r="C666" s="649"/>
      <c r="D666" s="656" t="s">
        <v>728</v>
      </c>
      <c r="E666" s="651"/>
      <c r="F666" s="657">
        <v>0.73263888888888884</v>
      </c>
      <c r="G666" s="647"/>
      <c r="H666" s="648"/>
      <c r="I666" s="649"/>
      <c r="J666" s="650"/>
      <c r="K666" s="662"/>
      <c r="L666" s="658"/>
    </row>
    <row r="667" spans="1:12" ht="15.75" x14ac:dyDescent="0.25">
      <c r="A667" s="647"/>
      <c r="B667" s="648"/>
      <c r="C667" s="649"/>
      <c r="D667" s="650"/>
      <c r="E667" s="651"/>
      <c r="F667" s="653"/>
      <c r="G667" s="647"/>
      <c r="H667" s="648"/>
      <c r="I667" s="649"/>
      <c r="J667" s="661"/>
      <c r="K667" s="651"/>
      <c r="L667" s="653"/>
    </row>
    <row r="668" spans="1:12" ht="15.75" x14ac:dyDescent="0.25">
      <c r="A668" s="647" t="s">
        <v>725</v>
      </c>
      <c r="B668" s="648"/>
      <c r="C668" s="649"/>
      <c r="D668" s="617" t="s">
        <v>47</v>
      </c>
      <c r="E668" s="662">
        <v>0.79166666666666663</v>
      </c>
      <c r="F668" s="660"/>
      <c r="G668" s="647"/>
      <c r="H668" s="648"/>
      <c r="I668" s="649"/>
      <c r="J668" s="650"/>
      <c r="K668" s="662"/>
      <c r="L668" s="664"/>
    </row>
    <row r="669" spans="1:12" ht="15.75" x14ac:dyDescent="0.25">
      <c r="A669" s="647"/>
      <c r="B669" s="648"/>
      <c r="C669" s="649"/>
      <c r="D669" s="650" t="s">
        <v>733</v>
      </c>
      <c r="E669" s="662">
        <v>0.8125</v>
      </c>
      <c r="F669" s="653"/>
      <c r="G669" s="647"/>
      <c r="H669" s="648"/>
      <c r="I669" s="649"/>
      <c r="J669" s="661"/>
      <c r="K669" s="651"/>
      <c r="L669" s="653"/>
    </row>
    <row r="670" spans="1:12" ht="15.75" x14ac:dyDescent="0.25">
      <c r="A670" s="647"/>
      <c r="B670" s="648" t="s">
        <v>273</v>
      </c>
      <c r="C670" s="649">
        <v>143</v>
      </c>
      <c r="D670" s="650" t="s">
        <v>843</v>
      </c>
      <c r="E670" s="651"/>
      <c r="F670" s="657"/>
      <c r="G670" s="647"/>
      <c r="H670" s="648"/>
      <c r="I670" s="649"/>
      <c r="J670" s="617"/>
      <c r="K670" s="651"/>
      <c r="L670" s="658"/>
    </row>
    <row r="671" spans="1:12" ht="15.75" x14ac:dyDescent="0.25">
      <c r="A671" s="647"/>
      <c r="B671" s="648"/>
      <c r="C671" s="649"/>
      <c r="D671" s="661"/>
      <c r="E671" s="651"/>
      <c r="F671" s="653"/>
      <c r="G671" s="647"/>
      <c r="H671" s="648"/>
      <c r="I671" s="649"/>
      <c r="J671" s="661"/>
      <c r="K671" s="651"/>
      <c r="L671" s="653"/>
    </row>
    <row r="672" spans="1:12" ht="15.75" x14ac:dyDescent="0.25">
      <c r="A672" s="647"/>
      <c r="B672" s="648"/>
      <c r="C672" s="649"/>
      <c r="D672" s="650"/>
      <c r="E672" s="651"/>
      <c r="F672" s="653"/>
      <c r="G672" s="647"/>
      <c r="H672" s="648"/>
      <c r="I672" s="649"/>
      <c r="J672" s="650"/>
      <c r="K672" s="662"/>
      <c r="L672" s="664"/>
    </row>
    <row r="673" spans="1:12" ht="15.75" x14ac:dyDescent="0.25">
      <c r="A673" s="647"/>
      <c r="B673" s="648"/>
      <c r="C673" s="649"/>
      <c r="D673" s="656"/>
      <c r="E673" s="651"/>
      <c r="F673" s="657"/>
      <c r="G673" s="647"/>
      <c r="H673" s="648"/>
      <c r="I673" s="649"/>
      <c r="J673" s="650"/>
      <c r="K673" s="651"/>
      <c r="L673" s="653"/>
    </row>
    <row r="674" spans="1:12" ht="15.75" x14ac:dyDescent="0.25">
      <c r="A674" s="647"/>
      <c r="B674" s="648"/>
      <c r="C674" s="649"/>
      <c r="D674" s="650"/>
      <c r="E674" s="651"/>
      <c r="F674" s="653"/>
      <c r="G674" s="647"/>
      <c r="H674" s="648"/>
      <c r="I674" s="649"/>
      <c r="J674" s="650"/>
      <c r="K674" s="662"/>
      <c r="L674" s="658"/>
    </row>
    <row r="675" spans="1:12" ht="15.75" x14ac:dyDescent="0.25">
      <c r="A675" s="647"/>
      <c r="B675" s="648"/>
      <c r="C675" s="649"/>
      <c r="D675" s="659"/>
      <c r="E675" s="651"/>
      <c r="F675" s="660"/>
      <c r="G675" s="647"/>
      <c r="H675" s="648"/>
      <c r="I675" s="649"/>
      <c r="J675" s="661"/>
      <c r="K675" s="651"/>
      <c r="L675" s="653"/>
    </row>
    <row r="676" spans="1:12" ht="15.75" x14ac:dyDescent="0.25">
      <c r="A676" s="647"/>
      <c r="B676" s="648"/>
      <c r="C676" s="649"/>
      <c r="D676" s="661"/>
      <c r="E676" s="651"/>
      <c r="F676" s="653"/>
      <c r="G676" s="647"/>
      <c r="H676" s="648"/>
      <c r="I676" s="649"/>
      <c r="J676" s="650"/>
      <c r="K676" s="662"/>
      <c r="L676" s="664"/>
    </row>
    <row r="677" spans="1:12" ht="15.75" x14ac:dyDescent="0.25">
      <c r="A677" s="647"/>
      <c r="B677" s="648"/>
      <c r="C677" s="649"/>
      <c r="D677" s="656"/>
      <c r="E677" s="662"/>
      <c r="F677" s="657"/>
      <c r="G677" s="647"/>
      <c r="H677" s="648"/>
      <c r="I677" s="649"/>
      <c r="J677" s="661"/>
      <c r="K677" s="651"/>
      <c r="L677" s="653"/>
    </row>
    <row r="678" spans="1:12" ht="15.75" x14ac:dyDescent="0.25">
      <c r="A678" s="647"/>
      <c r="B678" s="648"/>
      <c r="C678" s="649"/>
      <c r="D678" s="650"/>
      <c r="E678" s="651"/>
      <c r="F678" s="653"/>
      <c r="G678" s="647"/>
      <c r="H678" s="648"/>
      <c r="I678" s="649"/>
      <c r="J678" s="650"/>
      <c r="K678" s="651"/>
      <c r="L678" s="653"/>
    </row>
    <row r="679" spans="1:12" ht="15.75" x14ac:dyDescent="0.25">
      <c r="A679" s="647"/>
      <c r="B679" s="648"/>
      <c r="C679" s="649"/>
      <c r="D679" s="650"/>
      <c r="E679" s="651"/>
      <c r="F679" s="653"/>
      <c r="G679" s="666"/>
      <c r="H679" s="648"/>
      <c r="I679" s="665"/>
      <c r="J679" s="650"/>
      <c r="K679" s="651"/>
      <c r="L679" s="653"/>
    </row>
    <row r="680" spans="1:12" ht="15.75" x14ac:dyDescent="0.25">
      <c r="A680" s="667"/>
      <c r="B680" s="668"/>
      <c r="C680" s="669"/>
      <c r="D680" s="670"/>
      <c r="E680" s="671"/>
      <c r="F680" s="672"/>
      <c r="G680" s="673"/>
      <c r="H680" s="674"/>
      <c r="I680" s="675"/>
      <c r="J680" s="676"/>
      <c r="K680" s="671"/>
      <c r="L680" s="677"/>
    </row>
    <row r="681" spans="1:12" ht="23.25" x14ac:dyDescent="0.35">
      <c r="A681" s="1237" t="s">
        <v>712</v>
      </c>
      <c r="B681" s="1238"/>
      <c r="C681" s="1238"/>
      <c r="D681" s="1238"/>
      <c r="E681" s="1238"/>
      <c r="F681" s="1238"/>
      <c r="G681" s="1238"/>
      <c r="H681" s="1238"/>
      <c r="I681" s="1238"/>
      <c r="J681" s="1238"/>
      <c r="K681" s="1238"/>
      <c r="L681" s="1239"/>
    </row>
    <row r="682" spans="1:12" ht="23.25" x14ac:dyDescent="0.35">
      <c r="A682" s="1240" t="s">
        <v>713</v>
      </c>
      <c r="B682" s="1241"/>
      <c r="C682" s="1241"/>
      <c r="D682" s="1241"/>
      <c r="E682" s="1241"/>
      <c r="F682" s="1241"/>
      <c r="G682" s="1241"/>
      <c r="H682" s="1241"/>
      <c r="I682" s="1241"/>
      <c r="J682" s="1241"/>
      <c r="K682" s="1241"/>
      <c r="L682" s="1242"/>
    </row>
    <row r="683" spans="1:12" ht="23.25" x14ac:dyDescent="0.35">
      <c r="A683" s="1243" t="s">
        <v>714</v>
      </c>
      <c r="B683" s="1244"/>
      <c r="C683" s="1244"/>
      <c r="D683" s="1244"/>
      <c r="E683" s="1244"/>
      <c r="F683" s="1244"/>
      <c r="G683" s="1244"/>
      <c r="H683" s="1244"/>
      <c r="I683" s="1244"/>
      <c r="J683" s="1244"/>
      <c r="K683" s="1244"/>
      <c r="L683" s="1245"/>
    </row>
    <row r="684" spans="1:12" ht="23.25" x14ac:dyDescent="0.35">
      <c r="A684" s="619" t="s">
        <v>715</v>
      </c>
      <c r="B684" s="620"/>
      <c r="C684" s="620"/>
      <c r="D684" s="621" t="s">
        <v>716</v>
      </c>
      <c r="E684" s="1241" t="s">
        <v>717</v>
      </c>
      <c r="F684" s="1241"/>
      <c r="G684" s="1241"/>
      <c r="H684" s="1241"/>
      <c r="I684" s="1241"/>
      <c r="J684" s="618" t="s">
        <v>844</v>
      </c>
      <c r="K684" s="1241"/>
      <c r="L684" s="1242"/>
    </row>
    <row r="685" spans="1:12" x14ac:dyDescent="0.25">
      <c r="A685" s="622"/>
      <c r="B685" s="623"/>
      <c r="C685" s="623"/>
      <c r="D685" s="624"/>
      <c r="E685" s="623"/>
      <c r="F685" s="623"/>
      <c r="G685" s="623"/>
      <c r="H685" s="623"/>
      <c r="I685" s="1246"/>
      <c r="J685" s="1246"/>
      <c r="K685" s="623"/>
      <c r="L685" s="625"/>
    </row>
    <row r="686" spans="1:12" ht="15.75" x14ac:dyDescent="0.25">
      <c r="A686" s="626" t="s">
        <v>719</v>
      </c>
      <c r="B686" s="627"/>
      <c r="C686" s="628"/>
      <c r="D686" s="629" t="s">
        <v>720</v>
      </c>
      <c r="E686" s="630" t="s">
        <v>721</v>
      </c>
      <c r="F686" s="631" t="s">
        <v>722</v>
      </c>
      <c r="G686" s="626" t="s">
        <v>719</v>
      </c>
      <c r="H686" s="632"/>
      <c r="I686" s="633"/>
      <c r="J686" s="634" t="s">
        <v>720</v>
      </c>
      <c r="K686" s="626" t="s">
        <v>721</v>
      </c>
      <c r="L686" s="626" t="s">
        <v>722</v>
      </c>
    </row>
    <row r="687" spans="1:12" ht="15.75" x14ac:dyDescent="0.25">
      <c r="A687" s="635"/>
      <c r="B687" s="636"/>
      <c r="C687" s="637"/>
      <c r="D687" s="638"/>
      <c r="E687" s="639"/>
      <c r="F687" s="640"/>
      <c r="G687" s="641"/>
      <c r="H687" s="642"/>
      <c r="I687" s="643"/>
      <c r="J687" s="644"/>
      <c r="K687" s="645"/>
      <c r="L687" s="646"/>
    </row>
    <row r="688" spans="1:12" ht="15.75" x14ac:dyDescent="0.25">
      <c r="A688" s="647"/>
      <c r="B688" s="648" t="s">
        <v>273</v>
      </c>
      <c r="C688" s="649">
        <v>121</v>
      </c>
      <c r="D688" s="650" t="s">
        <v>845</v>
      </c>
      <c r="E688" s="651"/>
      <c r="F688" s="652"/>
      <c r="G688" s="647"/>
      <c r="H688" s="648" t="s">
        <v>273</v>
      </c>
      <c r="I688" s="649">
        <v>125</v>
      </c>
      <c r="J688" s="650" t="s">
        <v>846</v>
      </c>
      <c r="K688" s="651"/>
      <c r="L688" s="653"/>
    </row>
    <row r="689" spans="1:12" ht="15.75" x14ac:dyDescent="0.25">
      <c r="A689" s="647" t="s">
        <v>725</v>
      </c>
      <c r="B689" s="654"/>
      <c r="C689" s="649"/>
      <c r="D689" s="650" t="s">
        <v>726</v>
      </c>
      <c r="E689" s="651"/>
      <c r="F689" s="655">
        <v>0.30208333333333331</v>
      </c>
      <c r="G689" s="647" t="s">
        <v>727</v>
      </c>
      <c r="H689" s="648"/>
      <c r="I689" s="649"/>
      <c r="J689" s="656" t="s">
        <v>728</v>
      </c>
      <c r="K689" s="651"/>
      <c r="L689" s="657">
        <v>0.76041666666666663</v>
      </c>
    </row>
    <row r="690" spans="1:12" ht="15.75" x14ac:dyDescent="0.25">
      <c r="A690" s="647" t="s">
        <v>727</v>
      </c>
      <c r="B690" s="648"/>
      <c r="C690" s="649"/>
      <c r="D690" s="656" t="s">
        <v>728</v>
      </c>
      <c r="E690" s="651"/>
      <c r="F690" s="657">
        <v>0.32291666666666669</v>
      </c>
      <c r="G690" s="647"/>
      <c r="H690" s="648"/>
      <c r="I690" s="649"/>
      <c r="J690" s="650"/>
      <c r="K690" s="651"/>
      <c r="L690" s="653"/>
    </row>
    <row r="691" spans="1:12" ht="15.75" x14ac:dyDescent="0.25">
      <c r="A691" s="647"/>
      <c r="B691" s="648"/>
      <c r="C691" s="649"/>
      <c r="D691" s="650"/>
      <c r="E691" s="651"/>
      <c r="F691" s="653"/>
      <c r="G691" s="647" t="s">
        <v>727</v>
      </c>
      <c r="H691" s="648"/>
      <c r="I691" s="649"/>
      <c r="J691" s="617" t="s">
        <v>48</v>
      </c>
      <c r="K691" s="651"/>
      <c r="L691" s="658">
        <v>0.83333333333333337</v>
      </c>
    </row>
    <row r="692" spans="1:12" ht="15.75" x14ac:dyDescent="0.25">
      <c r="A692" s="647" t="s">
        <v>727</v>
      </c>
      <c r="B692" s="648"/>
      <c r="C692" s="649"/>
      <c r="D692" s="617" t="s">
        <v>48</v>
      </c>
      <c r="E692" s="651"/>
      <c r="F692" s="658">
        <v>0.39583333333333331</v>
      </c>
      <c r="G692" s="647"/>
      <c r="H692" s="648"/>
      <c r="I692" s="649"/>
      <c r="J692" s="661"/>
      <c r="K692" s="651"/>
      <c r="L692" s="653"/>
    </row>
    <row r="693" spans="1:12" ht="15.75" x14ac:dyDescent="0.25">
      <c r="A693" s="647"/>
      <c r="B693" s="648"/>
      <c r="C693" s="649"/>
      <c r="D693" s="661"/>
      <c r="E693" s="651"/>
      <c r="F693" s="653"/>
      <c r="G693" s="647"/>
      <c r="H693" s="648"/>
      <c r="I693" s="649"/>
      <c r="J693" s="656" t="s">
        <v>728</v>
      </c>
      <c r="K693" s="662">
        <v>0.88541666666666663</v>
      </c>
      <c r="L693" s="657"/>
    </row>
    <row r="694" spans="1:12" ht="15.75" x14ac:dyDescent="0.25">
      <c r="A694" s="647"/>
      <c r="B694" s="648"/>
      <c r="C694" s="649"/>
      <c r="D694" s="656" t="s">
        <v>728</v>
      </c>
      <c r="E694" s="662">
        <v>0.46875</v>
      </c>
      <c r="F694" s="657"/>
      <c r="G694" s="647"/>
      <c r="H694" s="648" t="s">
        <v>276</v>
      </c>
      <c r="I694" s="649" t="s">
        <v>273</v>
      </c>
      <c r="J694" s="650"/>
      <c r="K694" s="651"/>
      <c r="L694" s="653"/>
    </row>
    <row r="695" spans="1:12" ht="15.75" x14ac:dyDescent="0.25">
      <c r="A695" s="647"/>
      <c r="B695" s="648" t="s">
        <v>276</v>
      </c>
      <c r="C695" s="649" t="s">
        <v>273</v>
      </c>
      <c r="D695" s="650"/>
      <c r="E695" s="651"/>
      <c r="F695" s="653"/>
      <c r="G695" s="647"/>
      <c r="H695" s="648"/>
      <c r="I695" s="649"/>
      <c r="J695" s="650"/>
      <c r="K695" s="651"/>
      <c r="L695" s="653"/>
    </row>
    <row r="696" spans="1:12" ht="15.75" x14ac:dyDescent="0.25">
      <c r="A696" s="647"/>
      <c r="B696" s="648"/>
      <c r="C696" s="649"/>
      <c r="D696" s="661"/>
      <c r="E696" s="651"/>
      <c r="F696" s="653"/>
      <c r="G696" s="647"/>
      <c r="H696" s="648" t="s">
        <v>273</v>
      </c>
      <c r="I696" s="649">
        <v>137</v>
      </c>
      <c r="J696" s="650" t="s">
        <v>847</v>
      </c>
      <c r="K696" s="651"/>
      <c r="L696" s="653"/>
    </row>
    <row r="697" spans="1:12" ht="15.75" x14ac:dyDescent="0.25">
      <c r="A697" s="647"/>
      <c r="B697" s="648" t="s">
        <v>273</v>
      </c>
      <c r="C697" s="649">
        <v>116</v>
      </c>
      <c r="D697" s="650" t="s">
        <v>848</v>
      </c>
      <c r="E697" s="651"/>
      <c r="F697" s="653"/>
      <c r="G697" s="647" t="s">
        <v>727</v>
      </c>
      <c r="H697" s="648"/>
      <c r="I697" s="649"/>
      <c r="J697" s="656" t="s">
        <v>728</v>
      </c>
      <c r="K697" s="651"/>
      <c r="L697" s="657">
        <v>0.88541666666666663</v>
      </c>
    </row>
    <row r="698" spans="1:12" ht="15.75" x14ac:dyDescent="0.25">
      <c r="A698" s="647" t="s">
        <v>727</v>
      </c>
      <c r="B698" s="648"/>
      <c r="C698" s="649"/>
      <c r="D698" s="656" t="s">
        <v>728</v>
      </c>
      <c r="E698" s="651"/>
      <c r="F698" s="657">
        <v>0.46875</v>
      </c>
      <c r="G698" s="647"/>
      <c r="H698" s="648"/>
      <c r="I698" s="649"/>
      <c r="J698" s="650"/>
      <c r="K698" s="651"/>
      <c r="L698" s="653"/>
    </row>
    <row r="699" spans="1:12" ht="15.75" x14ac:dyDescent="0.25">
      <c r="A699" s="647"/>
      <c r="B699" s="648"/>
      <c r="C699" s="649"/>
      <c r="D699" s="650"/>
      <c r="E699" s="651"/>
      <c r="F699" s="653"/>
      <c r="G699" s="647" t="s">
        <v>727</v>
      </c>
      <c r="H699" s="648"/>
      <c r="I699" s="649"/>
      <c r="J699" s="617" t="s">
        <v>48</v>
      </c>
      <c r="K699" s="651"/>
      <c r="L699" s="658">
        <v>0.9375</v>
      </c>
    </row>
    <row r="700" spans="1:12" ht="15.75" x14ac:dyDescent="0.25">
      <c r="A700" s="647" t="s">
        <v>727</v>
      </c>
      <c r="B700" s="648"/>
      <c r="C700" s="649"/>
      <c r="D700" s="617" t="s">
        <v>48</v>
      </c>
      <c r="E700" s="651"/>
      <c r="F700" s="658">
        <v>0.54166666666666663</v>
      </c>
      <c r="G700" s="647"/>
      <c r="H700" s="648"/>
      <c r="I700" s="649"/>
      <c r="J700" s="661"/>
      <c r="K700" s="651"/>
      <c r="L700" s="653"/>
    </row>
    <row r="701" spans="1:12" ht="15.75" x14ac:dyDescent="0.25">
      <c r="A701" s="647"/>
      <c r="B701" s="648"/>
      <c r="C701" s="649"/>
      <c r="D701" s="661"/>
      <c r="E701" s="651"/>
      <c r="F701" s="653"/>
      <c r="G701" s="647" t="s">
        <v>725</v>
      </c>
      <c r="H701" s="648"/>
      <c r="I701" s="649"/>
      <c r="J701" s="656" t="s">
        <v>728</v>
      </c>
      <c r="K701" s="662">
        <v>0.98263888888888884</v>
      </c>
      <c r="L701" s="657"/>
    </row>
    <row r="702" spans="1:12" ht="15.75" x14ac:dyDescent="0.25">
      <c r="A702" s="647"/>
      <c r="B702" s="648"/>
      <c r="C702" s="649"/>
      <c r="D702" s="656" t="s">
        <v>728</v>
      </c>
      <c r="E702" s="662">
        <v>0.61458333333333337</v>
      </c>
      <c r="F702" s="657"/>
      <c r="G702" s="647"/>
      <c r="H702" s="648"/>
      <c r="I702" s="649"/>
      <c r="J702" s="650" t="s">
        <v>733</v>
      </c>
      <c r="K702" s="662">
        <v>1.0034722222222223</v>
      </c>
      <c r="L702" s="664"/>
    </row>
    <row r="703" spans="1:12" ht="15.75" x14ac:dyDescent="0.25">
      <c r="A703" s="647"/>
      <c r="B703" s="648" t="s">
        <v>276</v>
      </c>
      <c r="C703" s="649" t="s">
        <v>273</v>
      </c>
      <c r="D703" s="650"/>
      <c r="E703" s="651"/>
      <c r="F703" s="653"/>
      <c r="G703" s="647"/>
      <c r="H703" s="648" t="s">
        <v>276</v>
      </c>
      <c r="I703" s="649" t="s">
        <v>273</v>
      </c>
      <c r="J703" s="650"/>
      <c r="K703" s="651"/>
      <c r="L703" s="653"/>
    </row>
    <row r="704" spans="1:12" ht="15.75" x14ac:dyDescent="0.25">
      <c r="A704" s="647"/>
      <c r="B704" s="648"/>
      <c r="C704" s="649"/>
      <c r="D704" s="650"/>
      <c r="E704" s="651"/>
      <c r="F704" s="653"/>
      <c r="G704" s="647"/>
      <c r="H704" s="648"/>
      <c r="I704" s="649"/>
      <c r="J704" s="663"/>
      <c r="K704" s="662"/>
      <c r="L704" s="658"/>
    </row>
    <row r="705" spans="1:12" ht="15.75" x14ac:dyDescent="0.25">
      <c r="A705" s="647"/>
      <c r="B705" s="648" t="s">
        <v>273</v>
      </c>
      <c r="C705" s="649">
        <v>131</v>
      </c>
      <c r="D705" s="650" t="s">
        <v>849</v>
      </c>
      <c r="E705" s="651"/>
      <c r="F705" s="653"/>
      <c r="G705" s="647"/>
      <c r="H705" s="648"/>
      <c r="I705" s="649"/>
      <c r="J705" s="663"/>
      <c r="K705" s="651"/>
      <c r="L705" s="653"/>
    </row>
    <row r="706" spans="1:12" ht="15.75" x14ac:dyDescent="0.25">
      <c r="A706" s="647" t="s">
        <v>727</v>
      </c>
      <c r="B706" s="648"/>
      <c r="C706" s="649"/>
      <c r="D706" s="656" t="s">
        <v>728</v>
      </c>
      <c r="E706" s="651"/>
      <c r="F706" s="657">
        <v>0.61458333333333337</v>
      </c>
      <c r="G706" s="647"/>
      <c r="H706" s="648"/>
      <c r="I706" s="649"/>
      <c r="J706" s="650"/>
      <c r="K706" s="651"/>
      <c r="L706" s="664"/>
    </row>
    <row r="707" spans="1:12" ht="15.75" x14ac:dyDescent="0.25">
      <c r="A707" s="647"/>
      <c r="B707" s="648"/>
      <c r="C707" s="649"/>
      <c r="D707" s="650"/>
      <c r="E707" s="651"/>
      <c r="F707" s="653"/>
      <c r="G707" s="647"/>
      <c r="H707" s="648"/>
      <c r="I707" s="649"/>
      <c r="J707" s="617"/>
      <c r="K707" s="651"/>
      <c r="L707" s="653"/>
    </row>
    <row r="708" spans="1:12" ht="15.75" x14ac:dyDescent="0.25">
      <c r="A708" s="647" t="s">
        <v>727</v>
      </c>
      <c r="B708" s="648"/>
      <c r="C708" s="649"/>
      <c r="D708" s="617" t="s">
        <v>48</v>
      </c>
      <c r="E708" s="651"/>
      <c r="F708" s="658">
        <v>0.6875</v>
      </c>
      <c r="G708" s="647"/>
      <c r="H708" s="648"/>
      <c r="I708" s="649"/>
      <c r="J708" s="661"/>
      <c r="K708" s="651"/>
      <c r="L708" s="658"/>
    </row>
    <row r="709" spans="1:12" ht="15.75" x14ac:dyDescent="0.25">
      <c r="A709" s="647"/>
      <c r="B709" s="648"/>
      <c r="C709" s="649"/>
      <c r="D709" s="661"/>
      <c r="E709" s="651"/>
      <c r="F709" s="653"/>
      <c r="G709" s="647"/>
      <c r="H709" s="648"/>
      <c r="I709" s="649"/>
      <c r="J709" s="617"/>
      <c r="K709" s="651"/>
      <c r="L709" s="653"/>
    </row>
    <row r="710" spans="1:12" ht="15.75" x14ac:dyDescent="0.25">
      <c r="A710" s="647"/>
      <c r="B710" s="648"/>
      <c r="C710" s="649"/>
      <c r="D710" s="656" t="s">
        <v>728</v>
      </c>
      <c r="E710" s="662">
        <v>0.76041666666666663</v>
      </c>
      <c r="F710" s="657"/>
      <c r="G710" s="647"/>
      <c r="H710" s="648"/>
      <c r="I710" s="649"/>
      <c r="J710" s="661"/>
      <c r="K710" s="651"/>
      <c r="L710" s="658"/>
    </row>
    <row r="711" spans="1:12" ht="15.75" x14ac:dyDescent="0.25">
      <c r="A711" s="647"/>
      <c r="B711" s="648" t="s">
        <v>273</v>
      </c>
      <c r="C711" s="649">
        <v>131</v>
      </c>
      <c r="D711" s="650" t="s">
        <v>850</v>
      </c>
      <c r="E711" s="651"/>
      <c r="F711" s="653"/>
      <c r="G711" s="647"/>
      <c r="H711" s="648"/>
      <c r="I711" s="649"/>
      <c r="J711" s="661"/>
      <c r="K711" s="651"/>
      <c r="L711" s="653"/>
    </row>
    <row r="712" spans="1:12" ht="15.75" x14ac:dyDescent="0.25">
      <c r="A712" s="647"/>
      <c r="B712" s="648"/>
      <c r="C712" s="649"/>
      <c r="D712" s="650"/>
      <c r="E712" s="651"/>
      <c r="F712" s="653"/>
      <c r="G712" s="647"/>
      <c r="H712" s="648"/>
      <c r="I712" s="649"/>
      <c r="J712" s="650"/>
      <c r="K712" s="662"/>
      <c r="L712" s="664"/>
    </row>
    <row r="713" spans="1:12" ht="15.75" x14ac:dyDescent="0.25">
      <c r="A713" s="647"/>
      <c r="B713" s="648"/>
      <c r="C713" s="649"/>
      <c r="D713" s="650"/>
      <c r="E713" s="651"/>
      <c r="F713" s="653"/>
      <c r="G713" s="647"/>
      <c r="H713" s="648"/>
      <c r="I713" s="649"/>
      <c r="J713" s="650"/>
      <c r="K713" s="651"/>
      <c r="L713" s="653"/>
    </row>
    <row r="714" spans="1:12" ht="15.75" x14ac:dyDescent="0.25">
      <c r="A714" s="647"/>
      <c r="B714" s="648"/>
      <c r="C714" s="649"/>
      <c r="D714" s="656"/>
      <c r="E714" s="651"/>
      <c r="F714" s="657"/>
      <c r="G714" s="647"/>
      <c r="H714" s="648"/>
      <c r="I714" s="649"/>
      <c r="J714" s="650"/>
      <c r="K714" s="662"/>
      <c r="L714" s="658"/>
    </row>
    <row r="715" spans="1:12" ht="15.75" x14ac:dyDescent="0.25">
      <c r="A715" s="647"/>
      <c r="B715" s="648"/>
      <c r="C715" s="649"/>
      <c r="D715" s="650"/>
      <c r="E715" s="651"/>
      <c r="F715" s="653"/>
      <c r="G715" s="647"/>
      <c r="H715" s="648"/>
      <c r="I715" s="649"/>
      <c r="J715" s="661"/>
      <c r="K715" s="651"/>
      <c r="L715" s="653"/>
    </row>
    <row r="716" spans="1:12" ht="15.75" x14ac:dyDescent="0.25">
      <c r="A716" s="647"/>
      <c r="B716" s="648"/>
      <c r="C716" s="649"/>
      <c r="D716" s="617"/>
      <c r="E716" s="651"/>
      <c r="F716" s="658"/>
      <c r="G716" s="647"/>
      <c r="H716" s="648"/>
      <c r="I716" s="649"/>
      <c r="J716" s="650"/>
      <c r="K716" s="662"/>
      <c r="L716" s="664"/>
    </row>
    <row r="717" spans="1:12" ht="15.75" x14ac:dyDescent="0.25">
      <c r="A717" s="647"/>
      <c r="B717" s="648"/>
      <c r="C717" s="649"/>
      <c r="D717" s="661"/>
      <c r="E717" s="651"/>
      <c r="F717" s="653"/>
      <c r="G717" s="647"/>
      <c r="H717" s="648"/>
      <c r="I717" s="649"/>
      <c r="J717" s="661"/>
      <c r="K717" s="651"/>
      <c r="L717" s="653"/>
    </row>
    <row r="718" spans="1:12" ht="15.75" x14ac:dyDescent="0.25">
      <c r="A718" s="647"/>
      <c r="B718" s="648"/>
      <c r="C718" s="649"/>
      <c r="D718" s="656"/>
      <c r="E718" s="662"/>
      <c r="F718" s="657"/>
      <c r="G718" s="647"/>
      <c r="H718" s="648"/>
      <c r="I718" s="649"/>
      <c r="J718" s="650"/>
      <c r="K718" s="651"/>
      <c r="L718" s="653"/>
    </row>
    <row r="719" spans="1:12" ht="15.75" x14ac:dyDescent="0.25">
      <c r="A719" s="647"/>
      <c r="B719" s="648"/>
      <c r="C719" s="649"/>
      <c r="D719" s="650"/>
      <c r="E719" s="651"/>
      <c r="F719" s="653"/>
      <c r="G719" s="666"/>
      <c r="H719" s="648"/>
      <c r="I719" s="665"/>
      <c r="J719" s="650"/>
      <c r="K719" s="651"/>
      <c r="L719" s="653"/>
    </row>
    <row r="720" spans="1:12" ht="15.75" x14ac:dyDescent="0.25">
      <c r="A720" s="667"/>
      <c r="B720" s="668"/>
      <c r="C720" s="669"/>
      <c r="D720" s="670"/>
      <c r="E720" s="671"/>
      <c r="F720" s="672"/>
      <c r="G720" s="673"/>
      <c r="H720" s="674"/>
      <c r="I720" s="675"/>
      <c r="J720" s="676"/>
      <c r="K720" s="671"/>
      <c r="L720" s="677"/>
    </row>
    <row r="721" spans="1:12" ht="23.25" x14ac:dyDescent="0.35">
      <c r="A721" s="1237" t="s">
        <v>712</v>
      </c>
      <c r="B721" s="1238"/>
      <c r="C721" s="1238"/>
      <c r="D721" s="1238"/>
      <c r="E721" s="1238"/>
      <c r="F721" s="1238"/>
      <c r="G721" s="1238"/>
      <c r="H721" s="1238"/>
      <c r="I721" s="1238"/>
      <c r="J721" s="1238"/>
      <c r="K721" s="1238"/>
      <c r="L721" s="1239"/>
    </row>
    <row r="722" spans="1:12" ht="23.25" x14ac:dyDescent="0.35">
      <c r="A722" s="1240" t="s">
        <v>713</v>
      </c>
      <c r="B722" s="1241"/>
      <c r="C722" s="1241"/>
      <c r="D722" s="1241"/>
      <c r="E722" s="1241"/>
      <c r="F722" s="1241"/>
      <c r="G722" s="1241"/>
      <c r="H722" s="1241"/>
      <c r="I722" s="1241"/>
      <c r="J722" s="1241"/>
      <c r="K722" s="1241"/>
      <c r="L722" s="1242"/>
    </row>
    <row r="723" spans="1:12" ht="23.25" x14ac:dyDescent="0.35">
      <c r="A723" s="1243" t="s">
        <v>714</v>
      </c>
      <c r="B723" s="1244"/>
      <c r="C723" s="1244"/>
      <c r="D723" s="1244"/>
      <c r="E723" s="1244"/>
      <c r="F723" s="1244"/>
      <c r="G723" s="1244"/>
      <c r="H723" s="1244"/>
      <c r="I723" s="1244"/>
      <c r="J723" s="1244"/>
      <c r="K723" s="1244"/>
      <c r="L723" s="1245"/>
    </row>
    <row r="724" spans="1:12" ht="23.25" x14ac:dyDescent="0.35">
      <c r="A724" s="619" t="s">
        <v>715</v>
      </c>
      <c r="B724" s="620"/>
      <c r="C724" s="620"/>
      <c r="D724" s="621" t="s">
        <v>716</v>
      </c>
      <c r="E724" s="1241" t="s">
        <v>717</v>
      </c>
      <c r="F724" s="1241"/>
      <c r="G724" s="1241"/>
      <c r="H724" s="1241"/>
      <c r="I724" s="1241"/>
      <c r="J724" s="618" t="s">
        <v>851</v>
      </c>
      <c r="K724" s="1241"/>
      <c r="L724" s="1242"/>
    </row>
    <row r="725" spans="1:12" x14ac:dyDescent="0.25">
      <c r="A725" s="622"/>
      <c r="B725" s="623"/>
      <c r="C725" s="623"/>
      <c r="D725" s="624"/>
      <c r="E725" s="623"/>
      <c r="F725" s="623"/>
      <c r="G725" s="623"/>
      <c r="H725" s="623"/>
      <c r="I725" s="1246"/>
      <c r="J725" s="1246"/>
      <c r="K725" s="623"/>
      <c r="L725" s="625"/>
    </row>
    <row r="726" spans="1:12" ht="15.75" x14ac:dyDescent="0.25">
      <c r="A726" s="626" t="s">
        <v>719</v>
      </c>
      <c r="B726" s="627"/>
      <c r="C726" s="628"/>
      <c r="D726" s="629" t="s">
        <v>720</v>
      </c>
      <c r="E726" s="630" t="s">
        <v>721</v>
      </c>
      <c r="F726" s="631" t="s">
        <v>722</v>
      </c>
      <c r="G726" s="626" t="s">
        <v>719</v>
      </c>
      <c r="H726" s="632"/>
      <c r="I726" s="633"/>
      <c r="J726" s="634" t="s">
        <v>720</v>
      </c>
      <c r="K726" s="626" t="s">
        <v>721</v>
      </c>
      <c r="L726" s="626" t="s">
        <v>722</v>
      </c>
    </row>
    <row r="727" spans="1:12" ht="15.75" x14ac:dyDescent="0.25">
      <c r="A727" s="635"/>
      <c r="B727" s="636"/>
      <c r="C727" s="637"/>
      <c r="D727" s="638"/>
      <c r="E727" s="639"/>
      <c r="F727" s="640"/>
      <c r="G727" s="641"/>
      <c r="H727" s="642"/>
      <c r="I727" s="643"/>
      <c r="J727" s="644"/>
      <c r="K727" s="645"/>
      <c r="L727" s="646"/>
    </row>
    <row r="728" spans="1:12" ht="15.75" x14ac:dyDescent="0.25">
      <c r="A728" s="647"/>
      <c r="B728" s="648" t="s">
        <v>273</v>
      </c>
      <c r="C728" s="649">
        <v>151</v>
      </c>
      <c r="D728" s="650" t="s">
        <v>852</v>
      </c>
      <c r="E728" s="651"/>
      <c r="F728" s="652"/>
      <c r="G728" s="647"/>
      <c r="H728" s="648"/>
      <c r="I728" s="649"/>
      <c r="J728" s="650"/>
      <c r="K728" s="651"/>
      <c r="L728" s="653"/>
    </row>
    <row r="729" spans="1:12" ht="15.75" x14ac:dyDescent="0.25">
      <c r="A729" s="647" t="s">
        <v>725</v>
      </c>
      <c r="B729" s="654"/>
      <c r="C729" s="649"/>
      <c r="D729" s="650" t="s">
        <v>726</v>
      </c>
      <c r="E729" s="651"/>
      <c r="F729" s="655">
        <v>0.30555555555555558</v>
      </c>
      <c r="G729" s="647"/>
      <c r="H729" s="648"/>
      <c r="I729" s="649"/>
      <c r="J729" s="656"/>
      <c r="K729" s="651"/>
      <c r="L729" s="657"/>
    </row>
    <row r="730" spans="1:12" ht="15.75" x14ac:dyDescent="0.25">
      <c r="A730" s="647" t="s">
        <v>787</v>
      </c>
      <c r="B730" s="648"/>
      <c r="C730" s="649"/>
      <c r="D730" s="617" t="s">
        <v>62</v>
      </c>
      <c r="E730" s="651"/>
      <c r="F730" s="658">
        <v>0.33333333333333331</v>
      </c>
      <c r="G730" s="647"/>
      <c r="H730" s="648"/>
      <c r="I730" s="649"/>
      <c r="J730" s="650"/>
      <c r="K730" s="651"/>
      <c r="L730" s="653"/>
    </row>
    <row r="731" spans="1:12" ht="15.75" x14ac:dyDescent="0.25">
      <c r="A731" s="647"/>
      <c r="B731" s="648"/>
      <c r="C731" s="649"/>
      <c r="D731" s="661"/>
      <c r="E731" s="651"/>
      <c r="F731" s="653"/>
      <c r="G731" s="647"/>
      <c r="H731" s="648"/>
      <c r="I731" s="649"/>
      <c r="J731" s="659"/>
      <c r="K731" s="651"/>
      <c r="L731" s="660"/>
    </row>
    <row r="732" spans="1:12" ht="15.75" x14ac:dyDescent="0.25">
      <c r="A732" s="647"/>
      <c r="B732" s="648"/>
      <c r="C732" s="649"/>
      <c r="D732" s="656" t="s">
        <v>728</v>
      </c>
      <c r="E732" s="662">
        <v>0.41666666666666669</v>
      </c>
      <c r="F732" s="657"/>
      <c r="G732" s="647"/>
      <c r="H732" s="648"/>
      <c r="I732" s="649"/>
      <c r="J732" s="661"/>
      <c r="K732" s="651"/>
      <c r="L732" s="653"/>
    </row>
    <row r="733" spans="1:12" ht="15.75" x14ac:dyDescent="0.25">
      <c r="A733" s="647"/>
      <c r="B733" s="648" t="s">
        <v>273</v>
      </c>
      <c r="C733" s="649">
        <v>151</v>
      </c>
      <c r="D733" s="650" t="s">
        <v>853</v>
      </c>
      <c r="E733" s="651"/>
      <c r="F733" s="653"/>
      <c r="G733" s="647"/>
      <c r="H733" s="648"/>
      <c r="I733" s="649"/>
      <c r="J733" s="656"/>
      <c r="K733" s="662"/>
      <c r="L733" s="657"/>
    </row>
    <row r="734" spans="1:12" ht="15.75" x14ac:dyDescent="0.25">
      <c r="A734" s="647"/>
      <c r="B734" s="648"/>
      <c r="C734" s="649"/>
      <c r="D734" s="650"/>
      <c r="E734" s="651"/>
      <c r="F734" s="653"/>
      <c r="G734" s="647"/>
      <c r="H734" s="648"/>
      <c r="I734" s="649"/>
      <c r="J734" s="650"/>
      <c r="K734" s="651"/>
      <c r="L734" s="653"/>
    </row>
    <row r="735" spans="1:12" ht="15.75" x14ac:dyDescent="0.25">
      <c r="A735" s="647"/>
      <c r="B735" s="648" t="s">
        <v>273</v>
      </c>
      <c r="C735" s="649">
        <v>103</v>
      </c>
      <c r="D735" s="650" t="s">
        <v>854</v>
      </c>
      <c r="E735" s="651"/>
      <c r="F735" s="653"/>
      <c r="G735" s="647"/>
      <c r="H735" s="648"/>
      <c r="I735" s="649"/>
      <c r="J735" s="659"/>
      <c r="K735" s="651"/>
      <c r="L735" s="660"/>
    </row>
    <row r="736" spans="1:12" ht="15.75" x14ac:dyDescent="0.25">
      <c r="A736" s="647">
        <v>7</v>
      </c>
      <c r="B736" s="648"/>
      <c r="C736" s="649"/>
      <c r="D736" s="656" t="s">
        <v>728</v>
      </c>
      <c r="E736" s="651"/>
      <c r="F736" s="657">
        <v>0.41666666666666669</v>
      </c>
      <c r="G736" s="647"/>
      <c r="H736" s="648"/>
      <c r="I736" s="649"/>
      <c r="J736" s="661"/>
      <c r="K736" s="651"/>
      <c r="L736" s="653"/>
    </row>
    <row r="737" spans="1:12" ht="15.75" x14ac:dyDescent="0.25">
      <c r="A737" s="647"/>
      <c r="B737" s="648"/>
      <c r="C737" s="649"/>
      <c r="D737" s="650"/>
      <c r="E737" s="651"/>
      <c r="F737" s="653"/>
      <c r="G737" s="647"/>
      <c r="H737" s="648"/>
      <c r="I737" s="649"/>
      <c r="J737" s="656"/>
      <c r="K737" s="662"/>
      <c r="L737" s="657"/>
    </row>
    <row r="738" spans="1:12" ht="15.75" x14ac:dyDescent="0.25">
      <c r="A738" s="647" t="s">
        <v>725</v>
      </c>
      <c r="B738" s="648"/>
      <c r="C738" s="649"/>
      <c r="D738" s="659" t="s">
        <v>50</v>
      </c>
      <c r="E738" s="662">
        <v>0.4826388888888889</v>
      </c>
      <c r="F738" s="658"/>
      <c r="G738" s="647"/>
      <c r="H738" s="648"/>
      <c r="I738" s="649"/>
      <c r="J738" s="650"/>
      <c r="K738" s="662"/>
      <c r="L738" s="653"/>
    </row>
    <row r="739" spans="1:12" ht="15.75" x14ac:dyDescent="0.25">
      <c r="A739" s="647"/>
      <c r="B739" s="648"/>
      <c r="C739" s="649"/>
      <c r="D739" s="650" t="s">
        <v>733</v>
      </c>
      <c r="E739" s="662">
        <v>0.50347222222222221</v>
      </c>
      <c r="F739" s="653"/>
      <c r="G739" s="647"/>
      <c r="H739" s="648"/>
      <c r="I739" s="649"/>
      <c r="J739" s="650"/>
      <c r="K739" s="651"/>
      <c r="L739" s="658"/>
    </row>
    <row r="740" spans="1:12" ht="15.75" x14ac:dyDescent="0.25">
      <c r="A740" s="647"/>
      <c r="B740" s="648" t="s">
        <v>276</v>
      </c>
      <c r="C740" s="649" t="s">
        <v>273</v>
      </c>
      <c r="D740" s="650"/>
      <c r="E740" s="651"/>
      <c r="F740" s="658"/>
      <c r="G740" s="647"/>
      <c r="H740" s="648"/>
      <c r="I740" s="649"/>
      <c r="J740" s="663"/>
      <c r="K740" s="662"/>
      <c r="L740" s="653"/>
    </row>
    <row r="741" spans="1:12" ht="15.75" x14ac:dyDescent="0.25">
      <c r="A741" s="647"/>
      <c r="B741" s="648"/>
      <c r="C741" s="649"/>
      <c r="D741" s="663"/>
      <c r="E741" s="662"/>
      <c r="F741" s="653"/>
      <c r="G741" s="647"/>
      <c r="H741" s="648"/>
      <c r="I741" s="649"/>
      <c r="J741" s="650"/>
      <c r="K741" s="662"/>
      <c r="L741" s="664"/>
    </row>
    <row r="742" spans="1:12" ht="15.75" x14ac:dyDescent="0.25">
      <c r="A742" s="647"/>
      <c r="B742" s="648" t="s">
        <v>273</v>
      </c>
      <c r="C742" s="649">
        <v>161</v>
      </c>
      <c r="D742" s="650" t="s">
        <v>855</v>
      </c>
      <c r="E742" s="651"/>
      <c r="F742" s="652"/>
      <c r="G742" s="647"/>
      <c r="H742" s="648"/>
      <c r="I742" s="649"/>
      <c r="J742" s="650"/>
      <c r="K742" s="651"/>
      <c r="L742" s="653"/>
    </row>
    <row r="743" spans="1:12" ht="15.75" x14ac:dyDescent="0.25">
      <c r="A743" s="647" t="s">
        <v>725</v>
      </c>
      <c r="B743" s="654"/>
      <c r="C743" s="649"/>
      <c r="D743" s="650" t="s">
        <v>726</v>
      </c>
      <c r="E743" s="651"/>
      <c r="F743" s="655">
        <v>0.70486111111111116</v>
      </c>
      <c r="G743" s="647"/>
      <c r="H743" s="648"/>
      <c r="I743" s="649"/>
      <c r="J743" s="650"/>
      <c r="K743" s="662"/>
      <c r="L743" s="658"/>
    </row>
    <row r="744" spans="1:12" ht="15.75" x14ac:dyDescent="0.25">
      <c r="A744" s="647" t="s">
        <v>787</v>
      </c>
      <c r="B744" s="648"/>
      <c r="C744" s="649"/>
      <c r="D744" s="656" t="s">
        <v>728</v>
      </c>
      <c r="E744" s="651"/>
      <c r="F744" s="657">
        <v>0.73611111111111116</v>
      </c>
      <c r="G744" s="647"/>
      <c r="H744" s="648"/>
      <c r="I744" s="649"/>
      <c r="J744" s="661"/>
      <c r="K744" s="651"/>
      <c r="L744" s="653"/>
    </row>
    <row r="745" spans="1:12" ht="15.75" x14ac:dyDescent="0.25">
      <c r="A745" s="647"/>
      <c r="B745" s="648"/>
      <c r="C745" s="649"/>
      <c r="D745" s="650"/>
      <c r="E745" s="651"/>
      <c r="F745" s="653"/>
      <c r="G745" s="647"/>
      <c r="H745" s="648"/>
      <c r="I745" s="649"/>
      <c r="J745" s="650"/>
      <c r="K745" s="662"/>
      <c r="L745" s="664"/>
    </row>
    <row r="746" spans="1:12" ht="15.75" x14ac:dyDescent="0.25">
      <c r="A746" s="647" t="s">
        <v>725</v>
      </c>
      <c r="B746" s="648"/>
      <c r="C746" s="649"/>
      <c r="D746" s="617" t="s">
        <v>62</v>
      </c>
      <c r="E746" s="662">
        <v>0.79861111111111116</v>
      </c>
      <c r="F746" s="660"/>
      <c r="G746" s="647"/>
      <c r="H746" s="648"/>
      <c r="I746" s="649"/>
      <c r="J746" s="650"/>
      <c r="K746" s="662"/>
      <c r="L746" s="658"/>
    </row>
    <row r="747" spans="1:12" ht="15.75" x14ac:dyDescent="0.25">
      <c r="A747" s="647"/>
      <c r="B747" s="648"/>
      <c r="C747" s="649"/>
      <c r="D747" s="650" t="s">
        <v>733</v>
      </c>
      <c r="E747" s="662">
        <v>0.81944444444444442</v>
      </c>
      <c r="F747" s="653"/>
      <c r="G747" s="647"/>
      <c r="H747" s="648"/>
      <c r="I747" s="649"/>
      <c r="J747" s="661"/>
      <c r="K747" s="651"/>
      <c r="L747" s="653"/>
    </row>
    <row r="748" spans="1:12" ht="15.75" x14ac:dyDescent="0.25">
      <c r="A748" s="647"/>
      <c r="B748" s="648" t="s">
        <v>276</v>
      </c>
      <c r="C748" s="649" t="s">
        <v>273</v>
      </c>
      <c r="D748" s="650"/>
      <c r="E748" s="651"/>
      <c r="F748" s="657"/>
      <c r="G748" s="647"/>
      <c r="H748" s="648"/>
      <c r="I748" s="649"/>
      <c r="J748" s="650"/>
      <c r="K748" s="662"/>
      <c r="L748" s="664"/>
    </row>
    <row r="749" spans="1:12" ht="15.75" x14ac:dyDescent="0.25">
      <c r="A749" s="647"/>
      <c r="B749" s="648"/>
      <c r="C749" s="649"/>
      <c r="D749" s="650"/>
      <c r="E749" s="651"/>
      <c r="F749" s="653"/>
      <c r="G749" s="647"/>
      <c r="H749" s="648"/>
      <c r="I749" s="649"/>
      <c r="J749" s="661"/>
      <c r="K749" s="651"/>
      <c r="L749" s="653"/>
    </row>
    <row r="750" spans="1:12" ht="15.75" x14ac:dyDescent="0.25">
      <c r="A750" s="647"/>
      <c r="B750" s="648"/>
      <c r="C750" s="649"/>
      <c r="D750" s="650"/>
      <c r="E750" s="651"/>
      <c r="F750" s="653"/>
      <c r="G750" s="647"/>
      <c r="H750" s="648"/>
      <c r="I750" s="649"/>
      <c r="J750" s="650"/>
      <c r="K750" s="651"/>
      <c r="L750" s="653"/>
    </row>
    <row r="751" spans="1:12" ht="15.75" x14ac:dyDescent="0.25">
      <c r="A751" s="647"/>
      <c r="B751" s="648"/>
      <c r="C751" s="649"/>
      <c r="D751" s="650"/>
      <c r="E751" s="651"/>
      <c r="F751" s="653"/>
      <c r="G751" s="647"/>
      <c r="H751" s="648"/>
      <c r="I751" s="649"/>
      <c r="J751" s="650"/>
      <c r="K751" s="662"/>
      <c r="L751" s="658"/>
    </row>
    <row r="752" spans="1:12" ht="15.75" x14ac:dyDescent="0.25">
      <c r="A752" s="647"/>
      <c r="B752" s="648"/>
      <c r="C752" s="649"/>
      <c r="D752" s="656"/>
      <c r="E752" s="651"/>
      <c r="F752" s="657"/>
      <c r="G752" s="647"/>
      <c r="H752" s="648"/>
      <c r="I752" s="649"/>
      <c r="J752" s="661"/>
      <c r="K752" s="651"/>
      <c r="L752" s="653"/>
    </row>
    <row r="753" spans="1:12" ht="15.75" x14ac:dyDescent="0.25">
      <c r="A753" s="647"/>
      <c r="B753" s="648"/>
      <c r="C753" s="649"/>
      <c r="D753" s="650"/>
      <c r="E753" s="651"/>
      <c r="F753" s="653"/>
      <c r="G753" s="647"/>
      <c r="H753" s="648"/>
      <c r="I753" s="649"/>
      <c r="J753" s="650"/>
      <c r="K753" s="662"/>
      <c r="L753" s="664"/>
    </row>
    <row r="754" spans="1:12" ht="15.75" x14ac:dyDescent="0.25">
      <c r="A754" s="647"/>
      <c r="B754" s="648"/>
      <c r="C754" s="649"/>
      <c r="D754" s="617"/>
      <c r="E754" s="651"/>
      <c r="F754" s="658"/>
      <c r="G754" s="647"/>
      <c r="H754" s="648"/>
      <c r="I754" s="649"/>
      <c r="J754" s="650"/>
      <c r="K754" s="662"/>
      <c r="L754" s="658"/>
    </row>
    <row r="755" spans="1:12" ht="15.75" x14ac:dyDescent="0.25">
      <c r="A755" s="647"/>
      <c r="B755" s="648"/>
      <c r="C755" s="649"/>
      <c r="D755" s="661"/>
      <c r="E755" s="651"/>
      <c r="F755" s="653"/>
      <c r="G755" s="647"/>
      <c r="H755" s="648"/>
      <c r="I755" s="649"/>
      <c r="J755" s="661"/>
      <c r="K755" s="651"/>
      <c r="L755" s="653"/>
    </row>
    <row r="756" spans="1:12" ht="15.75" x14ac:dyDescent="0.25">
      <c r="A756" s="647"/>
      <c r="B756" s="648"/>
      <c r="C756" s="649"/>
      <c r="D756" s="656"/>
      <c r="E756" s="662"/>
      <c r="F756" s="657"/>
      <c r="G756" s="647"/>
      <c r="H756" s="648"/>
      <c r="I756" s="649"/>
      <c r="J756" s="650"/>
      <c r="K756" s="662"/>
      <c r="L756" s="664"/>
    </row>
    <row r="757" spans="1:12" ht="15.75" x14ac:dyDescent="0.25">
      <c r="A757" s="647"/>
      <c r="B757" s="648"/>
      <c r="C757" s="649"/>
      <c r="D757" s="650"/>
      <c r="E757" s="651"/>
      <c r="F757" s="653"/>
      <c r="G757" s="647"/>
      <c r="H757" s="648"/>
      <c r="I757" s="649"/>
      <c r="J757" s="661"/>
      <c r="K757" s="651"/>
      <c r="L757" s="653"/>
    </row>
    <row r="758" spans="1:12" ht="15.75" x14ac:dyDescent="0.25">
      <c r="A758" s="647"/>
      <c r="B758" s="648"/>
      <c r="C758" s="649"/>
      <c r="D758" s="650"/>
      <c r="E758" s="651"/>
      <c r="F758" s="653"/>
      <c r="G758" s="647"/>
      <c r="H758" s="648"/>
      <c r="I758" s="649"/>
      <c r="J758" s="650"/>
      <c r="K758" s="651"/>
      <c r="L758" s="653"/>
    </row>
    <row r="759" spans="1:12" ht="15.75" x14ac:dyDescent="0.25">
      <c r="A759" s="647"/>
      <c r="B759" s="648"/>
      <c r="C759" s="665"/>
      <c r="D759" s="661"/>
      <c r="E759" s="651"/>
      <c r="F759" s="653"/>
      <c r="G759" s="666"/>
      <c r="H759" s="648"/>
      <c r="I759" s="665"/>
      <c r="J759" s="650"/>
      <c r="K759" s="651"/>
      <c r="L759" s="653"/>
    </row>
    <row r="760" spans="1:12" ht="15.75" x14ac:dyDescent="0.25">
      <c r="A760" s="667"/>
      <c r="B760" s="668"/>
      <c r="C760" s="669"/>
      <c r="D760" s="670"/>
      <c r="E760" s="671"/>
      <c r="F760" s="672"/>
      <c r="G760" s="673"/>
      <c r="H760" s="674"/>
      <c r="I760" s="675"/>
      <c r="J760" s="676"/>
      <c r="K760" s="671"/>
      <c r="L760" s="677"/>
    </row>
    <row r="761" spans="1:12" ht="23.25" x14ac:dyDescent="0.35">
      <c r="A761" s="1237" t="s">
        <v>712</v>
      </c>
      <c r="B761" s="1238"/>
      <c r="C761" s="1238"/>
      <c r="D761" s="1238"/>
      <c r="E761" s="1238"/>
      <c r="F761" s="1238"/>
      <c r="G761" s="1238"/>
      <c r="H761" s="1238"/>
      <c r="I761" s="1238"/>
      <c r="J761" s="1238"/>
      <c r="K761" s="1238"/>
      <c r="L761" s="1239"/>
    </row>
    <row r="762" spans="1:12" ht="23.25" x14ac:dyDescent="0.35">
      <c r="A762" s="1240" t="s">
        <v>713</v>
      </c>
      <c r="B762" s="1241"/>
      <c r="C762" s="1241"/>
      <c r="D762" s="1241"/>
      <c r="E762" s="1241"/>
      <c r="F762" s="1241"/>
      <c r="G762" s="1241"/>
      <c r="H762" s="1241"/>
      <c r="I762" s="1241"/>
      <c r="J762" s="1241"/>
      <c r="K762" s="1241"/>
      <c r="L762" s="1242"/>
    </row>
    <row r="763" spans="1:12" ht="23.25" x14ac:dyDescent="0.35">
      <c r="A763" s="1243" t="s">
        <v>714</v>
      </c>
      <c r="B763" s="1244"/>
      <c r="C763" s="1244"/>
      <c r="D763" s="1244"/>
      <c r="E763" s="1244"/>
      <c r="F763" s="1244"/>
      <c r="G763" s="1244"/>
      <c r="H763" s="1244"/>
      <c r="I763" s="1244"/>
      <c r="J763" s="1244"/>
      <c r="K763" s="1244"/>
      <c r="L763" s="1245"/>
    </row>
    <row r="764" spans="1:12" ht="23.25" x14ac:dyDescent="0.35">
      <c r="A764" s="619" t="s">
        <v>715</v>
      </c>
      <c r="B764" s="620"/>
      <c r="C764" s="620"/>
      <c r="D764" s="621" t="s">
        <v>716</v>
      </c>
      <c r="E764" s="1241" t="s">
        <v>717</v>
      </c>
      <c r="F764" s="1241"/>
      <c r="G764" s="1241"/>
      <c r="H764" s="1241"/>
      <c r="I764" s="1241"/>
      <c r="J764" s="618" t="s">
        <v>856</v>
      </c>
      <c r="K764" s="1241"/>
      <c r="L764" s="1242"/>
    </row>
    <row r="765" spans="1:12" x14ac:dyDescent="0.25">
      <c r="A765" s="622"/>
      <c r="B765" s="623"/>
      <c r="C765" s="623"/>
      <c r="D765" s="624"/>
      <c r="E765" s="623"/>
      <c r="F765" s="623"/>
      <c r="G765" s="623"/>
      <c r="H765" s="623"/>
      <c r="I765" s="1246"/>
      <c r="J765" s="1246"/>
      <c r="K765" s="623"/>
      <c r="L765" s="625"/>
    </row>
    <row r="766" spans="1:12" ht="15.75" x14ac:dyDescent="0.25">
      <c r="A766" s="626" t="s">
        <v>719</v>
      </c>
      <c r="B766" s="627"/>
      <c r="C766" s="628"/>
      <c r="D766" s="629" t="s">
        <v>720</v>
      </c>
      <c r="E766" s="630" t="s">
        <v>721</v>
      </c>
      <c r="F766" s="631" t="s">
        <v>722</v>
      </c>
      <c r="G766" s="626" t="s">
        <v>719</v>
      </c>
      <c r="H766" s="632"/>
      <c r="I766" s="633"/>
      <c r="J766" s="634" t="s">
        <v>720</v>
      </c>
      <c r="K766" s="626" t="s">
        <v>721</v>
      </c>
      <c r="L766" s="626" t="s">
        <v>722</v>
      </c>
    </row>
    <row r="767" spans="1:12" ht="15.75" x14ac:dyDescent="0.25">
      <c r="A767" s="635"/>
      <c r="B767" s="636"/>
      <c r="C767" s="637"/>
      <c r="D767" s="638"/>
      <c r="E767" s="639"/>
      <c r="F767" s="640"/>
      <c r="G767" s="641"/>
      <c r="H767" s="642"/>
      <c r="I767" s="643"/>
      <c r="J767" s="644"/>
      <c r="K767" s="645"/>
      <c r="L767" s="646"/>
    </row>
    <row r="768" spans="1:12" ht="15.75" x14ac:dyDescent="0.25">
      <c r="A768" s="647"/>
      <c r="B768" s="648" t="s">
        <v>273</v>
      </c>
      <c r="C768" s="649">
        <v>153</v>
      </c>
      <c r="D768" s="650" t="s">
        <v>857</v>
      </c>
      <c r="E768" s="651"/>
      <c r="F768" s="652"/>
      <c r="G768" s="647"/>
      <c r="H768" s="648"/>
      <c r="I768" s="649"/>
      <c r="J768" s="650"/>
      <c r="K768" s="651"/>
      <c r="L768" s="652"/>
    </row>
    <row r="769" spans="1:12" ht="15.75" x14ac:dyDescent="0.25">
      <c r="A769" s="647" t="s">
        <v>725</v>
      </c>
      <c r="B769" s="654"/>
      <c r="C769" s="649"/>
      <c r="D769" s="650" t="s">
        <v>726</v>
      </c>
      <c r="E769" s="651"/>
      <c r="F769" s="655">
        <v>0.3125</v>
      </c>
      <c r="G769" s="647"/>
      <c r="H769" s="654"/>
      <c r="I769" s="649"/>
      <c r="J769" s="650"/>
      <c r="K769" s="651"/>
      <c r="L769" s="655"/>
    </row>
    <row r="770" spans="1:12" ht="15.75" x14ac:dyDescent="0.25">
      <c r="A770" s="647" t="s">
        <v>787</v>
      </c>
      <c r="B770" s="648"/>
      <c r="C770" s="649"/>
      <c r="D770" s="617" t="s">
        <v>62</v>
      </c>
      <c r="E770" s="651"/>
      <c r="F770" s="658">
        <v>0.34027777777777779</v>
      </c>
      <c r="G770" s="647"/>
      <c r="H770" s="648"/>
      <c r="I770" s="649"/>
      <c r="J770" s="659"/>
      <c r="K770" s="651"/>
      <c r="L770" s="660"/>
    </row>
    <row r="771" spans="1:12" ht="15.75" x14ac:dyDescent="0.25">
      <c r="A771" s="647"/>
      <c r="B771" s="648"/>
      <c r="C771" s="649"/>
      <c r="D771" s="650"/>
      <c r="E771" s="651"/>
      <c r="F771" s="653"/>
      <c r="G771" s="647"/>
      <c r="H771" s="648"/>
      <c r="I771" s="649"/>
      <c r="J771" s="650"/>
      <c r="K771" s="651"/>
      <c r="L771" s="653"/>
    </row>
    <row r="772" spans="1:12" ht="15.75" x14ac:dyDescent="0.25">
      <c r="A772" s="647" t="s">
        <v>725</v>
      </c>
      <c r="B772" s="648"/>
      <c r="C772" s="649"/>
      <c r="D772" s="656" t="s">
        <v>728</v>
      </c>
      <c r="E772" s="662">
        <v>0.41805555555555557</v>
      </c>
      <c r="F772" s="658"/>
      <c r="G772" s="647"/>
      <c r="H772" s="648"/>
      <c r="I772" s="649"/>
      <c r="J772" s="656"/>
      <c r="K772" s="651"/>
      <c r="L772" s="657"/>
    </row>
    <row r="773" spans="1:12" ht="15.75" x14ac:dyDescent="0.25">
      <c r="A773" s="647"/>
      <c r="B773" s="648"/>
      <c r="C773" s="649"/>
      <c r="D773" s="650" t="s">
        <v>733</v>
      </c>
      <c r="E773" s="662">
        <v>0.43888888888888888</v>
      </c>
      <c r="F773" s="653"/>
      <c r="G773" s="647"/>
      <c r="H773" s="648"/>
      <c r="I773" s="649"/>
      <c r="J773" s="661"/>
      <c r="K773" s="651"/>
      <c r="L773" s="653"/>
    </row>
    <row r="774" spans="1:12" ht="15.75" x14ac:dyDescent="0.25">
      <c r="A774" s="647"/>
      <c r="B774" s="648" t="s">
        <v>273</v>
      </c>
      <c r="C774" s="649">
        <v>153</v>
      </c>
      <c r="D774" s="650" t="s">
        <v>858</v>
      </c>
      <c r="E774" s="651"/>
      <c r="F774" s="657"/>
      <c r="G774" s="647"/>
      <c r="H774" s="648"/>
      <c r="I774" s="649"/>
      <c r="J774" s="659"/>
      <c r="K774" s="662"/>
      <c r="L774" s="657"/>
    </row>
    <row r="775" spans="1:12" ht="15.75" x14ac:dyDescent="0.25">
      <c r="A775" s="647"/>
      <c r="B775" s="648"/>
      <c r="C775" s="649"/>
      <c r="D775" s="650"/>
      <c r="E775" s="651"/>
      <c r="F775" s="653"/>
      <c r="G775" s="647"/>
      <c r="H775" s="648"/>
      <c r="I775" s="649"/>
      <c r="J775" s="650"/>
      <c r="K775" s="662"/>
      <c r="L775" s="653"/>
    </row>
    <row r="776" spans="1:12" ht="15.75" x14ac:dyDescent="0.25">
      <c r="A776" s="647"/>
      <c r="B776" s="648" t="s">
        <v>273</v>
      </c>
      <c r="C776" s="649">
        <v>153</v>
      </c>
      <c r="D776" s="650" t="s">
        <v>859</v>
      </c>
      <c r="E776" s="651"/>
      <c r="F776" s="652"/>
      <c r="G776" s="647"/>
      <c r="H776" s="648"/>
      <c r="I776" s="649"/>
      <c r="J776" s="650"/>
      <c r="K776" s="651"/>
      <c r="L776" s="657"/>
    </row>
    <row r="777" spans="1:12" ht="15.75" x14ac:dyDescent="0.25">
      <c r="A777" s="647" t="s">
        <v>725</v>
      </c>
      <c r="B777" s="654"/>
      <c r="C777" s="649"/>
      <c r="D777" s="650" t="s">
        <v>726</v>
      </c>
      <c r="E777" s="651"/>
      <c r="F777" s="655">
        <v>0.68402777777777779</v>
      </c>
      <c r="G777" s="647"/>
      <c r="H777" s="648"/>
      <c r="I777" s="649"/>
      <c r="J777" s="661"/>
      <c r="K777" s="651"/>
      <c r="L777" s="653"/>
    </row>
    <row r="778" spans="1:12" ht="15.75" x14ac:dyDescent="0.25">
      <c r="A778" s="647" t="s">
        <v>787</v>
      </c>
      <c r="B778" s="648"/>
      <c r="C778" s="649"/>
      <c r="D778" s="656" t="s">
        <v>728</v>
      </c>
      <c r="E778" s="651"/>
      <c r="F778" s="657">
        <v>0.71527777777777779</v>
      </c>
      <c r="G778" s="647"/>
      <c r="H778" s="648"/>
      <c r="I778" s="649"/>
      <c r="J778" s="650"/>
      <c r="K778" s="662"/>
      <c r="L778" s="658"/>
    </row>
    <row r="779" spans="1:12" ht="15.75" x14ac:dyDescent="0.25">
      <c r="A779" s="647"/>
      <c r="B779" s="648"/>
      <c r="C779" s="649"/>
      <c r="D779" s="650"/>
      <c r="E779" s="651"/>
      <c r="F779" s="653"/>
      <c r="G779" s="647"/>
      <c r="H779" s="648"/>
      <c r="I779" s="649"/>
      <c r="J779" s="650"/>
      <c r="K779" s="651"/>
      <c r="L779" s="658"/>
    </row>
    <row r="780" spans="1:12" ht="15.75" x14ac:dyDescent="0.25">
      <c r="A780" s="647" t="s">
        <v>725</v>
      </c>
      <c r="B780" s="648"/>
      <c r="C780" s="649"/>
      <c r="D780" s="617" t="s">
        <v>62</v>
      </c>
      <c r="E780" s="662">
        <v>0.78125</v>
      </c>
      <c r="F780" s="660"/>
      <c r="G780" s="647"/>
      <c r="H780" s="648"/>
      <c r="I780" s="649"/>
      <c r="J780" s="663"/>
      <c r="K780" s="662"/>
      <c r="L780" s="653"/>
    </row>
    <row r="781" spans="1:12" ht="15.75" x14ac:dyDescent="0.25">
      <c r="A781" s="647"/>
      <c r="B781" s="648"/>
      <c r="C781" s="649"/>
      <c r="D781" s="650" t="s">
        <v>733</v>
      </c>
      <c r="E781" s="662">
        <v>0.80208333333333337</v>
      </c>
      <c r="F781" s="653"/>
      <c r="G781" s="647"/>
      <c r="H781" s="648"/>
      <c r="I781" s="649"/>
      <c r="J781" s="661"/>
      <c r="K781" s="651"/>
      <c r="L781" s="653"/>
    </row>
    <row r="782" spans="1:12" ht="15.75" x14ac:dyDescent="0.25">
      <c r="A782" s="647"/>
      <c r="B782" s="648" t="s">
        <v>276</v>
      </c>
      <c r="C782" s="649" t="s">
        <v>273</v>
      </c>
      <c r="D782" s="650"/>
      <c r="E782" s="651"/>
      <c r="F782" s="657"/>
      <c r="G782" s="647"/>
      <c r="H782" s="648"/>
      <c r="I782" s="649"/>
      <c r="J782" s="650"/>
      <c r="K782" s="662"/>
      <c r="L782" s="658"/>
    </row>
    <row r="783" spans="1:12" ht="15.75" x14ac:dyDescent="0.25">
      <c r="A783" s="647"/>
      <c r="B783" s="648"/>
      <c r="C783" s="649"/>
      <c r="D783" s="650"/>
      <c r="E783" s="651"/>
      <c r="F783" s="653"/>
      <c r="G783" s="647"/>
      <c r="H783" s="648"/>
      <c r="I783" s="649"/>
      <c r="J783" s="650"/>
      <c r="K783" s="651"/>
      <c r="L783" s="653"/>
    </row>
    <row r="784" spans="1:12" ht="15.75" x14ac:dyDescent="0.25">
      <c r="A784" s="647"/>
      <c r="B784" s="648"/>
      <c r="C784" s="649"/>
      <c r="D784" s="650"/>
      <c r="E784" s="651"/>
      <c r="F784" s="653"/>
      <c r="G784" s="647"/>
      <c r="H784" s="648"/>
      <c r="I784" s="649"/>
      <c r="J784" s="650"/>
      <c r="K784" s="662"/>
      <c r="L784" s="664"/>
    </row>
    <row r="785" spans="1:12" ht="15.75" x14ac:dyDescent="0.25">
      <c r="A785" s="647"/>
      <c r="B785" s="648"/>
      <c r="C785" s="649"/>
      <c r="D785" s="650"/>
      <c r="E785" s="651"/>
      <c r="F785" s="653"/>
      <c r="G785" s="647"/>
      <c r="H785" s="648"/>
      <c r="I785" s="649"/>
      <c r="J785" s="661"/>
      <c r="K785" s="651"/>
      <c r="L785" s="653"/>
    </row>
    <row r="786" spans="1:12" ht="15.75" x14ac:dyDescent="0.25">
      <c r="A786" s="647"/>
      <c r="B786" s="648"/>
      <c r="C786" s="649"/>
      <c r="D786" s="656"/>
      <c r="E786" s="651"/>
      <c r="F786" s="657"/>
      <c r="G786" s="647"/>
      <c r="H786" s="648"/>
      <c r="I786" s="649"/>
      <c r="J786" s="650"/>
      <c r="K786" s="662"/>
      <c r="L786" s="658"/>
    </row>
    <row r="787" spans="1:12" ht="15.75" x14ac:dyDescent="0.25">
      <c r="A787" s="647"/>
      <c r="B787" s="648"/>
      <c r="C787" s="649"/>
      <c r="D787" s="650"/>
      <c r="E787" s="651"/>
      <c r="F787" s="653"/>
      <c r="G787" s="647"/>
      <c r="H787" s="648"/>
      <c r="I787" s="649"/>
      <c r="J787" s="661"/>
      <c r="K787" s="651"/>
      <c r="L787" s="653"/>
    </row>
    <row r="788" spans="1:12" ht="15.75" x14ac:dyDescent="0.25">
      <c r="A788" s="647"/>
      <c r="B788" s="648"/>
      <c r="C788" s="649"/>
      <c r="D788" s="617"/>
      <c r="E788" s="651"/>
      <c r="F788" s="658"/>
      <c r="G788" s="647"/>
      <c r="H788" s="648"/>
      <c r="I788" s="649"/>
      <c r="J788" s="650"/>
      <c r="K788" s="662"/>
      <c r="L788" s="664"/>
    </row>
    <row r="789" spans="1:12" ht="15.75" x14ac:dyDescent="0.25">
      <c r="A789" s="647"/>
      <c r="B789" s="648"/>
      <c r="C789" s="649"/>
      <c r="D789" s="661"/>
      <c r="E789" s="651"/>
      <c r="F789" s="653"/>
      <c r="G789" s="647"/>
      <c r="H789" s="648"/>
      <c r="I789" s="649"/>
      <c r="J789" s="661"/>
      <c r="K789" s="651"/>
      <c r="L789" s="653"/>
    </row>
    <row r="790" spans="1:12" ht="15.75" x14ac:dyDescent="0.25">
      <c r="A790" s="647"/>
      <c r="B790" s="648"/>
      <c r="C790" s="649"/>
      <c r="D790" s="656"/>
      <c r="E790" s="662"/>
      <c r="F790" s="657"/>
      <c r="G790" s="647"/>
      <c r="H790" s="648"/>
      <c r="I790" s="649"/>
      <c r="J790" s="617"/>
      <c r="K790" s="651"/>
      <c r="L790" s="658"/>
    </row>
    <row r="791" spans="1:12" ht="15.75" x14ac:dyDescent="0.25">
      <c r="A791" s="647"/>
      <c r="B791" s="648"/>
      <c r="C791" s="649"/>
      <c r="D791" s="650"/>
      <c r="E791" s="651"/>
      <c r="F791" s="653"/>
      <c r="G791" s="647"/>
      <c r="H791" s="648"/>
      <c r="I791" s="649"/>
      <c r="J791" s="661"/>
      <c r="K791" s="651"/>
      <c r="L791" s="653"/>
    </row>
    <row r="792" spans="1:12" ht="15.75" x14ac:dyDescent="0.25">
      <c r="A792" s="647"/>
      <c r="B792" s="648"/>
      <c r="C792" s="649"/>
      <c r="D792" s="650"/>
      <c r="E792" s="651"/>
      <c r="F792" s="653"/>
      <c r="G792" s="647"/>
      <c r="H792" s="648"/>
      <c r="I792" s="649"/>
      <c r="J792" s="650"/>
      <c r="K792" s="662"/>
      <c r="L792" s="664"/>
    </row>
    <row r="793" spans="1:12" ht="15.75" x14ac:dyDescent="0.25">
      <c r="A793" s="647"/>
      <c r="B793" s="648"/>
      <c r="C793" s="649"/>
      <c r="D793" s="659"/>
      <c r="E793" s="651"/>
      <c r="F793" s="660"/>
      <c r="G793" s="647"/>
      <c r="H793" s="648"/>
      <c r="I793" s="649"/>
      <c r="J793" s="650"/>
      <c r="K793" s="651"/>
      <c r="L793" s="653"/>
    </row>
    <row r="794" spans="1:12" ht="15.75" x14ac:dyDescent="0.25">
      <c r="A794" s="647"/>
      <c r="B794" s="648"/>
      <c r="C794" s="649"/>
      <c r="D794" s="650"/>
      <c r="E794" s="651"/>
      <c r="F794" s="653"/>
      <c r="G794" s="647"/>
      <c r="H794" s="648"/>
      <c r="I794" s="649"/>
      <c r="J794" s="650"/>
      <c r="K794" s="662"/>
      <c r="L794" s="658"/>
    </row>
    <row r="795" spans="1:12" ht="15.75" x14ac:dyDescent="0.25">
      <c r="A795" s="647"/>
      <c r="B795" s="648"/>
      <c r="C795" s="649"/>
      <c r="D795" s="656"/>
      <c r="E795" s="651"/>
      <c r="F795" s="657"/>
      <c r="G795" s="647"/>
      <c r="H795" s="648"/>
      <c r="I795" s="649"/>
      <c r="J795" s="661"/>
      <c r="K795" s="651"/>
      <c r="L795" s="653"/>
    </row>
    <row r="796" spans="1:12" ht="15.75" x14ac:dyDescent="0.25">
      <c r="A796" s="647"/>
      <c r="B796" s="648"/>
      <c r="C796" s="649"/>
      <c r="D796" s="661"/>
      <c r="E796" s="651"/>
      <c r="F796" s="653"/>
      <c r="G796" s="647"/>
      <c r="H796" s="648"/>
      <c r="I796" s="649"/>
      <c r="J796" s="650"/>
      <c r="K796" s="662"/>
      <c r="L796" s="664"/>
    </row>
    <row r="797" spans="1:12" ht="15.75" x14ac:dyDescent="0.25">
      <c r="A797" s="647"/>
      <c r="B797" s="648"/>
      <c r="C797" s="649"/>
      <c r="D797" s="659"/>
      <c r="E797" s="662"/>
      <c r="F797" s="657"/>
      <c r="G797" s="647"/>
      <c r="H797" s="648"/>
      <c r="I797" s="649"/>
      <c r="J797" s="661"/>
      <c r="K797" s="651"/>
      <c r="L797" s="653"/>
    </row>
    <row r="798" spans="1:12" ht="15.75" x14ac:dyDescent="0.25">
      <c r="A798" s="647"/>
      <c r="B798" s="648"/>
      <c r="C798" s="649"/>
      <c r="D798" s="650"/>
      <c r="E798" s="662"/>
      <c r="F798" s="653"/>
      <c r="G798" s="647"/>
      <c r="H798" s="648"/>
      <c r="I798" s="649"/>
      <c r="J798" s="650"/>
      <c r="K798" s="651"/>
      <c r="L798" s="653"/>
    </row>
    <row r="799" spans="1:12" ht="15.75" x14ac:dyDescent="0.25">
      <c r="A799" s="647"/>
      <c r="B799" s="648"/>
      <c r="C799" s="649"/>
      <c r="D799" s="650"/>
      <c r="E799" s="651"/>
      <c r="F799" s="657"/>
      <c r="G799" s="666"/>
      <c r="H799" s="648"/>
      <c r="I799" s="665"/>
      <c r="J799" s="650"/>
      <c r="K799" s="651"/>
      <c r="L799" s="653"/>
    </row>
    <row r="800" spans="1:12" ht="15.75" x14ac:dyDescent="0.25">
      <c r="A800" s="667"/>
      <c r="B800" s="668"/>
      <c r="C800" s="669"/>
      <c r="D800" s="670"/>
      <c r="E800" s="671"/>
      <c r="F800" s="672"/>
      <c r="G800" s="673"/>
      <c r="H800" s="674"/>
      <c r="I800" s="675"/>
      <c r="J800" s="676"/>
      <c r="K800" s="671"/>
      <c r="L800" s="677"/>
    </row>
    <row r="801" spans="1:12" ht="23.25" x14ac:dyDescent="0.35">
      <c r="A801" s="1237" t="s">
        <v>712</v>
      </c>
      <c r="B801" s="1238"/>
      <c r="C801" s="1238"/>
      <c r="D801" s="1238"/>
      <c r="E801" s="1238"/>
      <c r="F801" s="1238"/>
      <c r="G801" s="1238"/>
      <c r="H801" s="1238"/>
      <c r="I801" s="1238"/>
      <c r="J801" s="1238"/>
      <c r="K801" s="1238"/>
      <c r="L801" s="1239"/>
    </row>
    <row r="802" spans="1:12" ht="23.25" x14ac:dyDescent="0.35">
      <c r="A802" s="1240" t="s">
        <v>713</v>
      </c>
      <c r="B802" s="1241"/>
      <c r="C802" s="1241"/>
      <c r="D802" s="1241"/>
      <c r="E802" s="1241"/>
      <c r="F802" s="1241"/>
      <c r="G802" s="1241"/>
      <c r="H802" s="1241"/>
      <c r="I802" s="1241"/>
      <c r="J802" s="1241"/>
      <c r="K802" s="1241"/>
      <c r="L802" s="1242"/>
    </row>
    <row r="803" spans="1:12" ht="23.25" x14ac:dyDescent="0.35">
      <c r="A803" s="1243" t="s">
        <v>714</v>
      </c>
      <c r="B803" s="1244"/>
      <c r="C803" s="1244"/>
      <c r="D803" s="1244"/>
      <c r="E803" s="1244"/>
      <c r="F803" s="1244"/>
      <c r="G803" s="1244"/>
      <c r="H803" s="1244"/>
      <c r="I803" s="1244"/>
      <c r="J803" s="1244"/>
      <c r="K803" s="1244"/>
      <c r="L803" s="1245"/>
    </row>
    <row r="804" spans="1:12" ht="23.25" x14ac:dyDescent="0.35">
      <c r="A804" s="619" t="s">
        <v>227</v>
      </c>
      <c r="B804" s="620"/>
      <c r="C804" s="620"/>
      <c r="D804" s="621" t="s">
        <v>716</v>
      </c>
      <c r="E804" s="1241" t="s">
        <v>717</v>
      </c>
      <c r="F804" s="1241"/>
      <c r="G804" s="1241"/>
      <c r="H804" s="1241"/>
      <c r="I804" s="1241"/>
      <c r="J804" s="618" t="s">
        <v>718</v>
      </c>
      <c r="K804" s="1241"/>
      <c r="L804" s="1242"/>
    </row>
    <row r="805" spans="1:12" x14ac:dyDescent="0.25">
      <c r="A805" s="622"/>
      <c r="B805" s="623"/>
      <c r="C805" s="623"/>
      <c r="D805" s="624"/>
      <c r="E805" s="623"/>
      <c r="F805" s="623"/>
      <c r="G805" s="623"/>
      <c r="H805" s="623"/>
      <c r="I805" s="1246"/>
      <c r="J805" s="1246"/>
      <c r="K805" s="623"/>
      <c r="L805" s="625"/>
    </row>
    <row r="806" spans="1:12" ht="15.75" x14ac:dyDescent="0.25">
      <c r="A806" s="626" t="s">
        <v>719</v>
      </c>
      <c r="B806" s="627"/>
      <c r="C806" s="628"/>
      <c r="D806" s="629" t="s">
        <v>720</v>
      </c>
      <c r="E806" s="630" t="s">
        <v>721</v>
      </c>
      <c r="F806" s="631" t="s">
        <v>722</v>
      </c>
      <c r="G806" s="626" t="s">
        <v>719</v>
      </c>
      <c r="H806" s="632"/>
      <c r="I806" s="633"/>
      <c r="J806" s="634" t="s">
        <v>720</v>
      </c>
      <c r="K806" s="626" t="s">
        <v>721</v>
      </c>
      <c r="L806" s="626" t="s">
        <v>722</v>
      </c>
    </row>
    <row r="807" spans="1:12" ht="15.75" x14ac:dyDescent="0.25">
      <c r="A807" s="635"/>
      <c r="B807" s="636"/>
      <c r="C807" s="637"/>
      <c r="D807" s="638"/>
      <c r="E807" s="639"/>
      <c r="F807" s="640"/>
      <c r="G807" s="641"/>
      <c r="H807" s="642"/>
      <c r="I807" s="643"/>
      <c r="J807" s="644"/>
      <c r="K807" s="645"/>
      <c r="L807" s="646"/>
    </row>
    <row r="808" spans="1:12" ht="15.75" x14ac:dyDescent="0.25">
      <c r="A808" s="647"/>
      <c r="B808" s="648" t="s">
        <v>273</v>
      </c>
      <c r="C808" s="649">
        <v>108</v>
      </c>
      <c r="D808" s="650" t="s">
        <v>772</v>
      </c>
      <c r="E808" s="651"/>
      <c r="F808" s="652"/>
      <c r="G808" s="647"/>
      <c r="H808" s="648" t="s">
        <v>273</v>
      </c>
      <c r="I808" s="649">
        <v>140</v>
      </c>
      <c r="J808" s="650" t="s">
        <v>776</v>
      </c>
      <c r="K808" s="651"/>
      <c r="L808" s="653"/>
    </row>
    <row r="809" spans="1:12" ht="15.75" x14ac:dyDescent="0.25">
      <c r="A809" s="647" t="s">
        <v>725</v>
      </c>
      <c r="B809" s="654"/>
      <c r="C809" s="649"/>
      <c r="D809" s="650" t="s">
        <v>726</v>
      </c>
      <c r="E809" s="651"/>
      <c r="F809" s="655">
        <v>0.24305555555555555</v>
      </c>
      <c r="G809" s="647">
        <v>47</v>
      </c>
      <c r="H809" s="648"/>
      <c r="I809" s="649"/>
      <c r="J809" s="656" t="s">
        <v>860</v>
      </c>
      <c r="K809" s="651"/>
      <c r="L809" s="657">
        <v>0.6875</v>
      </c>
    </row>
    <row r="810" spans="1:12" ht="15.75" x14ac:dyDescent="0.25">
      <c r="A810" s="647">
        <v>47</v>
      </c>
      <c r="B810" s="648"/>
      <c r="C810" s="649"/>
      <c r="D810" s="617" t="s">
        <v>236</v>
      </c>
      <c r="E810" s="651"/>
      <c r="F810" s="658">
        <v>0.27083333333333331</v>
      </c>
      <c r="G810" s="647"/>
      <c r="H810" s="648"/>
      <c r="I810" s="649"/>
      <c r="J810" s="650"/>
      <c r="K810" s="651"/>
      <c r="L810" s="653"/>
    </row>
    <row r="811" spans="1:12" ht="15.75" x14ac:dyDescent="0.25">
      <c r="A811" s="647"/>
      <c r="B811" s="648"/>
      <c r="C811" s="649"/>
      <c r="D811" s="650"/>
      <c r="E811" s="651"/>
      <c r="F811" s="653"/>
      <c r="G811" s="647">
        <v>47</v>
      </c>
      <c r="H811" s="648"/>
      <c r="I811" s="649"/>
      <c r="J811" s="617" t="s">
        <v>236</v>
      </c>
      <c r="K811" s="651"/>
      <c r="L811" s="658">
        <v>0.77083333333333337</v>
      </c>
    </row>
    <row r="812" spans="1:12" ht="15.75" x14ac:dyDescent="0.25">
      <c r="A812" s="647">
        <v>47</v>
      </c>
      <c r="B812" s="648"/>
      <c r="C812" s="649"/>
      <c r="D812" s="656" t="s">
        <v>860</v>
      </c>
      <c r="E812" s="651"/>
      <c r="F812" s="657">
        <v>0.31944444444444442</v>
      </c>
      <c r="G812" s="647"/>
      <c r="H812" s="648"/>
      <c r="I812" s="649"/>
      <c r="J812" s="661"/>
      <c r="K812" s="651"/>
      <c r="L812" s="653"/>
    </row>
    <row r="813" spans="1:12" ht="15.75" x14ac:dyDescent="0.25">
      <c r="A813" s="647"/>
      <c r="B813" s="648"/>
      <c r="C813" s="649"/>
      <c r="D813" s="650"/>
      <c r="E813" s="651"/>
      <c r="F813" s="653"/>
      <c r="G813" s="647" t="s">
        <v>725</v>
      </c>
      <c r="H813" s="648"/>
      <c r="I813" s="649"/>
      <c r="J813" s="656" t="s">
        <v>860</v>
      </c>
      <c r="K813" s="662">
        <v>0.81944444444444442</v>
      </c>
      <c r="L813" s="657"/>
    </row>
    <row r="814" spans="1:12" ht="15.75" x14ac:dyDescent="0.25">
      <c r="A814" s="647">
        <v>47</v>
      </c>
      <c r="B814" s="648"/>
      <c r="C814" s="649"/>
      <c r="D814" s="617" t="s">
        <v>236</v>
      </c>
      <c r="E814" s="651"/>
      <c r="F814" s="658">
        <v>0.375</v>
      </c>
      <c r="G814" s="647"/>
      <c r="H814" s="648"/>
      <c r="I814" s="649"/>
      <c r="J814" s="650" t="s">
        <v>733</v>
      </c>
      <c r="K814" s="662">
        <v>0.84027777777777779</v>
      </c>
      <c r="L814" s="664"/>
    </row>
    <row r="815" spans="1:12" ht="15.75" x14ac:dyDescent="0.25">
      <c r="A815" s="647"/>
      <c r="B815" s="648"/>
      <c r="C815" s="649"/>
      <c r="D815" s="661"/>
      <c r="E815" s="651"/>
      <c r="F815" s="653"/>
      <c r="G815" s="647"/>
      <c r="H815" s="648" t="s">
        <v>273</v>
      </c>
      <c r="I815" s="649">
        <v>140</v>
      </c>
      <c r="J815" s="650" t="s">
        <v>861</v>
      </c>
      <c r="K815" s="651"/>
      <c r="L815" s="653"/>
    </row>
    <row r="816" spans="1:12" ht="15.75" x14ac:dyDescent="0.25">
      <c r="A816" s="647"/>
      <c r="B816" s="648"/>
      <c r="C816" s="649"/>
      <c r="D816" s="656" t="s">
        <v>860</v>
      </c>
      <c r="E816" s="662">
        <v>0.4375</v>
      </c>
      <c r="F816" s="657"/>
      <c r="G816" s="647"/>
      <c r="H816" s="648"/>
      <c r="I816" s="649"/>
      <c r="J816" s="663"/>
      <c r="K816" s="662"/>
      <c r="L816" s="658"/>
    </row>
    <row r="817" spans="1:12" ht="15.75" x14ac:dyDescent="0.25">
      <c r="A817" s="647"/>
      <c r="B817" s="648" t="s">
        <v>276</v>
      </c>
      <c r="C817" s="649" t="s">
        <v>273</v>
      </c>
      <c r="D817" s="650"/>
      <c r="E817" s="651"/>
      <c r="F817" s="653"/>
      <c r="G817" s="647"/>
      <c r="H817" s="648"/>
      <c r="I817" s="649"/>
      <c r="J817" s="663"/>
      <c r="K817" s="651"/>
      <c r="L817" s="653"/>
    </row>
    <row r="818" spans="1:12" ht="15.75" x14ac:dyDescent="0.25">
      <c r="A818" s="647"/>
      <c r="B818" s="648"/>
      <c r="C818" s="649"/>
      <c r="D818" s="661"/>
      <c r="E818" s="651"/>
      <c r="F818" s="653"/>
      <c r="G818" s="647"/>
      <c r="H818" s="648"/>
      <c r="I818" s="649"/>
      <c r="J818" s="650"/>
      <c r="K818" s="651"/>
      <c r="L818" s="664"/>
    </row>
    <row r="819" spans="1:12" ht="15.75" x14ac:dyDescent="0.25">
      <c r="A819" s="647"/>
      <c r="B819" s="648" t="s">
        <v>273</v>
      </c>
      <c r="C819" s="649">
        <v>160</v>
      </c>
      <c r="D819" s="650" t="s">
        <v>803</v>
      </c>
      <c r="E819" s="651"/>
      <c r="F819" s="653"/>
      <c r="G819" s="647"/>
      <c r="H819" s="648"/>
      <c r="I819" s="649"/>
      <c r="J819" s="617"/>
      <c r="K819" s="651"/>
      <c r="L819" s="653"/>
    </row>
    <row r="820" spans="1:12" ht="15.75" x14ac:dyDescent="0.25">
      <c r="A820" s="647">
        <v>47</v>
      </c>
      <c r="B820" s="648"/>
      <c r="C820" s="649"/>
      <c r="D820" s="656" t="s">
        <v>862</v>
      </c>
      <c r="E820" s="651"/>
      <c r="F820" s="657">
        <v>0.4375</v>
      </c>
      <c r="G820" s="647"/>
      <c r="H820" s="648"/>
      <c r="I820" s="649"/>
      <c r="J820" s="661"/>
      <c r="K820" s="651"/>
      <c r="L820" s="658"/>
    </row>
    <row r="821" spans="1:12" ht="15.75" x14ac:dyDescent="0.25">
      <c r="A821" s="647"/>
      <c r="B821" s="648"/>
      <c r="C821" s="649"/>
      <c r="D821" s="650"/>
      <c r="E821" s="651"/>
      <c r="F821" s="653"/>
      <c r="G821" s="647"/>
      <c r="H821" s="648"/>
      <c r="I821" s="649"/>
      <c r="J821" s="617"/>
      <c r="K821" s="651"/>
      <c r="L821" s="653"/>
    </row>
    <row r="822" spans="1:12" ht="15.75" x14ac:dyDescent="0.25">
      <c r="A822" s="647">
        <v>47</v>
      </c>
      <c r="B822" s="648"/>
      <c r="C822" s="649"/>
      <c r="D822" s="617" t="s">
        <v>863</v>
      </c>
      <c r="E822" s="651"/>
      <c r="F822" s="658">
        <v>0.5</v>
      </c>
      <c r="G822" s="647"/>
      <c r="H822" s="648"/>
      <c r="I822" s="649"/>
      <c r="J822" s="661"/>
      <c r="K822" s="651"/>
      <c r="L822" s="658"/>
    </row>
    <row r="823" spans="1:12" ht="15.75" x14ac:dyDescent="0.25">
      <c r="A823" s="647"/>
      <c r="B823" s="648"/>
      <c r="C823" s="649"/>
      <c r="D823" s="661"/>
      <c r="E823" s="651"/>
      <c r="F823" s="653"/>
      <c r="G823" s="647"/>
      <c r="H823" s="648"/>
      <c r="I823" s="649"/>
      <c r="J823" s="661"/>
      <c r="K823" s="651"/>
      <c r="L823" s="653"/>
    </row>
    <row r="824" spans="1:12" ht="15.75" x14ac:dyDescent="0.25">
      <c r="A824" s="647"/>
      <c r="B824" s="648"/>
      <c r="C824" s="649"/>
      <c r="D824" s="656" t="s">
        <v>860</v>
      </c>
      <c r="E824" s="662">
        <v>0.5625</v>
      </c>
      <c r="F824" s="657"/>
      <c r="G824" s="647"/>
      <c r="H824" s="648"/>
      <c r="I824" s="649"/>
      <c r="J824" s="663"/>
      <c r="K824" s="662"/>
      <c r="L824" s="658"/>
    </row>
    <row r="825" spans="1:12" ht="15.75" x14ac:dyDescent="0.25">
      <c r="A825" s="647"/>
      <c r="B825" s="648" t="s">
        <v>273</v>
      </c>
      <c r="C825" s="649">
        <v>160</v>
      </c>
      <c r="D825" s="650" t="s">
        <v>864</v>
      </c>
      <c r="E825" s="651"/>
      <c r="F825" s="653"/>
      <c r="G825" s="647"/>
      <c r="H825" s="648"/>
      <c r="I825" s="649"/>
      <c r="J825" s="663"/>
      <c r="K825" s="651"/>
      <c r="L825" s="653"/>
    </row>
    <row r="826" spans="1:12" ht="15.75" x14ac:dyDescent="0.25">
      <c r="A826" s="647"/>
      <c r="B826" s="648"/>
      <c r="C826" s="649"/>
      <c r="D826" s="650"/>
      <c r="E826" s="651"/>
      <c r="F826" s="653"/>
      <c r="G826" s="647"/>
      <c r="H826" s="648"/>
      <c r="I826" s="649"/>
      <c r="J826" s="650"/>
      <c r="K826" s="651"/>
      <c r="L826" s="664"/>
    </row>
    <row r="827" spans="1:12" ht="15.75" x14ac:dyDescent="0.25">
      <c r="A827" s="647"/>
      <c r="B827" s="648" t="s">
        <v>273</v>
      </c>
      <c r="C827" s="649">
        <v>127</v>
      </c>
      <c r="D827" s="650" t="s">
        <v>821</v>
      </c>
      <c r="E827" s="651"/>
      <c r="F827" s="653"/>
      <c r="G827" s="647"/>
      <c r="H827" s="648"/>
      <c r="I827" s="649"/>
      <c r="J827" s="617"/>
      <c r="K827" s="651"/>
      <c r="L827" s="653"/>
    </row>
    <row r="828" spans="1:12" ht="15.75" x14ac:dyDescent="0.25">
      <c r="A828" s="647">
        <v>47</v>
      </c>
      <c r="B828" s="648"/>
      <c r="C828" s="649"/>
      <c r="D828" s="656" t="s">
        <v>862</v>
      </c>
      <c r="E828" s="651"/>
      <c r="F828" s="657">
        <v>0.5625</v>
      </c>
      <c r="G828" s="647"/>
      <c r="H828" s="648"/>
      <c r="I828" s="649"/>
      <c r="J828" s="661"/>
      <c r="K828" s="651"/>
      <c r="L828" s="658"/>
    </row>
    <row r="829" spans="1:12" ht="15.75" x14ac:dyDescent="0.25">
      <c r="A829" s="647"/>
      <c r="B829" s="648"/>
      <c r="C829" s="649"/>
      <c r="D829" s="650"/>
      <c r="E829" s="651"/>
      <c r="F829" s="653"/>
      <c r="G829" s="647"/>
      <c r="H829" s="648"/>
      <c r="I829" s="649"/>
      <c r="J829" s="617"/>
      <c r="K829" s="651"/>
      <c r="L829" s="653"/>
    </row>
    <row r="830" spans="1:12" ht="15.75" x14ac:dyDescent="0.25">
      <c r="A830" s="647">
        <v>47</v>
      </c>
      <c r="B830" s="648"/>
      <c r="C830" s="649"/>
      <c r="D830" s="617" t="s">
        <v>863</v>
      </c>
      <c r="E830" s="651"/>
      <c r="F830" s="658">
        <v>0.625</v>
      </c>
      <c r="G830" s="647"/>
      <c r="H830" s="648"/>
      <c r="I830" s="649"/>
      <c r="J830" s="661"/>
      <c r="K830" s="651"/>
      <c r="L830" s="658"/>
    </row>
    <row r="831" spans="1:12" ht="15.75" x14ac:dyDescent="0.25">
      <c r="A831" s="647"/>
      <c r="B831" s="648"/>
      <c r="C831" s="649"/>
      <c r="D831" s="661"/>
      <c r="E831" s="651"/>
      <c r="F831" s="653"/>
      <c r="G831" s="647"/>
      <c r="H831" s="648"/>
      <c r="I831" s="649"/>
      <c r="J831" s="661"/>
      <c r="K831" s="651"/>
      <c r="L831" s="653"/>
    </row>
    <row r="832" spans="1:12" ht="15.75" x14ac:dyDescent="0.25">
      <c r="A832" s="647"/>
      <c r="B832" s="648"/>
      <c r="C832" s="649"/>
      <c r="D832" s="656" t="s">
        <v>860</v>
      </c>
      <c r="E832" s="662">
        <v>0.6875</v>
      </c>
      <c r="F832" s="657"/>
      <c r="G832" s="647"/>
      <c r="H832" s="648"/>
      <c r="I832" s="649"/>
      <c r="J832" s="650"/>
      <c r="K832" s="662"/>
      <c r="L832" s="664"/>
    </row>
    <row r="833" spans="1:12" ht="15.75" x14ac:dyDescent="0.25">
      <c r="A833" s="647"/>
      <c r="B833" s="648" t="s">
        <v>273</v>
      </c>
      <c r="C833" s="649">
        <v>127</v>
      </c>
      <c r="D833" s="650" t="s">
        <v>865</v>
      </c>
      <c r="E833" s="651"/>
      <c r="F833" s="653"/>
      <c r="G833" s="647"/>
      <c r="H833" s="648"/>
      <c r="I833" s="649"/>
      <c r="J833" s="650"/>
      <c r="K833" s="651"/>
      <c r="L833" s="653"/>
    </row>
    <row r="834" spans="1:12" ht="15.75" x14ac:dyDescent="0.25">
      <c r="A834" s="647"/>
      <c r="B834" s="648"/>
      <c r="C834" s="649"/>
      <c r="D834" s="650"/>
      <c r="E834" s="651"/>
      <c r="F834" s="653"/>
      <c r="G834" s="647"/>
      <c r="H834" s="648"/>
      <c r="I834" s="649"/>
      <c r="J834" s="650"/>
      <c r="K834" s="662"/>
      <c r="L834" s="658"/>
    </row>
    <row r="835" spans="1:12" ht="15.75" x14ac:dyDescent="0.25">
      <c r="A835" s="647"/>
      <c r="B835" s="648"/>
      <c r="C835" s="649"/>
      <c r="D835" s="650"/>
      <c r="E835" s="651"/>
      <c r="F835" s="653"/>
      <c r="G835" s="647"/>
      <c r="H835" s="648"/>
      <c r="I835" s="649"/>
      <c r="J835" s="661"/>
      <c r="K835" s="651"/>
      <c r="L835" s="653"/>
    </row>
    <row r="836" spans="1:12" ht="15.75" x14ac:dyDescent="0.25">
      <c r="A836" s="647"/>
      <c r="B836" s="648"/>
      <c r="C836" s="649"/>
      <c r="D836" s="617"/>
      <c r="E836" s="651"/>
      <c r="F836" s="658"/>
      <c r="G836" s="647"/>
      <c r="H836" s="648"/>
      <c r="I836" s="649"/>
      <c r="J836" s="650"/>
      <c r="K836" s="662"/>
      <c r="L836" s="664"/>
    </row>
    <row r="837" spans="1:12" ht="15.75" x14ac:dyDescent="0.25">
      <c r="A837" s="647"/>
      <c r="B837" s="648"/>
      <c r="C837" s="649"/>
      <c r="D837" s="661"/>
      <c r="E837" s="651"/>
      <c r="F837" s="653"/>
      <c r="G837" s="647"/>
      <c r="H837" s="648"/>
      <c r="I837" s="649"/>
      <c r="J837" s="661"/>
      <c r="K837" s="651"/>
      <c r="L837" s="653"/>
    </row>
    <row r="838" spans="1:12" ht="15.75" x14ac:dyDescent="0.25">
      <c r="A838" s="647"/>
      <c r="B838" s="648"/>
      <c r="C838" s="649"/>
      <c r="D838" s="656"/>
      <c r="E838" s="662"/>
      <c r="F838" s="657"/>
      <c r="G838" s="647"/>
      <c r="H838" s="648"/>
      <c r="I838" s="649"/>
      <c r="J838" s="650"/>
      <c r="K838" s="651"/>
      <c r="L838" s="653"/>
    </row>
    <row r="839" spans="1:12" ht="15.75" x14ac:dyDescent="0.25">
      <c r="A839" s="647"/>
      <c r="B839" s="648"/>
      <c r="C839" s="649"/>
      <c r="D839" s="650"/>
      <c r="E839" s="651"/>
      <c r="F839" s="653"/>
      <c r="G839" s="666"/>
      <c r="H839" s="648"/>
      <c r="I839" s="665"/>
      <c r="J839" s="650"/>
      <c r="K839" s="651"/>
      <c r="L839" s="653"/>
    </row>
    <row r="840" spans="1:12" ht="15.75" x14ac:dyDescent="0.25">
      <c r="A840" s="667"/>
      <c r="B840" s="668"/>
      <c r="C840" s="669"/>
      <c r="D840" s="670"/>
      <c r="E840" s="671"/>
      <c r="F840" s="672"/>
      <c r="G840" s="673"/>
      <c r="H840" s="674"/>
      <c r="I840" s="675"/>
      <c r="J840" s="676"/>
      <c r="K840" s="671"/>
      <c r="L840" s="677"/>
    </row>
    <row r="841" spans="1:12" ht="23.25" x14ac:dyDescent="0.35">
      <c r="A841" s="1237" t="s">
        <v>712</v>
      </c>
      <c r="B841" s="1238"/>
      <c r="C841" s="1238"/>
      <c r="D841" s="1238"/>
      <c r="E841" s="1238"/>
      <c r="F841" s="1238"/>
      <c r="G841" s="1238"/>
      <c r="H841" s="1238"/>
      <c r="I841" s="1238"/>
      <c r="J841" s="1238"/>
      <c r="K841" s="1238"/>
      <c r="L841" s="1239"/>
    </row>
    <row r="842" spans="1:12" ht="23.25" x14ac:dyDescent="0.35">
      <c r="A842" s="1240" t="s">
        <v>713</v>
      </c>
      <c r="B842" s="1241"/>
      <c r="C842" s="1241"/>
      <c r="D842" s="1241"/>
      <c r="E842" s="1241"/>
      <c r="F842" s="1241"/>
      <c r="G842" s="1241"/>
      <c r="H842" s="1241"/>
      <c r="I842" s="1241"/>
      <c r="J842" s="1241"/>
      <c r="K842" s="1241"/>
      <c r="L842" s="1242"/>
    </row>
    <row r="843" spans="1:12" ht="23.25" x14ac:dyDescent="0.35">
      <c r="A843" s="1243" t="s">
        <v>714</v>
      </c>
      <c r="B843" s="1244"/>
      <c r="C843" s="1244"/>
      <c r="D843" s="1244"/>
      <c r="E843" s="1244"/>
      <c r="F843" s="1244"/>
      <c r="G843" s="1244"/>
      <c r="H843" s="1244"/>
      <c r="I843" s="1244"/>
      <c r="J843" s="1244"/>
      <c r="K843" s="1244"/>
      <c r="L843" s="1245"/>
    </row>
    <row r="844" spans="1:12" ht="23.25" x14ac:dyDescent="0.35">
      <c r="A844" s="619" t="s">
        <v>227</v>
      </c>
      <c r="B844" s="620"/>
      <c r="C844" s="620"/>
      <c r="D844" s="621" t="s">
        <v>716</v>
      </c>
      <c r="E844" s="1241" t="s">
        <v>717</v>
      </c>
      <c r="F844" s="1241"/>
      <c r="G844" s="1241"/>
      <c r="H844" s="1241"/>
      <c r="I844" s="1241"/>
      <c r="J844" s="618" t="s">
        <v>735</v>
      </c>
      <c r="K844" s="1241"/>
      <c r="L844" s="1242"/>
    </row>
    <row r="845" spans="1:12" x14ac:dyDescent="0.25">
      <c r="A845" s="622"/>
      <c r="B845" s="623"/>
      <c r="C845" s="623"/>
      <c r="D845" s="624"/>
      <c r="E845" s="623"/>
      <c r="F845" s="623"/>
      <c r="G845" s="623"/>
      <c r="H845" s="623"/>
      <c r="I845" s="1246"/>
      <c r="J845" s="1246"/>
      <c r="K845" s="623"/>
      <c r="L845" s="625"/>
    </row>
    <row r="846" spans="1:12" ht="15.75" x14ac:dyDescent="0.25">
      <c r="A846" s="626" t="s">
        <v>719</v>
      </c>
      <c r="B846" s="627"/>
      <c r="C846" s="628"/>
      <c r="D846" s="629" t="s">
        <v>720</v>
      </c>
      <c r="E846" s="630" t="s">
        <v>721</v>
      </c>
      <c r="F846" s="631" t="s">
        <v>722</v>
      </c>
      <c r="G846" s="626" t="s">
        <v>719</v>
      </c>
      <c r="H846" s="632"/>
      <c r="I846" s="633"/>
      <c r="J846" s="634" t="s">
        <v>720</v>
      </c>
      <c r="K846" s="626" t="s">
        <v>721</v>
      </c>
      <c r="L846" s="626" t="s">
        <v>722</v>
      </c>
    </row>
    <row r="847" spans="1:12" ht="15.75" x14ac:dyDescent="0.25">
      <c r="A847" s="635"/>
      <c r="B847" s="636"/>
      <c r="C847" s="637"/>
      <c r="D847" s="638"/>
      <c r="E847" s="639"/>
      <c r="F847" s="640"/>
      <c r="G847" s="641"/>
      <c r="H847" s="642"/>
      <c r="I847" s="643"/>
      <c r="J847" s="644"/>
      <c r="K847" s="645"/>
      <c r="L847" s="646"/>
    </row>
    <row r="848" spans="1:12" ht="15.75" x14ac:dyDescent="0.25">
      <c r="A848" s="647"/>
      <c r="B848" s="648" t="s">
        <v>273</v>
      </c>
      <c r="C848" s="649">
        <v>112</v>
      </c>
      <c r="D848" s="650" t="s">
        <v>866</v>
      </c>
      <c r="E848" s="651"/>
      <c r="F848" s="652"/>
      <c r="G848" s="647"/>
      <c r="H848" s="648" t="s">
        <v>273</v>
      </c>
      <c r="I848" s="649">
        <v>143</v>
      </c>
      <c r="J848" s="650" t="s">
        <v>781</v>
      </c>
      <c r="K848" s="651"/>
      <c r="L848" s="653"/>
    </row>
    <row r="849" spans="1:12" ht="15.75" x14ac:dyDescent="0.25">
      <c r="A849" s="647" t="s">
        <v>725</v>
      </c>
      <c r="B849" s="654"/>
      <c r="C849" s="649"/>
      <c r="D849" s="650" t="s">
        <v>726</v>
      </c>
      <c r="E849" s="651"/>
      <c r="F849" s="655">
        <v>0.2638888888888889</v>
      </c>
      <c r="G849" s="647">
        <v>47</v>
      </c>
      <c r="H849" s="648"/>
      <c r="I849" s="649"/>
      <c r="J849" s="656" t="s">
        <v>860</v>
      </c>
      <c r="K849" s="651"/>
      <c r="L849" s="657">
        <v>0.89583333333333337</v>
      </c>
    </row>
    <row r="850" spans="1:12" ht="15.75" x14ac:dyDescent="0.25">
      <c r="A850" s="647">
        <v>47</v>
      </c>
      <c r="B850" s="648"/>
      <c r="C850" s="649"/>
      <c r="D850" s="617" t="s">
        <v>236</v>
      </c>
      <c r="E850" s="651"/>
      <c r="F850" s="658">
        <v>0.29166666666666669</v>
      </c>
      <c r="G850" s="647"/>
      <c r="H850" s="648"/>
      <c r="I850" s="649"/>
      <c r="J850" s="650"/>
      <c r="K850" s="651"/>
      <c r="L850" s="653"/>
    </row>
    <row r="851" spans="1:12" ht="15.75" x14ac:dyDescent="0.25">
      <c r="A851" s="647"/>
      <c r="B851" s="648"/>
      <c r="C851" s="649"/>
      <c r="D851" s="650"/>
      <c r="E851" s="651"/>
      <c r="F851" s="653"/>
      <c r="G851" s="647">
        <v>47</v>
      </c>
      <c r="H851" s="648"/>
      <c r="I851" s="649"/>
      <c r="J851" s="617" t="s">
        <v>236</v>
      </c>
      <c r="K851" s="651"/>
      <c r="L851" s="658">
        <v>0.9375</v>
      </c>
    </row>
    <row r="852" spans="1:12" ht="15.75" x14ac:dyDescent="0.25">
      <c r="A852" s="647">
        <v>47</v>
      </c>
      <c r="B852" s="648"/>
      <c r="C852" s="649"/>
      <c r="D852" s="656" t="s">
        <v>860</v>
      </c>
      <c r="E852" s="651"/>
      <c r="F852" s="657">
        <v>0.35416666666666669</v>
      </c>
      <c r="G852" s="647"/>
      <c r="H852" s="648"/>
      <c r="I852" s="649"/>
      <c r="J852" s="661"/>
      <c r="K852" s="651"/>
      <c r="L852" s="653"/>
    </row>
    <row r="853" spans="1:12" ht="15.75" x14ac:dyDescent="0.25">
      <c r="A853" s="647"/>
      <c r="B853" s="648"/>
      <c r="C853" s="649"/>
      <c r="D853" s="650"/>
      <c r="E853" s="651"/>
      <c r="F853" s="653"/>
      <c r="G853" s="647">
        <v>47</v>
      </c>
      <c r="H853" s="648"/>
      <c r="I853" s="649"/>
      <c r="J853" s="656" t="s">
        <v>860</v>
      </c>
      <c r="K853" s="651"/>
      <c r="L853" s="657">
        <v>0.97916666666666663</v>
      </c>
    </row>
    <row r="854" spans="1:12" ht="15.75" x14ac:dyDescent="0.25">
      <c r="A854" s="647" t="s">
        <v>725</v>
      </c>
      <c r="B854" s="648"/>
      <c r="C854" s="649"/>
      <c r="D854" s="617" t="s">
        <v>236</v>
      </c>
      <c r="E854" s="662">
        <v>0.41666666666666669</v>
      </c>
      <c r="F854" s="658"/>
      <c r="G854" s="647"/>
      <c r="H854" s="648"/>
      <c r="I854" s="649"/>
      <c r="J854" s="650"/>
      <c r="K854" s="651"/>
      <c r="L854" s="653"/>
    </row>
    <row r="855" spans="1:12" ht="15.75" x14ac:dyDescent="0.25">
      <c r="A855" s="647"/>
      <c r="B855" s="648"/>
      <c r="C855" s="649"/>
      <c r="D855" s="650" t="s">
        <v>733</v>
      </c>
      <c r="E855" s="662">
        <v>0.44097222222222221</v>
      </c>
      <c r="F855" s="664"/>
      <c r="G855" s="647" t="s">
        <v>725</v>
      </c>
      <c r="H855" s="648"/>
      <c r="I855" s="649"/>
      <c r="J855" s="617" t="s">
        <v>236</v>
      </c>
      <c r="K855" s="662">
        <v>1.0138888888888888</v>
      </c>
      <c r="L855" s="658"/>
    </row>
    <row r="856" spans="1:12" ht="15.75" x14ac:dyDescent="0.25">
      <c r="A856" s="647"/>
      <c r="B856" s="648" t="s">
        <v>273</v>
      </c>
      <c r="C856" s="649">
        <v>112</v>
      </c>
      <c r="D856" s="650" t="s">
        <v>867</v>
      </c>
      <c r="E856" s="651"/>
      <c r="F856" s="653"/>
      <c r="G856" s="647"/>
      <c r="H856" s="648"/>
      <c r="I856" s="649"/>
      <c r="J856" s="650" t="s">
        <v>733</v>
      </c>
      <c r="K856" s="662">
        <v>1.0347222222222223</v>
      </c>
      <c r="L856" s="664"/>
    </row>
    <row r="857" spans="1:12" ht="15.75" x14ac:dyDescent="0.25">
      <c r="A857" s="647"/>
      <c r="B857" s="648"/>
      <c r="C857" s="649"/>
      <c r="D857" s="663"/>
      <c r="E857" s="662"/>
      <c r="F857" s="658"/>
      <c r="G857" s="647"/>
      <c r="H857" s="648" t="s">
        <v>276</v>
      </c>
      <c r="I857" s="649" t="s">
        <v>273</v>
      </c>
      <c r="J857" s="650"/>
      <c r="K857" s="651"/>
      <c r="L857" s="653"/>
    </row>
    <row r="858" spans="1:12" ht="15.75" x14ac:dyDescent="0.25">
      <c r="A858" s="647"/>
      <c r="B858" s="648" t="s">
        <v>273</v>
      </c>
      <c r="C858" s="649">
        <v>135</v>
      </c>
      <c r="D858" s="650" t="s">
        <v>868</v>
      </c>
      <c r="E858" s="651"/>
      <c r="F858" s="652"/>
      <c r="G858" s="647"/>
      <c r="H858" s="648"/>
      <c r="I858" s="649"/>
      <c r="J858" s="650"/>
      <c r="K858" s="651"/>
      <c r="L858" s="664"/>
    </row>
    <row r="859" spans="1:12" ht="15.75" x14ac:dyDescent="0.25">
      <c r="A859" s="647" t="s">
        <v>725</v>
      </c>
      <c r="B859" s="654"/>
      <c r="C859" s="649"/>
      <c r="D859" s="650" t="s">
        <v>726</v>
      </c>
      <c r="E859" s="651"/>
      <c r="F859" s="655">
        <v>0.62152777777777779</v>
      </c>
      <c r="G859" s="647"/>
      <c r="H859" s="648"/>
      <c r="I859" s="649"/>
      <c r="J859" s="617"/>
      <c r="K859" s="651"/>
      <c r="L859" s="653"/>
    </row>
    <row r="860" spans="1:12" ht="15.75" x14ac:dyDescent="0.25">
      <c r="A860" s="647">
        <v>47</v>
      </c>
      <c r="B860" s="648"/>
      <c r="C860" s="649"/>
      <c r="D860" s="656" t="s">
        <v>860</v>
      </c>
      <c r="E860" s="651"/>
      <c r="F860" s="657">
        <v>0.64583333333333337</v>
      </c>
      <c r="G860" s="647"/>
      <c r="H860" s="648"/>
      <c r="I860" s="649"/>
      <c r="J860" s="661"/>
      <c r="K860" s="651"/>
      <c r="L860" s="658"/>
    </row>
    <row r="861" spans="1:12" ht="15.75" x14ac:dyDescent="0.25">
      <c r="A861" s="647"/>
      <c r="B861" s="648"/>
      <c r="C861" s="649"/>
      <c r="D861" s="650"/>
      <c r="E861" s="651"/>
      <c r="F861" s="653"/>
      <c r="G861" s="647"/>
      <c r="H861" s="648"/>
      <c r="I861" s="649"/>
      <c r="J861" s="617"/>
      <c r="K861" s="651"/>
      <c r="L861" s="653"/>
    </row>
    <row r="862" spans="1:12" ht="15.75" x14ac:dyDescent="0.25">
      <c r="A862" s="647">
        <v>47</v>
      </c>
      <c r="B862" s="648"/>
      <c r="C862" s="649"/>
      <c r="D862" s="617" t="s">
        <v>236</v>
      </c>
      <c r="E862" s="651"/>
      <c r="F862" s="658">
        <v>0.71875</v>
      </c>
      <c r="G862" s="647"/>
      <c r="H862" s="648"/>
      <c r="I862" s="649"/>
      <c r="J862" s="661"/>
      <c r="K862" s="651"/>
      <c r="L862" s="658"/>
    </row>
    <row r="863" spans="1:12" ht="15.75" x14ac:dyDescent="0.25">
      <c r="A863" s="647"/>
      <c r="B863" s="648"/>
      <c r="C863" s="649"/>
      <c r="D863" s="661"/>
      <c r="E863" s="651"/>
      <c r="F863" s="653"/>
      <c r="G863" s="647"/>
      <c r="H863" s="648"/>
      <c r="I863" s="649"/>
      <c r="J863" s="661"/>
      <c r="K863" s="651"/>
      <c r="L863" s="653"/>
    </row>
    <row r="864" spans="1:12" ht="15.75" x14ac:dyDescent="0.25">
      <c r="A864" s="647"/>
      <c r="B864" s="648"/>
      <c r="C864" s="649"/>
      <c r="D864" s="656" t="s">
        <v>860</v>
      </c>
      <c r="E864" s="662">
        <v>0.78125</v>
      </c>
      <c r="F864" s="657"/>
      <c r="G864" s="647"/>
      <c r="H864" s="648"/>
      <c r="I864" s="649"/>
      <c r="J864" s="663"/>
      <c r="K864" s="662"/>
      <c r="L864" s="658"/>
    </row>
    <row r="865" spans="1:12" ht="15.75" x14ac:dyDescent="0.25">
      <c r="A865" s="647"/>
      <c r="B865" s="648" t="s">
        <v>273</v>
      </c>
      <c r="C865" s="649">
        <v>135</v>
      </c>
      <c r="D865" s="650" t="s">
        <v>869</v>
      </c>
      <c r="E865" s="651"/>
      <c r="F865" s="653"/>
      <c r="G865" s="647"/>
      <c r="H865" s="648"/>
      <c r="I865" s="649"/>
      <c r="J865" s="663"/>
      <c r="K865" s="651"/>
      <c r="L865" s="653"/>
    </row>
    <row r="866" spans="1:12" ht="15.75" x14ac:dyDescent="0.25">
      <c r="A866" s="647"/>
      <c r="B866" s="648"/>
      <c r="C866" s="649"/>
      <c r="D866" s="650"/>
      <c r="E866" s="651"/>
      <c r="F866" s="653"/>
      <c r="G866" s="647"/>
      <c r="H866" s="648"/>
      <c r="I866" s="649"/>
      <c r="J866" s="650"/>
      <c r="K866" s="651"/>
      <c r="L866" s="664"/>
    </row>
    <row r="867" spans="1:12" ht="15.75" x14ac:dyDescent="0.25">
      <c r="A867" s="647"/>
      <c r="B867" s="648" t="s">
        <v>273</v>
      </c>
      <c r="C867" s="649">
        <v>130</v>
      </c>
      <c r="D867" s="650" t="s">
        <v>737</v>
      </c>
      <c r="E867" s="651"/>
      <c r="F867" s="653"/>
      <c r="G867" s="647"/>
      <c r="H867" s="648"/>
      <c r="I867" s="649"/>
      <c r="J867" s="617"/>
      <c r="K867" s="651"/>
      <c r="L867" s="653"/>
    </row>
    <row r="868" spans="1:12" ht="15.75" x14ac:dyDescent="0.25">
      <c r="A868" s="647">
        <v>47</v>
      </c>
      <c r="B868" s="648"/>
      <c r="C868" s="649"/>
      <c r="D868" s="656" t="s">
        <v>860</v>
      </c>
      <c r="E868" s="651"/>
      <c r="F868" s="657">
        <v>0.78125</v>
      </c>
      <c r="G868" s="647"/>
      <c r="H868" s="648"/>
      <c r="I868" s="649"/>
      <c r="J868" s="661"/>
      <c r="K868" s="651"/>
      <c r="L868" s="658"/>
    </row>
    <row r="869" spans="1:12" ht="15.75" x14ac:dyDescent="0.25">
      <c r="A869" s="647"/>
      <c r="B869" s="648"/>
      <c r="C869" s="649"/>
      <c r="D869" s="650"/>
      <c r="E869" s="651"/>
      <c r="F869" s="653"/>
      <c r="G869" s="647"/>
      <c r="H869" s="648"/>
      <c r="I869" s="649"/>
      <c r="J869" s="617"/>
      <c r="K869" s="651"/>
      <c r="L869" s="653"/>
    </row>
    <row r="870" spans="1:12" ht="15.75" x14ac:dyDescent="0.25">
      <c r="A870" s="647">
        <v>47</v>
      </c>
      <c r="B870" s="648"/>
      <c r="C870" s="649"/>
      <c r="D870" s="617" t="s">
        <v>236</v>
      </c>
      <c r="E870" s="651"/>
      <c r="F870" s="658">
        <v>0.85416666666666663</v>
      </c>
      <c r="G870" s="647"/>
      <c r="H870" s="648"/>
      <c r="I870" s="649"/>
      <c r="J870" s="661"/>
      <c r="K870" s="651"/>
      <c r="L870" s="658"/>
    </row>
    <row r="871" spans="1:12" ht="15.75" x14ac:dyDescent="0.25">
      <c r="A871" s="647"/>
      <c r="B871" s="648"/>
      <c r="C871" s="649"/>
      <c r="D871" s="661"/>
      <c r="E871" s="651"/>
      <c r="F871" s="653"/>
      <c r="G871" s="647"/>
      <c r="H871" s="648"/>
      <c r="I871" s="649"/>
      <c r="J871" s="661"/>
      <c r="K871" s="651"/>
      <c r="L871" s="653"/>
    </row>
    <row r="872" spans="1:12" ht="15.75" x14ac:dyDescent="0.25">
      <c r="A872" s="647"/>
      <c r="B872" s="648"/>
      <c r="C872" s="649"/>
      <c r="D872" s="656" t="s">
        <v>860</v>
      </c>
      <c r="E872" s="662">
        <v>0.89583333333333337</v>
      </c>
      <c r="F872" s="657"/>
      <c r="G872" s="647"/>
      <c r="H872" s="648"/>
      <c r="I872" s="649"/>
      <c r="J872" s="650"/>
      <c r="K872" s="662"/>
      <c r="L872" s="664"/>
    </row>
    <row r="873" spans="1:12" ht="15.75" x14ac:dyDescent="0.25">
      <c r="A873" s="647"/>
      <c r="B873" s="648" t="s">
        <v>276</v>
      </c>
      <c r="C873" s="649" t="s">
        <v>273</v>
      </c>
      <c r="D873" s="650"/>
      <c r="E873" s="651"/>
      <c r="F873" s="653"/>
      <c r="G873" s="647"/>
      <c r="H873" s="648"/>
      <c r="I873" s="649"/>
      <c r="J873" s="650"/>
      <c r="K873" s="651"/>
      <c r="L873" s="653"/>
    </row>
    <row r="874" spans="1:12" ht="15.75" x14ac:dyDescent="0.25">
      <c r="A874" s="647"/>
      <c r="B874" s="648"/>
      <c r="C874" s="649"/>
      <c r="D874" s="650"/>
      <c r="E874" s="651"/>
      <c r="F874" s="653"/>
      <c r="G874" s="647"/>
      <c r="H874" s="648"/>
      <c r="I874" s="649"/>
      <c r="J874" s="650"/>
      <c r="K874" s="662"/>
      <c r="L874" s="658"/>
    </row>
    <row r="875" spans="1:12" ht="15.75" x14ac:dyDescent="0.25">
      <c r="A875" s="647"/>
      <c r="B875" s="648"/>
      <c r="C875" s="649"/>
      <c r="D875" s="650"/>
      <c r="E875" s="651"/>
      <c r="F875" s="653"/>
      <c r="G875" s="647"/>
      <c r="H875" s="648"/>
      <c r="I875" s="649"/>
      <c r="J875" s="661"/>
      <c r="K875" s="651"/>
      <c r="L875" s="653"/>
    </row>
    <row r="876" spans="1:12" ht="15.75" x14ac:dyDescent="0.25">
      <c r="A876" s="647"/>
      <c r="B876" s="648"/>
      <c r="C876" s="649"/>
      <c r="D876" s="617"/>
      <c r="E876" s="651"/>
      <c r="F876" s="658"/>
      <c r="G876" s="647"/>
      <c r="H876" s="648"/>
      <c r="I876" s="649"/>
      <c r="J876" s="650"/>
      <c r="K876" s="662"/>
      <c r="L876" s="664"/>
    </row>
    <row r="877" spans="1:12" ht="15.75" x14ac:dyDescent="0.25">
      <c r="A877" s="647"/>
      <c r="B877" s="648"/>
      <c r="C877" s="649"/>
      <c r="D877" s="661"/>
      <c r="E877" s="651"/>
      <c r="F877" s="653"/>
      <c r="G877" s="647"/>
      <c r="H877" s="648"/>
      <c r="I877" s="649"/>
      <c r="J877" s="661"/>
      <c r="K877" s="651"/>
      <c r="L877" s="653"/>
    </row>
    <row r="878" spans="1:12" ht="15.75" x14ac:dyDescent="0.25">
      <c r="A878" s="647"/>
      <c r="B878" s="648"/>
      <c r="C878" s="649"/>
      <c r="D878" s="656"/>
      <c r="E878" s="662"/>
      <c r="F878" s="657"/>
      <c r="G878" s="647"/>
      <c r="H878" s="648"/>
      <c r="I878" s="649"/>
      <c r="J878" s="650"/>
      <c r="K878" s="651"/>
      <c r="L878" s="653"/>
    </row>
    <row r="879" spans="1:12" ht="15.75" x14ac:dyDescent="0.25">
      <c r="A879" s="647"/>
      <c r="B879" s="648"/>
      <c r="C879" s="649"/>
      <c r="D879" s="650"/>
      <c r="E879" s="651"/>
      <c r="F879" s="653"/>
      <c r="G879" s="666"/>
      <c r="H879" s="648"/>
      <c r="I879" s="665"/>
      <c r="J879" s="650"/>
      <c r="K879" s="651"/>
      <c r="L879" s="653"/>
    </row>
    <row r="880" spans="1:12" ht="15.75" x14ac:dyDescent="0.25">
      <c r="A880" s="667"/>
      <c r="B880" s="668"/>
      <c r="C880" s="669"/>
      <c r="D880" s="670"/>
      <c r="E880" s="671"/>
      <c r="F880" s="672"/>
      <c r="G880" s="673"/>
      <c r="H880" s="674"/>
      <c r="I880" s="675"/>
      <c r="J880" s="676"/>
      <c r="K880" s="671"/>
      <c r="L880" s="677"/>
    </row>
    <row r="881" spans="1:12" ht="23.25" x14ac:dyDescent="0.35">
      <c r="A881" s="1237" t="s">
        <v>712</v>
      </c>
      <c r="B881" s="1238"/>
      <c r="C881" s="1238"/>
      <c r="D881" s="1238"/>
      <c r="E881" s="1238"/>
      <c r="F881" s="1238"/>
      <c r="G881" s="1238"/>
      <c r="H881" s="1238"/>
      <c r="I881" s="1238"/>
      <c r="J881" s="1238"/>
      <c r="K881" s="1238"/>
      <c r="L881" s="1239"/>
    </row>
    <row r="882" spans="1:12" ht="23.25" x14ac:dyDescent="0.35">
      <c r="A882" s="1240" t="s">
        <v>713</v>
      </c>
      <c r="B882" s="1241"/>
      <c r="C882" s="1241"/>
      <c r="D882" s="1241"/>
      <c r="E882" s="1241"/>
      <c r="F882" s="1241"/>
      <c r="G882" s="1241"/>
      <c r="H882" s="1241"/>
      <c r="I882" s="1241"/>
      <c r="J882" s="1241"/>
      <c r="K882" s="1241"/>
      <c r="L882" s="1242"/>
    </row>
    <row r="883" spans="1:12" ht="23.25" x14ac:dyDescent="0.35">
      <c r="A883" s="1243" t="s">
        <v>714</v>
      </c>
      <c r="B883" s="1244"/>
      <c r="C883" s="1244"/>
      <c r="D883" s="1244"/>
      <c r="E883" s="1244"/>
      <c r="F883" s="1244"/>
      <c r="G883" s="1244"/>
      <c r="H883" s="1244"/>
      <c r="I883" s="1244"/>
      <c r="J883" s="1244"/>
      <c r="K883" s="1244"/>
      <c r="L883" s="1245"/>
    </row>
    <row r="884" spans="1:12" ht="23.25" x14ac:dyDescent="0.35">
      <c r="A884" s="619" t="s">
        <v>227</v>
      </c>
      <c r="B884" s="620"/>
      <c r="C884" s="620"/>
      <c r="D884" s="621" t="s">
        <v>716</v>
      </c>
      <c r="E884" s="1241" t="s">
        <v>717</v>
      </c>
      <c r="F884" s="1241"/>
      <c r="G884" s="1241"/>
      <c r="H884" s="1241"/>
      <c r="I884" s="1241"/>
      <c r="J884" s="618" t="s">
        <v>744</v>
      </c>
      <c r="K884" s="1241"/>
      <c r="L884" s="1242"/>
    </row>
    <row r="885" spans="1:12" x14ac:dyDescent="0.25">
      <c r="A885" s="622"/>
      <c r="B885" s="623"/>
      <c r="C885" s="623"/>
      <c r="D885" s="624"/>
      <c r="E885" s="623"/>
      <c r="F885" s="623"/>
      <c r="G885" s="623"/>
      <c r="H885" s="623"/>
      <c r="I885" s="1246"/>
      <c r="J885" s="1246"/>
      <c r="K885" s="623"/>
      <c r="L885" s="625"/>
    </row>
    <row r="886" spans="1:12" ht="15.75" x14ac:dyDescent="0.25">
      <c r="A886" s="626" t="s">
        <v>719</v>
      </c>
      <c r="B886" s="627"/>
      <c r="C886" s="628"/>
      <c r="D886" s="629" t="s">
        <v>720</v>
      </c>
      <c r="E886" s="630" t="s">
        <v>721</v>
      </c>
      <c r="F886" s="631" t="s">
        <v>722</v>
      </c>
      <c r="G886" s="626" t="s">
        <v>719</v>
      </c>
      <c r="H886" s="632"/>
      <c r="I886" s="633"/>
      <c r="J886" s="634" t="s">
        <v>720</v>
      </c>
      <c r="K886" s="626" t="s">
        <v>721</v>
      </c>
      <c r="L886" s="626" t="s">
        <v>722</v>
      </c>
    </row>
    <row r="887" spans="1:12" ht="15.75" x14ac:dyDescent="0.25">
      <c r="A887" s="635"/>
      <c r="B887" s="636"/>
      <c r="C887" s="637"/>
      <c r="D887" s="638"/>
      <c r="E887" s="639"/>
      <c r="F887" s="640"/>
      <c r="G887" s="641"/>
      <c r="H887" s="642"/>
      <c r="I887" s="643"/>
      <c r="J887" s="644"/>
      <c r="K887" s="645"/>
      <c r="L887" s="646"/>
    </row>
    <row r="888" spans="1:12" ht="15.75" x14ac:dyDescent="0.25">
      <c r="A888" s="647"/>
      <c r="B888" s="648" t="s">
        <v>273</v>
      </c>
      <c r="C888" s="649">
        <v>117</v>
      </c>
      <c r="D888" s="650" t="s">
        <v>825</v>
      </c>
      <c r="E888" s="651"/>
      <c r="F888" s="652"/>
      <c r="G888" s="647"/>
      <c r="H888" s="648" t="s">
        <v>273</v>
      </c>
      <c r="I888" s="649">
        <v>144</v>
      </c>
      <c r="J888" s="650" t="s">
        <v>767</v>
      </c>
      <c r="K888" s="651"/>
      <c r="L888" s="653"/>
    </row>
    <row r="889" spans="1:12" ht="15.75" x14ac:dyDescent="0.25">
      <c r="A889" s="647" t="s">
        <v>725</v>
      </c>
      <c r="B889" s="654"/>
      <c r="C889" s="649"/>
      <c r="D889" s="650" t="s">
        <v>726</v>
      </c>
      <c r="E889" s="651"/>
      <c r="F889" s="655">
        <v>0.28472222222222221</v>
      </c>
      <c r="G889" s="647">
        <v>47</v>
      </c>
      <c r="H889" s="648"/>
      <c r="I889" s="649"/>
      <c r="J889" s="656" t="s">
        <v>860</v>
      </c>
      <c r="K889" s="651"/>
      <c r="L889" s="657">
        <v>0.75</v>
      </c>
    </row>
    <row r="890" spans="1:12" ht="15.75" x14ac:dyDescent="0.25">
      <c r="A890" s="647">
        <v>47</v>
      </c>
      <c r="B890" s="648"/>
      <c r="C890" s="649"/>
      <c r="D890" s="617" t="s">
        <v>236</v>
      </c>
      <c r="E890" s="651"/>
      <c r="F890" s="658">
        <v>0.3125</v>
      </c>
      <c r="G890" s="647"/>
      <c r="H890" s="648"/>
      <c r="I890" s="649"/>
      <c r="J890" s="650"/>
      <c r="K890" s="651"/>
      <c r="L890" s="653"/>
    </row>
    <row r="891" spans="1:12" ht="15.75" x14ac:dyDescent="0.25">
      <c r="A891" s="647"/>
      <c r="B891" s="648"/>
      <c r="C891" s="649"/>
      <c r="D891" s="650"/>
      <c r="E891" s="651"/>
      <c r="F891" s="653"/>
      <c r="G891" s="647">
        <v>47</v>
      </c>
      <c r="H891" s="648"/>
      <c r="I891" s="649"/>
      <c r="J891" s="617" t="s">
        <v>236</v>
      </c>
      <c r="K891" s="651"/>
      <c r="L891" s="658">
        <v>0.8125</v>
      </c>
    </row>
    <row r="892" spans="1:12" ht="15.75" x14ac:dyDescent="0.25">
      <c r="A892" s="647"/>
      <c r="B892" s="648"/>
      <c r="C892" s="649"/>
      <c r="D892" s="656" t="s">
        <v>860</v>
      </c>
      <c r="E892" s="662">
        <v>0.38194444444444442</v>
      </c>
      <c r="F892" s="657"/>
      <c r="G892" s="647"/>
      <c r="H892" s="648"/>
      <c r="I892" s="649"/>
      <c r="J892" s="661"/>
      <c r="K892" s="651"/>
      <c r="L892" s="653"/>
    </row>
    <row r="893" spans="1:12" ht="15.75" x14ac:dyDescent="0.25">
      <c r="A893" s="647"/>
      <c r="B893" s="648" t="s">
        <v>273</v>
      </c>
      <c r="C893" s="649">
        <v>117</v>
      </c>
      <c r="D893" s="650" t="s">
        <v>870</v>
      </c>
      <c r="E893" s="651"/>
      <c r="F893" s="653"/>
      <c r="G893" s="647"/>
      <c r="H893" s="648"/>
      <c r="I893" s="649"/>
      <c r="J893" s="656" t="s">
        <v>860</v>
      </c>
      <c r="K893" s="662">
        <v>0.85416666666666663</v>
      </c>
      <c r="L893" s="657"/>
    </row>
    <row r="894" spans="1:12" ht="15.75" x14ac:dyDescent="0.25">
      <c r="A894" s="647"/>
      <c r="B894" s="648"/>
      <c r="C894" s="649"/>
      <c r="D894" s="650"/>
      <c r="E894" s="651"/>
      <c r="F894" s="653"/>
      <c r="G894" s="647"/>
      <c r="H894" s="648" t="s">
        <v>273</v>
      </c>
      <c r="I894" s="649">
        <v>144</v>
      </c>
      <c r="J894" s="650" t="s">
        <v>871</v>
      </c>
      <c r="K894" s="651"/>
      <c r="L894" s="653"/>
    </row>
    <row r="895" spans="1:12" ht="15.75" x14ac:dyDescent="0.25">
      <c r="A895" s="647"/>
      <c r="B895" s="648" t="s">
        <v>273</v>
      </c>
      <c r="C895" s="649">
        <v>102</v>
      </c>
      <c r="D895" s="650" t="s">
        <v>872</v>
      </c>
      <c r="E895" s="651"/>
      <c r="F895" s="653"/>
      <c r="G895" s="647"/>
      <c r="H895" s="648"/>
      <c r="I895" s="649"/>
      <c r="J895" s="617"/>
      <c r="K895" s="662"/>
      <c r="L895" s="658"/>
    </row>
    <row r="896" spans="1:12" ht="15.75" x14ac:dyDescent="0.25">
      <c r="A896" s="647">
        <v>47</v>
      </c>
      <c r="B896" s="648"/>
      <c r="C896" s="649"/>
      <c r="D896" s="656" t="s">
        <v>860</v>
      </c>
      <c r="E896" s="651"/>
      <c r="F896" s="657">
        <v>0.38194444444444442</v>
      </c>
      <c r="G896" s="647"/>
      <c r="H896" s="648" t="s">
        <v>273</v>
      </c>
      <c r="I896" s="649">
        <v>138</v>
      </c>
      <c r="J896" s="650" t="s">
        <v>873</v>
      </c>
      <c r="K896" s="651"/>
      <c r="L896" s="653"/>
    </row>
    <row r="897" spans="1:12" ht="15.75" x14ac:dyDescent="0.25">
      <c r="A897" s="647"/>
      <c r="B897" s="648"/>
      <c r="C897" s="649"/>
      <c r="D897" s="650"/>
      <c r="E897" s="651"/>
      <c r="F897" s="653"/>
      <c r="G897" s="647">
        <v>47</v>
      </c>
      <c r="H897" s="648"/>
      <c r="I897" s="649"/>
      <c r="J897" s="656" t="s">
        <v>860</v>
      </c>
      <c r="K897" s="651"/>
      <c r="L897" s="657">
        <v>0.85416666666666663</v>
      </c>
    </row>
    <row r="898" spans="1:12" ht="15.75" x14ac:dyDescent="0.25">
      <c r="A898" s="647">
        <v>47</v>
      </c>
      <c r="B898" s="648"/>
      <c r="C898" s="649"/>
      <c r="D898" s="617" t="s">
        <v>863</v>
      </c>
      <c r="E898" s="651"/>
      <c r="F898" s="658">
        <v>0.4375</v>
      </c>
      <c r="G898" s="647"/>
      <c r="H898" s="648"/>
      <c r="I898" s="649"/>
      <c r="J898" s="650"/>
      <c r="K898" s="651"/>
      <c r="L898" s="653"/>
    </row>
    <row r="899" spans="1:12" ht="15.75" x14ac:dyDescent="0.25">
      <c r="A899" s="647"/>
      <c r="B899" s="648"/>
      <c r="C899" s="649"/>
      <c r="D899" s="661"/>
      <c r="E899" s="651"/>
      <c r="F899" s="653"/>
      <c r="G899" s="647">
        <v>47</v>
      </c>
      <c r="H899" s="648"/>
      <c r="I899" s="649"/>
      <c r="J899" s="617" t="s">
        <v>236</v>
      </c>
      <c r="K899" s="651"/>
      <c r="L899" s="658">
        <v>0.89583333333333337</v>
      </c>
    </row>
    <row r="900" spans="1:12" ht="15.75" x14ac:dyDescent="0.25">
      <c r="A900" s="647"/>
      <c r="B900" s="648"/>
      <c r="C900" s="649"/>
      <c r="D900" s="656" t="s">
        <v>860</v>
      </c>
      <c r="E900" s="662">
        <v>0.5</v>
      </c>
      <c r="F900" s="657"/>
      <c r="G900" s="647"/>
      <c r="H900" s="648"/>
      <c r="I900" s="649"/>
      <c r="J900" s="661"/>
      <c r="K900" s="651"/>
      <c r="L900" s="653"/>
    </row>
    <row r="901" spans="1:12" ht="15.75" x14ac:dyDescent="0.25">
      <c r="A901" s="647"/>
      <c r="B901" s="648" t="s">
        <v>276</v>
      </c>
      <c r="C901" s="649" t="s">
        <v>273</v>
      </c>
      <c r="D901" s="650"/>
      <c r="E901" s="651"/>
      <c r="F901" s="653"/>
      <c r="G901" s="647">
        <v>47</v>
      </c>
      <c r="H901" s="648"/>
      <c r="I901" s="649"/>
      <c r="J901" s="656" t="s">
        <v>860</v>
      </c>
      <c r="K901" s="651"/>
      <c r="L901" s="657">
        <v>0.9375</v>
      </c>
    </row>
    <row r="902" spans="1:12" ht="15.75" x14ac:dyDescent="0.25">
      <c r="A902" s="647"/>
      <c r="B902" s="648"/>
      <c r="C902" s="649"/>
      <c r="D902" s="617"/>
      <c r="E902" s="651"/>
      <c r="F902" s="658"/>
      <c r="G902" s="647"/>
      <c r="H902" s="648"/>
      <c r="I902" s="649"/>
      <c r="J902" s="650"/>
      <c r="K902" s="651"/>
      <c r="L902" s="653"/>
    </row>
    <row r="903" spans="1:12" ht="15.75" x14ac:dyDescent="0.25">
      <c r="A903" s="647"/>
      <c r="B903" s="648" t="s">
        <v>273</v>
      </c>
      <c r="C903" s="649">
        <v>114</v>
      </c>
      <c r="D903" s="650" t="s">
        <v>795</v>
      </c>
      <c r="E903" s="651"/>
      <c r="F903" s="653"/>
      <c r="G903" s="647">
        <v>47</v>
      </c>
      <c r="H903" s="648"/>
      <c r="I903" s="649"/>
      <c r="J903" s="617" t="s">
        <v>236</v>
      </c>
      <c r="K903" s="651"/>
      <c r="L903" s="658">
        <v>0.97916666666666663</v>
      </c>
    </row>
    <row r="904" spans="1:12" ht="15.75" x14ac:dyDescent="0.25">
      <c r="A904" s="647">
        <v>47</v>
      </c>
      <c r="B904" s="648"/>
      <c r="C904" s="649"/>
      <c r="D904" s="656" t="s">
        <v>862</v>
      </c>
      <c r="E904" s="651"/>
      <c r="F904" s="657">
        <v>0.5</v>
      </c>
      <c r="G904" s="647"/>
      <c r="H904" s="648"/>
      <c r="I904" s="649"/>
      <c r="J904" s="661"/>
      <c r="K904" s="651"/>
      <c r="L904" s="653"/>
    </row>
    <row r="905" spans="1:12" ht="15.75" x14ac:dyDescent="0.25">
      <c r="A905" s="647"/>
      <c r="B905" s="648"/>
      <c r="C905" s="649"/>
      <c r="D905" s="650"/>
      <c r="E905" s="651"/>
      <c r="F905" s="653"/>
      <c r="G905" s="647" t="s">
        <v>725</v>
      </c>
      <c r="H905" s="648"/>
      <c r="I905" s="649"/>
      <c r="J905" s="656" t="s">
        <v>860</v>
      </c>
      <c r="K905" s="662">
        <v>1.0138888888888888</v>
      </c>
      <c r="L905" s="658"/>
    </row>
    <row r="906" spans="1:12" ht="15.75" x14ac:dyDescent="0.25">
      <c r="A906" s="647">
        <v>47</v>
      </c>
      <c r="B906" s="648"/>
      <c r="C906" s="649"/>
      <c r="D906" s="617" t="s">
        <v>863</v>
      </c>
      <c r="E906" s="651"/>
      <c r="F906" s="658">
        <v>0.5625</v>
      </c>
      <c r="G906" s="647"/>
      <c r="H906" s="648"/>
      <c r="I906" s="649"/>
      <c r="J906" s="650" t="s">
        <v>733</v>
      </c>
      <c r="K906" s="662">
        <v>1.03125</v>
      </c>
      <c r="L906" s="664"/>
    </row>
    <row r="907" spans="1:12" ht="15.75" x14ac:dyDescent="0.25">
      <c r="A907" s="647"/>
      <c r="B907" s="648"/>
      <c r="C907" s="649"/>
      <c r="D907" s="661"/>
      <c r="E907" s="651"/>
      <c r="F907" s="653"/>
      <c r="G907" s="647"/>
      <c r="H907" s="648" t="s">
        <v>276</v>
      </c>
      <c r="I907" s="649" t="s">
        <v>273</v>
      </c>
      <c r="J907" s="650"/>
      <c r="K907" s="651"/>
      <c r="L907" s="653"/>
    </row>
    <row r="908" spans="1:12" ht="15.75" x14ac:dyDescent="0.25">
      <c r="A908" s="647"/>
      <c r="B908" s="648"/>
      <c r="C908" s="649"/>
      <c r="D908" s="656" t="s">
        <v>860</v>
      </c>
      <c r="E908" s="662">
        <v>0.625</v>
      </c>
      <c r="F908" s="657"/>
      <c r="G908" s="647"/>
      <c r="H908" s="648"/>
      <c r="I908" s="649"/>
      <c r="J908" s="650"/>
      <c r="K908" s="662"/>
      <c r="L908" s="658"/>
    </row>
    <row r="909" spans="1:12" ht="15.75" x14ac:dyDescent="0.25">
      <c r="A909" s="647"/>
      <c r="B909" s="648" t="s">
        <v>276</v>
      </c>
      <c r="C909" s="649" t="s">
        <v>273</v>
      </c>
      <c r="D909" s="650"/>
      <c r="E909" s="651"/>
      <c r="F909" s="653"/>
      <c r="G909" s="647"/>
      <c r="H909" s="648"/>
      <c r="I909" s="649"/>
      <c r="J909" s="661"/>
      <c r="K909" s="651"/>
      <c r="L909" s="653"/>
    </row>
    <row r="910" spans="1:12" ht="15.75" x14ac:dyDescent="0.25">
      <c r="A910" s="647"/>
      <c r="B910" s="648"/>
      <c r="C910" s="649"/>
      <c r="D910" s="617"/>
      <c r="E910" s="651"/>
      <c r="F910" s="658"/>
      <c r="G910" s="647"/>
      <c r="H910" s="648"/>
      <c r="I910" s="649"/>
      <c r="J910" s="650"/>
      <c r="K910" s="662"/>
      <c r="L910" s="664"/>
    </row>
    <row r="911" spans="1:12" ht="15.75" x14ac:dyDescent="0.25">
      <c r="A911" s="647"/>
      <c r="B911" s="648" t="s">
        <v>273</v>
      </c>
      <c r="C911" s="649">
        <v>132</v>
      </c>
      <c r="D911" s="650" t="s">
        <v>783</v>
      </c>
      <c r="E911" s="651"/>
      <c r="F911" s="653"/>
      <c r="G911" s="647"/>
      <c r="H911" s="648"/>
      <c r="I911" s="649"/>
      <c r="J911" s="661"/>
      <c r="K911" s="651"/>
      <c r="L911" s="653"/>
    </row>
    <row r="912" spans="1:12" ht="15.75" x14ac:dyDescent="0.25">
      <c r="A912" s="647">
        <v>47</v>
      </c>
      <c r="B912" s="648"/>
      <c r="C912" s="649"/>
      <c r="D912" s="656" t="s">
        <v>862</v>
      </c>
      <c r="E912" s="651"/>
      <c r="F912" s="657">
        <v>0.625</v>
      </c>
      <c r="G912" s="647"/>
      <c r="H912" s="648"/>
      <c r="I912" s="649"/>
      <c r="J912" s="650"/>
      <c r="K912" s="651"/>
      <c r="L912" s="653"/>
    </row>
    <row r="913" spans="1:12" ht="15.75" x14ac:dyDescent="0.25">
      <c r="A913" s="647"/>
      <c r="B913" s="648"/>
      <c r="C913" s="649"/>
      <c r="D913" s="650"/>
      <c r="E913" s="651"/>
      <c r="F913" s="653"/>
      <c r="G913" s="666"/>
      <c r="H913" s="648"/>
      <c r="I913" s="665"/>
      <c r="J913" s="650"/>
      <c r="K913" s="651"/>
      <c r="L913" s="653"/>
    </row>
    <row r="914" spans="1:12" ht="15.75" x14ac:dyDescent="0.25">
      <c r="A914" s="647">
        <v>47</v>
      </c>
      <c r="B914" s="648"/>
      <c r="C914" s="649"/>
      <c r="D914" s="617" t="s">
        <v>236</v>
      </c>
      <c r="E914" s="651"/>
      <c r="F914" s="658">
        <v>0.6875</v>
      </c>
      <c r="G914" s="647"/>
      <c r="H914" s="648"/>
      <c r="I914" s="649"/>
      <c r="J914" s="650"/>
      <c r="K914" s="662"/>
      <c r="L914" s="658"/>
    </row>
    <row r="915" spans="1:12" ht="15.75" x14ac:dyDescent="0.25">
      <c r="A915" s="647"/>
      <c r="B915" s="648"/>
      <c r="C915" s="649"/>
      <c r="D915" s="661"/>
      <c r="E915" s="651"/>
      <c r="F915" s="653"/>
      <c r="G915" s="647"/>
      <c r="H915" s="648"/>
      <c r="I915" s="649"/>
      <c r="J915" s="661"/>
      <c r="K915" s="651"/>
      <c r="L915" s="653"/>
    </row>
    <row r="916" spans="1:12" ht="15.75" x14ac:dyDescent="0.25">
      <c r="A916" s="647"/>
      <c r="B916" s="648"/>
      <c r="C916" s="649"/>
      <c r="D916" s="656" t="s">
        <v>860</v>
      </c>
      <c r="E916" s="662">
        <v>0.75</v>
      </c>
      <c r="F916" s="657"/>
      <c r="G916" s="647"/>
      <c r="H916" s="648"/>
      <c r="I916" s="649"/>
      <c r="J916" s="650"/>
      <c r="K916" s="662"/>
      <c r="L916" s="664"/>
    </row>
    <row r="917" spans="1:12" ht="15.75" x14ac:dyDescent="0.25">
      <c r="A917" s="647"/>
      <c r="B917" s="648" t="s">
        <v>273</v>
      </c>
      <c r="C917" s="649">
        <v>132</v>
      </c>
      <c r="D917" s="650" t="s">
        <v>874</v>
      </c>
      <c r="E917" s="651"/>
      <c r="F917" s="653"/>
      <c r="G917" s="647"/>
      <c r="H917" s="648"/>
      <c r="I917" s="649"/>
      <c r="J917" s="661"/>
      <c r="K917" s="651"/>
      <c r="L917" s="653"/>
    </row>
    <row r="918" spans="1:12" ht="15.75" x14ac:dyDescent="0.25">
      <c r="A918" s="647"/>
      <c r="B918" s="648"/>
      <c r="C918" s="649"/>
      <c r="D918" s="656"/>
      <c r="E918" s="662"/>
      <c r="F918" s="657"/>
      <c r="G918" s="647"/>
      <c r="H918" s="648"/>
      <c r="I918" s="649"/>
      <c r="J918" s="650"/>
      <c r="K918" s="651"/>
      <c r="L918" s="653"/>
    </row>
    <row r="919" spans="1:12" ht="15.75" x14ac:dyDescent="0.25">
      <c r="A919" s="647"/>
      <c r="B919" s="648"/>
      <c r="C919" s="649"/>
      <c r="D919" s="650"/>
      <c r="E919" s="651"/>
      <c r="F919" s="653"/>
      <c r="G919" s="666"/>
      <c r="H919" s="648"/>
      <c r="I919" s="665"/>
      <c r="J919" s="650"/>
      <c r="K919" s="651"/>
      <c r="L919" s="653"/>
    </row>
    <row r="920" spans="1:12" ht="15.75" x14ac:dyDescent="0.25">
      <c r="A920" s="667"/>
      <c r="B920" s="668"/>
      <c r="C920" s="669"/>
      <c r="D920" s="670"/>
      <c r="E920" s="671"/>
      <c r="F920" s="672"/>
      <c r="G920" s="673"/>
      <c r="H920" s="674"/>
      <c r="I920" s="675"/>
      <c r="J920" s="676"/>
      <c r="K920" s="671"/>
      <c r="L920" s="677"/>
    </row>
    <row r="921" spans="1:12" ht="23.25" x14ac:dyDescent="0.35">
      <c r="A921" s="1237" t="s">
        <v>712</v>
      </c>
      <c r="B921" s="1238"/>
      <c r="C921" s="1238"/>
      <c r="D921" s="1238"/>
      <c r="E921" s="1238"/>
      <c r="F921" s="1238"/>
      <c r="G921" s="1238"/>
      <c r="H921" s="1238"/>
      <c r="I921" s="1238"/>
      <c r="J921" s="1238"/>
      <c r="K921" s="1238"/>
      <c r="L921" s="1239"/>
    </row>
    <row r="922" spans="1:12" ht="23.25" x14ac:dyDescent="0.35">
      <c r="A922" s="1240" t="s">
        <v>713</v>
      </c>
      <c r="B922" s="1241"/>
      <c r="C922" s="1241"/>
      <c r="D922" s="1241"/>
      <c r="E922" s="1241"/>
      <c r="F922" s="1241"/>
      <c r="G922" s="1241"/>
      <c r="H922" s="1241"/>
      <c r="I922" s="1241"/>
      <c r="J922" s="1241"/>
      <c r="K922" s="1241"/>
      <c r="L922" s="1242"/>
    </row>
    <row r="923" spans="1:12" ht="23.25" x14ac:dyDescent="0.35">
      <c r="A923" s="1243" t="s">
        <v>714</v>
      </c>
      <c r="B923" s="1244"/>
      <c r="C923" s="1244"/>
      <c r="D923" s="1244"/>
      <c r="E923" s="1244"/>
      <c r="F923" s="1244"/>
      <c r="G923" s="1244"/>
      <c r="H923" s="1244"/>
      <c r="I923" s="1244"/>
      <c r="J923" s="1244"/>
      <c r="K923" s="1244"/>
      <c r="L923" s="1245"/>
    </row>
    <row r="924" spans="1:12" ht="23.25" x14ac:dyDescent="0.35">
      <c r="A924" s="619" t="s">
        <v>227</v>
      </c>
      <c r="B924" s="620"/>
      <c r="C924" s="620"/>
      <c r="D924" s="621" t="s">
        <v>716</v>
      </c>
      <c r="E924" s="1241" t="s">
        <v>717</v>
      </c>
      <c r="F924" s="1241"/>
      <c r="G924" s="1241"/>
      <c r="H924" s="1241"/>
      <c r="I924" s="1241"/>
      <c r="J924" s="618" t="s">
        <v>751</v>
      </c>
      <c r="K924" s="1241"/>
      <c r="L924" s="1242"/>
    </row>
    <row r="925" spans="1:12" x14ac:dyDescent="0.25">
      <c r="A925" s="622"/>
      <c r="B925" s="623"/>
      <c r="C925" s="623"/>
      <c r="D925" s="624"/>
      <c r="E925" s="623"/>
      <c r="F925" s="623"/>
      <c r="G925" s="623"/>
      <c r="H925" s="623"/>
      <c r="I925" s="1246"/>
      <c r="J925" s="1246"/>
      <c r="K925" s="623"/>
      <c r="L925" s="625"/>
    </row>
    <row r="926" spans="1:12" ht="15.75" x14ac:dyDescent="0.25">
      <c r="A926" s="626" t="s">
        <v>719</v>
      </c>
      <c r="B926" s="627"/>
      <c r="C926" s="628"/>
      <c r="D926" s="629" t="s">
        <v>720</v>
      </c>
      <c r="E926" s="630" t="s">
        <v>721</v>
      </c>
      <c r="F926" s="631" t="s">
        <v>722</v>
      </c>
      <c r="G926" s="626" t="s">
        <v>719</v>
      </c>
      <c r="H926" s="632"/>
      <c r="I926" s="633"/>
      <c r="J926" s="634" t="s">
        <v>720</v>
      </c>
      <c r="K926" s="626" t="s">
        <v>721</v>
      </c>
      <c r="L926" s="626" t="s">
        <v>722</v>
      </c>
    </row>
    <row r="927" spans="1:12" ht="15.75" x14ac:dyDescent="0.25">
      <c r="A927" s="635"/>
      <c r="B927" s="636"/>
      <c r="C927" s="637"/>
      <c r="D927" s="638"/>
      <c r="E927" s="639"/>
      <c r="F927" s="640"/>
      <c r="G927" s="641"/>
      <c r="H927" s="642"/>
      <c r="I927" s="643"/>
      <c r="J927" s="644"/>
      <c r="K927" s="645"/>
      <c r="L927" s="646"/>
    </row>
    <row r="928" spans="1:12" ht="15.75" x14ac:dyDescent="0.25">
      <c r="A928" s="647"/>
      <c r="B928" s="648" t="s">
        <v>273</v>
      </c>
      <c r="C928" s="649">
        <v>152</v>
      </c>
      <c r="D928" s="650" t="s">
        <v>875</v>
      </c>
      <c r="E928" s="651"/>
      <c r="F928" s="652"/>
      <c r="G928" s="647"/>
      <c r="H928" s="648"/>
      <c r="I928" s="649"/>
      <c r="J928" s="650"/>
      <c r="K928" s="651"/>
      <c r="L928" s="653"/>
    </row>
    <row r="929" spans="1:12" ht="15.75" x14ac:dyDescent="0.25">
      <c r="A929" s="647" t="s">
        <v>725</v>
      </c>
      <c r="B929" s="654"/>
      <c r="C929" s="649"/>
      <c r="D929" s="650" t="s">
        <v>726</v>
      </c>
      <c r="E929" s="651"/>
      <c r="F929" s="655">
        <v>0.30902777777777779</v>
      </c>
      <c r="G929" s="647"/>
      <c r="H929" s="648"/>
      <c r="I929" s="649"/>
      <c r="J929" s="656"/>
      <c r="K929" s="651"/>
      <c r="L929" s="657"/>
    </row>
    <row r="930" spans="1:12" ht="15.75" x14ac:dyDescent="0.25">
      <c r="A930" s="647">
        <v>47</v>
      </c>
      <c r="B930" s="648"/>
      <c r="C930" s="649"/>
      <c r="D930" s="617" t="s">
        <v>236</v>
      </c>
      <c r="E930" s="651"/>
      <c r="F930" s="658">
        <v>0.33680555555555558</v>
      </c>
      <c r="G930" s="647"/>
      <c r="H930" s="648"/>
      <c r="I930" s="649"/>
      <c r="J930" s="650"/>
      <c r="K930" s="651"/>
      <c r="L930" s="653"/>
    </row>
    <row r="931" spans="1:12" ht="15.75" x14ac:dyDescent="0.25">
      <c r="A931" s="647"/>
      <c r="B931" s="648"/>
      <c r="C931" s="649"/>
      <c r="D931" s="650"/>
      <c r="E931" s="651"/>
      <c r="F931" s="653"/>
      <c r="G931" s="647"/>
      <c r="H931" s="648"/>
      <c r="I931" s="649"/>
      <c r="J931" s="617"/>
      <c r="K931" s="651"/>
      <c r="L931" s="658"/>
    </row>
    <row r="932" spans="1:12" ht="15.75" x14ac:dyDescent="0.25">
      <c r="A932" s="647" t="s">
        <v>725</v>
      </c>
      <c r="B932" s="648"/>
      <c r="C932" s="649"/>
      <c r="D932" s="656" t="s">
        <v>860</v>
      </c>
      <c r="E932" s="662">
        <v>0.40277777777777779</v>
      </c>
      <c r="F932" s="657"/>
      <c r="G932" s="647"/>
      <c r="H932" s="648"/>
      <c r="I932" s="649"/>
      <c r="J932" s="661"/>
      <c r="K932" s="651"/>
      <c r="L932" s="653"/>
    </row>
    <row r="933" spans="1:12" ht="15.75" x14ac:dyDescent="0.25">
      <c r="A933" s="647"/>
      <c r="B933" s="648"/>
      <c r="C933" s="649"/>
      <c r="D933" s="650" t="s">
        <v>733</v>
      </c>
      <c r="E933" s="662">
        <v>0.4201388888888889</v>
      </c>
      <c r="F933" s="664"/>
      <c r="G933" s="647"/>
      <c r="H933" s="648"/>
      <c r="I933" s="649"/>
      <c r="J933" s="656"/>
      <c r="K933" s="651"/>
      <c r="L933" s="657"/>
    </row>
    <row r="934" spans="1:12" ht="15.75" x14ac:dyDescent="0.25">
      <c r="A934" s="647"/>
      <c r="B934" s="648" t="s">
        <v>273</v>
      </c>
      <c r="C934" s="649">
        <v>152</v>
      </c>
      <c r="D934" s="650" t="s">
        <v>876</v>
      </c>
      <c r="E934" s="651"/>
      <c r="F934" s="653"/>
      <c r="G934" s="647"/>
      <c r="H934" s="648"/>
      <c r="I934" s="649"/>
      <c r="J934" s="650"/>
      <c r="K934" s="651"/>
      <c r="L934" s="653"/>
    </row>
    <row r="935" spans="1:12" ht="15.75" x14ac:dyDescent="0.25">
      <c r="A935" s="647"/>
      <c r="B935" s="648"/>
      <c r="C935" s="649"/>
      <c r="D935" s="663"/>
      <c r="E935" s="662"/>
      <c r="F935" s="658"/>
      <c r="G935" s="647"/>
      <c r="H935" s="648"/>
      <c r="I935" s="649"/>
      <c r="J935" s="617"/>
      <c r="K935" s="662"/>
      <c r="L935" s="658"/>
    </row>
    <row r="936" spans="1:12" ht="15.75" x14ac:dyDescent="0.25">
      <c r="A936" s="647"/>
      <c r="B936" s="648" t="s">
        <v>273</v>
      </c>
      <c r="C936" s="649">
        <v>133</v>
      </c>
      <c r="D936" s="650" t="s">
        <v>877</v>
      </c>
      <c r="E936" s="651"/>
      <c r="F936" s="652"/>
      <c r="G936" s="647"/>
      <c r="H936" s="648"/>
      <c r="I936" s="649"/>
      <c r="J936" s="650"/>
      <c r="K936" s="662"/>
      <c r="L936" s="664"/>
    </row>
    <row r="937" spans="1:12" ht="15.75" x14ac:dyDescent="0.25">
      <c r="A937" s="647" t="s">
        <v>725</v>
      </c>
      <c r="B937" s="654"/>
      <c r="C937" s="649"/>
      <c r="D937" s="650" t="s">
        <v>726</v>
      </c>
      <c r="E937" s="651"/>
      <c r="F937" s="655">
        <v>0.61458333333333337</v>
      </c>
      <c r="G937" s="647"/>
      <c r="H937" s="648"/>
      <c r="I937" s="649"/>
      <c r="J937" s="650"/>
      <c r="K937" s="651"/>
      <c r="L937" s="653"/>
    </row>
    <row r="938" spans="1:12" ht="15.75" x14ac:dyDescent="0.25">
      <c r="A938" s="647">
        <v>47</v>
      </c>
      <c r="B938" s="648"/>
      <c r="C938" s="649"/>
      <c r="D938" s="617" t="s">
        <v>863</v>
      </c>
      <c r="E938" s="651"/>
      <c r="F938" s="658">
        <v>0.64583333333333337</v>
      </c>
      <c r="G938" s="647"/>
      <c r="H938" s="648"/>
      <c r="I938" s="649"/>
      <c r="J938" s="650"/>
      <c r="K938" s="651"/>
      <c r="L938" s="664"/>
    </row>
    <row r="939" spans="1:12" ht="15.75" x14ac:dyDescent="0.25">
      <c r="A939" s="647"/>
      <c r="B939" s="648"/>
      <c r="C939" s="649"/>
      <c r="D939" s="661"/>
      <c r="E939" s="651"/>
      <c r="F939" s="653"/>
      <c r="G939" s="647"/>
      <c r="H939" s="648"/>
      <c r="I939" s="649"/>
      <c r="J939" s="617"/>
      <c r="K939" s="651"/>
      <c r="L939" s="653"/>
    </row>
    <row r="940" spans="1:12" ht="15.75" x14ac:dyDescent="0.25">
      <c r="A940" s="647">
        <v>47</v>
      </c>
      <c r="B940" s="648"/>
      <c r="C940" s="649"/>
      <c r="D940" s="656" t="s">
        <v>860</v>
      </c>
      <c r="E940" s="651"/>
      <c r="F940" s="657">
        <v>0.70833333333333337</v>
      </c>
      <c r="G940" s="647"/>
      <c r="H940" s="648"/>
      <c r="I940" s="649"/>
      <c r="J940" s="661"/>
      <c r="K940" s="651"/>
      <c r="L940" s="658"/>
    </row>
    <row r="941" spans="1:12" ht="15.75" x14ac:dyDescent="0.25">
      <c r="A941" s="647"/>
      <c r="B941" s="648"/>
      <c r="C941" s="649"/>
      <c r="D941" s="661"/>
      <c r="E941" s="651"/>
      <c r="F941" s="653"/>
      <c r="G941" s="647"/>
      <c r="H941" s="648"/>
      <c r="I941" s="649"/>
      <c r="J941" s="617"/>
      <c r="K941" s="651"/>
      <c r="L941" s="653"/>
    </row>
    <row r="942" spans="1:12" ht="15.75" x14ac:dyDescent="0.25">
      <c r="A942" s="647" t="s">
        <v>725</v>
      </c>
      <c r="B942" s="648"/>
      <c r="C942" s="649"/>
      <c r="D942" s="617" t="s">
        <v>236</v>
      </c>
      <c r="E942" s="662">
        <v>0.78125</v>
      </c>
      <c r="F942" s="657"/>
      <c r="G942" s="647"/>
      <c r="H942" s="648"/>
      <c r="I942" s="649"/>
      <c r="J942" s="661"/>
      <c r="K942" s="651"/>
      <c r="L942" s="658"/>
    </row>
    <row r="943" spans="1:12" ht="15.75" x14ac:dyDescent="0.25">
      <c r="A943" s="647"/>
      <c r="B943" s="648"/>
      <c r="C943" s="649"/>
      <c r="D943" s="650" t="s">
        <v>733</v>
      </c>
      <c r="E943" s="662">
        <v>0.80555555555555558</v>
      </c>
      <c r="F943" s="653"/>
      <c r="G943" s="647"/>
      <c r="H943" s="648"/>
      <c r="I943" s="649"/>
      <c r="J943" s="661"/>
      <c r="K943" s="651"/>
      <c r="L943" s="653"/>
    </row>
    <row r="944" spans="1:12" ht="15.75" x14ac:dyDescent="0.25">
      <c r="A944" s="647"/>
      <c r="B944" s="648" t="s">
        <v>273</v>
      </c>
      <c r="C944" s="649">
        <v>133</v>
      </c>
      <c r="D944" s="650" t="s">
        <v>878</v>
      </c>
      <c r="E944" s="651"/>
      <c r="F944" s="653"/>
      <c r="G944" s="647"/>
      <c r="H944" s="648"/>
      <c r="I944" s="649"/>
      <c r="J944" s="663"/>
      <c r="K944" s="662"/>
      <c r="L944" s="658"/>
    </row>
    <row r="945" spans="1:12" ht="15.75" x14ac:dyDescent="0.25">
      <c r="A945" s="647"/>
      <c r="B945" s="648"/>
      <c r="C945" s="649"/>
      <c r="D945" s="650"/>
      <c r="E945" s="651"/>
      <c r="F945" s="653"/>
      <c r="G945" s="647"/>
      <c r="H945" s="648"/>
      <c r="I945" s="649"/>
      <c r="J945" s="663"/>
      <c r="K945" s="651"/>
      <c r="L945" s="653"/>
    </row>
    <row r="946" spans="1:12" ht="15.75" x14ac:dyDescent="0.25">
      <c r="A946" s="647"/>
      <c r="B946" s="648"/>
      <c r="C946" s="649"/>
      <c r="D946" s="656"/>
      <c r="E946" s="651"/>
      <c r="F946" s="657"/>
      <c r="G946" s="647"/>
      <c r="H946" s="648"/>
      <c r="I946" s="649"/>
      <c r="J946" s="650"/>
      <c r="K946" s="651"/>
      <c r="L946" s="664"/>
    </row>
    <row r="947" spans="1:12" ht="15.75" x14ac:dyDescent="0.25">
      <c r="A947" s="647"/>
      <c r="B947" s="648"/>
      <c r="C947" s="649"/>
      <c r="D947" s="650"/>
      <c r="E947" s="651"/>
      <c r="F947" s="653"/>
      <c r="G947" s="647"/>
      <c r="H947" s="648"/>
      <c r="I947" s="649"/>
      <c r="J947" s="617"/>
      <c r="K947" s="651"/>
      <c r="L947" s="653"/>
    </row>
    <row r="948" spans="1:12" ht="15.75" x14ac:dyDescent="0.25">
      <c r="A948" s="647"/>
      <c r="B948" s="648"/>
      <c r="C948" s="649"/>
      <c r="D948" s="617"/>
      <c r="E948" s="651"/>
      <c r="F948" s="658"/>
      <c r="G948" s="647"/>
      <c r="H948" s="648"/>
      <c r="I948" s="649"/>
      <c r="J948" s="661"/>
      <c r="K948" s="651"/>
      <c r="L948" s="658"/>
    </row>
    <row r="949" spans="1:12" ht="15.75" x14ac:dyDescent="0.25">
      <c r="A949" s="647"/>
      <c r="B949" s="648"/>
      <c r="C949" s="649"/>
      <c r="D949" s="661"/>
      <c r="E949" s="651"/>
      <c r="F949" s="653"/>
      <c r="G949" s="647"/>
      <c r="H949" s="648"/>
      <c r="I949" s="649"/>
      <c r="J949" s="617"/>
      <c r="K949" s="651"/>
      <c r="L949" s="653"/>
    </row>
    <row r="950" spans="1:12" ht="15.75" x14ac:dyDescent="0.25">
      <c r="A950" s="647"/>
      <c r="B950" s="648"/>
      <c r="C950" s="649"/>
      <c r="D950" s="656"/>
      <c r="E950" s="662"/>
      <c r="F950" s="657"/>
      <c r="G950" s="647"/>
      <c r="H950" s="648"/>
      <c r="I950" s="649"/>
      <c r="J950" s="661"/>
      <c r="K950" s="651"/>
      <c r="L950" s="658"/>
    </row>
    <row r="951" spans="1:12" ht="15.75" x14ac:dyDescent="0.25">
      <c r="A951" s="647"/>
      <c r="B951" s="648"/>
      <c r="C951" s="649"/>
      <c r="D951" s="650"/>
      <c r="E951" s="651"/>
      <c r="F951" s="653"/>
      <c r="G951" s="647"/>
      <c r="H951" s="648"/>
      <c r="I951" s="649"/>
      <c r="J951" s="661"/>
      <c r="K951" s="651"/>
      <c r="L951" s="653"/>
    </row>
    <row r="952" spans="1:12" ht="15.75" x14ac:dyDescent="0.25">
      <c r="A952" s="647"/>
      <c r="B952" s="648"/>
      <c r="C952" s="649"/>
      <c r="D952" s="650"/>
      <c r="E952" s="651"/>
      <c r="F952" s="653"/>
      <c r="G952" s="647"/>
      <c r="H952" s="648"/>
      <c r="I952" s="649"/>
      <c r="J952" s="650"/>
      <c r="K952" s="662"/>
      <c r="L952" s="664"/>
    </row>
    <row r="953" spans="1:12" ht="15.75" x14ac:dyDescent="0.25">
      <c r="A953" s="647"/>
      <c r="B953" s="648"/>
      <c r="C953" s="649"/>
      <c r="D953" s="650"/>
      <c r="E953" s="651"/>
      <c r="F953" s="653"/>
      <c r="G953" s="647"/>
      <c r="H953" s="648"/>
      <c r="I953" s="649"/>
      <c r="J953" s="650"/>
      <c r="K953" s="651"/>
      <c r="L953" s="653"/>
    </row>
    <row r="954" spans="1:12" ht="15.75" x14ac:dyDescent="0.25">
      <c r="A954" s="647"/>
      <c r="B954" s="648"/>
      <c r="C954" s="649"/>
      <c r="D954" s="617"/>
      <c r="E954" s="651"/>
      <c r="F954" s="658"/>
      <c r="G954" s="647"/>
      <c r="H954" s="648"/>
      <c r="I954" s="649"/>
      <c r="J954" s="650"/>
      <c r="K954" s="662"/>
      <c r="L954" s="658"/>
    </row>
    <row r="955" spans="1:12" ht="15.75" x14ac:dyDescent="0.25">
      <c r="A955" s="647"/>
      <c r="B955" s="648"/>
      <c r="C955" s="649"/>
      <c r="D955" s="661"/>
      <c r="E955" s="651"/>
      <c r="F955" s="653"/>
      <c r="G955" s="647"/>
      <c r="H955" s="648"/>
      <c r="I955" s="649"/>
      <c r="J955" s="661"/>
      <c r="K955" s="651"/>
      <c r="L955" s="653"/>
    </row>
    <row r="956" spans="1:12" ht="15.75" x14ac:dyDescent="0.25">
      <c r="A956" s="647"/>
      <c r="B956" s="648"/>
      <c r="C956" s="649"/>
      <c r="D956" s="656"/>
      <c r="E956" s="662"/>
      <c r="F956" s="657"/>
      <c r="G956" s="647"/>
      <c r="H956" s="648"/>
      <c r="I956" s="649"/>
      <c r="J956" s="650"/>
      <c r="K956" s="662"/>
      <c r="L956" s="664"/>
    </row>
    <row r="957" spans="1:12" ht="15.75" x14ac:dyDescent="0.25">
      <c r="A957" s="647"/>
      <c r="B957" s="648"/>
      <c r="C957" s="649"/>
      <c r="D957" s="650"/>
      <c r="E957" s="651"/>
      <c r="F957" s="653"/>
      <c r="G957" s="647"/>
      <c r="H957" s="648"/>
      <c r="I957" s="649"/>
      <c r="J957" s="661"/>
      <c r="K957" s="651"/>
      <c r="L957" s="653"/>
    </row>
    <row r="958" spans="1:12" ht="15.75" x14ac:dyDescent="0.25">
      <c r="A958" s="647"/>
      <c r="B958" s="648"/>
      <c r="C958" s="649"/>
      <c r="D958" s="656"/>
      <c r="E958" s="662"/>
      <c r="F958" s="657"/>
      <c r="G958" s="647"/>
      <c r="H958" s="648"/>
      <c r="I958" s="649"/>
      <c r="J958" s="650"/>
      <c r="K958" s="651"/>
      <c r="L958" s="653"/>
    </row>
    <row r="959" spans="1:12" ht="15.75" x14ac:dyDescent="0.25">
      <c r="A959" s="647"/>
      <c r="B959" s="648"/>
      <c r="C959" s="649"/>
      <c r="D959" s="650"/>
      <c r="E959" s="651"/>
      <c r="F959" s="653"/>
      <c r="G959" s="666"/>
      <c r="H959" s="648"/>
      <c r="I959" s="665"/>
      <c r="J959" s="650"/>
      <c r="K959" s="651"/>
      <c r="L959" s="653"/>
    </row>
    <row r="960" spans="1:12" ht="15.75" x14ac:dyDescent="0.25">
      <c r="A960" s="667"/>
      <c r="B960" s="668"/>
      <c r="C960" s="669"/>
      <c r="D960" s="670"/>
      <c r="E960" s="671"/>
      <c r="F960" s="672"/>
      <c r="G960" s="673"/>
      <c r="H960" s="674"/>
      <c r="I960" s="675"/>
      <c r="J960" s="676"/>
      <c r="K960" s="671"/>
      <c r="L960" s="677"/>
    </row>
    <row r="961" spans="1:12" ht="23.25" x14ac:dyDescent="0.35">
      <c r="A961" s="1237" t="s">
        <v>712</v>
      </c>
      <c r="B961" s="1238"/>
      <c r="C961" s="1238"/>
      <c r="D961" s="1238"/>
      <c r="E961" s="1238"/>
      <c r="F961" s="1238"/>
      <c r="G961" s="1238"/>
      <c r="H961" s="1238"/>
      <c r="I961" s="1238"/>
      <c r="J961" s="1238"/>
      <c r="K961" s="1238"/>
      <c r="L961" s="1239"/>
    </row>
    <row r="962" spans="1:12" ht="23.25" x14ac:dyDescent="0.35">
      <c r="A962" s="1240" t="s">
        <v>713</v>
      </c>
      <c r="B962" s="1241"/>
      <c r="C962" s="1241"/>
      <c r="D962" s="1241"/>
      <c r="E962" s="1241"/>
      <c r="F962" s="1241"/>
      <c r="G962" s="1241"/>
      <c r="H962" s="1241"/>
      <c r="I962" s="1241"/>
      <c r="J962" s="1241"/>
      <c r="K962" s="1241"/>
      <c r="L962" s="1242"/>
    </row>
    <row r="963" spans="1:12" ht="23.25" x14ac:dyDescent="0.35">
      <c r="A963" s="1243" t="s">
        <v>714</v>
      </c>
      <c r="B963" s="1244"/>
      <c r="C963" s="1244"/>
      <c r="D963" s="1244"/>
      <c r="E963" s="1244"/>
      <c r="F963" s="1244"/>
      <c r="G963" s="1244"/>
      <c r="H963" s="1244"/>
      <c r="I963" s="1244"/>
      <c r="J963" s="1244"/>
      <c r="K963" s="1244"/>
      <c r="L963" s="1245"/>
    </row>
    <row r="964" spans="1:12" ht="23.25" x14ac:dyDescent="0.35">
      <c r="A964" s="619" t="s">
        <v>227</v>
      </c>
      <c r="B964" s="620"/>
      <c r="C964" s="620"/>
      <c r="D964" s="621" t="s">
        <v>716</v>
      </c>
      <c r="E964" s="1241" t="s">
        <v>717</v>
      </c>
      <c r="F964" s="1241"/>
      <c r="G964" s="1241"/>
      <c r="H964" s="1241"/>
      <c r="I964" s="1241"/>
      <c r="J964" s="618" t="s">
        <v>758</v>
      </c>
      <c r="K964" s="1241"/>
      <c r="L964" s="1242"/>
    </row>
    <row r="965" spans="1:12" x14ac:dyDescent="0.25">
      <c r="A965" s="622"/>
      <c r="B965" s="623"/>
      <c r="C965" s="623"/>
      <c r="D965" s="624"/>
      <c r="E965" s="623"/>
      <c r="F965" s="623"/>
      <c r="G965" s="623"/>
      <c r="H965" s="623"/>
      <c r="I965" s="1246"/>
      <c r="J965" s="1246"/>
      <c r="K965" s="623"/>
      <c r="L965" s="625"/>
    </row>
    <row r="966" spans="1:12" ht="15.75" x14ac:dyDescent="0.25">
      <c r="A966" s="626" t="s">
        <v>719</v>
      </c>
      <c r="B966" s="627"/>
      <c r="C966" s="628"/>
      <c r="D966" s="629" t="s">
        <v>720</v>
      </c>
      <c r="E966" s="630" t="s">
        <v>721</v>
      </c>
      <c r="F966" s="631" t="s">
        <v>722</v>
      </c>
      <c r="G966" s="626" t="s">
        <v>719</v>
      </c>
      <c r="H966" s="632"/>
      <c r="I966" s="633"/>
      <c r="J966" s="634" t="s">
        <v>720</v>
      </c>
      <c r="K966" s="626" t="s">
        <v>721</v>
      </c>
      <c r="L966" s="626" t="s">
        <v>722</v>
      </c>
    </row>
    <row r="967" spans="1:12" ht="15.75" x14ac:dyDescent="0.25">
      <c r="A967" s="635"/>
      <c r="B967" s="636"/>
      <c r="C967" s="637"/>
      <c r="D967" s="638"/>
      <c r="E967" s="639"/>
      <c r="F967" s="640"/>
      <c r="G967" s="641"/>
      <c r="H967" s="642"/>
      <c r="I967" s="643"/>
      <c r="J967" s="644"/>
      <c r="K967" s="645"/>
      <c r="L967" s="646"/>
    </row>
    <row r="968" spans="1:12" ht="15.75" x14ac:dyDescent="0.25">
      <c r="A968" s="647"/>
      <c r="B968" s="648" t="s">
        <v>273</v>
      </c>
      <c r="C968" s="649">
        <v>137</v>
      </c>
      <c r="D968" s="650" t="s">
        <v>879</v>
      </c>
      <c r="E968" s="651"/>
      <c r="F968" s="652"/>
      <c r="G968" s="647"/>
      <c r="H968" s="648"/>
      <c r="I968" s="649"/>
      <c r="J968" s="650"/>
      <c r="K968" s="651"/>
      <c r="L968" s="653"/>
    </row>
    <row r="969" spans="1:12" ht="15.75" x14ac:dyDescent="0.25">
      <c r="A969" s="647" t="s">
        <v>725</v>
      </c>
      <c r="B969" s="654"/>
      <c r="C969" s="649"/>
      <c r="D969" s="650" t="s">
        <v>726</v>
      </c>
      <c r="E969" s="651"/>
      <c r="F969" s="655">
        <v>0.64236111111111116</v>
      </c>
      <c r="G969" s="647"/>
      <c r="H969" s="648"/>
      <c r="I969" s="649"/>
      <c r="J969" s="656"/>
      <c r="K969" s="651"/>
      <c r="L969" s="657"/>
    </row>
    <row r="970" spans="1:12" ht="15.75" x14ac:dyDescent="0.25">
      <c r="A970" s="647">
        <v>47</v>
      </c>
      <c r="B970" s="648"/>
      <c r="C970" s="649"/>
      <c r="D970" s="656" t="s">
        <v>860</v>
      </c>
      <c r="E970" s="651"/>
      <c r="F970" s="657">
        <v>0.66666666666666663</v>
      </c>
      <c r="G970" s="647"/>
      <c r="H970" s="648"/>
      <c r="I970" s="649"/>
      <c r="J970" s="650"/>
      <c r="K970" s="651"/>
      <c r="L970" s="653"/>
    </row>
    <row r="971" spans="1:12" ht="15.75" x14ac:dyDescent="0.25">
      <c r="A971" s="647"/>
      <c r="B971" s="648"/>
      <c r="C971" s="649"/>
      <c r="D971" s="650"/>
      <c r="E971" s="651"/>
      <c r="F971" s="653"/>
      <c r="G971" s="647"/>
      <c r="H971" s="648"/>
      <c r="I971" s="649"/>
      <c r="J971" s="617"/>
      <c r="K971" s="651"/>
      <c r="L971" s="658"/>
    </row>
    <row r="972" spans="1:12" ht="15.75" x14ac:dyDescent="0.25">
      <c r="A972" s="647">
        <v>47</v>
      </c>
      <c r="B972" s="648"/>
      <c r="C972" s="649"/>
      <c r="D972" s="617" t="s">
        <v>236</v>
      </c>
      <c r="E972" s="651"/>
      <c r="F972" s="658">
        <v>0.75</v>
      </c>
      <c r="G972" s="647"/>
      <c r="H972" s="648"/>
      <c r="I972" s="649"/>
      <c r="J972" s="661"/>
      <c r="K972" s="651"/>
      <c r="L972" s="653"/>
    </row>
    <row r="973" spans="1:12" ht="15.75" x14ac:dyDescent="0.25">
      <c r="A973" s="647"/>
      <c r="B973" s="648"/>
      <c r="C973" s="649"/>
      <c r="D973" s="661"/>
      <c r="E973" s="651"/>
      <c r="F973" s="653"/>
      <c r="G973" s="647"/>
      <c r="H973" s="648"/>
      <c r="I973" s="649"/>
      <c r="J973" s="656"/>
      <c r="K973" s="651"/>
      <c r="L973" s="657"/>
    </row>
    <row r="974" spans="1:12" ht="15.75" x14ac:dyDescent="0.25">
      <c r="A974" s="647"/>
      <c r="B974" s="648"/>
      <c r="C974" s="649"/>
      <c r="D974" s="656" t="s">
        <v>860</v>
      </c>
      <c r="E974" s="662">
        <v>0.8125</v>
      </c>
      <c r="F974" s="657"/>
      <c r="G974" s="647"/>
      <c r="H974" s="648"/>
      <c r="I974" s="649"/>
      <c r="J974" s="650"/>
      <c r="K974" s="651"/>
      <c r="L974" s="653"/>
    </row>
    <row r="975" spans="1:12" ht="15.75" x14ac:dyDescent="0.25">
      <c r="A975" s="647"/>
      <c r="B975" s="648" t="s">
        <v>273</v>
      </c>
      <c r="C975" s="649">
        <v>137</v>
      </c>
      <c r="D975" s="650" t="s">
        <v>880</v>
      </c>
      <c r="E975" s="651"/>
      <c r="F975" s="653"/>
      <c r="G975" s="647"/>
      <c r="H975" s="648"/>
      <c r="I975" s="649"/>
      <c r="J975" s="617"/>
      <c r="K975" s="662"/>
      <c r="L975" s="658"/>
    </row>
    <row r="976" spans="1:12" ht="15.75" x14ac:dyDescent="0.25">
      <c r="A976" s="647"/>
      <c r="B976" s="648"/>
      <c r="C976" s="649"/>
      <c r="D976" s="650"/>
      <c r="E976" s="651"/>
      <c r="F976" s="653"/>
      <c r="G976" s="647"/>
      <c r="H976" s="648"/>
      <c r="I976" s="649"/>
      <c r="J976" s="650"/>
      <c r="K976" s="662"/>
      <c r="L976" s="664"/>
    </row>
    <row r="977" spans="1:12" ht="15.75" x14ac:dyDescent="0.25">
      <c r="A977" s="647"/>
      <c r="B977" s="648" t="s">
        <v>273</v>
      </c>
      <c r="C977" s="649">
        <v>131</v>
      </c>
      <c r="D977" s="650" t="s">
        <v>807</v>
      </c>
      <c r="E977" s="651"/>
      <c r="F977" s="653"/>
      <c r="G977" s="647"/>
      <c r="H977" s="648"/>
      <c r="I977" s="649"/>
      <c r="J977" s="650"/>
      <c r="K977" s="651"/>
      <c r="L977" s="653"/>
    </row>
    <row r="978" spans="1:12" ht="15.75" x14ac:dyDescent="0.25">
      <c r="A978" s="647">
        <v>47</v>
      </c>
      <c r="B978" s="648"/>
      <c r="C978" s="649"/>
      <c r="D978" s="656" t="s">
        <v>860</v>
      </c>
      <c r="E978" s="651"/>
      <c r="F978" s="657">
        <v>0.8125</v>
      </c>
      <c r="G978" s="647"/>
      <c r="H978" s="648"/>
      <c r="I978" s="649"/>
      <c r="J978" s="650"/>
      <c r="K978" s="651"/>
      <c r="L978" s="664"/>
    </row>
    <row r="979" spans="1:12" ht="15.75" x14ac:dyDescent="0.25">
      <c r="A979" s="647"/>
      <c r="B979" s="648"/>
      <c r="C979" s="649"/>
      <c r="D979" s="650"/>
      <c r="E979" s="651"/>
      <c r="F979" s="653"/>
      <c r="G979" s="647"/>
      <c r="H979" s="648"/>
      <c r="I979" s="649"/>
      <c r="J979" s="617"/>
      <c r="K979" s="651"/>
      <c r="L979" s="653"/>
    </row>
    <row r="980" spans="1:12" ht="15.75" x14ac:dyDescent="0.25">
      <c r="A980" s="647" t="s">
        <v>725</v>
      </c>
      <c r="B980" s="648"/>
      <c r="C980" s="649"/>
      <c r="D980" s="617" t="s">
        <v>236</v>
      </c>
      <c r="E980" s="662">
        <v>0.85763888888888884</v>
      </c>
      <c r="F980" s="658"/>
      <c r="G980" s="647"/>
      <c r="H980" s="648"/>
      <c r="I980" s="649"/>
      <c r="J980" s="661"/>
      <c r="K980" s="651"/>
      <c r="L980" s="658"/>
    </row>
    <row r="981" spans="1:12" ht="15.75" x14ac:dyDescent="0.25">
      <c r="A981" s="647"/>
      <c r="B981" s="648"/>
      <c r="C981" s="649"/>
      <c r="D981" s="650" t="s">
        <v>733</v>
      </c>
      <c r="E981" s="662">
        <v>0.88541666666666663</v>
      </c>
      <c r="F981" s="664"/>
      <c r="G981" s="647"/>
      <c r="H981" s="648"/>
      <c r="I981" s="649"/>
      <c r="J981" s="617"/>
      <c r="K981" s="651"/>
      <c r="L981" s="653"/>
    </row>
    <row r="982" spans="1:12" ht="15.75" x14ac:dyDescent="0.25">
      <c r="A982" s="647"/>
      <c r="B982" s="648" t="s">
        <v>276</v>
      </c>
      <c r="C982" s="649" t="s">
        <v>273</v>
      </c>
      <c r="D982" s="650"/>
      <c r="E982" s="651"/>
      <c r="F982" s="653"/>
      <c r="G982" s="647"/>
      <c r="H982" s="648"/>
      <c r="I982" s="649"/>
      <c r="J982" s="661"/>
      <c r="K982" s="651"/>
      <c r="L982" s="658"/>
    </row>
    <row r="983" spans="1:12" ht="15.75" x14ac:dyDescent="0.25">
      <c r="A983" s="647"/>
      <c r="B983" s="648"/>
      <c r="C983" s="649"/>
      <c r="D983" s="650"/>
      <c r="E983" s="651"/>
      <c r="F983" s="664"/>
      <c r="G983" s="647"/>
      <c r="H983" s="648"/>
      <c r="I983" s="649"/>
      <c r="J983" s="661"/>
      <c r="K983" s="651"/>
      <c r="L983" s="653"/>
    </row>
    <row r="984" spans="1:12" ht="15.75" x14ac:dyDescent="0.25">
      <c r="A984" s="647"/>
      <c r="B984" s="648"/>
      <c r="C984" s="649"/>
      <c r="D984" s="617"/>
      <c r="E984" s="651"/>
      <c r="F984" s="653"/>
      <c r="G984" s="647"/>
      <c r="H984" s="648"/>
      <c r="I984" s="649"/>
      <c r="J984" s="663"/>
      <c r="K984" s="662"/>
      <c r="L984" s="658"/>
    </row>
    <row r="985" spans="1:12" ht="15.75" x14ac:dyDescent="0.25">
      <c r="A985" s="647"/>
      <c r="B985" s="648"/>
      <c r="C985" s="649"/>
      <c r="D985" s="661"/>
      <c r="E985" s="651"/>
      <c r="F985" s="658"/>
      <c r="G985" s="647"/>
      <c r="H985" s="648"/>
      <c r="I985" s="649"/>
      <c r="J985" s="663"/>
      <c r="K985" s="651"/>
      <c r="L985" s="653"/>
    </row>
    <row r="986" spans="1:12" ht="15.75" x14ac:dyDescent="0.25">
      <c r="A986" s="647"/>
      <c r="B986" s="648"/>
      <c r="C986" s="649"/>
      <c r="D986" s="617"/>
      <c r="E986" s="651"/>
      <c r="F986" s="653"/>
      <c r="G986" s="647"/>
      <c r="H986" s="648"/>
      <c r="I986" s="649"/>
      <c r="J986" s="650"/>
      <c r="K986" s="651"/>
      <c r="L986" s="664"/>
    </row>
    <row r="987" spans="1:12" ht="15.75" x14ac:dyDescent="0.25">
      <c r="A987" s="647"/>
      <c r="B987" s="648"/>
      <c r="C987" s="649"/>
      <c r="D987" s="661"/>
      <c r="E987" s="651"/>
      <c r="F987" s="658"/>
      <c r="G987" s="647"/>
      <c r="H987" s="648"/>
      <c r="I987" s="649"/>
      <c r="J987" s="617"/>
      <c r="K987" s="651"/>
      <c r="L987" s="653"/>
    </row>
    <row r="988" spans="1:12" ht="15.75" x14ac:dyDescent="0.25">
      <c r="A988" s="647"/>
      <c r="B988" s="648"/>
      <c r="C988" s="649"/>
      <c r="D988" s="661"/>
      <c r="E988" s="651"/>
      <c r="F988" s="653"/>
      <c r="G988" s="647"/>
      <c r="H988" s="648"/>
      <c r="I988" s="649"/>
      <c r="J988" s="661"/>
      <c r="K988" s="651"/>
      <c r="L988" s="658"/>
    </row>
    <row r="989" spans="1:12" ht="15.75" x14ac:dyDescent="0.25">
      <c r="A989" s="647"/>
      <c r="B989" s="648"/>
      <c r="C989" s="649"/>
      <c r="D989" s="650"/>
      <c r="E989" s="651"/>
      <c r="F989" s="653"/>
      <c r="G989" s="647"/>
      <c r="H989" s="648"/>
      <c r="I989" s="649"/>
      <c r="J989" s="617"/>
      <c r="K989" s="651"/>
      <c r="L989" s="653"/>
    </row>
    <row r="990" spans="1:12" ht="15.75" x14ac:dyDescent="0.25">
      <c r="A990" s="647"/>
      <c r="B990" s="648"/>
      <c r="C990" s="649"/>
      <c r="D990" s="617"/>
      <c r="E990" s="651"/>
      <c r="F990" s="658"/>
      <c r="G990" s="647"/>
      <c r="H990" s="648"/>
      <c r="I990" s="649"/>
      <c r="J990" s="661"/>
      <c r="K990" s="651"/>
      <c r="L990" s="658"/>
    </row>
    <row r="991" spans="1:12" ht="15.75" x14ac:dyDescent="0.25">
      <c r="A991" s="647"/>
      <c r="B991" s="648"/>
      <c r="C991" s="649"/>
      <c r="D991" s="661"/>
      <c r="E991" s="651"/>
      <c r="F991" s="653"/>
      <c r="G991" s="647"/>
      <c r="H991" s="648"/>
      <c r="I991" s="649"/>
      <c r="J991" s="661"/>
      <c r="K991" s="651"/>
      <c r="L991" s="653"/>
    </row>
    <row r="992" spans="1:12" ht="15.75" x14ac:dyDescent="0.25">
      <c r="A992" s="647"/>
      <c r="B992" s="648"/>
      <c r="C992" s="649"/>
      <c r="D992" s="656"/>
      <c r="E992" s="662"/>
      <c r="F992" s="657"/>
      <c r="G992" s="647"/>
      <c r="H992" s="648"/>
      <c r="I992" s="649"/>
      <c r="J992" s="650"/>
      <c r="K992" s="662"/>
      <c r="L992" s="664"/>
    </row>
    <row r="993" spans="1:12" ht="15.75" x14ac:dyDescent="0.25">
      <c r="A993" s="647"/>
      <c r="B993" s="648"/>
      <c r="C993" s="649"/>
      <c r="D993" s="650"/>
      <c r="E993" s="651"/>
      <c r="F993" s="653"/>
      <c r="G993" s="647"/>
      <c r="H993" s="648"/>
      <c r="I993" s="649"/>
      <c r="J993" s="650"/>
      <c r="K993" s="651"/>
      <c r="L993" s="653"/>
    </row>
    <row r="994" spans="1:12" ht="15.75" x14ac:dyDescent="0.25">
      <c r="A994" s="647"/>
      <c r="B994" s="648"/>
      <c r="C994" s="649"/>
      <c r="D994" s="650"/>
      <c r="E994" s="651"/>
      <c r="F994" s="653"/>
      <c r="G994" s="647"/>
      <c r="H994" s="648"/>
      <c r="I994" s="649"/>
      <c r="J994" s="650"/>
      <c r="K994" s="662"/>
      <c r="L994" s="658"/>
    </row>
    <row r="995" spans="1:12" ht="15.75" x14ac:dyDescent="0.25">
      <c r="A995" s="647"/>
      <c r="B995" s="648"/>
      <c r="C995" s="649"/>
      <c r="D995" s="650"/>
      <c r="E995" s="651"/>
      <c r="F995" s="653"/>
      <c r="G995" s="647"/>
      <c r="H995" s="648"/>
      <c r="I995" s="649"/>
      <c r="J995" s="661"/>
      <c r="K995" s="651"/>
      <c r="L995" s="653"/>
    </row>
    <row r="996" spans="1:12" ht="15.75" x14ac:dyDescent="0.25">
      <c r="A996" s="647"/>
      <c r="B996" s="648"/>
      <c r="C996" s="649"/>
      <c r="D996" s="617"/>
      <c r="E996" s="651"/>
      <c r="F996" s="658"/>
      <c r="G996" s="647"/>
      <c r="H996" s="648"/>
      <c r="I996" s="649"/>
      <c r="J996" s="650"/>
      <c r="K996" s="662"/>
      <c r="L996" s="664"/>
    </row>
    <row r="997" spans="1:12" ht="15.75" x14ac:dyDescent="0.25">
      <c r="A997" s="647"/>
      <c r="B997" s="648"/>
      <c r="C997" s="649"/>
      <c r="D997" s="661"/>
      <c r="E997" s="651"/>
      <c r="F997" s="653"/>
      <c r="G997" s="647"/>
      <c r="H997" s="648"/>
      <c r="I997" s="649"/>
      <c r="J997" s="661"/>
      <c r="K997" s="651"/>
      <c r="L997" s="653"/>
    </row>
    <row r="998" spans="1:12" ht="15.75" x14ac:dyDescent="0.25">
      <c r="A998" s="647"/>
      <c r="B998" s="648"/>
      <c r="C998" s="649"/>
      <c r="D998" s="656"/>
      <c r="E998" s="662"/>
      <c r="F998" s="657"/>
      <c r="G998" s="647"/>
      <c r="H998" s="648"/>
      <c r="I998" s="649"/>
      <c r="J998" s="650"/>
      <c r="K998" s="651"/>
      <c r="L998" s="653"/>
    </row>
    <row r="999" spans="1:12" ht="15.75" x14ac:dyDescent="0.25">
      <c r="A999" s="647"/>
      <c r="B999" s="648"/>
      <c r="C999" s="649"/>
      <c r="D999" s="650"/>
      <c r="E999" s="651"/>
      <c r="F999" s="653"/>
      <c r="G999" s="666"/>
      <c r="H999" s="648"/>
      <c r="I999" s="665"/>
      <c r="J999" s="650"/>
      <c r="K999" s="651"/>
      <c r="L999" s="653"/>
    </row>
    <row r="1000" spans="1:12" ht="15.75" x14ac:dyDescent="0.25">
      <c r="A1000" s="667"/>
      <c r="B1000" s="668"/>
      <c r="C1000" s="669"/>
      <c r="D1000" s="670"/>
      <c r="E1000" s="671"/>
      <c r="F1000" s="672"/>
      <c r="G1000" s="673"/>
      <c r="H1000" s="674"/>
      <c r="I1000" s="675"/>
      <c r="J1000" s="676"/>
      <c r="K1000" s="671"/>
      <c r="L1000" s="677"/>
    </row>
    <row r="1001" spans="1:12" ht="23.25" x14ac:dyDescent="0.35">
      <c r="A1001" s="1237" t="s">
        <v>712</v>
      </c>
      <c r="B1001" s="1238"/>
      <c r="C1001" s="1238"/>
      <c r="D1001" s="1238"/>
      <c r="E1001" s="1238"/>
      <c r="F1001" s="1238"/>
      <c r="G1001" s="1238"/>
      <c r="H1001" s="1238"/>
      <c r="I1001" s="1238"/>
      <c r="J1001" s="1238"/>
      <c r="K1001" s="1238"/>
      <c r="L1001" s="1239"/>
    </row>
    <row r="1002" spans="1:12" ht="23.25" x14ac:dyDescent="0.35">
      <c r="A1002" s="1240" t="s">
        <v>713</v>
      </c>
      <c r="B1002" s="1241"/>
      <c r="C1002" s="1241"/>
      <c r="D1002" s="1241"/>
      <c r="E1002" s="1241"/>
      <c r="F1002" s="1241"/>
      <c r="G1002" s="1241"/>
      <c r="H1002" s="1241"/>
      <c r="I1002" s="1241"/>
      <c r="J1002" s="1241"/>
      <c r="K1002" s="1241"/>
      <c r="L1002" s="1242"/>
    </row>
    <row r="1003" spans="1:12" ht="23.25" x14ac:dyDescent="0.35">
      <c r="A1003" s="1243" t="s">
        <v>714</v>
      </c>
      <c r="B1003" s="1244"/>
      <c r="C1003" s="1244"/>
      <c r="D1003" s="1244"/>
      <c r="E1003" s="1244"/>
      <c r="F1003" s="1244"/>
      <c r="G1003" s="1244"/>
      <c r="H1003" s="1244"/>
      <c r="I1003" s="1244"/>
      <c r="J1003" s="1244"/>
      <c r="K1003" s="1244"/>
      <c r="L1003" s="1245"/>
    </row>
    <row r="1004" spans="1:12" ht="23.25" x14ac:dyDescent="0.35">
      <c r="A1004" s="619" t="s">
        <v>227</v>
      </c>
      <c r="B1004" s="620"/>
      <c r="C1004" s="620"/>
      <c r="D1004" s="621" t="s">
        <v>716</v>
      </c>
      <c r="E1004" s="1241" t="s">
        <v>717</v>
      </c>
      <c r="F1004" s="1241"/>
      <c r="G1004" s="1241"/>
      <c r="H1004" s="1241"/>
      <c r="I1004" s="1241"/>
      <c r="J1004" s="618" t="s">
        <v>765</v>
      </c>
      <c r="K1004" s="1241"/>
      <c r="L1004" s="1242"/>
    </row>
    <row r="1005" spans="1:12" x14ac:dyDescent="0.25">
      <c r="A1005" s="622"/>
      <c r="B1005" s="623"/>
      <c r="C1005" s="623"/>
      <c r="D1005" s="624"/>
      <c r="E1005" s="623"/>
      <c r="F1005" s="623"/>
      <c r="G1005" s="623"/>
      <c r="H1005" s="623"/>
      <c r="I1005" s="1246"/>
      <c r="J1005" s="1246"/>
      <c r="K1005" s="623"/>
      <c r="L1005" s="625"/>
    </row>
    <row r="1006" spans="1:12" ht="15.75" x14ac:dyDescent="0.25">
      <c r="A1006" s="626" t="s">
        <v>719</v>
      </c>
      <c r="B1006" s="627"/>
      <c r="C1006" s="628"/>
      <c r="D1006" s="629" t="s">
        <v>720</v>
      </c>
      <c r="E1006" s="630" t="s">
        <v>721</v>
      </c>
      <c r="F1006" s="631" t="s">
        <v>722</v>
      </c>
      <c r="G1006" s="626" t="s">
        <v>719</v>
      </c>
      <c r="H1006" s="632"/>
      <c r="I1006" s="633"/>
      <c r="J1006" s="634" t="s">
        <v>720</v>
      </c>
      <c r="K1006" s="626" t="s">
        <v>721</v>
      </c>
      <c r="L1006" s="626" t="s">
        <v>722</v>
      </c>
    </row>
    <row r="1007" spans="1:12" ht="15.75" x14ac:dyDescent="0.25">
      <c r="A1007" s="635"/>
      <c r="B1007" s="636"/>
      <c r="C1007" s="637"/>
      <c r="D1007" s="638"/>
      <c r="E1007" s="639"/>
      <c r="F1007" s="640"/>
      <c r="G1007" s="641"/>
      <c r="H1007" s="642"/>
      <c r="I1007" s="643"/>
      <c r="J1007" s="644"/>
      <c r="K1007" s="645"/>
      <c r="L1007" s="646"/>
    </row>
    <row r="1008" spans="1:12" ht="15.75" x14ac:dyDescent="0.25">
      <c r="A1008" s="647"/>
      <c r="B1008" s="648" t="s">
        <v>273</v>
      </c>
      <c r="C1008" s="649">
        <v>160</v>
      </c>
      <c r="D1008" s="650" t="s">
        <v>855</v>
      </c>
      <c r="E1008" s="651"/>
      <c r="F1008" s="652"/>
      <c r="G1008" s="647"/>
      <c r="H1008" s="648"/>
      <c r="I1008" s="649"/>
      <c r="J1008" s="650"/>
      <c r="K1008" s="651"/>
      <c r="L1008" s="653"/>
    </row>
    <row r="1009" spans="1:12" ht="15.75" x14ac:dyDescent="0.25">
      <c r="A1009" s="647" t="s">
        <v>725</v>
      </c>
      <c r="B1009" s="654"/>
      <c r="C1009" s="649"/>
      <c r="D1009" s="650" t="s">
        <v>726</v>
      </c>
      <c r="E1009" s="651"/>
      <c r="F1009" s="655">
        <v>0.70486111111111116</v>
      </c>
      <c r="G1009" s="647"/>
      <c r="H1009" s="648"/>
      <c r="I1009" s="649"/>
      <c r="J1009" s="656"/>
      <c r="K1009" s="651"/>
      <c r="L1009" s="657"/>
    </row>
    <row r="1010" spans="1:12" ht="15.75" x14ac:dyDescent="0.25">
      <c r="A1010" s="647">
        <v>47</v>
      </c>
      <c r="B1010" s="648"/>
      <c r="C1010" s="649"/>
      <c r="D1010" s="656" t="s">
        <v>860</v>
      </c>
      <c r="E1010" s="651"/>
      <c r="F1010" s="657">
        <v>0.72916666666666663</v>
      </c>
      <c r="G1010" s="647"/>
      <c r="H1010" s="648"/>
      <c r="I1010" s="649"/>
      <c r="J1010" s="650"/>
      <c r="K1010" s="651"/>
      <c r="L1010" s="653"/>
    </row>
    <row r="1011" spans="1:12" ht="15.75" x14ac:dyDescent="0.25">
      <c r="A1011" s="647"/>
      <c r="B1011" s="648"/>
      <c r="C1011" s="649"/>
      <c r="D1011" s="650"/>
      <c r="E1011" s="651"/>
      <c r="F1011" s="653"/>
      <c r="G1011" s="647"/>
      <c r="H1011" s="648"/>
      <c r="I1011" s="649"/>
      <c r="J1011" s="617"/>
      <c r="K1011" s="651"/>
      <c r="L1011" s="658"/>
    </row>
    <row r="1012" spans="1:12" ht="15.75" x14ac:dyDescent="0.25">
      <c r="A1012" s="647" t="s">
        <v>725</v>
      </c>
      <c r="B1012" s="648"/>
      <c r="C1012" s="649"/>
      <c r="D1012" s="617" t="s">
        <v>236</v>
      </c>
      <c r="E1012" s="662">
        <v>0.79166666666666663</v>
      </c>
      <c r="F1012" s="658"/>
      <c r="G1012" s="647"/>
      <c r="H1012" s="648"/>
      <c r="I1012" s="649"/>
      <c r="J1012" s="661"/>
      <c r="K1012" s="651"/>
      <c r="L1012" s="653"/>
    </row>
    <row r="1013" spans="1:12" ht="15.75" x14ac:dyDescent="0.25">
      <c r="A1013" s="647"/>
      <c r="B1013" s="648"/>
      <c r="C1013" s="649"/>
      <c r="D1013" s="650" t="s">
        <v>733</v>
      </c>
      <c r="E1013" s="662">
        <v>0.81597222222222221</v>
      </c>
      <c r="F1013" s="664"/>
      <c r="G1013" s="647"/>
      <c r="H1013" s="648"/>
      <c r="I1013" s="649"/>
      <c r="J1013" s="656"/>
      <c r="K1013" s="651"/>
      <c r="L1013" s="657"/>
    </row>
    <row r="1014" spans="1:12" ht="15.75" x14ac:dyDescent="0.25">
      <c r="A1014" s="647"/>
      <c r="B1014" s="648" t="s">
        <v>276</v>
      </c>
      <c r="C1014" s="649" t="s">
        <v>273</v>
      </c>
      <c r="D1014" s="650"/>
      <c r="E1014" s="651"/>
      <c r="F1014" s="653"/>
      <c r="G1014" s="647"/>
      <c r="H1014" s="648"/>
      <c r="I1014" s="649"/>
      <c r="J1014" s="650"/>
      <c r="K1014" s="651"/>
      <c r="L1014" s="653"/>
    </row>
    <row r="1015" spans="1:12" ht="15.75" x14ac:dyDescent="0.25">
      <c r="A1015" s="647"/>
      <c r="B1015" s="648"/>
      <c r="C1015" s="649"/>
      <c r="D1015" s="650"/>
      <c r="E1015" s="651"/>
      <c r="F1015" s="664"/>
      <c r="G1015" s="647"/>
      <c r="H1015" s="648"/>
      <c r="I1015" s="649"/>
      <c r="J1015" s="617"/>
      <c r="K1015" s="662"/>
      <c r="L1015" s="658"/>
    </row>
    <row r="1016" spans="1:12" ht="15.75" x14ac:dyDescent="0.25">
      <c r="A1016" s="647"/>
      <c r="B1016" s="648"/>
      <c r="C1016" s="649"/>
      <c r="D1016" s="617"/>
      <c r="E1016" s="651"/>
      <c r="F1016" s="653"/>
      <c r="G1016" s="647"/>
      <c r="H1016" s="648"/>
      <c r="I1016" s="649"/>
      <c r="J1016" s="650"/>
      <c r="K1016" s="662"/>
      <c r="L1016" s="664"/>
    </row>
    <row r="1017" spans="1:12" ht="15.75" x14ac:dyDescent="0.25">
      <c r="A1017" s="647"/>
      <c r="B1017" s="648"/>
      <c r="C1017" s="649"/>
      <c r="D1017" s="661"/>
      <c r="E1017" s="651"/>
      <c r="F1017" s="658"/>
      <c r="G1017" s="647"/>
      <c r="H1017" s="648"/>
      <c r="I1017" s="649"/>
      <c r="J1017" s="650"/>
      <c r="K1017" s="651"/>
      <c r="L1017" s="653"/>
    </row>
    <row r="1018" spans="1:12" ht="15.75" x14ac:dyDescent="0.25">
      <c r="A1018" s="647"/>
      <c r="B1018" s="648"/>
      <c r="C1018" s="649"/>
      <c r="D1018" s="617"/>
      <c r="E1018" s="651"/>
      <c r="F1018" s="653"/>
      <c r="G1018" s="647"/>
      <c r="H1018" s="648"/>
      <c r="I1018" s="649"/>
      <c r="J1018" s="650"/>
      <c r="K1018" s="651"/>
      <c r="L1018" s="664"/>
    </row>
    <row r="1019" spans="1:12" ht="15.75" x14ac:dyDescent="0.25">
      <c r="A1019" s="647"/>
      <c r="B1019" s="648"/>
      <c r="C1019" s="649"/>
      <c r="D1019" s="661"/>
      <c r="E1019" s="651"/>
      <c r="F1019" s="658"/>
      <c r="G1019" s="647"/>
      <c r="H1019" s="648"/>
      <c r="I1019" s="649"/>
      <c r="J1019" s="617"/>
      <c r="K1019" s="651"/>
      <c r="L1019" s="653"/>
    </row>
    <row r="1020" spans="1:12" ht="15.75" x14ac:dyDescent="0.25">
      <c r="A1020" s="647"/>
      <c r="B1020" s="648"/>
      <c r="C1020" s="649"/>
      <c r="D1020" s="661"/>
      <c r="E1020" s="651"/>
      <c r="F1020" s="653"/>
      <c r="G1020" s="647"/>
      <c r="H1020" s="648"/>
      <c r="I1020" s="649"/>
      <c r="J1020" s="661"/>
      <c r="K1020" s="651"/>
      <c r="L1020" s="658"/>
    </row>
    <row r="1021" spans="1:12" ht="15.75" x14ac:dyDescent="0.25">
      <c r="A1021" s="647"/>
      <c r="B1021" s="648"/>
      <c r="C1021" s="649"/>
      <c r="D1021" s="650"/>
      <c r="E1021" s="651"/>
      <c r="F1021" s="653"/>
      <c r="G1021" s="647"/>
      <c r="H1021" s="648"/>
      <c r="I1021" s="649"/>
      <c r="J1021" s="617"/>
      <c r="K1021" s="651"/>
      <c r="L1021" s="653"/>
    </row>
    <row r="1022" spans="1:12" ht="15.75" x14ac:dyDescent="0.25">
      <c r="A1022" s="647"/>
      <c r="B1022" s="648"/>
      <c r="C1022" s="649"/>
      <c r="D1022" s="617"/>
      <c r="E1022" s="651"/>
      <c r="F1022" s="658"/>
      <c r="G1022" s="647"/>
      <c r="H1022" s="648"/>
      <c r="I1022" s="649"/>
      <c r="J1022" s="661"/>
      <c r="K1022" s="651"/>
      <c r="L1022" s="658"/>
    </row>
    <row r="1023" spans="1:12" ht="15.75" x14ac:dyDescent="0.25">
      <c r="A1023" s="647"/>
      <c r="B1023" s="648"/>
      <c r="C1023" s="649"/>
      <c r="D1023" s="661"/>
      <c r="E1023" s="651"/>
      <c r="F1023" s="653"/>
      <c r="G1023" s="647"/>
      <c r="H1023" s="648"/>
      <c r="I1023" s="649"/>
      <c r="J1023" s="661"/>
      <c r="K1023" s="651"/>
      <c r="L1023" s="653"/>
    </row>
    <row r="1024" spans="1:12" ht="15.75" x14ac:dyDescent="0.25">
      <c r="A1024" s="647"/>
      <c r="B1024" s="648"/>
      <c r="C1024" s="649"/>
      <c r="D1024" s="656"/>
      <c r="E1024" s="662"/>
      <c r="F1024" s="657"/>
      <c r="G1024" s="647"/>
      <c r="H1024" s="648"/>
      <c r="I1024" s="649"/>
      <c r="J1024" s="663"/>
      <c r="K1024" s="662"/>
      <c r="L1024" s="658"/>
    </row>
    <row r="1025" spans="1:12" ht="15.75" x14ac:dyDescent="0.25">
      <c r="A1025" s="647"/>
      <c r="B1025" s="648"/>
      <c r="C1025" s="649"/>
      <c r="D1025" s="650"/>
      <c r="E1025" s="651"/>
      <c r="F1025" s="653"/>
      <c r="G1025" s="647"/>
      <c r="H1025" s="648"/>
      <c r="I1025" s="649"/>
      <c r="J1025" s="663"/>
      <c r="K1025" s="651"/>
      <c r="L1025" s="653"/>
    </row>
    <row r="1026" spans="1:12" ht="15.75" x14ac:dyDescent="0.25">
      <c r="A1026" s="647"/>
      <c r="B1026" s="648"/>
      <c r="C1026" s="649"/>
      <c r="D1026" s="650"/>
      <c r="E1026" s="651"/>
      <c r="F1026" s="653"/>
      <c r="G1026" s="647"/>
      <c r="H1026" s="648"/>
      <c r="I1026" s="649"/>
      <c r="J1026" s="650"/>
      <c r="K1026" s="651"/>
      <c r="L1026" s="664"/>
    </row>
    <row r="1027" spans="1:12" ht="15.75" x14ac:dyDescent="0.25">
      <c r="A1027" s="647"/>
      <c r="B1027" s="648"/>
      <c r="C1027" s="649"/>
      <c r="D1027" s="650"/>
      <c r="E1027" s="651"/>
      <c r="F1027" s="653"/>
      <c r="G1027" s="647"/>
      <c r="H1027" s="648"/>
      <c r="I1027" s="649"/>
      <c r="J1027" s="617"/>
      <c r="K1027" s="651"/>
      <c r="L1027" s="653"/>
    </row>
    <row r="1028" spans="1:12" ht="15.75" x14ac:dyDescent="0.25">
      <c r="A1028" s="647"/>
      <c r="B1028" s="648"/>
      <c r="C1028" s="649"/>
      <c r="D1028" s="617"/>
      <c r="E1028" s="651"/>
      <c r="F1028" s="658"/>
      <c r="G1028" s="647"/>
      <c r="H1028" s="648"/>
      <c r="I1028" s="649"/>
      <c r="J1028" s="661"/>
      <c r="K1028" s="651"/>
      <c r="L1028" s="658"/>
    </row>
    <row r="1029" spans="1:12" ht="15.75" x14ac:dyDescent="0.25">
      <c r="A1029" s="647"/>
      <c r="B1029" s="648"/>
      <c r="C1029" s="649"/>
      <c r="D1029" s="661"/>
      <c r="E1029" s="651"/>
      <c r="F1029" s="653"/>
      <c r="G1029" s="647"/>
      <c r="H1029" s="648"/>
      <c r="I1029" s="649"/>
      <c r="J1029" s="617"/>
      <c r="K1029" s="651"/>
      <c r="L1029" s="653"/>
    </row>
    <row r="1030" spans="1:12" ht="15.75" x14ac:dyDescent="0.25">
      <c r="A1030" s="647"/>
      <c r="B1030" s="648"/>
      <c r="C1030" s="649"/>
      <c r="D1030" s="617"/>
      <c r="E1030" s="651"/>
      <c r="F1030" s="658"/>
      <c r="G1030" s="647"/>
      <c r="H1030" s="648"/>
      <c r="I1030" s="649"/>
      <c r="J1030" s="661"/>
      <c r="K1030" s="651"/>
      <c r="L1030" s="658"/>
    </row>
    <row r="1031" spans="1:12" ht="15.75" x14ac:dyDescent="0.25">
      <c r="A1031" s="647"/>
      <c r="B1031" s="648"/>
      <c r="C1031" s="649"/>
      <c r="D1031" s="661"/>
      <c r="E1031" s="651"/>
      <c r="F1031" s="653"/>
      <c r="G1031" s="647"/>
      <c r="H1031" s="648"/>
      <c r="I1031" s="649"/>
      <c r="J1031" s="661"/>
      <c r="K1031" s="651"/>
      <c r="L1031" s="653"/>
    </row>
    <row r="1032" spans="1:12" ht="15.75" x14ac:dyDescent="0.25">
      <c r="A1032" s="647"/>
      <c r="B1032" s="648"/>
      <c r="C1032" s="649"/>
      <c r="D1032" s="656"/>
      <c r="E1032" s="662"/>
      <c r="F1032" s="657"/>
      <c r="G1032" s="647"/>
      <c r="H1032" s="648"/>
      <c r="I1032" s="649"/>
      <c r="J1032" s="650"/>
      <c r="K1032" s="662"/>
      <c r="L1032" s="664"/>
    </row>
    <row r="1033" spans="1:12" ht="15.75" x14ac:dyDescent="0.25">
      <c r="A1033" s="647"/>
      <c r="B1033" s="648"/>
      <c r="C1033" s="649"/>
      <c r="D1033" s="650"/>
      <c r="E1033" s="651"/>
      <c r="F1033" s="653"/>
      <c r="G1033" s="647"/>
      <c r="H1033" s="648"/>
      <c r="I1033" s="649"/>
      <c r="J1033" s="650"/>
      <c r="K1033" s="651"/>
      <c r="L1033" s="653"/>
    </row>
    <row r="1034" spans="1:12" ht="15.75" x14ac:dyDescent="0.25">
      <c r="A1034" s="647"/>
      <c r="B1034" s="648"/>
      <c r="C1034" s="649"/>
      <c r="D1034" s="650"/>
      <c r="E1034" s="651"/>
      <c r="F1034" s="653"/>
      <c r="G1034" s="647"/>
      <c r="H1034" s="648"/>
      <c r="I1034" s="649"/>
      <c r="J1034" s="650"/>
      <c r="K1034" s="662"/>
      <c r="L1034" s="658"/>
    </row>
    <row r="1035" spans="1:12" ht="15.75" x14ac:dyDescent="0.25">
      <c r="A1035" s="647"/>
      <c r="B1035" s="648"/>
      <c r="C1035" s="649"/>
      <c r="D1035" s="650"/>
      <c r="E1035" s="651"/>
      <c r="F1035" s="653"/>
      <c r="G1035" s="647"/>
      <c r="H1035" s="648"/>
      <c r="I1035" s="649"/>
      <c r="J1035" s="661"/>
      <c r="K1035" s="651"/>
      <c r="L1035" s="653"/>
    </row>
    <row r="1036" spans="1:12" ht="15.75" x14ac:dyDescent="0.25">
      <c r="A1036" s="647"/>
      <c r="B1036" s="648"/>
      <c r="C1036" s="649"/>
      <c r="D1036" s="617"/>
      <c r="E1036" s="651"/>
      <c r="F1036" s="658"/>
      <c r="G1036" s="647"/>
      <c r="H1036" s="648"/>
      <c r="I1036" s="649"/>
      <c r="J1036" s="650"/>
      <c r="K1036" s="662"/>
      <c r="L1036" s="664"/>
    </row>
    <row r="1037" spans="1:12" ht="15.75" x14ac:dyDescent="0.25">
      <c r="A1037" s="647"/>
      <c r="B1037" s="648"/>
      <c r="C1037" s="649"/>
      <c r="D1037" s="661"/>
      <c r="E1037" s="651"/>
      <c r="F1037" s="653"/>
      <c r="G1037" s="647"/>
      <c r="H1037" s="648"/>
      <c r="I1037" s="649"/>
      <c r="J1037" s="661"/>
      <c r="K1037" s="651"/>
      <c r="L1037" s="653"/>
    </row>
    <row r="1038" spans="1:12" ht="15.75" x14ac:dyDescent="0.25">
      <c r="A1038" s="647"/>
      <c r="B1038" s="648"/>
      <c r="C1038" s="649"/>
      <c r="D1038" s="656"/>
      <c r="E1038" s="662"/>
      <c r="F1038" s="657"/>
      <c r="G1038" s="647"/>
      <c r="H1038" s="648"/>
      <c r="I1038" s="649"/>
      <c r="J1038" s="650"/>
      <c r="K1038" s="651"/>
      <c r="L1038" s="653"/>
    </row>
    <row r="1039" spans="1:12" ht="15.75" x14ac:dyDescent="0.25">
      <c r="A1039" s="647"/>
      <c r="B1039" s="648"/>
      <c r="C1039" s="649"/>
      <c r="D1039" s="650"/>
      <c r="E1039" s="651"/>
      <c r="F1039" s="653"/>
      <c r="G1039" s="666"/>
      <c r="H1039" s="648"/>
      <c r="I1039" s="665"/>
      <c r="J1039" s="650"/>
      <c r="K1039" s="651"/>
      <c r="L1039" s="653"/>
    </row>
    <row r="1040" spans="1:12" ht="15.75" x14ac:dyDescent="0.25">
      <c r="A1040" s="667"/>
      <c r="B1040" s="668"/>
      <c r="C1040" s="669"/>
      <c r="D1040" s="670"/>
      <c r="E1040" s="671"/>
      <c r="F1040" s="672"/>
      <c r="G1040" s="673"/>
      <c r="H1040" s="674"/>
      <c r="I1040" s="675"/>
      <c r="J1040" s="676"/>
      <c r="K1040" s="671"/>
      <c r="L1040" s="677"/>
    </row>
  </sheetData>
  <mergeCells count="156">
    <mergeCell ref="I1005:J1005"/>
    <mergeCell ref="I965:J965"/>
    <mergeCell ref="A1001:L1001"/>
    <mergeCell ref="A1002:L1002"/>
    <mergeCell ref="A1003:L1003"/>
    <mergeCell ref="E1004:I1004"/>
    <mergeCell ref="K1004:L1004"/>
    <mergeCell ref="I925:J925"/>
    <mergeCell ref="A961:L961"/>
    <mergeCell ref="A962:L962"/>
    <mergeCell ref="A963:L963"/>
    <mergeCell ref="E964:I964"/>
    <mergeCell ref="K964:L964"/>
    <mergeCell ref="I885:J885"/>
    <mergeCell ref="A921:L921"/>
    <mergeCell ref="A922:L922"/>
    <mergeCell ref="A923:L923"/>
    <mergeCell ref="E924:I924"/>
    <mergeCell ref="K924:L924"/>
    <mergeCell ref="I845:J845"/>
    <mergeCell ref="A881:L881"/>
    <mergeCell ref="A882:L882"/>
    <mergeCell ref="A883:L883"/>
    <mergeCell ref="E884:I884"/>
    <mergeCell ref="K884:L884"/>
    <mergeCell ref="I805:J805"/>
    <mergeCell ref="A841:L841"/>
    <mergeCell ref="A842:L842"/>
    <mergeCell ref="A843:L843"/>
    <mergeCell ref="E844:I844"/>
    <mergeCell ref="K844:L844"/>
    <mergeCell ref="I765:J765"/>
    <mergeCell ref="A801:L801"/>
    <mergeCell ref="A802:L802"/>
    <mergeCell ref="A803:L803"/>
    <mergeCell ref="E804:I804"/>
    <mergeCell ref="K804:L804"/>
    <mergeCell ref="I725:J725"/>
    <mergeCell ref="A761:L761"/>
    <mergeCell ref="A762:L762"/>
    <mergeCell ref="A763:L763"/>
    <mergeCell ref="E764:I764"/>
    <mergeCell ref="K764:L764"/>
    <mergeCell ref="I685:J685"/>
    <mergeCell ref="A721:L721"/>
    <mergeCell ref="A722:L722"/>
    <mergeCell ref="A723:L723"/>
    <mergeCell ref="E724:I724"/>
    <mergeCell ref="K724:L724"/>
    <mergeCell ref="I645:J645"/>
    <mergeCell ref="A681:L681"/>
    <mergeCell ref="A682:L682"/>
    <mergeCell ref="A683:L683"/>
    <mergeCell ref="E684:I684"/>
    <mergeCell ref="K684:L684"/>
    <mergeCell ref="I605:J605"/>
    <mergeCell ref="A641:L641"/>
    <mergeCell ref="A642:L642"/>
    <mergeCell ref="A643:L643"/>
    <mergeCell ref="E644:I644"/>
    <mergeCell ref="K644:L644"/>
    <mergeCell ref="I565:J565"/>
    <mergeCell ref="A601:L601"/>
    <mergeCell ref="A602:L602"/>
    <mergeCell ref="A603:L603"/>
    <mergeCell ref="E604:I604"/>
    <mergeCell ref="K604:L604"/>
    <mergeCell ref="I525:J525"/>
    <mergeCell ref="A561:L561"/>
    <mergeCell ref="A562:L562"/>
    <mergeCell ref="A563:L563"/>
    <mergeCell ref="E564:I564"/>
    <mergeCell ref="K564:L564"/>
    <mergeCell ref="I485:J485"/>
    <mergeCell ref="A521:L521"/>
    <mergeCell ref="A522:L522"/>
    <mergeCell ref="A523:L523"/>
    <mergeCell ref="E524:I524"/>
    <mergeCell ref="K524:L524"/>
    <mergeCell ref="I445:J445"/>
    <mergeCell ref="A481:L481"/>
    <mergeCell ref="A482:L482"/>
    <mergeCell ref="A483:L483"/>
    <mergeCell ref="E484:I484"/>
    <mergeCell ref="K484:L484"/>
    <mergeCell ref="I405:J405"/>
    <mergeCell ref="A441:L441"/>
    <mergeCell ref="A442:L442"/>
    <mergeCell ref="A443:L443"/>
    <mergeCell ref="E444:I444"/>
    <mergeCell ref="K444:L444"/>
    <mergeCell ref="I365:J365"/>
    <mergeCell ref="A401:L401"/>
    <mergeCell ref="A402:L402"/>
    <mergeCell ref="A403:L403"/>
    <mergeCell ref="E404:I404"/>
    <mergeCell ref="K404:L404"/>
    <mergeCell ref="I5:J5"/>
    <mergeCell ref="A361:L361"/>
    <mergeCell ref="A362:L362"/>
    <mergeCell ref="A363:L363"/>
    <mergeCell ref="E364:I364"/>
    <mergeCell ref="K364:L364"/>
    <mergeCell ref="A1:L1"/>
    <mergeCell ref="A2:L2"/>
    <mergeCell ref="A3:L3"/>
    <mergeCell ref="E4:I4"/>
    <mergeCell ref="K4:L4"/>
    <mergeCell ref="I85:J85"/>
    <mergeCell ref="A41:L41"/>
    <mergeCell ref="A42:L42"/>
    <mergeCell ref="A43:L43"/>
    <mergeCell ref="E44:I44"/>
    <mergeCell ref="K44:L44"/>
    <mergeCell ref="I45:J45"/>
    <mergeCell ref="A81:L81"/>
    <mergeCell ref="A82:L82"/>
    <mergeCell ref="A83:L83"/>
    <mergeCell ref="E84:I84"/>
    <mergeCell ref="K84:L84"/>
    <mergeCell ref="I165:J165"/>
    <mergeCell ref="A121:L121"/>
    <mergeCell ref="A122:L122"/>
    <mergeCell ref="A123:L123"/>
    <mergeCell ref="E124:I124"/>
    <mergeCell ref="K124:L124"/>
    <mergeCell ref="I125:J125"/>
    <mergeCell ref="A161:L161"/>
    <mergeCell ref="A162:L162"/>
    <mergeCell ref="A163:L163"/>
    <mergeCell ref="E164:I164"/>
    <mergeCell ref="K164:L164"/>
    <mergeCell ref="I245:J245"/>
    <mergeCell ref="A201:L201"/>
    <mergeCell ref="A202:L202"/>
    <mergeCell ref="A203:L203"/>
    <mergeCell ref="E204:I204"/>
    <mergeCell ref="K204:L204"/>
    <mergeCell ref="I205:J205"/>
    <mergeCell ref="A241:L241"/>
    <mergeCell ref="A242:L242"/>
    <mergeCell ref="A243:L243"/>
    <mergeCell ref="E244:I244"/>
    <mergeCell ref="K244:L244"/>
    <mergeCell ref="I325:J325"/>
    <mergeCell ref="A281:L281"/>
    <mergeCell ref="A282:L282"/>
    <mergeCell ref="A283:L283"/>
    <mergeCell ref="E284:I284"/>
    <mergeCell ref="K284:L284"/>
    <mergeCell ref="I285:J285"/>
    <mergeCell ref="A321:L321"/>
    <mergeCell ref="A322:L322"/>
    <mergeCell ref="A323:L323"/>
    <mergeCell ref="E324:I324"/>
    <mergeCell ref="K324:L324"/>
  </mergeCells>
  <pageMargins left="0.7" right="0.7" top="0.75" bottom="0.75" header="0.3" footer="0.3"/>
  <rowBreaks count="25" manualBreakCount="25">
    <brk id="40" max="16383" man="1"/>
    <brk id="80" max="16383" man="1"/>
    <brk id="120" max="16383" man="1"/>
    <brk id="160" max="16383" man="1"/>
    <brk id="200" max="16383" man="1"/>
    <brk id="240" max="16383" man="1"/>
    <brk id="280" max="16383" man="1"/>
    <brk id="320" max="16383" man="1"/>
    <brk id="360" max="16383" man="1"/>
    <brk id="400" max="16383" man="1"/>
    <brk id="440" max="16383" man="1"/>
    <brk id="480" max="16383" man="1"/>
    <brk id="520" max="16383" man="1"/>
    <brk id="560" max="16383" man="1"/>
    <brk id="600" max="16383" man="1"/>
    <brk id="640" max="16383" man="1"/>
    <brk id="680" max="16383" man="1"/>
    <brk id="720" max="16383" man="1"/>
    <brk id="760" max="16383" man="1"/>
    <brk id="800" max="16383" man="1"/>
    <brk id="840" max="16383" man="1"/>
    <brk id="880" max="16383" man="1"/>
    <brk id="920" max="16383" man="1"/>
    <brk id="960" max="16383" man="1"/>
    <brk id="100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E18E-7CDC-4685-AF09-A8714FA472D3}">
  <dimension ref="A1:L840"/>
  <sheetViews>
    <sheetView topLeftCell="A796" zoomScale="70" zoomScaleNormal="70" zoomScaleSheetLayoutView="100" workbookViewId="0">
      <selection activeCell="A819" sqref="A819"/>
    </sheetView>
    <sheetView workbookViewId="1">
      <selection sqref="A1:L1"/>
    </sheetView>
  </sheetViews>
  <sheetFormatPr defaultRowHeight="15" x14ac:dyDescent="0.25"/>
  <cols>
    <col min="1" max="1" width="9.7109375" style="701" customWidth="1"/>
    <col min="2" max="3" width="9.140625" style="701"/>
    <col min="4" max="4" width="51.5703125" bestFit="1" customWidth="1"/>
    <col min="5" max="9" width="9.140625" style="701"/>
    <col min="10" max="10" width="50.28515625" bestFit="1" customWidth="1"/>
    <col min="11" max="12" width="9.140625" style="701"/>
  </cols>
  <sheetData>
    <row r="1" spans="1:12" ht="23.25" customHeight="1" x14ac:dyDescent="0.35">
      <c r="A1" s="1237" t="s">
        <v>712</v>
      </c>
      <c r="B1" s="1238"/>
      <c r="C1" s="1238"/>
      <c r="D1" s="1238"/>
      <c r="E1" s="1238"/>
      <c r="F1" s="1238"/>
      <c r="G1" s="1238"/>
      <c r="H1" s="1238"/>
      <c r="I1" s="1238"/>
      <c r="J1" s="1238"/>
      <c r="K1" s="1238"/>
      <c r="L1" s="1239"/>
    </row>
    <row r="2" spans="1:12" ht="23.25" customHeight="1" thickBot="1" x14ac:dyDescent="0.4">
      <c r="A2" s="1240" t="s">
        <v>713</v>
      </c>
      <c r="B2" s="1241"/>
      <c r="C2" s="1241"/>
      <c r="D2" s="1241"/>
      <c r="E2" s="1241"/>
      <c r="F2" s="1241"/>
      <c r="G2" s="1241"/>
      <c r="H2" s="1241"/>
      <c r="I2" s="1241"/>
      <c r="J2" s="1241"/>
      <c r="K2" s="1241"/>
      <c r="L2" s="1242"/>
    </row>
    <row r="3" spans="1:12" ht="23.25" customHeight="1" thickBot="1" x14ac:dyDescent="0.4">
      <c r="A3" s="1243" t="s">
        <v>714</v>
      </c>
      <c r="B3" s="1244"/>
      <c r="C3" s="1244"/>
      <c r="D3" s="1244"/>
      <c r="E3" s="1244"/>
      <c r="F3" s="1244"/>
      <c r="G3" s="1244"/>
      <c r="H3" s="1244"/>
      <c r="I3" s="1244"/>
      <c r="J3" s="1244"/>
      <c r="K3" s="1244"/>
      <c r="L3" s="1245"/>
    </row>
    <row r="4" spans="1:12" ht="23.25" customHeight="1" x14ac:dyDescent="0.35">
      <c r="A4" s="619" t="s">
        <v>715</v>
      </c>
      <c r="B4" s="620"/>
      <c r="C4" s="620"/>
      <c r="D4" s="621" t="s">
        <v>716</v>
      </c>
      <c r="E4" s="1241" t="s">
        <v>403</v>
      </c>
      <c r="F4" s="1241"/>
      <c r="G4" s="1241"/>
      <c r="H4" s="1241"/>
      <c r="I4" s="1241"/>
      <c r="J4" s="618" t="s">
        <v>718</v>
      </c>
      <c r="K4" s="1241" t="s">
        <v>1</v>
      </c>
      <c r="L4" s="1242"/>
    </row>
    <row r="5" spans="1:12" ht="15.75" thickBot="1" x14ac:dyDescent="0.3">
      <c r="A5" s="560" t="s">
        <v>1</v>
      </c>
      <c r="B5" s="561" t="s">
        <v>1</v>
      </c>
      <c r="C5" s="561" t="s">
        <v>1</v>
      </c>
      <c r="D5" s="562" t="s">
        <v>1</v>
      </c>
      <c r="E5" s="561" t="s">
        <v>1</v>
      </c>
      <c r="F5" s="561" t="s">
        <v>1</v>
      </c>
      <c r="G5" s="561" t="s">
        <v>1</v>
      </c>
      <c r="H5" s="561" t="s">
        <v>1</v>
      </c>
      <c r="I5" s="1227" t="s">
        <v>1</v>
      </c>
      <c r="J5" s="1227"/>
      <c r="K5" s="561" t="s">
        <v>1</v>
      </c>
      <c r="L5" s="563" t="s">
        <v>1</v>
      </c>
    </row>
    <row r="6" spans="1:12" ht="15.75" x14ac:dyDescent="0.25">
      <c r="A6" s="564" t="s">
        <v>719</v>
      </c>
      <c r="B6" s="565" t="s">
        <v>1</v>
      </c>
      <c r="C6" s="569" t="s">
        <v>1</v>
      </c>
      <c r="D6" s="567" t="s">
        <v>720</v>
      </c>
      <c r="E6" s="699" t="s">
        <v>721</v>
      </c>
      <c r="F6" s="569" t="s">
        <v>722</v>
      </c>
      <c r="G6" s="564" t="s">
        <v>719</v>
      </c>
      <c r="H6" s="570" t="s">
        <v>1</v>
      </c>
      <c r="I6" s="1109" t="s">
        <v>1</v>
      </c>
      <c r="J6" s="572" t="s">
        <v>720</v>
      </c>
      <c r="K6" s="700" t="s">
        <v>721</v>
      </c>
      <c r="L6" s="700" t="s">
        <v>722</v>
      </c>
    </row>
    <row r="7" spans="1:12" ht="15.75" x14ac:dyDescent="0.25">
      <c r="A7" s="1099" t="s">
        <v>1</v>
      </c>
      <c r="B7" s="574" t="s">
        <v>1</v>
      </c>
      <c r="C7" s="702" t="s">
        <v>1</v>
      </c>
      <c r="D7" s="680" t="s">
        <v>1</v>
      </c>
      <c r="E7" s="1125" t="s">
        <v>1</v>
      </c>
      <c r="F7" s="1110" t="s">
        <v>1</v>
      </c>
      <c r="G7" s="697" t="s">
        <v>1</v>
      </c>
      <c r="H7" s="703" t="s">
        <v>1</v>
      </c>
      <c r="I7" s="703" t="s">
        <v>1</v>
      </c>
      <c r="J7" s="682" t="s">
        <v>1</v>
      </c>
      <c r="K7" s="1136" t="s">
        <v>1</v>
      </c>
      <c r="L7" s="1123" t="s">
        <v>1</v>
      </c>
    </row>
    <row r="8" spans="1:12" ht="15.75" x14ac:dyDescent="0.25">
      <c r="A8" s="1099" t="s">
        <v>1</v>
      </c>
      <c r="B8" s="1103" t="s">
        <v>881</v>
      </c>
      <c r="C8" s="703">
        <v>101</v>
      </c>
      <c r="D8" s="681" t="s">
        <v>882</v>
      </c>
      <c r="E8" s="1126" t="s">
        <v>1</v>
      </c>
      <c r="F8" s="1111" t="s">
        <v>1</v>
      </c>
      <c r="G8" s="1099" t="s">
        <v>1</v>
      </c>
      <c r="H8" s="1103" t="s">
        <v>273</v>
      </c>
      <c r="I8" s="703">
        <v>130</v>
      </c>
      <c r="J8" s="681" t="s">
        <v>888</v>
      </c>
      <c r="K8" s="1126" t="s">
        <v>1</v>
      </c>
      <c r="L8" s="697" t="s">
        <v>1</v>
      </c>
    </row>
    <row r="9" spans="1:12" ht="15.75" x14ac:dyDescent="0.25">
      <c r="A9" s="1099" t="s">
        <v>725</v>
      </c>
      <c r="B9" s="1104" t="s">
        <v>1</v>
      </c>
      <c r="C9" s="703" t="s">
        <v>1</v>
      </c>
      <c r="D9" s="681" t="s">
        <v>883</v>
      </c>
      <c r="E9" s="1126" t="s">
        <v>1</v>
      </c>
      <c r="F9" s="1112">
        <v>0.21875</v>
      </c>
      <c r="G9" s="1099">
        <v>7</v>
      </c>
      <c r="H9" s="1103" t="s">
        <v>1</v>
      </c>
      <c r="I9" s="703" t="s">
        <v>1</v>
      </c>
      <c r="J9" s="685" t="s">
        <v>886</v>
      </c>
      <c r="K9" s="1126" t="s">
        <v>1</v>
      </c>
      <c r="L9" s="1114">
        <v>0.67708333333333337</v>
      </c>
    </row>
    <row r="10" spans="1:12" ht="15.75" x14ac:dyDescent="0.25">
      <c r="A10" s="1099" t="s">
        <v>729</v>
      </c>
      <c r="B10" s="1103" t="s">
        <v>1</v>
      </c>
      <c r="C10" s="703" t="s">
        <v>1</v>
      </c>
      <c r="D10" s="686" t="s">
        <v>48</v>
      </c>
      <c r="E10" s="1126" t="s">
        <v>1</v>
      </c>
      <c r="F10" s="1113">
        <v>0.23958333333333334</v>
      </c>
      <c r="G10" s="1099" t="s">
        <v>1</v>
      </c>
      <c r="H10" s="1103" t="s">
        <v>1</v>
      </c>
      <c r="I10" s="703" t="s">
        <v>1</v>
      </c>
      <c r="J10" s="687" t="s">
        <v>1</v>
      </c>
      <c r="K10" s="1126" t="s">
        <v>1</v>
      </c>
      <c r="L10" s="697" t="s">
        <v>1</v>
      </c>
    </row>
    <row r="11" spans="1:12" ht="15.75" x14ac:dyDescent="0.25">
      <c r="A11" s="1099" t="s">
        <v>1</v>
      </c>
      <c r="B11" s="1103" t="s">
        <v>1</v>
      </c>
      <c r="C11" s="703" t="s">
        <v>1</v>
      </c>
      <c r="D11" s="687" t="s">
        <v>1</v>
      </c>
      <c r="E11" s="1126" t="s">
        <v>1</v>
      </c>
      <c r="F11" s="697" t="s">
        <v>1</v>
      </c>
      <c r="G11" s="1099">
        <v>7</v>
      </c>
      <c r="H11" s="1103" t="s">
        <v>1</v>
      </c>
      <c r="I11" s="703" t="s">
        <v>1</v>
      </c>
      <c r="J11" s="688" t="s">
        <v>50</v>
      </c>
      <c r="K11" s="1126" t="s">
        <v>1</v>
      </c>
      <c r="L11" s="1116">
        <v>0.75</v>
      </c>
    </row>
    <row r="12" spans="1:12" ht="15.75" x14ac:dyDescent="0.25">
      <c r="A12" s="1099" t="s">
        <v>727</v>
      </c>
      <c r="B12" s="1103" t="s">
        <v>1</v>
      </c>
      <c r="C12" s="703" t="s">
        <v>1</v>
      </c>
      <c r="D12" s="685" t="s">
        <v>884</v>
      </c>
      <c r="E12" s="1126" t="s">
        <v>1</v>
      </c>
      <c r="F12" s="1114">
        <v>0.30208333333333331</v>
      </c>
      <c r="G12" s="1099" t="s">
        <v>1</v>
      </c>
      <c r="H12" s="1103" t="s">
        <v>1</v>
      </c>
      <c r="I12" s="703" t="s">
        <v>1</v>
      </c>
      <c r="J12" s="687" t="s">
        <v>1</v>
      </c>
      <c r="K12" s="1126" t="s">
        <v>1</v>
      </c>
      <c r="L12" s="697" t="s">
        <v>1</v>
      </c>
    </row>
    <row r="13" spans="1:12" ht="15.75" x14ac:dyDescent="0.25">
      <c r="A13" s="1099" t="s">
        <v>1</v>
      </c>
      <c r="B13" s="1103" t="s">
        <v>1</v>
      </c>
      <c r="C13" s="703" t="s">
        <v>1</v>
      </c>
      <c r="D13" s="681" t="s">
        <v>1</v>
      </c>
      <c r="E13" s="1126" t="s">
        <v>1</v>
      </c>
      <c r="F13" s="697" t="s">
        <v>1</v>
      </c>
      <c r="G13" s="1100"/>
      <c r="H13" s="1105" t="s">
        <v>1</v>
      </c>
      <c r="I13" s="565" t="s">
        <v>1</v>
      </c>
      <c r="J13" s="685" t="s">
        <v>886</v>
      </c>
      <c r="K13" s="1129">
        <v>0.8125</v>
      </c>
      <c r="L13" s="699" t="s">
        <v>1</v>
      </c>
    </row>
    <row r="14" spans="1:12" ht="15.75" x14ac:dyDescent="0.25">
      <c r="A14" s="1099" t="s">
        <v>885</v>
      </c>
      <c r="B14" s="1103" t="s">
        <v>1</v>
      </c>
      <c r="C14" s="703" t="s">
        <v>1</v>
      </c>
      <c r="D14" s="686" t="s">
        <v>48</v>
      </c>
      <c r="E14" s="1126" t="s">
        <v>1</v>
      </c>
      <c r="F14" s="1113">
        <v>0.36458333333333331</v>
      </c>
      <c r="G14" s="1099" t="s">
        <v>1</v>
      </c>
      <c r="H14" s="1103" t="s">
        <v>273</v>
      </c>
      <c r="I14" s="703">
        <v>130</v>
      </c>
      <c r="J14" s="681" t="s">
        <v>889</v>
      </c>
      <c r="K14" s="1126" t="s">
        <v>1</v>
      </c>
      <c r="L14" s="697" t="s">
        <v>1</v>
      </c>
    </row>
    <row r="15" spans="1:12" ht="15.75" x14ac:dyDescent="0.25">
      <c r="A15" s="1099" t="s">
        <v>1</v>
      </c>
      <c r="B15" s="1103" t="s">
        <v>1</v>
      </c>
      <c r="C15" s="703" t="s">
        <v>1</v>
      </c>
      <c r="D15" s="687" t="s">
        <v>1</v>
      </c>
      <c r="E15" s="1126" t="s">
        <v>1</v>
      </c>
      <c r="F15" s="697" t="s">
        <v>1</v>
      </c>
      <c r="G15" s="698"/>
      <c r="H15" s="1103"/>
      <c r="I15" s="703"/>
      <c r="J15" s="686"/>
      <c r="K15" s="1126"/>
      <c r="L15" s="1113"/>
    </row>
    <row r="16" spans="1:12" ht="15.75" x14ac:dyDescent="0.25">
      <c r="A16" s="1099" t="s">
        <v>1</v>
      </c>
      <c r="B16" s="1103" t="s">
        <v>1</v>
      </c>
      <c r="C16" s="703" t="s">
        <v>1</v>
      </c>
      <c r="D16" s="685" t="s">
        <v>884</v>
      </c>
      <c r="E16" s="1127">
        <v>0.41666666666666669</v>
      </c>
      <c r="F16" s="1115" t="s">
        <v>1</v>
      </c>
      <c r="G16" s="698" t="s">
        <v>1</v>
      </c>
      <c r="H16" s="1103" t="s">
        <v>273</v>
      </c>
      <c r="I16" s="703">
        <v>129</v>
      </c>
      <c r="J16" s="681" t="s">
        <v>807</v>
      </c>
      <c r="K16" s="1137" t="s">
        <v>1</v>
      </c>
      <c r="L16" s="600" t="s">
        <v>1</v>
      </c>
    </row>
    <row r="17" spans="1:12" ht="15.75" x14ac:dyDescent="0.25">
      <c r="A17" s="1099" t="s">
        <v>1</v>
      </c>
      <c r="B17" s="1103" t="s">
        <v>276</v>
      </c>
      <c r="C17" s="703" t="s">
        <v>273</v>
      </c>
      <c r="D17" s="681" t="s">
        <v>1</v>
      </c>
      <c r="E17" s="1126" t="s">
        <v>1</v>
      </c>
      <c r="F17" s="697" t="s">
        <v>1</v>
      </c>
      <c r="G17" s="698">
        <v>7</v>
      </c>
      <c r="H17" s="1103" t="s">
        <v>1</v>
      </c>
      <c r="I17" s="703" t="s">
        <v>1</v>
      </c>
      <c r="J17" s="685" t="s">
        <v>884</v>
      </c>
      <c r="K17" s="1126" t="s">
        <v>1</v>
      </c>
      <c r="L17" s="1114">
        <v>0.8125</v>
      </c>
    </row>
    <row r="18" spans="1:12" ht="15.75" x14ac:dyDescent="0.25">
      <c r="A18" s="1099" t="s">
        <v>1</v>
      </c>
      <c r="B18" s="1103" t="s">
        <v>1</v>
      </c>
      <c r="C18" s="703" t="s">
        <v>1</v>
      </c>
      <c r="D18" s="687" t="s">
        <v>1</v>
      </c>
      <c r="E18" s="1126" t="s">
        <v>1</v>
      </c>
      <c r="F18" s="697" t="s">
        <v>1</v>
      </c>
      <c r="G18" s="698" t="s">
        <v>1</v>
      </c>
      <c r="H18" s="1103" t="s">
        <v>1</v>
      </c>
      <c r="I18" s="703" t="s">
        <v>1</v>
      </c>
      <c r="J18" s="681" t="s">
        <v>1</v>
      </c>
      <c r="K18" s="1126" t="s">
        <v>1</v>
      </c>
      <c r="L18" s="697" t="s">
        <v>1</v>
      </c>
    </row>
    <row r="19" spans="1:12" ht="15.75" x14ac:dyDescent="0.25">
      <c r="A19" s="1099" t="s">
        <v>1</v>
      </c>
      <c r="B19" s="1103" t="s">
        <v>273</v>
      </c>
      <c r="C19" s="703">
        <v>155</v>
      </c>
      <c r="D19" s="681" t="s">
        <v>854</v>
      </c>
      <c r="E19" s="1126" t="s">
        <v>1</v>
      </c>
      <c r="F19" s="697" t="s">
        <v>1</v>
      </c>
      <c r="G19" s="698">
        <v>7</v>
      </c>
      <c r="H19" s="1103" t="s">
        <v>1</v>
      </c>
      <c r="I19" s="703" t="s">
        <v>1</v>
      </c>
      <c r="J19" s="688" t="s">
        <v>50</v>
      </c>
      <c r="K19" s="1126" t="s">
        <v>1</v>
      </c>
      <c r="L19" s="1116">
        <v>0.88888888888888884</v>
      </c>
    </row>
    <row r="20" spans="1:12" ht="15.75" x14ac:dyDescent="0.25">
      <c r="A20" s="1099">
        <v>7</v>
      </c>
      <c r="B20" s="1103" t="s">
        <v>1</v>
      </c>
      <c r="C20" s="703" t="s">
        <v>1</v>
      </c>
      <c r="D20" s="685" t="s">
        <v>886</v>
      </c>
      <c r="E20" s="1126" t="s">
        <v>1</v>
      </c>
      <c r="F20" s="1114">
        <v>0.41666666666666669</v>
      </c>
      <c r="G20" s="698" t="s">
        <v>1</v>
      </c>
      <c r="H20" s="1103" t="s">
        <v>1</v>
      </c>
      <c r="I20" s="703" t="s">
        <v>1</v>
      </c>
      <c r="J20" s="687" t="s">
        <v>1</v>
      </c>
      <c r="K20" s="1126" t="s">
        <v>1</v>
      </c>
      <c r="L20" s="697" t="s">
        <v>1</v>
      </c>
    </row>
    <row r="21" spans="1:12" ht="15.75" x14ac:dyDescent="0.25">
      <c r="A21" s="1099" t="s">
        <v>1</v>
      </c>
      <c r="B21" s="1103" t="s">
        <v>1</v>
      </c>
      <c r="C21" s="703" t="s">
        <v>1</v>
      </c>
      <c r="D21" s="681" t="s">
        <v>1</v>
      </c>
      <c r="E21" s="1126" t="s">
        <v>1</v>
      </c>
      <c r="F21" s="697" t="s">
        <v>1</v>
      </c>
      <c r="G21" s="698" t="s">
        <v>727</v>
      </c>
      <c r="H21" s="1103" t="s">
        <v>1</v>
      </c>
      <c r="I21" s="703" t="s">
        <v>1</v>
      </c>
      <c r="J21" s="685" t="s">
        <v>884</v>
      </c>
      <c r="K21" s="1126" t="s">
        <v>1</v>
      </c>
      <c r="L21" s="1114">
        <v>0.9375</v>
      </c>
    </row>
    <row r="22" spans="1:12" ht="15.75" x14ac:dyDescent="0.25">
      <c r="A22" s="1099">
        <v>7</v>
      </c>
      <c r="B22" s="1103" t="s">
        <v>1</v>
      </c>
      <c r="C22" s="703" t="s">
        <v>1</v>
      </c>
      <c r="D22" s="688" t="s">
        <v>50</v>
      </c>
      <c r="E22" s="1128" t="s">
        <v>1</v>
      </c>
      <c r="F22" s="1116">
        <v>0.47916666666666669</v>
      </c>
      <c r="G22" s="698" t="s">
        <v>1</v>
      </c>
      <c r="H22" s="1103" t="s">
        <v>1</v>
      </c>
      <c r="I22" s="703" t="s">
        <v>1</v>
      </c>
      <c r="J22" s="681" t="s">
        <v>1</v>
      </c>
      <c r="K22" s="1126" t="s">
        <v>1</v>
      </c>
      <c r="L22" s="697" t="s">
        <v>1</v>
      </c>
    </row>
    <row r="23" spans="1:12" ht="15.75" x14ac:dyDescent="0.25">
      <c r="A23" s="1099" t="s">
        <v>1</v>
      </c>
      <c r="B23" s="1103" t="s">
        <v>1</v>
      </c>
      <c r="C23" s="703" t="s">
        <v>1</v>
      </c>
      <c r="D23" s="687" t="s">
        <v>1</v>
      </c>
      <c r="E23" s="1126" t="s">
        <v>1</v>
      </c>
      <c r="F23" s="697" t="s">
        <v>1</v>
      </c>
      <c r="G23" s="698" t="s">
        <v>727</v>
      </c>
      <c r="H23" s="1103" t="s">
        <v>1</v>
      </c>
      <c r="I23" s="703" t="s">
        <v>1</v>
      </c>
      <c r="J23" s="686" t="s">
        <v>48</v>
      </c>
      <c r="K23" s="1126" t="s">
        <v>1</v>
      </c>
      <c r="L23" s="1113">
        <v>0.97916666666666663</v>
      </c>
    </row>
    <row r="24" spans="1:12" ht="15.75" x14ac:dyDescent="0.25">
      <c r="A24" s="1099"/>
      <c r="B24" s="1103" t="s">
        <v>1</v>
      </c>
      <c r="C24" s="703" t="s">
        <v>1</v>
      </c>
      <c r="D24" s="685" t="s">
        <v>886</v>
      </c>
      <c r="E24" s="1127">
        <v>0.55208333333333337</v>
      </c>
      <c r="F24" s="1115" t="s">
        <v>1</v>
      </c>
      <c r="G24" s="698" t="s">
        <v>1</v>
      </c>
      <c r="H24" s="1103" t="s">
        <v>1</v>
      </c>
      <c r="I24" s="703" t="s">
        <v>1</v>
      </c>
      <c r="J24" s="681" t="s">
        <v>1</v>
      </c>
      <c r="K24" s="1126" t="s">
        <v>1</v>
      </c>
      <c r="L24" s="697" t="s">
        <v>1</v>
      </c>
    </row>
    <row r="25" spans="1:12" ht="15.75" x14ac:dyDescent="0.25">
      <c r="A25" s="1099" t="s">
        <v>1</v>
      </c>
      <c r="B25" s="1103" t="s">
        <v>273</v>
      </c>
      <c r="C25" s="703">
        <v>155</v>
      </c>
      <c r="D25" s="681" t="s">
        <v>887</v>
      </c>
      <c r="E25" s="1126" t="s">
        <v>1</v>
      </c>
      <c r="F25" s="697" t="s">
        <v>1</v>
      </c>
      <c r="G25" s="698" t="s">
        <v>725</v>
      </c>
      <c r="H25" s="1103" t="s">
        <v>1</v>
      </c>
      <c r="I25" s="703" t="s">
        <v>1</v>
      </c>
      <c r="J25" s="685" t="s">
        <v>884</v>
      </c>
      <c r="K25" s="1127">
        <v>1.7361111111111112E-2</v>
      </c>
      <c r="L25" s="1115" t="s">
        <v>1</v>
      </c>
    </row>
    <row r="26" spans="1:12" ht="15.75" x14ac:dyDescent="0.25">
      <c r="A26" s="1099" t="s">
        <v>1</v>
      </c>
      <c r="B26" s="1103" t="s">
        <v>1</v>
      </c>
      <c r="C26" s="703" t="s">
        <v>1</v>
      </c>
      <c r="D26" s="687" t="s">
        <v>1</v>
      </c>
      <c r="E26" s="1126" t="s">
        <v>1</v>
      </c>
      <c r="F26" s="697" t="s">
        <v>1</v>
      </c>
      <c r="G26" s="698" t="s">
        <v>1</v>
      </c>
      <c r="H26" s="1103" t="s">
        <v>1</v>
      </c>
      <c r="I26" s="703" t="s">
        <v>1</v>
      </c>
      <c r="J26" s="681" t="s">
        <v>733</v>
      </c>
      <c r="K26" s="1127">
        <v>3.8194444444444448E-2</v>
      </c>
      <c r="L26" s="697" t="s">
        <v>1</v>
      </c>
    </row>
    <row r="27" spans="1:12" ht="15.75" x14ac:dyDescent="0.25">
      <c r="A27" s="1099" t="s">
        <v>1</v>
      </c>
      <c r="B27" s="1103" t="s">
        <v>273</v>
      </c>
      <c r="C27" s="703">
        <v>119</v>
      </c>
      <c r="D27" s="681" t="s">
        <v>837</v>
      </c>
      <c r="E27" s="1126" t="s">
        <v>1</v>
      </c>
      <c r="F27" s="697" t="s">
        <v>1</v>
      </c>
      <c r="G27" s="698" t="s">
        <v>1</v>
      </c>
      <c r="H27" s="1103" t="s">
        <v>276</v>
      </c>
      <c r="I27" s="703" t="s">
        <v>273</v>
      </c>
      <c r="J27" s="686" t="s">
        <v>1</v>
      </c>
      <c r="K27" s="1126" t="s">
        <v>1</v>
      </c>
      <c r="L27" s="1118" t="s">
        <v>1</v>
      </c>
    </row>
    <row r="28" spans="1:12" ht="15.75" x14ac:dyDescent="0.25">
      <c r="A28" s="1099" t="s">
        <v>727</v>
      </c>
      <c r="B28" s="1103" t="s">
        <v>1</v>
      </c>
      <c r="C28" s="703" t="s">
        <v>1</v>
      </c>
      <c r="D28" s="685" t="s">
        <v>886</v>
      </c>
      <c r="E28" s="1126" t="s">
        <v>1</v>
      </c>
      <c r="F28" s="1114">
        <v>0.55208333333333337</v>
      </c>
      <c r="G28" s="698" t="s">
        <v>1</v>
      </c>
      <c r="H28" s="1103" t="s">
        <v>1</v>
      </c>
      <c r="I28" s="703" t="s">
        <v>1</v>
      </c>
      <c r="J28" s="687" t="s">
        <v>1</v>
      </c>
      <c r="K28" s="1126" t="s">
        <v>1</v>
      </c>
      <c r="L28" s="697" t="s">
        <v>1</v>
      </c>
    </row>
    <row r="29" spans="1:12" ht="15.75" x14ac:dyDescent="0.25">
      <c r="A29" s="1099" t="s">
        <v>1</v>
      </c>
      <c r="B29" s="1103" t="s">
        <v>1</v>
      </c>
      <c r="C29" s="703" t="s">
        <v>1</v>
      </c>
      <c r="D29" s="681" t="s">
        <v>1</v>
      </c>
      <c r="E29" s="1126" t="s">
        <v>1</v>
      </c>
      <c r="F29" s="697" t="s">
        <v>1</v>
      </c>
      <c r="G29" s="698" t="s">
        <v>1</v>
      </c>
      <c r="H29" s="1103" t="s">
        <v>1</v>
      </c>
      <c r="I29" s="703" t="s">
        <v>1</v>
      </c>
      <c r="J29" s="681" t="s">
        <v>1</v>
      </c>
      <c r="K29" s="1126" t="s">
        <v>1</v>
      </c>
      <c r="L29" s="1119" t="s">
        <v>1</v>
      </c>
    </row>
    <row r="30" spans="1:12" ht="15.75" x14ac:dyDescent="0.25">
      <c r="A30" s="1099" t="s">
        <v>727</v>
      </c>
      <c r="B30" s="1103" t="s">
        <v>1</v>
      </c>
      <c r="C30" s="703" t="s">
        <v>1</v>
      </c>
      <c r="D30" s="686" t="s">
        <v>48</v>
      </c>
      <c r="E30" s="1126" t="s">
        <v>1</v>
      </c>
      <c r="F30" s="1113">
        <v>0.61458333333333337</v>
      </c>
      <c r="G30" s="698" t="s">
        <v>1</v>
      </c>
      <c r="H30" s="1103" t="s">
        <v>1</v>
      </c>
      <c r="I30" s="703" t="s">
        <v>1</v>
      </c>
      <c r="J30" s="687" t="s">
        <v>1</v>
      </c>
      <c r="K30" s="1126" t="s">
        <v>1</v>
      </c>
      <c r="L30" s="697" t="s">
        <v>1</v>
      </c>
    </row>
    <row r="31" spans="1:12" ht="15.75" x14ac:dyDescent="0.25">
      <c r="A31" s="1099" t="s">
        <v>1</v>
      </c>
      <c r="B31" s="1103" t="s">
        <v>1</v>
      </c>
      <c r="C31" s="703" t="s">
        <v>1</v>
      </c>
      <c r="D31" s="687" t="s">
        <v>1</v>
      </c>
      <c r="E31" s="1126" t="s">
        <v>1</v>
      </c>
      <c r="F31" s="697" t="s">
        <v>1</v>
      </c>
      <c r="G31" s="698" t="s">
        <v>1</v>
      </c>
      <c r="H31" s="1103" t="s">
        <v>1</v>
      </c>
      <c r="I31" s="703" t="s">
        <v>1</v>
      </c>
      <c r="J31" s="681" t="s">
        <v>1</v>
      </c>
      <c r="K31" s="1126" t="s">
        <v>1</v>
      </c>
      <c r="L31" s="697" t="s">
        <v>1</v>
      </c>
    </row>
    <row r="32" spans="1:12" ht="15.75" x14ac:dyDescent="0.25">
      <c r="A32" s="1099" t="s">
        <v>1</v>
      </c>
      <c r="B32" s="1103" t="s">
        <v>1</v>
      </c>
      <c r="C32" s="703" t="s">
        <v>1</v>
      </c>
      <c r="D32" s="685" t="s">
        <v>886</v>
      </c>
      <c r="E32" s="1127">
        <v>0.67708333333333337</v>
      </c>
      <c r="F32" s="1115" t="s">
        <v>1</v>
      </c>
      <c r="G32" s="697" t="s">
        <v>1</v>
      </c>
      <c r="H32" s="703" t="s">
        <v>1</v>
      </c>
      <c r="I32" s="703" t="s">
        <v>1</v>
      </c>
      <c r="J32" s="681" t="s">
        <v>1</v>
      </c>
      <c r="K32" s="1126" t="s">
        <v>1</v>
      </c>
      <c r="L32" s="697" t="s">
        <v>1</v>
      </c>
    </row>
    <row r="33" spans="1:12" ht="15.75" x14ac:dyDescent="0.25">
      <c r="A33" s="1099" t="s">
        <v>1</v>
      </c>
      <c r="B33" s="1103" t="s">
        <v>273</v>
      </c>
      <c r="C33" s="703">
        <v>119</v>
      </c>
      <c r="D33" s="681" t="s">
        <v>1282</v>
      </c>
      <c r="E33" s="1126" t="s">
        <v>1</v>
      </c>
      <c r="F33" s="697" t="s">
        <v>1</v>
      </c>
      <c r="G33" s="699" t="s">
        <v>1</v>
      </c>
      <c r="H33" s="565" t="s">
        <v>1</v>
      </c>
      <c r="I33" s="565" t="s">
        <v>1</v>
      </c>
      <c r="J33" s="679" t="s">
        <v>1</v>
      </c>
      <c r="K33" s="1138" t="s">
        <v>1</v>
      </c>
      <c r="L33" s="699" t="s">
        <v>1</v>
      </c>
    </row>
    <row r="34" spans="1:12" ht="15.75" x14ac:dyDescent="0.25">
      <c r="A34" s="1099" t="s">
        <v>1</v>
      </c>
      <c r="B34" s="1103" t="s">
        <v>1</v>
      </c>
      <c r="C34" s="703" t="s">
        <v>1</v>
      </c>
      <c r="D34" s="681" t="s">
        <v>1</v>
      </c>
      <c r="E34" s="1126" t="s">
        <v>1</v>
      </c>
      <c r="F34" s="697" t="s">
        <v>1</v>
      </c>
      <c r="G34" s="698" t="s">
        <v>1</v>
      </c>
      <c r="H34" s="1103"/>
      <c r="I34" s="703"/>
      <c r="J34" s="686" t="s">
        <v>1</v>
      </c>
      <c r="K34" s="1126" t="s">
        <v>1</v>
      </c>
      <c r="L34" s="1118" t="s">
        <v>1</v>
      </c>
    </row>
    <row r="35" spans="1:12" ht="15.75" x14ac:dyDescent="0.25">
      <c r="A35" s="1099"/>
      <c r="B35" s="1103"/>
      <c r="C35" s="703"/>
      <c r="D35" s="681"/>
      <c r="E35" s="1126"/>
      <c r="F35" s="697"/>
      <c r="G35" s="698" t="s">
        <v>1</v>
      </c>
      <c r="H35" s="1103" t="s">
        <v>1</v>
      </c>
      <c r="I35" s="703" t="s">
        <v>1</v>
      </c>
      <c r="J35" s="687" t="s">
        <v>1</v>
      </c>
      <c r="K35" s="1126" t="s">
        <v>1</v>
      </c>
      <c r="L35" s="697" t="s">
        <v>1</v>
      </c>
    </row>
    <row r="36" spans="1:12" ht="15.75" x14ac:dyDescent="0.25">
      <c r="A36" s="1099"/>
      <c r="B36" s="1103"/>
      <c r="C36" s="703"/>
      <c r="D36" s="685"/>
      <c r="E36" s="1126"/>
      <c r="F36" s="1114"/>
      <c r="G36" s="698" t="s">
        <v>1</v>
      </c>
      <c r="H36" s="1103" t="s">
        <v>1</v>
      </c>
      <c r="I36" s="703" t="s">
        <v>1</v>
      </c>
      <c r="J36" s="681" t="s">
        <v>1</v>
      </c>
      <c r="K36" s="1126" t="s">
        <v>1</v>
      </c>
      <c r="L36" s="1119" t="s">
        <v>1</v>
      </c>
    </row>
    <row r="37" spans="1:12" ht="15.75" x14ac:dyDescent="0.25">
      <c r="A37" s="1099"/>
      <c r="B37" s="1103"/>
      <c r="C37" s="703"/>
      <c r="D37" s="688"/>
      <c r="E37" s="1126"/>
      <c r="F37" s="1116"/>
      <c r="G37" s="698" t="s">
        <v>1</v>
      </c>
      <c r="H37" s="1103" t="s">
        <v>1</v>
      </c>
      <c r="I37" s="703" t="s">
        <v>1</v>
      </c>
      <c r="J37" s="681" t="s">
        <v>1</v>
      </c>
      <c r="K37" s="1126" t="s">
        <v>1</v>
      </c>
      <c r="L37" s="697" t="s">
        <v>1</v>
      </c>
    </row>
    <row r="38" spans="1:12" ht="15.75" x14ac:dyDescent="0.25">
      <c r="A38" s="1099"/>
      <c r="B38" s="1103"/>
      <c r="C38" s="703"/>
      <c r="D38" s="687"/>
      <c r="E38" s="1126"/>
      <c r="F38" s="697"/>
      <c r="G38" s="697" t="s">
        <v>1</v>
      </c>
      <c r="H38" s="703" t="s">
        <v>1</v>
      </c>
      <c r="I38" s="703" t="s">
        <v>1</v>
      </c>
      <c r="J38" s="681" t="s">
        <v>1</v>
      </c>
      <c r="K38" s="1126" t="s">
        <v>1</v>
      </c>
      <c r="L38" s="697" t="s">
        <v>1</v>
      </c>
    </row>
    <row r="39" spans="1:12" ht="15.75" x14ac:dyDescent="0.25">
      <c r="A39" s="1100"/>
      <c r="B39" s="1105"/>
      <c r="C39" s="565"/>
      <c r="D39" s="685"/>
      <c r="E39" s="1129"/>
      <c r="F39" s="699"/>
      <c r="G39" s="699" t="s">
        <v>1</v>
      </c>
      <c r="H39" s="565" t="s">
        <v>1</v>
      </c>
      <c r="I39" s="565" t="s">
        <v>1</v>
      </c>
      <c r="J39" s="679" t="s">
        <v>1</v>
      </c>
      <c r="K39" s="1138" t="s">
        <v>1</v>
      </c>
      <c r="L39" s="699" t="s">
        <v>1</v>
      </c>
    </row>
    <row r="40" spans="1:12" ht="15.75" x14ac:dyDescent="0.25">
      <c r="A40" s="1101"/>
      <c r="B40" s="603"/>
      <c r="C40" s="704"/>
      <c r="D40" s="681"/>
      <c r="E40" s="1130"/>
      <c r="F40" s="1117"/>
      <c r="G40" s="608" t="s">
        <v>1</v>
      </c>
      <c r="H40" s="1107" t="s">
        <v>1</v>
      </c>
      <c r="I40" s="1107" t="s">
        <v>1</v>
      </c>
      <c r="J40" s="691" t="s">
        <v>1</v>
      </c>
      <c r="K40" s="1130" t="s">
        <v>1</v>
      </c>
      <c r="L40" s="608" t="s">
        <v>1</v>
      </c>
    </row>
    <row r="41" spans="1:12" ht="23.25" customHeight="1" x14ac:dyDescent="0.35">
      <c r="A41" s="1237" t="s">
        <v>712</v>
      </c>
      <c r="B41" s="1238"/>
      <c r="C41" s="1238"/>
      <c r="D41" s="1238"/>
      <c r="E41" s="1238"/>
      <c r="F41" s="1238"/>
      <c r="G41" s="1238"/>
      <c r="H41" s="1238"/>
      <c r="I41" s="1238"/>
      <c r="J41" s="1238"/>
      <c r="K41" s="1238"/>
      <c r="L41" s="1239"/>
    </row>
    <row r="42" spans="1:12" ht="23.25" customHeight="1" x14ac:dyDescent="0.35">
      <c r="A42" s="1240" t="s">
        <v>713</v>
      </c>
      <c r="B42" s="1241"/>
      <c r="C42" s="1241"/>
      <c r="D42" s="1241"/>
      <c r="E42" s="1241"/>
      <c r="F42" s="1241"/>
      <c r="G42" s="1241"/>
      <c r="H42" s="1241"/>
      <c r="I42" s="1241"/>
      <c r="J42" s="1241"/>
      <c r="K42" s="1241"/>
      <c r="L42" s="1242"/>
    </row>
    <row r="43" spans="1:12" ht="23.25" customHeight="1" thickBot="1" x14ac:dyDescent="0.4">
      <c r="A43" s="1243" t="s">
        <v>714</v>
      </c>
      <c r="B43" s="1244"/>
      <c r="C43" s="1244"/>
      <c r="D43" s="1244"/>
      <c r="E43" s="1244"/>
      <c r="F43" s="1244"/>
      <c r="G43" s="1244"/>
      <c r="H43" s="1244"/>
      <c r="I43" s="1244"/>
      <c r="J43" s="1244"/>
      <c r="K43" s="1244"/>
      <c r="L43" s="1245"/>
    </row>
    <row r="44" spans="1:12" ht="23.25" customHeight="1" x14ac:dyDescent="0.35">
      <c r="A44" s="619" t="s">
        <v>715</v>
      </c>
      <c r="B44" s="620"/>
      <c r="C44" s="620"/>
      <c r="D44" s="621" t="s">
        <v>716</v>
      </c>
      <c r="E44" s="1241" t="s">
        <v>403</v>
      </c>
      <c r="F44" s="1241"/>
      <c r="G44" s="1241"/>
      <c r="H44" s="1241"/>
      <c r="I44" s="1241"/>
      <c r="J44" s="618" t="s">
        <v>735</v>
      </c>
      <c r="K44" s="1241" t="s">
        <v>1</v>
      </c>
      <c r="L44" s="1242"/>
    </row>
    <row r="45" spans="1:12" ht="15.75" thickBot="1" x14ac:dyDescent="0.3">
      <c r="A45" s="560" t="s">
        <v>1</v>
      </c>
      <c r="B45" s="561" t="s">
        <v>1</v>
      </c>
      <c r="C45" s="561" t="s">
        <v>1</v>
      </c>
      <c r="D45" s="562" t="s">
        <v>1</v>
      </c>
      <c r="E45" s="561" t="s">
        <v>1</v>
      </c>
      <c r="F45" s="561" t="s">
        <v>1</v>
      </c>
      <c r="G45" s="561" t="s">
        <v>1</v>
      </c>
      <c r="H45" s="561" t="s">
        <v>1</v>
      </c>
      <c r="I45" s="1227" t="s">
        <v>1</v>
      </c>
      <c r="J45" s="1227"/>
      <c r="K45" s="561" t="s">
        <v>1</v>
      </c>
      <c r="L45" s="563" t="s">
        <v>1</v>
      </c>
    </row>
    <row r="46" spans="1:12" ht="15.75" x14ac:dyDescent="0.25">
      <c r="A46" s="564" t="s">
        <v>719</v>
      </c>
      <c r="B46" s="565" t="s">
        <v>1</v>
      </c>
      <c r="C46" s="569" t="s">
        <v>1</v>
      </c>
      <c r="D46" s="567" t="s">
        <v>720</v>
      </c>
      <c r="E46" s="699" t="s">
        <v>721</v>
      </c>
      <c r="F46" s="569" t="s">
        <v>722</v>
      </c>
      <c r="G46" s="564" t="s">
        <v>719</v>
      </c>
      <c r="H46" s="570" t="s">
        <v>1</v>
      </c>
      <c r="I46" s="1109" t="s">
        <v>1</v>
      </c>
      <c r="J46" s="572" t="s">
        <v>720</v>
      </c>
      <c r="K46" s="700" t="s">
        <v>721</v>
      </c>
      <c r="L46" s="700" t="s">
        <v>722</v>
      </c>
    </row>
    <row r="47" spans="1:12" ht="15.75" x14ac:dyDescent="0.25">
      <c r="A47" s="1099" t="s">
        <v>1</v>
      </c>
      <c r="B47" s="574" t="s">
        <v>1</v>
      </c>
      <c r="C47" s="702" t="s">
        <v>1</v>
      </c>
      <c r="D47" s="680" t="s">
        <v>1</v>
      </c>
      <c r="E47" s="1125" t="s">
        <v>1</v>
      </c>
      <c r="F47" s="1110" t="s">
        <v>1</v>
      </c>
      <c r="G47" s="697" t="s">
        <v>1</v>
      </c>
      <c r="H47" s="703" t="s">
        <v>1</v>
      </c>
      <c r="I47" s="703" t="s">
        <v>1</v>
      </c>
      <c r="J47" s="682" t="s">
        <v>1</v>
      </c>
      <c r="K47" s="1136" t="s">
        <v>1</v>
      </c>
      <c r="L47" s="1123" t="s">
        <v>1</v>
      </c>
    </row>
    <row r="48" spans="1:12" ht="15.75" x14ac:dyDescent="0.25">
      <c r="A48" s="1099" t="s">
        <v>1</v>
      </c>
      <c r="B48" s="1103" t="s">
        <v>881</v>
      </c>
      <c r="C48" s="703">
        <v>103</v>
      </c>
      <c r="D48" s="681" t="s">
        <v>766</v>
      </c>
      <c r="E48" s="1126" t="s">
        <v>1</v>
      </c>
      <c r="F48" s="1111" t="s">
        <v>1</v>
      </c>
      <c r="G48" s="698" t="s">
        <v>1</v>
      </c>
      <c r="H48" s="1103" t="s">
        <v>273</v>
      </c>
      <c r="I48" s="703">
        <v>156</v>
      </c>
      <c r="J48" s="681" t="s">
        <v>890</v>
      </c>
      <c r="K48" s="1126" t="s">
        <v>1</v>
      </c>
      <c r="L48" s="1115" t="s">
        <v>1</v>
      </c>
    </row>
    <row r="49" spans="1:12" ht="15.75" x14ac:dyDescent="0.25">
      <c r="A49" s="1099" t="s">
        <v>725</v>
      </c>
      <c r="B49" s="1104" t="s">
        <v>1</v>
      </c>
      <c r="C49" s="703" t="s">
        <v>1</v>
      </c>
      <c r="D49" s="681" t="s">
        <v>726</v>
      </c>
      <c r="E49" s="1126" t="s">
        <v>1</v>
      </c>
      <c r="F49" s="1112">
        <v>0.23958333333333334</v>
      </c>
      <c r="G49" s="698">
        <v>7</v>
      </c>
      <c r="H49" s="1103" t="s">
        <v>1</v>
      </c>
      <c r="I49" s="703" t="s">
        <v>1</v>
      </c>
      <c r="J49" s="685" t="s">
        <v>728</v>
      </c>
      <c r="K49" s="1126" t="s">
        <v>1</v>
      </c>
      <c r="L49" s="1114">
        <v>0.63541666666666663</v>
      </c>
    </row>
    <row r="50" spans="1:12" ht="15.75" x14ac:dyDescent="0.25">
      <c r="A50" s="1099" t="s">
        <v>727</v>
      </c>
      <c r="B50" s="1103" t="s">
        <v>1</v>
      </c>
      <c r="C50" s="703" t="s">
        <v>1</v>
      </c>
      <c r="D50" s="685" t="s">
        <v>886</v>
      </c>
      <c r="E50" s="1126" t="s">
        <v>1</v>
      </c>
      <c r="F50" s="1114">
        <v>0.26041666666666669</v>
      </c>
      <c r="G50" s="698" t="s">
        <v>1</v>
      </c>
      <c r="H50" s="1103" t="s">
        <v>1</v>
      </c>
      <c r="I50" s="703" t="s">
        <v>1</v>
      </c>
      <c r="J50" s="685"/>
      <c r="K50" s="1126"/>
      <c r="L50" s="1114"/>
    </row>
    <row r="51" spans="1:12" ht="15.75" x14ac:dyDescent="0.25">
      <c r="A51" s="1099" t="s">
        <v>1</v>
      </c>
      <c r="B51" s="1103" t="s">
        <v>1</v>
      </c>
      <c r="C51" s="703" t="s">
        <v>1</v>
      </c>
      <c r="D51" s="687" t="s">
        <v>1</v>
      </c>
      <c r="E51" s="1126" t="s">
        <v>1</v>
      </c>
      <c r="F51" s="697" t="s">
        <v>1</v>
      </c>
      <c r="G51" s="698">
        <v>7</v>
      </c>
      <c r="H51" s="1103" t="s">
        <v>1</v>
      </c>
      <c r="I51" s="703" t="s">
        <v>1</v>
      </c>
      <c r="J51" s="688" t="s">
        <v>50</v>
      </c>
      <c r="K51" s="1126" t="s">
        <v>1</v>
      </c>
      <c r="L51" s="1116">
        <v>0.70833333333333337</v>
      </c>
    </row>
    <row r="52" spans="1:12" ht="15.75" x14ac:dyDescent="0.25">
      <c r="A52" s="1099" t="s">
        <v>727</v>
      </c>
      <c r="B52" s="1103" t="s">
        <v>1</v>
      </c>
      <c r="C52" s="703" t="s">
        <v>1</v>
      </c>
      <c r="D52" s="686" t="s">
        <v>48</v>
      </c>
      <c r="E52" s="1131" t="s">
        <v>1</v>
      </c>
      <c r="F52" s="1113">
        <v>0.32291666666666669</v>
      </c>
      <c r="G52" s="698" t="s">
        <v>1</v>
      </c>
      <c r="H52" s="1103" t="s">
        <v>1</v>
      </c>
      <c r="I52" s="703" t="s">
        <v>1</v>
      </c>
      <c r="J52" s="685" t="s">
        <v>1</v>
      </c>
      <c r="K52" s="1126" t="s">
        <v>1</v>
      </c>
      <c r="L52" s="1115" t="s">
        <v>1</v>
      </c>
    </row>
    <row r="53" spans="1:12" ht="15.75" x14ac:dyDescent="0.25">
      <c r="A53" s="1099" t="s">
        <v>1</v>
      </c>
      <c r="B53" s="1103" t="s">
        <v>1</v>
      </c>
      <c r="C53" s="703" t="s">
        <v>1</v>
      </c>
      <c r="D53" s="681" t="s">
        <v>1</v>
      </c>
      <c r="E53" s="1126" t="s">
        <v>1</v>
      </c>
      <c r="F53" s="697" t="s">
        <v>1</v>
      </c>
      <c r="G53" s="698" t="s">
        <v>1</v>
      </c>
      <c r="H53" s="1103" t="s">
        <v>1</v>
      </c>
      <c r="I53" s="703" t="s">
        <v>1</v>
      </c>
      <c r="J53" s="685" t="s">
        <v>728</v>
      </c>
      <c r="K53" s="1127">
        <v>0.77083333333333337</v>
      </c>
      <c r="L53" s="697" t="s">
        <v>1</v>
      </c>
    </row>
    <row r="54" spans="1:12" ht="15.75" x14ac:dyDescent="0.25">
      <c r="A54" s="1099" t="s">
        <v>1</v>
      </c>
      <c r="B54" s="1103" t="s">
        <v>1</v>
      </c>
      <c r="C54" s="703" t="s">
        <v>1</v>
      </c>
      <c r="D54" s="685" t="s">
        <v>886</v>
      </c>
      <c r="E54" s="1127">
        <v>0.375</v>
      </c>
      <c r="F54" s="1118" t="s">
        <v>1</v>
      </c>
      <c r="G54" s="698" t="s">
        <v>1</v>
      </c>
      <c r="H54" s="1103" t="s">
        <v>892</v>
      </c>
      <c r="I54" s="703" t="s">
        <v>273</v>
      </c>
      <c r="J54" s="681" t="s">
        <v>1</v>
      </c>
      <c r="K54" s="1126" t="s">
        <v>1</v>
      </c>
      <c r="L54" s="697" t="s">
        <v>1</v>
      </c>
    </row>
    <row r="55" spans="1:12" ht="15.75" x14ac:dyDescent="0.25">
      <c r="A55" s="1099" t="s">
        <v>1</v>
      </c>
      <c r="B55" s="1103" t="s">
        <v>881</v>
      </c>
      <c r="C55" s="703">
        <v>103</v>
      </c>
      <c r="D55" s="681" t="s">
        <v>891</v>
      </c>
      <c r="E55" s="1126" t="s">
        <v>1</v>
      </c>
      <c r="F55" s="697" t="s">
        <v>1</v>
      </c>
      <c r="G55" s="698" t="s">
        <v>1</v>
      </c>
      <c r="H55" s="1103" t="s">
        <v>1</v>
      </c>
      <c r="I55" s="703" t="s">
        <v>1</v>
      </c>
      <c r="J55" s="681" t="s">
        <v>1</v>
      </c>
      <c r="K55" s="1126" t="s">
        <v>1</v>
      </c>
      <c r="L55" s="697" t="s">
        <v>1</v>
      </c>
    </row>
    <row r="56" spans="1:12" ht="15.75" x14ac:dyDescent="0.25">
      <c r="A56" s="1099" t="s">
        <v>1</v>
      </c>
      <c r="B56" s="1103" t="s">
        <v>1</v>
      </c>
      <c r="C56" s="703" t="s">
        <v>1</v>
      </c>
      <c r="D56" s="685" t="s">
        <v>1</v>
      </c>
      <c r="E56" s="1126" t="s">
        <v>1</v>
      </c>
      <c r="F56" s="1115" t="s">
        <v>1</v>
      </c>
      <c r="G56" s="698" t="s">
        <v>1</v>
      </c>
      <c r="H56" s="1103" t="s">
        <v>273</v>
      </c>
      <c r="I56" s="703">
        <v>134</v>
      </c>
      <c r="J56" s="681" t="s">
        <v>893</v>
      </c>
      <c r="K56" s="1126" t="s">
        <v>1</v>
      </c>
      <c r="L56" s="1115" t="s">
        <v>1</v>
      </c>
    </row>
    <row r="57" spans="1:12" ht="15.75" x14ac:dyDescent="0.25">
      <c r="A57" s="1099" t="s">
        <v>1</v>
      </c>
      <c r="B57" s="1103" t="s">
        <v>273</v>
      </c>
      <c r="C57" s="703">
        <v>115</v>
      </c>
      <c r="D57" s="681" t="s">
        <v>761</v>
      </c>
      <c r="E57" s="1126" t="s">
        <v>1</v>
      </c>
      <c r="F57" s="697" t="s">
        <v>1</v>
      </c>
      <c r="G57" s="698" t="s">
        <v>727</v>
      </c>
      <c r="H57" s="1103" t="s">
        <v>1</v>
      </c>
      <c r="I57" s="703" t="s">
        <v>1</v>
      </c>
      <c r="J57" s="685" t="s">
        <v>728</v>
      </c>
      <c r="K57" s="1126" t="s">
        <v>1</v>
      </c>
      <c r="L57" s="1114">
        <v>0.77083333333333337</v>
      </c>
    </row>
    <row r="58" spans="1:12" ht="15.75" x14ac:dyDescent="0.25">
      <c r="A58" s="1099" t="s">
        <v>727</v>
      </c>
      <c r="B58" s="1103" t="s">
        <v>1</v>
      </c>
      <c r="C58" s="703" t="s">
        <v>1</v>
      </c>
      <c r="D58" s="685" t="s">
        <v>728</v>
      </c>
      <c r="E58" s="1132" t="s">
        <v>1</v>
      </c>
      <c r="F58" s="1114">
        <v>0.375</v>
      </c>
      <c r="G58" s="698" t="s">
        <v>1</v>
      </c>
      <c r="H58" s="1103" t="s">
        <v>1</v>
      </c>
      <c r="I58" s="703" t="s">
        <v>1</v>
      </c>
      <c r="J58" s="686" t="s">
        <v>1</v>
      </c>
      <c r="K58" s="1126" t="s">
        <v>1</v>
      </c>
      <c r="L58" s="1118" t="s">
        <v>1</v>
      </c>
    </row>
    <row r="59" spans="1:12" ht="15.75" x14ac:dyDescent="0.25">
      <c r="A59" s="1099" t="s">
        <v>1</v>
      </c>
      <c r="B59" s="1103" t="s">
        <v>1</v>
      </c>
      <c r="C59" s="703" t="s">
        <v>1</v>
      </c>
      <c r="D59" s="681" t="s">
        <v>1</v>
      </c>
      <c r="E59" s="1126" t="s">
        <v>1</v>
      </c>
      <c r="F59" s="697" t="s">
        <v>1</v>
      </c>
      <c r="G59" s="698" t="s">
        <v>727</v>
      </c>
      <c r="H59" s="1103" t="s">
        <v>1</v>
      </c>
      <c r="I59" s="703" t="s">
        <v>1</v>
      </c>
      <c r="J59" s="686" t="s">
        <v>48</v>
      </c>
      <c r="K59" s="1126" t="s">
        <v>1</v>
      </c>
      <c r="L59" s="1113">
        <v>0.84722222222222221</v>
      </c>
    </row>
    <row r="60" spans="1:12" ht="15.75" x14ac:dyDescent="0.25">
      <c r="A60" s="1099" t="s">
        <v>727</v>
      </c>
      <c r="B60" s="1103" t="s">
        <v>1</v>
      </c>
      <c r="C60" s="703" t="s">
        <v>1</v>
      </c>
      <c r="D60" s="686" t="s">
        <v>48</v>
      </c>
      <c r="E60" s="1131" t="s">
        <v>1</v>
      </c>
      <c r="F60" s="1113">
        <v>0.42708333333333331</v>
      </c>
      <c r="G60" s="698" t="s">
        <v>1</v>
      </c>
      <c r="H60" s="1103" t="s">
        <v>1</v>
      </c>
      <c r="I60" s="703" t="s">
        <v>1</v>
      </c>
      <c r="J60" s="685" t="s">
        <v>1</v>
      </c>
      <c r="K60" s="1126" t="s">
        <v>1</v>
      </c>
      <c r="L60" s="1115" t="s">
        <v>1</v>
      </c>
    </row>
    <row r="61" spans="1:12" ht="15.75" x14ac:dyDescent="0.25">
      <c r="A61" s="1099" t="s">
        <v>1</v>
      </c>
      <c r="B61" s="1103" t="s">
        <v>1</v>
      </c>
      <c r="C61" s="703" t="s">
        <v>1</v>
      </c>
      <c r="D61" s="681" t="s">
        <v>1</v>
      </c>
      <c r="E61" s="1126" t="s">
        <v>1</v>
      </c>
      <c r="F61" s="697" t="s">
        <v>1</v>
      </c>
      <c r="G61" s="698">
        <v>7</v>
      </c>
      <c r="H61" s="1103" t="s">
        <v>1</v>
      </c>
      <c r="I61" s="703" t="s">
        <v>1</v>
      </c>
      <c r="J61" s="685" t="s">
        <v>728</v>
      </c>
      <c r="K61" s="1126" t="s">
        <v>1</v>
      </c>
      <c r="L61" s="1114">
        <v>0.89583333333333337</v>
      </c>
    </row>
    <row r="62" spans="1:12" ht="15.75" x14ac:dyDescent="0.25">
      <c r="A62" s="1099" t="s">
        <v>1</v>
      </c>
      <c r="B62" s="1103" t="s">
        <v>1</v>
      </c>
      <c r="C62" s="703" t="s">
        <v>1</v>
      </c>
      <c r="D62" s="685" t="s">
        <v>728</v>
      </c>
      <c r="E62" s="1127">
        <v>0.5</v>
      </c>
      <c r="F62" s="1118" t="s">
        <v>1</v>
      </c>
      <c r="G62" s="698" t="s">
        <v>1</v>
      </c>
      <c r="H62" s="1103" t="s">
        <v>1</v>
      </c>
      <c r="I62" s="703" t="s">
        <v>1</v>
      </c>
      <c r="J62" s="686" t="s">
        <v>1</v>
      </c>
      <c r="K62" s="1126" t="s">
        <v>1</v>
      </c>
      <c r="L62" s="1118" t="s">
        <v>1</v>
      </c>
    </row>
    <row r="63" spans="1:12" ht="15.75" x14ac:dyDescent="0.25">
      <c r="A63" s="1099" t="s">
        <v>1</v>
      </c>
      <c r="B63" s="1103" t="s">
        <v>273</v>
      </c>
      <c r="C63" s="703">
        <v>115</v>
      </c>
      <c r="D63" s="681" t="s">
        <v>894</v>
      </c>
      <c r="E63" s="1126" t="s">
        <v>1</v>
      </c>
      <c r="F63" s="697" t="s">
        <v>1</v>
      </c>
      <c r="G63" s="698">
        <v>7</v>
      </c>
      <c r="H63" s="1103" t="s">
        <v>1</v>
      </c>
      <c r="I63" s="703" t="s">
        <v>1</v>
      </c>
      <c r="J63" s="688" t="s">
        <v>50</v>
      </c>
      <c r="K63" s="1126" t="s">
        <v>1</v>
      </c>
      <c r="L63" s="1116">
        <v>0.94444444444444442</v>
      </c>
    </row>
    <row r="64" spans="1:12" ht="15.75" x14ac:dyDescent="0.25">
      <c r="A64" s="1099" t="s">
        <v>1</v>
      </c>
      <c r="B64" s="1103" t="s">
        <v>1</v>
      </c>
      <c r="C64" s="703" t="s">
        <v>1</v>
      </c>
      <c r="D64" s="685" t="s">
        <v>1</v>
      </c>
      <c r="E64" s="1126" t="s">
        <v>1</v>
      </c>
      <c r="F64" s="1115" t="s">
        <v>1</v>
      </c>
      <c r="G64" s="698"/>
      <c r="H64" s="1103" t="s">
        <v>1</v>
      </c>
      <c r="I64" s="703" t="s">
        <v>1</v>
      </c>
      <c r="J64" s="681" t="s">
        <v>1</v>
      </c>
      <c r="K64" s="1126" t="s">
        <v>1</v>
      </c>
      <c r="L64" s="697" t="s">
        <v>1</v>
      </c>
    </row>
    <row r="65" spans="1:12" ht="15.75" x14ac:dyDescent="0.25">
      <c r="A65" s="1099" t="s">
        <v>1</v>
      </c>
      <c r="B65" s="1103" t="s">
        <v>273</v>
      </c>
      <c r="C65" s="703">
        <v>108</v>
      </c>
      <c r="D65" s="681" t="s">
        <v>795</v>
      </c>
      <c r="E65" s="1126" t="s">
        <v>1</v>
      </c>
      <c r="F65" s="697" t="s">
        <v>1</v>
      </c>
      <c r="G65" s="698" t="s">
        <v>725</v>
      </c>
      <c r="H65" s="1103" t="s">
        <v>1</v>
      </c>
      <c r="I65" s="703" t="s">
        <v>1</v>
      </c>
      <c r="J65" s="685" t="s">
        <v>728</v>
      </c>
      <c r="K65" s="1127">
        <v>0.97916666666666663</v>
      </c>
      <c r="L65" s="1115" t="s">
        <v>1</v>
      </c>
    </row>
    <row r="66" spans="1:12" ht="15.75" x14ac:dyDescent="0.25">
      <c r="A66" s="1099">
        <v>7</v>
      </c>
      <c r="B66" s="1103" t="s">
        <v>1</v>
      </c>
      <c r="C66" s="703" t="s">
        <v>1</v>
      </c>
      <c r="D66" s="685" t="s">
        <v>728</v>
      </c>
      <c r="E66" s="1126" t="s">
        <v>1</v>
      </c>
      <c r="F66" s="1114">
        <v>0.5</v>
      </c>
      <c r="G66" s="698" t="s">
        <v>1</v>
      </c>
      <c r="H66" s="1103" t="s">
        <v>1</v>
      </c>
      <c r="I66" s="703" t="s">
        <v>1</v>
      </c>
      <c r="J66" s="681" t="s">
        <v>733</v>
      </c>
      <c r="K66" s="1127">
        <v>0</v>
      </c>
      <c r="L66" s="697" t="s">
        <v>1</v>
      </c>
    </row>
    <row r="67" spans="1:12" ht="15.75" x14ac:dyDescent="0.25">
      <c r="A67" s="1099" t="s">
        <v>1</v>
      </c>
      <c r="B67" s="1103" t="s">
        <v>1</v>
      </c>
      <c r="C67" s="703" t="s">
        <v>1</v>
      </c>
      <c r="D67" s="681" t="s">
        <v>1</v>
      </c>
      <c r="E67" s="1126" t="s">
        <v>1</v>
      </c>
      <c r="F67" s="697" t="s">
        <v>1</v>
      </c>
      <c r="G67" s="698" t="s">
        <v>1</v>
      </c>
      <c r="H67" s="1103" t="s">
        <v>276</v>
      </c>
      <c r="I67" s="703" t="s">
        <v>273</v>
      </c>
      <c r="J67" s="690" t="s">
        <v>1</v>
      </c>
      <c r="K67" s="1126" t="s">
        <v>1</v>
      </c>
      <c r="L67" s="1119" t="s">
        <v>1</v>
      </c>
    </row>
    <row r="68" spans="1:12" ht="15.75" x14ac:dyDescent="0.25">
      <c r="A68" s="1099">
        <v>7</v>
      </c>
      <c r="B68" s="1103" t="s">
        <v>1</v>
      </c>
      <c r="C68" s="703" t="s">
        <v>1</v>
      </c>
      <c r="D68" s="688" t="s">
        <v>50</v>
      </c>
      <c r="E68" s="1126" t="s">
        <v>1</v>
      </c>
      <c r="F68" s="1116">
        <v>0.5625</v>
      </c>
      <c r="G68" s="698" t="s">
        <v>1</v>
      </c>
      <c r="H68" s="1103" t="s">
        <v>1</v>
      </c>
      <c r="I68" s="703" t="s">
        <v>1</v>
      </c>
      <c r="J68" s="681" t="s">
        <v>1</v>
      </c>
      <c r="K68" s="1126" t="s">
        <v>1</v>
      </c>
      <c r="L68" s="697" t="s">
        <v>1</v>
      </c>
    </row>
    <row r="69" spans="1:12" ht="15.75" x14ac:dyDescent="0.25">
      <c r="A69" s="1099" t="s">
        <v>1</v>
      </c>
      <c r="B69" s="1103" t="s">
        <v>1</v>
      </c>
      <c r="C69" s="703" t="s">
        <v>1</v>
      </c>
      <c r="D69" s="681" t="s">
        <v>1</v>
      </c>
      <c r="E69" s="1126" t="s">
        <v>1</v>
      </c>
      <c r="F69" s="697" t="s">
        <v>1</v>
      </c>
      <c r="G69" s="698" t="s">
        <v>1</v>
      </c>
      <c r="H69" s="1103" t="s">
        <v>1</v>
      </c>
      <c r="I69" s="703" t="s">
        <v>1</v>
      </c>
      <c r="J69" s="686" t="s">
        <v>1</v>
      </c>
      <c r="K69" s="1126" t="s">
        <v>1</v>
      </c>
      <c r="L69" s="1118" t="s">
        <v>1</v>
      </c>
    </row>
    <row r="70" spans="1:12" ht="15.75" x14ac:dyDescent="0.25">
      <c r="A70" s="1099" t="s">
        <v>1</v>
      </c>
      <c r="B70" s="1103" t="s">
        <v>1</v>
      </c>
      <c r="C70" s="703" t="s">
        <v>1</v>
      </c>
      <c r="D70" s="685" t="s">
        <v>728</v>
      </c>
      <c r="E70" s="1127">
        <v>0.63541666666666663</v>
      </c>
      <c r="F70" s="1118" t="s">
        <v>1</v>
      </c>
      <c r="G70" s="698" t="s">
        <v>1</v>
      </c>
      <c r="H70" s="1103" t="s">
        <v>1</v>
      </c>
      <c r="I70" s="703" t="s">
        <v>1</v>
      </c>
      <c r="J70" s="687" t="s">
        <v>1</v>
      </c>
      <c r="K70" s="1126" t="s">
        <v>1</v>
      </c>
      <c r="L70" s="697" t="s">
        <v>1</v>
      </c>
    </row>
    <row r="71" spans="1:12" ht="15.75" x14ac:dyDescent="0.25">
      <c r="A71" s="1099" t="s">
        <v>1</v>
      </c>
      <c r="B71" s="1103" t="s">
        <v>276</v>
      </c>
      <c r="C71" s="703" t="s">
        <v>273</v>
      </c>
      <c r="D71" s="687" t="s">
        <v>1</v>
      </c>
      <c r="E71" s="1126" t="s">
        <v>1</v>
      </c>
      <c r="F71" s="697" t="s">
        <v>1</v>
      </c>
      <c r="G71" s="698" t="s">
        <v>1</v>
      </c>
      <c r="H71" s="1103" t="s">
        <v>1</v>
      </c>
      <c r="I71" s="703" t="s">
        <v>1</v>
      </c>
      <c r="J71" s="687" t="s">
        <v>1</v>
      </c>
      <c r="K71" s="1126" t="s">
        <v>1</v>
      </c>
      <c r="L71" s="697" t="s">
        <v>1</v>
      </c>
    </row>
    <row r="72" spans="1:12" ht="15.75" x14ac:dyDescent="0.25">
      <c r="A72" s="1099" t="s">
        <v>1</v>
      </c>
      <c r="B72" s="1103" t="s">
        <v>1</v>
      </c>
      <c r="C72" s="703" t="s">
        <v>1</v>
      </c>
      <c r="D72" s="685" t="s">
        <v>1</v>
      </c>
      <c r="E72" s="1126" t="s">
        <v>1</v>
      </c>
      <c r="F72" s="1115" t="s">
        <v>1</v>
      </c>
      <c r="G72" s="698" t="s">
        <v>1</v>
      </c>
      <c r="H72" s="1103" t="s">
        <v>1</v>
      </c>
      <c r="I72" s="703" t="s">
        <v>1</v>
      </c>
      <c r="J72" s="681" t="s">
        <v>1</v>
      </c>
      <c r="K72" s="1126" t="s">
        <v>1</v>
      </c>
      <c r="L72" s="1119" t="s">
        <v>1</v>
      </c>
    </row>
    <row r="73" spans="1:12" ht="15.75" x14ac:dyDescent="0.25">
      <c r="A73" s="1099" t="s">
        <v>1</v>
      </c>
      <c r="B73" s="1103" t="s">
        <v>1</v>
      </c>
      <c r="C73" s="703" t="s">
        <v>1</v>
      </c>
      <c r="D73" s="681" t="s">
        <v>1</v>
      </c>
      <c r="E73" s="1126" t="s">
        <v>1</v>
      </c>
      <c r="F73" s="697" t="s">
        <v>1</v>
      </c>
      <c r="G73" s="698" t="s">
        <v>1</v>
      </c>
      <c r="H73" s="1103" t="s">
        <v>1</v>
      </c>
      <c r="I73" s="703" t="s">
        <v>1</v>
      </c>
      <c r="J73" s="681" t="s">
        <v>1</v>
      </c>
      <c r="K73" s="1126" t="s">
        <v>1</v>
      </c>
      <c r="L73" s="697" t="s">
        <v>1</v>
      </c>
    </row>
    <row r="74" spans="1:12" ht="15.75" x14ac:dyDescent="0.25">
      <c r="A74" s="1099" t="s">
        <v>1</v>
      </c>
      <c r="B74" s="1103" t="s">
        <v>1</v>
      </c>
      <c r="C74" s="703" t="s">
        <v>1</v>
      </c>
      <c r="D74" s="681" t="s">
        <v>1</v>
      </c>
      <c r="E74" s="1126" t="s">
        <v>1</v>
      </c>
      <c r="F74" s="697" t="s">
        <v>1</v>
      </c>
      <c r="G74" s="698" t="s">
        <v>1</v>
      </c>
      <c r="H74" s="1103" t="s">
        <v>1</v>
      </c>
      <c r="I74" s="703" t="s">
        <v>1</v>
      </c>
      <c r="J74" s="681" t="s">
        <v>1</v>
      </c>
      <c r="K74" s="1126" t="s">
        <v>1</v>
      </c>
      <c r="L74" s="1118" t="s">
        <v>1</v>
      </c>
    </row>
    <row r="75" spans="1:12" ht="15.75" x14ac:dyDescent="0.25">
      <c r="A75" s="1099" t="s">
        <v>1</v>
      </c>
      <c r="B75" s="1103" t="s">
        <v>1</v>
      </c>
      <c r="C75" s="703" t="s">
        <v>1</v>
      </c>
      <c r="D75" s="687" t="s">
        <v>1</v>
      </c>
      <c r="E75" s="1126" t="s">
        <v>1</v>
      </c>
      <c r="F75" s="697" t="s">
        <v>1</v>
      </c>
      <c r="G75" s="698" t="s">
        <v>1</v>
      </c>
      <c r="H75" s="1103" t="s">
        <v>1</v>
      </c>
      <c r="I75" s="703" t="s">
        <v>1</v>
      </c>
      <c r="J75" s="687" t="s">
        <v>1</v>
      </c>
      <c r="K75" s="1126" t="s">
        <v>1</v>
      </c>
      <c r="L75" s="697" t="s">
        <v>1</v>
      </c>
    </row>
    <row r="76" spans="1:12" ht="15.75" x14ac:dyDescent="0.25">
      <c r="A76" s="1099" t="s">
        <v>1</v>
      </c>
      <c r="B76" s="1103" t="s">
        <v>1</v>
      </c>
      <c r="C76" s="703" t="s">
        <v>1</v>
      </c>
      <c r="D76" s="690" t="s">
        <v>1</v>
      </c>
      <c r="E76" s="1126" t="s">
        <v>1</v>
      </c>
      <c r="F76" s="1119" t="s">
        <v>1</v>
      </c>
      <c r="G76" s="698" t="s">
        <v>1</v>
      </c>
      <c r="H76" s="1103" t="s">
        <v>1</v>
      </c>
      <c r="I76" s="703" t="s">
        <v>1</v>
      </c>
      <c r="J76" s="681" t="s">
        <v>1</v>
      </c>
      <c r="K76" s="1126" t="s">
        <v>1</v>
      </c>
      <c r="L76" s="1119" t="s">
        <v>1</v>
      </c>
    </row>
    <row r="77" spans="1:12" ht="15.75" x14ac:dyDescent="0.25">
      <c r="A77" s="1099" t="s">
        <v>1</v>
      </c>
      <c r="B77" s="1103" t="s">
        <v>1</v>
      </c>
      <c r="C77" s="703" t="s">
        <v>1</v>
      </c>
      <c r="D77" s="687" t="s">
        <v>1</v>
      </c>
      <c r="E77" s="1126" t="s">
        <v>1</v>
      </c>
      <c r="F77" s="697" t="s">
        <v>1</v>
      </c>
      <c r="G77" s="698" t="s">
        <v>1</v>
      </c>
      <c r="H77" s="1103" t="s">
        <v>1</v>
      </c>
      <c r="I77" s="703" t="s">
        <v>1</v>
      </c>
      <c r="J77" s="687" t="s">
        <v>1</v>
      </c>
      <c r="K77" s="1126" t="s">
        <v>1</v>
      </c>
      <c r="L77" s="697" t="s">
        <v>1</v>
      </c>
    </row>
    <row r="78" spans="1:12" ht="15.75" x14ac:dyDescent="0.25">
      <c r="A78" s="1099" t="s">
        <v>1</v>
      </c>
      <c r="B78" s="1103" t="s">
        <v>1</v>
      </c>
      <c r="C78" s="703" t="s">
        <v>1</v>
      </c>
      <c r="D78" s="681" t="s">
        <v>1</v>
      </c>
      <c r="E78" s="1126" t="s">
        <v>1</v>
      </c>
      <c r="F78" s="697" t="s">
        <v>1</v>
      </c>
      <c r="G78" s="698" t="s">
        <v>1</v>
      </c>
      <c r="H78" s="1103" t="s">
        <v>1</v>
      </c>
      <c r="I78" s="703" t="s">
        <v>1</v>
      </c>
      <c r="J78" s="681" t="s">
        <v>1</v>
      </c>
      <c r="K78" s="1126" t="s">
        <v>1</v>
      </c>
      <c r="L78" s="697" t="s">
        <v>1</v>
      </c>
    </row>
    <row r="79" spans="1:12" ht="15.75" x14ac:dyDescent="0.25">
      <c r="A79" s="1099" t="s">
        <v>1</v>
      </c>
      <c r="B79" s="1103" t="s">
        <v>1</v>
      </c>
      <c r="C79" s="703" t="s">
        <v>1</v>
      </c>
      <c r="D79" s="687" t="s">
        <v>1</v>
      </c>
      <c r="E79" s="1126" t="s">
        <v>1</v>
      </c>
      <c r="F79" s="697" t="s">
        <v>1</v>
      </c>
      <c r="G79" s="697" t="s">
        <v>1</v>
      </c>
      <c r="H79" s="703" t="s">
        <v>1</v>
      </c>
      <c r="I79" s="703" t="s">
        <v>1</v>
      </c>
      <c r="J79" s="681" t="s">
        <v>1</v>
      </c>
      <c r="K79" s="1126" t="s">
        <v>1</v>
      </c>
      <c r="L79" s="697" t="s">
        <v>1</v>
      </c>
    </row>
    <row r="80" spans="1:12" ht="16.5" thickBot="1" x14ac:dyDescent="0.3">
      <c r="A80" s="1102" t="s">
        <v>1</v>
      </c>
      <c r="B80" s="1106" t="s">
        <v>1</v>
      </c>
      <c r="C80" s="570" t="s">
        <v>1</v>
      </c>
      <c r="D80" s="605" t="s">
        <v>1</v>
      </c>
      <c r="E80" s="1133" t="s">
        <v>1</v>
      </c>
      <c r="F80" s="1120" t="s">
        <v>1</v>
      </c>
      <c r="G80" s="700" t="s">
        <v>1</v>
      </c>
      <c r="H80" s="1108" t="s">
        <v>1</v>
      </c>
      <c r="I80" s="1108" t="s">
        <v>1</v>
      </c>
      <c r="J80" s="692" t="s">
        <v>1</v>
      </c>
      <c r="K80" s="1139" t="s">
        <v>1</v>
      </c>
      <c r="L80" s="700" t="s">
        <v>1</v>
      </c>
    </row>
    <row r="81" spans="1:12" ht="23.25" customHeight="1" x14ac:dyDescent="0.35">
      <c r="A81" s="1237" t="s">
        <v>712</v>
      </c>
      <c r="B81" s="1238"/>
      <c r="C81" s="1238"/>
      <c r="D81" s="1238"/>
      <c r="E81" s="1238"/>
      <c r="F81" s="1238"/>
      <c r="G81" s="1238"/>
      <c r="H81" s="1238"/>
      <c r="I81" s="1238"/>
      <c r="J81" s="1238"/>
      <c r="K81" s="1238"/>
      <c r="L81" s="1239"/>
    </row>
    <row r="82" spans="1:12" ht="23.25" customHeight="1" thickBot="1" x14ac:dyDescent="0.4">
      <c r="A82" s="1240" t="s">
        <v>713</v>
      </c>
      <c r="B82" s="1241"/>
      <c r="C82" s="1241"/>
      <c r="D82" s="1241"/>
      <c r="E82" s="1241"/>
      <c r="F82" s="1241"/>
      <c r="G82" s="1241"/>
      <c r="H82" s="1241"/>
      <c r="I82" s="1241"/>
      <c r="J82" s="1241"/>
      <c r="K82" s="1241"/>
      <c r="L82" s="1242"/>
    </row>
    <row r="83" spans="1:12" ht="23.25" customHeight="1" thickBot="1" x14ac:dyDescent="0.4">
      <c r="A83" s="1243" t="s">
        <v>714</v>
      </c>
      <c r="B83" s="1244"/>
      <c r="C83" s="1244"/>
      <c r="D83" s="1244"/>
      <c r="E83" s="1244"/>
      <c r="F83" s="1244"/>
      <c r="G83" s="1244"/>
      <c r="H83" s="1244"/>
      <c r="I83" s="1244"/>
      <c r="J83" s="1244"/>
      <c r="K83" s="1244"/>
      <c r="L83" s="1245"/>
    </row>
    <row r="84" spans="1:12" ht="23.25" customHeight="1" x14ac:dyDescent="0.35">
      <c r="A84" s="619" t="s">
        <v>715</v>
      </c>
      <c r="B84" s="620"/>
      <c r="C84" s="620"/>
      <c r="D84" s="621" t="s">
        <v>716</v>
      </c>
      <c r="E84" s="1241" t="s">
        <v>403</v>
      </c>
      <c r="F84" s="1241"/>
      <c r="G84" s="1241"/>
      <c r="H84" s="1241"/>
      <c r="I84" s="1241"/>
      <c r="J84" s="618" t="s">
        <v>744</v>
      </c>
      <c r="K84" s="1241" t="s">
        <v>1</v>
      </c>
      <c r="L84" s="1242"/>
    </row>
    <row r="85" spans="1:12" ht="15.75" thickBot="1" x14ac:dyDescent="0.3">
      <c r="A85" s="560" t="s">
        <v>1</v>
      </c>
      <c r="B85" s="561" t="s">
        <v>1</v>
      </c>
      <c r="C85" s="561" t="s">
        <v>1</v>
      </c>
      <c r="D85" s="562" t="s">
        <v>1</v>
      </c>
      <c r="E85" s="561" t="s">
        <v>1</v>
      </c>
      <c r="F85" s="561" t="s">
        <v>1</v>
      </c>
      <c r="G85" s="561" t="s">
        <v>1</v>
      </c>
      <c r="H85" s="561" t="s">
        <v>1</v>
      </c>
      <c r="I85" s="1227" t="s">
        <v>1</v>
      </c>
      <c r="J85" s="1227"/>
      <c r="K85" s="561" t="s">
        <v>1</v>
      </c>
      <c r="L85" s="563" t="s">
        <v>1</v>
      </c>
    </row>
    <row r="86" spans="1:12" ht="15.75" x14ac:dyDescent="0.25">
      <c r="A86" s="564" t="s">
        <v>719</v>
      </c>
      <c r="B86" s="565" t="s">
        <v>1</v>
      </c>
      <c r="C86" s="569" t="s">
        <v>1</v>
      </c>
      <c r="D86" s="567" t="s">
        <v>720</v>
      </c>
      <c r="E86" s="699" t="s">
        <v>721</v>
      </c>
      <c r="F86" s="569" t="s">
        <v>722</v>
      </c>
      <c r="G86" s="564" t="s">
        <v>719</v>
      </c>
      <c r="H86" s="570" t="s">
        <v>1</v>
      </c>
      <c r="I86" s="1109" t="s">
        <v>1</v>
      </c>
      <c r="J86" s="572" t="s">
        <v>720</v>
      </c>
      <c r="K86" s="700" t="s">
        <v>721</v>
      </c>
      <c r="L86" s="700" t="s">
        <v>722</v>
      </c>
    </row>
    <row r="87" spans="1:12" ht="15.75" x14ac:dyDescent="0.25">
      <c r="A87" s="1099" t="s">
        <v>1</v>
      </c>
      <c r="B87" s="574" t="s">
        <v>1</v>
      </c>
      <c r="C87" s="702" t="s">
        <v>1</v>
      </c>
      <c r="D87" s="680" t="s">
        <v>1</v>
      </c>
      <c r="E87" s="1125" t="s">
        <v>1</v>
      </c>
      <c r="F87" s="1110" t="s">
        <v>1</v>
      </c>
      <c r="G87" s="697" t="s">
        <v>1</v>
      </c>
      <c r="H87" s="703" t="s">
        <v>1</v>
      </c>
      <c r="I87" s="703" t="s">
        <v>1</v>
      </c>
      <c r="J87" s="682" t="s">
        <v>1</v>
      </c>
      <c r="K87" s="1136" t="s">
        <v>1</v>
      </c>
      <c r="L87" s="1123" t="s">
        <v>1</v>
      </c>
    </row>
    <row r="88" spans="1:12" ht="15.75" x14ac:dyDescent="0.25">
      <c r="A88" s="1099" t="s">
        <v>1</v>
      </c>
      <c r="B88" s="1103" t="s">
        <v>273</v>
      </c>
      <c r="C88" s="703">
        <v>102</v>
      </c>
      <c r="D88" s="681" t="s">
        <v>766</v>
      </c>
      <c r="E88" s="1126" t="s">
        <v>1</v>
      </c>
      <c r="F88" s="1111" t="s">
        <v>1</v>
      </c>
      <c r="G88" s="698" t="s">
        <v>1</v>
      </c>
      <c r="H88" s="1103" t="s">
        <v>1</v>
      </c>
      <c r="I88" s="703" t="s">
        <v>1</v>
      </c>
      <c r="J88" s="681" t="s">
        <v>1</v>
      </c>
      <c r="K88" s="1137" t="s">
        <v>1</v>
      </c>
      <c r="L88" s="600" t="s">
        <v>1</v>
      </c>
    </row>
    <row r="89" spans="1:12" ht="15.75" x14ac:dyDescent="0.25">
      <c r="A89" s="1099" t="s">
        <v>725</v>
      </c>
      <c r="B89" s="1104" t="s">
        <v>1</v>
      </c>
      <c r="C89" s="703" t="s">
        <v>1</v>
      </c>
      <c r="D89" s="681" t="s">
        <v>726</v>
      </c>
      <c r="E89" s="1126" t="s">
        <v>1</v>
      </c>
      <c r="F89" s="1112">
        <v>0.23958333333333334</v>
      </c>
      <c r="G89" s="698" t="s">
        <v>1</v>
      </c>
      <c r="H89" s="1103" t="s">
        <v>1</v>
      </c>
      <c r="I89" s="703" t="s">
        <v>1</v>
      </c>
      <c r="J89" s="685" t="s">
        <v>1</v>
      </c>
      <c r="K89" s="1126" t="s">
        <v>1</v>
      </c>
      <c r="L89" s="1115" t="s">
        <v>1</v>
      </c>
    </row>
    <row r="90" spans="1:12" ht="15.75" x14ac:dyDescent="0.25">
      <c r="A90" s="1099" t="s">
        <v>727</v>
      </c>
      <c r="B90" s="1103" t="s">
        <v>1</v>
      </c>
      <c r="C90" s="703" t="s">
        <v>1</v>
      </c>
      <c r="D90" s="686" t="s">
        <v>48</v>
      </c>
      <c r="E90" s="1126" t="s">
        <v>1</v>
      </c>
      <c r="F90" s="1113">
        <v>0.26041666666666669</v>
      </c>
      <c r="G90" s="698" t="s">
        <v>1</v>
      </c>
      <c r="H90" s="1103" t="s">
        <v>1</v>
      </c>
      <c r="I90" s="703" t="s">
        <v>1</v>
      </c>
      <c r="J90" s="681" t="s">
        <v>1</v>
      </c>
      <c r="K90" s="1126" t="s">
        <v>1</v>
      </c>
      <c r="L90" s="697" t="s">
        <v>1</v>
      </c>
    </row>
    <row r="91" spans="1:12" ht="15.75" x14ac:dyDescent="0.25">
      <c r="A91" s="1099" t="s">
        <v>1</v>
      </c>
      <c r="B91" s="1103" t="s">
        <v>1</v>
      </c>
      <c r="C91" s="703" t="s">
        <v>1</v>
      </c>
      <c r="D91" s="687" t="s">
        <v>1</v>
      </c>
      <c r="E91" s="1126" t="s">
        <v>1</v>
      </c>
      <c r="F91" s="697" t="s">
        <v>1</v>
      </c>
      <c r="G91" s="698" t="s">
        <v>1</v>
      </c>
      <c r="H91" s="1103" t="s">
        <v>1</v>
      </c>
      <c r="I91" s="703" t="s">
        <v>1</v>
      </c>
      <c r="J91" s="686" t="s">
        <v>1</v>
      </c>
      <c r="K91" s="1126" t="s">
        <v>1</v>
      </c>
      <c r="L91" s="1118" t="s">
        <v>1</v>
      </c>
    </row>
    <row r="92" spans="1:12" ht="15.75" x14ac:dyDescent="0.25">
      <c r="A92" s="1099">
        <v>7</v>
      </c>
      <c r="B92" s="1103" t="s">
        <v>1</v>
      </c>
      <c r="C92" s="703" t="s">
        <v>1</v>
      </c>
      <c r="D92" s="685" t="s">
        <v>728</v>
      </c>
      <c r="E92" s="1126" t="s">
        <v>1</v>
      </c>
      <c r="F92" s="1114">
        <v>0.3125</v>
      </c>
      <c r="G92" s="698" t="s">
        <v>1</v>
      </c>
      <c r="H92" s="1103" t="s">
        <v>1</v>
      </c>
      <c r="I92" s="703" t="s">
        <v>1</v>
      </c>
      <c r="J92" s="687" t="s">
        <v>1</v>
      </c>
      <c r="K92" s="1126" t="s">
        <v>1</v>
      </c>
      <c r="L92" s="697" t="s">
        <v>1</v>
      </c>
    </row>
    <row r="93" spans="1:12" ht="15.75" x14ac:dyDescent="0.25">
      <c r="A93" s="1099" t="s">
        <v>1</v>
      </c>
      <c r="B93" s="1103" t="s">
        <v>1</v>
      </c>
      <c r="C93" s="703" t="s">
        <v>1</v>
      </c>
      <c r="D93" s="681" t="s">
        <v>1</v>
      </c>
      <c r="E93" s="1126" t="s">
        <v>1</v>
      </c>
      <c r="F93" s="697" t="s">
        <v>1</v>
      </c>
      <c r="G93" s="698" t="s">
        <v>1</v>
      </c>
      <c r="H93" s="1103" t="s">
        <v>1</v>
      </c>
      <c r="I93" s="703" t="s">
        <v>1</v>
      </c>
      <c r="J93" s="685" t="s">
        <v>1</v>
      </c>
      <c r="K93" s="1126" t="s">
        <v>1</v>
      </c>
      <c r="L93" s="1115" t="s">
        <v>1</v>
      </c>
    </row>
    <row r="94" spans="1:12" ht="15.75" x14ac:dyDescent="0.25">
      <c r="A94" s="1099">
        <v>7</v>
      </c>
      <c r="B94" s="1103" t="s">
        <v>1</v>
      </c>
      <c r="C94" s="703" t="s">
        <v>1</v>
      </c>
      <c r="D94" s="688" t="s">
        <v>50</v>
      </c>
      <c r="E94" s="1126" t="s">
        <v>1</v>
      </c>
      <c r="F94" s="1116">
        <v>0.35416666666666669</v>
      </c>
      <c r="G94" s="698" t="s">
        <v>1</v>
      </c>
      <c r="H94" s="1103" t="s">
        <v>1</v>
      </c>
      <c r="I94" s="703" t="s">
        <v>1</v>
      </c>
      <c r="J94" s="681" t="s">
        <v>1</v>
      </c>
      <c r="K94" s="1126" t="s">
        <v>1</v>
      </c>
      <c r="L94" s="697" t="s">
        <v>1</v>
      </c>
    </row>
    <row r="95" spans="1:12" ht="15.75" x14ac:dyDescent="0.25">
      <c r="A95" s="1099" t="s">
        <v>1</v>
      </c>
      <c r="B95" s="1103" t="s">
        <v>1</v>
      </c>
      <c r="C95" s="703" t="s">
        <v>1</v>
      </c>
      <c r="D95" s="687" t="s">
        <v>1</v>
      </c>
      <c r="E95" s="1126" t="s">
        <v>1</v>
      </c>
      <c r="F95" s="697" t="s">
        <v>1</v>
      </c>
      <c r="G95" s="698" t="s">
        <v>1</v>
      </c>
      <c r="H95" s="1103" t="s">
        <v>1</v>
      </c>
      <c r="I95" s="703" t="s">
        <v>1</v>
      </c>
      <c r="J95" s="681" t="s">
        <v>1</v>
      </c>
      <c r="K95" s="1126" t="s">
        <v>1</v>
      </c>
      <c r="L95" s="697" t="s">
        <v>1</v>
      </c>
    </row>
    <row r="96" spans="1:12" ht="15.75" x14ac:dyDescent="0.25">
      <c r="A96" s="1099" t="s">
        <v>1</v>
      </c>
      <c r="B96" s="1103" t="s">
        <v>1</v>
      </c>
      <c r="C96" s="703" t="s">
        <v>1</v>
      </c>
      <c r="D96" s="685" t="s">
        <v>728</v>
      </c>
      <c r="E96" s="1127">
        <v>0.40277777777777779</v>
      </c>
      <c r="F96" s="1115" t="s">
        <v>1</v>
      </c>
      <c r="G96" s="698" t="s">
        <v>1</v>
      </c>
      <c r="H96" s="1103" t="s">
        <v>1</v>
      </c>
      <c r="I96" s="703" t="s">
        <v>1</v>
      </c>
      <c r="J96" s="681" t="s">
        <v>1</v>
      </c>
      <c r="K96" s="1126" t="s">
        <v>1</v>
      </c>
      <c r="L96" s="697" t="s">
        <v>1</v>
      </c>
    </row>
    <row r="97" spans="1:12" ht="15.75" x14ac:dyDescent="0.25">
      <c r="A97" s="1099" t="s">
        <v>1</v>
      </c>
      <c r="B97" s="1103" t="s">
        <v>276</v>
      </c>
      <c r="C97" s="703" t="s">
        <v>273</v>
      </c>
      <c r="D97" s="681" t="s">
        <v>1</v>
      </c>
      <c r="E97" s="1126" t="s">
        <v>1</v>
      </c>
      <c r="F97" s="697" t="s">
        <v>1</v>
      </c>
      <c r="G97" s="698" t="s">
        <v>1</v>
      </c>
      <c r="H97" s="1103" t="s">
        <v>1</v>
      </c>
      <c r="I97" s="703" t="s">
        <v>1</v>
      </c>
      <c r="J97" s="685" t="s">
        <v>1</v>
      </c>
      <c r="K97" s="1126" t="s">
        <v>1</v>
      </c>
      <c r="L97" s="1115" t="s">
        <v>1</v>
      </c>
    </row>
    <row r="98" spans="1:12" ht="15.75" x14ac:dyDescent="0.25">
      <c r="A98" s="1099" t="s">
        <v>1</v>
      </c>
      <c r="B98" s="1103" t="s">
        <v>1</v>
      </c>
      <c r="C98" s="703" t="s">
        <v>1</v>
      </c>
      <c r="D98" s="687" t="s">
        <v>1</v>
      </c>
      <c r="E98" s="1126" t="s">
        <v>1</v>
      </c>
      <c r="F98" s="697" t="s">
        <v>1</v>
      </c>
      <c r="G98" s="698" t="s">
        <v>1</v>
      </c>
      <c r="H98" s="1103" t="s">
        <v>1</v>
      </c>
      <c r="I98" s="703" t="s">
        <v>1</v>
      </c>
      <c r="J98" s="681" t="s">
        <v>1</v>
      </c>
      <c r="K98" s="1126" t="s">
        <v>1</v>
      </c>
      <c r="L98" s="697" t="s">
        <v>1</v>
      </c>
    </row>
    <row r="99" spans="1:12" ht="15.75" x14ac:dyDescent="0.25">
      <c r="A99" s="1099" t="s">
        <v>1</v>
      </c>
      <c r="B99" s="1103" t="s">
        <v>273</v>
      </c>
      <c r="C99" s="703">
        <v>104</v>
      </c>
      <c r="D99" s="681" t="s">
        <v>895</v>
      </c>
      <c r="E99" s="1126" t="s">
        <v>1</v>
      </c>
      <c r="F99" s="697" t="s">
        <v>1</v>
      </c>
      <c r="G99" s="698" t="s">
        <v>1</v>
      </c>
      <c r="H99" s="1103" t="s">
        <v>1</v>
      </c>
      <c r="I99" s="703" t="s">
        <v>1</v>
      </c>
      <c r="J99" s="686" t="s">
        <v>1</v>
      </c>
      <c r="K99" s="1126" t="s">
        <v>1</v>
      </c>
      <c r="L99" s="1118" t="s">
        <v>1</v>
      </c>
    </row>
    <row r="100" spans="1:12" ht="15.75" x14ac:dyDescent="0.25">
      <c r="A100" s="1099">
        <v>7</v>
      </c>
      <c r="B100" s="1103"/>
      <c r="C100" s="703" t="s">
        <v>1</v>
      </c>
      <c r="D100" s="685" t="s">
        <v>728</v>
      </c>
      <c r="E100" s="1126" t="s">
        <v>1</v>
      </c>
      <c r="F100" s="1114">
        <v>0.40277777777777779</v>
      </c>
      <c r="G100" s="698" t="s">
        <v>1</v>
      </c>
      <c r="H100" s="1103" t="s">
        <v>1</v>
      </c>
      <c r="I100" s="703" t="s">
        <v>1</v>
      </c>
      <c r="J100" s="687" t="s">
        <v>1</v>
      </c>
      <c r="K100" s="1126" t="s">
        <v>1</v>
      </c>
      <c r="L100" s="697" t="s">
        <v>1</v>
      </c>
    </row>
    <row r="101" spans="1:12" ht="15.75" x14ac:dyDescent="0.25">
      <c r="A101" s="1099" t="s">
        <v>1</v>
      </c>
      <c r="B101" s="1103" t="s">
        <v>1</v>
      </c>
      <c r="C101" s="703" t="s">
        <v>1</v>
      </c>
      <c r="D101" s="681" t="s">
        <v>1</v>
      </c>
      <c r="E101" s="1126" t="s">
        <v>1</v>
      </c>
      <c r="F101" s="697" t="s">
        <v>1</v>
      </c>
      <c r="G101" s="698" t="s">
        <v>1</v>
      </c>
      <c r="H101" s="1103" t="s">
        <v>1</v>
      </c>
      <c r="I101" s="703" t="s">
        <v>1</v>
      </c>
      <c r="J101" s="685" t="s">
        <v>1</v>
      </c>
      <c r="K101" s="1126" t="s">
        <v>1</v>
      </c>
      <c r="L101" s="1115" t="s">
        <v>1</v>
      </c>
    </row>
    <row r="102" spans="1:12" ht="15.75" x14ac:dyDescent="0.25">
      <c r="A102" s="1099">
        <v>7</v>
      </c>
      <c r="B102" s="1103"/>
      <c r="C102" s="703" t="s">
        <v>1</v>
      </c>
      <c r="D102" s="688" t="s">
        <v>50</v>
      </c>
      <c r="E102" s="1126" t="s">
        <v>1</v>
      </c>
      <c r="F102" s="1116">
        <v>0.45833333333333331</v>
      </c>
      <c r="G102" s="698" t="s">
        <v>1</v>
      </c>
      <c r="H102" s="1103" t="s">
        <v>1</v>
      </c>
      <c r="I102" s="703" t="s">
        <v>1</v>
      </c>
      <c r="J102" s="681" t="s">
        <v>1</v>
      </c>
      <c r="K102" s="1126" t="s">
        <v>1</v>
      </c>
      <c r="L102" s="697" t="s">
        <v>1</v>
      </c>
    </row>
    <row r="103" spans="1:12" ht="15.75" x14ac:dyDescent="0.25">
      <c r="A103" s="1099" t="s">
        <v>1</v>
      </c>
      <c r="B103" s="1103" t="s">
        <v>1</v>
      </c>
      <c r="C103" s="703" t="s">
        <v>1</v>
      </c>
      <c r="D103" s="687" t="s">
        <v>1</v>
      </c>
      <c r="E103" s="1126" t="s">
        <v>1</v>
      </c>
      <c r="F103" s="697" t="s">
        <v>1</v>
      </c>
      <c r="G103" s="698" t="s">
        <v>1</v>
      </c>
      <c r="H103" s="1103" t="s">
        <v>1</v>
      </c>
      <c r="I103" s="703" t="s">
        <v>1</v>
      </c>
      <c r="J103" s="686" t="s">
        <v>1</v>
      </c>
      <c r="K103" s="1126" t="s">
        <v>1</v>
      </c>
      <c r="L103" s="1118" t="s">
        <v>1</v>
      </c>
    </row>
    <row r="104" spans="1:12" ht="15.75" x14ac:dyDescent="0.25">
      <c r="A104" s="1099" t="s">
        <v>1</v>
      </c>
      <c r="B104" s="1103" t="s">
        <v>1</v>
      </c>
      <c r="C104" s="703" t="s">
        <v>1</v>
      </c>
      <c r="D104" s="685" t="s">
        <v>728</v>
      </c>
      <c r="E104" s="1127">
        <v>0.53125</v>
      </c>
      <c r="F104" s="1115" t="s">
        <v>1</v>
      </c>
      <c r="G104" s="698" t="s">
        <v>1</v>
      </c>
      <c r="H104" s="1103" t="s">
        <v>1</v>
      </c>
      <c r="I104" s="703" t="s">
        <v>1</v>
      </c>
      <c r="J104" s="690" t="s">
        <v>1</v>
      </c>
      <c r="K104" s="1126" t="s">
        <v>1</v>
      </c>
      <c r="L104" s="1119" t="s">
        <v>1</v>
      </c>
    </row>
    <row r="105" spans="1:12" ht="15.75" x14ac:dyDescent="0.25">
      <c r="A105" s="1099" t="s">
        <v>1</v>
      </c>
      <c r="B105" s="1103" t="s">
        <v>276</v>
      </c>
      <c r="C105" s="703" t="s">
        <v>273</v>
      </c>
      <c r="D105" s="681" t="s">
        <v>1</v>
      </c>
      <c r="E105" s="1126" t="s">
        <v>1</v>
      </c>
      <c r="F105" s="697" t="s">
        <v>1</v>
      </c>
      <c r="G105" s="698" t="s">
        <v>1</v>
      </c>
      <c r="H105" s="1103" t="s">
        <v>1</v>
      </c>
      <c r="I105" s="703" t="s">
        <v>1</v>
      </c>
      <c r="J105" s="681" t="s">
        <v>1</v>
      </c>
      <c r="K105" s="1126" t="s">
        <v>1</v>
      </c>
      <c r="L105" s="697" t="s">
        <v>1</v>
      </c>
    </row>
    <row r="106" spans="1:12" ht="15.75" x14ac:dyDescent="0.25">
      <c r="A106" s="1099" t="s">
        <v>1</v>
      </c>
      <c r="B106" s="1103" t="s">
        <v>1</v>
      </c>
      <c r="C106" s="703" t="s">
        <v>1</v>
      </c>
      <c r="D106" s="687" t="s">
        <v>1</v>
      </c>
      <c r="E106" s="1126" t="s">
        <v>1</v>
      </c>
      <c r="F106" s="697" t="s">
        <v>1</v>
      </c>
      <c r="G106" s="698" t="s">
        <v>1</v>
      </c>
      <c r="H106" s="1103" t="s">
        <v>1</v>
      </c>
      <c r="I106" s="703" t="s">
        <v>1</v>
      </c>
      <c r="J106" s="681" t="s">
        <v>1</v>
      </c>
      <c r="K106" s="1126" t="s">
        <v>1</v>
      </c>
      <c r="L106" s="1118" t="s">
        <v>1</v>
      </c>
    </row>
    <row r="107" spans="1:12" ht="15.75" x14ac:dyDescent="0.25">
      <c r="A107" s="1099" t="s">
        <v>1</v>
      </c>
      <c r="B107" s="1103" t="s">
        <v>273</v>
      </c>
      <c r="C107" s="703">
        <v>110</v>
      </c>
      <c r="D107" s="681" t="s">
        <v>896</v>
      </c>
      <c r="E107" s="1126" t="s">
        <v>1</v>
      </c>
      <c r="F107" s="697" t="s">
        <v>1</v>
      </c>
      <c r="G107" s="698" t="s">
        <v>1</v>
      </c>
      <c r="H107" s="1103" t="s">
        <v>1</v>
      </c>
      <c r="I107" s="703" t="s">
        <v>1</v>
      </c>
      <c r="J107" s="690" t="s">
        <v>1</v>
      </c>
      <c r="K107" s="1126" t="s">
        <v>1</v>
      </c>
      <c r="L107" s="697" t="s">
        <v>1</v>
      </c>
    </row>
    <row r="108" spans="1:12" ht="15.75" x14ac:dyDescent="0.25">
      <c r="A108" s="1103" t="s">
        <v>727</v>
      </c>
      <c r="B108" s="1103"/>
      <c r="C108" s="703" t="s">
        <v>1</v>
      </c>
      <c r="D108" s="685" t="s">
        <v>728</v>
      </c>
      <c r="E108" s="1126" t="s">
        <v>1</v>
      </c>
      <c r="F108" s="1114">
        <v>0.53125</v>
      </c>
      <c r="G108" s="698" t="s">
        <v>1</v>
      </c>
      <c r="H108" s="1103" t="s">
        <v>1</v>
      </c>
      <c r="I108" s="703" t="s">
        <v>1</v>
      </c>
      <c r="J108" s="690" t="s">
        <v>1</v>
      </c>
      <c r="K108" s="1126" t="s">
        <v>1</v>
      </c>
      <c r="L108" s="1119" t="s">
        <v>1</v>
      </c>
    </row>
    <row r="109" spans="1:12" ht="15.75" x14ac:dyDescent="0.25">
      <c r="A109" s="1103" t="s">
        <v>1</v>
      </c>
      <c r="B109" s="1103"/>
      <c r="C109" s="703" t="s">
        <v>1</v>
      </c>
      <c r="D109" s="681" t="s">
        <v>1</v>
      </c>
      <c r="E109" s="1126" t="s">
        <v>1</v>
      </c>
      <c r="F109" s="697" t="s">
        <v>1</v>
      </c>
      <c r="G109" s="698" t="s">
        <v>1</v>
      </c>
      <c r="H109" s="1103" t="s">
        <v>1</v>
      </c>
      <c r="I109" s="703" t="s">
        <v>1</v>
      </c>
      <c r="J109" s="681" t="s">
        <v>1</v>
      </c>
      <c r="K109" s="1126" t="s">
        <v>1</v>
      </c>
      <c r="L109" s="697" t="s">
        <v>1</v>
      </c>
    </row>
    <row r="110" spans="1:12" ht="15.75" x14ac:dyDescent="0.25">
      <c r="A110" s="1103" t="s">
        <v>727</v>
      </c>
      <c r="B110" s="1103"/>
      <c r="C110" s="703" t="s">
        <v>1</v>
      </c>
      <c r="D110" s="686" t="s">
        <v>48</v>
      </c>
      <c r="E110" s="1126" t="s">
        <v>1</v>
      </c>
      <c r="F110" s="1113">
        <v>0.59375</v>
      </c>
      <c r="G110" s="698" t="s">
        <v>1</v>
      </c>
      <c r="H110" s="1103" t="s">
        <v>1</v>
      </c>
      <c r="I110" s="703" t="s">
        <v>1</v>
      </c>
      <c r="J110" s="686" t="s">
        <v>1</v>
      </c>
      <c r="K110" s="1126" t="s">
        <v>1</v>
      </c>
      <c r="L110" s="1118" t="s">
        <v>1</v>
      </c>
    </row>
    <row r="111" spans="1:12" ht="15.75" x14ac:dyDescent="0.25">
      <c r="A111" s="1099" t="s">
        <v>1</v>
      </c>
      <c r="B111" s="1103" t="s">
        <v>1</v>
      </c>
      <c r="C111" s="703" t="s">
        <v>1</v>
      </c>
      <c r="D111" s="687" t="s">
        <v>1</v>
      </c>
      <c r="E111" s="1126" t="s">
        <v>1</v>
      </c>
      <c r="F111" s="697" t="s">
        <v>1</v>
      </c>
      <c r="G111" s="698" t="s">
        <v>1</v>
      </c>
      <c r="H111" s="1103" t="s">
        <v>1</v>
      </c>
      <c r="I111" s="703" t="s">
        <v>1</v>
      </c>
      <c r="J111" s="687" t="s">
        <v>1</v>
      </c>
      <c r="K111" s="1126" t="s">
        <v>1</v>
      </c>
      <c r="L111" s="697" t="s">
        <v>1</v>
      </c>
    </row>
    <row r="112" spans="1:12" ht="15.75" x14ac:dyDescent="0.25">
      <c r="A112" s="1099" t="s">
        <v>725</v>
      </c>
      <c r="B112" s="1103" t="s">
        <v>1</v>
      </c>
      <c r="C112" s="703" t="s">
        <v>1</v>
      </c>
      <c r="D112" s="685" t="s">
        <v>728</v>
      </c>
      <c r="E112" s="1127">
        <v>0.65972222222222221</v>
      </c>
      <c r="F112" s="1115" t="s">
        <v>1</v>
      </c>
      <c r="G112" s="698" t="s">
        <v>1</v>
      </c>
      <c r="H112" s="1103" t="s">
        <v>1</v>
      </c>
      <c r="I112" s="703" t="s">
        <v>1</v>
      </c>
      <c r="J112" s="681" t="s">
        <v>1</v>
      </c>
      <c r="K112" s="1126" t="s">
        <v>1</v>
      </c>
      <c r="L112" s="1119" t="s">
        <v>1</v>
      </c>
    </row>
    <row r="113" spans="1:12" ht="15.75" x14ac:dyDescent="0.25">
      <c r="A113" s="1099" t="s">
        <v>1</v>
      </c>
      <c r="B113" s="1103" t="s">
        <v>1</v>
      </c>
      <c r="C113" s="703" t="s">
        <v>1</v>
      </c>
      <c r="D113" s="681" t="s">
        <v>733</v>
      </c>
      <c r="E113" s="1127">
        <v>0.68055555555555558</v>
      </c>
      <c r="F113" s="697" t="s">
        <v>1</v>
      </c>
      <c r="G113" s="698" t="s">
        <v>1</v>
      </c>
      <c r="H113" s="1103" t="s">
        <v>1</v>
      </c>
      <c r="I113" s="703" t="s">
        <v>1</v>
      </c>
      <c r="J113" s="681" t="s">
        <v>1</v>
      </c>
      <c r="K113" s="1126" t="s">
        <v>1</v>
      </c>
      <c r="L113" s="697" t="s">
        <v>1</v>
      </c>
    </row>
    <row r="114" spans="1:12" ht="15.75" x14ac:dyDescent="0.25">
      <c r="A114" s="1099" t="s">
        <v>1</v>
      </c>
      <c r="B114" s="1103" t="s">
        <v>276</v>
      </c>
      <c r="C114" s="703" t="s">
        <v>273</v>
      </c>
      <c r="D114" s="681" t="s">
        <v>1</v>
      </c>
      <c r="E114" s="1126" t="s">
        <v>1</v>
      </c>
      <c r="F114" s="697" t="s">
        <v>1</v>
      </c>
      <c r="G114" s="698" t="s">
        <v>1</v>
      </c>
      <c r="H114" s="1103" t="s">
        <v>1</v>
      </c>
      <c r="I114" s="703" t="s">
        <v>1</v>
      </c>
      <c r="J114" s="681" t="s">
        <v>1</v>
      </c>
      <c r="K114" s="1126" t="s">
        <v>1</v>
      </c>
      <c r="L114" s="1118" t="s">
        <v>1</v>
      </c>
    </row>
    <row r="115" spans="1:12" ht="15.75" x14ac:dyDescent="0.25">
      <c r="A115" s="1099" t="s">
        <v>1</v>
      </c>
      <c r="B115" s="1103" t="s">
        <v>1</v>
      </c>
      <c r="C115" s="703" t="s">
        <v>1</v>
      </c>
      <c r="D115" s="687" t="s">
        <v>1</v>
      </c>
      <c r="E115" s="1126" t="s">
        <v>1</v>
      </c>
      <c r="F115" s="697" t="s">
        <v>1</v>
      </c>
      <c r="G115" s="698" t="s">
        <v>1</v>
      </c>
      <c r="H115" s="1103" t="s">
        <v>1</v>
      </c>
      <c r="I115" s="703" t="s">
        <v>1</v>
      </c>
      <c r="J115" s="687" t="s">
        <v>1</v>
      </c>
      <c r="K115" s="1126" t="s">
        <v>1</v>
      </c>
      <c r="L115" s="697" t="s">
        <v>1</v>
      </c>
    </row>
    <row r="116" spans="1:12" ht="15.75" x14ac:dyDescent="0.25">
      <c r="A116" s="1099" t="s">
        <v>1</v>
      </c>
      <c r="B116" s="1103" t="s">
        <v>1</v>
      </c>
      <c r="C116" s="703" t="s">
        <v>1</v>
      </c>
      <c r="D116" s="690" t="s">
        <v>1</v>
      </c>
      <c r="E116" s="1126" t="s">
        <v>1</v>
      </c>
      <c r="F116" s="1119" t="s">
        <v>1</v>
      </c>
      <c r="G116" s="698" t="s">
        <v>1</v>
      </c>
      <c r="H116" s="1103" t="s">
        <v>1</v>
      </c>
      <c r="I116" s="703" t="s">
        <v>1</v>
      </c>
      <c r="J116" s="681" t="s">
        <v>1</v>
      </c>
      <c r="K116" s="1126" t="s">
        <v>1</v>
      </c>
      <c r="L116" s="1119" t="s">
        <v>1</v>
      </c>
    </row>
    <row r="117" spans="1:12" ht="15.75" x14ac:dyDescent="0.25">
      <c r="A117" s="1099" t="s">
        <v>1</v>
      </c>
      <c r="B117" s="1103" t="s">
        <v>1</v>
      </c>
      <c r="C117" s="703" t="s">
        <v>1</v>
      </c>
      <c r="D117" s="687" t="s">
        <v>1</v>
      </c>
      <c r="E117" s="1126" t="s">
        <v>1</v>
      </c>
      <c r="F117" s="697" t="s">
        <v>1</v>
      </c>
      <c r="G117" s="698" t="s">
        <v>1</v>
      </c>
      <c r="H117" s="1103" t="s">
        <v>1</v>
      </c>
      <c r="I117" s="703" t="s">
        <v>1</v>
      </c>
      <c r="J117" s="687" t="s">
        <v>1</v>
      </c>
      <c r="K117" s="1126" t="s">
        <v>1</v>
      </c>
      <c r="L117" s="697" t="s">
        <v>1</v>
      </c>
    </row>
    <row r="118" spans="1:12" ht="15.75" x14ac:dyDescent="0.25">
      <c r="A118" s="1099" t="s">
        <v>1</v>
      </c>
      <c r="B118" s="1103" t="s">
        <v>1</v>
      </c>
      <c r="C118" s="703" t="s">
        <v>1</v>
      </c>
      <c r="D118" s="681" t="s">
        <v>1</v>
      </c>
      <c r="E118" s="1126" t="s">
        <v>1</v>
      </c>
      <c r="F118" s="697" t="s">
        <v>1</v>
      </c>
      <c r="G118" s="698" t="s">
        <v>1</v>
      </c>
      <c r="H118" s="1103" t="s">
        <v>1</v>
      </c>
      <c r="I118" s="703" t="s">
        <v>1</v>
      </c>
      <c r="J118" s="681" t="s">
        <v>1</v>
      </c>
      <c r="K118" s="1126" t="s">
        <v>1</v>
      </c>
      <c r="L118" s="697" t="s">
        <v>1</v>
      </c>
    </row>
    <row r="119" spans="1:12" ht="15.75" x14ac:dyDescent="0.25">
      <c r="A119" s="1099" t="s">
        <v>1</v>
      </c>
      <c r="B119" s="1103" t="s">
        <v>1</v>
      </c>
      <c r="C119" s="703" t="s">
        <v>1</v>
      </c>
      <c r="D119" s="687" t="s">
        <v>1</v>
      </c>
      <c r="E119" s="1126" t="s">
        <v>1</v>
      </c>
      <c r="F119" s="697" t="s">
        <v>1</v>
      </c>
      <c r="G119" s="697" t="s">
        <v>1</v>
      </c>
      <c r="H119" s="703" t="s">
        <v>1</v>
      </c>
      <c r="I119" s="703" t="s">
        <v>1</v>
      </c>
      <c r="J119" s="681" t="s">
        <v>1</v>
      </c>
      <c r="K119" s="1126" t="s">
        <v>1</v>
      </c>
      <c r="L119" s="697" t="s">
        <v>1</v>
      </c>
    </row>
    <row r="120" spans="1:12" ht="16.5" thickBot="1" x14ac:dyDescent="0.3">
      <c r="A120" s="1102" t="s">
        <v>1</v>
      </c>
      <c r="B120" s="1106" t="s">
        <v>1</v>
      </c>
      <c r="C120" s="570" t="s">
        <v>1</v>
      </c>
      <c r="D120" s="605" t="s">
        <v>1</v>
      </c>
      <c r="E120" s="1133" t="s">
        <v>1</v>
      </c>
      <c r="F120" s="1120" t="s">
        <v>1</v>
      </c>
      <c r="G120" s="700" t="s">
        <v>1</v>
      </c>
      <c r="H120" s="1108" t="s">
        <v>1</v>
      </c>
      <c r="I120" s="1108" t="s">
        <v>1</v>
      </c>
      <c r="J120" s="692" t="s">
        <v>1</v>
      </c>
      <c r="K120" s="1139" t="s">
        <v>1</v>
      </c>
      <c r="L120" s="700" t="s">
        <v>1</v>
      </c>
    </row>
    <row r="121" spans="1:12" ht="23.25" customHeight="1" x14ac:dyDescent="0.35">
      <c r="A121" s="1237" t="s">
        <v>712</v>
      </c>
      <c r="B121" s="1238"/>
      <c r="C121" s="1238"/>
      <c r="D121" s="1238"/>
      <c r="E121" s="1238"/>
      <c r="F121" s="1238"/>
      <c r="G121" s="1238"/>
      <c r="H121" s="1238"/>
      <c r="I121" s="1238"/>
      <c r="J121" s="1238"/>
      <c r="K121" s="1238"/>
      <c r="L121" s="1239"/>
    </row>
    <row r="122" spans="1:12" ht="23.25" customHeight="1" thickBot="1" x14ac:dyDescent="0.4">
      <c r="A122" s="1240" t="s">
        <v>713</v>
      </c>
      <c r="B122" s="1241"/>
      <c r="C122" s="1241"/>
      <c r="D122" s="1241"/>
      <c r="E122" s="1241"/>
      <c r="F122" s="1241"/>
      <c r="G122" s="1241"/>
      <c r="H122" s="1241"/>
      <c r="I122" s="1241"/>
      <c r="J122" s="1241"/>
      <c r="K122" s="1241"/>
      <c r="L122" s="1242"/>
    </row>
    <row r="123" spans="1:12" ht="23.25" customHeight="1" thickBot="1" x14ac:dyDescent="0.4">
      <c r="A123" s="1243" t="s">
        <v>714</v>
      </c>
      <c r="B123" s="1244"/>
      <c r="C123" s="1244"/>
      <c r="D123" s="1244"/>
      <c r="E123" s="1244"/>
      <c r="F123" s="1244"/>
      <c r="G123" s="1244"/>
      <c r="H123" s="1244"/>
      <c r="I123" s="1244"/>
      <c r="J123" s="1244"/>
      <c r="K123" s="1244"/>
      <c r="L123" s="1245"/>
    </row>
    <row r="124" spans="1:12" ht="23.25" customHeight="1" x14ac:dyDescent="0.35">
      <c r="A124" s="619" t="s">
        <v>715</v>
      </c>
      <c r="B124" s="620"/>
      <c r="C124" s="620"/>
      <c r="D124" s="621" t="s">
        <v>716</v>
      </c>
      <c r="E124" s="1241" t="s">
        <v>403</v>
      </c>
      <c r="F124" s="1241"/>
      <c r="G124" s="1241"/>
      <c r="H124" s="1241"/>
      <c r="I124" s="1241"/>
      <c r="J124" s="618" t="s">
        <v>751</v>
      </c>
      <c r="K124" s="1241" t="s">
        <v>1</v>
      </c>
      <c r="L124" s="1242"/>
    </row>
    <row r="125" spans="1:12" ht="15.75" thickBot="1" x14ac:dyDescent="0.3">
      <c r="A125" s="560" t="s">
        <v>1</v>
      </c>
      <c r="B125" s="561" t="s">
        <v>1</v>
      </c>
      <c r="C125" s="561" t="s">
        <v>1</v>
      </c>
      <c r="D125" s="562" t="s">
        <v>1</v>
      </c>
      <c r="E125" s="561" t="s">
        <v>1</v>
      </c>
      <c r="F125" s="561" t="s">
        <v>1</v>
      </c>
      <c r="G125" s="561" t="s">
        <v>1</v>
      </c>
      <c r="H125" s="561" t="s">
        <v>1</v>
      </c>
      <c r="I125" s="1227" t="s">
        <v>1</v>
      </c>
      <c r="J125" s="1227"/>
      <c r="K125" s="561" t="s">
        <v>1</v>
      </c>
      <c r="L125" s="563" t="s">
        <v>1</v>
      </c>
    </row>
    <row r="126" spans="1:12" ht="15.75" x14ac:dyDescent="0.25">
      <c r="A126" s="564" t="s">
        <v>719</v>
      </c>
      <c r="B126" s="565" t="s">
        <v>1</v>
      </c>
      <c r="C126" s="569" t="s">
        <v>1</v>
      </c>
      <c r="D126" s="567" t="s">
        <v>720</v>
      </c>
      <c r="E126" s="699" t="s">
        <v>721</v>
      </c>
      <c r="F126" s="569" t="s">
        <v>722</v>
      </c>
      <c r="G126" s="564" t="s">
        <v>719</v>
      </c>
      <c r="H126" s="570" t="s">
        <v>1</v>
      </c>
      <c r="I126" s="1109" t="s">
        <v>1</v>
      </c>
      <c r="J126" s="572" t="s">
        <v>720</v>
      </c>
      <c r="K126" s="700" t="s">
        <v>721</v>
      </c>
      <c r="L126" s="700" t="s">
        <v>722</v>
      </c>
    </row>
    <row r="127" spans="1:12" ht="15.75" x14ac:dyDescent="0.25">
      <c r="A127" s="1099" t="s">
        <v>1</v>
      </c>
      <c r="B127" s="574" t="s">
        <v>1</v>
      </c>
      <c r="C127" s="702" t="s">
        <v>1</v>
      </c>
      <c r="D127" s="680" t="s">
        <v>1</v>
      </c>
      <c r="E127" s="1125" t="s">
        <v>1</v>
      </c>
      <c r="F127" s="1110" t="s">
        <v>1</v>
      </c>
      <c r="G127" s="697" t="s">
        <v>1</v>
      </c>
      <c r="H127" s="703" t="s">
        <v>1</v>
      </c>
      <c r="I127" s="703" t="s">
        <v>1</v>
      </c>
      <c r="J127" s="682" t="s">
        <v>1</v>
      </c>
      <c r="K127" s="1136" t="s">
        <v>1</v>
      </c>
      <c r="L127" s="1123" t="s">
        <v>1</v>
      </c>
    </row>
    <row r="128" spans="1:12" ht="15.75" x14ac:dyDescent="0.25">
      <c r="A128" s="1099" t="s">
        <v>1</v>
      </c>
      <c r="B128" s="1103" t="s">
        <v>273</v>
      </c>
      <c r="C128" s="703">
        <v>105</v>
      </c>
      <c r="D128" s="681" t="s">
        <v>779</v>
      </c>
      <c r="E128" s="1126" t="s">
        <v>1</v>
      </c>
      <c r="F128" s="1111" t="s">
        <v>1</v>
      </c>
      <c r="G128" s="698" t="s">
        <v>1</v>
      </c>
      <c r="H128" s="1103" t="s">
        <v>273</v>
      </c>
      <c r="I128" s="703">
        <v>127</v>
      </c>
      <c r="J128" s="681" t="s">
        <v>897</v>
      </c>
      <c r="K128" s="1137" t="s">
        <v>1</v>
      </c>
      <c r="L128" s="600" t="s">
        <v>1</v>
      </c>
    </row>
    <row r="129" spans="1:12" ht="15.75" x14ac:dyDescent="0.25">
      <c r="A129" s="1099" t="s">
        <v>725</v>
      </c>
      <c r="B129" s="1104" t="s">
        <v>1</v>
      </c>
      <c r="C129" s="703" t="s">
        <v>1</v>
      </c>
      <c r="D129" s="681" t="s">
        <v>883</v>
      </c>
      <c r="E129" s="1126" t="s">
        <v>1</v>
      </c>
      <c r="F129" s="1112">
        <v>0.25</v>
      </c>
      <c r="G129" s="698" t="s">
        <v>727</v>
      </c>
      <c r="H129" s="1103" t="s">
        <v>1</v>
      </c>
      <c r="I129" s="703" t="s">
        <v>1</v>
      </c>
      <c r="J129" s="685" t="s">
        <v>728</v>
      </c>
      <c r="K129" s="1126" t="s">
        <v>1</v>
      </c>
      <c r="L129" s="1114">
        <v>0.85416666666666663</v>
      </c>
    </row>
    <row r="130" spans="1:12" ht="15.75" x14ac:dyDescent="0.25">
      <c r="A130" s="1099">
        <v>7</v>
      </c>
      <c r="B130" s="1103" t="s">
        <v>1</v>
      </c>
      <c r="C130" s="703" t="s">
        <v>1</v>
      </c>
      <c r="D130" s="688" t="s">
        <v>50</v>
      </c>
      <c r="E130" s="1126" t="s">
        <v>1</v>
      </c>
      <c r="F130" s="1116">
        <v>0.27083333333333331</v>
      </c>
      <c r="G130" s="698" t="s">
        <v>1</v>
      </c>
      <c r="H130" s="1103" t="s">
        <v>1</v>
      </c>
      <c r="I130" s="703" t="s">
        <v>1</v>
      </c>
      <c r="J130" s="681" t="s">
        <v>1</v>
      </c>
      <c r="K130" s="1126" t="s">
        <v>1</v>
      </c>
      <c r="L130" s="697" t="s">
        <v>1</v>
      </c>
    </row>
    <row r="131" spans="1:12" ht="15.75" x14ac:dyDescent="0.25">
      <c r="A131" s="1099" t="s">
        <v>1</v>
      </c>
      <c r="B131" s="1103" t="s">
        <v>1</v>
      </c>
      <c r="C131" s="703" t="s">
        <v>1</v>
      </c>
      <c r="D131" s="687" t="s">
        <v>1</v>
      </c>
      <c r="E131" s="1126" t="s">
        <v>1</v>
      </c>
      <c r="F131" s="697" t="s">
        <v>1</v>
      </c>
      <c r="G131" s="698" t="s">
        <v>727</v>
      </c>
      <c r="H131" s="1103" t="s">
        <v>1</v>
      </c>
      <c r="I131" s="703" t="s">
        <v>1</v>
      </c>
      <c r="J131" s="686" t="s">
        <v>48</v>
      </c>
      <c r="K131" s="1126" t="s">
        <v>1</v>
      </c>
      <c r="L131" s="1113">
        <v>0.90277777777777779</v>
      </c>
    </row>
    <row r="132" spans="1:12" ht="15.75" x14ac:dyDescent="0.25">
      <c r="A132" s="1099" t="s">
        <v>727</v>
      </c>
      <c r="B132" s="1103" t="s">
        <v>1</v>
      </c>
      <c r="C132" s="703" t="s">
        <v>1</v>
      </c>
      <c r="D132" s="685" t="s">
        <v>728</v>
      </c>
      <c r="E132" s="1126" t="s">
        <v>1</v>
      </c>
      <c r="F132" s="1114">
        <v>0.32291666666666669</v>
      </c>
      <c r="G132" s="698" t="s">
        <v>1</v>
      </c>
      <c r="H132" s="1103" t="s">
        <v>1</v>
      </c>
      <c r="I132" s="703" t="s">
        <v>1</v>
      </c>
      <c r="J132" s="687" t="s">
        <v>1</v>
      </c>
      <c r="K132" s="1126" t="s">
        <v>1</v>
      </c>
      <c r="L132" s="697" t="s">
        <v>1</v>
      </c>
    </row>
    <row r="133" spans="1:12" ht="15.75" x14ac:dyDescent="0.25">
      <c r="A133" s="1099" t="s">
        <v>1</v>
      </c>
      <c r="B133" s="1103" t="s">
        <v>1</v>
      </c>
      <c r="C133" s="703" t="s">
        <v>1</v>
      </c>
      <c r="D133" s="681" t="s">
        <v>1</v>
      </c>
      <c r="E133" s="1126" t="s">
        <v>1</v>
      </c>
      <c r="F133" s="697" t="s">
        <v>1</v>
      </c>
      <c r="G133" s="698">
        <v>7</v>
      </c>
      <c r="H133" s="1103" t="s">
        <v>1</v>
      </c>
      <c r="I133" s="703" t="s">
        <v>1</v>
      </c>
      <c r="J133" s="685" t="s">
        <v>728</v>
      </c>
      <c r="K133" s="1126" t="s">
        <v>1</v>
      </c>
      <c r="L133" s="1114">
        <v>0.95138888888888884</v>
      </c>
    </row>
    <row r="134" spans="1:12" ht="15.75" x14ac:dyDescent="0.25">
      <c r="A134" s="1099" t="s">
        <v>725</v>
      </c>
      <c r="B134" s="1103" t="s">
        <v>1</v>
      </c>
      <c r="C134" s="703" t="s">
        <v>1</v>
      </c>
      <c r="D134" s="686" t="s">
        <v>48</v>
      </c>
      <c r="E134" s="1127">
        <v>0.37152777777777779</v>
      </c>
      <c r="F134" s="1118" t="s">
        <v>1</v>
      </c>
      <c r="G134" s="698" t="s">
        <v>1</v>
      </c>
      <c r="H134" s="1103" t="s">
        <v>1</v>
      </c>
      <c r="I134" s="703" t="s">
        <v>1</v>
      </c>
      <c r="J134" s="681" t="s">
        <v>1</v>
      </c>
      <c r="K134" s="1126" t="s">
        <v>1</v>
      </c>
      <c r="L134" s="697" t="s">
        <v>1</v>
      </c>
    </row>
    <row r="135" spans="1:12" ht="15.75" x14ac:dyDescent="0.25">
      <c r="A135" s="1099" t="s">
        <v>1</v>
      </c>
      <c r="B135" s="1103" t="s">
        <v>1</v>
      </c>
      <c r="C135" s="703" t="s">
        <v>1</v>
      </c>
      <c r="D135" s="681" t="s">
        <v>733</v>
      </c>
      <c r="E135" s="1127">
        <v>0.3923611111111111</v>
      </c>
      <c r="F135" s="697" t="s">
        <v>1</v>
      </c>
      <c r="G135" s="698" t="s">
        <v>725</v>
      </c>
      <c r="H135" s="1103" t="s">
        <v>1</v>
      </c>
      <c r="I135" s="703" t="s">
        <v>1</v>
      </c>
      <c r="J135" s="688" t="s">
        <v>50</v>
      </c>
      <c r="K135" s="1127">
        <v>0.99652777777777779</v>
      </c>
      <c r="L135" s="697" t="s">
        <v>1</v>
      </c>
    </row>
    <row r="136" spans="1:12" ht="15.75" x14ac:dyDescent="0.25">
      <c r="A136" s="1099" t="s">
        <v>1</v>
      </c>
      <c r="B136" s="1103" t="s">
        <v>273</v>
      </c>
      <c r="C136" s="703">
        <v>105</v>
      </c>
      <c r="D136" s="681" t="s">
        <v>1283</v>
      </c>
      <c r="E136" s="1126" t="s">
        <v>1</v>
      </c>
      <c r="F136" s="1115" t="s">
        <v>1</v>
      </c>
      <c r="G136" s="698" t="s">
        <v>1</v>
      </c>
      <c r="H136" s="1103" t="s">
        <v>1</v>
      </c>
      <c r="I136" s="703" t="s">
        <v>1</v>
      </c>
      <c r="J136" s="681" t="s">
        <v>733</v>
      </c>
      <c r="K136" s="1127">
        <v>1.7361111111111112E-2</v>
      </c>
      <c r="L136" s="697" t="s">
        <v>1</v>
      </c>
    </row>
    <row r="137" spans="1:12" ht="15.75" x14ac:dyDescent="0.25">
      <c r="A137" s="1099" t="s">
        <v>1</v>
      </c>
      <c r="B137" s="1103" t="s">
        <v>1</v>
      </c>
      <c r="C137" s="703" t="s">
        <v>1</v>
      </c>
      <c r="D137" s="681" t="s">
        <v>1</v>
      </c>
      <c r="E137" s="1126" t="s">
        <v>1</v>
      </c>
      <c r="F137" s="697" t="s">
        <v>1</v>
      </c>
      <c r="G137" s="698" t="s">
        <v>1</v>
      </c>
      <c r="H137" s="1103" t="s">
        <v>276</v>
      </c>
      <c r="I137" s="703" t="s">
        <v>273</v>
      </c>
      <c r="J137" s="685" t="s">
        <v>1</v>
      </c>
      <c r="K137" s="1126" t="s">
        <v>1</v>
      </c>
      <c r="L137" s="1115" t="s">
        <v>1</v>
      </c>
    </row>
    <row r="138" spans="1:12" ht="15.75" x14ac:dyDescent="0.25">
      <c r="A138" s="1099" t="s">
        <v>1</v>
      </c>
      <c r="B138" s="1103" t="s">
        <v>273</v>
      </c>
      <c r="C138" s="703">
        <v>118</v>
      </c>
      <c r="D138" s="681" t="s">
        <v>898</v>
      </c>
      <c r="E138" s="1126" t="s">
        <v>1</v>
      </c>
      <c r="F138" s="697" t="s">
        <v>1</v>
      </c>
      <c r="G138" s="698" t="s">
        <v>1</v>
      </c>
      <c r="H138" s="1103" t="s">
        <v>1</v>
      </c>
      <c r="I138" s="703" t="s">
        <v>1</v>
      </c>
      <c r="J138" s="681" t="s">
        <v>1</v>
      </c>
      <c r="K138" s="1126" t="s">
        <v>1</v>
      </c>
      <c r="L138" s="697" t="s">
        <v>1</v>
      </c>
    </row>
    <row r="139" spans="1:12" ht="15.75" x14ac:dyDescent="0.25">
      <c r="A139" s="1099" t="s">
        <v>725</v>
      </c>
      <c r="B139" s="1103" t="s">
        <v>1</v>
      </c>
      <c r="C139" s="703" t="s">
        <v>1</v>
      </c>
      <c r="D139" s="681" t="s">
        <v>726</v>
      </c>
      <c r="E139" s="1126" t="s">
        <v>1</v>
      </c>
      <c r="F139" s="1112">
        <v>0.5</v>
      </c>
      <c r="G139" s="698" t="s">
        <v>1</v>
      </c>
      <c r="H139" s="1103" t="s">
        <v>1</v>
      </c>
      <c r="I139" s="703" t="s">
        <v>1</v>
      </c>
      <c r="J139" s="686" t="s">
        <v>1</v>
      </c>
      <c r="K139" s="1126" t="s">
        <v>1</v>
      </c>
      <c r="L139" s="1118" t="s">
        <v>1</v>
      </c>
    </row>
    <row r="140" spans="1:12" ht="15.75" x14ac:dyDescent="0.25">
      <c r="A140" s="1099">
        <v>7</v>
      </c>
      <c r="B140" s="1103" t="s">
        <v>1</v>
      </c>
      <c r="C140" s="703" t="s">
        <v>1</v>
      </c>
      <c r="D140" s="688" t="s">
        <v>50</v>
      </c>
      <c r="E140" s="1126" t="s">
        <v>1</v>
      </c>
      <c r="F140" s="1116">
        <v>0.52083333333333337</v>
      </c>
      <c r="G140" s="698" t="s">
        <v>1</v>
      </c>
      <c r="H140" s="1103" t="s">
        <v>1</v>
      </c>
      <c r="I140" s="703" t="s">
        <v>1</v>
      </c>
      <c r="J140" s="687" t="s">
        <v>1</v>
      </c>
      <c r="K140" s="1126" t="s">
        <v>1</v>
      </c>
      <c r="L140" s="697" t="s">
        <v>1</v>
      </c>
    </row>
    <row r="141" spans="1:12" ht="15.75" x14ac:dyDescent="0.25">
      <c r="A141" s="1099" t="s">
        <v>1</v>
      </c>
      <c r="B141" s="1103" t="s">
        <v>1</v>
      </c>
      <c r="C141" s="703" t="s">
        <v>1</v>
      </c>
      <c r="D141" s="686" t="s">
        <v>1</v>
      </c>
      <c r="E141" s="1126" t="s">
        <v>1</v>
      </c>
      <c r="F141" s="1118" t="s">
        <v>1</v>
      </c>
      <c r="G141" s="698" t="s">
        <v>1</v>
      </c>
      <c r="H141" s="1103" t="s">
        <v>1</v>
      </c>
      <c r="I141" s="703" t="s">
        <v>1</v>
      </c>
      <c r="J141" s="685" t="s">
        <v>1</v>
      </c>
      <c r="K141" s="1126" t="s">
        <v>1</v>
      </c>
      <c r="L141" s="1115" t="s">
        <v>1</v>
      </c>
    </row>
    <row r="142" spans="1:12" ht="15.75" x14ac:dyDescent="0.25">
      <c r="A142" s="1099" t="s">
        <v>727</v>
      </c>
      <c r="B142" s="1103" t="s">
        <v>1</v>
      </c>
      <c r="C142" s="703" t="s">
        <v>1</v>
      </c>
      <c r="D142" s="685" t="s">
        <v>728</v>
      </c>
      <c r="E142" s="1126" t="s">
        <v>1</v>
      </c>
      <c r="F142" s="1114">
        <v>0.59375</v>
      </c>
      <c r="G142" s="698" t="s">
        <v>1</v>
      </c>
      <c r="H142" s="1103" t="s">
        <v>1</v>
      </c>
      <c r="I142" s="703" t="s">
        <v>1</v>
      </c>
      <c r="J142" s="681" t="s">
        <v>1</v>
      </c>
      <c r="K142" s="1126" t="s">
        <v>1</v>
      </c>
      <c r="L142" s="697" t="s">
        <v>1</v>
      </c>
    </row>
    <row r="143" spans="1:12" ht="15.75" x14ac:dyDescent="0.25">
      <c r="A143" s="1099" t="s">
        <v>1</v>
      </c>
      <c r="B143" s="1103" t="s">
        <v>1</v>
      </c>
      <c r="C143" s="703" t="s">
        <v>1</v>
      </c>
      <c r="D143" s="685" t="s">
        <v>1</v>
      </c>
      <c r="E143" s="1126" t="s">
        <v>1</v>
      </c>
      <c r="F143" s="1115" t="s">
        <v>1</v>
      </c>
      <c r="G143" s="698" t="s">
        <v>1</v>
      </c>
      <c r="H143" s="1103" t="s">
        <v>1</v>
      </c>
      <c r="I143" s="703" t="s">
        <v>1</v>
      </c>
      <c r="J143" s="686" t="s">
        <v>1</v>
      </c>
      <c r="K143" s="1126" t="s">
        <v>1</v>
      </c>
      <c r="L143" s="1118" t="s">
        <v>1</v>
      </c>
    </row>
    <row r="144" spans="1:12" ht="15.75" x14ac:dyDescent="0.25">
      <c r="A144" s="1099" t="s">
        <v>727</v>
      </c>
      <c r="B144" s="1103" t="s">
        <v>1</v>
      </c>
      <c r="C144" s="703" t="s">
        <v>1</v>
      </c>
      <c r="D144" s="686" t="s">
        <v>48</v>
      </c>
      <c r="E144" s="1126" t="s">
        <v>1</v>
      </c>
      <c r="F144" s="1113">
        <v>0.65625</v>
      </c>
      <c r="G144" s="698" t="s">
        <v>1</v>
      </c>
      <c r="H144" s="1103" t="s">
        <v>1</v>
      </c>
      <c r="I144" s="703" t="s">
        <v>1</v>
      </c>
      <c r="J144" s="690" t="s">
        <v>1</v>
      </c>
      <c r="K144" s="1126" t="s">
        <v>1</v>
      </c>
      <c r="L144" s="1119" t="s">
        <v>1</v>
      </c>
    </row>
    <row r="145" spans="1:12" ht="15.75" x14ac:dyDescent="0.25">
      <c r="A145" s="1099" t="s">
        <v>1</v>
      </c>
      <c r="B145" s="1103" t="s">
        <v>1</v>
      </c>
      <c r="C145" s="703" t="s">
        <v>1</v>
      </c>
      <c r="D145" s="687" t="s">
        <v>1</v>
      </c>
      <c r="E145" s="1126" t="s">
        <v>1</v>
      </c>
      <c r="F145" s="697" t="s">
        <v>1</v>
      </c>
      <c r="G145" s="698" t="s">
        <v>1</v>
      </c>
      <c r="H145" s="1103" t="s">
        <v>1</v>
      </c>
      <c r="I145" s="703" t="s">
        <v>1</v>
      </c>
      <c r="J145" s="681" t="s">
        <v>1</v>
      </c>
      <c r="K145" s="1126" t="s">
        <v>1</v>
      </c>
      <c r="L145" s="697" t="s">
        <v>1</v>
      </c>
    </row>
    <row r="146" spans="1:12" ht="15.75" x14ac:dyDescent="0.25">
      <c r="A146" s="1099" t="s">
        <v>1</v>
      </c>
      <c r="B146" s="1103" t="s">
        <v>1</v>
      </c>
      <c r="C146" s="703" t="s">
        <v>1</v>
      </c>
      <c r="D146" s="685" t="s">
        <v>728</v>
      </c>
      <c r="E146" s="1127">
        <v>0.71875</v>
      </c>
      <c r="F146" s="697" t="s">
        <v>1</v>
      </c>
      <c r="G146" s="698" t="s">
        <v>1</v>
      </c>
      <c r="H146" s="1103" t="s">
        <v>1</v>
      </c>
      <c r="I146" s="703" t="s">
        <v>1</v>
      </c>
      <c r="J146" s="681" t="s">
        <v>1</v>
      </c>
      <c r="K146" s="1126" t="s">
        <v>1</v>
      </c>
      <c r="L146" s="1118" t="s">
        <v>1</v>
      </c>
    </row>
    <row r="147" spans="1:12" ht="15.75" x14ac:dyDescent="0.25">
      <c r="A147" s="1099" t="s">
        <v>1</v>
      </c>
      <c r="B147" s="1103" t="s">
        <v>273</v>
      </c>
      <c r="C147" s="703">
        <v>118</v>
      </c>
      <c r="D147" s="681" t="s">
        <v>899</v>
      </c>
      <c r="E147" s="1126" t="s">
        <v>1</v>
      </c>
      <c r="F147" s="1115" t="s">
        <v>1</v>
      </c>
      <c r="G147" s="698" t="s">
        <v>1</v>
      </c>
      <c r="H147" s="1103" t="s">
        <v>1</v>
      </c>
      <c r="I147" s="703" t="s">
        <v>1</v>
      </c>
      <c r="J147" s="690" t="s">
        <v>1</v>
      </c>
      <c r="K147" s="1126" t="s">
        <v>1</v>
      </c>
      <c r="L147" s="697" t="s">
        <v>1</v>
      </c>
    </row>
    <row r="148" spans="1:12" ht="15.75" x14ac:dyDescent="0.25">
      <c r="A148" s="1099" t="s">
        <v>1</v>
      </c>
      <c r="B148" s="1103" t="s">
        <v>1</v>
      </c>
      <c r="C148" s="703" t="s">
        <v>1</v>
      </c>
      <c r="D148" s="681" t="s">
        <v>1</v>
      </c>
      <c r="E148" s="1126" t="s">
        <v>1</v>
      </c>
      <c r="F148" s="697" t="s">
        <v>1</v>
      </c>
      <c r="G148" s="698" t="s">
        <v>1</v>
      </c>
      <c r="H148" s="1103" t="s">
        <v>1</v>
      </c>
      <c r="I148" s="703" t="s">
        <v>1</v>
      </c>
      <c r="J148" s="690" t="s">
        <v>1</v>
      </c>
      <c r="K148" s="1126" t="s">
        <v>1</v>
      </c>
      <c r="L148" s="1119" t="s">
        <v>1</v>
      </c>
    </row>
    <row r="149" spans="1:12" ht="15.75" x14ac:dyDescent="0.25">
      <c r="A149" s="1099" t="s">
        <v>1</v>
      </c>
      <c r="B149" s="1103" t="s">
        <v>273</v>
      </c>
      <c r="C149" s="703">
        <v>133</v>
      </c>
      <c r="D149" s="681" t="s">
        <v>900</v>
      </c>
      <c r="E149" s="1126" t="s">
        <v>1</v>
      </c>
      <c r="F149" s="1118" t="s">
        <v>1</v>
      </c>
      <c r="G149" s="698" t="s">
        <v>1</v>
      </c>
      <c r="H149" s="1103" t="s">
        <v>1</v>
      </c>
      <c r="I149" s="703" t="s">
        <v>1</v>
      </c>
      <c r="J149" s="681" t="s">
        <v>1</v>
      </c>
      <c r="K149" s="1126" t="s">
        <v>1</v>
      </c>
      <c r="L149" s="697" t="s">
        <v>1</v>
      </c>
    </row>
    <row r="150" spans="1:12" ht="15.75" x14ac:dyDescent="0.25">
      <c r="A150" s="1099">
        <v>7</v>
      </c>
      <c r="B150" s="1103" t="s">
        <v>1</v>
      </c>
      <c r="C150" s="703" t="s">
        <v>1</v>
      </c>
      <c r="D150" s="685" t="s">
        <v>728</v>
      </c>
      <c r="E150" s="1126" t="s">
        <v>1</v>
      </c>
      <c r="F150" s="1114">
        <v>0.71875</v>
      </c>
      <c r="G150" s="698" t="s">
        <v>1</v>
      </c>
      <c r="H150" s="1103" t="s">
        <v>1</v>
      </c>
      <c r="I150" s="703" t="s">
        <v>1</v>
      </c>
      <c r="J150" s="686" t="s">
        <v>1</v>
      </c>
      <c r="K150" s="1126" t="s">
        <v>1</v>
      </c>
      <c r="L150" s="1118" t="s">
        <v>1</v>
      </c>
    </row>
    <row r="151" spans="1:12" ht="15.75" x14ac:dyDescent="0.25">
      <c r="A151" s="1099" t="s">
        <v>1</v>
      </c>
      <c r="B151" s="1103" t="s">
        <v>1</v>
      </c>
      <c r="C151" s="703" t="s">
        <v>1</v>
      </c>
      <c r="D151" s="685" t="s">
        <v>1</v>
      </c>
      <c r="E151" s="1126" t="s">
        <v>1</v>
      </c>
      <c r="F151" s="1115" t="s">
        <v>1</v>
      </c>
      <c r="G151" s="698" t="s">
        <v>1</v>
      </c>
      <c r="H151" s="1103" t="s">
        <v>1</v>
      </c>
      <c r="I151" s="703" t="s">
        <v>1</v>
      </c>
      <c r="J151" s="687" t="s">
        <v>1</v>
      </c>
      <c r="K151" s="1126" t="s">
        <v>1</v>
      </c>
      <c r="L151" s="697" t="s">
        <v>1</v>
      </c>
    </row>
    <row r="152" spans="1:12" ht="15.75" x14ac:dyDescent="0.25">
      <c r="A152" s="1099">
        <v>7</v>
      </c>
      <c r="B152" s="1103" t="s">
        <v>1</v>
      </c>
      <c r="C152" s="703" t="s">
        <v>1</v>
      </c>
      <c r="D152" s="688" t="s">
        <v>50</v>
      </c>
      <c r="E152" s="1126" t="s">
        <v>1</v>
      </c>
      <c r="F152" s="1116">
        <v>0.79166666666666663</v>
      </c>
      <c r="G152" s="698" t="s">
        <v>1</v>
      </c>
      <c r="H152" s="1103" t="s">
        <v>1</v>
      </c>
      <c r="I152" s="703" t="s">
        <v>1</v>
      </c>
      <c r="J152" s="681" t="s">
        <v>1</v>
      </c>
      <c r="K152" s="1126" t="s">
        <v>1</v>
      </c>
      <c r="L152" s="1119" t="s">
        <v>1</v>
      </c>
    </row>
    <row r="153" spans="1:12" ht="15.75" x14ac:dyDescent="0.25">
      <c r="A153" s="1099" t="s">
        <v>1</v>
      </c>
      <c r="B153" s="1103" t="s">
        <v>1</v>
      </c>
      <c r="C153" s="703" t="s">
        <v>1</v>
      </c>
      <c r="D153" s="681" t="s">
        <v>1</v>
      </c>
      <c r="E153" s="1126" t="s">
        <v>1</v>
      </c>
      <c r="F153" s="697" t="s">
        <v>1</v>
      </c>
      <c r="G153" s="698" t="s">
        <v>1</v>
      </c>
      <c r="H153" s="1103" t="s">
        <v>1</v>
      </c>
      <c r="I153" s="703" t="s">
        <v>1</v>
      </c>
      <c r="J153" s="681" t="s">
        <v>1</v>
      </c>
      <c r="K153" s="1126" t="s">
        <v>1</v>
      </c>
      <c r="L153" s="697" t="s">
        <v>1</v>
      </c>
    </row>
    <row r="154" spans="1:12" ht="15.75" x14ac:dyDescent="0.25">
      <c r="A154" s="1099" t="s">
        <v>1</v>
      </c>
      <c r="B154" s="1103" t="s">
        <v>1</v>
      </c>
      <c r="C154" s="703" t="s">
        <v>1</v>
      </c>
      <c r="D154" s="685" t="s">
        <v>728</v>
      </c>
      <c r="E154" s="1127">
        <v>0.85416666666666663</v>
      </c>
      <c r="F154" s="697" t="s">
        <v>1</v>
      </c>
      <c r="G154" s="698" t="s">
        <v>1</v>
      </c>
      <c r="H154" s="1103" t="s">
        <v>1</v>
      </c>
      <c r="I154" s="703" t="s">
        <v>1</v>
      </c>
      <c r="J154" s="681" t="s">
        <v>1</v>
      </c>
      <c r="K154" s="1126" t="s">
        <v>1</v>
      </c>
      <c r="L154" s="1118" t="s">
        <v>1</v>
      </c>
    </row>
    <row r="155" spans="1:12" ht="15.75" x14ac:dyDescent="0.25">
      <c r="A155" s="1099" t="s">
        <v>1</v>
      </c>
      <c r="B155" s="1103" t="s">
        <v>273</v>
      </c>
      <c r="C155" s="703">
        <v>133</v>
      </c>
      <c r="D155" s="681" t="s">
        <v>901</v>
      </c>
      <c r="E155" s="1126" t="s">
        <v>1</v>
      </c>
      <c r="F155" s="1119" t="s">
        <v>1</v>
      </c>
      <c r="G155" s="698" t="s">
        <v>1</v>
      </c>
      <c r="H155" s="1103" t="s">
        <v>1</v>
      </c>
      <c r="I155" s="703" t="s">
        <v>1</v>
      </c>
      <c r="J155" s="687" t="s">
        <v>1</v>
      </c>
      <c r="K155" s="1126" t="s">
        <v>1</v>
      </c>
      <c r="L155" s="697" t="s">
        <v>1</v>
      </c>
    </row>
    <row r="156" spans="1:12" ht="15.75" x14ac:dyDescent="0.25">
      <c r="A156" s="1099" t="s">
        <v>1</v>
      </c>
      <c r="B156" s="1103" t="s">
        <v>1</v>
      </c>
      <c r="C156" s="703" t="s">
        <v>1</v>
      </c>
      <c r="D156" s="687" t="s">
        <v>1</v>
      </c>
      <c r="E156" s="1126" t="s">
        <v>1</v>
      </c>
      <c r="F156" s="697" t="s">
        <v>1</v>
      </c>
      <c r="G156" s="698" t="s">
        <v>1</v>
      </c>
      <c r="H156" s="1103" t="s">
        <v>1</v>
      </c>
      <c r="I156" s="703" t="s">
        <v>1</v>
      </c>
      <c r="J156" s="681" t="s">
        <v>1</v>
      </c>
      <c r="K156" s="1126" t="s">
        <v>1</v>
      </c>
      <c r="L156" s="1119" t="s">
        <v>1</v>
      </c>
    </row>
    <row r="157" spans="1:12" ht="15.75" x14ac:dyDescent="0.25">
      <c r="A157" s="1099" t="s">
        <v>1</v>
      </c>
      <c r="B157" s="1103" t="s">
        <v>1</v>
      </c>
      <c r="C157" s="703" t="s">
        <v>1</v>
      </c>
      <c r="D157" s="681" t="s">
        <v>1</v>
      </c>
      <c r="E157" s="1126" t="s">
        <v>1</v>
      </c>
      <c r="F157" s="697" t="s">
        <v>1</v>
      </c>
      <c r="G157" s="698" t="s">
        <v>1</v>
      </c>
      <c r="H157" s="1103" t="s">
        <v>1</v>
      </c>
      <c r="I157" s="703" t="s">
        <v>1</v>
      </c>
      <c r="J157" s="687" t="s">
        <v>1</v>
      </c>
      <c r="K157" s="1126" t="s">
        <v>1</v>
      </c>
      <c r="L157" s="697" t="s">
        <v>1</v>
      </c>
    </row>
    <row r="158" spans="1:12" ht="15.75" x14ac:dyDescent="0.25">
      <c r="A158" s="1099" t="s">
        <v>1</v>
      </c>
      <c r="B158" s="1103" t="s">
        <v>1</v>
      </c>
      <c r="C158" s="703" t="s">
        <v>1</v>
      </c>
      <c r="D158" s="681" t="s">
        <v>1</v>
      </c>
      <c r="E158" s="1126" t="s">
        <v>1</v>
      </c>
      <c r="F158" s="697" t="s">
        <v>1</v>
      </c>
      <c r="G158" s="698" t="s">
        <v>1</v>
      </c>
      <c r="H158" s="1103" t="s">
        <v>1</v>
      </c>
      <c r="I158" s="703" t="s">
        <v>1</v>
      </c>
      <c r="J158" s="681" t="s">
        <v>1</v>
      </c>
      <c r="K158" s="1126" t="s">
        <v>1</v>
      </c>
      <c r="L158" s="697" t="s">
        <v>1</v>
      </c>
    </row>
    <row r="159" spans="1:12" ht="15.75" x14ac:dyDescent="0.25">
      <c r="A159" s="1099" t="s">
        <v>1</v>
      </c>
      <c r="B159" s="1103" t="s">
        <v>1</v>
      </c>
      <c r="C159" s="703" t="s">
        <v>1</v>
      </c>
      <c r="D159" s="687" t="s">
        <v>1</v>
      </c>
      <c r="E159" s="1126" t="s">
        <v>1</v>
      </c>
      <c r="F159" s="697" t="s">
        <v>1</v>
      </c>
      <c r="G159" s="697" t="s">
        <v>1</v>
      </c>
      <c r="H159" s="703" t="s">
        <v>1</v>
      </c>
      <c r="I159" s="703" t="s">
        <v>1</v>
      </c>
      <c r="J159" s="681" t="s">
        <v>1</v>
      </c>
      <c r="K159" s="1126" t="s">
        <v>1</v>
      </c>
      <c r="L159" s="697" t="s">
        <v>1</v>
      </c>
    </row>
    <row r="160" spans="1:12" ht="16.5" thickBot="1" x14ac:dyDescent="0.3">
      <c r="A160" s="1102" t="s">
        <v>1</v>
      </c>
      <c r="B160" s="1106" t="s">
        <v>1</v>
      </c>
      <c r="C160" s="570" t="s">
        <v>1</v>
      </c>
      <c r="D160" s="605" t="s">
        <v>1</v>
      </c>
      <c r="E160" s="1133" t="s">
        <v>1</v>
      </c>
      <c r="F160" s="1120" t="s">
        <v>1</v>
      </c>
      <c r="G160" s="700" t="s">
        <v>1</v>
      </c>
      <c r="H160" s="1108" t="s">
        <v>1</v>
      </c>
      <c r="I160" s="1108" t="s">
        <v>1</v>
      </c>
      <c r="J160" s="692" t="s">
        <v>1</v>
      </c>
      <c r="K160" s="1139" t="s">
        <v>1</v>
      </c>
      <c r="L160" s="700" t="s">
        <v>1</v>
      </c>
    </row>
    <row r="161" spans="1:12" ht="23.25" customHeight="1" x14ac:dyDescent="0.35">
      <c r="A161" s="1237" t="s">
        <v>712</v>
      </c>
      <c r="B161" s="1238"/>
      <c r="C161" s="1238"/>
      <c r="D161" s="1238"/>
      <c r="E161" s="1238"/>
      <c r="F161" s="1238"/>
      <c r="G161" s="1238"/>
      <c r="H161" s="1238"/>
      <c r="I161" s="1238"/>
      <c r="J161" s="1238"/>
      <c r="K161" s="1238"/>
      <c r="L161" s="1239"/>
    </row>
    <row r="162" spans="1:12" ht="23.25" customHeight="1" thickBot="1" x14ac:dyDescent="0.4">
      <c r="A162" s="1240" t="s">
        <v>713</v>
      </c>
      <c r="B162" s="1241"/>
      <c r="C162" s="1241"/>
      <c r="D162" s="1241"/>
      <c r="E162" s="1241"/>
      <c r="F162" s="1241"/>
      <c r="G162" s="1241"/>
      <c r="H162" s="1241"/>
      <c r="I162" s="1241"/>
      <c r="J162" s="1241"/>
      <c r="K162" s="1241"/>
      <c r="L162" s="1242"/>
    </row>
    <row r="163" spans="1:12" ht="23.25" customHeight="1" thickBot="1" x14ac:dyDescent="0.4">
      <c r="A163" s="1243" t="s">
        <v>714</v>
      </c>
      <c r="B163" s="1244"/>
      <c r="C163" s="1244"/>
      <c r="D163" s="1244"/>
      <c r="E163" s="1244"/>
      <c r="F163" s="1244"/>
      <c r="G163" s="1244"/>
      <c r="H163" s="1244"/>
      <c r="I163" s="1244"/>
      <c r="J163" s="1244"/>
      <c r="K163" s="1244"/>
      <c r="L163" s="1245"/>
    </row>
    <row r="164" spans="1:12" ht="23.25" customHeight="1" x14ac:dyDescent="0.35">
      <c r="A164" s="619" t="s">
        <v>715</v>
      </c>
      <c r="B164" s="620"/>
      <c r="C164" s="620"/>
      <c r="D164" s="621" t="s">
        <v>716</v>
      </c>
      <c r="E164" s="1241" t="s">
        <v>403</v>
      </c>
      <c r="F164" s="1241"/>
      <c r="G164" s="1241"/>
      <c r="H164" s="1241"/>
      <c r="I164" s="1241"/>
      <c r="J164" s="618" t="s">
        <v>758</v>
      </c>
      <c r="K164" s="1241" t="s">
        <v>1</v>
      </c>
      <c r="L164" s="1242"/>
    </row>
    <row r="165" spans="1:12" ht="15.75" thickBot="1" x14ac:dyDescent="0.3">
      <c r="A165" s="560" t="s">
        <v>1</v>
      </c>
      <c r="B165" s="561" t="s">
        <v>1</v>
      </c>
      <c r="C165" s="561" t="s">
        <v>1</v>
      </c>
      <c r="D165" s="562" t="s">
        <v>1</v>
      </c>
      <c r="E165" s="561" t="s">
        <v>1</v>
      </c>
      <c r="F165" s="561" t="s">
        <v>1</v>
      </c>
      <c r="G165" s="561" t="s">
        <v>1</v>
      </c>
      <c r="H165" s="561" t="s">
        <v>1</v>
      </c>
      <c r="I165" s="1227" t="s">
        <v>1</v>
      </c>
      <c r="J165" s="1227"/>
      <c r="K165" s="561" t="s">
        <v>1</v>
      </c>
      <c r="L165" s="563" t="s">
        <v>1</v>
      </c>
    </row>
    <row r="166" spans="1:12" ht="16.5" thickBot="1" x14ac:dyDescent="0.3">
      <c r="A166" s="564" t="s">
        <v>719</v>
      </c>
      <c r="B166" s="565" t="s">
        <v>1</v>
      </c>
      <c r="C166" s="569" t="s">
        <v>1</v>
      </c>
      <c r="D166" s="567" t="s">
        <v>720</v>
      </c>
      <c r="E166" s="699" t="s">
        <v>721</v>
      </c>
      <c r="F166" s="569" t="s">
        <v>722</v>
      </c>
      <c r="G166" s="564" t="s">
        <v>719</v>
      </c>
      <c r="H166" s="570" t="s">
        <v>1</v>
      </c>
      <c r="I166" s="1109" t="s">
        <v>1</v>
      </c>
      <c r="J166" s="572" t="s">
        <v>720</v>
      </c>
      <c r="K166" s="700" t="s">
        <v>721</v>
      </c>
      <c r="L166" s="700" t="s">
        <v>722</v>
      </c>
    </row>
    <row r="167" spans="1:12" ht="15.75" x14ac:dyDescent="0.25">
      <c r="A167" s="1099" t="s">
        <v>1</v>
      </c>
      <c r="B167" s="574" t="s">
        <v>1</v>
      </c>
      <c r="C167" s="702" t="s">
        <v>1</v>
      </c>
      <c r="D167" s="680" t="s">
        <v>1</v>
      </c>
      <c r="E167" s="1125" t="s">
        <v>1</v>
      </c>
      <c r="F167" s="1110" t="s">
        <v>1</v>
      </c>
      <c r="G167" s="697" t="s">
        <v>1</v>
      </c>
      <c r="H167" s="703" t="s">
        <v>1</v>
      </c>
      <c r="I167" s="703" t="s">
        <v>1</v>
      </c>
      <c r="J167" s="682" t="s">
        <v>1</v>
      </c>
      <c r="K167" s="1136" t="s">
        <v>1</v>
      </c>
      <c r="L167" s="1123" t="s">
        <v>1</v>
      </c>
    </row>
    <row r="168" spans="1:12" ht="15.75" x14ac:dyDescent="0.25">
      <c r="A168" s="1099" t="s">
        <v>1</v>
      </c>
      <c r="B168" s="1103" t="s">
        <v>273</v>
      </c>
      <c r="C168" s="703">
        <v>104</v>
      </c>
      <c r="D168" s="681" t="s">
        <v>779</v>
      </c>
      <c r="E168" s="1126" t="s">
        <v>1</v>
      </c>
      <c r="F168" s="1111" t="s">
        <v>1</v>
      </c>
      <c r="G168" s="698"/>
      <c r="H168" s="1103"/>
      <c r="I168" s="703"/>
      <c r="J168" s="681"/>
      <c r="K168" s="1137"/>
      <c r="L168" s="600"/>
    </row>
    <row r="169" spans="1:12" ht="15.75" x14ac:dyDescent="0.25">
      <c r="A169" s="1099" t="s">
        <v>725</v>
      </c>
      <c r="B169" s="1104" t="s">
        <v>1</v>
      </c>
      <c r="C169" s="703" t="s">
        <v>1</v>
      </c>
      <c r="D169" s="681" t="s">
        <v>726</v>
      </c>
      <c r="E169" s="1126" t="s">
        <v>1</v>
      </c>
      <c r="F169" s="1112">
        <v>0.25</v>
      </c>
      <c r="G169" s="698"/>
      <c r="H169" s="1103"/>
      <c r="I169" s="703"/>
      <c r="J169" s="681"/>
      <c r="K169" s="1126"/>
      <c r="L169" s="1121"/>
    </row>
    <row r="170" spans="1:12" ht="15.75" x14ac:dyDescent="0.25">
      <c r="A170" s="1099">
        <v>7</v>
      </c>
      <c r="B170" s="1103" t="s">
        <v>1</v>
      </c>
      <c r="C170" s="703" t="s">
        <v>1</v>
      </c>
      <c r="D170" s="685" t="s">
        <v>728</v>
      </c>
      <c r="E170" s="1126" t="s">
        <v>1</v>
      </c>
      <c r="F170" s="1114">
        <v>0.27083333333333331</v>
      </c>
      <c r="G170" s="698"/>
      <c r="H170" s="1103"/>
      <c r="I170" s="703"/>
      <c r="J170" s="688"/>
      <c r="K170" s="1126"/>
      <c r="L170" s="1116"/>
    </row>
    <row r="171" spans="1:12" ht="15.75" x14ac:dyDescent="0.25">
      <c r="A171" s="1099" t="s">
        <v>1</v>
      </c>
      <c r="B171" s="1103" t="s">
        <v>1</v>
      </c>
      <c r="C171" s="703" t="s">
        <v>1</v>
      </c>
      <c r="D171" s="687" t="s">
        <v>1</v>
      </c>
      <c r="E171" s="1126" t="s">
        <v>1</v>
      </c>
      <c r="F171" s="697" t="s">
        <v>1</v>
      </c>
      <c r="G171" s="698"/>
      <c r="H171" s="1103"/>
      <c r="I171" s="703"/>
      <c r="J171" s="686"/>
      <c r="K171" s="1126"/>
      <c r="L171" s="1118"/>
    </row>
    <row r="172" spans="1:12" ht="15.75" x14ac:dyDescent="0.25">
      <c r="A172" s="1099">
        <v>7</v>
      </c>
      <c r="B172" s="1103" t="s">
        <v>1</v>
      </c>
      <c r="C172" s="703" t="s">
        <v>1</v>
      </c>
      <c r="D172" s="688" t="s">
        <v>50</v>
      </c>
      <c r="E172" s="1126" t="s">
        <v>1</v>
      </c>
      <c r="F172" s="1116">
        <v>0.3125</v>
      </c>
      <c r="G172" s="698"/>
      <c r="H172" s="1103"/>
      <c r="I172" s="703"/>
      <c r="J172" s="685"/>
      <c r="K172" s="1127"/>
      <c r="L172" s="697"/>
    </row>
    <row r="173" spans="1:12" ht="15.75" x14ac:dyDescent="0.25">
      <c r="A173" s="1099" t="s">
        <v>1</v>
      </c>
      <c r="B173" s="1103" t="s">
        <v>1</v>
      </c>
      <c r="C173" s="703" t="s">
        <v>1</v>
      </c>
      <c r="D173" s="681" t="s">
        <v>1</v>
      </c>
      <c r="E173" s="1126" t="s">
        <v>1</v>
      </c>
      <c r="F173" s="697" t="s">
        <v>1</v>
      </c>
      <c r="G173" s="698"/>
      <c r="H173" s="1103"/>
      <c r="I173" s="703"/>
      <c r="J173" s="681"/>
      <c r="K173" s="1126"/>
      <c r="L173" s="1115"/>
    </row>
    <row r="174" spans="1:12" ht="15.75" x14ac:dyDescent="0.25">
      <c r="A174" s="1099" t="s">
        <v>1</v>
      </c>
      <c r="B174" s="1103" t="s">
        <v>1</v>
      </c>
      <c r="C174" s="703" t="s">
        <v>1</v>
      </c>
      <c r="D174" s="685" t="s">
        <v>728</v>
      </c>
      <c r="E174" s="1127">
        <v>0.3576388888888889</v>
      </c>
      <c r="F174" s="1115" t="s">
        <v>1</v>
      </c>
      <c r="G174" s="698"/>
      <c r="H174" s="1103"/>
      <c r="I174" s="703"/>
      <c r="J174" s="681"/>
      <c r="K174" s="1126"/>
      <c r="L174" s="697"/>
    </row>
    <row r="175" spans="1:12" ht="15.75" x14ac:dyDescent="0.25">
      <c r="A175" s="1099" t="s">
        <v>1</v>
      </c>
      <c r="B175" s="1103" t="s">
        <v>273</v>
      </c>
      <c r="C175" s="703">
        <v>104</v>
      </c>
      <c r="D175" s="681" t="s">
        <v>906</v>
      </c>
      <c r="E175" s="1126" t="s">
        <v>1</v>
      </c>
      <c r="F175" s="697" t="s">
        <v>1</v>
      </c>
      <c r="G175" s="698"/>
      <c r="H175" s="1103"/>
      <c r="I175" s="703"/>
      <c r="J175" s="681"/>
      <c r="K175" s="1126"/>
      <c r="L175" s="697"/>
    </row>
    <row r="176" spans="1:12" ht="15.75" x14ac:dyDescent="0.25">
      <c r="A176" s="1099" t="s">
        <v>1</v>
      </c>
      <c r="B176" s="1103" t="s">
        <v>1</v>
      </c>
      <c r="C176" s="703" t="s">
        <v>1</v>
      </c>
      <c r="D176" s="687" t="s">
        <v>1</v>
      </c>
      <c r="E176" s="1126" t="s">
        <v>1</v>
      </c>
      <c r="F176" s="697" t="s">
        <v>1</v>
      </c>
      <c r="G176" s="698"/>
      <c r="H176" s="1103"/>
      <c r="I176" s="703"/>
      <c r="J176" s="685"/>
      <c r="K176" s="1126"/>
      <c r="L176" s="1121"/>
    </row>
    <row r="177" spans="1:12" ht="15.75" x14ac:dyDescent="0.25">
      <c r="A177" s="1099" t="s">
        <v>1</v>
      </c>
      <c r="B177" s="1103" t="s">
        <v>273</v>
      </c>
      <c r="C177" s="703">
        <v>114</v>
      </c>
      <c r="D177" s="681" t="s">
        <v>907</v>
      </c>
      <c r="E177" s="1126" t="s">
        <v>1</v>
      </c>
      <c r="F177" s="697" t="s">
        <v>1</v>
      </c>
      <c r="G177" s="698"/>
      <c r="H177" s="1103"/>
      <c r="I177" s="703"/>
      <c r="J177" s="685"/>
      <c r="K177" s="1126"/>
      <c r="L177" s="1115"/>
    </row>
    <row r="178" spans="1:12" ht="15.75" x14ac:dyDescent="0.25">
      <c r="A178" s="1099">
        <v>7</v>
      </c>
      <c r="B178" s="1103" t="s">
        <v>1</v>
      </c>
      <c r="C178" s="703" t="s">
        <v>1</v>
      </c>
      <c r="D178" s="685" t="s">
        <v>728</v>
      </c>
      <c r="E178" s="1126" t="s">
        <v>1</v>
      </c>
      <c r="F178" s="1114">
        <v>0.36458333333333331</v>
      </c>
      <c r="G178" s="698"/>
      <c r="H178" s="1103"/>
      <c r="I178" s="703"/>
      <c r="J178" s="686"/>
      <c r="K178" s="1126"/>
      <c r="L178" s="697"/>
    </row>
    <row r="179" spans="1:12" ht="15.75" x14ac:dyDescent="0.25">
      <c r="A179" s="1099" t="s">
        <v>1</v>
      </c>
      <c r="B179" s="1103" t="s">
        <v>1</v>
      </c>
      <c r="C179" s="703" t="s">
        <v>1</v>
      </c>
      <c r="D179" s="681" t="s">
        <v>1</v>
      </c>
      <c r="E179" s="1126" t="s">
        <v>1</v>
      </c>
      <c r="F179" s="697" t="s">
        <v>1</v>
      </c>
      <c r="G179" s="698"/>
      <c r="H179" s="1103"/>
      <c r="I179" s="703"/>
      <c r="J179" s="686"/>
      <c r="K179" s="1126"/>
      <c r="L179" s="1118"/>
    </row>
    <row r="180" spans="1:12" ht="15.75" x14ac:dyDescent="0.25">
      <c r="A180" s="1099">
        <v>7</v>
      </c>
      <c r="B180" s="1103" t="s">
        <v>1</v>
      </c>
      <c r="C180" s="703" t="s">
        <v>1</v>
      </c>
      <c r="D180" s="688" t="s">
        <v>50</v>
      </c>
      <c r="E180" s="1126" t="s">
        <v>1</v>
      </c>
      <c r="F180" s="1116">
        <v>0.41666666666666669</v>
      </c>
      <c r="G180" s="698"/>
      <c r="H180" s="1103"/>
      <c r="I180" s="703"/>
      <c r="J180" s="685"/>
      <c r="K180" s="1127"/>
      <c r="L180" s="697"/>
    </row>
    <row r="181" spans="1:12" ht="15.75" x14ac:dyDescent="0.25">
      <c r="A181" s="1099" t="s">
        <v>1</v>
      </c>
      <c r="B181" s="1103" t="s">
        <v>1</v>
      </c>
      <c r="C181" s="703" t="s">
        <v>1</v>
      </c>
      <c r="D181" s="687" t="s">
        <v>1</v>
      </c>
      <c r="E181" s="1126" t="s">
        <v>1</v>
      </c>
      <c r="F181" s="697" t="s">
        <v>1</v>
      </c>
      <c r="G181" s="698"/>
      <c r="H181" s="1103"/>
      <c r="I181" s="703"/>
      <c r="J181" s="681"/>
      <c r="K181" s="1127"/>
      <c r="L181" s="1115"/>
    </row>
    <row r="182" spans="1:12" ht="15.75" x14ac:dyDescent="0.25">
      <c r="A182" s="1099" t="s">
        <v>1</v>
      </c>
      <c r="B182" s="1103" t="s">
        <v>1</v>
      </c>
      <c r="C182" s="703" t="s">
        <v>1</v>
      </c>
      <c r="D182" s="685" t="s">
        <v>728</v>
      </c>
      <c r="E182" s="1127">
        <v>0.47916666666666669</v>
      </c>
      <c r="F182" s="1115" t="s">
        <v>1</v>
      </c>
      <c r="G182" s="698"/>
      <c r="H182" s="1103"/>
      <c r="I182" s="703"/>
      <c r="J182" s="681"/>
      <c r="K182" s="1126"/>
      <c r="L182" s="697"/>
    </row>
    <row r="183" spans="1:12" ht="15.75" x14ac:dyDescent="0.25">
      <c r="A183" s="1099" t="s">
        <v>1</v>
      </c>
      <c r="B183" s="1103" t="s">
        <v>273</v>
      </c>
      <c r="C183" s="703">
        <v>114</v>
      </c>
      <c r="D183" s="681" t="s">
        <v>1284</v>
      </c>
      <c r="E183" s="1126" t="s">
        <v>1</v>
      </c>
      <c r="F183" s="697" t="s">
        <v>1</v>
      </c>
      <c r="G183" s="698" t="s">
        <v>1</v>
      </c>
      <c r="H183" s="1103" t="s">
        <v>1</v>
      </c>
      <c r="I183" s="703" t="s">
        <v>1</v>
      </c>
      <c r="J183" s="686" t="s">
        <v>1</v>
      </c>
      <c r="K183" s="1126" t="s">
        <v>1</v>
      </c>
      <c r="L183" s="1118" t="s">
        <v>1</v>
      </c>
    </row>
    <row r="184" spans="1:12" ht="15.75" x14ac:dyDescent="0.25">
      <c r="A184" s="1099" t="s">
        <v>1</v>
      </c>
      <c r="B184" s="1103" t="s">
        <v>1</v>
      </c>
      <c r="C184" s="703" t="s">
        <v>1</v>
      </c>
      <c r="D184" s="687" t="s">
        <v>1</v>
      </c>
      <c r="E184" s="1126" t="s">
        <v>1</v>
      </c>
      <c r="F184" s="697" t="s">
        <v>1</v>
      </c>
      <c r="G184" s="698" t="s">
        <v>1</v>
      </c>
      <c r="H184" s="1103" t="s">
        <v>1</v>
      </c>
      <c r="I184" s="703" t="s">
        <v>1</v>
      </c>
      <c r="J184" s="690" t="s">
        <v>1</v>
      </c>
      <c r="K184" s="1126" t="s">
        <v>1</v>
      </c>
      <c r="L184" s="1119" t="s">
        <v>1</v>
      </c>
    </row>
    <row r="185" spans="1:12" ht="15.75" x14ac:dyDescent="0.25">
      <c r="A185" s="1099" t="s">
        <v>1</v>
      </c>
      <c r="B185" s="1103" t="s">
        <v>881</v>
      </c>
      <c r="C185" s="703">
        <v>107</v>
      </c>
      <c r="D185" s="681" t="s">
        <v>908</v>
      </c>
      <c r="E185" s="1126" t="s">
        <v>1</v>
      </c>
      <c r="F185" s="697" t="s">
        <v>1</v>
      </c>
      <c r="G185" s="698" t="s">
        <v>1</v>
      </c>
      <c r="H185" s="1103" t="s">
        <v>1</v>
      </c>
      <c r="I185" s="703" t="s">
        <v>1</v>
      </c>
      <c r="J185" s="681" t="s">
        <v>1</v>
      </c>
      <c r="K185" s="1126" t="s">
        <v>1</v>
      </c>
      <c r="L185" s="697" t="s">
        <v>1</v>
      </c>
    </row>
    <row r="186" spans="1:12" ht="15.75" x14ac:dyDescent="0.25">
      <c r="A186" s="1099">
        <v>7</v>
      </c>
      <c r="B186" s="1103" t="s">
        <v>1</v>
      </c>
      <c r="C186" s="703" t="s">
        <v>1</v>
      </c>
      <c r="D186" s="685" t="s">
        <v>728</v>
      </c>
      <c r="E186" s="1126" t="s">
        <v>1</v>
      </c>
      <c r="F186" s="1114">
        <v>0.47916666666666669</v>
      </c>
      <c r="G186" s="698" t="s">
        <v>1</v>
      </c>
      <c r="H186" s="1103" t="s">
        <v>1</v>
      </c>
      <c r="I186" s="703" t="s">
        <v>1</v>
      </c>
      <c r="J186" s="681" t="s">
        <v>1</v>
      </c>
      <c r="K186" s="1126" t="s">
        <v>1</v>
      </c>
      <c r="L186" s="1118" t="s">
        <v>1</v>
      </c>
    </row>
    <row r="187" spans="1:12" ht="15.75" x14ac:dyDescent="0.25">
      <c r="A187" s="1099" t="s">
        <v>1</v>
      </c>
      <c r="B187" s="1103" t="s">
        <v>1</v>
      </c>
      <c r="C187" s="703" t="s">
        <v>1</v>
      </c>
      <c r="D187" s="681" t="s">
        <v>1</v>
      </c>
      <c r="E187" s="1126" t="s">
        <v>1</v>
      </c>
      <c r="F187" s="697" t="s">
        <v>1</v>
      </c>
      <c r="G187" s="698" t="s">
        <v>1</v>
      </c>
      <c r="H187" s="1103" t="s">
        <v>1</v>
      </c>
      <c r="I187" s="703" t="s">
        <v>1</v>
      </c>
      <c r="J187" s="690" t="s">
        <v>1</v>
      </c>
      <c r="K187" s="1126" t="s">
        <v>1</v>
      </c>
      <c r="L187" s="697" t="s">
        <v>1</v>
      </c>
    </row>
    <row r="188" spans="1:12" ht="15.75" x14ac:dyDescent="0.25">
      <c r="A188" s="1099">
        <v>7</v>
      </c>
      <c r="B188" s="1103" t="s">
        <v>1</v>
      </c>
      <c r="C188" s="703" t="s">
        <v>1</v>
      </c>
      <c r="D188" s="688" t="s">
        <v>50</v>
      </c>
      <c r="E188" s="1126" t="s">
        <v>1</v>
      </c>
      <c r="F188" s="1116">
        <v>0.54166666666666663</v>
      </c>
      <c r="G188" s="698" t="s">
        <v>1</v>
      </c>
      <c r="H188" s="1103" t="s">
        <v>1</v>
      </c>
      <c r="I188" s="703" t="s">
        <v>1</v>
      </c>
      <c r="J188" s="690" t="s">
        <v>1</v>
      </c>
      <c r="K188" s="1126" t="s">
        <v>1</v>
      </c>
      <c r="L188" s="1119" t="s">
        <v>1</v>
      </c>
    </row>
    <row r="189" spans="1:12" ht="15.75" x14ac:dyDescent="0.25">
      <c r="A189" s="1099" t="s">
        <v>1</v>
      </c>
      <c r="B189" s="1103" t="s">
        <v>1</v>
      </c>
      <c r="C189" s="703" t="s">
        <v>1</v>
      </c>
      <c r="D189" s="687" t="s">
        <v>1</v>
      </c>
      <c r="E189" s="1126" t="s">
        <v>1</v>
      </c>
      <c r="F189" s="697" t="s">
        <v>1</v>
      </c>
      <c r="G189" s="698" t="s">
        <v>1</v>
      </c>
      <c r="H189" s="1103" t="s">
        <v>1</v>
      </c>
      <c r="I189" s="703" t="s">
        <v>1</v>
      </c>
      <c r="J189" s="681" t="s">
        <v>1</v>
      </c>
      <c r="K189" s="1126" t="s">
        <v>1</v>
      </c>
      <c r="L189" s="697" t="s">
        <v>1</v>
      </c>
    </row>
    <row r="190" spans="1:12" ht="15.75" x14ac:dyDescent="0.25">
      <c r="A190" s="1099" t="s">
        <v>1</v>
      </c>
      <c r="B190" s="1103" t="s">
        <v>1</v>
      </c>
      <c r="C190" s="703" t="s">
        <v>1</v>
      </c>
      <c r="D190" s="685" t="s">
        <v>728</v>
      </c>
      <c r="E190" s="1127">
        <v>0.60416666666666663</v>
      </c>
      <c r="F190" s="1115" t="s">
        <v>1</v>
      </c>
      <c r="G190" s="698" t="s">
        <v>1</v>
      </c>
      <c r="H190" s="1103" t="s">
        <v>1</v>
      </c>
      <c r="I190" s="703" t="s">
        <v>1</v>
      </c>
      <c r="J190" s="686" t="s">
        <v>1</v>
      </c>
      <c r="K190" s="1126" t="s">
        <v>1</v>
      </c>
      <c r="L190" s="1118" t="s">
        <v>1</v>
      </c>
    </row>
    <row r="191" spans="1:12" ht="15.75" x14ac:dyDescent="0.25">
      <c r="A191" s="1099" t="s">
        <v>1</v>
      </c>
      <c r="B191" s="1103" t="s">
        <v>276</v>
      </c>
      <c r="C191" s="703" t="s">
        <v>273</v>
      </c>
      <c r="D191" s="681" t="s">
        <v>1</v>
      </c>
      <c r="E191" s="1126" t="s">
        <v>1</v>
      </c>
      <c r="F191" s="697" t="s">
        <v>1</v>
      </c>
      <c r="G191" s="698" t="s">
        <v>1</v>
      </c>
      <c r="H191" s="1103" t="s">
        <v>1</v>
      </c>
      <c r="I191" s="703" t="s">
        <v>1</v>
      </c>
      <c r="J191" s="687" t="s">
        <v>1</v>
      </c>
      <c r="K191" s="1126" t="s">
        <v>1</v>
      </c>
      <c r="L191" s="697" t="s">
        <v>1</v>
      </c>
    </row>
    <row r="192" spans="1:12" ht="15.75" x14ac:dyDescent="0.25">
      <c r="A192" s="1099" t="s">
        <v>1</v>
      </c>
      <c r="B192" s="1103"/>
      <c r="C192" s="703"/>
      <c r="D192" s="685"/>
      <c r="E192" s="1127"/>
      <c r="F192" s="1115" t="s">
        <v>1</v>
      </c>
      <c r="G192" s="698" t="s">
        <v>1</v>
      </c>
      <c r="H192" s="1103" t="s">
        <v>1</v>
      </c>
      <c r="I192" s="703" t="s">
        <v>1</v>
      </c>
      <c r="J192" s="681" t="s">
        <v>1</v>
      </c>
      <c r="K192" s="1126" t="s">
        <v>1</v>
      </c>
      <c r="L192" s="1119" t="s">
        <v>1</v>
      </c>
    </row>
    <row r="193" spans="1:12" ht="15.75" x14ac:dyDescent="0.25">
      <c r="A193" s="1099" t="s">
        <v>1</v>
      </c>
      <c r="B193" s="1103" t="s">
        <v>881</v>
      </c>
      <c r="C193" s="703">
        <v>151</v>
      </c>
      <c r="D193" s="681" t="s">
        <v>909</v>
      </c>
      <c r="E193" s="1126" t="s">
        <v>1</v>
      </c>
      <c r="F193" s="697" t="s">
        <v>1</v>
      </c>
      <c r="G193" s="698" t="s">
        <v>1</v>
      </c>
      <c r="H193" s="1103" t="s">
        <v>1</v>
      </c>
      <c r="I193" s="703" t="s">
        <v>1</v>
      </c>
      <c r="J193" s="681" t="s">
        <v>1</v>
      </c>
      <c r="K193" s="1126" t="s">
        <v>1</v>
      </c>
      <c r="L193" s="697" t="s">
        <v>1</v>
      </c>
    </row>
    <row r="194" spans="1:12" ht="15.75" x14ac:dyDescent="0.25">
      <c r="A194" s="1099">
        <v>7</v>
      </c>
      <c r="B194" s="1103" t="s">
        <v>1</v>
      </c>
      <c r="C194" s="703" t="s">
        <v>1</v>
      </c>
      <c r="D194" s="685" t="s">
        <v>728</v>
      </c>
      <c r="E194" s="1126" t="s">
        <v>1</v>
      </c>
      <c r="F194" s="1114">
        <v>0.60416666666666663</v>
      </c>
      <c r="G194" s="698" t="s">
        <v>1</v>
      </c>
      <c r="H194" s="1103" t="s">
        <v>1</v>
      </c>
      <c r="I194" s="703" t="s">
        <v>1</v>
      </c>
      <c r="J194" s="681" t="s">
        <v>1</v>
      </c>
      <c r="K194" s="1126" t="s">
        <v>1</v>
      </c>
      <c r="L194" s="1118" t="s">
        <v>1</v>
      </c>
    </row>
    <row r="195" spans="1:12" ht="15.75" x14ac:dyDescent="0.25">
      <c r="A195" s="1099" t="s">
        <v>1</v>
      </c>
      <c r="B195" s="1103" t="s">
        <v>1</v>
      </c>
      <c r="C195" s="703" t="s">
        <v>1</v>
      </c>
      <c r="D195" s="687" t="s">
        <v>1</v>
      </c>
      <c r="E195" s="1126" t="s">
        <v>1</v>
      </c>
      <c r="F195" s="697" t="s">
        <v>1</v>
      </c>
      <c r="G195" s="698" t="s">
        <v>1</v>
      </c>
      <c r="H195" s="1103" t="s">
        <v>1</v>
      </c>
      <c r="I195" s="703" t="s">
        <v>1</v>
      </c>
      <c r="J195" s="687" t="s">
        <v>1</v>
      </c>
      <c r="K195" s="1126" t="s">
        <v>1</v>
      </c>
      <c r="L195" s="697" t="s">
        <v>1</v>
      </c>
    </row>
    <row r="196" spans="1:12" ht="15.75" x14ac:dyDescent="0.25">
      <c r="A196" s="1099" t="s">
        <v>725</v>
      </c>
      <c r="B196" s="1103" t="s">
        <v>1</v>
      </c>
      <c r="C196" s="703" t="s">
        <v>1</v>
      </c>
      <c r="D196" s="686" t="s">
        <v>48</v>
      </c>
      <c r="E196" s="1127">
        <v>0.67013888888888884</v>
      </c>
      <c r="F196" s="697" t="s">
        <v>1</v>
      </c>
      <c r="G196" s="698" t="s">
        <v>1</v>
      </c>
      <c r="H196" s="1103" t="s">
        <v>1</v>
      </c>
      <c r="I196" s="703" t="s">
        <v>1</v>
      </c>
      <c r="J196" s="681" t="s">
        <v>1</v>
      </c>
      <c r="K196" s="1126" t="s">
        <v>1</v>
      </c>
      <c r="L196" s="1119" t="s">
        <v>1</v>
      </c>
    </row>
    <row r="197" spans="1:12" ht="15.75" x14ac:dyDescent="0.25">
      <c r="A197" s="1099" t="s">
        <v>1</v>
      </c>
      <c r="B197" s="1103" t="s">
        <v>1</v>
      </c>
      <c r="C197" s="703" t="s">
        <v>1</v>
      </c>
      <c r="D197" s="681" t="s">
        <v>733</v>
      </c>
      <c r="E197" s="1127">
        <v>0.69097222222222221</v>
      </c>
      <c r="F197" s="697" t="s">
        <v>1</v>
      </c>
      <c r="G197" s="698" t="s">
        <v>1</v>
      </c>
      <c r="H197" s="1103" t="s">
        <v>1</v>
      </c>
      <c r="I197" s="703" t="s">
        <v>1</v>
      </c>
      <c r="J197" s="687" t="s">
        <v>1</v>
      </c>
      <c r="K197" s="1126" t="s">
        <v>1</v>
      </c>
      <c r="L197" s="697" t="s">
        <v>1</v>
      </c>
    </row>
    <row r="198" spans="1:12" ht="15.75" x14ac:dyDescent="0.25">
      <c r="A198" s="1099"/>
      <c r="B198" s="1103" t="s">
        <v>892</v>
      </c>
      <c r="C198" s="703" t="s">
        <v>273</v>
      </c>
      <c r="D198" s="681" t="s">
        <v>1</v>
      </c>
      <c r="E198" s="1126" t="s">
        <v>1</v>
      </c>
      <c r="F198" s="697" t="s">
        <v>1</v>
      </c>
      <c r="G198" s="698" t="s">
        <v>1</v>
      </c>
      <c r="H198" s="1103" t="s">
        <v>1</v>
      </c>
      <c r="I198" s="703" t="s">
        <v>1</v>
      </c>
      <c r="J198" s="681" t="s">
        <v>1</v>
      </c>
      <c r="K198" s="1126" t="s">
        <v>1</v>
      </c>
      <c r="L198" s="697" t="s">
        <v>1</v>
      </c>
    </row>
    <row r="199" spans="1:12" ht="15.75" x14ac:dyDescent="0.25">
      <c r="A199" s="1099"/>
      <c r="B199" s="1103"/>
      <c r="C199" s="703"/>
      <c r="D199" s="687"/>
      <c r="E199" s="1126"/>
      <c r="F199" s="697" t="s">
        <v>1</v>
      </c>
      <c r="G199" s="697" t="s">
        <v>1</v>
      </c>
      <c r="H199" s="703" t="s">
        <v>1</v>
      </c>
      <c r="I199" s="703" t="s">
        <v>1</v>
      </c>
      <c r="J199" s="681" t="s">
        <v>1</v>
      </c>
      <c r="K199" s="1126" t="s">
        <v>1</v>
      </c>
      <c r="L199" s="697" t="s">
        <v>1</v>
      </c>
    </row>
    <row r="200" spans="1:12" ht="16.5" thickBot="1" x14ac:dyDescent="0.3">
      <c r="A200" s="1102"/>
      <c r="B200" s="1106"/>
      <c r="C200" s="570"/>
      <c r="D200" s="681"/>
      <c r="E200" s="1134"/>
      <c r="F200" s="1120" t="s">
        <v>1</v>
      </c>
      <c r="G200" s="700" t="s">
        <v>1</v>
      </c>
      <c r="H200" s="1108" t="s">
        <v>1</v>
      </c>
      <c r="I200" s="1108" t="s">
        <v>1</v>
      </c>
      <c r="J200" s="692" t="s">
        <v>1</v>
      </c>
      <c r="K200" s="1139" t="s">
        <v>1</v>
      </c>
      <c r="L200" s="700" t="s">
        <v>1</v>
      </c>
    </row>
    <row r="201" spans="1:12" ht="23.25" customHeight="1" x14ac:dyDescent="0.35">
      <c r="A201" s="1237" t="s">
        <v>712</v>
      </c>
      <c r="B201" s="1238"/>
      <c r="C201" s="1238"/>
      <c r="D201" s="1238"/>
      <c r="E201" s="1238"/>
      <c r="F201" s="1238"/>
      <c r="G201" s="1238"/>
      <c r="H201" s="1238"/>
      <c r="I201" s="1238"/>
      <c r="J201" s="1238"/>
      <c r="K201" s="1238"/>
      <c r="L201" s="1239"/>
    </row>
    <row r="202" spans="1:12" ht="23.25" customHeight="1" thickBot="1" x14ac:dyDescent="0.4">
      <c r="A202" s="1240" t="s">
        <v>713</v>
      </c>
      <c r="B202" s="1241"/>
      <c r="C202" s="1241"/>
      <c r="D202" s="1241"/>
      <c r="E202" s="1241"/>
      <c r="F202" s="1241"/>
      <c r="G202" s="1241"/>
      <c r="H202" s="1241"/>
      <c r="I202" s="1241"/>
      <c r="J202" s="1241"/>
      <c r="K202" s="1241"/>
      <c r="L202" s="1242"/>
    </row>
    <row r="203" spans="1:12" ht="23.25" customHeight="1" thickBot="1" x14ac:dyDescent="0.4">
      <c r="A203" s="1243" t="s">
        <v>714</v>
      </c>
      <c r="B203" s="1244"/>
      <c r="C203" s="1244"/>
      <c r="D203" s="1244"/>
      <c r="E203" s="1244"/>
      <c r="F203" s="1244"/>
      <c r="G203" s="1244"/>
      <c r="H203" s="1244"/>
      <c r="I203" s="1244"/>
      <c r="J203" s="1244"/>
      <c r="K203" s="1244"/>
      <c r="L203" s="1245"/>
    </row>
    <row r="204" spans="1:12" ht="23.25" customHeight="1" x14ac:dyDescent="0.35">
      <c r="A204" s="619" t="s">
        <v>715</v>
      </c>
      <c r="B204" s="620"/>
      <c r="C204" s="620"/>
      <c r="D204" s="621" t="s">
        <v>716</v>
      </c>
      <c r="E204" s="1241" t="s">
        <v>403</v>
      </c>
      <c r="F204" s="1241"/>
      <c r="G204" s="1241"/>
      <c r="H204" s="1241"/>
      <c r="I204" s="1241"/>
      <c r="J204" s="618" t="s">
        <v>765</v>
      </c>
      <c r="K204" s="1241" t="s">
        <v>1</v>
      </c>
      <c r="L204" s="1242"/>
    </row>
    <row r="205" spans="1:12" ht="15.75" thickBot="1" x14ac:dyDescent="0.3">
      <c r="A205" s="560" t="s">
        <v>1</v>
      </c>
      <c r="B205" s="561" t="s">
        <v>1</v>
      </c>
      <c r="C205" s="561" t="s">
        <v>1</v>
      </c>
      <c r="D205" s="562" t="s">
        <v>1</v>
      </c>
      <c r="E205" s="561" t="s">
        <v>1</v>
      </c>
      <c r="F205" s="561" t="s">
        <v>1</v>
      </c>
      <c r="G205" s="561" t="s">
        <v>1</v>
      </c>
      <c r="H205" s="561" t="s">
        <v>1</v>
      </c>
      <c r="I205" s="1227" t="s">
        <v>1</v>
      </c>
      <c r="J205" s="1227"/>
      <c r="K205" s="561" t="s">
        <v>1</v>
      </c>
      <c r="L205" s="563" t="s">
        <v>1</v>
      </c>
    </row>
    <row r="206" spans="1:12" ht="15.75" x14ac:dyDescent="0.25">
      <c r="A206" s="564" t="s">
        <v>719</v>
      </c>
      <c r="B206" s="565" t="s">
        <v>1</v>
      </c>
      <c r="C206" s="569" t="s">
        <v>1</v>
      </c>
      <c r="D206" s="567" t="s">
        <v>720</v>
      </c>
      <c r="E206" s="699" t="s">
        <v>721</v>
      </c>
      <c r="F206" s="569" t="s">
        <v>722</v>
      </c>
      <c r="G206" s="564" t="s">
        <v>719</v>
      </c>
      <c r="H206" s="570" t="s">
        <v>1</v>
      </c>
      <c r="I206" s="1109" t="s">
        <v>1</v>
      </c>
      <c r="J206" s="572" t="s">
        <v>720</v>
      </c>
      <c r="K206" s="700" t="s">
        <v>721</v>
      </c>
      <c r="L206" s="700" t="s">
        <v>722</v>
      </c>
    </row>
    <row r="207" spans="1:12" ht="15.75" x14ac:dyDescent="0.25">
      <c r="A207" s="1099" t="s">
        <v>1</v>
      </c>
      <c r="B207" s="574" t="s">
        <v>1</v>
      </c>
      <c r="C207" s="702" t="s">
        <v>1</v>
      </c>
      <c r="D207" s="680" t="s">
        <v>1</v>
      </c>
      <c r="E207" s="1125" t="s">
        <v>1</v>
      </c>
      <c r="F207" s="1110" t="s">
        <v>1</v>
      </c>
      <c r="G207" s="697" t="s">
        <v>1</v>
      </c>
      <c r="H207" s="703" t="s">
        <v>1</v>
      </c>
      <c r="I207" s="703" t="s">
        <v>1</v>
      </c>
      <c r="J207" s="682" t="s">
        <v>1</v>
      </c>
      <c r="K207" s="1136" t="s">
        <v>1</v>
      </c>
      <c r="L207" s="1123" t="s">
        <v>1</v>
      </c>
    </row>
    <row r="208" spans="1:12" ht="15.75" x14ac:dyDescent="0.25">
      <c r="A208" s="1099" t="s">
        <v>1</v>
      </c>
      <c r="B208" s="1103" t="s">
        <v>881</v>
      </c>
      <c r="C208" s="703">
        <v>106</v>
      </c>
      <c r="D208" s="681" t="s">
        <v>790</v>
      </c>
      <c r="E208" s="1126" t="s">
        <v>1</v>
      </c>
      <c r="F208" s="1111" t="s">
        <v>1</v>
      </c>
      <c r="G208" s="698" t="s">
        <v>1</v>
      </c>
      <c r="H208" s="1103" t="s">
        <v>881</v>
      </c>
      <c r="I208" s="703">
        <v>128</v>
      </c>
      <c r="J208" s="681" t="s">
        <v>910</v>
      </c>
      <c r="K208" s="1137" t="s">
        <v>1</v>
      </c>
      <c r="L208" s="600" t="s">
        <v>1</v>
      </c>
    </row>
    <row r="209" spans="1:12" ht="15.75" x14ac:dyDescent="0.25">
      <c r="A209" s="1099" t="s">
        <v>725</v>
      </c>
      <c r="B209" s="1104" t="s">
        <v>1</v>
      </c>
      <c r="C209" s="703" t="s">
        <v>1</v>
      </c>
      <c r="D209" s="681" t="s">
        <v>726</v>
      </c>
      <c r="E209" s="1126" t="s">
        <v>1</v>
      </c>
      <c r="F209" s="1112">
        <v>0.26041666666666669</v>
      </c>
      <c r="G209" s="698" t="s">
        <v>727</v>
      </c>
      <c r="H209" s="1103" t="s">
        <v>1</v>
      </c>
      <c r="I209" s="703" t="s">
        <v>1</v>
      </c>
      <c r="J209" s="685" t="s">
        <v>728</v>
      </c>
      <c r="K209" s="1126" t="s">
        <v>1</v>
      </c>
      <c r="L209" s="1114">
        <v>0.66666666666666663</v>
      </c>
    </row>
    <row r="210" spans="1:12" ht="15.75" x14ac:dyDescent="0.25">
      <c r="A210" s="1099" t="s">
        <v>727</v>
      </c>
      <c r="B210" s="1103" t="s">
        <v>1</v>
      </c>
      <c r="C210" s="703" t="s">
        <v>1</v>
      </c>
      <c r="D210" s="685" t="s">
        <v>728</v>
      </c>
      <c r="E210" s="1126" t="s">
        <v>1</v>
      </c>
      <c r="F210" s="1114">
        <v>0.28125</v>
      </c>
      <c r="G210" s="698" t="s">
        <v>1</v>
      </c>
      <c r="H210" s="1103" t="s">
        <v>1</v>
      </c>
      <c r="I210" s="703" t="s">
        <v>1</v>
      </c>
      <c r="J210" s="681" t="s">
        <v>1</v>
      </c>
      <c r="K210" s="1126" t="s">
        <v>1</v>
      </c>
      <c r="L210" s="697" t="s">
        <v>1</v>
      </c>
    </row>
    <row r="211" spans="1:12" ht="15.75" x14ac:dyDescent="0.25">
      <c r="A211" s="1099" t="s">
        <v>1</v>
      </c>
      <c r="B211" s="1103" t="s">
        <v>1</v>
      </c>
      <c r="C211" s="703" t="s">
        <v>1</v>
      </c>
      <c r="D211" s="687" t="s">
        <v>1</v>
      </c>
      <c r="E211" s="1126" t="s">
        <v>1</v>
      </c>
      <c r="F211" s="697" t="s">
        <v>1</v>
      </c>
      <c r="G211" s="698" t="s">
        <v>727</v>
      </c>
      <c r="H211" s="1103" t="s">
        <v>1</v>
      </c>
      <c r="I211" s="703" t="s">
        <v>1</v>
      </c>
      <c r="J211" s="686" t="s">
        <v>48</v>
      </c>
      <c r="K211" s="1126" t="s">
        <v>1</v>
      </c>
      <c r="L211" s="1113">
        <v>0.73958333333333337</v>
      </c>
    </row>
    <row r="212" spans="1:12" ht="15.75" x14ac:dyDescent="0.25">
      <c r="A212" s="1099" t="s">
        <v>727</v>
      </c>
      <c r="B212" s="1103" t="s">
        <v>1</v>
      </c>
      <c r="C212" s="703" t="s">
        <v>1</v>
      </c>
      <c r="D212" s="686" t="s">
        <v>48</v>
      </c>
      <c r="E212" s="1126" t="s">
        <v>1</v>
      </c>
      <c r="F212" s="1113">
        <v>0.34375</v>
      </c>
      <c r="G212" s="698" t="s">
        <v>1</v>
      </c>
      <c r="H212" s="1103" t="s">
        <v>1</v>
      </c>
      <c r="I212" s="703" t="s">
        <v>1</v>
      </c>
      <c r="J212" s="687" t="s">
        <v>1</v>
      </c>
      <c r="K212" s="1126" t="s">
        <v>1</v>
      </c>
      <c r="L212" s="697" t="s">
        <v>1</v>
      </c>
    </row>
    <row r="213" spans="1:12" ht="15.75" x14ac:dyDescent="0.25">
      <c r="A213" s="1099" t="s">
        <v>1</v>
      </c>
      <c r="B213" s="1103" t="s">
        <v>1</v>
      </c>
      <c r="C213" s="703" t="s">
        <v>1</v>
      </c>
      <c r="D213" s="681" t="s">
        <v>1</v>
      </c>
      <c r="E213" s="1126" t="s">
        <v>1</v>
      </c>
      <c r="F213" s="697" t="s">
        <v>1</v>
      </c>
      <c r="G213" s="698" t="s">
        <v>1</v>
      </c>
      <c r="H213" s="1103" t="s">
        <v>1</v>
      </c>
      <c r="I213" s="703" t="s">
        <v>1</v>
      </c>
      <c r="J213" s="685" t="s">
        <v>728</v>
      </c>
      <c r="K213" s="1127">
        <v>0.79861111111111116</v>
      </c>
      <c r="L213" s="1115" t="s">
        <v>1</v>
      </c>
    </row>
    <row r="214" spans="1:12" ht="15.75" x14ac:dyDescent="0.25">
      <c r="A214" s="1099" t="s">
        <v>1</v>
      </c>
      <c r="B214" s="1103" t="s">
        <v>1</v>
      </c>
      <c r="C214" s="703" t="s">
        <v>1</v>
      </c>
      <c r="D214" s="685" t="s">
        <v>728</v>
      </c>
      <c r="E214" s="1127">
        <v>0.39583333333333331</v>
      </c>
      <c r="F214" s="1118" t="s">
        <v>1</v>
      </c>
      <c r="G214" s="698" t="s">
        <v>1</v>
      </c>
      <c r="H214" s="1103" t="s">
        <v>881</v>
      </c>
      <c r="I214" s="703">
        <v>128</v>
      </c>
      <c r="J214" s="681" t="s">
        <v>1286</v>
      </c>
      <c r="K214" s="1126" t="s">
        <v>1</v>
      </c>
      <c r="L214" s="697" t="s">
        <v>1</v>
      </c>
    </row>
    <row r="215" spans="1:12" ht="15.75" x14ac:dyDescent="0.25">
      <c r="A215" s="1099" t="s">
        <v>1</v>
      </c>
      <c r="B215" s="1103" t="s">
        <v>273</v>
      </c>
      <c r="C215" s="703">
        <v>106</v>
      </c>
      <c r="D215" s="681" t="s">
        <v>911</v>
      </c>
      <c r="E215" s="1126" t="s">
        <v>1</v>
      </c>
      <c r="F215" s="697" t="s">
        <v>1</v>
      </c>
      <c r="G215" s="698" t="s">
        <v>1</v>
      </c>
      <c r="H215" s="1103" t="s">
        <v>1</v>
      </c>
      <c r="I215" s="703" t="s">
        <v>1</v>
      </c>
      <c r="J215" s="681" t="s">
        <v>1</v>
      </c>
      <c r="K215" s="1126" t="s">
        <v>1</v>
      </c>
      <c r="L215" s="697" t="s">
        <v>1</v>
      </c>
    </row>
    <row r="216" spans="1:12" ht="15.75" x14ac:dyDescent="0.25">
      <c r="A216" s="1099" t="s">
        <v>1</v>
      </c>
      <c r="B216" s="1103" t="s">
        <v>1</v>
      </c>
      <c r="C216" s="703" t="s">
        <v>1</v>
      </c>
      <c r="D216" s="685" t="s">
        <v>1</v>
      </c>
      <c r="E216" s="1126" t="s">
        <v>1</v>
      </c>
      <c r="F216" s="1115" t="s">
        <v>1</v>
      </c>
      <c r="G216" s="698" t="s">
        <v>1</v>
      </c>
      <c r="H216" s="1103" t="s">
        <v>273</v>
      </c>
      <c r="I216" s="703">
        <v>126</v>
      </c>
      <c r="J216" s="681" t="s">
        <v>912</v>
      </c>
      <c r="K216" s="1126" t="s">
        <v>1</v>
      </c>
      <c r="L216" s="697" t="s">
        <v>1</v>
      </c>
    </row>
    <row r="217" spans="1:12" ht="15.75" x14ac:dyDescent="0.25">
      <c r="A217" s="1099" t="s">
        <v>1</v>
      </c>
      <c r="B217" s="1103" t="s">
        <v>273</v>
      </c>
      <c r="C217" s="703">
        <v>152</v>
      </c>
      <c r="D217" s="681" t="s">
        <v>913</v>
      </c>
      <c r="E217" s="1126" t="s">
        <v>1</v>
      </c>
      <c r="F217" s="697" t="s">
        <v>1</v>
      </c>
      <c r="G217" s="698" t="s">
        <v>727</v>
      </c>
      <c r="H217" s="1103" t="s">
        <v>1</v>
      </c>
      <c r="I217" s="703" t="s">
        <v>1</v>
      </c>
      <c r="J217" s="685" t="s">
        <v>728</v>
      </c>
      <c r="K217" s="1126" t="s">
        <v>1</v>
      </c>
      <c r="L217" s="1114">
        <v>0.79861111111111116</v>
      </c>
    </row>
    <row r="218" spans="1:12" ht="15.75" x14ac:dyDescent="0.25">
      <c r="A218" s="1099" t="s">
        <v>727</v>
      </c>
      <c r="B218" s="1103" t="s">
        <v>1</v>
      </c>
      <c r="C218" s="703" t="s">
        <v>1</v>
      </c>
      <c r="D218" s="685" t="s">
        <v>728</v>
      </c>
      <c r="E218" s="1126" t="s">
        <v>1</v>
      </c>
      <c r="F218" s="1114">
        <v>0.39583333333333331</v>
      </c>
      <c r="G218" s="698" t="s">
        <v>1</v>
      </c>
      <c r="H218" s="1103" t="s">
        <v>1</v>
      </c>
      <c r="I218" s="703" t="s">
        <v>1</v>
      </c>
      <c r="J218" s="681" t="s">
        <v>1</v>
      </c>
      <c r="K218" s="1126" t="s">
        <v>1</v>
      </c>
      <c r="L218" s="697" t="s">
        <v>1</v>
      </c>
    </row>
    <row r="219" spans="1:12" ht="15.75" x14ac:dyDescent="0.25">
      <c r="A219" s="1099" t="s">
        <v>1</v>
      </c>
      <c r="B219" s="1103" t="s">
        <v>1</v>
      </c>
      <c r="C219" s="703" t="s">
        <v>1</v>
      </c>
      <c r="D219" s="681" t="s">
        <v>1</v>
      </c>
      <c r="E219" s="1126" t="s">
        <v>1</v>
      </c>
      <c r="F219" s="697" t="s">
        <v>1</v>
      </c>
      <c r="G219" s="698" t="s">
        <v>727</v>
      </c>
      <c r="H219" s="1103" t="s">
        <v>1</v>
      </c>
      <c r="I219" s="703" t="s">
        <v>1</v>
      </c>
      <c r="J219" s="686" t="s">
        <v>48</v>
      </c>
      <c r="K219" s="1126" t="s">
        <v>1</v>
      </c>
      <c r="L219" s="1113">
        <v>0.875</v>
      </c>
    </row>
    <row r="220" spans="1:12" ht="15.75" x14ac:dyDescent="0.25">
      <c r="A220" s="1099" t="s">
        <v>727</v>
      </c>
      <c r="B220" s="1103" t="s">
        <v>1</v>
      </c>
      <c r="C220" s="703" t="s">
        <v>1</v>
      </c>
      <c r="D220" s="686" t="s">
        <v>48</v>
      </c>
      <c r="E220" s="1126" t="s">
        <v>1</v>
      </c>
      <c r="F220" s="1113">
        <v>0.44791666666666669</v>
      </c>
      <c r="G220" s="698" t="s">
        <v>1</v>
      </c>
      <c r="H220" s="1103" t="s">
        <v>1</v>
      </c>
      <c r="I220" s="703" t="s">
        <v>1</v>
      </c>
      <c r="J220" s="687" t="s">
        <v>1</v>
      </c>
      <c r="K220" s="1126" t="s">
        <v>1</v>
      </c>
      <c r="L220" s="697" t="s">
        <v>1</v>
      </c>
    </row>
    <row r="221" spans="1:12" ht="15.75" x14ac:dyDescent="0.25">
      <c r="A221" s="1099" t="s">
        <v>1</v>
      </c>
      <c r="B221" s="1103" t="s">
        <v>1</v>
      </c>
      <c r="C221" s="703" t="s">
        <v>1</v>
      </c>
      <c r="D221" s="681" t="s">
        <v>1</v>
      </c>
      <c r="E221" s="1126" t="s">
        <v>1</v>
      </c>
      <c r="F221" s="697" t="s">
        <v>1</v>
      </c>
      <c r="G221" s="698" t="s">
        <v>725</v>
      </c>
      <c r="H221" s="1103" t="s">
        <v>1</v>
      </c>
      <c r="I221" s="703" t="s">
        <v>1</v>
      </c>
      <c r="J221" s="685" t="s">
        <v>728</v>
      </c>
      <c r="K221" s="1127">
        <v>0.92361111111111116</v>
      </c>
      <c r="L221" s="1115" t="s">
        <v>1</v>
      </c>
    </row>
    <row r="222" spans="1:12" ht="15.75" x14ac:dyDescent="0.25">
      <c r="A222" s="1099" t="s">
        <v>1</v>
      </c>
      <c r="B222" s="1103" t="s">
        <v>1</v>
      </c>
      <c r="C222" s="703" t="s">
        <v>1</v>
      </c>
      <c r="D222" s="685" t="s">
        <v>728</v>
      </c>
      <c r="E222" s="1127">
        <v>0.52083333333333337</v>
      </c>
      <c r="F222" s="1118" t="s">
        <v>1</v>
      </c>
      <c r="G222" s="698" t="s">
        <v>1</v>
      </c>
      <c r="H222" s="1103" t="s">
        <v>1</v>
      </c>
      <c r="I222" s="703" t="s">
        <v>1</v>
      </c>
      <c r="J222" s="681" t="s">
        <v>733</v>
      </c>
      <c r="K222" s="1127">
        <v>0.94444444444444442</v>
      </c>
      <c r="L222" s="697" t="s">
        <v>1</v>
      </c>
    </row>
    <row r="223" spans="1:12" ht="15.75" x14ac:dyDescent="0.25">
      <c r="A223" s="1099" t="s">
        <v>1</v>
      </c>
      <c r="B223" s="1103" t="s">
        <v>273</v>
      </c>
      <c r="C223" s="703">
        <v>152</v>
      </c>
      <c r="D223" s="681" t="s">
        <v>914</v>
      </c>
      <c r="E223" s="1126" t="s">
        <v>1</v>
      </c>
      <c r="F223" s="697" t="s">
        <v>1</v>
      </c>
      <c r="G223" s="698" t="s">
        <v>1</v>
      </c>
      <c r="H223" s="1103" t="s">
        <v>892</v>
      </c>
      <c r="I223" s="703" t="s">
        <v>273</v>
      </c>
      <c r="J223" s="686" t="s">
        <v>1</v>
      </c>
      <c r="K223" s="1126" t="s">
        <v>1</v>
      </c>
      <c r="L223" s="1118" t="s">
        <v>1</v>
      </c>
    </row>
    <row r="224" spans="1:12" ht="15.75" x14ac:dyDescent="0.25">
      <c r="A224" s="1099" t="s">
        <v>1</v>
      </c>
      <c r="B224" s="1103" t="s">
        <v>1</v>
      </c>
      <c r="C224" s="703" t="s">
        <v>1</v>
      </c>
      <c r="D224" s="685" t="s">
        <v>1</v>
      </c>
      <c r="E224" s="1126" t="s">
        <v>1</v>
      </c>
      <c r="F224" s="1115" t="s">
        <v>1</v>
      </c>
      <c r="G224" s="698" t="s">
        <v>1</v>
      </c>
      <c r="H224" s="1103" t="s">
        <v>1</v>
      </c>
      <c r="I224" s="703" t="s">
        <v>1</v>
      </c>
      <c r="J224" s="690" t="s">
        <v>1</v>
      </c>
      <c r="K224" s="1126" t="s">
        <v>1</v>
      </c>
      <c r="L224" s="1119" t="s">
        <v>1</v>
      </c>
    </row>
    <row r="225" spans="1:12" ht="15.75" x14ac:dyDescent="0.25">
      <c r="A225" s="1099" t="s">
        <v>1</v>
      </c>
      <c r="B225" s="1103" t="s">
        <v>881</v>
      </c>
      <c r="C225" s="703">
        <v>117</v>
      </c>
      <c r="D225" s="681" t="s">
        <v>915</v>
      </c>
      <c r="E225" s="1126" t="s">
        <v>1</v>
      </c>
      <c r="F225" s="697" t="s">
        <v>1</v>
      </c>
      <c r="G225" s="698" t="s">
        <v>1</v>
      </c>
      <c r="H225" s="1103" t="s">
        <v>1</v>
      </c>
      <c r="I225" s="703" t="s">
        <v>1</v>
      </c>
      <c r="J225" s="681" t="s">
        <v>1</v>
      </c>
      <c r="K225" s="1126" t="s">
        <v>1</v>
      </c>
      <c r="L225" s="697" t="s">
        <v>1</v>
      </c>
    </row>
    <row r="226" spans="1:12" ht="15.75" x14ac:dyDescent="0.25">
      <c r="A226" s="1099">
        <v>7</v>
      </c>
      <c r="B226" s="1103" t="s">
        <v>1</v>
      </c>
      <c r="C226" s="703" t="s">
        <v>1</v>
      </c>
      <c r="D226" s="685" t="s">
        <v>728</v>
      </c>
      <c r="E226" s="1126" t="s">
        <v>1</v>
      </c>
      <c r="F226" s="1114">
        <v>0.52083333333333337</v>
      </c>
      <c r="G226" s="698" t="s">
        <v>1</v>
      </c>
      <c r="H226" s="1103" t="s">
        <v>1</v>
      </c>
      <c r="I226" s="703" t="s">
        <v>1</v>
      </c>
      <c r="J226" s="681" t="s">
        <v>1</v>
      </c>
      <c r="K226" s="1126" t="s">
        <v>1</v>
      </c>
      <c r="L226" s="1118" t="s">
        <v>1</v>
      </c>
    </row>
    <row r="227" spans="1:12" ht="15.75" x14ac:dyDescent="0.25">
      <c r="A227" s="1099" t="s">
        <v>1</v>
      </c>
      <c r="B227" s="1103" t="s">
        <v>1</v>
      </c>
      <c r="C227" s="703" t="s">
        <v>1</v>
      </c>
      <c r="D227" s="681" t="s">
        <v>1</v>
      </c>
      <c r="E227" s="1126" t="s">
        <v>1</v>
      </c>
      <c r="F227" s="697" t="s">
        <v>1</v>
      </c>
      <c r="G227" s="698" t="s">
        <v>1</v>
      </c>
      <c r="H227" s="1103" t="s">
        <v>1</v>
      </c>
      <c r="I227" s="703" t="s">
        <v>1</v>
      </c>
      <c r="J227" s="690" t="s">
        <v>1</v>
      </c>
      <c r="K227" s="1126" t="s">
        <v>1</v>
      </c>
      <c r="L227" s="697" t="s">
        <v>1</v>
      </c>
    </row>
    <row r="228" spans="1:12" ht="15.75" x14ac:dyDescent="0.25">
      <c r="A228" s="1099">
        <v>7</v>
      </c>
      <c r="B228" s="1103" t="s">
        <v>1</v>
      </c>
      <c r="C228" s="703" t="s">
        <v>1</v>
      </c>
      <c r="D228" s="688" t="s">
        <v>50</v>
      </c>
      <c r="E228" s="1126" t="s">
        <v>1</v>
      </c>
      <c r="F228" s="1116">
        <v>0.60416666666666663</v>
      </c>
      <c r="G228" s="698" t="s">
        <v>1</v>
      </c>
      <c r="H228" s="1103" t="s">
        <v>1</v>
      </c>
      <c r="I228" s="703" t="s">
        <v>1</v>
      </c>
      <c r="J228" s="690" t="s">
        <v>1</v>
      </c>
      <c r="K228" s="1126" t="s">
        <v>1</v>
      </c>
      <c r="L228" s="1119" t="s">
        <v>1</v>
      </c>
    </row>
    <row r="229" spans="1:12" ht="15.75" x14ac:dyDescent="0.25">
      <c r="A229" s="1099" t="s">
        <v>1</v>
      </c>
      <c r="B229" s="1103" t="s">
        <v>1</v>
      </c>
      <c r="C229" s="703" t="s">
        <v>1</v>
      </c>
      <c r="D229" s="681" t="s">
        <v>1</v>
      </c>
      <c r="E229" s="1126" t="s">
        <v>1</v>
      </c>
      <c r="F229" s="697" t="s">
        <v>1</v>
      </c>
      <c r="G229" s="698" t="s">
        <v>1</v>
      </c>
      <c r="H229" s="1103" t="s">
        <v>1</v>
      </c>
      <c r="I229" s="703" t="s">
        <v>1</v>
      </c>
      <c r="J229" s="681" t="s">
        <v>1</v>
      </c>
      <c r="K229" s="1126" t="s">
        <v>1</v>
      </c>
      <c r="L229" s="697" t="s">
        <v>1</v>
      </c>
    </row>
    <row r="230" spans="1:12" ht="15.75" x14ac:dyDescent="0.25">
      <c r="A230" s="1099" t="s">
        <v>1</v>
      </c>
      <c r="B230" s="1103" t="s">
        <v>1</v>
      </c>
      <c r="C230" s="703" t="s">
        <v>1</v>
      </c>
      <c r="D230" s="685" t="s">
        <v>728</v>
      </c>
      <c r="E230" s="1127">
        <v>0.66666666666666663</v>
      </c>
      <c r="F230" s="1118" t="s">
        <v>1</v>
      </c>
      <c r="G230" s="698" t="s">
        <v>1</v>
      </c>
      <c r="H230" s="1103" t="s">
        <v>1</v>
      </c>
      <c r="I230" s="703" t="s">
        <v>1</v>
      </c>
      <c r="J230" s="686" t="s">
        <v>1</v>
      </c>
      <c r="K230" s="1126" t="s">
        <v>1</v>
      </c>
      <c r="L230" s="1118" t="s">
        <v>1</v>
      </c>
    </row>
    <row r="231" spans="1:12" ht="15.75" x14ac:dyDescent="0.25">
      <c r="A231" s="1099" t="s">
        <v>1</v>
      </c>
      <c r="B231" s="1103" t="s">
        <v>881</v>
      </c>
      <c r="C231" s="703">
        <v>117</v>
      </c>
      <c r="D231" s="681" t="s">
        <v>1285</v>
      </c>
      <c r="E231" s="1126" t="s">
        <v>1</v>
      </c>
      <c r="F231" s="697" t="s">
        <v>1</v>
      </c>
      <c r="G231" s="698" t="s">
        <v>1</v>
      </c>
      <c r="H231" s="1103" t="s">
        <v>1</v>
      </c>
      <c r="I231" s="703" t="s">
        <v>1</v>
      </c>
      <c r="J231" s="687" t="s">
        <v>1</v>
      </c>
      <c r="K231" s="1126" t="s">
        <v>1</v>
      </c>
      <c r="L231" s="697" t="s">
        <v>1</v>
      </c>
    </row>
    <row r="232" spans="1:12" ht="15.75" x14ac:dyDescent="0.25">
      <c r="A232" s="1099" t="s">
        <v>1</v>
      </c>
      <c r="B232" s="1103" t="s">
        <v>1</v>
      </c>
      <c r="C232" s="703" t="s">
        <v>1</v>
      </c>
      <c r="D232" s="685" t="s">
        <v>1</v>
      </c>
      <c r="E232" s="1126" t="s">
        <v>1</v>
      </c>
      <c r="F232" s="1115" t="s">
        <v>1</v>
      </c>
      <c r="G232" s="698" t="s">
        <v>1</v>
      </c>
      <c r="H232" s="1103" t="s">
        <v>1</v>
      </c>
      <c r="I232" s="703" t="s">
        <v>1</v>
      </c>
      <c r="J232" s="681" t="s">
        <v>1</v>
      </c>
      <c r="K232" s="1126" t="s">
        <v>1</v>
      </c>
      <c r="L232" s="1119" t="s">
        <v>1</v>
      </c>
    </row>
    <row r="233" spans="1:12" ht="15.75" x14ac:dyDescent="0.25">
      <c r="A233" s="1099" t="s">
        <v>1</v>
      </c>
      <c r="B233" s="1103" t="s">
        <v>1</v>
      </c>
      <c r="C233" s="703" t="s">
        <v>1</v>
      </c>
      <c r="D233" s="681" t="s">
        <v>1</v>
      </c>
      <c r="E233" s="1126" t="s">
        <v>1</v>
      </c>
      <c r="F233" s="697" t="s">
        <v>1</v>
      </c>
      <c r="G233" s="698" t="s">
        <v>1</v>
      </c>
      <c r="H233" s="1103" t="s">
        <v>1</v>
      </c>
      <c r="I233" s="703" t="s">
        <v>1</v>
      </c>
      <c r="J233" s="681" t="s">
        <v>1</v>
      </c>
      <c r="K233" s="1126" t="s">
        <v>1</v>
      </c>
      <c r="L233" s="697" t="s">
        <v>1</v>
      </c>
    </row>
    <row r="234" spans="1:12" ht="15.75" x14ac:dyDescent="0.25">
      <c r="A234" s="1099" t="s">
        <v>1</v>
      </c>
      <c r="B234" s="1103" t="s">
        <v>1</v>
      </c>
      <c r="C234" s="703" t="s">
        <v>1</v>
      </c>
      <c r="D234" s="681" t="s">
        <v>1</v>
      </c>
      <c r="E234" s="1126" t="s">
        <v>1</v>
      </c>
      <c r="F234" s="697" t="s">
        <v>1</v>
      </c>
      <c r="G234" s="698" t="s">
        <v>1</v>
      </c>
      <c r="H234" s="1103" t="s">
        <v>1</v>
      </c>
      <c r="I234" s="703" t="s">
        <v>1</v>
      </c>
      <c r="J234" s="681" t="s">
        <v>1</v>
      </c>
      <c r="K234" s="1126" t="s">
        <v>1</v>
      </c>
      <c r="L234" s="1118" t="s">
        <v>1</v>
      </c>
    </row>
    <row r="235" spans="1:12" ht="15.75" x14ac:dyDescent="0.25">
      <c r="A235" s="1099" t="s">
        <v>1</v>
      </c>
      <c r="B235" s="1103" t="s">
        <v>1</v>
      </c>
      <c r="C235" s="703" t="s">
        <v>1</v>
      </c>
      <c r="D235" s="687" t="s">
        <v>1</v>
      </c>
      <c r="E235" s="1126" t="s">
        <v>1</v>
      </c>
      <c r="F235" s="697" t="s">
        <v>1</v>
      </c>
      <c r="G235" s="698" t="s">
        <v>1</v>
      </c>
      <c r="H235" s="1103" t="s">
        <v>1</v>
      </c>
      <c r="I235" s="703" t="s">
        <v>1</v>
      </c>
      <c r="J235" s="687" t="s">
        <v>1</v>
      </c>
      <c r="K235" s="1126" t="s">
        <v>1</v>
      </c>
      <c r="L235" s="697" t="s">
        <v>1</v>
      </c>
    </row>
    <row r="236" spans="1:12" ht="15.75" x14ac:dyDescent="0.25">
      <c r="A236" s="1099" t="s">
        <v>1</v>
      </c>
      <c r="B236" s="1103" t="s">
        <v>1</v>
      </c>
      <c r="C236" s="703" t="s">
        <v>1</v>
      </c>
      <c r="D236" s="690" t="s">
        <v>1</v>
      </c>
      <c r="E236" s="1126" t="s">
        <v>1</v>
      </c>
      <c r="F236" s="1119" t="s">
        <v>1</v>
      </c>
      <c r="G236" s="698" t="s">
        <v>1</v>
      </c>
      <c r="H236" s="1103" t="s">
        <v>1</v>
      </c>
      <c r="I236" s="703" t="s">
        <v>1</v>
      </c>
      <c r="J236" s="681" t="s">
        <v>1</v>
      </c>
      <c r="K236" s="1126" t="s">
        <v>1</v>
      </c>
      <c r="L236" s="1119" t="s">
        <v>1</v>
      </c>
    </row>
    <row r="237" spans="1:12" ht="15.75" x14ac:dyDescent="0.25">
      <c r="A237" s="1099" t="s">
        <v>1</v>
      </c>
      <c r="B237" s="1103" t="s">
        <v>1</v>
      </c>
      <c r="C237" s="703" t="s">
        <v>1</v>
      </c>
      <c r="D237" s="687" t="s">
        <v>1</v>
      </c>
      <c r="E237" s="1126" t="s">
        <v>1</v>
      </c>
      <c r="F237" s="697" t="s">
        <v>1</v>
      </c>
      <c r="G237" s="698" t="s">
        <v>1</v>
      </c>
      <c r="H237" s="1103" t="s">
        <v>1</v>
      </c>
      <c r="I237" s="703" t="s">
        <v>1</v>
      </c>
      <c r="J237" s="687" t="s">
        <v>1</v>
      </c>
      <c r="K237" s="1126" t="s">
        <v>1</v>
      </c>
      <c r="L237" s="697" t="s">
        <v>1</v>
      </c>
    </row>
    <row r="238" spans="1:12" ht="15.75" x14ac:dyDescent="0.25">
      <c r="A238" s="1099" t="s">
        <v>1</v>
      </c>
      <c r="B238" s="1103" t="s">
        <v>1</v>
      </c>
      <c r="C238" s="703" t="s">
        <v>1</v>
      </c>
      <c r="D238" s="681" t="s">
        <v>1</v>
      </c>
      <c r="E238" s="1126" t="s">
        <v>1</v>
      </c>
      <c r="F238" s="697" t="s">
        <v>1</v>
      </c>
      <c r="G238" s="698" t="s">
        <v>1</v>
      </c>
      <c r="H238" s="1103" t="s">
        <v>1</v>
      </c>
      <c r="I238" s="703" t="s">
        <v>1</v>
      </c>
      <c r="J238" s="681" t="s">
        <v>1</v>
      </c>
      <c r="K238" s="1126" t="s">
        <v>1</v>
      </c>
      <c r="L238" s="697" t="s">
        <v>1</v>
      </c>
    </row>
    <row r="239" spans="1:12" ht="15.75" x14ac:dyDescent="0.25">
      <c r="A239" s="1099" t="s">
        <v>1</v>
      </c>
      <c r="B239" s="1103" t="s">
        <v>1</v>
      </c>
      <c r="C239" s="703" t="s">
        <v>1</v>
      </c>
      <c r="D239" s="687" t="s">
        <v>1</v>
      </c>
      <c r="E239" s="1126" t="s">
        <v>1</v>
      </c>
      <c r="F239" s="697" t="s">
        <v>1</v>
      </c>
      <c r="G239" s="697" t="s">
        <v>1</v>
      </c>
      <c r="H239" s="703" t="s">
        <v>1</v>
      </c>
      <c r="I239" s="703" t="s">
        <v>1</v>
      </c>
      <c r="J239" s="681" t="s">
        <v>1</v>
      </c>
      <c r="K239" s="1126" t="s">
        <v>1</v>
      </c>
      <c r="L239" s="697" t="s">
        <v>1</v>
      </c>
    </row>
    <row r="240" spans="1:12" ht="16.5" thickBot="1" x14ac:dyDescent="0.3">
      <c r="A240" s="1102" t="s">
        <v>1</v>
      </c>
      <c r="B240" s="1106" t="s">
        <v>1</v>
      </c>
      <c r="C240" s="570" t="s">
        <v>1</v>
      </c>
      <c r="D240" s="605" t="s">
        <v>1</v>
      </c>
      <c r="E240" s="1133" t="s">
        <v>1</v>
      </c>
      <c r="F240" s="1120" t="s">
        <v>1</v>
      </c>
      <c r="G240" s="700" t="s">
        <v>1</v>
      </c>
      <c r="H240" s="1108" t="s">
        <v>1</v>
      </c>
      <c r="I240" s="1108" t="s">
        <v>1</v>
      </c>
      <c r="J240" s="692" t="s">
        <v>1</v>
      </c>
      <c r="K240" s="1139" t="s">
        <v>1</v>
      </c>
      <c r="L240" s="700" t="s">
        <v>1</v>
      </c>
    </row>
    <row r="241" spans="1:12" ht="23.25" customHeight="1" x14ac:dyDescent="0.35">
      <c r="A241" s="1237" t="s">
        <v>712</v>
      </c>
      <c r="B241" s="1238"/>
      <c r="C241" s="1238"/>
      <c r="D241" s="1238"/>
      <c r="E241" s="1238"/>
      <c r="F241" s="1238"/>
      <c r="G241" s="1238"/>
      <c r="H241" s="1238"/>
      <c r="I241" s="1238"/>
      <c r="J241" s="1238"/>
      <c r="K241" s="1238"/>
      <c r="L241" s="1239"/>
    </row>
    <row r="242" spans="1:12" ht="23.25" customHeight="1" thickBot="1" x14ac:dyDescent="0.4">
      <c r="A242" s="1240" t="s">
        <v>713</v>
      </c>
      <c r="B242" s="1241"/>
      <c r="C242" s="1241"/>
      <c r="D242" s="1241"/>
      <c r="E242" s="1241"/>
      <c r="F242" s="1241"/>
      <c r="G242" s="1241"/>
      <c r="H242" s="1241"/>
      <c r="I242" s="1241"/>
      <c r="J242" s="1241"/>
      <c r="K242" s="1241"/>
      <c r="L242" s="1242"/>
    </row>
    <row r="243" spans="1:12" ht="23.25" customHeight="1" thickBot="1" x14ac:dyDescent="0.4">
      <c r="A243" s="1243" t="s">
        <v>714</v>
      </c>
      <c r="B243" s="1244"/>
      <c r="C243" s="1244"/>
      <c r="D243" s="1244"/>
      <c r="E243" s="1244"/>
      <c r="F243" s="1244"/>
      <c r="G243" s="1244"/>
      <c r="H243" s="1244"/>
      <c r="I243" s="1244"/>
      <c r="J243" s="1244"/>
      <c r="K243" s="1244"/>
      <c r="L243" s="1245"/>
    </row>
    <row r="244" spans="1:12" ht="23.25" customHeight="1" x14ac:dyDescent="0.35">
      <c r="A244" s="619" t="s">
        <v>715</v>
      </c>
      <c r="B244" s="620"/>
      <c r="C244" s="620"/>
      <c r="D244" s="621" t="s">
        <v>716</v>
      </c>
      <c r="E244" s="1241" t="s">
        <v>403</v>
      </c>
      <c r="F244" s="1241"/>
      <c r="G244" s="1241"/>
      <c r="H244" s="1241"/>
      <c r="I244" s="1241"/>
      <c r="J244" s="618" t="s">
        <v>771</v>
      </c>
      <c r="K244" s="1241" t="s">
        <v>1</v>
      </c>
      <c r="L244" s="1242"/>
    </row>
    <row r="245" spans="1:12" ht="15.75" thickBot="1" x14ac:dyDescent="0.3">
      <c r="A245" s="560" t="s">
        <v>1</v>
      </c>
      <c r="B245" s="561" t="s">
        <v>1</v>
      </c>
      <c r="C245" s="561" t="s">
        <v>1</v>
      </c>
      <c r="D245" s="562" t="s">
        <v>1</v>
      </c>
      <c r="E245" s="561" t="s">
        <v>1</v>
      </c>
      <c r="F245" s="561" t="s">
        <v>1</v>
      </c>
      <c r="G245" s="561" t="s">
        <v>1</v>
      </c>
      <c r="H245" s="561" t="s">
        <v>1</v>
      </c>
      <c r="I245" s="1227" t="s">
        <v>1</v>
      </c>
      <c r="J245" s="1227"/>
      <c r="K245" s="561" t="s">
        <v>1</v>
      </c>
      <c r="L245" s="563" t="s">
        <v>1</v>
      </c>
    </row>
    <row r="246" spans="1:12" ht="15.75" x14ac:dyDescent="0.25">
      <c r="A246" s="564" t="s">
        <v>719</v>
      </c>
      <c r="B246" s="565" t="s">
        <v>1</v>
      </c>
      <c r="C246" s="569" t="s">
        <v>1</v>
      </c>
      <c r="D246" s="567" t="s">
        <v>720</v>
      </c>
      <c r="E246" s="699" t="s">
        <v>721</v>
      </c>
      <c r="F246" s="569" t="s">
        <v>722</v>
      </c>
      <c r="G246" s="564" t="s">
        <v>719</v>
      </c>
      <c r="H246" s="570" t="s">
        <v>1</v>
      </c>
      <c r="I246" s="1109" t="s">
        <v>1</v>
      </c>
      <c r="J246" s="572" t="s">
        <v>720</v>
      </c>
      <c r="K246" s="700" t="s">
        <v>721</v>
      </c>
      <c r="L246" s="700" t="s">
        <v>722</v>
      </c>
    </row>
    <row r="247" spans="1:12" ht="15.75" x14ac:dyDescent="0.25">
      <c r="A247" s="1099" t="s">
        <v>1</v>
      </c>
      <c r="B247" s="574" t="s">
        <v>1</v>
      </c>
      <c r="C247" s="702" t="s">
        <v>1</v>
      </c>
      <c r="D247" s="680" t="s">
        <v>1</v>
      </c>
      <c r="E247" s="1125" t="s">
        <v>1</v>
      </c>
      <c r="F247" s="1110" t="s">
        <v>1</v>
      </c>
      <c r="G247" s="697" t="s">
        <v>1</v>
      </c>
      <c r="H247" s="703" t="s">
        <v>1</v>
      </c>
      <c r="I247" s="703" t="s">
        <v>1</v>
      </c>
      <c r="J247" s="682" t="s">
        <v>1</v>
      </c>
      <c r="K247" s="1136" t="s">
        <v>1</v>
      </c>
      <c r="L247" s="1123" t="s">
        <v>1</v>
      </c>
    </row>
    <row r="248" spans="1:12" ht="15.75" x14ac:dyDescent="0.25">
      <c r="A248" s="1099" t="s">
        <v>1</v>
      </c>
      <c r="B248" s="1103" t="s">
        <v>273</v>
      </c>
      <c r="C248" s="703">
        <v>107</v>
      </c>
      <c r="D248" s="681" t="s">
        <v>790</v>
      </c>
      <c r="E248" s="1126" t="s">
        <v>1</v>
      </c>
      <c r="F248" s="1111" t="s">
        <v>1</v>
      </c>
      <c r="G248" s="698" t="s">
        <v>1</v>
      </c>
      <c r="H248" s="1103" t="s">
        <v>1</v>
      </c>
      <c r="I248" s="703" t="s">
        <v>1</v>
      </c>
      <c r="J248" s="681" t="s">
        <v>1</v>
      </c>
      <c r="K248" s="1137" t="s">
        <v>1</v>
      </c>
      <c r="L248" s="600" t="s">
        <v>1</v>
      </c>
    </row>
    <row r="249" spans="1:12" ht="15.75" x14ac:dyDescent="0.25">
      <c r="A249" s="1099" t="s">
        <v>725</v>
      </c>
      <c r="B249" s="1104" t="s">
        <v>1</v>
      </c>
      <c r="C249" s="703" t="s">
        <v>1</v>
      </c>
      <c r="D249" s="681" t="s">
        <v>726</v>
      </c>
      <c r="E249" s="1126" t="s">
        <v>1</v>
      </c>
      <c r="F249" s="1112">
        <v>0.26041666666666669</v>
      </c>
      <c r="G249" s="698" t="s">
        <v>1</v>
      </c>
      <c r="H249" s="1103" t="s">
        <v>1</v>
      </c>
      <c r="I249" s="703" t="s">
        <v>1</v>
      </c>
      <c r="J249" s="685" t="s">
        <v>1</v>
      </c>
      <c r="K249" s="1126" t="s">
        <v>1</v>
      </c>
      <c r="L249" s="1115" t="s">
        <v>1</v>
      </c>
    </row>
    <row r="250" spans="1:12" ht="15.75" x14ac:dyDescent="0.25">
      <c r="A250" s="1099" t="s">
        <v>727</v>
      </c>
      <c r="B250" s="1103" t="s">
        <v>1</v>
      </c>
      <c r="C250" s="703" t="s">
        <v>1</v>
      </c>
      <c r="D250" s="686" t="s">
        <v>48</v>
      </c>
      <c r="E250" s="1126" t="s">
        <v>1</v>
      </c>
      <c r="F250" s="1113">
        <v>0.28125</v>
      </c>
      <c r="G250" s="698" t="s">
        <v>1</v>
      </c>
      <c r="H250" s="1103" t="s">
        <v>1</v>
      </c>
      <c r="I250" s="703" t="s">
        <v>1</v>
      </c>
      <c r="J250" s="681" t="s">
        <v>1</v>
      </c>
      <c r="K250" s="1126" t="s">
        <v>1</v>
      </c>
      <c r="L250" s="697" t="s">
        <v>1</v>
      </c>
    </row>
    <row r="251" spans="1:12" ht="15.75" x14ac:dyDescent="0.25">
      <c r="A251" s="1099" t="s">
        <v>1</v>
      </c>
      <c r="B251" s="1103" t="s">
        <v>1</v>
      </c>
      <c r="C251" s="703" t="s">
        <v>1</v>
      </c>
      <c r="D251" s="687" t="s">
        <v>1</v>
      </c>
      <c r="E251" s="1126" t="s">
        <v>1</v>
      </c>
      <c r="F251" s="697" t="s">
        <v>1</v>
      </c>
      <c r="G251" s="698" t="s">
        <v>1</v>
      </c>
      <c r="H251" s="1103" t="s">
        <v>1</v>
      </c>
      <c r="I251" s="703" t="s">
        <v>1</v>
      </c>
      <c r="J251" s="686" t="s">
        <v>1</v>
      </c>
      <c r="K251" s="1126" t="s">
        <v>1</v>
      </c>
      <c r="L251" s="1118" t="s">
        <v>1</v>
      </c>
    </row>
    <row r="252" spans="1:12" ht="15.75" x14ac:dyDescent="0.25">
      <c r="A252" s="1099">
        <v>7</v>
      </c>
      <c r="B252" s="1103" t="s">
        <v>1</v>
      </c>
      <c r="C252" s="703" t="s">
        <v>1</v>
      </c>
      <c r="D252" s="685" t="s">
        <v>728</v>
      </c>
      <c r="E252" s="1126" t="s">
        <v>1</v>
      </c>
      <c r="F252" s="1114">
        <v>0.33333333333333331</v>
      </c>
      <c r="G252" s="698" t="s">
        <v>1</v>
      </c>
      <c r="H252" s="1103" t="s">
        <v>1</v>
      </c>
      <c r="I252" s="703" t="s">
        <v>1</v>
      </c>
      <c r="J252" s="687" t="s">
        <v>1</v>
      </c>
      <c r="K252" s="1126" t="s">
        <v>1</v>
      </c>
      <c r="L252" s="697" t="s">
        <v>1</v>
      </c>
    </row>
    <row r="253" spans="1:12" ht="15.75" x14ac:dyDescent="0.25">
      <c r="A253" s="1099" t="s">
        <v>1</v>
      </c>
      <c r="B253" s="1103" t="s">
        <v>1</v>
      </c>
      <c r="C253" s="703" t="s">
        <v>1</v>
      </c>
      <c r="D253" s="681" t="s">
        <v>1</v>
      </c>
      <c r="E253" s="1126" t="s">
        <v>1</v>
      </c>
      <c r="F253" s="697" t="s">
        <v>1</v>
      </c>
      <c r="G253" s="698" t="s">
        <v>1</v>
      </c>
      <c r="H253" s="1103" t="s">
        <v>1</v>
      </c>
      <c r="I253" s="703" t="s">
        <v>1</v>
      </c>
      <c r="J253" s="685" t="s">
        <v>1</v>
      </c>
      <c r="K253" s="1126" t="s">
        <v>1</v>
      </c>
      <c r="L253" s="1115" t="s">
        <v>1</v>
      </c>
    </row>
    <row r="254" spans="1:12" ht="15.75" x14ac:dyDescent="0.25">
      <c r="A254" s="1099" t="s">
        <v>725</v>
      </c>
      <c r="B254" s="1103" t="s">
        <v>1</v>
      </c>
      <c r="C254" s="703" t="s">
        <v>1</v>
      </c>
      <c r="D254" s="688" t="s">
        <v>50</v>
      </c>
      <c r="E254" s="1127">
        <v>0.38194444444444442</v>
      </c>
      <c r="F254" s="1118" t="s">
        <v>1</v>
      </c>
      <c r="G254" s="698" t="s">
        <v>1</v>
      </c>
      <c r="H254" s="1103" t="s">
        <v>1</v>
      </c>
      <c r="I254" s="703" t="s">
        <v>1</v>
      </c>
      <c r="J254" s="681" t="s">
        <v>1</v>
      </c>
      <c r="K254" s="1126" t="s">
        <v>1</v>
      </c>
      <c r="L254" s="697" t="s">
        <v>1</v>
      </c>
    </row>
    <row r="255" spans="1:12" ht="15.75" x14ac:dyDescent="0.25">
      <c r="A255" s="1099" t="s">
        <v>1</v>
      </c>
      <c r="B255" s="1103" t="s">
        <v>1</v>
      </c>
      <c r="C255" s="703" t="s">
        <v>1</v>
      </c>
      <c r="D255" s="681" t="s">
        <v>733</v>
      </c>
      <c r="E255" s="1127">
        <v>0.40277777777777779</v>
      </c>
      <c r="F255" s="697" t="s">
        <v>1</v>
      </c>
      <c r="G255" s="698" t="s">
        <v>1</v>
      </c>
      <c r="H255" s="1103" t="s">
        <v>1</v>
      </c>
      <c r="I255" s="703" t="s">
        <v>1</v>
      </c>
      <c r="J255" s="681" t="s">
        <v>1</v>
      </c>
      <c r="K255" s="1126" t="s">
        <v>1</v>
      </c>
      <c r="L255" s="697" t="s">
        <v>1</v>
      </c>
    </row>
    <row r="256" spans="1:12" ht="15.75" x14ac:dyDescent="0.25">
      <c r="A256" s="1099" t="s">
        <v>1</v>
      </c>
      <c r="B256" s="1103" t="s">
        <v>273</v>
      </c>
      <c r="C256" s="703">
        <v>107</v>
      </c>
      <c r="D256" s="681" t="s">
        <v>1287</v>
      </c>
      <c r="E256" s="1126" t="s">
        <v>1</v>
      </c>
      <c r="F256" s="1115" t="s">
        <v>1</v>
      </c>
      <c r="G256" s="698" t="s">
        <v>1</v>
      </c>
      <c r="H256" s="1103" t="s">
        <v>1</v>
      </c>
      <c r="I256" s="703" t="s">
        <v>1</v>
      </c>
      <c r="J256" s="681" t="s">
        <v>1</v>
      </c>
      <c r="K256" s="1126" t="s">
        <v>1</v>
      </c>
      <c r="L256" s="697" t="s">
        <v>1</v>
      </c>
    </row>
    <row r="257" spans="1:12" ht="15.75" x14ac:dyDescent="0.25">
      <c r="A257" s="1099" t="s">
        <v>1</v>
      </c>
      <c r="B257" s="1103" t="s">
        <v>1</v>
      </c>
      <c r="C257" s="703" t="s">
        <v>1</v>
      </c>
      <c r="D257" s="681" t="s">
        <v>1</v>
      </c>
      <c r="E257" s="1126" t="s">
        <v>1</v>
      </c>
      <c r="F257" s="697" t="s">
        <v>1</v>
      </c>
      <c r="G257" s="698" t="s">
        <v>1</v>
      </c>
      <c r="H257" s="1103" t="s">
        <v>1</v>
      </c>
      <c r="I257" s="703" t="s">
        <v>1</v>
      </c>
      <c r="J257" s="685" t="s">
        <v>1</v>
      </c>
      <c r="K257" s="1126" t="s">
        <v>1</v>
      </c>
      <c r="L257" s="1115" t="s">
        <v>1</v>
      </c>
    </row>
    <row r="258" spans="1:12" ht="15.75" x14ac:dyDescent="0.25">
      <c r="A258" s="1099" t="s">
        <v>1</v>
      </c>
      <c r="B258" s="1103" t="s">
        <v>273</v>
      </c>
      <c r="C258" s="703">
        <v>111</v>
      </c>
      <c r="D258" s="681" t="s">
        <v>916</v>
      </c>
      <c r="E258" s="1126" t="s">
        <v>1</v>
      </c>
      <c r="F258" s="697" t="s">
        <v>1</v>
      </c>
      <c r="G258" s="698" t="s">
        <v>1</v>
      </c>
      <c r="H258" s="1103" t="s">
        <v>1</v>
      </c>
      <c r="I258" s="703" t="s">
        <v>1</v>
      </c>
      <c r="J258" s="681" t="s">
        <v>1</v>
      </c>
      <c r="K258" s="1126" t="s">
        <v>1</v>
      </c>
      <c r="L258" s="697" t="s">
        <v>1</v>
      </c>
    </row>
    <row r="259" spans="1:12" ht="15.75" x14ac:dyDescent="0.25">
      <c r="A259" s="1099" t="s">
        <v>1</v>
      </c>
      <c r="B259" s="1103" t="s">
        <v>1</v>
      </c>
      <c r="C259" s="703" t="s">
        <v>1</v>
      </c>
      <c r="D259" s="679" t="s">
        <v>726</v>
      </c>
      <c r="E259" s="1126" t="s">
        <v>1</v>
      </c>
      <c r="F259" s="1112">
        <v>0.51041666666666663</v>
      </c>
      <c r="G259" s="698" t="s">
        <v>1</v>
      </c>
      <c r="H259" s="1103" t="s">
        <v>1</v>
      </c>
      <c r="I259" s="703" t="s">
        <v>1</v>
      </c>
      <c r="J259" s="686" t="s">
        <v>1</v>
      </c>
      <c r="K259" s="1126" t="s">
        <v>1</v>
      </c>
      <c r="L259" s="1118" t="s">
        <v>1</v>
      </c>
    </row>
    <row r="260" spans="1:12" ht="15.75" x14ac:dyDescent="0.25">
      <c r="A260" s="1099" t="s">
        <v>727</v>
      </c>
      <c r="B260" s="1103" t="s">
        <v>1</v>
      </c>
      <c r="C260" s="703" t="s">
        <v>1</v>
      </c>
      <c r="D260" s="693" t="s">
        <v>48</v>
      </c>
      <c r="E260" s="1126" t="s">
        <v>1</v>
      </c>
      <c r="F260" s="1113">
        <v>0.53125</v>
      </c>
      <c r="G260" s="698" t="s">
        <v>1</v>
      </c>
      <c r="H260" s="1103" t="s">
        <v>1</v>
      </c>
      <c r="I260" s="703" t="s">
        <v>1</v>
      </c>
      <c r="J260" s="687" t="s">
        <v>1</v>
      </c>
      <c r="K260" s="1126" t="s">
        <v>1</v>
      </c>
      <c r="L260" s="697" t="s">
        <v>1</v>
      </c>
    </row>
    <row r="261" spans="1:12" ht="15.75" x14ac:dyDescent="0.25">
      <c r="A261" s="1099" t="s">
        <v>1</v>
      </c>
      <c r="B261" s="1103" t="s">
        <v>1</v>
      </c>
      <c r="C261" s="703" t="s">
        <v>1</v>
      </c>
      <c r="D261" s="694"/>
      <c r="E261" s="1135" t="s">
        <v>1</v>
      </c>
      <c r="F261" s="697" t="s">
        <v>1</v>
      </c>
      <c r="G261" s="698" t="s">
        <v>1</v>
      </c>
      <c r="H261" s="1103" t="s">
        <v>1</v>
      </c>
      <c r="I261" s="703" t="s">
        <v>1</v>
      </c>
      <c r="J261" s="685" t="s">
        <v>1</v>
      </c>
      <c r="K261" s="1126" t="s">
        <v>1</v>
      </c>
      <c r="L261" s="1115" t="s">
        <v>1</v>
      </c>
    </row>
    <row r="262" spans="1:12" ht="15.75" x14ac:dyDescent="0.25">
      <c r="A262" s="1099" t="s">
        <v>725</v>
      </c>
      <c r="B262" s="1103" t="s">
        <v>1</v>
      </c>
      <c r="C262" s="703" t="s">
        <v>1</v>
      </c>
      <c r="D262" s="695" t="s">
        <v>728</v>
      </c>
      <c r="E262" s="1127">
        <v>0.60069444444444442</v>
      </c>
      <c r="F262" s="1118" t="s">
        <v>1</v>
      </c>
      <c r="G262" s="698" t="s">
        <v>1</v>
      </c>
      <c r="H262" s="1103" t="s">
        <v>1</v>
      </c>
      <c r="I262" s="703" t="s">
        <v>1</v>
      </c>
      <c r="J262" s="681" t="s">
        <v>1</v>
      </c>
      <c r="K262" s="1126" t="s">
        <v>1</v>
      </c>
      <c r="L262" s="697" t="s">
        <v>1</v>
      </c>
    </row>
    <row r="263" spans="1:12" ht="15.75" x14ac:dyDescent="0.25">
      <c r="A263" s="1099" t="s">
        <v>1</v>
      </c>
      <c r="B263" s="1103" t="s">
        <v>1</v>
      </c>
      <c r="C263" s="703" t="s">
        <v>1</v>
      </c>
      <c r="D263" s="681" t="s">
        <v>733</v>
      </c>
      <c r="E263" s="1127">
        <v>0.62152777777777779</v>
      </c>
      <c r="F263" s="697" t="s">
        <v>1</v>
      </c>
      <c r="G263" s="698" t="s">
        <v>1</v>
      </c>
      <c r="H263" s="1103" t="s">
        <v>1</v>
      </c>
      <c r="I263" s="703" t="s">
        <v>1</v>
      </c>
      <c r="J263" s="686" t="s">
        <v>1</v>
      </c>
      <c r="K263" s="1126" t="s">
        <v>1</v>
      </c>
      <c r="L263" s="1118" t="s">
        <v>1</v>
      </c>
    </row>
    <row r="264" spans="1:12" ht="15.75" x14ac:dyDescent="0.25">
      <c r="A264" s="1099" t="s">
        <v>1</v>
      </c>
      <c r="B264" s="1103" t="s">
        <v>276</v>
      </c>
      <c r="C264" s="703" t="s">
        <v>273</v>
      </c>
      <c r="D264" s="685" t="s">
        <v>1</v>
      </c>
      <c r="E264" s="1126" t="s">
        <v>1</v>
      </c>
      <c r="F264" s="1115" t="s">
        <v>1</v>
      </c>
      <c r="G264" s="698" t="s">
        <v>1</v>
      </c>
      <c r="H264" s="1103" t="s">
        <v>1</v>
      </c>
      <c r="I264" s="703" t="s">
        <v>1</v>
      </c>
      <c r="J264" s="690" t="s">
        <v>1</v>
      </c>
      <c r="K264" s="1126" t="s">
        <v>1</v>
      </c>
      <c r="L264" s="1119" t="s">
        <v>1</v>
      </c>
    </row>
    <row r="265" spans="1:12" ht="15.75" x14ac:dyDescent="0.25">
      <c r="A265" s="1099" t="s">
        <v>1</v>
      </c>
      <c r="B265" s="1103" t="s">
        <v>1</v>
      </c>
      <c r="C265" s="703" t="s">
        <v>1</v>
      </c>
      <c r="D265" s="681" t="s">
        <v>1</v>
      </c>
      <c r="E265" s="1126" t="s">
        <v>1</v>
      </c>
      <c r="F265" s="697" t="s">
        <v>1</v>
      </c>
      <c r="G265" s="698" t="s">
        <v>1</v>
      </c>
      <c r="H265" s="1103" t="s">
        <v>1</v>
      </c>
      <c r="I265" s="703" t="s">
        <v>1</v>
      </c>
      <c r="J265" s="681" t="s">
        <v>1</v>
      </c>
      <c r="K265" s="1126" t="s">
        <v>1</v>
      </c>
      <c r="L265" s="697" t="s">
        <v>1</v>
      </c>
    </row>
    <row r="266" spans="1:12" ht="15.75" x14ac:dyDescent="0.25">
      <c r="A266" s="1099" t="s">
        <v>1</v>
      </c>
      <c r="B266" s="1103" t="s">
        <v>1</v>
      </c>
      <c r="C266" s="703" t="s">
        <v>1</v>
      </c>
      <c r="D266" s="687" t="s">
        <v>1</v>
      </c>
      <c r="E266" s="1126" t="s">
        <v>1</v>
      </c>
      <c r="F266" s="697" t="s">
        <v>1</v>
      </c>
      <c r="G266" s="698" t="s">
        <v>1</v>
      </c>
      <c r="H266" s="1103" t="s">
        <v>1</v>
      </c>
      <c r="I266" s="703" t="s">
        <v>1</v>
      </c>
      <c r="J266" s="681" t="s">
        <v>1</v>
      </c>
      <c r="K266" s="1126" t="s">
        <v>1</v>
      </c>
      <c r="L266" s="1118" t="s">
        <v>1</v>
      </c>
    </row>
    <row r="267" spans="1:12" ht="15.75" x14ac:dyDescent="0.25">
      <c r="A267" s="1099" t="s">
        <v>1</v>
      </c>
      <c r="B267" s="1103" t="s">
        <v>1</v>
      </c>
      <c r="C267" s="703" t="s">
        <v>1</v>
      </c>
      <c r="D267" s="681" t="s">
        <v>1</v>
      </c>
      <c r="E267" s="1126" t="s">
        <v>1</v>
      </c>
      <c r="F267" s="697" t="s">
        <v>1</v>
      </c>
      <c r="G267" s="698" t="s">
        <v>1</v>
      </c>
      <c r="H267" s="1103" t="s">
        <v>1</v>
      </c>
      <c r="I267" s="703" t="s">
        <v>1</v>
      </c>
      <c r="J267" s="690" t="s">
        <v>1</v>
      </c>
      <c r="K267" s="1126" t="s">
        <v>1</v>
      </c>
      <c r="L267" s="697" t="s">
        <v>1</v>
      </c>
    </row>
    <row r="268" spans="1:12" ht="15.75" x14ac:dyDescent="0.25">
      <c r="A268" s="1099" t="s">
        <v>1</v>
      </c>
      <c r="B268" s="1103" t="s">
        <v>1</v>
      </c>
      <c r="C268" s="703" t="s">
        <v>1</v>
      </c>
      <c r="D268" s="685" t="s">
        <v>1</v>
      </c>
      <c r="E268" s="1126" t="s">
        <v>1</v>
      </c>
      <c r="F268" s="1115" t="s">
        <v>1</v>
      </c>
      <c r="G268" s="698" t="s">
        <v>1</v>
      </c>
      <c r="H268" s="1103" t="s">
        <v>1</v>
      </c>
      <c r="I268" s="703" t="s">
        <v>1</v>
      </c>
      <c r="J268" s="690" t="s">
        <v>1</v>
      </c>
      <c r="K268" s="1126" t="s">
        <v>1</v>
      </c>
      <c r="L268" s="1119" t="s">
        <v>1</v>
      </c>
    </row>
    <row r="269" spans="1:12" ht="15.75" x14ac:dyDescent="0.25">
      <c r="A269" s="1099" t="s">
        <v>1</v>
      </c>
      <c r="B269" s="1103" t="s">
        <v>1</v>
      </c>
      <c r="C269" s="703" t="s">
        <v>1</v>
      </c>
      <c r="D269" s="681" t="s">
        <v>1</v>
      </c>
      <c r="E269" s="1126" t="s">
        <v>1</v>
      </c>
      <c r="F269" s="697" t="s">
        <v>1</v>
      </c>
      <c r="G269" s="698" t="s">
        <v>1</v>
      </c>
      <c r="H269" s="1103" t="s">
        <v>1</v>
      </c>
      <c r="I269" s="703" t="s">
        <v>1</v>
      </c>
      <c r="J269" s="681" t="s">
        <v>1</v>
      </c>
      <c r="K269" s="1126" t="s">
        <v>1</v>
      </c>
      <c r="L269" s="697" t="s">
        <v>1</v>
      </c>
    </row>
    <row r="270" spans="1:12" ht="15.75" x14ac:dyDescent="0.25">
      <c r="A270" s="1099" t="s">
        <v>1</v>
      </c>
      <c r="B270" s="1103" t="s">
        <v>1</v>
      </c>
      <c r="C270" s="703" t="s">
        <v>1</v>
      </c>
      <c r="D270" s="686" t="s">
        <v>1</v>
      </c>
      <c r="E270" s="1126" t="s">
        <v>1</v>
      </c>
      <c r="F270" s="1118" t="s">
        <v>1</v>
      </c>
      <c r="G270" s="698" t="s">
        <v>1</v>
      </c>
      <c r="H270" s="1103" t="s">
        <v>1</v>
      </c>
      <c r="I270" s="703" t="s">
        <v>1</v>
      </c>
      <c r="J270" s="686" t="s">
        <v>1</v>
      </c>
      <c r="K270" s="1126" t="s">
        <v>1</v>
      </c>
      <c r="L270" s="1118" t="s">
        <v>1</v>
      </c>
    </row>
    <row r="271" spans="1:12" ht="15.75" x14ac:dyDescent="0.25">
      <c r="A271" s="1099" t="s">
        <v>1</v>
      </c>
      <c r="B271" s="1103" t="s">
        <v>1</v>
      </c>
      <c r="C271" s="703" t="s">
        <v>1</v>
      </c>
      <c r="D271" s="687" t="s">
        <v>1</v>
      </c>
      <c r="E271" s="1126" t="s">
        <v>1</v>
      </c>
      <c r="F271" s="697" t="s">
        <v>1</v>
      </c>
      <c r="G271" s="698" t="s">
        <v>1</v>
      </c>
      <c r="H271" s="1103" t="s">
        <v>1</v>
      </c>
      <c r="I271" s="703" t="s">
        <v>1</v>
      </c>
      <c r="J271" s="687" t="s">
        <v>1</v>
      </c>
      <c r="K271" s="1126" t="s">
        <v>1</v>
      </c>
      <c r="L271" s="697" t="s">
        <v>1</v>
      </c>
    </row>
    <row r="272" spans="1:12" ht="15.75" x14ac:dyDescent="0.25">
      <c r="A272" s="1099" t="s">
        <v>1</v>
      </c>
      <c r="B272" s="1103" t="s">
        <v>1</v>
      </c>
      <c r="C272" s="703" t="s">
        <v>1</v>
      </c>
      <c r="D272" s="685" t="s">
        <v>1</v>
      </c>
      <c r="E272" s="1126" t="s">
        <v>1</v>
      </c>
      <c r="F272" s="1115" t="s">
        <v>1</v>
      </c>
      <c r="G272" s="698" t="s">
        <v>1</v>
      </c>
      <c r="H272" s="1103" t="s">
        <v>1</v>
      </c>
      <c r="I272" s="703" t="s">
        <v>1</v>
      </c>
      <c r="J272" s="681" t="s">
        <v>1</v>
      </c>
      <c r="K272" s="1126" t="s">
        <v>1</v>
      </c>
      <c r="L272" s="1119" t="s">
        <v>1</v>
      </c>
    </row>
    <row r="273" spans="1:12" ht="15.75" x14ac:dyDescent="0.25">
      <c r="A273" s="1099" t="s">
        <v>1</v>
      </c>
      <c r="B273" s="1103" t="s">
        <v>1</v>
      </c>
      <c r="C273" s="703" t="s">
        <v>1</v>
      </c>
      <c r="D273" s="681" t="s">
        <v>1</v>
      </c>
      <c r="E273" s="1126" t="s">
        <v>1</v>
      </c>
      <c r="F273" s="697" t="s">
        <v>1</v>
      </c>
      <c r="G273" s="698" t="s">
        <v>1</v>
      </c>
      <c r="H273" s="1103" t="s">
        <v>1</v>
      </c>
      <c r="I273" s="703" t="s">
        <v>1</v>
      </c>
      <c r="J273" s="681" t="s">
        <v>1</v>
      </c>
      <c r="K273" s="1126" t="s">
        <v>1</v>
      </c>
      <c r="L273" s="697" t="s">
        <v>1</v>
      </c>
    </row>
    <row r="274" spans="1:12" ht="15.75" x14ac:dyDescent="0.25">
      <c r="A274" s="1099" t="s">
        <v>1</v>
      </c>
      <c r="B274" s="1103" t="s">
        <v>1</v>
      </c>
      <c r="C274" s="703" t="s">
        <v>1</v>
      </c>
      <c r="D274" s="681" t="s">
        <v>1</v>
      </c>
      <c r="E274" s="1126" t="s">
        <v>1</v>
      </c>
      <c r="F274" s="697" t="s">
        <v>1</v>
      </c>
      <c r="G274" s="698" t="s">
        <v>1</v>
      </c>
      <c r="H274" s="1103" t="s">
        <v>1</v>
      </c>
      <c r="I274" s="703" t="s">
        <v>1</v>
      </c>
      <c r="J274" s="681" t="s">
        <v>1</v>
      </c>
      <c r="K274" s="1126" t="s">
        <v>1</v>
      </c>
      <c r="L274" s="1118" t="s">
        <v>1</v>
      </c>
    </row>
    <row r="275" spans="1:12" ht="15.75" x14ac:dyDescent="0.25">
      <c r="A275" s="1099" t="s">
        <v>1</v>
      </c>
      <c r="B275" s="1103" t="s">
        <v>1</v>
      </c>
      <c r="C275" s="703" t="s">
        <v>1</v>
      </c>
      <c r="D275" s="687" t="s">
        <v>1</v>
      </c>
      <c r="E275" s="1126" t="s">
        <v>1</v>
      </c>
      <c r="F275" s="697" t="s">
        <v>1</v>
      </c>
      <c r="G275" s="698" t="s">
        <v>1</v>
      </c>
      <c r="H275" s="1103" t="s">
        <v>1</v>
      </c>
      <c r="I275" s="703" t="s">
        <v>1</v>
      </c>
      <c r="J275" s="687" t="s">
        <v>1</v>
      </c>
      <c r="K275" s="1126" t="s">
        <v>1</v>
      </c>
      <c r="L275" s="697" t="s">
        <v>1</v>
      </c>
    </row>
    <row r="276" spans="1:12" ht="15.75" x14ac:dyDescent="0.25">
      <c r="A276" s="1099" t="s">
        <v>1</v>
      </c>
      <c r="B276" s="1103" t="s">
        <v>1</v>
      </c>
      <c r="C276" s="703" t="s">
        <v>1</v>
      </c>
      <c r="D276" s="690" t="s">
        <v>1</v>
      </c>
      <c r="E276" s="1126" t="s">
        <v>1</v>
      </c>
      <c r="F276" s="1119" t="s">
        <v>1</v>
      </c>
      <c r="G276" s="698" t="s">
        <v>1</v>
      </c>
      <c r="H276" s="1103" t="s">
        <v>1</v>
      </c>
      <c r="I276" s="703" t="s">
        <v>1</v>
      </c>
      <c r="J276" s="681" t="s">
        <v>1</v>
      </c>
      <c r="K276" s="1126" t="s">
        <v>1</v>
      </c>
      <c r="L276" s="1119" t="s">
        <v>1</v>
      </c>
    </row>
    <row r="277" spans="1:12" ht="15.75" x14ac:dyDescent="0.25">
      <c r="A277" s="1099" t="s">
        <v>1</v>
      </c>
      <c r="B277" s="1103" t="s">
        <v>1</v>
      </c>
      <c r="C277" s="703" t="s">
        <v>1</v>
      </c>
      <c r="D277" s="687" t="s">
        <v>1</v>
      </c>
      <c r="E277" s="1126" t="s">
        <v>1</v>
      </c>
      <c r="F277" s="697" t="s">
        <v>1</v>
      </c>
      <c r="G277" s="698" t="s">
        <v>1</v>
      </c>
      <c r="H277" s="1103" t="s">
        <v>1</v>
      </c>
      <c r="I277" s="703" t="s">
        <v>1</v>
      </c>
      <c r="J277" s="687" t="s">
        <v>1</v>
      </c>
      <c r="K277" s="1126" t="s">
        <v>1</v>
      </c>
      <c r="L277" s="697" t="s">
        <v>1</v>
      </c>
    </row>
    <row r="278" spans="1:12" ht="15.75" x14ac:dyDescent="0.25">
      <c r="A278" s="1099" t="s">
        <v>1</v>
      </c>
      <c r="B278" s="1103" t="s">
        <v>1</v>
      </c>
      <c r="C278" s="703" t="s">
        <v>1</v>
      </c>
      <c r="D278" s="681" t="s">
        <v>1</v>
      </c>
      <c r="E278" s="1126" t="s">
        <v>1</v>
      </c>
      <c r="F278" s="697" t="s">
        <v>1</v>
      </c>
      <c r="G278" s="698" t="s">
        <v>1</v>
      </c>
      <c r="H278" s="1103" t="s">
        <v>1</v>
      </c>
      <c r="I278" s="703" t="s">
        <v>1</v>
      </c>
      <c r="J278" s="681" t="s">
        <v>1</v>
      </c>
      <c r="K278" s="1126" t="s">
        <v>1</v>
      </c>
      <c r="L278" s="697" t="s">
        <v>1</v>
      </c>
    </row>
    <row r="279" spans="1:12" ht="15.75" x14ac:dyDescent="0.25">
      <c r="A279" s="1099" t="s">
        <v>1</v>
      </c>
      <c r="B279" s="1103" t="s">
        <v>1</v>
      </c>
      <c r="C279" s="703" t="s">
        <v>1</v>
      </c>
      <c r="D279" s="687" t="s">
        <v>1</v>
      </c>
      <c r="E279" s="1126" t="s">
        <v>1</v>
      </c>
      <c r="F279" s="697" t="s">
        <v>1</v>
      </c>
      <c r="G279" s="697" t="s">
        <v>1</v>
      </c>
      <c r="H279" s="703" t="s">
        <v>1</v>
      </c>
      <c r="I279" s="703" t="s">
        <v>1</v>
      </c>
      <c r="J279" s="681" t="s">
        <v>1</v>
      </c>
      <c r="K279" s="1126" t="s">
        <v>1</v>
      </c>
      <c r="L279" s="697" t="s">
        <v>1</v>
      </c>
    </row>
    <row r="280" spans="1:12" ht="16.5" thickBot="1" x14ac:dyDescent="0.3">
      <c r="A280" s="1102" t="s">
        <v>1</v>
      </c>
      <c r="B280" s="1106" t="s">
        <v>1</v>
      </c>
      <c r="C280" s="570" t="s">
        <v>1</v>
      </c>
      <c r="D280" s="605" t="s">
        <v>1</v>
      </c>
      <c r="E280" s="1133" t="s">
        <v>1</v>
      </c>
      <c r="F280" s="1120" t="s">
        <v>1</v>
      </c>
      <c r="G280" s="700" t="s">
        <v>1</v>
      </c>
      <c r="H280" s="1108" t="s">
        <v>1</v>
      </c>
      <c r="I280" s="1108" t="s">
        <v>1</v>
      </c>
      <c r="J280" s="692" t="s">
        <v>1</v>
      </c>
      <c r="K280" s="1139" t="s">
        <v>1</v>
      </c>
      <c r="L280" s="700" t="s">
        <v>1</v>
      </c>
    </row>
    <row r="281" spans="1:12" ht="23.25" customHeight="1" x14ac:dyDescent="0.35">
      <c r="A281" s="1237" t="s">
        <v>712</v>
      </c>
      <c r="B281" s="1238"/>
      <c r="C281" s="1238"/>
      <c r="D281" s="1238"/>
      <c r="E281" s="1238"/>
      <c r="F281" s="1238"/>
      <c r="G281" s="1238"/>
      <c r="H281" s="1238"/>
      <c r="I281" s="1238"/>
      <c r="J281" s="1238"/>
      <c r="K281" s="1238"/>
      <c r="L281" s="1239"/>
    </row>
    <row r="282" spans="1:12" ht="23.25" customHeight="1" thickBot="1" x14ac:dyDescent="0.4">
      <c r="A282" s="1240" t="s">
        <v>713</v>
      </c>
      <c r="B282" s="1241"/>
      <c r="C282" s="1241"/>
      <c r="D282" s="1241"/>
      <c r="E282" s="1241"/>
      <c r="F282" s="1241"/>
      <c r="G282" s="1241"/>
      <c r="H282" s="1241"/>
      <c r="I282" s="1241"/>
      <c r="J282" s="1241"/>
      <c r="K282" s="1241"/>
      <c r="L282" s="1242"/>
    </row>
    <row r="283" spans="1:12" ht="23.25" customHeight="1" thickBot="1" x14ac:dyDescent="0.4">
      <c r="A283" s="1243" t="s">
        <v>714</v>
      </c>
      <c r="B283" s="1244"/>
      <c r="C283" s="1244"/>
      <c r="D283" s="1244"/>
      <c r="E283" s="1244"/>
      <c r="F283" s="1244"/>
      <c r="G283" s="1244"/>
      <c r="H283" s="1244"/>
      <c r="I283" s="1244"/>
      <c r="J283" s="1244"/>
      <c r="K283" s="1244"/>
      <c r="L283" s="1245"/>
    </row>
    <row r="284" spans="1:12" ht="23.25" customHeight="1" x14ac:dyDescent="0.35">
      <c r="A284" s="619" t="s">
        <v>715</v>
      </c>
      <c r="B284" s="620"/>
      <c r="C284" s="620"/>
      <c r="D284" s="621" t="s">
        <v>716</v>
      </c>
      <c r="E284" s="1241" t="s">
        <v>403</v>
      </c>
      <c r="F284" s="1241"/>
      <c r="G284" s="1241"/>
      <c r="H284" s="1241"/>
      <c r="I284" s="1241"/>
      <c r="J284" s="618" t="s">
        <v>778</v>
      </c>
      <c r="K284" s="1241" t="s">
        <v>1</v>
      </c>
      <c r="L284" s="1242"/>
    </row>
    <row r="285" spans="1:12" ht="15.75" thickBot="1" x14ac:dyDescent="0.3">
      <c r="A285" s="560" t="s">
        <v>1</v>
      </c>
      <c r="B285" s="561" t="s">
        <v>1</v>
      </c>
      <c r="C285" s="561" t="s">
        <v>1</v>
      </c>
      <c r="D285" s="562" t="s">
        <v>1</v>
      </c>
      <c r="E285" s="561" t="s">
        <v>1</v>
      </c>
      <c r="F285" s="561" t="s">
        <v>1</v>
      </c>
      <c r="G285" s="561" t="s">
        <v>1</v>
      </c>
      <c r="H285" s="561" t="s">
        <v>1</v>
      </c>
      <c r="I285" s="1227" t="s">
        <v>1</v>
      </c>
      <c r="J285" s="1227"/>
      <c r="K285" s="561" t="s">
        <v>1</v>
      </c>
      <c r="L285" s="563" t="s">
        <v>1</v>
      </c>
    </row>
    <row r="286" spans="1:12" ht="16.5" thickBot="1" x14ac:dyDescent="0.3">
      <c r="A286" s="564" t="s">
        <v>719</v>
      </c>
      <c r="B286" s="565" t="s">
        <v>1</v>
      </c>
      <c r="C286" s="569" t="s">
        <v>1</v>
      </c>
      <c r="D286" s="567" t="s">
        <v>720</v>
      </c>
      <c r="E286" s="699" t="s">
        <v>721</v>
      </c>
      <c r="F286" s="569" t="s">
        <v>722</v>
      </c>
      <c r="G286" s="564" t="s">
        <v>719</v>
      </c>
      <c r="H286" s="570" t="s">
        <v>1</v>
      </c>
      <c r="I286" s="1109" t="s">
        <v>1</v>
      </c>
      <c r="J286" s="572" t="s">
        <v>720</v>
      </c>
      <c r="K286" s="700" t="s">
        <v>721</v>
      </c>
      <c r="L286" s="700" t="s">
        <v>722</v>
      </c>
    </row>
    <row r="287" spans="1:12" ht="15.75" x14ac:dyDescent="0.25">
      <c r="A287" s="1099" t="s">
        <v>1</v>
      </c>
      <c r="B287" s="574" t="s">
        <v>1</v>
      </c>
      <c r="C287" s="702" t="s">
        <v>1</v>
      </c>
      <c r="D287" s="680" t="s">
        <v>1</v>
      </c>
      <c r="E287" s="1125" t="s">
        <v>1</v>
      </c>
      <c r="F287" s="1110" t="s">
        <v>1</v>
      </c>
      <c r="G287" s="697" t="s">
        <v>1</v>
      </c>
      <c r="H287" s="703" t="s">
        <v>1</v>
      </c>
      <c r="I287" s="703" t="s">
        <v>1</v>
      </c>
      <c r="J287" s="682" t="s">
        <v>1</v>
      </c>
      <c r="K287" s="1136" t="s">
        <v>1</v>
      </c>
      <c r="L287" s="1123" t="s">
        <v>1</v>
      </c>
    </row>
    <row r="288" spans="1:12" ht="15.75" x14ac:dyDescent="0.25">
      <c r="A288" s="1099" t="s">
        <v>1</v>
      </c>
      <c r="B288" s="1103" t="s">
        <v>273</v>
      </c>
      <c r="C288" s="703">
        <v>109</v>
      </c>
      <c r="D288" s="681" t="s">
        <v>797</v>
      </c>
      <c r="E288" s="1126" t="s">
        <v>1</v>
      </c>
      <c r="F288" s="1111" t="s">
        <v>1</v>
      </c>
      <c r="G288" s="698" t="s">
        <v>1</v>
      </c>
      <c r="H288" s="1103" t="s">
        <v>273</v>
      </c>
      <c r="I288" s="703">
        <v>129</v>
      </c>
      <c r="J288" s="681" t="s">
        <v>903</v>
      </c>
      <c r="K288" s="684" t="s">
        <v>1</v>
      </c>
      <c r="L288" s="600" t="s">
        <v>1</v>
      </c>
    </row>
    <row r="289" spans="1:12" ht="15.75" x14ac:dyDescent="0.25">
      <c r="A289" s="1099" t="s">
        <v>725</v>
      </c>
      <c r="B289" s="1104" t="s">
        <v>1</v>
      </c>
      <c r="C289" s="703" t="s">
        <v>1</v>
      </c>
      <c r="D289" s="681" t="s">
        <v>726</v>
      </c>
      <c r="E289" s="1126" t="s">
        <v>1</v>
      </c>
      <c r="F289" s="1112">
        <v>0.27083333333333331</v>
      </c>
      <c r="G289" s="698" t="s">
        <v>725</v>
      </c>
      <c r="H289" s="1103" t="s">
        <v>1</v>
      </c>
      <c r="I289" s="703" t="s">
        <v>1</v>
      </c>
      <c r="J289" s="681" t="s">
        <v>726</v>
      </c>
      <c r="K289" s="683" t="s">
        <v>1</v>
      </c>
      <c r="L289" s="1112">
        <v>0.64583333333333337</v>
      </c>
    </row>
    <row r="290" spans="1:12" ht="15.75" x14ac:dyDescent="0.25">
      <c r="A290" s="1099">
        <v>7</v>
      </c>
      <c r="B290" s="1103" t="s">
        <v>1</v>
      </c>
      <c r="C290" s="703" t="s">
        <v>1</v>
      </c>
      <c r="D290" s="685" t="s">
        <v>728</v>
      </c>
      <c r="E290" s="1126" t="s">
        <v>1</v>
      </c>
      <c r="F290" s="1114">
        <v>0.29166666666666669</v>
      </c>
      <c r="G290" s="698">
        <v>7</v>
      </c>
      <c r="H290" s="1103" t="s">
        <v>1</v>
      </c>
      <c r="I290" s="703" t="s">
        <v>1</v>
      </c>
      <c r="J290" s="688" t="s">
        <v>50</v>
      </c>
      <c r="K290" s="683" t="s">
        <v>1</v>
      </c>
      <c r="L290" s="1116">
        <v>0.66666666666666663</v>
      </c>
    </row>
    <row r="291" spans="1:12" ht="15.75" x14ac:dyDescent="0.25">
      <c r="A291" s="1099" t="s">
        <v>1</v>
      </c>
      <c r="B291" s="1103" t="s">
        <v>1</v>
      </c>
      <c r="C291" s="703" t="s">
        <v>1</v>
      </c>
      <c r="D291" s="687" t="s">
        <v>1</v>
      </c>
      <c r="E291" s="1126" t="s">
        <v>1</v>
      </c>
      <c r="F291" s="697" t="s">
        <v>1</v>
      </c>
      <c r="G291" s="698" t="s">
        <v>1</v>
      </c>
      <c r="H291" s="1103" t="s">
        <v>1</v>
      </c>
      <c r="I291" s="703" t="s">
        <v>1</v>
      </c>
      <c r="J291" s="686" t="s">
        <v>1</v>
      </c>
      <c r="K291" s="683" t="s">
        <v>1</v>
      </c>
      <c r="L291" s="1118" t="s">
        <v>1</v>
      </c>
    </row>
    <row r="292" spans="1:12" ht="15.75" x14ac:dyDescent="0.25">
      <c r="A292" s="1099">
        <v>7</v>
      </c>
      <c r="B292" s="1103" t="s">
        <v>1</v>
      </c>
      <c r="C292" s="703" t="s">
        <v>1</v>
      </c>
      <c r="D292" s="688" t="s">
        <v>50</v>
      </c>
      <c r="E292" s="1126" t="s">
        <v>1</v>
      </c>
      <c r="F292" s="1116">
        <v>0.33333333333333331</v>
      </c>
      <c r="G292" s="698" t="s">
        <v>1</v>
      </c>
      <c r="H292" s="1103" t="s">
        <v>1</v>
      </c>
      <c r="I292" s="703" t="s">
        <v>1</v>
      </c>
      <c r="J292" s="685" t="s">
        <v>728</v>
      </c>
      <c r="K292" s="689">
        <v>0.72916666666666663</v>
      </c>
      <c r="L292" s="697" t="s">
        <v>1</v>
      </c>
    </row>
    <row r="293" spans="1:12" ht="15.75" x14ac:dyDescent="0.25">
      <c r="A293" s="1099" t="s">
        <v>1</v>
      </c>
      <c r="B293" s="1103" t="s">
        <v>1</v>
      </c>
      <c r="C293" s="703" t="s">
        <v>1</v>
      </c>
      <c r="D293" s="681" t="s">
        <v>1</v>
      </c>
      <c r="E293" s="1126" t="s">
        <v>1</v>
      </c>
      <c r="F293" s="697" t="s">
        <v>1</v>
      </c>
      <c r="G293" s="698" t="s">
        <v>1</v>
      </c>
      <c r="H293" s="1103" t="s">
        <v>273</v>
      </c>
      <c r="I293" s="703">
        <v>129</v>
      </c>
      <c r="J293" s="681" t="s">
        <v>904</v>
      </c>
      <c r="K293" s="683" t="s">
        <v>1</v>
      </c>
      <c r="L293" s="1115" t="s">
        <v>1</v>
      </c>
    </row>
    <row r="294" spans="1:12" ht="15.75" x14ac:dyDescent="0.25">
      <c r="A294" s="1099" t="s">
        <v>1</v>
      </c>
      <c r="B294" s="1103" t="s">
        <v>1</v>
      </c>
      <c r="C294" s="703" t="s">
        <v>1</v>
      </c>
      <c r="D294" s="685" t="s">
        <v>728</v>
      </c>
      <c r="E294" s="1127">
        <v>0.38541666666666669</v>
      </c>
      <c r="F294" s="1118" t="s">
        <v>1</v>
      </c>
      <c r="G294" s="698" t="s">
        <v>1</v>
      </c>
      <c r="H294" s="1103" t="s">
        <v>1</v>
      </c>
      <c r="I294" s="703" t="s">
        <v>1</v>
      </c>
      <c r="J294" s="681" t="s">
        <v>1</v>
      </c>
      <c r="K294" s="683" t="s">
        <v>1</v>
      </c>
      <c r="L294" s="697" t="s">
        <v>1</v>
      </c>
    </row>
    <row r="295" spans="1:12" ht="15.75" x14ac:dyDescent="0.25">
      <c r="A295" s="1099" t="s">
        <v>1</v>
      </c>
      <c r="B295" s="1103" t="s">
        <v>273</v>
      </c>
      <c r="C295" s="703">
        <v>109</v>
      </c>
      <c r="D295" s="681" t="s">
        <v>918</v>
      </c>
      <c r="E295" s="1126" t="s">
        <v>1</v>
      </c>
      <c r="F295" s="697" t="s">
        <v>1</v>
      </c>
      <c r="G295" s="698" t="s">
        <v>1</v>
      </c>
      <c r="H295" s="1103" t="s">
        <v>273</v>
      </c>
      <c r="I295" s="703">
        <v>117</v>
      </c>
      <c r="J295" s="681" t="s">
        <v>905</v>
      </c>
      <c r="K295" s="683" t="s">
        <v>1</v>
      </c>
      <c r="L295" s="697" t="s">
        <v>1</v>
      </c>
    </row>
    <row r="296" spans="1:12" ht="15.75" x14ac:dyDescent="0.25">
      <c r="A296" s="1099" t="s">
        <v>1</v>
      </c>
      <c r="B296" s="1103" t="s">
        <v>1</v>
      </c>
      <c r="C296" s="703" t="s">
        <v>1</v>
      </c>
      <c r="D296" s="685" t="s">
        <v>1</v>
      </c>
      <c r="E296" s="1126" t="s">
        <v>1</v>
      </c>
      <c r="F296" s="1115" t="s">
        <v>1</v>
      </c>
      <c r="G296" s="698" t="s">
        <v>727</v>
      </c>
      <c r="H296" s="1103"/>
      <c r="I296" s="703" t="s">
        <v>1</v>
      </c>
      <c r="J296" s="685" t="s">
        <v>728</v>
      </c>
      <c r="K296" s="683" t="s">
        <v>1</v>
      </c>
      <c r="L296" s="1114">
        <v>0.72916666666666663</v>
      </c>
    </row>
    <row r="297" spans="1:12" ht="15.75" x14ac:dyDescent="0.25">
      <c r="A297" s="1099" t="s">
        <v>1</v>
      </c>
      <c r="B297" s="1103" t="s">
        <v>273</v>
      </c>
      <c r="C297" s="703">
        <v>151</v>
      </c>
      <c r="D297" s="681" t="s">
        <v>920</v>
      </c>
      <c r="E297" s="1126" t="s">
        <v>1</v>
      </c>
      <c r="F297" s="697" t="s">
        <v>1</v>
      </c>
      <c r="G297" s="698" t="s">
        <v>1</v>
      </c>
      <c r="H297" s="1103" t="s">
        <v>1</v>
      </c>
      <c r="I297" s="703" t="s">
        <v>1</v>
      </c>
      <c r="J297" s="685" t="s">
        <v>1</v>
      </c>
      <c r="K297" s="683" t="s">
        <v>1</v>
      </c>
      <c r="L297" s="1115" t="s">
        <v>1</v>
      </c>
    </row>
    <row r="298" spans="1:12" ht="15.75" x14ac:dyDescent="0.25">
      <c r="A298" s="1099">
        <v>7</v>
      </c>
      <c r="B298" s="1103" t="s">
        <v>1</v>
      </c>
      <c r="C298" s="703" t="s">
        <v>1</v>
      </c>
      <c r="D298" s="685" t="s">
        <v>728</v>
      </c>
      <c r="E298" s="1126" t="s">
        <v>1</v>
      </c>
      <c r="F298" s="1114">
        <v>0.38541666666666669</v>
      </c>
      <c r="G298" s="698" t="s">
        <v>727</v>
      </c>
      <c r="H298" s="1103"/>
      <c r="I298" s="703" t="s">
        <v>1</v>
      </c>
      <c r="J298" s="686" t="s">
        <v>48</v>
      </c>
      <c r="K298" s="683" t="s">
        <v>1</v>
      </c>
      <c r="L298" s="1113">
        <v>0.80208333333333337</v>
      </c>
    </row>
    <row r="299" spans="1:12" ht="15.75" x14ac:dyDescent="0.25">
      <c r="A299" s="1099" t="s">
        <v>1</v>
      </c>
      <c r="B299" s="1103" t="s">
        <v>1</v>
      </c>
      <c r="C299" s="703" t="s">
        <v>1</v>
      </c>
      <c r="D299" s="681" t="s">
        <v>1</v>
      </c>
      <c r="E299" s="1126" t="s">
        <v>1</v>
      </c>
      <c r="F299" s="697" t="s">
        <v>1</v>
      </c>
      <c r="G299" s="698" t="s">
        <v>1</v>
      </c>
      <c r="H299" s="1103" t="s">
        <v>1</v>
      </c>
      <c r="I299" s="703" t="s">
        <v>1</v>
      </c>
      <c r="J299" s="686" t="s">
        <v>1</v>
      </c>
      <c r="K299" s="683" t="s">
        <v>1</v>
      </c>
      <c r="L299" s="1118" t="s">
        <v>1</v>
      </c>
    </row>
    <row r="300" spans="1:12" ht="15.75" x14ac:dyDescent="0.25">
      <c r="A300" s="1099">
        <v>7</v>
      </c>
      <c r="B300" s="1103" t="s">
        <v>1</v>
      </c>
      <c r="C300" s="703" t="s">
        <v>1</v>
      </c>
      <c r="D300" s="688" t="s">
        <v>50</v>
      </c>
      <c r="E300" s="1126" t="s">
        <v>1</v>
      </c>
      <c r="F300" s="1116">
        <v>0.4375</v>
      </c>
      <c r="G300" s="698" t="s">
        <v>725</v>
      </c>
      <c r="H300" s="1103" t="s">
        <v>1</v>
      </c>
      <c r="I300" s="703" t="s">
        <v>1</v>
      </c>
      <c r="J300" s="685" t="s">
        <v>728</v>
      </c>
      <c r="K300" s="689">
        <v>0.85763888888888884</v>
      </c>
      <c r="L300" s="697" t="s">
        <v>1</v>
      </c>
    </row>
    <row r="301" spans="1:12" ht="15.75" x14ac:dyDescent="0.25">
      <c r="A301" s="1099" t="s">
        <v>1</v>
      </c>
      <c r="B301" s="1103" t="s">
        <v>1</v>
      </c>
      <c r="C301" s="703" t="s">
        <v>1</v>
      </c>
      <c r="D301" s="681" t="s">
        <v>1</v>
      </c>
      <c r="E301" s="1126" t="s">
        <v>1</v>
      </c>
      <c r="F301" s="697" t="s">
        <v>1</v>
      </c>
      <c r="G301" s="698" t="s">
        <v>1</v>
      </c>
      <c r="H301" s="1103" t="s">
        <v>1</v>
      </c>
      <c r="I301" s="703" t="s">
        <v>1</v>
      </c>
      <c r="J301" s="681" t="s">
        <v>733</v>
      </c>
      <c r="K301" s="689">
        <v>0.87847222222222221</v>
      </c>
      <c r="L301" s="1115" t="s">
        <v>1</v>
      </c>
    </row>
    <row r="302" spans="1:12" ht="15.75" x14ac:dyDescent="0.25">
      <c r="A302" s="1099" t="s">
        <v>1</v>
      </c>
      <c r="B302" s="1103" t="s">
        <v>1</v>
      </c>
      <c r="C302" s="703" t="s">
        <v>1</v>
      </c>
      <c r="D302" s="685" t="s">
        <v>728</v>
      </c>
      <c r="E302" s="1127">
        <v>0.51041666666666663</v>
      </c>
      <c r="F302" s="1118" t="s">
        <v>1</v>
      </c>
      <c r="G302" s="698" t="s">
        <v>1</v>
      </c>
      <c r="H302" s="1103" t="s">
        <v>892</v>
      </c>
      <c r="I302" s="703" t="s">
        <v>273</v>
      </c>
      <c r="J302" s="681" t="s">
        <v>1</v>
      </c>
      <c r="K302" s="683" t="s">
        <v>1</v>
      </c>
      <c r="L302" s="697" t="s">
        <v>1</v>
      </c>
    </row>
    <row r="303" spans="1:12" ht="15.75" x14ac:dyDescent="0.25">
      <c r="A303" s="1099" t="s">
        <v>1</v>
      </c>
      <c r="B303" s="1103" t="s">
        <v>273</v>
      </c>
      <c r="C303" s="703">
        <v>151</v>
      </c>
      <c r="D303" s="681" t="s">
        <v>1288</v>
      </c>
      <c r="E303" s="1126" t="s">
        <v>1</v>
      </c>
      <c r="F303" s="697" t="s">
        <v>1</v>
      </c>
      <c r="G303" s="698"/>
      <c r="H303" s="1103"/>
      <c r="I303" s="703"/>
      <c r="J303" s="681"/>
      <c r="K303" s="1127"/>
      <c r="L303" s="1118"/>
    </row>
    <row r="304" spans="1:12" ht="15.75" x14ac:dyDescent="0.25">
      <c r="A304" s="1099" t="s">
        <v>1</v>
      </c>
      <c r="B304" s="1103" t="s">
        <v>1</v>
      </c>
      <c r="C304" s="703" t="s">
        <v>1</v>
      </c>
      <c r="D304" s="685" t="s">
        <v>1</v>
      </c>
      <c r="E304" s="1126" t="s">
        <v>1</v>
      </c>
      <c r="F304" s="1115" t="s">
        <v>1</v>
      </c>
      <c r="G304" s="698"/>
      <c r="H304" s="1103"/>
      <c r="I304" s="703"/>
      <c r="J304" s="690"/>
      <c r="K304" s="1126"/>
      <c r="L304" s="1119"/>
    </row>
    <row r="305" spans="1:12" ht="15.75" x14ac:dyDescent="0.25">
      <c r="A305" s="1099" t="s">
        <v>1</v>
      </c>
      <c r="B305" s="1103" t="s">
        <v>273</v>
      </c>
      <c r="C305" s="703">
        <v>113</v>
      </c>
      <c r="D305" s="681" t="s">
        <v>921</v>
      </c>
      <c r="E305" s="1126" t="s">
        <v>1</v>
      </c>
      <c r="F305" s="697" t="s">
        <v>1</v>
      </c>
      <c r="G305" s="698" t="s">
        <v>1</v>
      </c>
      <c r="H305" s="1103" t="s">
        <v>1</v>
      </c>
      <c r="I305" s="703" t="s">
        <v>1</v>
      </c>
      <c r="J305" s="681" t="s">
        <v>1</v>
      </c>
      <c r="K305" s="1126" t="s">
        <v>1</v>
      </c>
      <c r="L305" s="697" t="s">
        <v>1</v>
      </c>
    </row>
    <row r="306" spans="1:12" ht="15.75" x14ac:dyDescent="0.25">
      <c r="A306" s="1099" t="s">
        <v>727</v>
      </c>
      <c r="B306" s="1103" t="s">
        <v>1</v>
      </c>
      <c r="C306" s="703" t="s">
        <v>1</v>
      </c>
      <c r="D306" s="685" t="s">
        <v>728</v>
      </c>
      <c r="E306" s="1126" t="s">
        <v>1</v>
      </c>
      <c r="F306" s="1114">
        <v>0.51041666666666663</v>
      </c>
      <c r="G306" s="698" t="s">
        <v>1</v>
      </c>
      <c r="H306" s="1103" t="s">
        <v>1</v>
      </c>
      <c r="I306" s="703" t="s">
        <v>1</v>
      </c>
      <c r="J306" s="681" t="s">
        <v>1</v>
      </c>
      <c r="K306" s="1126" t="s">
        <v>1</v>
      </c>
      <c r="L306" s="1118" t="s">
        <v>1</v>
      </c>
    </row>
    <row r="307" spans="1:12" ht="15.75" x14ac:dyDescent="0.25">
      <c r="A307" s="1099" t="s">
        <v>1</v>
      </c>
      <c r="B307" s="1103" t="s">
        <v>1</v>
      </c>
      <c r="C307" s="703" t="s">
        <v>1</v>
      </c>
      <c r="D307" s="681" t="s">
        <v>1</v>
      </c>
      <c r="E307" s="1126" t="s">
        <v>1</v>
      </c>
      <c r="F307" s="697" t="s">
        <v>1</v>
      </c>
      <c r="G307" s="698" t="s">
        <v>1</v>
      </c>
      <c r="H307" s="1103" t="s">
        <v>1</v>
      </c>
      <c r="I307" s="703" t="s">
        <v>1</v>
      </c>
      <c r="J307" s="690" t="s">
        <v>1</v>
      </c>
      <c r="K307" s="1126" t="s">
        <v>1</v>
      </c>
      <c r="L307" s="697" t="s">
        <v>1</v>
      </c>
    </row>
    <row r="308" spans="1:12" ht="15.75" x14ac:dyDescent="0.25">
      <c r="A308" s="1099" t="s">
        <v>725</v>
      </c>
      <c r="B308" s="1103" t="s">
        <v>1</v>
      </c>
      <c r="C308" s="703" t="s">
        <v>1</v>
      </c>
      <c r="D308" s="686" t="s">
        <v>48</v>
      </c>
      <c r="E308" s="1127">
        <v>0.57638888888888884</v>
      </c>
      <c r="F308" s="1115" t="s">
        <v>1</v>
      </c>
      <c r="G308" s="698" t="s">
        <v>1</v>
      </c>
      <c r="H308" s="1103" t="s">
        <v>1</v>
      </c>
      <c r="I308" s="703" t="s">
        <v>1</v>
      </c>
      <c r="J308" s="690" t="s">
        <v>1</v>
      </c>
      <c r="K308" s="1126" t="s">
        <v>1</v>
      </c>
      <c r="L308" s="1119" t="s">
        <v>1</v>
      </c>
    </row>
    <row r="309" spans="1:12" ht="15.75" x14ac:dyDescent="0.25">
      <c r="A309" s="1099" t="s">
        <v>1</v>
      </c>
      <c r="B309" s="1103" t="s">
        <v>1</v>
      </c>
      <c r="C309" s="703" t="s">
        <v>1</v>
      </c>
      <c r="D309" s="681" t="s">
        <v>733</v>
      </c>
      <c r="E309" s="1127">
        <v>0.59722222222222221</v>
      </c>
      <c r="F309" s="697" t="s">
        <v>1</v>
      </c>
      <c r="G309" s="698" t="s">
        <v>1</v>
      </c>
      <c r="H309" s="1103" t="s">
        <v>1</v>
      </c>
      <c r="I309" s="703" t="s">
        <v>1</v>
      </c>
      <c r="J309" s="681" t="s">
        <v>1</v>
      </c>
      <c r="K309" s="1126" t="s">
        <v>1</v>
      </c>
      <c r="L309" s="697" t="s">
        <v>1</v>
      </c>
    </row>
    <row r="310" spans="1:12" ht="15.75" x14ac:dyDescent="0.25">
      <c r="A310" s="1099" t="s">
        <v>1</v>
      </c>
      <c r="B310" s="1103" t="s">
        <v>276</v>
      </c>
      <c r="C310" s="703" t="s">
        <v>273</v>
      </c>
      <c r="D310" s="686" t="s">
        <v>1</v>
      </c>
      <c r="E310" s="1126" t="s">
        <v>1</v>
      </c>
      <c r="F310" s="1118" t="s">
        <v>1</v>
      </c>
      <c r="G310" s="698" t="s">
        <v>1</v>
      </c>
      <c r="H310" s="1103" t="s">
        <v>1</v>
      </c>
      <c r="I310" s="703" t="s">
        <v>1</v>
      </c>
      <c r="J310" s="686" t="s">
        <v>1</v>
      </c>
      <c r="K310" s="1126" t="s">
        <v>1</v>
      </c>
      <c r="L310" s="1118" t="s">
        <v>1</v>
      </c>
    </row>
    <row r="311" spans="1:12" ht="15.75" x14ac:dyDescent="0.25">
      <c r="A311" s="1099" t="s">
        <v>1</v>
      </c>
      <c r="B311" s="1103" t="s">
        <v>1</v>
      </c>
      <c r="C311" s="703" t="s">
        <v>1</v>
      </c>
      <c r="D311" s="687" t="s">
        <v>1</v>
      </c>
      <c r="E311" s="1126" t="s">
        <v>1</v>
      </c>
      <c r="F311" s="697" t="s">
        <v>1</v>
      </c>
      <c r="G311" s="698" t="s">
        <v>1</v>
      </c>
      <c r="H311" s="1103" t="s">
        <v>1</v>
      </c>
      <c r="I311" s="703" t="s">
        <v>1</v>
      </c>
      <c r="J311" s="687" t="s">
        <v>1</v>
      </c>
      <c r="K311" s="1126" t="s">
        <v>1</v>
      </c>
      <c r="L311" s="697" t="s">
        <v>1</v>
      </c>
    </row>
    <row r="312" spans="1:12" ht="15.75" x14ac:dyDescent="0.25">
      <c r="A312" s="1099" t="s">
        <v>1</v>
      </c>
      <c r="B312" s="1103" t="s">
        <v>1</v>
      </c>
      <c r="C312" s="703" t="s">
        <v>1</v>
      </c>
      <c r="D312" s="685" t="s">
        <v>1</v>
      </c>
      <c r="E312" s="1126" t="s">
        <v>1</v>
      </c>
      <c r="F312" s="1115" t="s">
        <v>1</v>
      </c>
      <c r="G312" s="698" t="s">
        <v>1</v>
      </c>
      <c r="H312" s="1103" t="s">
        <v>1</v>
      </c>
      <c r="I312" s="703" t="s">
        <v>1</v>
      </c>
      <c r="J312" s="681" t="s">
        <v>1</v>
      </c>
      <c r="K312" s="1126" t="s">
        <v>1</v>
      </c>
      <c r="L312" s="1119" t="s">
        <v>1</v>
      </c>
    </row>
    <row r="313" spans="1:12" ht="15.75" x14ac:dyDescent="0.25">
      <c r="A313" s="1099" t="s">
        <v>1</v>
      </c>
      <c r="B313" s="1103" t="s">
        <v>1</v>
      </c>
      <c r="C313" s="703" t="s">
        <v>1</v>
      </c>
      <c r="D313" s="681" t="s">
        <v>1</v>
      </c>
      <c r="E313" s="1126" t="s">
        <v>1</v>
      </c>
      <c r="F313" s="697" t="s">
        <v>1</v>
      </c>
      <c r="G313" s="698" t="s">
        <v>1</v>
      </c>
      <c r="H313" s="1103" t="s">
        <v>1</v>
      </c>
      <c r="I313" s="703" t="s">
        <v>1</v>
      </c>
      <c r="J313" s="681" t="s">
        <v>1</v>
      </c>
      <c r="K313" s="1126" t="s">
        <v>1</v>
      </c>
      <c r="L313" s="697" t="s">
        <v>1</v>
      </c>
    </row>
    <row r="314" spans="1:12" ht="15.75" x14ac:dyDescent="0.25">
      <c r="A314" s="1099" t="s">
        <v>1</v>
      </c>
      <c r="B314" s="1103" t="s">
        <v>1</v>
      </c>
      <c r="C314" s="703" t="s">
        <v>1</v>
      </c>
      <c r="D314" s="681" t="s">
        <v>1</v>
      </c>
      <c r="E314" s="1126" t="s">
        <v>1</v>
      </c>
      <c r="F314" s="697" t="s">
        <v>1</v>
      </c>
      <c r="G314" s="698" t="s">
        <v>1</v>
      </c>
      <c r="H314" s="1103" t="s">
        <v>1</v>
      </c>
      <c r="I314" s="703" t="s">
        <v>1</v>
      </c>
      <c r="J314" s="681" t="s">
        <v>1</v>
      </c>
      <c r="K314" s="1126" t="s">
        <v>1</v>
      </c>
      <c r="L314" s="1118" t="s">
        <v>1</v>
      </c>
    </row>
    <row r="315" spans="1:12" ht="15.75" x14ac:dyDescent="0.25">
      <c r="A315" s="1099" t="s">
        <v>1</v>
      </c>
      <c r="B315" s="1103" t="s">
        <v>1</v>
      </c>
      <c r="C315" s="703" t="s">
        <v>1</v>
      </c>
      <c r="D315" s="687" t="s">
        <v>1</v>
      </c>
      <c r="E315" s="1126" t="s">
        <v>1</v>
      </c>
      <c r="F315" s="697" t="s">
        <v>1</v>
      </c>
      <c r="G315" s="698" t="s">
        <v>1</v>
      </c>
      <c r="H315" s="1103" t="s">
        <v>1</v>
      </c>
      <c r="I315" s="703" t="s">
        <v>1</v>
      </c>
      <c r="J315" s="687" t="s">
        <v>1</v>
      </c>
      <c r="K315" s="1126" t="s">
        <v>1</v>
      </c>
      <c r="L315" s="697" t="s">
        <v>1</v>
      </c>
    </row>
    <row r="316" spans="1:12" ht="15.75" x14ac:dyDescent="0.25">
      <c r="A316" s="1099" t="s">
        <v>1</v>
      </c>
      <c r="B316" s="1103" t="s">
        <v>1</v>
      </c>
      <c r="C316" s="703" t="s">
        <v>1</v>
      </c>
      <c r="D316" s="690" t="s">
        <v>1</v>
      </c>
      <c r="E316" s="1126" t="s">
        <v>1</v>
      </c>
      <c r="F316" s="1119" t="s">
        <v>1</v>
      </c>
      <c r="G316" s="698" t="s">
        <v>1</v>
      </c>
      <c r="H316" s="1103" t="s">
        <v>1</v>
      </c>
      <c r="I316" s="703" t="s">
        <v>1</v>
      </c>
      <c r="J316" s="681" t="s">
        <v>1</v>
      </c>
      <c r="K316" s="1126" t="s">
        <v>1</v>
      </c>
      <c r="L316" s="1119" t="s">
        <v>1</v>
      </c>
    </row>
    <row r="317" spans="1:12" ht="15.75" x14ac:dyDescent="0.25">
      <c r="A317" s="1099" t="s">
        <v>1</v>
      </c>
      <c r="B317" s="1103" t="s">
        <v>1</v>
      </c>
      <c r="C317" s="703" t="s">
        <v>1</v>
      </c>
      <c r="D317" s="687" t="s">
        <v>1</v>
      </c>
      <c r="E317" s="1126" t="s">
        <v>1</v>
      </c>
      <c r="F317" s="697" t="s">
        <v>1</v>
      </c>
      <c r="G317" s="698" t="s">
        <v>1</v>
      </c>
      <c r="H317" s="1103" t="s">
        <v>1</v>
      </c>
      <c r="I317" s="703" t="s">
        <v>1</v>
      </c>
      <c r="J317" s="687" t="s">
        <v>1</v>
      </c>
      <c r="K317" s="1126" t="s">
        <v>1</v>
      </c>
      <c r="L317" s="697" t="s">
        <v>1</v>
      </c>
    </row>
    <row r="318" spans="1:12" ht="15.75" x14ac:dyDescent="0.25">
      <c r="A318" s="1099" t="s">
        <v>1</v>
      </c>
      <c r="B318" s="1103" t="s">
        <v>1</v>
      </c>
      <c r="C318" s="703" t="s">
        <v>1</v>
      </c>
      <c r="D318" s="681" t="s">
        <v>1</v>
      </c>
      <c r="E318" s="1126" t="s">
        <v>1</v>
      </c>
      <c r="F318" s="697" t="s">
        <v>1</v>
      </c>
      <c r="G318" s="698" t="s">
        <v>1</v>
      </c>
      <c r="H318" s="1103" t="s">
        <v>1</v>
      </c>
      <c r="I318" s="703" t="s">
        <v>1</v>
      </c>
      <c r="J318" s="681" t="s">
        <v>1</v>
      </c>
      <c r="K318" s="1126" t="s">
        <v>1</v>
      </c>
      <c r="L318" s="697" t="s">
        <v>1</v>
      </c>
    </row>
    <row r="319" spans="1:12" ht="15.75" x14ac:dyDescent="0.25">
      <c r="A319" s="1099" t="s">
        <v>1</v>
      </c>
      <c r="B319" s="1103" t="s">
        <v>1</v>
      </c>
      <c r="C319" s="703" t="s">
        <v>1</v>
      </c>
      <c r="D319" s="687" t="s">
        <v>1</v>
      </c>
      <c r="E319" s="1126" t="s">
        <v>1</v>
      </c>
      <c r="F319" s="697" t="s">
        <v>1</v>
      </c>
      <c r="G319" s="697" t="s">
        <v>1</v>
      </c>
      <c r="H319" s="703" t="s">
        <v>1</v>
      </c>
      <c r="I319" s="703" t="s">
        <v>1</v>
      </c>
      <c r="J319" s="681" t="s">
        <v>1</v>
      </c>
      <c r="K319" s="1126" t="s">
        <v>1</v>
      </c>
      <c r="L319" s="697" t="s">
        <v>1</v>
      </c>
    </row>
    <row r="320" spans="1:12" ht="16.5" thickBot="1" x14ac:dyDescent="0.3">
      <c r="A320" s="1102" t="s">
        <v>1</v>
      </c>
      <c r="B320" s="1106" t="s">
        <v>1</v>
      </c>
      <c r="C320" s="570" t="s">
        <v>1</v>
      </c>
      <c r="D320" s="605" t="s">
        <v>1</v>
      </c>
      <c r="E320" s="1133" t="s">
        <v>1</v>
      </c>
      <c r="F320" s="1120" t="s">
        <v>1</v>
      </c>
      <c r="G320" s="700" t="s">
        <v>1</v>
      </c>
      <c r="H320" s="1108" t="s">
        <v>1</v>
      </c>
      <c r="I320" s="1108" t="s">
        <v>1</v>
      </c>
      <c r="J320" s="692" t="s">
        <v>1</v>
      </c>
      <c r="K320" s="1139" t="s">
        <v>1</v>
      </c>
      <c r="L320" s="700" t="s">
        <v>1</v>
      </c>
    </row>
    <row r="321" spans="1:12" ht="23.25" customHeight="1" x14ac:dyDescent="0.35">
      <c r="A321" s="1237" t="s">
        <v>712</v>
      </c>
      <c r="B321" s="1238"/>
      <c r="C321" s="1238"/>
      <c r="D321" s="1238"/>
      <c r="E321" s="1238"/>
      <c r="F321" s="1238"/>
      <c r="G321" s="1238"/>
      <c r="H321" s="1238"/>
      <c r="I321" s="1238"/>
      <c r="J321" s="1238"/>
      <c r="K321" s="1238"/>
      <c r="L321" s="1239"/>
    </row>
    <row r="322" spans="1:12" ht="23.25" customHeight="1" thickBot="1" x14ac:dyDescent="0.4">
      <c r="A322" s="1240" t="s">
        <v>713</v>
      </c>
      <c r="B322" s="1241"/>
      <c r="C322" s="1241"/>
      <c r="D322" s="1241"/>
      <c r="E322" s="1241"/>
      <c r="F322" s="1241"/>
      <c r="G322" s="1241"/>
      <c r="H322" s="1241"/>
      <c r="I322" s="1241"/>
      <c r="J322" s="1241"/>
      <c r="K322" s="1241"/>
      <c r="L322" s="1242"/>
    </row>
    <row r="323" spans="1:12" ht="23.25" customHeight="1" thickBot="1" x14ac:dyDescent="0.4">
      <c r="A323" s="1243" t="s">
        <v>714</v>
      </c>
      <c r="B323" s="1244"/>
      <c r="C323" s="1244"/>
      <c r="D323" s="1244"/>
      <c r="E323" s="1244"/>
      <c r="F323" s="1244"/>
      <c r="G323" s="1244"/>
      <c r="H323" s="1244"/>
      <c r="I323" s="1244"/>
      <c r="J323" s="1244"/>
      <c r="K323" s="1244"/>
      <c r="L323" s="1245"/>
    </row>
    <row r="324" spans="1:12" ht="23.25" customHeight="1" x14ac:dyDescent="0.35">
      <c r="A324" s="619" t="s">
        <v>715</v>
      </c>
      <c r="B324" s="620"/>
      <c r="C324" s="620"/>
      <c r="D324" s="621" t="s">
        <v>716</v>
      </c>
      <c r="E324" s="1241" t="s">
        <v>403</v>
      </c>
      <c r="F324" s="1241"/>
      <c r="G324" s="1241"/>
      <c r="H324" s="1241"/>
      <c r="I324" s="1241"/>
      <c r="J324" s="618" t="s">
        <v>784</v>
      </c>
      <c r="K324" s="1241" t="s">
        <v>1</v>
      </c>
      <c r="L324" s="1242"/>
    </row>
    <row r="325" spans="1:12" ht="15.75" thickBot="1" x14ac:dyDescent="0.3">
      <c r="A325" s="560" t="s">
        <v>1</v>
      </c>
      <c r="B325" s="561" t="s">
        <v>1</v>
      </c>
      <c r="C325" s="561" t="s">
        <v>1</v>
      </c>
      <c r="D325" s="562" t="s">
        <v>1</v>
      </c>
      <c r="E325" s="561" t="s">
        <v>1</v>
      </c>
      <c r="F325" s="561" t="s">
        <v>1</v>
      </c>
      <c r="G325" s="561" t="s">
        <v>1</v>
      </c>
      <c r="H325" s="561" t="s">
        <v>1</v>
      </c>
      <c r="I325" s="1227" t="s">
        <v>1</v>
      </c>
      <c r="J325" s="1227"/>
      <c r="K325" s="561" t="s">
        <v>1</v>
      </c>
      <c r="L325" s="563" t="s">
        <v>1</v>
      </c>
    </row>
    <row r="326" spans="1:12" ht="15.75" x14ac:dyDescent="0.25">
      <c r="A326" s="564" t="s">
        <v>719</v>
      </c>
      <c r="B326" s="565" t="s">
        <v>1</v>
      </c>
      <c r="C326" s="569" t="s">
        <v>1</v>
      </c>
      <c r="D326" s="567" t="s">
        <v>720</v>
      </c>
      <c r="E326" s="699" t="s">
        <v>721</v>
      </c>
      <c r="F326" s="569" t="s">
        <v>722</v>
      </c>
      <c r="G326" s="564" t="s">
        <v>719</v>
      </c>
      <c r="H326" s="570" t="s">
        <v>1</v>
      </c>
      <c r="I326" s="1109" t="s">
        <v>1</v>
      </c>
      <c r="J326" s="572" t="s">
        <v>720</v>
      </c>
      <c r="K326" s="700" t="s">
        <v>721</v>
      </c>
      <c r="L326" s="700" t="s">
        <v>722</v>
      </c>
    </row>
    <row r="327" spans="1:12" ht="15.75" x14ac:dyDescent="0.25">
      <c r="A327" s="1099" t="s">
        <v>1</v>
      </c>
      <c r="B327" s="574" t="s">
        <v>1</v>
      </c>
      <c r="C327" s="702" t="s">
        <v>1</v>
      </c>
      <c r="D327" s="680" t="s">
        <v>1</v>
      </c>
      <c r="E327" s="1125" t="s">
        <v>1</v>
      </c>
      <c r="F327" s="1110" t="s">
        <v>1</v>
      </c>
      <c r="G327" s="697" t="s">
        <v>1</v>
      </c>
      <c r="H327" s="703" t="s">
        <v>1</v>
      </c>
      <c r="I327" s="703" t="s">
        <v>1</v>
      </c>
      <c r="J327" s="682" t="s">
        <v>1</v>
      </c>
      <c r="K327" s="1136" t="s">
        <v>1</v>
      </c>
      <c r="L327" s="1123" t="s">
        <v>1</v>
      </c>
    </row>
    <row r="328" spans="1:12" ht="15.75" x14ac:dyDescent="0.25">
      <c r="A328" s="1099" t="s">
        <v>1</v>
      </c>
      <c r="B328" s="1103" t="s">
        <v>273</v>
      </c>
      <c r="C328" s="703">
        <v>108</v>
      </c>
      <c r="D328" s="681" t="s">
        <v>797</v>
      </c>
      <c r="E328" s="1126" t="s">
        <v>1</v>
      </c>
      <c r="F328" s="1111" t="s">
        <v>1</v>
      </c>
      <c r="G328" s="1099" t="s">
        <v>1</v>
      </c>
      <c r="H328" s="1103" t="s">
        <v>273</v>
      </c>
      <c r="I328" s="703">
        <v>122</v>
      </c>
      <c r="J328" s="681" t="s">
        <v>924</v>
      </c>
      <c r="K328" s="1126" t="s">
        <v>1</v>
      </c>
      <c r="L328" s="697" t="s">
        <v>1</v>
      </c>
    </row>
    <row r="329" spans="1:12" ht="15.75" x14ac:dyDescent="0.25">
      <c r="A329" s="1099" t="s">
        <v>725</v>
      </c>
      <c r="B329" s="1104" t="s">
        <v>1</v>
      </c>
      <c r="C329" s="703" t="s">
        <v>1</v>
      </c>
      <c r="D329" s="681" t="s">
        <v>726</v>
      </c>
      <c r="E329" s="1126" t="s">
        <v>1</v>
      </c>
      <c r="F329" s="1112">
        <v>0.27083333333333331</v>
      </c>
      <c r="G329" s="1099" t="s">
        <v>727</v>
      </c>
      <c r="H329" s="1103" t="s">
        <v>1</v>
      </c>
      <c r="I329" s="703" t="s">
        <v>1</v>
      </c>
      <c r="J329" s="685" t="s">
        <v>728</v>
      </c>
      <c r="K329" s="1126" t="s">
        <v>1</v>
      </c>
      <c r="L329" s="1114">
        <v>0.70833333333333337</v>
      </c>
    </row>
    <row r="330" spans="1:12" ht="15.75" x14ac:dyDescent="0.25">
      <c r="A330" s="1099">
        <v>7</v>
      </c>
      <c r="B330" s="1103" t="s">
        <v>1</v>
      </c>
      <c r="C330" s="703" t="s">
        <v>1</v>
      </c>
      <c r="D330" s="688" t="s">
        <v>50</v>
      </c>
      <c r="E330" s="1126" t="s">
        <v>1</v>
      </c>
      <c r="F330" s="1116">
        <v>0.29166666666666669</v>
      </c>
      <c r="G330" s="1099" t="s">
        <v>1</v>
      </c>
      <c r="H330" s="1103" t="s">
        <v>1</v>
      </c>
      <c r="I330" s="703" t="s">
        <v>1</v>
      </c>
      <c r="J330" s="681" t="s">
        <v>1</v>
      </c>
      <c r="K330" s="1126" t="s">
        <v>1</v>
      </c>
      <c r="L330" s="697" t="s">
        <v>1</v>
      </c>
    </row>
    <row r="331" spans="1:12" ht="15.75" x14ac:dyDescent="0.25">
      <c r="A331" s="1099" t="s">
        <v>1</v>
      </c>
      <c r="B331" s="1103" t="s">
        <v>1</v>
      </c>
      <c r="C331" s="703" t="s">
        <v>1</v>
      </c>
      <c r="D331" s="687" t="s">
        <v>1</v>
      </c>
      <c r="E331" s="1126" t="s">
        <v>1</v>
      </c>
      <c r="F331" s="697" t="s">
        <v>1</v>
      </c>
      <c r="G331" s="1099" t="s">
        <v>727</v>
      </c>
      <c r="H331" s="1103" t="s">
        <v>1</v>
      </c>
      <c r="I331" s="703" t="s">
        <v>1</v>
      </c>
      <c r="J331" s="686" t="s">
        <v>48</v>
      </c>
      <c r="K331" s="1126" t="s">
        <v>1</v>
      </c>
      <c r="L331" s="1113">
        <v>0.78125</v>
      </c>
    </row>
    <row r="332" spans="1:12" ht="15.75" x14ac:dyDescent="0.25">
      <c r="A332" s="1099" t="s">
        <v>727</v>
      </c>
      <c r="B332" s="1103" t="s">
        <v>1</v>
      </c>
      <c r="C332" s="703" t="s">
        <v>1</v>
      </c>
      <c r="D332" s="685" t="s">
        <v>728</v>
      </c>
      <c r="E332" s="1126" t="s">
        <v>1</v>
      </c>
      <c r="F332" s="1114">
        <v>0.34027777777777779</v>
      </c>
      <c r="G332" s="1099" t="s">
        <v>1</v>
      </c>
      <c r="H332" s="1103" t="s">
        <v>1</v>
      </c>
      <c r="I332" s="703" t="s">
        <v>1</v>
      </c>
      <c r="J332" s="687" t="s">
        <v>1</v>
      </c>
      <c r="K332" s="1126" t="s">
        <v>1</v>
      </c>
      <c r="L332" s="697" t="s">
        <v>1</v>
      </c>
    </row>
    <row r="333" spans="1:12" ht="15.75" x14ac:dyDescent="0.25">
      <c r="A333" s="1099" t="s">
        <v>1</v>
      </c>
      <c r="B333" s="1103" t="s">
        <v>1</v>
      </c>
      <c r="C333" s="703" t="s">
        <v>1</v>
      </c>
      <c r="D333" s="681" t="s">
        <v>1</v>
      </c>
      <c r="E333" s="1126" t="s">
        <v>1</v>
      </c>
      <c r="F333" s="697" t="s">
        <v>1</v>
      </c>
      <c r="G333" s="1099">
        <v>7</v>
      </c>
      <c r="H333" s="1103" t="s">
        <v>1</v>
      </c>
      <c r="I333" s="703" t="s">
        <v>1</v>
      </c>
      <c r="J333" s="685" t="s">
        <v>728</v>
      </c>
      <c r="K333" s="1126" t="s">
        <v>1</v>
      </c>
      <c r="L333" s="1114">
        <v>0.84027777777777779</v>
      </c>
    </row>
    <row r="334" spans="1:12" ht="15.75" x14ac:dyDescent="0.25">
      <c r="A334" s="1099" t="s">
        <v>727</v>
      </c>
      <c r="B334" s="1103" t="s">
        <v>1</v>
      </c>
      <c r="C334" s="703" t="s">
        <v>1</v>
      </c>
      <c r="D334" s="686" t="s">
        <v>48</v>
      </c>
      <c r="E334" s="1126" t="s">
        <v>1</v>
      </c>
      <c r="F334" s="1113">
        <v>0.38541666666666669</v>
      </c>
      <c r="G334" s="1099" t="s">
        <v>1</v>
      </c>
      <c r="H334" s="1103" t="s">
        <v>1</v>
      </c>
      <c r="I334" s="703" t="s">
        <v>1</v>
      </c>
      <c r="J334" s="681" t="s">
        <v>1</v>
      </c>
      <c r="K334" s="1126" t="s">
        <v>1</v>
      </c>
      <c r="L334" s="697" t="s">
        <v>1</v>
      </c>
    </row>
    <row r="335" spans="1:12" ht="15.75" x14ac:dyDescent="0.25">
      <c r="A335" s="1099" t="s">
        <v>1</v>
      </c>
      <c r="B335" s="1103" t="s">
        <v>1</v>
      </c>
      <c r="C335" s="703" t="s">
        <v>1</v>
      </c>
      <c r="D335" s="687" t="s">
        <v>1</v>
      </c>
      <c r="E335" s="1126" t="s">
        <v>1</v>
      </c>
      <c r="F335" s="697" t="s">
        <v>1</v>
      </c>
      <c r="G335" s="1099" t="s">
        <v>725</v>
      </c>
      <c r="H335" s="1103" t="s">
        <v>1</v>
      </c>
      <c r="I335" s="703" t="s">
        <v>1</v>
      </c>
      <c r="J335" s="688" t="s">
        <v>50</v>
      </c>
      <c r="K335" s="1127">
        <v>0.89930555555555558</v>
      </c>
      <c r="L335" s="697" t="s">
        <v>1</v>
      </c>
    </row>
    <row r="336" spans="1:12" ht="15.75" x14ac:dyDescent="0.25">
      <c r="A336" s="1099" t="s">
        <v>1</v>
      </c>
      <c r="B336" s="1103" t="s">
        <v>1</v>
      </c>
      <c r="C336" s="703" t="s">
        <v>1</v>
      </c>
      <c r="D336" s="685" t="s">
        <v>728</v>
      </c>
      <c r="E336" s="1127">
        <v>0.44791666666666669</v>
      </c>
      <c r="F336" s="1115" t="s">
        <v>1</v>
      </c>
      <c r="G336" s="1099" t="s">
        <v>1</v>
      </c>
      <c r="H336" s="1103" t="s">
        <v>1</v>
      </c>
      <c r="I336" s="703" t="s">
        <v>1</v>
      </c>
      <c r="J336" s="681" t="s">
        <v>733</v>
      </c>
      <c r="K336" s="1127">
        <v>0.92013888888888884</v>
      </c>
      <c r="L336" s="697" t="s">
        <v>1</v>
      </c>
    </row>
    <row r="337" spans="1:12" ht="15.75" x14ac:dyDescent="0.25">
      <c r="A337" s="1099" t="s">
        <v>1</v>
      </c>
      <c r="B337" s="1103" t="s">
        <v>273</v>
      </c>
      <c r="C337" s="703">
        <v>108</v>
      </c>
      <c r="D337" s="681" t="s">
        <v>922</v>
      </c>
      <c r="E337" s="1126" t="s">
        <v>1</v>
      </c>
      <c r="F337" s="697" t="s">
        <v>1</v>
      </c>
      <c r="G337" s="1099" t="s">
        <v>1</v>
      </c>
      <c r="H337" s="1103" t="s">
        <v>892</v>
      </c>
      <c r="I337" s="703" t="s">
        <v>273</v>
      </c>
      <c r="J337" s="690" t="s">
        <v>1</v>
      </c>
      <c r="K337" s="1126" t="s">
        <v>1</v>
      </c>
      <c r="L337" s="1119" t="s">
        <v>1</v>
      </c>
    </row>
    <row r="338" spans="1:12" ht="15.75" x14ac:dyDescent="0.25">
      <c r="A338" s="1099" t="s">
        <v>1</v>
      </c>
      <c r="B338" s="1103" t="s">
        <v>1</v>
      </c>
      <c r="C338" s="703" t="s">
        <v>1</v>
      </c>
      <c r="D338" s="687" t="s">
        <v>1</v>
      </c>
      <c r="E338" s="1126" t="s">
        <v>1</v>
      </c>
      <c r="F338" s="697" t="s">
        <v>1</v>
      </c>
      <c r="G338" s="698" t="s">
        <v>1</v>
      </c>
      <c r="H338" s="1103" t="s">
        <v>1</v>
      </c>
      <c r="I338" s="703" t="s">
        <v>1</v>
      </c>
      <c r="J338" s="681" t="s">
        <v>1</v>
      </c>
      <c r="K338" s="1126" t="s">
        <v>1</v>
      </c>
      <c r="L338" s="697" t="s">
        <v>1</v>
      </c>
    </row>
    <row r="339" spans="1:12" ht="15.75" x14ac:dyDescent="0.25">
      <c r="A339" s="1099" t="s">
        <v>1</v>
      </c>
      <c r="B339" s="1103" t="s">
        <v>273</v>
      </c>
      <c r="C339" s="703">
        <v>106</v>
      </c>
      <c r="D339" s="681" t="s">
        <v>923</v>
      </c>
      <c r="E339" s="1126" t="s">
        <v>1</v>
      </c>
      <c r="F339" s="697" t="s">
        <v>1</v>
      </c>
      <c r="G339" s="698" t="s">
        <v>1</v>
      </c>
      <c r="H339" s="1103" t="s">
        <v>1</v>
      </c>
      <c r="I339" s="703" t="s">
        <v>1</v>
      </c>
      <c r="J339" s="686" t="s">
        <v>1</v>
      </c>
      <c r="K339" s="1126" t="s">
        <v>1</v>
      </c>
      <c r="L339" s="1118" t="s">
        <v>1</v>
      </c>
    </row>
    <row r="340" spans="1:12" ht="15.75" x14ac:dyDescent="0.25">
      <c r="A340" s="1099" t="s">
        <v>727</v>
      </c>
      <c r="B340" s="1103" t="s">
        <v>1</v>
      </c>
      <c r="C340" s="703" t="s">
        <v>1</v>
      </c>
      <c r="D340" s="685" t="s">
        <v>728</v>
      </c>
      <c r="E340" s="1126" t="s">
        <v>1</v>
      </c>
      <c r="F340" s="1114">
        <v>0.44791666666666669</v>
      </c>
      <c r="G340" s="698" t="s">
        <v>1</v>
      </c>
      <c r="H340" s="1103" t="s">
        <v>1</v>
      </c>
      <c r="I340" s="703" t="s">
        <v>1</v>
      </c>
      <c r="J340" s="687" t="s">
        <v>1</v>
      </c>
      <c r="K340" s="1126" t="s">
        <v>1</v>
      </c>
      <c r="L340" s="697" t="s">
        <v>1</v>
      </c>
    </row>
    <row r="341" spans="1:12" ht="15.75" x14ac:dyDescent="0.25">
      <c r="A341" s="1099" t="s">
        <v>1</v>
      </c>
      <c r="B341" s="1103" t="s">
        <v>1</v>
      </c>
      <c r="C341" s="703" t="s">
        <v>1</v>
      </c>
      <c r="D341" s="681" t="s">
        <v>1</v>
      </c>
      <c r="E341" s="1126" t="s">
        <v>1</v>
      </c>
      <c r="F341" s="697" t="s">
        <v>1</v>
      </c>
      <c r="G341" s="698" t="s">
        <v>1</v>
      </c>
      <c r="H341" s="1103" t="s">
        <v>1</v>
      </c>
      <c r="I341" s="703" t="s">
        <v>1</v>
      </c>
      <c r="J341" s="685" t="s">
        <v>1</v>
      </c>
      <c r="K341" s="1126" t="s">
        <v>1</v>
      </c>
      <c r="L341" s="1115" t="s">
        <v>1</v>
      </c>
    </row>
    <row r="342" spans="1:12" ht="15.75" x14ac:dyDescent="0.25">
      <c r="A342" s="1099" t="s">
        <v>727</v>
      </c>
      <c r="B342" s="1103" t="s">
        <v>1</v>
      </c>
      <c r="C342" s="703" t="s">
        <v>1</v>
      </c>
      <c r="D342" s="686" t="s">
        <v>48</v>
      </c>
      <c r="E342" s="1126" t="s">
        <v>1</v>
      </c>
      <c r="F342" s="1113">
        <v>0.51041666666666663</v>
      </c>
      <c r="G342" s="698" t="s">
        <v>1</v>
      </c>
      <c r="H342" s="1103" t="s">
        <v>1</v>
      </c>
      <c r="I342" s="703" t="s">
        <v>1</v>
      </c>
      <c r="J342" s="681" t="s">
        <v>1</v>
      </c>
      <c r="K342" s="1126" t="s">
        <v>1</v>
      </c>
      <c r="L342" s="697" t="s">
        <v>1</v>
      </c>
    </row>
    <row r="343" spans="1:12" ht="15.75" x14ac:dyDescent="0.25">
      <c r="A343" s="1099" t="s">
        <v>1</v>
      </c>
      <c r="B343" s="1103" t="s">
        <v>1</v>
      </c>
      <c r="C343" s="703" t="s">
        <v>1</v>
      </c>
      <c r="D343" s="687" t="s">
        <v>1</v>
      </c>
      <c r="E343" s="1126" t="s">
        <v>1</v>
      </c>
      <c r="F343" s="697" t="s">
        <v>1</v>
      </c>
      <c r="G343" s="698" t="s">
        <v>1</v>
      </c>
      <c r="H343" s="1103" t="s">
        <v>1</v>
      </c>
      <c r="I343" s="703" t="s">
        <v>1</v>
      </c>
      <c r="J343" s="686" t="s">
        <v>1</v>
      </c>
      <c r="K343" s="1126" t="s">
        <v>1</v>
      </c>
      <c r="L343" s="1118" t="s">
        <v>1</v>
      </c>
    </row>
    <row r="344" spans="1:12" ht="15.75" x14ac:dyDescent="0.25">
      <c r="A344" s="1099" t="s">
        <v>1</v>
      </c>
      <c r="B344" s="1103" t="s">
        <v>1</v>
      </c>
      <c r="C344" s="703" t="s">
        <v>1</v>
      </c>
      <c r="D344" s="685" t="s">
        <v>728</v>
      </c>
      <c r="E344" s="1127">
        <v>0.58333333333333337</v>
      </c>
      <c r="F344" s="1115" t="s">
        <v>1</v>
      </c>
      <c r="G344" s="698" t="s">
        <v>1</v>
      </c>
      <c r="H344" s="1103" t="s">
        <v>1</v>
      </c>
      <c r="I344" s="703" t="s">
        <v>1</v>
      </c>
      <c r="J344" s="690" t="s">
        <v>1</v>
      </c>
      <c r="K344" s="1126" t="s">
        <v>1</v>
      </c>
      <c r="L344" s="1119" t="s">
        <v>1</v>
      </c>
    </row>
    <row r="345" spans="1:12" ht="15.75" x14ac:dyDescent="0.25">
      <c r="A345" s="1099" t="s">
        <v>1</v>
      </c>
      <c r="B345" s="1103" t="s">
        <v>276</v>
      </c>
      <c r="C345" s="703" t="s">
        <v>273</v>
      </c>
      <c r="D345" s="681" t="s">
        <v>1</v>
      </c>
      <c r="E345" s="1126" t="s">
        <v>1</v>
      </c>
      <c r="F345" s="697" t="s">
        <v>1</v>
      </c>
      <c r="G345" s="698" t="s">
        <v>1</v>
      </c>
      <c r="H345" s="1103" t="s">
        <v>1</v>
      </c>
      <c r="I345" s="703" t="s">
        <v>1</v>
      </c>
      <c r="J345" s="681" t="s">
        <v>1</v>
      </c>
      <c r="K345" s="1126" t="s">
        <v>1</v>
      </c>
      <c r="L345" s="697" t="s">
        <v>1</v>
      </c>
    </row>
    <row r="346" spans="1:12" ht="15.75" x14ac:dyDescent="0.25">
      <c r="A346" s="1099" t="s">
        <v>1</v>
      </c>
      <c r="B346" s="1103" t="s">
        <v>1</v>
      </c>
      <c r="C346" s="703" t="s">
        <v>1</v>
      </c>
      <c r="D346" s="687" t="s">
        <v>1</v>
      </c>
      <c r="E346" s="1126" t="s">
        <v>1</v>
      </c>
      <c r="F346" s="697" t="s">
        <v>1</v>
      </c>
      <c r="G346" s="698" t="s">
        <v>1</v>
      </c>
      <c r="H346" s="1103" t="s">
        <v>1</v>
      </c>
      <c r="I346" s="703" t="s">
        <v>1</v>
      </c>
      <c r="J346" s="681" t="s">
        <v>1</v>
      </c>
      <c r="K346" s="1126" t="s">
        <v>1</v>
      </c>
      <c r="L346" s="1118" t="s">
        <v>1</v>
      </c>
    </row>
    <row r="347" spans="1:12" ht="15.75" x14ac:dyDescent="0.25">
      <c r="A347" s="1099" t="s">
        <v>1</v>
      </c>
      <c r="B347" s="1103" t="s">
        <v>273</v>
      </c>
      <c r="C347" s="703">
        <v>152</v>
      </c>
      <c r="D347" s="681" t="s">
        <v>1289</v>
      </c>
      <c r="E347" s="1126" t="s">
        <v>1</v>
      </c>
      <c r="F347" s="697" t="s">
        <v>1</v>
      </c>
      <c r="G347" s="698" t="s">
        <v>1</v>
      </c>
      <c r="H347" s="1103" t="s">
        <v>1</v>
      </c>
      <c r="I347" s="703" t="s">
        <v>1</v>
      </c>
      <c r="J347" s="690" t="s">
        <v>1</v>
      </c>
      <c r="K347" s="1126" t="s">
        <v>1</v>
      </c>
      <c r="L347" s="697" t="s">
        <v>1</v>
      </c>
    </row>
    <row r="348" spans="1:12" ht="15.75" x14ac:dyDescent="0.25">
      <c r="A348" s="1099">
        <v>7</v>
      </c>
      <c r="B348" s="1103" t="s">
        <v>1</v>
      </c>
      <c r="C348" s="703" t="s">
        <v>1</v>
      </c>
      <c r="D348" s="685" t="s">
        <v>728</v>
      </c>
      <c r="E348" s="1126" t="s">
        <v>1</v>
      </c>
      <c r="F348" s="1114">
        <v>0.58333333333333337</v>
      </c>
      <c r="G348" s="698" t="s">
        <v>1</v>
      </c>
      <c r="H348" s="1103" t="s">
        <v>1</v>
      </c>
      <c r="I348" s="703" t="s">
        <v>1</v>
      </c>
      <c r="J348" s="690" t="s">
        <v>1</v>
      </c>
      <c r="K348" s="1126" t="s">
        <v>1</v>
      </c>
      <c r="L348" s="1119" t="s">
        <v>1</v>
      </c>
    </row>
    <row r="349" spans="1:12" ht="15.75" x14ac:dyDescent="0.25">
      <c r="A349" s="1099" t="s">
        <v>1</v>
      </c>
      <c r="B349" s="1103" t="s">
        <v>1</v>
      </c>
      <c r="C349" s="703" t="s">
        <v>1</v>
      </c>
      <c r="D349" s="681" t="s">
        <v>1</v>
      </c>
      <c r="E349" s="1126" t="s">
        <v>1</v>
      </c>
      <c r="F349" s="697" t="s">
        <v>1</v>
      </c>
      <c r="G349" s="698" t="s">
        <v>1</v>
      </c>
      <c r="H349" s="1103" t="s">
        <v>1</v>
      </c>
      <c r="I349" s="703" t="s">
        <v>1</v>
      </c>
      <c r="J349" s="681" t="s">
        <v>1</v>
      </c>
      <c r="K349" s="1126" t="s">
        <v>1</v>
      </c>
      <c r="L349" s="697" t="s">
        <v>1</v>
      </c>
    </row>
    <row r="350" spans="1:12" ht="15.75" x14ac:dyDescent="0.25">
      <c r="A350" s="1099">
        <v>7</v>
      </c>
      <c r="B350" s="1103" t="s">
        <v>1</v>
      </c>
      <c r="C350" s="703" t="s">
        <v>1</v>
      </c>
      <c r="D350" s="688" t="s">
        <v>50</v>
      </c>
      <c r="E350" s="1126" t="s">
        <v>1</v>
      </c>
      <c r="F350" s="1116">
        <v>0.64583333333333337</v>
      </c>
      <c r="G350" s="698" t="s">
        <v>1</v>
      </c>
      <c r="H350" s="1103" t="s">
        <v>1</v>
      </c>
      <c r="I350" s="703" t="s">
        <v>1</v>
      </c>
      <c r="J350" s="686" t="s">
        <v>1</v>
      </c>
      <c r="K350" s="1126" t="s">
        <v>1</v>
      </c>
      <c r="L350" s="1118" t="s">
        <v>1</v>
      </c>
    </row>
    <row r="351" spans="1:12" ht="15.75" x14ac:dyDescent="0.25">
      <c r="A351" s="1099" t="s">
        <v>1</v>
      </c>
      <c r="B351" s="1103" t="s">
        <v>1</v>
      </c>
      <c r="C351" s="703" t="s">
        <v>1</v>
      </c>
      <c r="D351" s="687" t="s">
        <v>1</v>
      </c>
      <c r="E351" s="1126" t="s">
        <v>1</v>
      </c>
      <c r="F351" s="697" t="s">
        <v>1</v>
      </c>
      <c r="G351" s="698" t="s">
        <v>1</v>
      </c>
      <c r="H351" s="1103" t="s">
        <v>1</v>
      </c>
      <c r="I351" s="703" t="s">
        <v>1</v>
      </c>
      <c r="J351" s="687" t="s">
        <v>1</v>
      </c>
      <c r="K351" s="1126" t="s">
        <v>1</v>
      </c>
      <c r="L351" s="697" t="s">
        <v>1</v>
      </c>
    </row>
    <row r="352" spans="1:12" ht="15.75" x14ac:dyDescent="0.25">
      <c r="A352" s="1099" t="s">
        <v>1</v>
      </c>
      <c r="B352" s="1103" t="s">
        <v>1</v>
      </c>
      <c r="C352" s="703" t="s">
        <v>1</v>
      </c>
      <c r="D352" s="685" t="s">
        <v>728</v>
      </c>
      <c r="E352" s="1127">
        <v>0.70833333333333337</v>
      </c>
      <c r="F352" s="1115" t="s">
        <v>1</v>
      </c>
      <c r="G352" s="698" t="s">
        <v>1</v>
      </c>
      <c r="H352" s="1103" t="s">
        <v>1</v>
      </c>
      <c r="I352" s="703" t="s">
        <v>1</v>
      </c>
      <c r="J352" s="681" t="s">
        <v>1</v>
      </c>
      <c r="K352" s="1126" t="s">
        <v>1</v>
      </c>
      <c r="L352" s="1119" t="s">
        <v>1</v>
      </c>
    </row>
    <row r="353" spans="1:12" ht="15.75" x14ac:dyDescent="0.25">
      <c r="A353" s="1099" t="s">
        <v>1</v>
      </c>
      <c r="B353" s="1103" t="s">
        <v>276</v>
      </c>
      <c r="C353" s="703" t="s">
        <v>273</v>
      </c>
      <c r="D353" s="681" t="s">
        <v>1</v>
      </c>
      <c r="E353" s="1126" t="s">
        <v>1</v>
      </c>
      <c r="F353" s="697" t="s">
        <v>1</v>
      </c>
      <c r="G353" s="698" t="s">
        <v>1</v>
      </c>
      <c r="H353" s="1103" t="s">
        <v>1</v>
      </c>
      <c r="I353" s="703" t="s">
        <v>1</v>
      </c>
      <c r="J353" s="681" t="s">
        <v>1</v>
      </c>
      <c r="K353" s="1126" t="s">
        <v>1</v>
      </c>
      <c r="L353" s="697" t="s">
        <v>1</v>
      </c>
    </row>
    <row r="354" spans="1:12" ht="15.75" x14ac:dyDescent="0.25">
      <c r="A354" s="1099"/>
      <c r="B354" s="1103"/>
      <c r="C354" s="703"/>
      <c r="D354" s="688"/>
      <c r="E354" s="1127"/>
      <c r="F354" s="697"/>
      <c r="G354" s="698" t="s">
        <v>1</v>
      </c>
      <c r="H354" s="1103" t="s">
        <v>1</v>
      </c>
      <c r="I354" s="703" t="s">
        <v>1</v>
      </c>
      <c r="J354" s="681" t="s">
        <v>1</v>
      </c>
      <c r="K354" s="1126" t="s">
        <v>1</v>
      </c>
      <c r="L354" s="1118" t="s">
        <v>1</v>
      </c>
    </row>
    <row r="355" spans="1:12" ht="15.75" x14ac:dyDescent="0.25">
      <c r="A355" s="1099"/>
      <c r="B355" s="1103"/>
      <c r="C355" s="703"/>
      <c r="D355" s="681"/>
      <c r="E355" s="1127"/>
      <c r="F355" s="697"/>
      <c r="G355" s="698" t="s">
        <v>1</v>
      </c>
      <c r="H355" s="1103" t="s">
        <v>1</v>
      </c>
      <c r="I355" s="703" t="s">
        <v>1</v>
      </c>
      <c r="J355" s="687" t="s">
        <v>1</v>
      </c>
      <c r="K355" s="1126" t="s">
        <v>1</v>
      </c>
      <c r="L355" s="697" t="s">
        <v>1</v>
      </c>
    </row>
    <row r="356" spans="1:12" ht="15.75" x14ac:dyDescent="0.25">
      <c r="A356" s="1099"/>
      <c r="B356" s="1103"/>
      <c r="C356" s="703"/>
      <c r="D356" s="690"/>
      <c r="E356" s="1126"/>
      <c r="F356" s="1119"/>
      <c r="G356" s="698" t="s">
        <v>1</v>
      </c>
      <c r="H356" s="1103" t="s">
        <v>1</v>
      </c>
      <c r="I356" s="703" t="s">
        <v>1</v>
      </c>
      <c r="J356" s="681" t="s">
        <v>1</v>
      </c>
      <c r="K356" s="1126" t="s">
        <v>1</v>
      </c>
      <c r="L356" s="1119" t="s">
        <v>1</v>
      </c>
    </row>
    <row r="357" spans="1:12" ht="15.75" x14ac:dyDescent="0.25">
      <c r="A357" s="1099" t="s">
        <v>1</v>
      </c>
      <c r="B357" s="1103" t="s">
        <v>1</v>
      </c>
      <c r="C357" s="703" t="s">
        <v>1</v>
      </c>
      <c r="D357" s="687" t="s">
        <v>1</v>
      </c>
      <c r="E357" s="1126" t="s">
        <v>1</v>
      </c>
      <c r="F357" s="697" t="s">
        <v>1</v>
      </c>
      <c r="G357" s="698" t="s">
        <v>1</v>
      </c>
      <c r="H357" s="1103" t="s">
        <v>1</v>
      </c>
      <c r="I357" s="703" t="s">
        <v>1</v>
      </c>
      <c r="J357" s="687" t="s">
        <v>1</v>
      </c>
      <c r="K357" s="1126" t="s">
        <v>1</v>
      </c>
      <c r="L357" s="697" t="s">
        <v>1</v>
      </c>
    </row>
    <row r="358" spans="1:12" ht="15.75" x14ac:dyDescent="0.25">
      <c r="A358" s="1099" t="s">
        <v>1</v>
      </c>
      <c r="B358" s="1103" t="s">
        <v>1</v>
      </c>
      <c r="C358" s="703" t="s">
        <v>1</v>
      </c>
      <c r="D358" s="681" t="s">
        <v>1</v>
      </c>
      <c r="E358" s="1126" t="s">
        <v>1</v>
      </c>
      <c r="F358" s="697" t="s">
        <v>1</v>
      </c>
      <c r="G358" s="698" t="s">
        <v>1</v>
      </c>
      <c r="H358" s="1103" t="s">
        <v>1</v>
      </c>
      <c r="I358" s="703" t="s">
        <v>1</v>
      </c>
      <c r="J358" s="681" t="s">
        <v>1</v>
      </c>
      <c r="K358" s="1126" t="s">
        <v>1</v>
      </c>
      <c r="L358" s="697" t="s">
        <v>1</v>
      </c>
    </row>
    <row r="359" spans="1:12" ht="15.75" x14ac:dyDescent="0.25">
      <c r="A359" s="1099" t="s">
        <v>1</v>
      </c>
      <c r="B359" s="1103" t="s">
        <v>1</v>
      </c>
      <c r="C359" s="703" t="s">
        <v>1</v>
      </c>
      <c r="D359" s="687" t="s">
        <v>1</v>
      </c>
      <c r="E359" s="1126" t="s">
        <v>1</v>
      </c>
      <c r="F359" s="697" t="s">
        <v>1</v>
      </c>
      <c r="G359" s="697" t="s">
        <v>1</v>
      </c>
      <c r="H359" s="703" t="s">
        <v>1</v>
      </c>
      <c r="I359" s="703" t="s">
        <v>1</v>
      </c>
      <c r="J359" s="681" t="s">
        <v>1</v>
      </c>
      <c r="K359" s="1126" t="s">
        <v>1</v>
      </c>
      <c r="L359" s="697" t="s">
        <v>1</v>
      </c>
    </row>
    <row r="360" spans="1:12" ht="16.5" thickBot="1" x14ac:dyDescent="0.3">
      <c r="A360" s="1102" t="s">
        <v>1</v>
      </c>
      <c r="B360" s="1106" t="s">
        <v>1</v>
      </c>
      <c r="C360" s="570" t="s">
        <v>1</v>
      </c>
      <c r="D360" s="605" t="s">
        <v>1</v>
      </c>
      <c r="E360" s="1133" t="s">
        <v>1</v>
      </c>
      <c r="F360" s="1120" t="s">
        <v>1</v>
      </c>
      <c r="G360" s="700" t="s">
        <v>1</v>
      </c>
      <c r="H360" s="1108" t="s">
        <v>1</v>
      </c>
      <c r="I360" s="1108" t="s">
        <v>1</v>
      </c>
      <c r="J360" s="692" t="s">
        <v>1</v>
      </c>
      <c r="K360" s="1139" t="s">
        <v>1</v>
      </c>
      <c r="L360" s="700" t="s">
        <v>1</v>
      </c>
    </row>
    <row r="361" spans="1:12" ht="23.25" customHeight="1" x14ac:dyDescent="0.35">
      <c r="A361" s="1237" t="s">
        <v>712</v>
      </c>
      <c r="B361" s="1238"/>
      <c r="C361" s="1238"/>
      <c r="D361" s="1238"/>
      <c r="E361" s="1238"/>
      <c r="F361" s="1238"/>
      <c r="G361" s="1238"/>
      <c r="H361" s="1238"/>
      <c r="I361" s="1238"/>
      <c r="J361" s="1238"/>
      <c r="K361" s="1238"/>
      <c r="L361" s="1239"/>
    </row>
    <row r="362" spans="1:12" ht="23.25" customHeight="1" thickBot="1" x14ac:dyDescent="0.4">
      <c r="A362" s="1240" t="s">
        <v>713</v>
      </c>
      <c r="B362" s="1241"/>
      <c r="C362" s="1241"/>
      <c r="D362" s="1241"/>
      <c r="E362" s="1241"/>
      <c r="F362" s="1241"/>
      <c r="G362" s="1241"/>
      <c r="H362" s="1241"/>
      <c r="I362" s="1241"/>
      <c r="J362" s="1241"/>
      <c r="K362" s="1241"/>
      <c r="L362" s="1242"/>
    </row>
    <row r="363" spans="1:12" ht="23.25" customHeight="1" thickBot="1" x14ac:dyDescent="0.4">
      <c r="A363" s="1243" t="s">
        <v>714</v>
      </c>
      <c r="B363" s="1244"/>
      <c r="C363" s="1244"/>
      <c r="D363" s="1244"/>
      <c r="E363" s="1244"/>
      <c r="F363" s="1244"/>
      <c r="G363" s="1244"/>
      <c r="H363" s="1244"/>
      <c r="I363" s="1244"/>
      <c r="J363" s="1244"/>
      <c r="K363" s="1244"/>
      <c r="L363" s="1245"/>
    </row>
    <row r="364" spans="1:12" ht="23.25" customHeight="1" x14ac:dyDescent="0.35">
      <c r="A364" s="619" t="s">
        <v>715</v>
      </c>
      <c r="B364" s="620"/>
      <c r="C364" s="620"/>
      <c r="D364" s="621" t="s">
        <v>716</v>
      </c>
      <c r="E364" s="1241" t="s">
        <v>403</v>
      </c>
      <c r="F364" s="1241"/>
      <c r="G364" s="1241"/>
      <c r="H364" s="1241"/>
      <c r="I364" s="1241"/>
      <c r="J364" s="618" t="s">
        <v>789</v>
      </c>
      <c r="K364" s="1241" t="s">
        <v>1</v>
      </c>
      <c r="L364" s="1242"/>
    </row>
    <row r="365" spans="1:12" ht="15.75" thickBot="1" x14ac:dyDescent="0.3">
      <c r="A365" s="560" t="s">
        <v>1</v>
      </c>
      <c r="B365" s="561" t="s">
        <v>1</v>
      </c>
      <c r="C365" s="561" t="s">
        <v>1</v>
      </c>
      <c r="D365" s="562" t="s">
        <v>1</v>
      </c>
      <c r="E365" s="561" t="s">
        <v>1</v>
      </c>
      <c r="F365" s="561" t="s">
        <v>1</v>
      </c>
      <c r="G365" s="561" t="s">
        <v>1</v>
      </c>
      <c r="H365" s="561" t="s">
        <v>1</v>
      </c>
      <c r="I365" s="1227" t="s">
        <v>1</v>
      </c>
      <c r="J365" s="1227"/>
      <c r="K365" s="561" t="s">
        <v>1</v>
      </c>
      <c r="L365" s="563" t="s">
        <v>1</v>
      </c>
    </row>
    <row r="366" spans="1:12" ht="15.75" x14ac:dyDescent="0.25">
      <c r="A366" s="564" t="s">
        <v>719</v>
      </c>
      <c r="B366" s="565" t="s">
        <v>1</v>
      </c>
      <c r="C366" s="569" t="s">
        <v>1</v>
      </c>
      <c r="D366" s="567" t="s">
        <v>720</v>
      </c>
      <c r="E366" s="699" t="s">
        <v>721</v>
      </c>
      <c r="F366" s="569" t="s">
        <v>722</v>
      </c>
      <c r="G366" s="564" t="s">
        <v>719</v>
      </c>
      <c r="H366" s="570" t="s">
        <v>1</v>
      </c>
      <c r="I366" s="1109" t="s">
        <v>1</v>
      </c>
      <c r="J366" s="572" t="s">
        <v>720</v>
      </c>
      <c r="K366" s="700" t="s">
        <v>721</v>
      </c>
      <c r="L366" s="700" t="s">
        <v>722</v>
      </c>
    </row>
    <row r="367" spans="1:12" ht="15.75" x14ac:dyDescent="0.25">
      <c r="A367" s="1099" t="s">
        <v>1</v>
      </c>
      <c r="B367" s="574" t="s">
        <v>1</v>
      </c>
      <c r="C367" s="702" t="s">
        <v>1</v>
      </c>
      <c r="D367" s="680" t="s">
        <v>1</v>
      </c>
      <c r="E367" s="1125" t="s">
        <v>1</v>
      </c>
      <c r="F367" s="1110" t="s">
        <v>1</v>
      </c>
      <c r="G367" s="697" t="s">
        <v>1</v>
      </c>
      <c r="H367" s="703" t="s">
        <v>1</v>
      </c>
      <c r="I367" s="703" t="s">
        <v>1</v>
      </c>
      <c r="J367" s="682" t="s">
        <v>1</v>
      </c>
      <c r="K367" s="1136" t="s">
        <v>1</v>
      </c>
      <c r="L367" s="1123" t="s">
        <v>1</v>
      </c>
    </row>
    <row r="368" spans="1:12" ht="15.75" x14ac:dyDescent="0.25">
      <c r="A368" s="1099" t="s">
        <v>1</v>
      </c>
      <c r="B368" s="1103" t="s">
        <v>273</v>
      </c>
      <c r="C368" s="703">
        <v>110</v>
      </c>
      <c r="D368" s="681" t="s">
        <v>816</v>
      </c>
      <c r="E368" s="1126" t="s">
        <v>1</v>
      </c>
      <c r="F368" s="1111" t="s">
        <v>1</v>
      </c>
      <c r="G368" s="1099" t="s">
        <v>1</v>
      </c>
      <c r="H368" s="1103" t="s">
        <v>881</v>
      </c>
      <c r="I368" s="703">
        <v>121</v>
      </c>
      <c r="J368" s="681" t="s">
        <v>951</v>
      </c>
      <c r="K368" s="1126" t="s">
        <v>1</v>
      </c>
      <c r="L368" s="697" t="s">
        <v>1</v>
      </c>
    </row>
    <row r="369" spans="1:12" ht="15.75" x14ac:dyDescent="0.25">
      <c r="A369" s="1099" t="s">
        <v>725</v>
      </c>
      <c r="B369" s="1104" t="s">
        <v>1</v>
      </c>
      <c r="C369" s="703" t="s">
        <v>1</v>
      </c>
      <c r="D369" s="681" t="s">
        <v>726</v>
      </c>
      <c r="E369" s="1126" t="s">
        <v>1</v>
      </c>
      <c r="F369" s="1112">
        <v>0.28125</v>
      </c>
      <c r="G369" s="1099">
        <v>7</v>
      </c>
      <c r="H369" s="1103" t="s">
        <v>1</v>
      </c>
      <c r="I369" s="703" t="s">
        <v>1</v>
      </c>
      <c r="J369" s="685" t="s">
        <v>728</v>
      </c>
      <c r="K369" s="1126" t="s">
        <v>1</v>
      </c>
      <c r="L369" s="1114">
        <v>0.73958333333333337</v>
      </c>
    </row>
    <row r="370" spans="1:12" ht="15.75" x14ac:dyDescent="0.25">
      <c r="A370" s="1099" t="s">
        <v>727</v>
      </c>
      <c r="B370" s="1103" t="s">
        <v>1</v>
      </c>
      <c r="C370" s="703" t="s">
        <v>1</v>
      </c>
      <c r="D370" s="686" t="s">
        <v>48</v>
      </c>
      <c r="E370" s="1126" t="s">
        <v>1</v>
      </c>
      <c r="F370" s="1113">
        <v>0.30208333333333331</v>
      </c>
      <c r="G370" s="1099" t="s">
        <v>1</v>
      </c>
      <c r="H370" s="1103" t="s">
        <v>1</v>
      </c>
      <c r="I370" s="703" t="s">
        <v>1</v>
      </c>
      <c r="J370" s="681" t="s">
        <v>1</v>
      </c>
      <c r="K370" s="1126" t="s">
        <v>1</v>
      </c>
      <c r="L370" s="697" t="s">
        <v>1</v>
      </c>
    </row>
    <row r="371" spans="1:12" ht="15.75" x14ac:dyDescent="0.25">
      <c r="A371" s="1099" t="s">
        <v>1</v>
      </c>
      <c r="B371" s="1103" t="s">
        <v>1</v>
      </c>
      <c r="C371" s="703" t="s">
        <v>1</v>
      </c>
      <c r="D371" s="694"/>
      <c r="E371" s="1135" t="s">
        <v>1</v>
      </c>
      <c r="F371" s="697" t="s">
        <v>1</v>
      </c>
      <c r="G371" s="1099">
        <v>7</v>
      </c>
      <c r="H371" s="1103" t="s">
        <v>1</v>
      </c>
      <c r="I371" s="703" t="s">
        <v>1</v>
      </c>
      <c r="J371" s="688" t="s">
        <v>50</v>
      </c>
      <c r="K371" s="1126" t="s">
        <v>1</v>
      </c>
      <c r="L371" s="1116">
        <v>0.8125</v>
      </c>
    </row>
    <row r="372" spans="1:12" ht="15.75" x14ac:dyDescent="0.25">
      <c r="A372" s="1099" t="s">
        <v>727</v>
      </c>
      <c r="B372" s="1103" t="s">
        <v>1</v>
      </c>
      <c r="C372" s="703" t="s">
        <v>1</v>
      </c>
      <c r="D372" s="695" t="s">
        <v>728</v>
      </c>
      <c r="E372" s="1126" t="s">
        <v>1</v>
      </c>
      <c r="F372" s="1114">
        <v>0.35416666666666669</v>
      </c>
      <c r="G372" s="1099" t="s">
        <v>1</v>
      </c>
      <c r="H372" s="1103" t="s">
        <v>1</v>
      </c>
      <c r="I372" s="703" t="s">
        <v>1</v>
      </c>
      <c r="J372" s="681" t="s">
        <v>1</v>
      </c>
      <c r="K372" s="1126" t="s">
        <v>1</v>
      </c>
      <c r="L372" s="697" t="s">
        <v>1</v>
      </c>
    </row>
    <row r="373" spans="1:12" ht="15.75" x14ac:dyDescent="0.25">
      <c r="A373" s="1099" t="s">
        <v>1</v>
      </c>
      <c r="B373" s="1103" t="s">
        <v>1</v>
      </c>
      <c r="C373" s="703" t="s">
        <v>1</v>
      </c>
      <c r="D373" s="681" t="s">
        <v>1</v>
      </c>
      <c r="E373" s="1126" t="s">
        <v>1</v>
      </c>
      <c r="F373" s="697" t="s">
        <v>1</v>
      </c>
      <c r="G373" s="1099" t="s">
        <v>1</v>
      </c>
      <c r="H373" s="1103" t="s">
        <v>1</v>
      </c>
      <c r="I373" s="703" t="s">
        <v>1</v>
      </c>
      <c r="J373" s="685" t="s">
        <v>728</v>
      </c>
      <c r="K373" s="1127">
        <v>0.86805555555555558</v>
      </c>
      <c r="L373" s="1118" t="s">
        <v>1</v>
      </c>
    </row>
    <row r="374" spans="1:12" ht="15.75" x14ac:dyDescent="0.25">
      <c r="A374" s="1099" t="s">
        <v>727</v>
      </c>
      <c r="B374" s="1103" t="s">
        <v>1</v>
      </c>
      <c r="C374" s="703" t="s">
        <v>1</v>
      </c>
      <c r="D374" s="686" t="s">
        <v>48</v>
      </c>
      <c r="E374" s="1126" t="s">
        <v>1</v>
      </c>
      <c r="F374" s="1113">
        <v>0.40625</v>
      </c>
      <c r="G374" s="1099" t="s">
        <v>1</v>
      </c>
      <c r="H374" s="1103" t="s">
        <v>892</v>
      </c>
      <c r="I374" s="703" t="s">
        <v>273</v>
      </c>
      <c r="J374" s="687" t="s">
        <v>1</v>
      </c>
      <c r="K374" s="1126" t="s">
        <v>1</v>
      </c>
      <c r="L374" s="697" t="s">
        <v>1</v>
      </c>
    </row>
    <row r="375" spans="1:12" ht="15.75" x14ac:dyDescent="0.25">
      <c r="A375" s="1099" t="s">
        <v>1</v>
      </c>
      <c r="B375" s="1103" t="s">
        <v>1</v>
      </c>
      <c r="C375" s="703" t="s">
        <v>1</v>
      </c>
      <c r="D375" s="687" t="s">
        <v>1</v>
      </c>
      <c r="E375" s="1126" t="s">
        <v>1</v>
      </c>
      <c r="F375" s="697" t="s">
        <v>1</v>
      </c>
      <c r="G375" s="1099" t="s">
        <v>1</v>
      </c>
      <c r="H375" s="1103" t="s">
        <v>1</v>
      </c>
      <c r="I375" s="703" t="s">
        <v>1</v>
      </c>
      <c r="J375" s="685" t="s">
        <v>1</v>
      </c>
      <c r="K375" s="1126" t="s">
        <v>1</v>
      </c>
      <c r="L375" s="1115" t="s">
        <v>1</v>
      </c>
    </row>
    <row r="376" spans="1:12" ht="15.75" x14ac:dyDescent="0.25">
      <c r="A376" s="1099" t="s">
        <v>1</v>
      </c>
      <c r="B376" s="1103" t="s">
        <v>1</v>
      </c>
      <c r="C376" s="703" t="s">
        <v>1</v>
      </c>
      <c r="D376" s="685" t="s">
        <v>728</v>
      </c>
      <c r="E376" s="1127">
        <v>0.46875</v>
      </c>
      <c r="F376" s="1115" t="s">
        <v>1</v>
      </c>
      <c r="G376" s="1099" t="s">
        <v>1</v>
      </c>
      <c r="H376" s="1103" t="s">
        <v>881</v>
      </c>
      <c r="I376" s="703">
        <v>128</v>
      </c>
      <c r="J376" s="681" t="s">
        <v>952</v>
      </c>
      <c r="K376" s="1126" t="s">
        <v>1</v>
      </c>
      <c r="L376" s="697" t="s">
        <v>1</v>
      </c>
    </row>
    <row r="377" spans="1:12" ht="15.75" x14ac:dyDescent="0.25">
      <c r="A377" s="1099" t="s">
        <v>1</v>
      </c>
      <c r="B377" s="1103" t="s">
        <v>273</v>
      </c>
      <c r="C377" s="703">
        <v>110</v>
      </c>
      <c r="D377" s="681" t="s">
        <v>925</v>
      </c>
      <c r="E377" s="1126" t="s">
        <v>1</v>
      </c>
      <c r="F377" s="697" t="s">
        <v>1</v>
      </c>
      <c r="G377" s="1099">
        <v>7</v>
      </c>
      <c r="H377" s="1103" t="s">
        <v>1</v>
      </c>
      <c r="I377" s="703" t="s">
        <v>1</v>
      </c>
      <c r="J377" s="685" t="s">
        <v>728</v>
      </c>
      <c r="K377" s="1126" t="s">
        <v>1</v>
      </c>
      <c r="L377" s="1114">
        <v>0.86805555555555558</v>
      </c>
    </row>
    <row r="378" spans="1:12" ht="15.75" x14ac:dyDescent="0.25">
      <c r="A378" s="1099" t="s">
        <v>1</v>
      </c>
      <c r="B378" s="1103" t="s">
        <v>1</v>
      </c>
      <c r="C378" s="703" t="s">
        <v>1</v>
      </c>
      <c r="D378" s="687" t="s">
        <v>1</v>
      </c>
      <c r="E378" s="1126" t="s">
        <v>1</v>
      </c>
      <c r="F378" s="697" t="s">
        <v>1</v>
      </c>
      <c r="G378" s="1099" t="s">
        <v>1</v>
      </c>
      <c r="H378" s="1103" t="s">
        <v>1</v>
      </c>
      <c r="I378" s="703" t="s">
        <v>1</v>
      </c>
      <c r="J378" s="681" t="s">
        <v>1</v>
      </c>
      <c r="K378" s="1126" t="s">
        <v>1</v>
      </c>
      <c r="L378" s="697" t="s">
        <v>1</v>
      </c>
    </row>
    <row r="379" spans="1:12" ht="15.75" x14ac:dyDescent="0.25">
      <c r="A379" s="1099" t="s">
        <v>1</v>
      </c>
      <c r="B379" s="1103" t="s">
        <v>881</v>
      </c>
      <c r="C379" s="703">
        <v>105</v>
      </c>
      <c r="D379" s="681" t="s">
        <v>926</v>
      </c>
      <c r="E379" s="1126" t="s">
        <v>1</v>
      </c>
      <c r="F379" s="697" t="s">
        <v>1</v>
      </c>
      <c r="G379" s="1099">
        <v>7</v>
      </c>
      <c r="H379" s="1103" t="s">
        <v>1</v>
      </c>
      <c r="I379" s="703" t="s">
        <v>1</v>
      </c>
      <c r="J379" s="688" t="s">
        <v>50</v>
      </c>
      <c r="K379" s="1126" t="s">
        <v>1</v>
      </c>
      <c r="L379" s="1116">
        <v>0.91666666666666663</v>
      </c>
    </row>
    <row r="380" spans="1:12" ht="15.75" x14ac:dyDescent="0.25">
      <c r="A380" s="1099" t="s">
        <v>727</v>
      </c>
      <c r="B380" s="1103" t="s">
        <v>1</v>
      </c>
      <c r="C380" s="703" t="s">
        <v>1</v>
      </c>
      <c r="D380" s="685" t="s">
        <v>728</v>
      </c>
      <c r="E380" s="1126" t="s">
        <v>1</v>
      </c>
      <c r="F380" s="1114">
        <v>0.46875</v>
      </c>
      <c r="G380" s="1099" t="s">
        <v>1</v>
      </c>
      <c r="H380" s="1103" t="s">
        <v>1</v>
      </c>
      <c r="I380" s="703" t="s">
        <v>1</v>
      </c>
      <c r="J380" s="681" t="s">
        <v>1</v>
      </c>
      <c r="K380" s="1126" t="s">
        <v>1</v>
      </c>
      <c r="L380" s="697" t="s">
        <v>1</v>
      </c>
    </row>
    <row r="381" spans="1:12" ht="15.75" x14ac:dyDescent="0.25">
      <c r="A381" s="1099" t="s">
        <v>1</v>
      </c>
      <c r="B381" s="1103" t="s">
        <v>1</v>
      </c>
      <c r="C381" s="703" t="s">
        <v>1</v>
      </c>
      <c r="D381" s="681" t="s">
        <v>1</v>
      </c>
      <c r="E381" s="1126" t="s">
        <v>1</v>
      </c>
      <c r="F381" s="697" t="s">
        <v>1</v>
      </c>
      <c r="G381" s="1099" t="s">
        <v>727</v>
      </c>
      <c r="H381" s="1103" t="s">
        <v>1</v>
      </c>
      <c r="I381" s="703" t="s">
        <v>1</v>
      </c>
      <c r="J381" s="685" t="s">
        <v>728</v>
      </c>
      <c r="K381" s="1126" t="s">
        <v>1</v>
      </c>
      <c r="L381" s="1114">
        <v>0.96527777777777779</v>
      </c>
    </row>
    <row r="382" spans="1:12" ht="15.75" x14ac:dyDescent="0.25">
      <c r="A382" s="1099" t="s">
        <v>725</v>
      </c>
      <c r="B382" s="1103" t="s">
        <v>1</v>
      </c>
      <c r="C382" s="703" t="s">
        <v>1</v>
      </c>
      <c r="D382" s="686" t="s">
        <v>48</v>
      </c>
      <c r="E382" s="1127">
        <v>0.53472222222222221</v>
      </c>
      <c r="F382" s="1118" t="s">
        <v>1</v>
      </c>
      <c r="G382" s="1099" t="s">
        <v>1</v>
      </c>
      <c r="H382" s="1103" t="s">
        <v>1</v>
      </c>
      <c r="I382" s="703" t="s">
        <v>1</v>
      </c>
      <c r="J382" s="687" t="s">
        <v>1</v>
      </c>
      <c r="K382" s="1126" t="s">
        <v>1</v>
      </c>
      <c r="L382" s="697" t="s">
        <v>1</v>
      </c>
    </row>
    <row r="383" spans="1:12" ht="15.75" x14ac:dyDescent="0.25">
      <c r="A383" s="1099" t="s">
        <v>1</v>
      </c>
      <c r="B383" s="1103" t="s">
        <v>1</v>
      </c>
      <c r="C383" s="703" t="s">
        <v>1</v>
      </c>
      <c r="D383" s="681" t="s">
        <v>733</v>
      </c>
      <c r="E383" s="1127">
        <v>0.55555555555555558</v>
      </c>
      <c r="F383" s="697" t="s">
        <v>1</v>
      </c>
      <c r="G383" s="1099" t="s">
        <v>725</v>
      </c>
      <c r="H383" s="1103" t="s">
        <v>1</v>
      </c>
      <c r="I383" s="703" t="s">
        <v>1</v>
      </c>
      <c r="J383" s="686" t="s">
        <v>48</v>
      </c>
      <c r="K383" s="1127">
        <v>1.3888888888888888E-2</v>
      </c>
      <c r="L383" s="1115" t="s">
        <v>1</v>
      </c>
    </row>
    <row r="384" spans="1:12" ht="15.75" x14ac:dyDescent="0.25">
      <c r="A384" s="1099" t="s">
        <v>1</v>
      </c>
      <c r="B384" s="1103" t="s">
        <v>276</v>
      </c>
      <c r="C384" s="703" t="s">
        <v>273</v>
      </c>
      <c r="D384" s="685" t="s">
        <v>1</v>
      </c>
      <c r="E384" s="1126" t="s">
        <v>1</v>
      </c>
      <c r="F384" s="1115" t="s">
        <v>1</v>
      </c>
      <c r="G384" s="1099" t="s">
        <v>1</v>
      </c>
      <c r="H384" s="1103" t="s">
        <v>1</v>
      </c>
      <c r="I384" s="703" t="s">
        <v>1</v>
      </c>
      <c r="J384" s="681" t="s">
        <v>733</v>
      </c>
      <c r="K384" s="1127">
        <v>3.4722222222222224E-2</v>
      </c>
      <c r="L384" s="697" t="s">
        <v>1</v>
      </c>
    </row>
    <row r="385" spans="1:12" ht="15.75" x14ac:dyDescent="0.25">
      <c r="A385" s="1099" t="s">
        <v>1</v>
      </c>
      <c r="B385" s="1103" t="s">
        <v>1</v>
      </c>
      <c r="C385" s="703" t="s">
        <v>1</v>
      </c>
      <c r="D385" s="681" t="s">
        <v>1</v>
      </c>
      <c r="E385" s="1126" t="s">
        <v>1</v>
      </c>
      <c r="F385" s="697" t="s">
        <v>1</v>
      </c>
      <c r="G385" s="1099" t="s">
        <v>1</v>
      </c>
      <c r="H385" s="1103" t="s">
        <v>276</v>
      </c>
      <c r="I385" s="703" t="s">
        <v>273</v>
      </c>
      <c r="J385" s="681" t="s">
        <v>1</v>
      </c>
      <c r="K385" s="1126" t="s">
        <v>1</v>
      </c>
      <c r="L385" s="697" t="s">
        <v>1</v>
      </c>
    </row>
    <row r="386" spans="1:12" ht="15.75" x14ac:dyDescent="0.25">
      <c r="A386" s="1099" t="s">
        <v>1</v>
      </c>
      <c r="B386" s="1103"/>
      <c r="C386" s="703"/>
      <c r="D386" s="681"/>
      <c r="E386" s="1126"/>
      <c r="F386" s="1111"/>
      <c r="G386" s="698"/>
      <c r="H386" s="1103"/>
      <c r="I386" s="703"/>
      <c r="J386" s="687"/>
      <c r="K386" s="1126"/>
      <c r="L386" s="697"/>
    </row>
    <row r="387" spans="1:12" ht="15.75" x14ac:dyDescent="0.25">
      <c r="A387" s="1099" t="s">
        <v>1</v>
      </c>
      <c r="B387" s="1103" t="s">
        <v>881</v>
      </c>
      <c r="C387" s="703">
        <v>123</v>
      </c>
      <c r="D387" s="681" t="s">
        <v>949</v>
      </c>
      <c r="E387" s="1126" t="s">
        <v>1</v>
      </c>
      <c r="F387" s="1111" t="s">
        <v>1</v>
      </c>
      <c r="G387" s="698" t="s">
        <v>1</v>
      </c>
      <c r="H387" s="1103" t="s">
        <v>1</v>
      </c>
      <c r="I387" s="703" t="s">
        <v>1</v>
      </c>
      <c r="J387" s="681" t="s">
        <v>1</v>
      </c>
      <c r="K387" s="1126" t="s">
        <v>1</v>
      </c>
      <c r="L387" s="1119" t="s">
        <v>1</v>
      </c>
    </row>
    <row r="388" spans="1:12" ht="15.75" x14ac:dyDescent="0.25">
      <c r="A388" s="1099" t="s">
        <v>725</v>
      </c>
      <c r="B388" s="1104" t="s">
        <v>1</v>
      </c>
      <c r="C388" s="703" t="s">
        <v>1</v>
      </c>
      <c r="D388" s="681" t="s">
        <v>883</v>
      </c>
      <c r="E388" s="1126" t="s">
        <v>1</v>
      </c>
      <c r="F388" s="1112">
        <v>0.58680555555555558</v>
      </c>
      <c r="G388" s="698" t="s">
        <v>1</v>
      </c>
      <c r="H388" s="1103" t="s">
        <v>1</v>
      </c>
      <c r="I388" s="703" t="s">
        <v>1</v>
      </c>
      <c r="J388" s="687" t="s">
        <v>1</v>
      </c>
      <c r="K388" s="1126" t="s">
        <v>1</v>
      </c>
      <c r="L388" s="697" t="s">
        <v>1</v>
      </c>
    </row>
    <row r="389" spans="1:12" ht="15.75" x14ac:dyDescent="0.25">
      <c r="A389" s="1099" t="s">
        <v>727</v>
      </c>
      <c r="B389" s="1103" t="s">
        <v>1</v>
      </c>
      <c r="C389" s="703" t="s">
        <v>1</v>
      </c>
      <c r="D389" s="685" t="s">
        <v>728</v>
      </c>
      <c r="E389" s="1126" t="s">
        <v>1</v>
      </c>
      <c r="F389" s="1114">
        <v>0.61111111111111116</v>
      </c>
      <c r="G389" s="698" t="s">
        <v>1</v>
      </c>
      <c r="H389" s="1103" t="s">
        <v>1</v>
      </c>
      <c r="I389" s="703" t="s">
        <v>1</v>
      </c>
      <c r="J389" s="681" t="s">
        <v>1</v>
      </c>
      <c r="K389" s="1126" t="s">
        <v>1</v>
      </c>
      <c r="L389" s="697" t="s">
        <v>1</v>
      </c>
    </row>
    <row r="390" spans="1:12" ht="15.75" x14ac:dyDescent="0.25">
      <c r="A390" s="1099" t="s">
        <v>1</v>
      </c>
      <c r="B390" s="1103" t="s">
        <v>1</v>
      </c>
      <c r="C390" s="703" t="s">
        <v>1</v>
      </c>
      <c r="D390" s="685" t="s">
        <v>1</v>
      </c>
      <c r="E390" s="1126" t="s">
        <v>1</v>
      </c>
      <c r="F390" s="697" t="s">
        <v>1</v>
      </c>
      <c r="G390" s="697" t="s">
        <v>1</v>
      </c>
      <c r="H390" s="703" t="s">
        <v>1</v>
      </c>
      <c r="I390" s="703" t="s">
        <v>1</v>
      </c>
      <c r="J390" s="681" t="s">
        <v>1</v>
      </c>
      <c r="K390" s="1126" t="s">
        <v>1</v>
      </c>
      <c r="L390" s="697" t="s">
        <v>1</v>
      </c>
    </row>
    <row r="391" spans="1:12" ht="15.75" x14ac:dyDescent="0.25">
      <c r="A391" s="1099" t="s">
        <v>727</v>
      </c>
      <c r="B391" s="1103" t="s">
        <v>1</v>
      </c>
      <c r="C391" s="703" t="s">
        <v>1</v>
      </c>
      <c r="D391" s="686" t="s">
        <v>48</v>
      </c>
      <c r="E391" s="1126" t="s">
        <v>1</v>
      </c>
      <c r="F391" s="1113">
        <v>0.67708333333333337</v>
      </c>
      <c r="G391" s="1099" t="s">
        <v>1</v>
      </c>
      <c r="H391" s="1103" t="s">
        <v>1</v>
      </c>
      <c r="I391" s="703" t="s">
        <v>1</v>
      </c>
      <c r="J391" s="687" t="s">
        <v>1</v>
      </c>
      <c r="K391" s="1126" t="s">
        <v>1</v>
      </c>
      <c r="L391" s="697" t="s">
        <v>1</v>
      </c>
    </row>
    <row r="392" spans="1:12" ht="15.75" x14ac:dyDescent="0.25">
      <c r="A392" s="1099" t="s">
        <v>1</v>
      </c>
      <c r="B392" s="1103" t="s">
        <v>1</v>
      </c>
      <c r="C392" s="703" t="s">
        <v>1</v>
      </c>
      <c r="D392" s="681" t="s">
        <v>1</v>
      </c>
      <c r="E392" s="1126" t="s">
        <v>1</v>
      </c>
      <c r="F392" s="697" t="s">
        <v>1</v>
      </c>
      <c r="G392" s="1099" t="s">
        <v>1</v>
      </c>
      <c r="H392" s="1103"/>
      <c r="I392" s="703"/>
      <c r="J392" s="686"/>
      <c r="K392" s="1127"/>
      <c r="L392" s="1115" t="s">
        <v>1</v>
      </c>
    </row>
    <row r="393" spans="1:12" ht="15.75" x14ac:dyDescent="0.25">
      <c r="A393" s="1099" t="s">
        <v>1</v>
      </c>
      <c r="B393" s="1103" t="s">
        <v>1</v>
      </c>
      <c r="C393" s="703" t="s">
        <v>1</v>
      </c>
      <c r="D393" s="685" t="s">
        <v>728</v>
      </c>
      <c r="E393" s="1127">
        <v>0.73958333333333337</v>
      </c>
      <c r="F393" s="1118" t="s">
        <v>1</v>
      </c>
      <c r="G393" s="1099" t="s">
        <v>1</v>
      </c>
      <c r="H393" s="1103"/>
      <c r="I393" s="703"/>
      <c r="J393" s="681"/>
      <c r="K393" s="1127"/>
      <c r="L393" s="697" t="s">
        <v>1</v>
      </c>
    </row>
    <row r="394" spans="1:12" ht="15.75" x14ac:dyDescent="0.25">
      <c r="A394" s="1099" t="s">
        <v>1</v>
      </c>
      <c r="B394" s="1103" t="s">
        <v>881</v>
      </c>
      <c r="C394" s="703">
        <v>123</v>
      </c>
      <c r="D394" s="681" t="s">
        <v>950</v>
      </c>
      <c r="E394" s="1126" t="s">
        <v>1</v>
      </c>
      <c r="F394" s="697" t="s">
        <v>1</v>
      </c>
      <c r="G394" s="1099" t="s">
        <v>1</v>
      </c>
      <c r="H394" s="1103"/>
      <c r="I394" s="703"/>
      <c r="J394" s="681"/>
      <c r="K394" s="1126"/>
      <c r="L394" s="697" t="s">
        <v>1</v>
      </c>
    </row>
    <row r="395" spans="1:12" ht="15.75" x14ac:dyDescent="0.25">
      <c r="A395" s="1099" t="s">
        <v>1</v>
      </c>
      <c r="B395" s="1103" t="s">
        <v>1</v>
      </c>
      <c r="C395" s="703" t="s">
        <v>1</v>
      </c>
      <c r="D395" s="687" t="s">
        <v>1</v>
      </c>
      <c r="E395" s="1126" t="s">
        <v>1</v>
      </c>
      <c r="F395" s="697" t="s">
        <v>1</v>
      </c>
      <c r="G395" s="698" t="s">
        <v>1</v>
      </c>
      <c r="H395" s="1103"/>
      <c r="I395" s="703"/>
      <c r="J395" s="687"/>
      <c r="K395" s="1126"/>
      <c r="L395" s="697" t="s">
        <v>1</v>
      </c>
    </row>
    <row r="396" spans="1:12" ht="15.75" x14ac:dyDescent="0.25">
      <c r="A396" s="1099" t="s">
        <v>1</v>
      </c>
      <c r="B396" s="1103" t="s">
        <v>1</v>
      </c>
      <c r="C396" s="703" t="s">
        <v>1</v>
      </c>
      <c r="D396" s="690" t="s">
        <v>1</v>
      </c>
      <c r="E396" s="1126" t="s">
        <v>1</v>
      </c>
      <c r="F396" s="1119" t="s">
        <v>1</v>
      </c>
      <c r="G396" s="698" t="s">
        <v>1</v>
      </c>
      <c r="H396" s="1103" t="s">
        <v>1</v>
      </c>
      <c r="I396" s="703" t="s">
        <v>1</v>
      </c>
      <c r="J396" s="681" t="s">
        <v>1</v>
      </c>
      <c r="K396" s="1126" t="s">
        <v>1</v>
      </c>
      <c r="L396" s="1119" t="s">
        <v>1</v>
      </c>
    </row>
    <row r="397" spans="1:12" ht="15.75" x14ac:dyDescent="0.25">
      <c r="A397" s="1099" t="s">
        <v>1</v>
      </c>
      <c r="B397" s="1103" t="s">
        <v>1</v>
      </c>
      <c r="C397" s="703" t="s">
        <v>1</v>
      </c>
      <c r="D397" s="687" t="s">
        <v>1</v>
      </c>
      <c r="E397" s="1126" t="s">
        <v>1</v>
      </c>
      <c r="F397" s="697" t="s">
        <v>1</v>
      </c>
      <c r="G397" s="698" t="s">
        <v>1</v>
      </c>
      <c r="H397" s="1103" t="s">
        <v>1</v>
      </c>
      <c r="I397" s="703" t="s">
        <v>1</v>
      </c>
      <c r="J397" s="687" t="s">
        <v>1</v>
      </c>
      <c r="K397" s="1126" t="s">
        <v>1</v>
      </c>
      <c r="L397" s="697" t="s">
        <v>1</v>
      </c>
    </row>
    <row r="398" spans="1:12" ht="15.75" x14ac:dyDescent="0.25">
      <c r="A398" s="1099" t="s">
        <v>1</v>
      </c>
      <c r="B398" s="1103" t="s">
        <v>1</v>
      </c>
      <c r="C398" s="703" t="s">
        <v>1</v>
      </c>
      <c r="D398" s="681" t="s">
        <v>1</v>
      </c>
      <c r="E398" s="1126" t="s">
        <v>1</v>
      </c>
      <c r="F398" s="697" t="s">
        <v>1</v>
      </c>
      <c r="G398" s="698" t="s">
        <v>1</v>
      </c>
      <c r="H398" s="1103" t="s">
        <v>1</v>
      </c>
      <c r="I398" s="703" t="s">
        <v>1</v>
      </c>
      <c r="J398" s="681" t="s">
        <v>1</v>
      </c>
      <c r="K398" s="1126" t="s">
        <v>1</v>
      </c>
      <c r="L398" s="697" t="s">
        <v>1</v>
      </c>
    </row>
    <row r="399" spans="1:12" ht="15.75" x14ac:dyDescent="0.25">
      <c r="A399" s="1099" t="s">
        <v>1</v>
      </c>
      <c r="B399" s="1103" t="s">
        <v>1</v>
      </c>
      <c r="C399" s="703" t="s">
        <v>1</v>
      </c>
      <c r="D399" s="687" t="s">
        <v>1</v>
      </c>
      <c r="E399" s="1126" t="s">
        <v>1</v>
      </c>
      <c r="F399" s="697" t="s">
        <v>1</v>
      </c>
      <c r="G399" s="697" t="s">
        <v>1</v>
      </c>
      <c r="H399" s="703" t="s">
        <v>1</v>
      </c>
      <c r="I399" s="703" t="s">
        <v>1</v>
      </c>
      <c r="J399" s="681" t="s">
        <v>1</v>
      </c>
      <c r="K399" s="1126" t="s">
        <v>1</v>
      </c>
      <c r="L399" s="697" t="s">
        <v>1</v>
      </c>
    </row>
    <row r="400" spans="1:12" ht="16.5" thickBot="1" x14ac:dyDescent="0.3">
      <c r="A400" s="1102" t="s">
        <v>1</v>
      </c>
      <c r="B400" s="1106" t="s">
        <v>1</v>
      </c>
      <c r="C400" s="570" t="s">
        <v>1</v>
      </c>
      <c r="D400" s="605" t="s">
        <v>1</v>
      </c>
      <c r="E400" s="1133" t="s">
        <v>1</v>
      </c>
      <c r="F400" s="1120" t="s">
        <v>1</v>
      </c>
      <c r="G400" s="700" t="s">
        <v>1</v>
      </c>
      <c r="H400" s="1108" t="s">
        <v>1</v>
      </c>
      <c r="I400" s="1108" t="s">
        <v>1</v>
      </c>
      <c r="J400" s="692" t="s">
        <v>1</v>
      </c>
      <c r="K400" s="1139" t="s">
        <v>1</v>
      </c>
      <c r="L400" s="700" t="s">
        <v>1</v>
      </c>
    </row>
    <row r="401" spans="1:12" ht="23.25" customHeight="1" x14ac:dyDescent="0.35">
      <c r="A401" s="1237" t="s">
        <v>712</v>
      </c>
      <c r="B401" s="1238"/>
      <c r="C401" s="1238"/>
      <c r="D401" s="1238"/>
      <c r="E401" s="1238"/>
      <c r="F401" s="1238"/>
      <c r="G401" s="1238"/>
      <c r="H401" s="1238"/>
      <c r="I401" s="1238"/>
      <c r="J401" s="1238"/>
      <c r="K401" s="1238"/>
      <c r="L401" s="1239"/>
    </row>
    <row r="402" spans="1:12" ht="23.25" customHeight="1" thickBot="1" x14ac:dyDescent="0.4">
      <c r="A402" s="1240" t="s">
        <v>713</v>
      </c>
      <c r="B402" s="1241"/>
      <c r="C402" s="1241"/>
      <c r="D402" s="1241"/>
      <c r="E402" s="1241"/>
      <c r="F402" s="1241"/>
      <c r="G402" s="1241"/>
      <c r="H402" s="1241"/>
      <c r="I402" s="1241"/>
      <c r="J402" s="1241"/>
      <c r="K402" s="1241"/>
      <c r="L402" s="1242"/>
    </row>
    <row r="403" spans="1:12" ht="23.25" customHeight="1" thickBot="1" x14ac:dyDescent="0.4">
      <c r="A403" s="1243" t="s">
        <v>714</v>
      </c>
      <c r="B403" s="1244"/>
      <c r="C403" s="1244"/>
      <c r="D403" s="1244"/>
      <c r="E403" s="1244"/>
      <c r="F403" s="1244"/>
      <c r="G403" s="1244"/>
      <c r="H403" s="1244"/>
      <c r="I403" s="1244"/>
      <c r="J403" s="1244"/>
      <c r="K403" s="1244"/>
      <c r="L403" s="1245"/>
    </row>
    <row r="404" spans="1:12" ht="23.25" customHeight="1" x14ac:dyDescent="0.35">
      <c r="A404" s="619" t="s">
        <v>715</v>
      </c>
      <c r="B404" s="620"/>
      <c r="C404" s="620"/>
      <c r="D404" s="621" t="s">
        <v>716</v>
      </c>
      <c r="E404" s="1241" t="s">
        <v>403</v>
      </c>
      <c r="F404" s="1241"/>
      <c r="G404" s="1241"/>
      <c r="H404" s="1241"/>
      <c r="I404" s="1241"/>
      <c r="J404" s="618" t="s">
        <v>796</v>
      </c>
      <c r="K404" s="1241" t="s">
        <v>1</v>
      </c>
      <c r="L404" s="1242"/>
    </row>
    <row r="405" spans="1:12" ht="15.75" thickBot="1" x14ac:dyDescent="0.3">
      <c r="A405" s="560" t="s">
        <v>1</v>
      </c>
      <c r="B405" s="561" t="s">
        <v>1</v>
      </c>
      <c r="C405" s="561" t="s">
        <v>1</v>
      </c>
      <c r="D405" s="562" t="s">
        <v>1</v>
      </c>
      <c r="E405" s="561" t="s">
        <v>1</v>
      </c>
      <c r="F405" s="561" t="s">
        <v>1</v>
      </c>
      <c r="G405" s="561" t="s">
        <v>1</v>
      </c>
      <c r="H405" s="561" t="s">
        <v>1</v>
      </c>
      <c r="I405" s="1227" t="s">
        <v>1</v>
      </c>
      <c r="J405" s="1227"/>
      <c r="K405" s="561" t="s">
        <v>1</v>
      </c>
      <c r="L405" s="563" t="s">
        <v>1</v>
      </c>
    </row>
    <row r="406" spans="1:12" ht="15.75" x14ac:dyDescent="0.25">
      <c r="A406" s="564" t="s">
        <v>719</v>
      </c>
      <c r="B406" s="565" t="s">
        <v>1</v>
      </c>
      <c r="C406" s="569" t="s">
        <v>1</v>
      </c>
      <c r="D406" s="567" t="s">
        <v>720</v>
      </c>
      <c r="E406" s="699" t="s">
        <v>721</v>
      </c>
      <c r="F406" s="569" t="s">
        <v>722</v>
      </c>
      <c r="G406" s="564" t="s">
        <v>719</v>
      </c>
      <c r="H406" s="570" t="s">
        <v>1</v>
      </c>
      <c r="I406" s="1109" t="s">
        <v>1</v>
      </c>
      <c r="J406" s="572" t="s">
        <v>720</v>
      </c>
      <c r="K406" s="700" t="s">
        <v>721</v>
      </c>
      <c r="L406" s="700" t="s">
        <v>722</v>
      </c>
    </row>
    <row r="407" spans="1:12" ht="15.75" x14ac:dyDescent="0.25">
      <c r="A407" s="1099" t="s">
        <v>1</v>
      </c>
      <c r="B407" s="574" t="s">
        <v>1</v>
      </c>
      <c r="C407" s="702" t="s">
        <v>1</v>
      </c>
      <c r="D407" s="680" t="s">
        <v>1</v>
      </c>
      <c r="E407" s="1125" t="s">
        <v>1</v>
      </c>
      <c r="F407" s="1110" t="s">
        <v>1</v>
      </c>
      <c r="G407" s="697" t="s">
        <v>1</v>
      </c>
      <c r="H407" s="703" t="s">
        <v>1</v>
      </c>
      <c r="I407" s="703" t="s">
        <v>1</v>
      </c>
      <c r="J407" s="682" t="s">
        <v>1</v>
      </c>
      <c r="K407" s="1136" t="s">
        <v>1</v>
      </c>
      <c r="L407" s="1123" t="s">
        <v>1</v>
      </c>
    </row>
    <row r="408" spans="1:12" ht="15.75" x14ac:dyDescent="0.25">
      <c r="A408" s="1099" t="s">
        <v>1</v>
      </c>
      <c r="B408" s="1103" t="s">
        <v>273</v>
      </c>
      <c r="C408" s="703">
        <v>113</v>
      </c>
      <c r="D408" s="681" t="s">
        <v>927</v>
      </c>
      <c r="E408" s="1126" t="s">
        <v>1</v>
      </c>
      <c r="F408" s="1111" t="s">
        <v>1</v>
      </c>
      <c r="G408" s="698" t="s">
        <v>1</v>
      </c>
      <c r="H408" s="1103" t="s">
        <v>881</v>
      </c>
      <c r="I408" s="703">
        <v>120</v>
      </c>
      <c r="J408" s="696" t="s">
        <v>919</v>
      </c>
      <c r="K408" s="1126" t="s">
        <v>1</v>
      </c>
      <c r="L408" s="697" t="s">
        <v>1</v>
      </c>
    </row>
    <row r="409" spans="1:12" ht="15.75" x14ac:dyDescent="0.25">
      <c r="A409" s="1099" t="s">
        <v>725</v>
      </c>
      <c r="B409" s="1104" t="s">
        <v>1</v>
      </c>
      <c r="C409" s="703" t="s">
        <v>1</v>
      </c>
      <c r="D409" s="681" t="s">
        <v>726</v>
      </c>
      <c r="E409" s="1126" t="s">
        <v>1</v>
      </c>
      <c r="F409" s="1112">
        <v>0.3263888888888889</v>
      </c>
      <c r="G409" s="698">
        <v>7</v>
      </c>
      <c r="H409" s="1103" t="s">
        <v>1</v>
      </c>
      <c r="I409" s="703" t="s">
        <v>1</v>
      </c>
      <c r="J409" s="685" t="s">
        <v>728</v>
      </c>
      <c r="K409" s="1126" t="s">
        <v>1</v>
      </c>
      <c r="L409" s="1114">
        <v>0.69791666666666663</v>
      </c>
    </row>
    <row r="410" spans="1:12" ht="15.75" x14ac:dyDescent="0.25">
      <c r="A410" s="1099">
        <v>7</v>
      </c>
      <c r="B410" s="1103" t="s">
        <v>1</v>
      </c>
      <c r="C410" s="703" t="s">
        <v>1</v>
      </c>
      <c r="D410" s="685" t="s">
        <v>728</v>
      </c>
      <c r="E410" s="1126" t="s">
        <v>1</v>
      </c>
      <c r="F410" s="1114">
        <v>0.34722222222222221</v>
      </c>
      <c r="G410" s="698" t="s">
        <v>1</v>
      </c>
      <c r="H410" s="1103" t="s">
        <v>1</v>
      </c>
      <c r="I410" s="703" t="s">
        <v>1</v>
      </c>
      <c r="J410" s="685" t="s">
        <v>1</v>
      </c>
      <c r="K410" s="1126" t="s">
        <v>1</v>
      </c>
      <c r="L410" s="1115" t="s">
        <v>1</v>
      </c>
    </row>
    <row r="411" spans="1:12" ht="15.75" x14ac:dyDescent="0.25">
      <c r="A411" s="1099" t="s">
        <v>1</v>
      </c>
      <c r="B411" s="1103" t="s">
        <v>1</v>
      </c>
      <c r="C411" s="703" t="s">
        <v>1</v>
      </c>
      <c r="D411" s="687" t="s">
        <v>1</v>
      </c>
      <c r="E411" s="1126" t="s">
        <v>1</v>
      </c>
      <c r="F411" s="697" t="s">
        <v>1</v>
      </c>
      <c r="G411" s="698">
        <v>7</v>
      </c>
      <c r="H411" s="1103" t="s">
        <v>1</v>
      </c>
      <c r="I411" s="703" t="s">
        <v>1</v>
      </c>
      <c r="J411" s="688" t="s">
        <v>50</v>
      </c>
      <c r="K411" s="1126" t="s">
        <v>1</v>
      </c>
      <c r="L411" s="1116">
        <v>0.77083333333333337</v>
      </c>
    </row>
    <row r="412" spans="1:12" ht="15.75" x14ac:dyDescent="0.25">
      <c r="A412" s="1099">
        <v>7</v>
      </c>
      <c r="B412" s="1103" t="s">
        <v>1</v>
      </c>
      <c r="C412" s="703" t="s">
        <v>1</v>
      </c>
      <c r="D412" s="688" t="s">
        <v>50</v>
      </c>
      <c r="E412" s="1126" t="s">
        <v>1</v>
      </c>
      <c r="F412" s="1116">
        <v>0.39583333333333331</v>
      </c>
      <c r="G412" s="698" t="s">
        <v>1</v>
      </c>
      <c r="H412" s="1103" t="s">
        <v>1</v>
      </c>
      <c r="I412" s="703" t="s">
        <v>1</v>
      </c>
      <c r="J412" s="686" t="s">
        <v>1</v>
      </c>
      <c r="K412" s="1126" t="s">
        <v>1</v>
      </c>
      <c r="L412" s="1118" t="s">
        <v>1</v>
      </c>
    </row>
    <row r="413" spans="1:12" ht="15.75" x14ac:dyDescent="0.25">
      <c r="A413" s="1099" t="s">
        <v>1</v>
      </c>
      <c r="B413" s="1103" t="s">
        <v>1</v>
      </c>
      <c r="C413" s="703" t="s">
        <v>1</v>
      </c>
      <c r="D413" s="681" t="s">
        <v>1</v>
      </c>
      <c r="E413" s="1126" t="s">
        <v>1</v>
      </c>
      <c r="F413" s="697" t="s">
        <v>1</v>
      </c>
      <c r="G413" s="698" t="s">
        <v>727</v>
      </c>
      <c r="H413" s="1103" t="s">
        <v>1</v>
      </c>
      <c r="I413" s="703" t="s">
        <v>1</v>
      </c>
      <c r="J413" s="685" t="s">
        <v>728</v>
      </c>
      <c r="K413" s="1126" t="s">
        <v>1</v>
      </c>
      <c r="L413" s="1114">
        <v>0.82638888888888884</v>
      </c>
    </row>
    <row r="414" spans="1:12" ht="15.75" x14ac:dyDescent="0.25">
      <c r="A414" s="1099" t="s">
        <v>1</v>
      </c>
      <c r="B414" s="1103" t="s">
        <v>1</v>
      </c>
      <c r="C414" s="703" t="s">
        <v>1</v>
      </c>
      <c r="D414" s="685" t="s">
        <v>728</v>
      </c>
      <c r="E414" s="1127">
        <v>0.45833333333333331</v>
      </c>
      <c r="F414" s="1118" t="s">
        <v>1</v>
      </c>
      <c r="G414" s="698" t="s">
        <v>1</v>
      </c>
      <c r="H414" s="1103" t="s">
        <v>1</v>
      </c>
      <c r="I414" s="703" t="s">
        <v>1</v>
      </c>
      <c r="J414" s="685" t="s">
        <v>1</v>
      </c>
      <c r="K414" s="1126" t="s">
        <v>1</v>
      </c>
      <c r="L414" s="1115" t="s">
        <v>1</v>
      </c>
    </row>
    <row r="415" spans="1:12" ht="15.75" x14ac:dyDescent="0.25">
      <c r="A415" s="1099" t="s">
        <v>1</v>
      </c>
      <c r="B415" s="1103" t="s">
        <v>273</v>
      </c>
      <c r="C415" s="703">
        <v>113</v>
      </c>
      <c r="D415" s="681" t="s">
        <v>1290</v>
      </c>
      <c r="E415" s="1126" t="s">
        <v>1</v>
      </c>
      <c r="F415" s="697" t="s">
        <v>1</v>
      </c>
      <c r="G415" s="698" t="s">
        <v>725</v>
      </c>
      <c r="H415" s="1103" t="s">
        <v>1</v>
      </c>
      <c r="I415" s="703" t="s">
        <v>1</v>
      </c>
      <c r="J415" s="686" t="s">
        <v>48</v>
      </c>
      <c r="K415" s="1127">
        <v>0.88888888888888884</v>
      </c>
      <c r="L415" s="697" t="s">
        <v>1</v>
      </c>
    </row>
    <row r="416" spans="1:12" ht="15.75" x14ac:dyDescent="0.25">
      <c r="A416" s="1099" t="s">
        <v>1</v>
      </c>
      <c r="B416" s="1103" t="s">
        <v>1</v>
      </c>
      <c r="C416" s="703" t="s">
        <v>1</v>
      </c>
      <c r="D416" s="685" t="s">
        <v>1</v>
      </c>
      <c r="E416" s="1126" t="s">
        <v>1</v>
      </c>
      <c r="F416" s="1115" t="s">
        <v>1</v>
      </c>
      <c r="G416" s="698" t="s">
        <v>1</v>
      </c>
      <c r="H416" s="1103" t="s">
        <v>1</v>
      </c>
      <c r="I416" s="703" t="s">
        <v>1</v>
      </c>
      <c r="J416" s="681" t="s">
        <v>733</v>
      </c>
      <c r="K416" s="1127">
        <v>0.90972222222222221</v>
      </c>
      <c r="L416" s="1118" t="s">
        <v>1</v>
      </c>
    </row>
    <row r="417" spans="1:12" ht="15.75" x14ac:dyDescent="0.25">
      <c r="A417" s="1099" t="s">
        <v>1</v>
      </c>
      <c r="B417" s="1103" t="s">
        <v>881</v>
      </c>
      <c r="C417" s="703">
        <v>103</v>
      </c>
      <c r="D417" s="681" t="s">
        <v>928</v>
      </c>
      <c r="E417" s="1126" t="s">
        <v>1</v>
      </c>
      <c r="F417" s="697" t="s">
        <v>1</v>
      </c>
      <c r="G417" s="698" t="s">
        <v>1</v>
      </c>
      <c r="H417" s="1103" t="s">
        <v>892</v>
      </c>
      <c r="I417" s="703" t="s">
        <v>273</v>
      </c>
      <c r="J417" s="690" t="s">
        <v>1</v>
      </c>
      <c r="K417" s="1126" t="s">
        <v>1</v>
      </c>
      <c r="L417" s="1119" t="s">
        <v>1</v>
      </c>
    </row>
    <row r="418" spans="1:12" ht="15.75" x14ac:dyDescent="0.25">
      <c r="A418" s="1099">
        <v>7</v>
      </c>
      <c r="B418" s="1103" t="s">
        <v>1</v>
      </c>
      <c r="C418" s="703" t="s">
        <v>1</v>
      </c>
      <c r="D418" s="685" t="s">
        <v>728</v>
      </c>
      <c r="E418" s="1126" t="s">
        <v>1</v>
      </c>
      <c r="F418" s="1114">
        <v>0.45833333333333331</v>
      </c>
      <c r="G418" s="698"/>
      <c r="H418" s="1103"/>
      <c r="I418" s="703"/>
      <c r="J418" s="688"/>
      <c r="K418" s="1126"/>
      <c r="L418" s="1116"/>
    </row>
    <row r="419" spans="1:12" ht="15.75" x14ac:dyDescent="0.25">
      <c r="A419" s="1099" t="s">
        <v>1</v>
      </c>
      <c r="B419" s="1103" t="s">
        <v>1</v>
      </c>
      <c r="C419" s="703" t="s">
        <v>1</v>
      </c>
      <c r="D419" s="681" t="s">
        <v>1</v>
      </c>
      <c r="E419" s="1126" t="s">
        <v>1</v>
      </c>
      <c r="F419" s="697" t="s">
        <v>1</v>
      </c>
      <c r="G419" s="698"/>
      <c r="H419" s="1103"/>
      <c r="I419" s="703"/>
      <c r="J419" s="686"/>
      <c r="K419" s="1126"/>
      <c r="L419" s="1118"/>
    </row>
    <row r="420" spans="1:12" ht="15.75" x14ac:dyDescent="0.25">
      <c r="A420" s="1099" t="s">
        <v>725</v>
      </c>
      <c r="B420" s="1103" t="s">
        <v>1</v>
      </c>
      <c r="C420" s="703" t="s">
        <v>1</v>
      </c>
      <c r="D420" s="688" t="s">
        <v>50</v>
      </c>
      <c r="E420" s="1127">
        <v>0.52083333333333337</v>
      </c>
      <c r="F420" s="1115" t="s">
        <v>1</v>
      </c>
      <c r="G420" s="698"/>
      <c r="H420" s="1103"/>
      <c r="I420" s="703"/>
      <c r="J420" s="685"/>
      <c r="K420" s="1126"/>
      <c r="L420" s="1114"/>
    </row>
    <row r="421" spans="1:12" ht="15.75" x14ac:dyDescent="0.25">
      <c r="A421" s="1099" t="s">
        <v>1</v>
      </c>
      <c r="B421" s="1103" t="s">
        <v>1</v>
      </c>
      <c r="C421" s="703" t="s">
        <v>1</v>
      </c>
      <c r="D421" s="681" t="s">
        <v>733</v>
      </c>
      <c r="E421" s="1127">
        <v>0.54166666666666663</v>
      </c>
      <c r="F421" s="697" t="s">
        <v>1</v>
      </c>
      <c r="G421" s="698"/>
      <c r="H421" s="1103"/>
      <c r="I421" s="703"/>
      <c r="J421" s="685"/>
      <c r="K421" s="1126"/>
      <c r="L421" s="1115"/>
    </row>
    <row r="422" spans="1:12" ht="15.75" x14ac:dyDescent="0.25">
      <c r="A422" s="1099" t="s">
        <v>1</v>
      </c>
      <c r="B422" s="1103" t="s">
        <v>892</v>
      </c>
      <c r="C422" s="703" t="s">
        <v>273</v>
      </c>
      <c r="D422" s="686" t="s">
        <v>1</v>
      </c>
      <c r="E422" s="1126" t="s">
        <v>1</v>
      </c>
      <c r="F422" s="1118" t="s">
        <v>1</v>
      </c>
      <c r="G422" s="698"/>
      <c r="H422" s="1103"/>
      <c r="I422" s="703"/>
      <c r="J422" s="686"/>
      <c r="K422" s="1127"/>
      <c r="L422" s="697"/>
    </row>
    <row r="423" spans="1:12" ht="15.75" x14ac:dyDescent="0.25">
      <c r="A423" s="1099" t="s">
        <v>1</v>
      </c>
      <c r="B423" s="1103" t="s">
        <v>1</v>
      </c>
      <c r="C423" s="703" t="s">
        <v>1</v>
      </c>
      <c r="D423" s="687" t="s">
        <v>1</v>
      </c>
      <c r="E423" s="1126" t="s">
        <v>1</v>
      </c>
      <c r="F423" s="697" t="s">
        <v>1</v>
      </c>
      <c r="G423" s="698"/>
      <c r="H423" s="1103"/>
      <c r="I423" s="703"/>
      <c r="J423" s="681"/>
      <c r="K423" s="1127"/>
      <c r="L423" s="1118"/>
    </row>
    <row r="424" spans="1:12" ht="15.75" x14ac:dyDescent="0.25">
      <c r="A424" s="698" t="s">
        <v>1</v>
      </c>
      <c r="B424" s="1103" t="s">
        <v>273</v>
      </c>
      <c r="C424" s="703">
        <v>126</v>
      </c>
      <c r="D424" s="681" t="s">
        <v>877</v>
      </c>
      <c r="E424" s="1137" t="s">
        <v>1</v>
      </c>
      <c r="F424" s="600" t="s">
        <v>1</v>
      </c>
      <c r="G424" s="698"/>
      <c r="H424" s="1103"/>
      <c r="I424" s="703"/>
      <c r="J424" s="690"/>
      <c r="K424" s="1126"/>
      <c r="L424" s="1119"/>
    </row>
    <row r="425" spans="1:12" ht="15.75" x14ac:dyDescent="0.25">
      <c r="A425" s="698" t="s">
        <v>725</v>
      </c>
      <c r="B425" s="1103" t="s">
        <v>1</v>
      </c>
      <c r="C425" s="703" t="s">
        <v>1</v>
      </c>
      <c r="D425" s="681" t="s">
        <v>726</v>
      </c>
      <c r="E425" s="1126" t="s">
        <v>1</v>
      </c>
      <c r="F425" s="1112">
        <v>0.61458333333333337</v>
      </c>
      <c r="G425" s="698"/>
      <c r="H425" s="1103"/>
      <c r="I425" s="703"/>
      <c r="J425" s="681"/>
      <c r="K425" s="1126"/>
      <c r="L425" s="697"/>
    </row>
    <row r="426" spans="1:12" ht="15.75" x14ac:dyDescent="0.25">
      <c r="A426" s="698" t="s">
        <v>727</v>
      </c>
      <c r="B426" s="1103" t="s">
        <v>1</v>
      </c>
      <c r="C426" s="703" t="s">
        <v>1</v>
      </c>
      <c r="D426" s="686" t="s">
        <v>48</v>
      </c>
      <c r="E426" s="1126" t="s">
        <v>1</v>
      </c>
      <c r="F426" s="1113">
        <v>0.63541666666666663</v>
      </c>
      <c r="G426" s="698"/>
      <c r="H426" s="1103"/>
      <c r="I426" s="703"/>
      <c r="J426" s="681"/>
      <c r="K426" s="1126"/>
      <c r="L426" s="1118"/>
    </row>
    <row r="427" spans="1:12" ht="15.75" x14ac:dyDescent="0.25">
      <c r="A427" s="698" t="s">
        <v>1</v>
      </c>
      <c r="B427" s="1103" t="s">
        <v>1</v>
      </c>
      <c r="C427" s="703" t="s">
        <v>1</v>
      </c>
      <c r="D427" s="686" t="s">
        <v>1</v>
      </c>
      <c r="E427" s="1126" t="s">
        <v>1</v>
      </c>
      <c r="F427" s="1118" t="s">
        <v>1</v>
      </c>
      <c r="G427" s="698" t="s">
        <v>1</v>
      </c>
      <c r="H427" s="1103" t="s">
        <v>1</v>
      </c>
      <c r="I427" s="703" t="s">
        <v>1</v>
      </c>
      <c r="J427" s="690" t="s">
        <v>1</v>
      </c>
      <c r="K427" s="1126" t="s">
        <v>1</v>
      </c>
      <c r="L427" s="697" t="s">
        <v>1</v>
      </c>
    </row>
    <row r="428" spans="1:12" ht="15.75" x14ac:dyDescent="0.25">
      <c r="A428" s="698" t="s">
        <v>1</v>
      </c>
      <c r="B428" s="1103" t="s">
        <v>1</v>
      </c>
      <c r="C428" s="703" t="s">
        <v>1</v>
      </c>
      <c r="D428" s="685" t="s">
        <v>728</v>
      </c>
      <c r="E428" s="1127">
        <v>0.69791666666666663</v>
      </c>
      <c r="F428" s="697" t="s">
        <v>1</v>
      </c>
      <c r="G428" s="698" t="s">
        <v>1</v>
      </c>
      <c r="H428" s="1103" t="s">
        <v>1</v>
      </c>
      <c r="I428" s="703" t="s">
        <v>1</v>
      </c>
      <c r="J428" s="690" t="s">
        <v>1</v>
      </c>
      <c r="K428" s="1126" t="s">
        <v>1</v>
      </c>
      <c r="L428" s="1119" t="s">
        <v>1</v>
      </c>
    </row>
    <row r="429" spans="1:12" ht="15.75" x14ac:dyDescent="0.25">
      <c r="A429" s="698" t="s">
        <v>1</v>
      </c>
      <c r="B429" s="1103" t="s">
        <v>273</v>
      </c>
      <c r="C429" s="703">
        <v>126</v>
      </c>
      <c r="D429" s="681" t="s">
        <v>917</v>
      </c>
      <c r="E429" s="1126" t="s">
        <v>1</v>
      </c>
      <c r="F429" s="1115" t="s">
        <v>1</v>
      </c>
      <c r="G429" s="698" t="s">
        <v>1</v>
      </c>
      <c r="H429" s="1103" t="s">
        <v>1</v>
      </c>
      <c r="I429" s="703" t="s">
        <v>1</v>
      </c>
      <c r="J429" s="681" t="s">
        <v>1</v>
      </c>
      <c r="K429" s="1126" t="s">
        <v>1</v>
      </c>
      <c r="L429" s="697" t="s">
        <v>1</v>
      </c>
    </row>
    <row r="430" spans="1:12" ht="15.75" x14ac:dyDescent="0.25">
      <c r="A430" s="1099" t="s">
        <v>1</v>
      </c>
      <c r="B430" s="1103" t="s">
        <v>1</v>
      </c>
      <c r="C430" s="703" t="s">
        <v>1</v>
      </c>
      <c r="D430" s="686" t="s">
        <v>1</v>
      </c>
      <c r="E430" s="1126" t="s">
        <v>1</v>
      </c>
      <c r="F430" s="1118" t="s">
        <v>1</v>
      </c>
      <c r="G430" s="698" t="s">
        <v>1</v>
      </c>
      <c r="H430" s="1103" t="s">
        <v>1</v>
      </c>
      <c r="I430" s="703" t="s">
        <v>1</v>
      </c>
      <c r="J430" s="686" t="s">
        <v>1</v>
      </c>
      <c r="K430" s="1126" t="s">
        <v>1</v>
      </c>
      <c r="L430" s="1118" t="s">
        <v>1</v>
      </c>
    </row>
    <row r="431" spans="1:12" ht="15.75" x14ac:dyDescent="0.25">
      <c r="A431" s="1099" t="s">
        <v>1</v>
      </c>
      <c r="B431" s="1103" t="s">
        <v>1</v>
      </c>
      <c r="C431" s="703" t="s">
        <v>1</v>
      </c>
      <c r="D431" s="687" t="s">
        <v>1</v>
      </c>
      <c r="E431" s="1126" t="s">
        <v>1</v>
      </c>
      <c r="F431" s="697" t="s">
        <v>1</v>
      </c>
      <c r="G431" s="698" t="s">
        <v>1</v>
      </c>
      <c r="H431" s="1103" t="s">
        <v>1</v>
      </c>
      <c r="I431" s="703" t="s">
        <v>1</v>
      </c>
      <c r="J431" s="687" t="s">
        <v>1</v>
      </c>
      <c r="K431" s="1126" t="s">
        <v>1</v>
      </c>
      <c r="L431" s="697" t="s">
        <v>1</v>
      </c>
    </row>
    <row r="432" spans="1:12" ht="15.75" x14ac:dyDescent="0.25">
      <c r="A432" s="1099" t="s">
        <v>1</v>
      </c>
      <c r="B432" s="1103" t="s">
        <v>1</v>
      </c>
      <c r="C432" s="703" t="s">
        <v>1</v>
      </c>
      <c r="D432" s="685" t="s">
        <v>1</v>
      </c>
      <c r="E432" s="1126" t="s">
        <v>1</v>
      </c>
      <c r="F432" s="1115" t="s">
        <v>1</v>
      </c>
      <c r="G432" s="698" t="s">
        <v>1</v>
      </c>
      <c r="H432" s="1103" t="s">
        <v>1</v>
      </c>
      <c r="I432" s="703" t="s">
        <v>1</v>
      </c>
      <c r="J432" s="681" t="s">
        <v>1</v>
      </c>
      <c r="K432" s="1126" t="s">
        <v>1</v>
      </c>
      <c r="L432" s="1119" t="s">
        <v>1</v>
      </c>
    </row>
    <row r="433" spans="1:12" ht="15.75" x14ac:dyDescent="0.25">
      <c r="A433" s="1099" t="s">
        <v>1</v>
      </c>
      <c r="B433" s="1103" t="s">
        <v>1</v>
      </c>
      <c r="C433" s="703" t="s">
        <v>1</v>
      </c>
      <c r="D433" s="681" t="s">
        <v>1</v>
      </c>
      <c r="E433" s="1126" t="s">
        <v>1</v>
      </c>
      <c r="F433" s="697" t="s">
        <v>1</v>
      </c>
      <c r="G433" s="698" t="s">
        <v>1</v>
      </c>
      <c r="H433" s="1103" t="s">
        <v>1</v>
      </c>
      <c r="I433" s="703" t="s">
        <v>1</v>
      </c>
      <c r="J433" s="681" t="s">
        <v>1</v>
      </c>
      <c r="K433" s="1126" t="s">
        <v>1</v>
      </c>
      <c r="L433" s="697" t="s">
        <v>1</v>
      </c>
    </row>
    <row r="434" spans="1:12" ht="15.75" x14ac:dyDescent="0.25">
      <c r="A434" s="1099" t="s">
        <v>1</v>
      </c>
      <c r="B434" s="1103" t="s">
        <v>1</v>
      </c>
      <c r="C434" s="703" t="s">
        <v>1</v>
      </c>
      <c r="D434" s="681" t="s">
        <v>1</v>
      </c>
      <c r="E434" s="1126" t="s">
        <v>1</v>
      </c>
      <c r="F434" s="697" t="s">
        <v>1</v>
      </c>
      <c r="G434" s="698" t="s">
        <v>1</v>
      </c>
      <c r="H434" s="1103" t="s">
        <v>1</v>
      </c>
      <c r="I434" s="703" t="s">
        <v>1</v>
      </c>
      <c r="J434" s="681" t="s">
        <v>1</v>
      </c>
      <c r="K434" s="1126" t="s">
        <v>1</v>
      </c>
      <c r="L434" s="1118" t="s">
        <v>1</v>
      </c>
    </row>
    <row r="435" spans="1:12" ht="15.75" x14ac:dyDescent="0.25">
      <c r="A435" s="1099" t="s">
        <v>1</v>
      </c>
      <c r="B435" s="1103" t="s">
        <v>1</v>
      </c>
      <c r="C435" s="703" t="s">
        <v>1</v>
      </c>
      <c r="D435" s="687" t="s">
        <v>1</v>
      </c>
      <c r="E435" s="1126" t="s">
        <v>1</v>
      </c>
      <c r="F435" s="697" t="s">
        <v>1</v>
      </c>
      <c r="G435" s="698" t="s">
        <v>1</v>
      </c>
      <c r="H435" s="1103" t="s">
        <v>1</v>
      </c>
      <c r="I435" s="703" t="s">
        <v>1</v>
      </c>
      <c r="J435" s="687" t="s">
        <v>1</v>
      </c>
      <c r="K435" s="1126" t="s">
        <v>1</v>
      </c>
      <c r="L435" s="697" t="s">
        <v>1</v>
      </c>
    </row>
    <row r="436" spans="1:12" ht="15.75" x14ac:dyDescent="0.25">
      <c r="A436" s="1099" t="s">
        <v>1</v>
      </c>
      <c r="B436" s="1103" t="s">
        <v>1</v>
      </c>
      <c r="C436" s="703" t="s">
        <v>1</v>
      </c>
      <c r="D436" s="690" t="s">
        <v>1</v>
      </c>
      <c r="E436" s="1126" t="s">
        <v>1</v>
      </c>
      <c r="F436" s="1119" t="s">
        <v>1</v>
      </c>
      <c r="G436" s="698" t="s">
        <v>1</v>
      </c>
      <c r="H436" s="1103" t="s">
        <v>1</v>
      </c>
      <c r="I436" s="703" t="s">
        <v>1</v>
      </c>
      <c r="J436" s="681" t="s">
        <v>1</v>
      </c>
      <c r="K436" s="1126" t="s">
        <v>1</v>
      </c>
      <c r="L436" s="1119" t="s">
        <v>1</v>
      </c>
    </row>
    <row r="437" spans="1:12" ht="15.75" x14ac:dyDescent="0.25">
      <c r="A437" s="1099" t="s">
        <v>1</v>
      </c>
      <c r="B437" s="1103" t="s">
        <v>1</v>
      </c>
      <c r="C437" s="703" t="s">
        <v>1</v>
      </c>
      <c r="D437" s="687" t="s">
        <v>1</v>
      </c>
      <c r="E437" s="1126" t="s">
        <v>1</v>
      </c>
      <c r="F437" s="697" t="s">
        <v>1</v>
      </c>
      <c r="G437" s="698" t="s">
        <v>1</v>
      </c>
      <c r="H437" s="1103" t="s">
        <v>1</v>
      </c>
      <c r="I437" s="703" t="s">
        <v>1</v>
      </c>
      <c r="J437" s="687" t="s">
        <v>1</v>
      </c>
      <c r="K437" s="1126" t="s">
        <v>1</v>
      </c>
      <c r="L437" s="697" t="s">
        <v>1</v>
      </c>
    </row>
    <row r="438" spans="1:12" ht="15.75" x14ac:dyDescent="0.25">
      <c r="A438" s="1099" t="s">
        <v>1</v>
      </c>
      <c r="B438" s="1103" t="s">
        <v>1</v>
      </c>
      <c r="C438" s="703" t="s">
        <v>1</v>
      </c>
      <c r="D438" s="681" t="s">
        <v>1</v>
      </c>
      <c r="E438" s="1126" t="s">
        <v>1</v>
      </c>
      <c r="F438" s="697" t="s">
        <v>1</v>
      </c>
      <c r="G438" s="698" t="s">
        <v>1</v>
      </c>
      <c r="H438" s="1103" t="s">
        <v>1</v>
      </c>
      <c r="I438" s="703" t="s">
        <v>1</v>
      </c>
      <c r="J438" s="681" t="s">
        <v>1</v>
      </c>
      <c r="K438" s="1126" t="s">
        <v>1</v>
      </c>
      <c r="L438" s="697" t="s">
        <v>1</v>
      </c>
    </row>
    <row r="439" spans="1:12" ht="15.75" x14ac:dyDescent="0.25">
      <c r="A439" s="1099" t="s">
        <v>1</v>
      </c>
      <c r="B439" s="1103" t="s">
        <v>1</v>
      </c>
      <c r="C439" s="703" t="s">
        <v>1</v>
      </c>
      <c r="D439" s="687" t="s">
        <v>1</v>
      </c>
      <c r="E439" s="1126" t="s">
        <v>1</v>
      </c>
      <c r="F439" s="697" t="s">
        <v>1</v>
      </c>
      <c r="G439" s="697" t="s">
        <v>1</v>
      </c>
      <c r="H439" s="703" t="s">
        <v>1</v>
      </c>
      <c r="I439" s="703" t="s">
        <v>1</v>
      </c>
      <c r="J439" s="681" t="s">
        <v>1</v>
      </c>
      <c r="K439" s="1126" t="s">
        <v>1</v>
      </c>
      <c r="L439" s="697" t="s">
        <v>1</v>
      </c>
    </row>
    <row r="440" spans="1:12" ht="16.5" thickBot="1" x14ac:dyDescent="0.3">
      <c r="A440" s="1102" t="s">
        <v>1</v>
      </c>
      <c r="B440" s="1106" t="s">
        <v>1</v>
      </c>
      <c r="C440" s="570" t="s">
        <v>1</v>
      </c>
      <c r="D440" s="605" t="s">
        <v>1</v>
      </c>
      <c r="E440" s="1133" t="s">
        <v>1</v>
      </c>
      <c r="F440" s="1120" t="s">
        <v>1</v>
      </c>
      <c r="G440" s="700" t="s">
        <v>1</v>
      </c>
      <c r="H440" s="1108" t="s">
        <v>1</v>
      </c>
      <c r="I440" s="1108" t="s">
        <v>1</v>
      </c>
      <c r="J440" s="692" t="s">
        <v>1</v>
      </c>
      <c r="K440" s="1139" t="s">
        <v>1</v>
      </c>
      <c r="L440" s="700" t="s">
        <v>1</v>
      </c>
    </row>
    <row r="441" spans="1:12" ht="23.25" customHeight="1" x14ac:dyDescent="0.35">
      <c r="A441" s="1237" t="s">
        <v>712</v>
      </c>
      <c r="B441" s="1238"/>
      <c r="C441" s="1238"/>
      <c r="D441" s="1238"/>
      <c r="E441" s="1238"/>
      <c r="F441" s="1238"/>
      <c r="G441" s="1238"/>
      <c r="H441" s="1238"/>
      <c r="I441" s="1238"/>
      <c r="J441" s="1238"/>
      <c r="K441" s="1238"/>
      <c r="L441" s="1239"/>
    </row>
    <row r="442" spans="1:12" ht="23.25" customHeight="1" thickBot="1" x14ac:dyDescent="0.4">
      <c r="A442" s="1240" t="s">
        <v>713</v>
      </c>
      <c r="B442" s="1241"/>
      <c r="C442" s="1241"/>
      <c r="D442" s="1241"/>
      <c r="E442" s="1241"/>
      <c r="F442" s="1241"/>
      <c r="G442" s="1241"/>
      <c r="H442" s="1241"/>
      <c r="I442" s="1241"/>
      <c r="J442" s="1241"/>
      <c r="K442" s="1241"/>
      <c r="L442" s="1242"/>
    </row>
    <row r="443" spans="1:12" ht="23.25" customHeight="1" thickBot="1" x14ac:dyDescent="0.4">
      <c r="A443" s="1243" t="s">
        <v>714</v>
      </c>
      <c r="B443" s="1244"/>
      <c r="C443" s="1244"/>
      <c r="D443" s="1244"/>
      <c r="E443" s="1244"/>
      <c r="F443" s="1244"/>
      <c r="G443" s="1244"/>
      <c r="H443" s="1244"/>
      <c r="I443" s="1244"/>
      <c r="J443" s="1244"/>
      <c r="K443" s="1244"/>
      <c r="L443" s="1245"/>
    </row>
    <row r="444" spans="1:12" ht="23.25" customHeight="1" x14ac:dyDescent="0.35">
      <c r="A444" s="619" t="s">
        <v>715</v>
      </c>
      <c r="B444" s="620"/>
      <c r="C444" s="620"/>
      <c r="D444" s="621" t="s">
        <v>716</v>
      </c>
      <c r="E444" s="1241" t="s">
        <v>403</v>
      </c>
      <c r="F444" s="1241"/>
      <c r="G444" s="1241"/>
      <c r="H444" s="1241"/>
      <c r="I444" s="1241"/>
      <c r="J444" s="618" t="s">
        <v>799</v>
      </c>
      <c r="K444" s="1241" t="s">
        <v>1</v>
      </c>
      <c r="L444" s="1242"/>
    </row>
    <row r="445" spans="1:12" ht="15.75" thickBot="1" x14ac:dyDescent="0.3">
      <c r="A445" s="560" t="s">
        <v>1</v>
      </c>
      <c r="B445" s="561" t="s">
        <v>1</v>
      </c>
      <c r="C445" s="561" t="s">
        <v>1</v>
      </c>
      <c r="D445" s="562" t="s">
        <v>1</v>
      </c>
      <c r="E445" s="561" t="s">
        <v>1</v>
      </c>
      <c r="F445" s="561" t="s">
        <v>1</v>
      </c>
      <c r="G445" s="561" t="s">
        <v>1</v>
      </c>
      <c r="H445" s="561" t="s">
        <v>1</v>
      </c>
      <c r="I445" s="1227" t="s">
        <v>1</v>
      </c>
      <c r="J445" s="1227"/>
      <c r="K445" s="561" t="s">
        <v>1</v>
      </c>
      <c r="L445" s="563" t="s">
        <v>1</v>
      </c>
    </row>
    <row r="446" spans="1:12" ht="15.75" x14ac:dyDescent="0.25">
      <c r="A446" s="564" t="s">
        <v>719</v>
      </c>
      <c r="B446" s="565" t="s">
        <v>1</v>
      </c>
      <c r="C446" s="569" t="s">
        <v>1</v>
      </c>
      <c r="D446" s="567" t="s">
        <v>720</v>
      </c>
      <c r="E446" s="699" t="s">
        <v>721</v>
      </c>
      <c r="F446" s="569" t="s">
        <v>722</v>
      </c>
      <c r="G446" s="564" t="s">
        <v>719</v>
      </c>
      <c r="H446" s="570" t="s">
        <v>1</v>
      </c>
      <c r="I446" s="1109" t="s">
        <v>1</v>
      </c>
      <c r="J446" s="572" t="s">
        <v>720</v>
      </c>
      <c r="K446" s="700" t="s">
        <v>721</v>
      </c>
      <c r="L446" s="700" t="s">
        <v>722</v>
      </c>
    </row>
    <row r="447" spans="1:12" ht="15.75" x14ac:dyDescent="0.25">
      <c r="A447" s="1099" t="s">
        <v>1</v>
      </c>
      <c r="B447" s="574" t="s">
        <v>1</v>
      </c>
      <c r="C447" s="702" t="s">
        <v>1</v>
      </c>
      <c r="D447" s="680" t="s">
        <v>1</v>
      </c>
      <c r="E447" s="1125" t="s">
        <v>1</v>
      </c>
      <c r="F447" s="1110" t="s">
        <v>1</v>
      </c>
      <c r="G447" s="697" t="s">
        <v>1</v>
      </c>
      <c r="H447" s="703" t="s">
        <v>1</v>
      </c>
      <c r="I447" s="703" t="s">
        <v>1</v>
      </c>
      <c r="J447" s="682" t="s">
        <v>1</v>
      </c>
      <c r="K447" s="1136" t="s">
        <v>1</v>
      </c>
      <c r="L447" s="1123" t="s">
        <v>1</v>
      </c>
    </row>
    <row r="448" spans="1:12" ht="15.75" x14ac:dyDescent="0.25">
      <c r="A448" s="1099" t="s">
        <v>1</v>
      </c>
      <c r="B448" s="1103" t="s">
        <v>881</v>
      </c>
      <c r="C448" s="703">
        <v>116</v>
      </c>
      <c r="D448" s="681" t="s">
        <v>929</v>
      </c>
      <c r="E448" s="1126" t="s">
        <v>1</v>
      </c>
      <c r="F448" s="1111" t="s">
        <v>1</v>
      </c>
      <c r="G448" s="698" t="s">
        <v>1</v>
      </c>
      <c r="H448" s="1103" t="s">
        <v>1</v>
      </c>
      <c r="I448" s="703" t="s">
        <v>1</v>
      </c>
      <c r="J448" s="681" t="s">
        <v>1</v>
      </c>
      <c r="K448" s="1137" t="s">
        <v>1</v>
      </c>
      <c r="L448" s="600" t="s">
        <v>1</v>
      </c>
    </row>
    <row r="449" spans="1:12" ht="15.75" x14ac:dyDescent="0.25">
      <c r="A449" s="1099" t="s">
        <v>725</v>
      </c>
      <c r="B449" s="1104" t="s">
        <v>1</v>
      </c>
      <c r="C449" s="703" t="s">
        <v>1</v>
      </c>
      <c r="D449" s="681" t="s">
        <v>726</v>
      </c>
      <c r="E449" s="1126" t="s">
        <v>1</v>
      </c>
      <c r="F449" s="1112">
        <v>0.35416666666666669</v>
      </c>
      <c r="G449" s="698" t="s">
        <v>1</v>
      </c>
      <c r="H449" s="1103" t="s">
        <v>1</v>
      </c>
      <c r="I449" s="703" t="s">
        <v>1</v>
      </c>
      <c r="J449" s="685" t="s">
        <v>1</v>
      </c>
      <c r="K449" s="1126" t="s">
        <v>1</v>
      </c>
      <c r="L449" s="1115" t="s">
        <v>1</v>
      </c>
    </row>
    <row r="450" spans="1:12" ht="15.75" x14ac:dyDescent="0.25">
      <c r="A450" s="1099">
        <v>7</v>
      </c>
      <c r="B450" s="1103" t="s">
        <v>1</v>
      </c>
      <c r="C450" s="703" t="s">
        <v>1</v>
      </c>
      <c r="D450" s="688" t="s">
        <v>50</v>
      </c>
      <c r="E450" s="1126" t="s">
        <v>1</v>
      </c>
      <c r="F450" s="1116">
        <v>0.375</v>
      </c>
      <c r="G450" s="698" t="s">
        <v>1</v>
      </c>
      <c r="H450" s="1103" t="s">
        <v>1</v>
      </c>
      <c r="I450" s="703" t="s">
        <v>1</v>
      </c>
      <c r="J450" s="681" t="s">
        <v>1</v>
      </c>
      <c r="K450" s="1126" t="s">
        <v>1</v>
      </c>
      <c r="L450" s="697" t="s">
        <v>1</v>
      </c>
    </row>
    <row r="451" spans="1:12" ht="15.75" x14ac:dyDescent="0.25">
      <c r="A451" s="1099" t="s">
        <v>1</v>
      </c>
      <c r="B451" s="1103" t="s">
        <v>1</v>
      </c>
      <c r="C451" s="703" t="s">
        <v>1</v>
      </c>
      <c r="D451" s="687" t="s">
        <v>1</v>
      </c>
      <c r="E451" s="1126" t="s">
        <v>1</v>
      </c>
      <c r="F451" s="697" t="s">
        <v>1</v>
      </c>
      <c r="G451" s="698" t="s">
        <v>1</v>
      </c>
      <c r="H451" s="1103" t="s">
        <v>1</v>
      </c>
      <c r="I451" s="703" t="s">
        <v>1</v>
      </c>
      <c r="J451" s="686" t="s">
        <v>1</v>
      </c>
      <c r="K451" s="1126" t="s">
        <v>1</v>
      </c>
      <c r="L451" s="1118" t="s">
        <v>1</v>
      </c>
    </row>
    <row r="452" spans="1:12" ht="15.75" x14ac:dyDescent="0.25">
      <c r="A452" s="1099" t="s">
        <v>727</v>
      </c>
      <c r="B452" s="1103" t="s">
        <v>1</v>
      </c>
      <c r="C452" s="703" t="s">
        <v>1</v>
      </c>
      <c r="D452" s="685" t="s">
        <v>728</v>
      </c>
      <c r="E452" s="1126" t="s">
        <v>1</v>
      </c>
      <c r="F452" s="1114">
        <v>0.42708333333333331</v>
      </c>
      <c r="G452" s="698" t="s">
        <v>1</v>
      </c>
      <c r="H452" s="1103" t="s">
        <v>1</v>
      </c>
      <c r="I452" s="703" t="s">
        <v>1</v>
      </c>
      <c r="J452" s="687" t="s">
        <v>1</v>
      </c>
      <c r="K452" s="1126" t="s">
        <v>1</v>
      </c>
      <c r="L452" s="697" t="s">
        <v>1</v>
      </c>
    </row>
    <row r="453" spans="1:12" ht="15.75" x14ac:dyDescent="0.25">
      <c r="A453" s="1099" t="s">
        <v>1</v>
      </c>
      <c r="B453" s="1103" t="s">
        <v>1</v>
      </c>
      <c r="C453" s="703" t="s">
        <v>1</v>
      </c>
      <c r="D453" s="681" t="s">
        <v>1</v>
      </c>
      <c r="E453" s="1126" t="s">
        <v>1</v>
      </c>
      <c r="F453" s="697" t="s">
        <v>1</v>
      </c>
      <c r="G453" s="698" t="s">
        <v>1</v>
      </c>
      <c r="H453" s="1103" t="s">
        <v>1</v>
      </c>
      <c r="I453" s="703" t="s">
        <v>1</v>
      </c>
      <c r="J453" s="685" t="s">
        <v>1</v>
      </c>
      <c r="K453" s="1126" t="s">
        <v>1</v>
      </c>
      <c r="L453" s="1115" t="s">
        <v>1</v>
      </c>
    </row>
    <row r="454" spans="1:12" ht="15.75" x14ac:dyDescent="0.25">
      <c r="A454" s="1099" t="s">
        <v>727</v>
      </c>
      <c r="B454" s="1103" t="s">
        <v>1</v>
      </c>
      <c r="C454" s="703" t="s">
        <v>1</v>
      </c>
      <c r="D454" s="686" t="s">
        <v>48</v>
      </c>
      <c r="E454" s="1126" t="s">
        <v>1</v>
      </c>
      <c r="F454" s="1113">
        <v>0.48958333333333331</v>
      </c>
      <c r="G454" s="698" t="s">
        <v>1</v>
      </c>
      <c r="H454" s="1103" t="s">
        <v>1</v>
      </c>
      <c r="I454" s="703" t="s">
        <v>1</v>
      </c>
      <c r="J454" s="681" t="s">
        <v>1</v>
      </c>
      <c r="K454" s="1126" t="s">
        <v>1</v>
      </c>
      <c r="L454" s="697" t="s">
        <v>1</v>
      </c>
    </row>
    <row r="455" spans="1:12" ht="15.75" x14ac:dyDescent="0.25">
      <c r="A455" s="1099" t="s">
        <v>1</v>
      </c>
      <c r="B455" s="1103" t="s">
        <v>1</v>
      </c>
      <c r="C455" s="703" t="s">
        <v>1</v>
      </c>
      <c r="D455" s="687" t="s">
        <v>1</v>
      </c>
      <c r="E455" s="1126" t="s">
        <v>1</v>
      </c>
      <c r="F455" s="697" t="s">
        <v>1</v>
      </c>
      <c r="G455" s="698" t="s">
        <v>1</v>
      </c>
      <c r="H455" s="1103" t="s">
        <v>1</v>
      </c>
      <c r="I455" s="703" t="s">
        <v>1</v>
      </c>
      <c r="J455" s="681" t="s">
        <v>1</v>
      </c>
      <c r="K455" s="1126" t="s">
        <v>1</v>
      </c>
      <c r="L455" s="697" t="s">
        <v>1</v>
      </c>
    </row>
    <row r="456" spans="1:12" ht="15.75" x14ac:dyDescent="0.25">
      <c r="A456" s="1099" t="s">
        <v>1</v>
      </c>
      <c r="B456" s="1103" t="s">
        <v>1</v>
      </c>
      <c r="C456" s="703" t="s">
        <v>1</v>
      </c>
      <c r="D456" s="685" t="s">
        <v>728</v>
      </c>
      <c r="E456" s="1127">
        <v>0.5625</v>
      </c>
      <c r="F456" s="1115" t="s">
        <v>1</v>
      </c>
      <c r="G456" s="698" t="s">
        <v>1</v>
      </c>
      <c r="H456" s="1103" t="s">
        <v>1</v>
      </c>
      <c r="I456" s="703" t="s">
        <v>1</v>
      </c>
      <c r="J456" s="681" t="s">
        <v>1</v>
      </c>
      <c r="K456" s="1126" t="s">
        <v>1</v>
      </c>
      <c r="L456" s="697" t="s">
        <v>1</v>
      </c>
    </row>
    <row r="457" spans="1:12" ht="15.75" x14ac:dyDescent="0.25">
      <c r="A457" s="1099" t="s">
        <v>1</v>
      </c>
      <c r="B457" s="1103" t="s">
        <v>892</v>
      </c>
      <c r="C457" s="703" t="s">
        <v>273</v>
      </c>
      <c r="D457" s="681" t="s">
        <v>1</v>
      </c>
      <c r="E457" s="1126" t="s">
        <v>1</v>
      </c>
      <c r="F457" s="697" t="s">
        <v>1</v>
      </c>
      <c r="G457" s="698" t="s">
        <v>1</v>
      </c>
      <c r="H457" s="1103" t="s">
        <v>1</v>
      </c>
      <c r="I457" s="703" t="s">
        <v>1</v>
      </c>
      <c r="J457" s="685" t="s">
        <v>1</v>
      </c>
      <c r="K457" s="1126" t="s">
        <v>1</v>
      </c>
      <c r="L457" s="1115" t="s">
        <v>1</v>
      </c>
    </row>
    <row r="458" spans="1:12" ht="15.75" x14ac:dyDescent="0.25">
      <c r="A458" s="1099" t="s">
        <v>1</v>
      </c>
      <c r="B458" s="1103" t="s">
        <v>1</v>
      </c>
      <c r="C458" s="703" t="s">
        <v>1</v>
      </c>
      <c r="D458" s="687" t="s">
        <v>1</v>
      </c>
      <c r="E458" s="1126" t="s">
        <v>1</v>
      </c>
      <c r="F458" s="697" t="s">
        <v>1</v>
      </c>
      <c r="G458" s="698" t="s">
        <v>1</v>
      </c>
      <c r="H458" s="1103" t="s">
        <v>1</v>
      </c>
      <c r="I458" s="703" t="s">
        <v>1</v>
      </c>
      <c r="J458" s="681" t="s">
        <v>1</v>
      </c>
      <c r="K458" s="1126" t="s">
        <v>1</v>
      </c>
      <c r="L458" s="697" t="s">
        <v>1</v>
      </c>
    </row>
    <row r="459" spans="1:12" ht="15.75" x14ac:dyDescent="0.25">
      <c r="A459" s="1099" t="s">
        <v>1</v>
      </c>
      <c r="B459" s="1103" t="s">
        <v>881</v>
      </c>
      <c r="C459" s="703">
        <v>121</v>
      </c>
      <c r="D459" s="681" t="s">
        <v>930</v>
      </c>
      <c r="E459" s="1126" t="s">
        <v>1</v>
      </c>
      <c r="F459" s="697" t="s">
        <v>1</v>
      </c>
      <c r="G459" s="698" t="s">
        <v>1</v>
      </c>
      <c r="H459" s="1103" t="s">
        <v>1</v>
      </c>
      <c r="I459" s="703" t="s">
        <v>1</v>
      </c>
      <c r="J459" s="686" t="s">
        <v>1</v>
      </c>
      <c r="K459" s="1126" t="s">
        <v>1</v>
      </c>
      <c r="L459" s="1118" t="s">
        <v>1</v>
      </c>
    </row>
    <row r="460" spans="1:12" ht="15.75" x14ac:dyDescent="0.25">
      <c r="A460" s="1099">
        <v>7</v>
      </c>
      <c r="B460" s="1103" t="s">
        <v>1</v>
      </c>
      <c r="C460" s="703" t="s">
        <v>1</v>
      </c>
      <c r="D460" s="685" t="s">
        <v>728</v>
      </c>
      <c r="E460" s="1126" t="s">
        <v>1</v>
      </c>
      <c r="F460" s="1114">
        <v>0.5625</v>
      </c>
      <c r="G460" s="698" t="s">
        <v>1</v>
      </c>
      <c r="H460" s="1103" t="s">
        <v>1</v>
      </c>
      <c r="I460" s="703" t="s">
        <v>1</v>
      </c>
      <c r="J460" s="687" t="s">
        <v>1</v>
      </c>
      <c r="K460" s="1126" t="s">
        <v>1</v>
      </c>
      <c r="L460" s="697" t="s">
        <v>1</v>
      </c>
    </row>
    <row r="461" spans="1:12" ht="15.75" x14ac:dyDescent="0.25">
      <c r="A461" s="1099" t="s">
        <v>1</v>
      </c>
      <c r="B461" s="1103" t="s">
        <v>1</v>
      </c>
      <c r="C461" s="703" t="s">
        <v>1</v>
      </c>
      <c r="D461" s="681" t="s">
        <v>1</v>
      </c>
      <c r="E461" s="1126" t="s">
        <v>1</v>
      </c>
      <c r="F461" s="697" t="s">
        <v>1</v>
      </c>
      <c r="G461" s="698" t="s">
        <v>1</v>
      </c>
      <c r="H461" s="1103" t="s">
        <v>1</v>
      </c>
      <c r="I461" s="703" t="s">
        <v>1</v>
      </c>
      <c r="J461" s="685" t="s">
        <v>1</v>
      </c>
      <c r="K461" s="1126" t="s">
        <v>1</v>
      </c>
      <c r="L461" s="1115" t="s">
        <v>1</v>
      </c>
    </row>
    <row r="462" spans="1:12" ht="15.75" x14ac:dyDescent="0.25">
      <c r="A462" s="1099">
        <v>7</v>
      </c>
      <c r="B462" s="1103" t="s">
        <v>1</v>
      </c>
      <c r="C462" s="703" t="s">
        <v>1</v>
      </c>
      <c r="D462" s="688" t="s">
        <v>50</v>
      </c>
      <c r="E462" s="1126" t="s">
        <v>1</v>
      </c>
      <c r="F462" s="1116">
        <v>0.625</v>
      </c>
      <c r="G462" s="698" t="s">
        <v>1</v>
      </c>
      <c r="H462" s="1103" t="s">
        <v>1</v>
      </c>
      <c r="I462" s="703" t="s">
        <v>1</v>
      </c>
      <c r="J462" s="681" t="s">
        <v>1</v>
      </c>
      <c r="K462" s="1126" t="s">
        <v>1</v>
      </c>
      <c r="L462" s="697" t="s">
        <v>1</v>
      </c>
    </row>
    <row r="463" spans="1:12" ht="15.75" x14ac:dyDescent="0.25">
      <c r="A463" s="1099" t="s">
        <v>1</v>
      </c>
      <c r="B463" s="1103" t="s">
        <v>1</v>
      </c>
      <c r="C463" s="703" t="s">
        <v>1</v>
      </c>
      <c r="D463" s="687" t="s">
        <v>1</v>
      </c>
      <c r="E463" s="1126" t="s">
        <v>1</v>
      </c>
      <c r="F463" s="697" t="s">
        <v>1</v>
      </c>
      <c r="G463" s="698" t="s">
        <v>1</v>
      </c>
      <c r="H463" s="1103" t="s">
        <v>1</v>
      </c>
      <c r="I463" s="703" t="s">
        <v>1</v>
      </c>
      <c r="J463" s="686" t="s">
        <v>1</v>
      </c>
      <c r="K463" s="1126" t="s">
        <v>1</v>
      </c>
      <c r="L463" s="1118" t="s">
        <v>1</v>
      </c>
    </row>
    <row r="464" spans="1:12" ht="15.75" x14ac:dyDescent="0.25">
      <c r="A464" s="1099" t="s">
        <v>1</v>
      </c>
      <c r="B464" s="1103" t="s">
        <v>1</v>
      </c>
      <c r="C464" s="703" t="s">
        <v>1</v>
      </c>
      <c r="D464" s="685" t="s">
        <v>728</v>
      </c>
      <c r="E464" s="1127">
        <v>0.6875</v>
      </c>
      <c r="F464" s="1115" t="s">
        <v>1</v>
      </c>
      <c r="G464" s="698" t="s">
        <v>1</v>
      </c>
      <c r="H464" s="1103" t="s">
        <v>1</v>
      </c>
      <c r="I464" s="703" t="s">
        <v>1</v>
      </c>
      <c r="J464" s="690" t="s">
        <v>1</v>
      </c>
      <c r="K464" s="1126" t="s">
        <v>1</v>
      </c>
      <c r="L464" s="1119" t="s">
        <v>1</v>
      </c>
    </row>
    <row r="465" spans="1:12" ht="15.75" x14ac:dyDescent="0.25">
      <c r="A465" s="1099" t="s">
        <v>1</v>
      </c>
      <c r="B465" s="1103" t="s">
        <v>881</v>
      </c>
      <c r="C465" s="703">
        <v>121</v>
      </c>
      <c r="D465" s="681" t="s">
        <v>1291</v>
      </c>
      <c r="E465" s="1126" t="s">
        <v>1</v>
      </c>
      <c r="F465" s="697" t="s">
        <v>1</v>
      </c>
      <c r="G465" s="698" t="s">
        <v>1</v>
      </c>
      <c r="H465" s="1103" t="s">
        <v>1</v>
      </c>
      <c r="I465" s="703" t="s">
        <v>1</v>
      </c>
      <c r="J465" s="681" t="s">
        <v>1</v>
      </c>
      <c r="K465" s="1126" t="s">
        <v>1</v>
      </c>
      <c r="L465" s="697" t="s">
        <v>1</v>
      </c>
    </row>
    <row r="466" spans="1:12" ht="15.75" x14ac:dyDescent="0.25">
      <c r="A466" s="1099" t="s">
        <v>1</v>
      </c>
      <c r="B466" s="1103" t="s">
        <v>1</v>
      </c>
      <c r="C466" s="703" t="s">
        <v>1</v>
      </c>
      <c r="D466" s="687" t="s">
        <v>1</v>
      </c>
      <c r="E466" s="1126" t="s">
        <v>1</v>
      </c>
      <c r="F466" s="697" t="s">
        <v>1</v>
      </c>
      <c r="G466" s="698" t="s">
        <v>1</v>
      </c>
      <c r="H466" s="1103" t="s">
        <v>1</v>
      </c>
      <c r="I466" s="703" t="s">
        <v>1</v>
      </c>
      <c r="J466" s="681" t="s">
        <v>1</v>
      </c>
      <c r="K466" s="1126" t="s">
        <v>1</v>
      </c>
      <c r="L466" s="1118" t="s">
        <v>1</v>
      </c>
    </row>
    <row r="467" spans="1:12" ht="15.75" x14ac:dyDescent="0.25">
      <c r="A467" s="1099" t="s">
        <v>1</v>
      </c>
      <c r="B467" s="1103" t="s">
        <v>273</v>
      </c>
      <c r="C467" s="703">
        <v>131</v>
      </c>
      <c r="D467" s="681" t="s">
        <v>931</v>
      </c>
      <c r="E467" s="1126" t="s">
        <v>1</v>
      </c>
      <c r="F467" s="697" t="s">
        <v>1</v>
      </c>
      <c r="G467" s="698" t="s">
        <v>1</v>
      </c>
      <c r="H467" s="1103" t="s">
        <v>1</v>
      </c>
      <c r="I467" s="703" t="s">
        <v>1</v>
      </c>
      <c r="J467" s="690" t="s">
        <v>1</v>
      </c>
      <c r="K467" s="1126" t="s">
        <v>1</v>
      </c>
      <c r="L467" s="697" t="s">
        <v>1</v>
      </c>
    </row>
    <row r="468" spans="1:12" ht="15.75" x14ac:dyDescent="0.25">
      <c r="A468" s="1099" t="s">
        <v>727</v>
      </c>
      <c r="B468" s="1103" t="s">
        <v>1</v>
      </c>
      <c r="C468" s="703" t="s">
        <v>1</v>
      </c>
      <c r="D468" s="685" t="s">
        <v>728</v>
      </c>
      <c r="E468" s="1126" t="s">
        <v>1</v>
      </c>
      <c r="F468" s="1114">
        <v>0.6875</v>
      </c>
      <c r="G468" s="698" t="s">
        <v>1</v>
      </c>
      <c r="H468" s="1103" t="s">
        <v>1</v>
      </c>
      <c r="I468" s="703" t="s">
        <v>1</v>
      </c>
      <c r="J468" s="690" t="s">
        <v>1</v>
      </c>
      <c r="K468" s="1126" t="s">
        <v>1</v>
      </c>
      <c r="L468" s="1119" t="s">
        <v>1</v>
      </c>
    </row>
    <row r="469" spans="1:12" ht="15.75" x14ac:dyDescent="0.25">
      <c r="A469" s="1099" t="s">
        <v>1</v>
      </c>
      <c r="B469" s="1103" t="s">
        <v>1</v>
      </c>
      <c r="C469" s="703" t="s">
        <v>1</v>
      </c>
      <c r="D469" s="681" t="s">
        <v>1</v>
      </c>
      <c r="E469" s="1126" t="s">
        <v>1</v>
      </c>
      <c r="F469" s="697" t="s">
        <v>1</v>
      </c>
      <c r="G469" s="698" t="s">
        <v>1</v>
      </c>
      <c r="H469" s="1103" t="s">
        <v>1</v>
      </c>
      <c r="I469" s="703" t="s">
        <v>1</v>
      </c>
      <c r="J469" s="681" t="s">
        <v>1</v>
      </c>
      <c r="K469" s="1126" t="s">
        <v>1</v>
      </c>
      <c r="L469" s="697" t="s">
        <v>1</v>
      </c>
    </row>
    <row r="470" spans="1:12" ht="15.75" x14ac:dyDescent="0.25">
      <c r="A470" s="1099" t="s">
        <v>727</v>
      </c>
      <c r="B470" s="1103" t="s">
        <v>1</v>
      </c>
      <c r="C470" s="703" t="s">
        <v>1</v>
      </c>
      <c r="D470" s="686" t="s">
        <v>48</v>
      </c>
      <c r="E470" s="1126" t="s">
        <v>1</v>
      </c>
      <c r="F470" s="1113">
        <v>0.76041666666666663</v>
      </c>
      <c r="G470" s="698" t="s">
        <v>1</v>
      </c>
      <c r="H470" s="1103" t="s">
        <v>1</v>
      </c>
      <c r="I470" s="703" t="s">
        <v>1</v>
      </c>
      <c r="J470" s="686" t="s">
        <v>1</v>
      </c>
      <c r="K470" s="1126" t="s">
        <v>1</v>
      </c>
      <c r="L470" s="1118" t="s">
        <v>1</v>
      </c>
    </row>
    <row r="471" spans="1:12" ht="15.75" x14ac:dyDescent="0.25">
      <c r="A471" s="1099" t="s">
        <v>1</v>
      </c>
      <c r="B471" s="1103" t="s">
        <v>1</v>
      </c>
      <c r="C471" s="703" t="s">
        <v>1</v>
      </c>
      <c r="D471" s="687" t="s">
        <v>1</v>
      </c>
      <c r="E471" s="1126" t="s">
        <v>1</v>
      </c>
      <c r="F471" s="697" t="s">
        <v>1</v>
      </c>
      <c r="G471" s="698" t="s">
        <v>1</v>
      </c>
      <c r="H471" s="1103" t="s">
        <v>1</v>
      </c>
      <c r="I471" s="703" t="s">
        <v>1</v>
      </c>
      <c r="J471" s="687" t="s">
        <v>1</v>
      </c>
      <c r="K471" s="1126" t="s">
        <v>1</v>
      </c>
      <c r="L471" s="697" t="s">
        <v>1</v>
      </c>
    </row>
    <row r="472" spans="1:12" ht="15.75" x14ac:dyDescent="0.25">
      <c r="A472" s="1099" t="s">
        <v>725</v>
      </c>
      <c r="B472" s="1103" t="s">
        <v>1</v>
      </c>
      <c r="C472" s="703" t="s">
        <v>1</v>
      </c>
      <c r="D472" s="685" t="s">
        <v>728</v>
      </c>
      <c r="E472" s="1127">
        <v>0.82291666666666663</v>
      </c>
      <c r="F472" s="1115" t="s">
        <v>1</v>
      </c>
      <c r="G472" s="698" t="s">
        <v>1</v>
      </c>
      <c r="H472" s="1103" t="s">
        <v>1</v>
      </c>
      <c r="I472" s="703" t="s">
        <v>1</v>
      </c>
      <c r="J472" s="681" t="s">
        <v>1</v>
      </c>
      <c r="K472" s="1126" t="s">
        <v>1</v>
      </c>
      <c r="L472" s="1119" t="s">
        <v>1</v>
      </c>
    </row>
    <row r="473" spans="1:12" ht="15.75" x14ac:dyDescent="0.25">
      <c r="A473" s="1099" t="s">
        <v>1</v>
      </c>
      <c r="B473" s="1103" t="s">
        <v>1</v>
      </c>
      <c r="C473" s="703" t="s">
        <v>1</v>
      </c>
      <c r="D473" s="681" t="s">
        <v>733</v>
      </c>
      <c r="E473" s="1127">
        <v>0.84375</v>
      </c>
      <c r="F473" s="697" t="s">
        <v>1</v>
      </c>
      <c r="G473" s="698" t="s">
        <v>1</v>
      </c>
      <c r="H473" s="1103" t="s">
        <v>1</v>
      </c>
      <c r="I473" s="703" t="s">
        <v>1</v>
      </c>
      <c r="J473" s="681" t="s">
        <v>1</v>
      </c>
      <c r="K473" s="1126" t="s">
        <v>1</v>
      </c>
      <c r="L473" s="697" t="s">
        <v>1</v>
      </c>
    </row>
    <row r="474" spans="1:12" ht="15.75" x14ac:dyDescent="0.25">
      <c r="A474" s="1099" t="s">
        <v>1</v>
      </c>
      <c r="B474" s="1103" t="s">
        <v>273</v>
      </c>
      <c r="C474" s="703">
        <v>131</v>
      </c>
      <c r="D474" s="681" t="s">
        <v>1292</v>
      </c>
      <c r="E474" s="1126" t="s">
        <v>1</v>
      </c>
      <c r="F474" s="697" t="s">
        <v>1</v>
      </c>
      <c r="G474" s="698" t="s">
        <v>1</v>
      </c>
      <c r="H474" s="1103" t="s">
        <v>1</v>
      </c>
      <c r="I474" s="703" t="s">
        <v>1</v>
      </c>
      <c r="J474" s="681" t="s">
        <v>1</v>
      </c>
      <c r="K474" s="1126" t="s">
        <v>1</v>
      </c>
      <c r="L474" s="1118" t="s">
        <v>1</v>
      </c>
    </row>
    <row r="475" spans="1:12" ht="15.75" x14ac:dyDescent="0.25">
      <c r="A475" s="1099" t="s">
        <v>1</v>
      </c>
      <c r="B475" s="1103" t="s">
        <v>1</v>
      </c>
      <c r="C475" s="703" t="s">
        <v>1</v>
      </c>
      <c r="D475" s="687" t="s">
        <v>1</v>
      </c>
      <c r="E475" s="1126" t="s">
        <v>1</v>
      </c>
      <c r="F475" s="697" t="s">
        <v>1</v>
      </c>
      <c r="G475" s="698" t="s">
        <v>1</v>
      </c>
      <c r="H475" s="1103" t="s">
        <v>1</v>
      </c>
      <c r="I475" s="703" t="s">
        <v>1</v>
      </c>
      <c r="J475" s="687" t="s">
        <v>1</v>
      </c>
      <c r="K475" s="1126" t="s">
        <v>1</v>
      </c>
      <c r="L475" s="697" t="s">
        <v>1</v>
      </c>
    </row>
    <row r="476" spans="1:12" ht="15.75" x14ac:dyDescent="0.25">
      <c r="A476" s="1099" t="s">
        <v>1</v>
      </c>
      <c r="B476" s="1103" t="s">
        <v>1</v>
      </c>
      <c r="C476" s="703" t="s">
        <v>1</v>
      </c>
      <c r="D476" s="690" t="s">
        <v>1</v>
      </c>
      <c r="E476" s="1126" t="s">
        <v>1</v>
      </c>
      <c r="F476" s="1119" t="s">
        <v>1</v>
      </c>
      <c r="G476" s="698" t="s">
        <v>1</v>
      </c>
      <c r="H476" s="1103" t="s">
        <v>1</v>
      </c>
      <c r="I476" s="703" t="s">
        <v>1</v>
      </c>
      <c r="J476" s="681" t="s">
        <v>1</v>
      </c>
      <c r="K476" s="1126" t="s">
        <v>1</v>
      </c>
      <c r="L476" s="1119" t="s">
        <v>1</v>
      </c>
    </row>
    <row r="477" spans="1:12" ht="15.75" x14ac:dyDescent="0.25">
      <c r="A477" s="1099" t="s">
        <v>1</v>
      </c>
      <c r="B477" s="1103" t="s">
        <v>1</v>
      </c>
      <c r="C477" s="703" t="s">
        <v>1</v>
      </c>
      <c r="D477" s="687" t="s">
        <v>1</v>
      </c>
      <c r="E477" s="1126" t="s">
        <v>1</v>
      </c>
      <c r="F477" s="697" t="s">
        <v>1</v>
      </c>
      <c r="G477" s="698" t="s">
        <v>1</v>
      </c>
      <c r="H477" s="1103" t="s">
        <v>1</v>
      </c>
      <c r="I477" s="703" t="s">
        <v>1</v>
      </c>
      <c r="J477" s="687" t="s">
        <v>1</v>
      </c>
      <c r="K477" s="1126" t="s">
        <v>1</v>
      </c>
      <c r="L477" s="697" t="s">
        <v>1</v>
      </c>
    </row>
    <row r="478" spans="1:12" ht="15.75" x14ac:dyDescent="0.25">
      <c r="A478" s="1099" t="s">
        <v>1</v>
      </c>
      <c r="B478" s="1103" t="s">
        <v>1</v>
      </c>
      <c r="C478" s="703" t="s">
        <v>1</v>
      </c>
      <c r="D478" s="681" t="s">
        <v>1</v>
      </c>
      <c r="E478" s="1126" t="s">
        <v>1</v>
      </c>
      <c r="F478" s="697" t="s">
        <v>1</v>
      </c>
      <c r="G478" s="698" t="s">
        <v>1</v>
      </c>
      <c r="H478" s="1103" t="s">
        <v>1</v>
      </c>
      <c r="I478" s="703" t="s">
        <v>1</v>
      </c>
      <c r="J478" s="681" t="s">
        <v>1</v>
      </c>
      <c r="K478" s="1126" t="s">
        <v>1</v>
      </c>
      <c r="L478" s="697" t="s">
        <v>1</v>
      </c>
    </row>
    <row r="479" spans="1:12" ht="15.75" x14ac:dyDescent="0.25">
      <c r="A479" s="1099" t="s">
        <v>1</v>
      </c>
      <c r="B479" s="1103" t="s">
        <v>1</v>
      </c>
      <c r="C479" s="703" t="s">
        <v>1</v>
      </c>
      <c r="D479" s="687" t="s">
        <v>1</v>
      </c>
      <c r="E479" s="1126" t="s">
        <v>1</v>
      </c>
      <c r="F479" s="697" t="s">
        <v>1</v>
      </c>
      <c r="G479" s="697" t="s">
        <v>1</v>
      </c>
      <c r="H479" s="703" t="s">
        <v>1</v>
      </c>
      <c r="I479" s="703" t="s">
        <v>1</v>
      </c>
      <c r="J479" s="681" t="s">
        <v>1</v>
      </c>
      <c r="K479" s="1126" t="s">
        <v>1</v>
      </c>
      <c r="L479" s="697" t="s">
        <v>1</v>
      </c>
    </row>
    <row r="480" spans="1:12" ht="16.5" thickBot="1" x14ac:dyDescent="0.3">
      <c r="A480" s="1102" t="s">
        <v>1</v>
      </c>
      <c r="B480" s="1106" t="s">
        <v>1</v>
      </c>
      <c r="C480" s="570" t="s">
        <v>1</v>
      </c>
      <c r="D480" s="605" t="s">
        <v>1</v>
      </c>
      <c r="E480" s="1133" t="s">
        <v>1</v>
      </c>
      <c r="F480" s="1120" t="s">
        <v>1</v>
      </c>
      <c r="G480" s="700" t="s">
        <v>1</v>
      </c>
      <c r="H480" s="1108" t="s">
        <v>1</v>
      </c>
      <c r="I480" s="1108" t="s">
        <v>1</v>
      </c>
      <c r="J480" s="692" t="s">
        <v>1</v>
      </c>
      <c r="K480" s="1139" t="s">
        <v>1</v>
      </c>
      <c r="L480" s="700" t="s">
        <v>1</v>
      </c>
    </row>
    <row r="481" spans="1:12" ht="23.25" customHeight="1" x14ac:dyDescent="0.35">
      <c r="A481" s="1237" t="s">
        <v>712</v>
      </c>
      <c r="B481" s="1238"/>
      <c r="C481" s="1238"/>
      <c r="D481" s="1238"/>
      <c r="E481" s="1238"/>
      <c r="F481" s="1238"/>
      <c r="G481" s="1238"/>
      <c r="H481" s="1238"/>
      <c r="I481" s="1238"/>
      <c r="J481" s="1238"/>
      <c r="K481" s="1238"/>
      <c r="L481" s="1239"/>
    </row>
    <row r="482" spans="1:12" ht="23.25" customHeight="1" thickBot="1" x14ac:dyDescent="0.4">
      <c r="A482" s="1240" t="s">
        <v>713</v>
      </c>
      <c r="B482" s="1241"/>
      <c r="C482" s="1241"/>
      <c r="D482" s="1241"/>
      <c r="E482" s="1241"/>
      <c r="F482" s="1241"/>
      <c r="G482" s="1241"/>
      <c r="H482" s="1241"/>
      <c r="I482" s="1241"/>
      <c r="J482" s="1241"/>
      <c r="K482" s="1241"/>
      <c r="L482" s="1242"/>
    </row>
    <row r="483" spans="1:12" ht="23.25" customHeight="1" thickBot="1" x14ac:dyDescent="0.4">
      <c r="A483" s="1243" t="s">
        <v>714</v>
      </c>
      <c r="B483" s="1244"/>
      <c r="C483" s="1244"/>
      <c r="D483" s="1244"/>
      <c r="E483" s="1244"/>
      <c r="F483" s="1244"/>
      <c r="G483" s="1244"/>
      <c r="H483" s="1244"/>
      <c r="I483" s="1244"/>
      <c r="J483" s="1244"/>
      <c r="K483" s="1244"/>
      <c r="L483" s="1245"/>
    </row>
    <row r="484" spans="1:12" ht="23.25" customHeight="1" x14ac:dyDescent="0.35">
      <c r="A484" s="619" t="s">
        <v>715</v>
      </c>
      <c r="B484" s="620"/>
      <c r="C484" s="620"/>
      <c r="D484" s="621" t="s">
        <v>716</v>
      </c>
      <c r="E484" s="1241" t="s">
        <v>403</v>
      </c>
      <c r="F484" s="1241"/>
      <c r="G484" s="1241"/>
      <c r="H484" s="1241"/>
      <c r="I484" s="1241"/>
      <c r="J484" s="618" t="s">
        <v>806</v>
      </c>
      <c r="K484" s="1241" t="s">
        <v>1</v>
      </c>
      <c r="L484" s="1242"/>
    </row>
    <row r="485" spans="1:12" ht="15.75" thickBot="1" x14ac:dyDescent="0.3">
      <c r="A485" s="560" t="s">
        <v>1</v>
      </c>
      <c r="B485" s="561" t="s">
        <v>1</v>
      </c>
      <c r="C485" s="561" t="s">
        <v>1</v>
      </c>
      <c r="D485" s="562" t="s">
        <v>1</v>
      </c>
      <c r="E485" s="561" t="s">
        <v>1</v>
      </c>
      <c r="F485" s="561" t="s">
        <v>1</v>
      </c>
      <c r="G485" s="561" t="s">
        <v>1</v>
      </c>
      <c r="H485" s="561" t="s">
        <v>1</v>
      </c>
      <c r="I485" s="1227" t="s">
        <v>1</v>
      </c>
      <c r="J485" s="1227"/>
      <c r="K485" s="561" t="s">
        <v>1</v>
      </c>
      <c r="L485" s="563" t="s">
        <v>1</v>
      </c>
    </row>
    <row r="486" spans="1:12" ht="15.75" x14ac:dyDescent="0.25">
      <c r="A486" s="564" t="s">
        <v>719</v>
      </c>
      <c r="B486" s="565" t="s">
        <v>1</v>
      </c>
      <c r="C486" s="569" t="s">
        <v>1</v>
      </c>
      <c r="D486" s="567" t="s">
        <v>720</v>
      </c>
      <c r="E486" s="699" t="s">
        <v>721</v>
      </c>
      <c r="F486" s="569" t="s">
        <v>722</v>
      </c>
      <c r="G486" s="564" t="s">
        <v>719</v>
      </c>
      <c r="H486" s="570" t="s">
        <v>1</v>
      </c>
      <c r="I486" s="1109" t="s">
        <v>1</v>
      </c>
      <c r="J486" s="572" t="s">
        <v>720</v>
      </c>
      <c r="K486" s="700" t="s">
        <v>721</v>
      </c>
      <c r="L486" s="700" t="s">
        <v>722</v>
      </c>
    </row>
    <row r="487" spans="1:12" ht="15.75" x14ac:dyDescent="0.25">
      <c r="A487" s="1099" t="s">
        <v>1</v>
      </c>
      <c r="B487" s="574" t="s">
        <v>1</v>
      </c>
      <c r="C487" s="702" t="s">
        <v>1</v>
      </c>
      <c r="D487" s="680" t="s">
        <v>1</v>
      </c>
      <c r="E487" s="1125" t="s">
        <v>1</v>
      </c>
      <c r="F487" s="1110" t="s">
        <v>1</v>
      </c>
      <c r="G487" s="697" t="s">
        <v>1</v>
      </c>
      <c r="H487" s="703" t="s">
        <v>1</v>
      </c>
      <c r="I487" s="703" t="s">
        <v>1</v>
      </c>
      <c r="J487" s="682" t="s">
        <v>1</v>
      </c>
      <c r="K487" s="1136" t="s">
        <v>1</v>
      </c>
      <c r="L487" s="1123" t="s">
        <v>1</v>
      </c>
    </row>
    <row r="488" spans="1:12" ht="15.75" x14ac:dyDescent="0.25">
      <c r="A488" s="1099" t="s">
        <v>1</v>
      </c>
      <c r="B488" s="1103" t="s">
        <v>273</v>
      </c>
      <c r="C488" s="703">
        <v>154</v>
      </c>
      <c r="D488" s="681" t="s">
        <v>932</v>
      </c>
      <c r="E488" s="1126" t="s">
        <v>1</v>
      </c>
      <c r="F488" s="1111" t="s">
        <v>1</v>
      </c>
      <c r="G488" s="698" t="s">
        <v>1</v>
      </c>
      <c r="H488" s="1103" t="s">
        <v>1</v>
      </c>
      <c r="I488" s="703" t="s">
        <v>1</v>
      </c>
      <c r="J488" s="681" t="s">
        <v>1</v>
      </c>
      <c r="K488" s="1137" t="s">
        <v>1</v>
      </c>
      <c r="L488" s="600" t="s">
        <v>1</v>
      </c>
    </row>
    <row r="489" spans="1:12" ht="15.75" x14ac:dyDescent="0.25">
      <c r="A489" s="1099" t="s">
        <v>725</v>
      </c>
      <c r="B489" s="1104" t="s">
        <v>1</v>
      </c>
      <c r="C489" s="703" t="s">
        <v>1</v>
      </c>
      <c r="D489" s="681" t="s">
        <v>726</v>
      </c>
      <c r="E489" s="1126" t="s">
        <v>1</v>
      </c>
      <c r="F489" s="1112">
        <v>0.3888888888888889</v>
      </c>
      <c r="G489" s="698" t="s">
        <v>1</v>
      </c>
      <c r="H489" s="1103" t="s">
        <v>1</v>
      </c>
      <c r="I489" s="703" t="s">
        <v>1</v>
      </c>
      <c r="J489" s="685" t="s">
        <v>1</v>
      </c>
      <c r="K489" s="1126" t="s">
        <v>1</v>
      </c>
      <c r="L489" s="1115" t="s">
        <v>1</v>
      </c>
    </row>
    <row r="490" spans="1:12" ht="15.75" x14ac:dyDescent="0.25">
      <c r="A490" s="1099" t="s">
        <v>727</v>
      </c>
      <c r="B490" s="1103" t="s">
        <v>1</v>
      </c>
      <c r="C490" s="703" t="s">
        <v>1</v>
      </c>
      <c r="D490" s="685" t="s">
        <v>728</v>
      </c>
      <c r="E490" s="1126" t="s">
        <v>1</v>
      </c>
      <c r="F490" s="1114">
        <v>0.40972222222222221</v>
      </c>
      <c r="G490" s="698" t="s">
        <v>1</v>
      </c>
      <c r="H490" s="1103" t="s">
        <v>1</v>
      </c>
      <c r="I490" s="703" t="s">
        <v>1</v>
      </c>
      <c r="J490" s="681" t="s">
        <v>1</v>
      </c>
      <c r="K490" s="1126" t="s">
        <v>1</v>
      </c>
      <c r="L490" s="697" t="s">
        <v>1</v>
      </c>
    </row>
    <row r="491" spans="1:12" ht="15.75" x14ac:dyDescent="0.25">
      <c r="A491" s="1099" t="s">
        <v>1</v>
      </c>
      <c r="B491" s="1103" t="s">
        <v>1</v>
      </c>
      <c r="C491" s="703" t="s">
        <v>1</v>
      </c>
      <c r="D491" s="687" t="s">
        <v>1</v>
      </c>
      <c r="E491" s="1126" t="s">
        <v>1</v>
      </c>
      <c r="F491" s="697" t="s">
        <v>1</v>
      </c>
      <c r="G491" s="698" t="s">
        <v>1</v>
      </c>
      <c r="H491" s="1103" t="s">
        <v>1</v>
      </c>
      <c r="I491" s="703" t="s">
        <v>1</v>
      </c>
      <c r="J491" s="686" t="s">
        <v>1</v>
      </c>
      <c r="K491" s="1126" t="s">
        <v>1</v>
      </c>
      <c r="L491" s="1118" t="s">
        <v>1</v>
      </c>
    </row>
    <row r="492" spans="1:12" ht="15.75" x14ac:dyDescent="0.25">
      <c r="A492" s="1099" t="s">
        <v>727</v>
      </c>
      <c r="B492" s="1103" t="s">
        <v>1</v>
      </c>
      <c r="C492" s="703" t="s">
        <v>1</v>
      </c>
      <c r="D492" s="686" t="s">
        <v>48</v>
      </c>
      <c r="E492" s="1126" t="s">
        <v>1</v>
      </c>
      <c r="F492" s="1113">
        <v>0.46875</v>
      </c>
      <c r="G492" s="698" t="s">
        <v>1</v>
      </c>
      <c r="H492" s="1103" t="s">
        <v>1</v>
      </c>
      <c r="I492" s="703" t="s">
        <v>1</v>
      </c>
      <c r="J492" s="687" t="s">
        <v>1</v>
      </c>
      <c r="K492" s="1126" t="s">
        <v>1</v>
      </c>
      <c r="L492" s="697" t="s">
        <v>1</v>
      </c>
    </row>
    <row r="493" spans="1:12" ht="15.75" x14ac:dyDescent="0.25">
      <c r="A493" s="1099" t="s">
        <v>1</v>
      </c>
      <c r="B493" s="1103" t="s">
        <v>1</v>
      </c>
      <c r="C493" s="703" t="s">
        <v>1</v>
      </c>
      <c r="D493" s="681" t="s">
        <v>1</v>
      </c>
      <c r="E493" s="1126" t="s">
        <v>1</v>
      </c>
      <c r="F493" s="697" t="s">
        <v>1</v>
      </c>
      <c r="G493" s="698" t="s">
        <v>1</v>
      </c>
      <c r="H493" s="1103" t="s">
        <v>1</v>
      </c>
      <c r="I493" s="703" t="s">
        <v>1</v>
      </c>
      <c r="J493" s="685" t="s">
        <v>1</v>
      </c>
      <c r="K493" s="1126" t="s">
        <v>1</v>
      </c>
      <c r="L493" s="1115" t="s">
        <v>1</v>
      </c>
    </row>
    <row r="494" spans="1:12" ht="15.75" x14ac:dyDescent="0.25">
      <c r="A494" s="1099" t="s">
        <v>1</v>
      </c>
      <c r="B494" s="1103" t="s">
        <v>1</v>
      </c>
      <c r="C494" s="703" t="s">
        <v>1</v>
      </c>
      <c r="D494" s="685" t="s">
        <v>728</v>
      </c>
      <c r="E494" s="1127">
        <v>0.54166666666666663</v>
      </c>
      <c r="F494" s="1118" t="s">
        <v>1</v>
      </c>
      <c r="G494" s="698" t="s">
        <v>1</v>
      </c>
      <c r="H494" s="1103" t="s">
        <v>1</v>
      </c>
      <c r="I494" s="703" t="s">
        <v>1</v>
      </c>
      <c r="J494" s="681" t="s">
        <v>1</v>
      </c>
      <c r="K494" s="1126" t="s">
        <v>1</v>
      </c>
      <c r="L494" s="697" t="s">
        <v>1</v>
      </c>
    </row>
    <row r="495" spans="1:12" ht="15.75" x14ac:dyDescent="0.25">
      <c r="A495" s="1099" t="s">
        <v>1</v>
      </c>
      <c r="B495" s="1103" t="s">
        <v>273</v>
      </c>
      <c r="C495" s="703">
        <v>154</v>
      </c>
      <c r="D495" s="681" t="s">
        <v>933</v>
      </c>
      <c r="E495" s="1126" t="s">
        <v>1</v>
      </c>
      <c r="F495" s="697" t="s">
        <v>1</v>
      </c>
      <c r="G495" s="698" t="s">
        <v>1</v>
      </c>
      <c r="H495" s="1103" t="s">
        <v>1</v>
      </c>
      <c r="I495" s="703" t="s">
        <v>1</v>
      </c>
      <c r="J495" s="681" t="s">
        <v>1</v>
      </c>
      <c r="K495" s="1126" t="s">
        <v>1</v>
      </c>
      <c r="L495" s="697" t="s">
        <v>1</v>
      </c>
    </row>
    <row r="496" spans="1:12" ht="15.75" x14ac:dyDescent="0.25">
      <c r="A496" s="1099" t="s">
        <v>1</v>
      </c>
      <c r="B496" s="1103"/>
      <c r="C496" s="703" t="s">
        <v>1</v>
      </c>
      <c r="D496" s="685" t="s">
        <v>1</v>
      </c>
      <c r="E496" s="1126" t="s">
        <v>1</v>
      </c>
      <c r="F496" s="1115" t="s">
        <v>1</v>
      </c>
      <c r="G496" s="698" t="s">
        <v>1</v>
      </c>
      <c r="H496" s="1103" t="s">
        <v>1</v>
      </c>
      <c r="I496" s="703" t="s">
        <v>1</v>
      </c>
      <c r="J496" s="681" t="s">
        <v>1</v>
      </c>
      <c r="K496" s="1126" t="s">
        <v>1</v>
      </c>
      <c r="L496" s="697" t="s">
        <v>1</v>
      </c>
    </row>
    <row r="497" spans="1:12" ht="15.75" x14ac:dyDescent="0.25">
      <c r="A497" s="1099" t="s">
        <v>1</v>
      </c>
      <c r="B497" s="1103" t="s">
        <v>273</v>
      </c>
      <c r="C497" s="703">
        <v>114</v>
      </c>
      <c r="D497" s="681" t="s">
        <v>934</v>
      </c>
      <c r="E497" s="1126" t="s">
        <v>1</v>
      </c>
      <c r="F497" s="697" t="s">
        <v>1</v>
      </c>
      <c r="G497" s="698" t="s">
        <v>1</v>
      </c>
      <c r="H497" s="1103" t="s">
        <v>1</v>
      </c>
      <c r="I497" s="703" t="s">
        <v>1</v>
      </c>
      <c r="J497" s="685" t="s">
        <v>1</v>
      </c>
      <c r="K497" s="1126" t="s">
        <v>1</v>
      </c>
      <c r="L497" s="1115" t="s">
        <v>1</v>
      </c>
    </row>
    <row r="498" spans="1:12" ht="15.75" x14ac:dyDescent="0.25">
      <c r="A498" s="1099">
        <v>7</v>
      </c>
      <c r="B498" s="1103" t="s">
        <v>1</v>
      </c>
      <c r="C498" s="703" t="s">
        <v>1</v>
      </c>
      <c r="D498" s="685" t="s">
        <v>728</v>
      </c>
      <c r="E498" s="1126" t="s">
        <v>1</v>
      </c>
      <c r="F498" s="1114">
        <v>0.54166666666666663</v>
      </c>
      <c r="G498" s="698" t="s">
        <v>1</v>
      </c>
      <c r="H498" s="1103" t="s">
        <v>1</v>
      </c>
      <c r="I498" s="703" t="s">
        <v>1</v>
      </c>
      <c r="J498" s="681" t="s">
        <v>1</v>
      </c>
      <c r="K498" s="1126" t="s">
        <v>1</v>
      </c>
      <c r="L498" s="697" t="s">
        <v>1</v>
      </c>
    </row>
    <row r="499" spans="1:12" ht="15.75" x14ac:dyDescent="0.25">
      <c r="A499" s="1099" t="s">
        <v>1</v>
      </c>
      <c r="B499" s="1103" t="s">
        <v>1</v>
      </c>
      <c r="C499" s="703" t="s">
        <v>1</v>
      </c>
      <c r="D499" s="681" t="s">
        <v>1</v>
      </c>
      <c r="E499" s="1126" t="s">
        <v>1</v>
      </c>
      <c r="F499" s="697" t="s">
        <v>1</v>
      </c>
      <c r="G499" s="698" t="s">
        <v>1</v>
      </c>
      <c r="H499" s="1103" t="s">
        <v>1</v>
      </c>
      <c r="I499" s="703" t="s">
        <v>1</v>
      </c>
      <c r="J499" s="686" t="s">
        <v>1</v>
      </c>
      <c r="K499" s="1126" t="s">
        <v>1</v>
      </c>
      <c r="L499" s="1118" t="s">
        <v>1</v>
      </c>
    </row>
    <row r="500" spans="1:12" ht="15.75" x14ac:dyDescent="0.25">
      <c r="A500" s="1099" t="s">
        <v>725</v>
      </c>
      <c r="B500" s="1103" t="s">
        <v>1</v>
      </c>
      <c r="C500" s="703" t="s">
        <v>1</v>
      </c>
      <c r="D500" s="688" t="s">
        <v>50</v>
      </c>
      <c r="E500" s="1127">
        <v>0.60763888888888884</v>
      </c>
      <c r="F500" s="1115" t="s">
        <v>1</v>
      </c>
      <c r="G500" s="698" t="s">
        <v>1</v>
      </c>
      <c r="H500" s="1103" t="s">
        <v>1</v>
      </c>
      <c r="I500" s="703" t="s">
        <v>1</v>
      </c>
      <c r="J500" s="687" t="s">
        <v>1</v>
      </c>
      <c r="K500" s="1126" t="s">
        <v>1</v>
      </c>
      <c r="L500" s="697" t="s">
        <v>1</v>
      </c>
    </row>
    <row r="501" spans="1:12" ht="15.75" x14ac:dyDescent="0.25">
      <c r="A501" s="1099" t="s">
        <v>1</v>
      </c>
      <c r="B501" s="1103" t="s">
        <v>1</v>
      </c>
      <c r="C501" s="703" t="s">
        <v>1</v>
      </c>
      <c r="D501" s="681" t="s">
        <v>733</v>
      </c>
      <c r="E501" s="1127">
        <v>0.62847222222222221</v>
      </c>
      <c r="F501" s="697" t="s">
        <v>1</v>
      </c>
      <c r="G501" s="698" t="s">
        <v>1</v>
      </c>
      <c r="H501" s="1103" t="s">
        <v>1</v>
      </c>
      <c r="I501" s="703" t="s">
        <v>1</v>
      </c>
      <c r="J501" s="685" t="s">
        <v>1</v>
      </c>
      <c r="K501" s="1126" t="s">
        <v>1</v>
      </c>
      <c r="L501" s="1115" t="s">
        <v>1</v>
      </c>
    </row>
    <row r="502" spans="1:12" ht="15.75" x14ac:dyDescent="0.25">
      <c r="A502" s="1099" t="s">
        <v>1</v>
      </c>
      <c r="B502" s="1103" t="s">
        <v>276</v>
      </c>
      <c r="C502" s="703" t="s">
        <v>273</v>
      </c>
      <c r="D502" s="686" t="s">
        <v>1</v>
      </c>
      <c r="E502" s="1126" t="s">
        <v>1</v>
      </c>
      <c r="F502" s="1118" t="s">
        <v>1</v>
      </c>
      <c r="G502" s="698" t="s">
        <v>1</v>
      </c>
      <c r="H502" s="1103" t="s">
        <v>1</v>
      </c>
      <c r="I502" s="703" t="s">
        <v>1</v>
      </c>
      <c r="J502" s="681" t="s">
        <v>1</v>
      </c>
      <c r="K502" s="1126" t="s">
        <v>1</v>
      </c>
      <c r="L502" s="697" t="s">
        <v>1</v>
      </c>
    </row>
    <row r="503" spans="1:12" ht="15.75" x14ac:dyDescent="0.25">
      <c r="A503" s="1099" t="s">
        <v>1</v>
      </c>
      <c r="B503" s="1103" t="s">
        <v>1</v>
      </c>
      <c r="C503" s="703" t="s">
        <v>1</v>
      </c>
      <c r="D503" s="687" t="s">
        <v>1</v>
      </c>
      <c r="E503" s="1126" t="s">
        <v>1</v>
      </c>
      <c r="F503" s="697" t="s">
        <v>1</v>
      </c>
      <c r="G503" s="698" t="s">
        <v>1</v>
      </c>
      <c r="H503" s="1103" t="s">
        <v>1</v>
      </c>
      <c r="I503" s="703" t="s">
        <v>1</v>
      </c>
      <c r="J503" s="686" t="s">
        <v>1</v>
      </c>
      <c r="K503" s="1126" t="s">
        <v>1</v>
      </c>
      <c r="L503" s="1118" t="s">
        <v>1</v>
      </c>
    </row>
    <row r="504" spans="1:12" ht="15.75" x14ac:dyDescent="0.25">
      <c r="A504" s="1099" t="s">
        <v>1</v>
      </c>
      <c r="B504" s="1103" t="s">
        <v>273</v>
      </c>
      <c r="C504" s="703">
        <v>131</v>
      </c>
      <c r="D504" s="681" t="s">
        <v>935</v>
      </c>
      <c r="E504" s="1126" t="s">
        <v>1</v>
      </c>
      <c r="F504" s="1115" t="s">
        <v>1</v>
      </c>
      <c r="G504" s="698" t="s">
        <v>1</v>
      </c>
      <c r="H504" s="1103" t="s">
        <v>1</v>
      </c>
      <c r="I504" s="703" t="s">
        <v>1</v>
      </c>
      <c r="J504" s="690" t="s">
        <v>1</v>
      </c>
      <c r="K504" s="1126" t="s">
        <v>1</v>
      </c>
      <c r="L504" s="1119" t="s">
        <v>1</v>
      </c>
    </row>
    <row r="505" spans="1:12" ht="15.75" x14ac:dyDescent="0.25">
      <c r="A505" s="1099" t="s">
        <v>725</v>
      </c>
      <c r="B505" s="1103" t="s">
        <v>1</v>
      </c>
      <c r="C505" s="703" t="s">
        <v>1</v>
      </c>
      <c r="D505" s="681" t="s">
        <v>883</v>
      </c>
      <c r="E505" s="1126" t="s">
        <v>1</v>
      </c>
      <c r="F505" s="1112">
        <v>0.90277777777777779</v>
      </c>
      <c r="G505" s="698" t="s">
        <v>1</v>
      </c>
      <c r="H505" s="1103" t="s">
        <v>1</v>
      </c>
      <c r="I505" s="703" t="s">
        <v>1</v>
      </c>
      <c r="J505" s="681" t="s">
        <v>1</v>
      </c>
      <c r="K505" s="1126" t="s">
        <v>1</v>
      </c>
      <c r="L505" s="697" t="s">
        <v>1</v>
      </c>
    </row>
    <row r="506" spans="1:12" ht="15.75" x14ac:dyDescent="0.25">
      <c r="A506" s="1099">
        <v>7</v>
      </c>
      <c r="B506" s="1103" t="s">
        <v>1</v>
      </c>
      <c r="C506" s="703" t="s">
        <v>1</v>
      </c>
      <c r="D506" s="685" t="s">
        <v>728</v>
      </c>
      <c r="E506" s="1126" t="s">
        <v>1</v>
      </c>
      <c r="F506" s="1114">
        <v>0.92361111111111116</v>
      </c>
      <c r="G506" s="698" t="s">
        <v>1</v>
      </c>
      <c r="H506" s="1103" t="s">
        <v>1</v>
      </c>
      <c r="I506" s="703" t="s">
        <v>1</v>
      </c>
      <c r="J506" s="681" t="s">
        <v>1</v>
      </c>
      <c r="K506" s="1126" t="s">
        <v>1</v>
      </c>
      <c r="L506" s="1118" t="s">
        <v>1</v>
      </c>
    </row>
    <row r="507" spans="1:12" ht="15.75" x14ac:dyDescent="0.25">
      <c r="A507" s="1099" t="s">
        <v>1</v>
      </c>
      <c r="B507" s="1103" t="s">
        <v>1</v>
      </c>
      <c r="C507" s="703" t="s">
        <v>1</v>
      </c>
      <c r="D507" s="681" t="s">
        <v>1</v>
      </c>
      <c r="E507" s="1126" t="s">
        <v>1</v>
      </c>
      <c r="F507" s="697" t="s">
        <v>1</v>
      </c>
      <c r="G507" s="698" t="s">
        <v>1</v>
      </c>
      <c r="H507" s="1103" t="s">
        <v>1</v>
      </c>
      <c r="I507" s="703" t="s">
        <v>1</v>
      </c>
      <c r="J507" s="690" t="s">
        <v>1</v>
      </c>
      <c r="K507" s="1126" t="s">
        <v>1</v>
      </c>
      <c r="L507" s="697" t="s">
        <v>1</v>
      </c>
    </row>
    <row r="508" spans="1:12" ht="15.75" x14ac:dyDescent="0.25">
      <c r="A508" s="1099">
        <v>7</v>
      </c>
      <c r="B508" s="1103" t="s">
        <v>1</v>
      </c>
      <c r="C508" s="703" t="s">
        <v>1</v>
      </c>
      <c r="D508" s="688" t="s">
        <v>50</v>
      </c>
      <c r="E508" s="1126" t="s">
        <v>1</v>
      </c>
      <c r="F508" s="1116">
        <v>0.96875</v>
      </c>
      <c r="G508" s="698" t="s">
        <v>1</v>
      </c>
      <c r="H508" s="1103" t="s">
        <v>1</v>
      </c>
      <c r="I508" s="703" t="s">
        <v>1</v>
      </c>
      <c r="J508" s="690" t="s">
        <v>1</v>
      </c>
      <c r="K508" s="1126" t="s">
        <v>1</v>
      </c>
      <c r="L508" s="1119" t="s">
        <v>1</v>
      </c>
    </row>
    <row r="509" spans="1:12" ht="15.75" x14ac:dyDescent="0.25">
      <c r="A509" s="1099" t="s">
        <v>1</v>
      </c>
      <c r="B509" s="1103" t="s">
        <v>1</v>
      </c>
      <c r="C509" s="703" t="s">
        <v>1</v>
      </c>
      <c r="D509" s="681" t="s">
        <v>1</v>
      </c>
      <c r="E509" s="1126" t="s">
        <v>1</v>
      </c>
      <c r="F509" s="697" t="s">
        <v>1</v>
      </c>
      <c r="G509" s="698" t="s">
        <v>1</v>
      </c>
      <c r="H509" s="1103" t="s">
        <v>1</v>
      </c>
      <c r="I509" s="703" t="s">
        <v>1</v>
      </c>
      <c r="J509" s="681" t="s">
        <v>1</v>
      </c>
      <c r="K509" s="1126" t="s">
        <v>1</v>
      </c>
      <c r="L509" s="697" t="s">
        <v>1</v>
      </c>
    </row>
    <row r="510" spans="1:12" ht="15.75" x14ac:dyDescent="0.25">
      <c r="A510" s="1099" t="s">
        <v>725</v>
      </c>
      <c r="B510" s="1103" t="s">
        <v>1</v>
      </c>
      <c r="C510" s="703" t="s">
        <v>1</v>
      </c>
      <c r="D510" s="685" t="s">
        <v>728</v>
      </c>
      <c r="E510" s="1127">
        <v>6.9444444444444441E-3</v>
      </c>
      <c r="F510" s="1118" t="s">
        <v>1</v>
      </c>
      <c r="G510" s="698" t="s">
        <v>1</v>
      </c>
      <c r="H510" s="1103" t="s">
        <v>1</v>
      </c>
      <c r="I510" s="703" t="s">
        <v>1</v>
      </c>
      <c r="J510" s="686" t="s">
        <v>1</v>
      </c>
      <c r="K510" s="1126" t="s">
        <v>1</v>
      </c>
      <c r="L510" s="1118" t="s">
        <v>1</v>
      </c>
    </row>
    <row r="511" spans="1:12" ht="15.75" x14ac:dyDescent="0.25">
      <c r="A511" s="1099" t="s">
        <v>1</v>
      </c>
      <c r="B511" s="1103" t="s">
        <v>1</v>
      </c>
      <c r="C511" s="703" t="s">
        <v>1</v>
      </c>
      <c r="D511" s="681" t="s">
        <v>733</v>
      </c>
      <c r="E511" s="1127">
        <v>2.7777777777777776E-2</v>
      </c>
      <c r="F511" s="697" t="s">
        <v>1</v>
      </c>
      <c r="G511" s="698" t="s">
        <v>1</v>
      </c>
      <c r="H511" s="1103" t="s">
        <v>1</v>
      </c>
      <c r="I511" s="703" t="s">
        <v>1</v>
      </c>
      <c r="J511" s="687" t="s">
        <v>1</v>
      </c>
      <c r="K511" s="1126" t="s">
        <v>1</v>
      </c>
      <c r="L511" s="697" t="s">
        <v>1</v>
      </c>
    </row>
    <row r="512" spans="1:12" ht="15.75" x14ac:dyDescent="0.25">
      <c r="A512" s="1099" t="s">
        <v>1</v>
      </c>
      <c r="B512" s="1103" t="s">
        <v>276</v>
      </c>
      <c r="C512" s="703" t="s">
        <v>273</v>
      </c>
      <c r="D512" s="685" t="s">
        <v>1</v>
      </c>
      <c r="E512" s="1126" t="s">
        <v>1</v>
      </c>
      <c r="F512" s="1115" t="s">
        <v>1</v>
      </c>
      <c r="G512" s="698" t="s">
        <v>1</v>
      </c>
      <c r="H512" s="1103" t="s">
        <v>1</v>
      </c>
      <c r="I512" s="703" t="s">
        <v>1</v>
      </c>
      <c r="J512" s="681" t="s">
        <v>1</v>
      </c>
      <c r="K512" s="1126" t="s">
        <v>1</v>
      </c>
      <c r="L512" s="1119" t="s">
        <v>1</v>
      </c>
    </row>
    <row r="513" spans="1:12" ht="15.75" x14ac:dyDescent="0.25">
      <c r="A513" s="1099" t="s">
        <v>1</v>
      </c>
      <c r="B513" s="1103" t="s">
        <v>1</v>
      </c>
      <c r="C513" s="703" t="s">
        <v>1</v>
      </c>
      <c r="D513" s="681" t="s">
        <v>1</v>
      </c>
      <c r="E513" s="1126" t="s">
        <v>1</v>
      </c>
      <c r="F513" s="697" t="s">
        <v>1</v>
      </c>
      <c r="G513" s="698" t="s">
        <v>1</v>
      </c>
      <c r="H513" s="1103" t="s">
        <v>1</v>
      </c>
      <c r="I513" s="703" t="s">
        <v>1</v>
      </c>
      <c r="J513" s="681" t="s">
        <v>1</v>
      </c>
      <c r="K513" s="1126" t="s">
        <v>1</v>
      </c>
      <c r="L513" s="697" t="s">
        <v>1</v>
      </c>
    </row>
    <row r="514" spans="1:12" ht="15.75" x14ac:dyDescent="0.25">
      <c r="A514" s="1099" t="s">
        <v>1</v>
      </c>
      <c r="B514" s="1103" t="s">
        <v>1</v>
      </c>
      <c r="C514" s="703" t="s">
        <v>1</v>
      </c>
      <c r="D514" s="681" t="s">
        <v>1</v>
      </c>
      <c r="E514" s="1126" t="s">
        <v>1</v>
      </c>
      <c r="F514" s="697" t="s">
        <v>1</v>
      </c>
      <c r="G514" s="698" t="s">
        <v>1</v>
      </c>
      <c r="H514" s="1103" t="s">
        <v>1</v>
      </c>
      <c r="I514" s="703" t="s">
        <v>1</v>
      </c>
      <c r="J514" s="681" t="s">
        <v>1</v>
      </c>
      <c r="K514" s="1126" t="s">
        <v>1</v>
      </c>
      <c r="L514" s="1118" t="s">
        <v>1</v>
      </c>
    </row>
    <row r="515" spans="1:12" ht="15.75" x14ac:dyDescent="0.25">
      <c r="A515" s="1099" t="s">
        <v>1</v>
      </c>
      <c r="B515" s="1103" t="s">
        <v>1</v>
      </c>
      <c r="C515" s="703" t="s">
        <v>1</v>
      </c>
      <c r="D515" s="687" t="s">
        <v>1</v>
      </c>
      <c r="E515" s="1126" t="s">
        <v>1</v>
      </c>
      <c r="F515" s="697" t="s">
        <v>1</v>
      </c>
      <c r="G515" s="698" t="s">
        <v>1</v>
      </c>
      <c r="H515" s="1103" t="s">
        <v>1</v>
      </c>
      <c r="I515" s="703" t="s">
        <v>1</v>
      </c>
      <c r="J515" s="687" t="s">
        <v>1</v>
      </c>
      <c r="K515" s="1126" t="s">
        <v>1</v>
      </c>
      <c r="L515" s="697" t="s">
        <v>1</v>
      </c>
    </row>
    <row r="516" spans="1:12" ht="15.75" x14ac:dyDescent="0.25">
      <c r="A516" s="1099" t="s">
        <v>1</v>
      </c>
      <c r="B516" s="1103" t="s">
        <v>1</v>
      </c>
      <c r="C516" s="703" t="s">
        <v>1</v>
      </c>
      <c r="D516" s="690" t="s">
        <v>1</v>
      </c>
      <c r="E516" s="1126" t="s">
        <v>1</v>
      </c>
      <c r="F516" s="1119" t="s">
        <v>1</v>
      </c>
      <c r="G516" s="698" t="s">
        <v>1</v>
      </c>
      <c r="H516" s="1103" t="s">
        <v>1</v>
      </c>
      <c r="I516" s="703" t="s">
        <v>1</v>
      </c>
      <c r="J516" s="681" t="s">
        <v>1</v>
      </c>
      <c r="K516" s="1126" t="s">
        <v>1</v>
      </c>
      <c r="L516" s="1119" t="s">
        <v>1</v>
      </c>
    </row>
    <row r="517" spans="1:12" ht="15.75" x14ac:dyDescent="0.25">
      <c r="A517" s="1099" t="s">
        <v>1</v>
      </c>
      <c r="B517" s="1103" t="s">
        <v>1</v>
      </c>
      <c r="C517" s="703" t="s">
        <v>1</v>
      </c>
      <c r="D517" s="687" t="s">
        <v>1</v>
      </c>
      <c r="E517" s="1126" t="s">
        <v>1</v>
      </c>
      <c r="F517" s="697" t="s">
        <v>1</v>
      </c>
      <c r="G517" s="698" t="s">
        <v>1</v>
      </c>
      <c r="H517" s="1103" t="s">
        <v>1</v>
      </c>
      <c r="I517" s="703" t="s">
        <v>1</v>
      </c>
      <c r="J517" s="687" t="s">
        <v>1</v>
      </c>
      <c r="K517" s="1126" t="s">
        <v>1</v>
      </c>
      <c r="L517" s="697" t="s">
        <v>1</v>
      </c>
    </row>
    <row r="518" spans="1:12" ht="15.75" x14ac:dyDescent="0.25">
      <c r="A518" s="1099" t="s">
        <v>1</v>
      </c>
      <c r="B518" s="1103" t="s">
        <v>1</v>
      </c>
      <c r="C518" s="703" t="s">
        <v>1</v>
      </c>
      <c r="D518" s="681" t="s">
        <v>1</v>
      </c>
      <c r="E518" s="1126" t="s">
        <v>1</v>
      </c>
      <c r="F518" s="697" t="s">
        <v>1</v>
      </c>
      <c r="G518" s="698" t="s">
        <v>1</v>
      </c>
      <c r="H518" s="1103" t="s">
        <v>1</v>
      </c>
      <c r="I518" s="703" t="s">
        <v>1</v>
      </c>
      <c r="J518" s="681" t="s">
        <v>1</v>
      </c>
      <c r="K518" s="1126" t="s">
        <v>1</v>
      </c>
      <c r="L518" s="697" t="s">
        <v>1</v>
      </c>
    </row>
    <row r="519" spans="1:12" ht="15.75" x14ac:dyDescent="0.25">
      <c r="A519" s="1099" t="s">
        <v>1</v>
      </c>
      <c r="B519" s="1103" t="s">
        <v>1</v>
      </c>
      <c r="C519" s="703" t="s">
        <v>1</v>
      </c>
      <c r="D519" s="687" t="s">
        <v>1</v>
      </c>
      <c r="E519" s="1126" t="s">
        <v>1</v>
      </c>
      <c r="F519" s="697" t="s">
        <v>1</v>
      </c>
      <c r="G519" s="697" t="s">
        <v>1</v>
      </c>
      <c r="H519" s="703" t="s">
        <v>1</v>
      </c>
      <c r="I519" s="703" t="s">
        <v>1</v>
      </c>
      <c r="J519" s="681" t="s">
        <v>1</v>
      </c>
      <c r="K519" s="1126" t="s">
        <v>1</v>
      </c>
      <c r="L519" s="697" t="s">
        <v>1</v>
      </c>
    </row>
    <row r="520" spans="1:12" ht="16.5" thickBot="1" x14ac:dyDescent="0.3">
      <c r="A520" s="1102" t="s">
        <v>1</v>
      </c>
      <c r="B520" s="1106" t="s">
        <v>1</v>
      </c>
      <c r="C520" s="570" t="s">
        <v>1</v>
      </c>
      <c r="D520" s="605" t="s">
        <v>1</v>
      </c>
      <c r="E520" s="1133" t="s">
        <v>1</v>
      </c>
      <c r="F520" s="1120" t="s">
        <v>1</v>
      </c>
      <c r="G520" s="700" t="s">
        <v>1</v>
      </c>
      <c r="H520" s="1108" t="s">
        <v>1</v>
      </c>
      <c r="I520" s="1108" t="s">
        <v>1</v>
      </c>
      <c r="J520" s="692" t="s">
        <v>1</v>
      </c>
      <c r="K520" s="1139" t="s">
        <v>1</v>
      </c>
      <c r="L520" s="700" t="s">
        <v>1</v>
      </c>
    </row>
    <row r="521" spans="1:12" ht="23.25" customHeight="1" x14ac:dyDescent="0.35">
      <c r="A521" s="1237" t="s">
        <v>712</v>
      </c>
      <c r="B521" s="1238"/>
      <c r="C521" s="1238"/>
      <c r="D521" s="1238"/>
      <c r="E521" s="1238"/>
      <c r="F521" s="1238"/>
      <c r="G521" s="1238"/>
      <c r="H521" s="1238"/>
      <c r="I521" s="1238"/>
      <c r="J521" s="1238"/>
      <c r="K521" s="1238"/>
      <c r="L521" s="1239"/>
    </row>
    <row r="522" spans="1:12" ht="23.25" customHeight="1" thickBot="1" x14ac:dyDescent="0.4">
      <c r="A522" s="1240" t="s">
        <v>713</v>
      </c>
      <c r="B522" s="1241"/>
      <c r="C522" s="1241"/>
      <c r="D522" s="1241"/>
      <c r="E522" s="1241"/>
      <c r="F522" s="1241"/>
      <c r="G522" s="1241"/>
      <c r="H522" s="1241"/>
      <c r="I522" s="1241"/>
      <c r="J522" s="1241"/>
      <c r="K522" s="1241"/>
      <c r="L522" s="1242"/>
    </row>
    <row r="523" spans="1:12" ht="23.25" customHeight="1" thickBot="1" x14ac:dyDescent="0.4">
      <c r="A523" s="1243" t="s">
        <v>714</v>
      </c>
      <c r="B523" s="1244"/>
      <c r="C523" s="1244"/>
      <c r="D523" s="1244"/>
      <c r="E523" s="1244"/>
      <c r="F523" s="1244"/>
      <c r="G523" s="1244"/>
      <c r="H523" s="1244"/>
      <c r="I523" s="1244"/>
      <c r="J523" s="1244"/>
      <c r="K523" s="1244"/>
      <c r="L523" s="1245"/>
    </row>
    <row r="524" spans="1:12" ht="23.25" customHeight="1" x14ac:dyDescent="0.35">
      <c r="A524" s="619" t="s">
        <v>715</v>
      </c>
      <c r="B524" s="620"/>
      <c r="C524" s="620"/>
      <c r="D524" s="621" t="s">
        <v>716</v>
      </c>
      <c r="E524" s="1241" t="s">
        <v>403</v>
      </c>
      <c r="F524" s="1241"/>
      <c r="G524" s="1241"/>
      <c r="H524" s="1241"/>
      <c r="I524" s="1241"/>
      <c r="J524" s="618" t="s">
        <v>815</v>
      </c>
      <c r="K524" s="1241" t="s">
        <v>1</v>
      </c>
      <c r="L524" s="1242"/>
    </row>
    <row r="525" spans="1:12" ht="15.75" thickBot="1" x14ac:dyDescent="0.3">
      <c r="A525" s="560" t="s">
        <v>1</v>
      </c>
      <c r="B525" s="561" t="s">
        <v>1</v>
      </c>
      <c r="C525" s="561" t="s">
        <v>1</v>
      </c>
      <c r="D525" s="562" t="s">
        <v>1</v>
      </c>
      <c r="E525" s="561" t="s">
        <v>1</v>
      </c>
      <c r="F525" s="561" t="s">
        <v>1</v>
      </c>
      <c r="G525" s="561" t="s">
        <v>1</v>
      </c>
      <c r="H525" s="561" t="s">
        <v>1</v>
      </c>
      <c r="I525" s="1227" t="s">
        <v>1</v>
      </c>
      <c r="J525" s="1227"/>
      <c r="K525" s="561" t="s">
        <v>1</v>
      </c>
      <c r="L525" s="563" t="s">
        <v>1</v>
      </c>
    </row>
    <row r="526" spans="1:12" ht="15.75" x14ac:dyDescent="0.25">
      <c r="A526" s="564" t="s">
        <v>719</v>
      </c>
      <c r="B526" s="565" t="s">
        <v>1</v>
      </c>
      <c r="C526" s="569" t="s">
        <v>1</v>
      </c>
      <c r="D526" s="567" t="s">
        <v>720</v>
      </c>
      <c r="E526" s="699" t="s">
        <v>721</v>
      </c>
      <c r="F526" s="569" t="s">
        <v>722</v>
      </c>
      <c r="G526" s="564" t="s">
        <v>719</v>
      </c>
      <c r="H526" s="570" t="s">
        <v>1</v>
      </c>
      <c r="I526" s="1109" t="s">
        <v>1</v>
      </c>
      <c r="J526" s="572" t="s">
        <v>720</v>
      </c>
      <c r="K526" s="700" t="s">
        <v>721</v>
      </c>
      <c r="L526" s="700" t="s">
        <v>722</v>
      </c>
    </row>
    <row r="527" spans="1:12" ht="15.75" x14ac:dyDescent="0.25">
      <c r="A527" s="1099" t="s">
        <v>1</v>
      </c>
      <c r="B527" s="574" t="s">
        <v>1</v>
      </c>
      <c r="C527" s="702" t="s">
        <v>1</v>
      </c>
      <c r="D527" s="680" t="s">
        <v>1</v>
      </c>
      <c r="E527" s="1125" t="s">
        <v>1</v>
      </c>
      <c r="F527" s="1110" t="s">
        <v>1</v>
      </c>
      <c r="G527" s="697" t="s">
        <v>1</v>
      </c>
      <c r="H527" s="703" t="s">
        <v>1</v>
      </c>
      <c r="I527" s="703" t="s">
        <v>1</v>
      </c>
      <c r="J527" s="682" t="s">
        <v>1</v>
      </c>
      <c r="K527" s="1136" t="s">
        <v>1</v>
      </c>
      <c r="L527" s="1123" t="s">
        <v>1</v>
      </c>
    </row>
    <row r="528" spans="1:12" ht="15.75" x14ac:dyDescent="0.25">
      <c r="A528" s="1099" t="s">
        <v>1</v>
      </c>
      <c r="B528" s="1103" t="s">
        <v>881</v>
      </c>
      <c r="C528" s="703">
        <v>156</v>
      </c>
      <c r="D528" s="681" t="s">
        <v>936</v>
      </c>
      <c r="E528" s="1126" t="s">
        <v>1</v>
      </c>
      <c r="F528" s="1111" t="s">
        <v>1</v>
      </c>
      <c r="G528" s="698" t="s">
        <v>1</v>
      </c>
      <c r="H528" s="1103" t="s">
        <v>1</v>
      </c>
      <c r="I528" s="703" t="s">
        <v>1</v>
      </c>
      <c r="J528" s="681" t="s">
        <v>1</v>
      </c>
      <c r="K528" s="1137" t="s">
        <v>1</v>
      </c>
      <c r="L528" s="600" t="s">
        <v>1</v>
      </c>
    </row>
    <row r="529" spans="1:12" ht="15.75" x14ac:dyDescent="0.25">
      <c r="A529" s="1099" t="s">
        <v>725</v>
      </c>
      <c r="B529" s="1104" t="s">
        <v>1</v>
      </c>
      <c r="C529" s="703" t="s">
        <v>1</v>
      </c>
      <c r="D529" s="681" t="s">
        <v>726</v>
      </c>
      <c r="E529" s="1126" t="s">
        <v>1</v>
      </c>
      <c r="F529" s="1112">
        <v>0.41666666666666669</v>
      </c>
      <c r="G529" s="698" t="s">
        <v>1</v>
      </c>
      <c r="H529" s="1103" t="s">
        <v>1</v>
      </c>
      <c r="I529" s="703" t="s">
        <v>1</v>
      </c>
      <c r="J529" s="685" t="s">
        <v>1</v>
      </c>
      <c r="K529" s="1126" t="s">
        <v>1</v>
      </c>
      <c r="L529" s="1115" t="s">
        <v>1</v>
      </c>
    </row>
    <row r="530" spans="1:12" ht="15.75" x14ac:dyDescent="0.25">
      <c r="A530" s="1099">
        <v>7</v>
      </c>
      <c r="B530" s="1103" t="s">
        <v>1</v>
      </c>
      <c r="C530" s="703" t="s">
        <v>1</v>
      </c>
      <c r="D530" s="685" t="s">
        <v>728</v>
      </c>
      <c r="E530" s="1126" t="s">
        <v>1</v>
      </c>
      <c r="F530" s="1114">
        <v>0.4375</v>
      </c>
      <c r="G530" s="698" t="s">
        <v>1</v>
      </c>
      <c r="H530" s="1103" t="s">
        <v>1</v>
      </c>
      <c r="I530" s="703" t="s">
        <v>1</v>
      </c>
      <c r="J530" s="681" t="s">
        <v>1</v>
      </c>
      <c r="K530" s="1126" t="s">
        <v>1</v>
      </c>
      <c r="L530" s="697" t="s">
        <v>1</v>
      </c>
    </row>
    <row r="531" spans="1:12" ht="15.75" x14ac:dyDescent="0.25">
      <c r="A531" s="1099" t="s">
        <v>1</v>
      </c>
      <c r="B531" s="1103" t="s">
        <v>1</v>
      </c>
      <c r="C531" s="703" t="s">
        <v>1</v>
      </c>
      <c r="D531" s="687" t="s">
        <v>1</v>
      </c>
      <c r="E531" s="1126" t="s">
        <v>1</v>
      </c>
      <c r="F531" s="697" t="s">
        <v>1</v>
      </c>
      <c r="G531" s="698" t="s">
        <v>1</v>
      </c>
      <c r="H531" s="1103" t="s">
        <v>1</v>
      </c>
      <c r="I531" s="703" t="s">
        <v>1</v>
      </c>
      <c r="J531" s="686" t="s">
        <v>1</v>
      </c>
      <c r="K531" s="1126" t="s">
        <v>1</v>
      </c>
      <c r="L531" s="1118" t="s">
        <v>1</v>
      </c>
    </row>
    <row r="532" spans="1:12" ht="15.75" x14ac:dyDescent="0.25">
      <c r="A532" s="1099">
        <v>7</v>
      </c>
      <c r="B532" s="1103" t="s">
        <v>1</v>
      </c>
      <c r="C532" s="703" t="s">
        <v>1</v>
      </c>
      <c r="D532" s="688" t="s">
        <v>50</v>
      </c>
      <c r="E532" s="1126" t="s">
        <v>1</v>
      </c>
      <c r="F532" s="1116">
        <v>0.5</v>
      </c>
      <c r="G532" s="698" t="s">
        <v>1</v>
      </c>
      <c r="H532" s="1103" t="s">
        <v>1</v>
      </c>
      <c r="I532" s="703" t="s">
        <v>1</v>
      </c>
      <c r="J532" s="687" t="s">
        <v>1</v>
      </c>
      <c r="K532" s="1126" t="s">
        <v>1</v>
      </c>
      <c r="L532" s="697" t="s">
        <v>1</v>
      </c>
    </row>
    <row r="533" spans="1:12" ht="15.75" x14ac:dyDescent="0.25">
      <c r="A533" s="1099" t="s">
        <v>1</v>
      </c>
      <c r="B533" s="1103" t="s">
        <v>1</v>
      </c>
      <c r="C533" s="703" t="s">
        <v>1</v>
      </c>
      <c r="D533" s="681" t="s">
        <v>1</v>
      </c>
      <c r="E533" s="1126" t="s">
        <v>1</v>
      </c>
      <c r="F533" s="697" t="s">
        <v>1</v>
      </c>
      <c r="G533" s="698" t="s">
        <v>1</v>
      </c>
      <c r="H533" s="1103" t="s">
        <v>1</v>
      </c>
      <c r="I533" s="703" t="s">
        <v>1</v>
      </c>
      <c r="J533" s="685" t="s">
        <v>1</v>
      </c>
      <c r="K533" s="1126" t="s">
        <v>1</v>
      </c>
      <c r="L533" s="1115" t="s">
        <v>1</v>
      </c>
    </row>
    <row r="534" spans="1:12" ht="15.75" x14ac:dyDescent="0.25">
      <c r="A534" s="1099" t="s">
        <v>1</v>
      </c>
      <c r="B534" s="1103" t="s">
        <v>1</v>
      </c>
      <c r="C534" s="703" t="s">
        <v>1</v>
      </c>
      <c r="D534" s="685" t="s">
        <v>728</v>
      </c>
      <c r="E534" s="1127">
        <v>0.57291666666666663</v>
      </c>
      <c r="F534" s="1118" t="s">
        <v>1</v>
      </c>
      <c r="G534" s="698" t="s">
        <v>1</v>
      </c>
      <c r="H534" s="1103" t="s">
        <v>1</v>
      </c>
      <c r="I534" s="703" t="s">
        <v>1</v>
      </c>
      <c r="J534" s="681" t="s">
        <v>1</v>
      </c>
      <c r="K534" s="1126" t="s">
        <v>1</v>
      </c>
      <c r="L534" s="697" t="s">
        <v>1</v>
      </c>
    </row>
    <row r="535" spans="1:12" ht="15.75" x14ac:dyDescent="0.25">
      <c r="A535" s="1099" t="s">
        <v>1</v>
      </c>
      <c r="B535" s="1103" t="s">
        <v>881</v>
      </c>
      <c r="C535" s="703">
        <v>156</v>
      </c>
      <c r="D535" s="681" t="s">
        <v>937</v>
      </c>
      <c r="E535" s="1126" t="s">
        <v>1</v>
      </c>
      <c r="F535" s="697" t="s">
        <v>1</v>
      </c>
      <c r="G535" s="698" t="s">
        <v>1</v>
      </c>
      <c r="H535" s="1103" t="s">
        <v>1</v>
      </c>
      <c r="I535" s="703" t="s">
        <v>1</v>
      </c>
      <c r="J535" s="681" t="s">
        <v>1</v>
      </c>
      <c r="K535" s="1126" t="s">
        <v>1</v>
      </c>
      <c r="L535" s="697" t="s">
        <v>1</v>
      </c>
    </row>
    <row r="536" spans="1:12" ht="15.75" x14ac:dyDescent="0.25">
      <c r="A536" s="1099" t="s">
        <v>1</v>
      </c>
      <c r="B536" s="1103" t="s">
        <v>1</v>
      </c>
      <c r="C536" s="703" t="s">
        <v>1</v>
      </c>
      <c r="D536" s="685" t="s">
        <v>1</v>
      </c>
      <c r="E536" s="1126" t="s">
        <v>1</v>
      </c>
      <c r="F536" s="1115" t="s">
        <v>1</v>
      </c>
      <c r="G536" s="698" t="s">
        <v>1</v>
      </c>
      <c r="H536" s="1103" t="s">
        <v>1</v>
      </c>
      <c r="I536" s="703" t="s">
        <v>1</v>
      </c>
      <c r="J536" s="681" t="s">
        <v>1</v>
      </c>
      <c r="K536" s="1126" t="s">
        <v>1</v>
      </c>
      <c r="L536" s="697" t="s">
        <v>1</v>
      </c>
    </row>
    <row r="537" spans="1:12" ht="15.75" x14ac:dyDescent="0.25">
      <c r="A537" s="1099" t="s">
        <v>1</v>
      </c>
      <c r="B537" s="1103" t="s">
        <v>273</v>
      </c>
      <c r="C537" s="703">
        <v>115</v>
      </c>
      <c r="D537" s="681" t="s">
        <v>938</v>
      </c>
      <c r="E537" s="1126" t="s">
        <v>1</v>
      </c>
      <c r="F537" s="697" t="s">
        <v>1</v>
      </c>
      <c r="G537" s="698" t="s">
        <v>1</v>
      </c>
      <c r="H537" s="1103" t="s">
        <v>1</v>
      </c>
      <c r="I537" s="703" t="s">
        <v>1</v>
      </c>
      <c r="J537" s="685" t="s">
        <v>1</v>
      </c>
      <c r="K537" s="1126" t="s">
        <v>1</v>
      </c>
      <c r="L537" s="1115" t="s">
        <v>1</v>
      </c>
    </row>
    <row r="538" spans="1:12" ht="15.75" x14ac:dyDescent="0.25">
      <c r="A538" s="1099" t="s">
        <v>727</v>
      </c>
      <c r="B538" s="1103" t="s">
        <v>1</v>
      </c>
      <c r="C538" s="703" t="s">
        <v>1</v>
      </c>
      <c r="D538" s="685" t="s">
        <v>728</v>
      </c>
      <c r="E538" s="1126" t="s">
        <v>1</v>
      </c>
      <c r="F538" s="1114">
        <v>0.57291666666666663</v>
      </c>
      <c r="G538" s="698" t="s">
        <v>1</v>
      </c>
      <c r="H538" s="1103" t="s">
        <v>1</v>
      </c>
      <c r="I538" s="703" t="s">
        <v>1</v>
      </c>
      <c r="J538" s="681" t="s">
        <v>1</v>
      </c>
      <c r="K538" s="1126" t="s">
        <v>1</v>
      </c>
      <c r="L538" s="697" t="s">
        <v>1</v>
      </c>
    </row>
    <row r="539" spans="1:12" ht="15.75" x14ac:dyDescent="0.25">
      <c r="A539" s="1099" t="s">
        <v>1</v>
      </c>
      <c r="B539" s="1103" t="s">
        <v>1</v>
      </c>
      <c r="C539" s="703" t="s">
        <v>1</v>
      </c>
      <c r="D539" s="681" t="s">
        <v>1</v>
      </c>
      <c r="E539" s="1126" t="s">
        <v>1</v>
      </c>
      <c r="F539" s="697" t="s">
        <v>1</v>
      </c>
      <c r="G539" s="698" t="s">
        <v>1</v>
      </c>
      <c r="H539" s="1103" t="s">
        <v>1</v>
      </c>
      <c r="I539" s="703" t="s">
        <v>1</v>
      </c>
      <c r="J539" s="686" t="s">
        <v>1</v>
      </c>
      <c r="K539" s="1126" t="s">
        <v>1</v>
      </c>
      <c r="L539" s="1118" t="s">
        <v>1</v>
      </c>
    </row>
    <row r="540" spans="1:12" ht="15.75" x14ac:dyDescent="0.25">
      <c r="A540" s="1099" t="s">
        <v>725</v>
      </c>
      <c r="B540" s="1103" t="s">
        <v>1</v>
      </c>
      <c r="C540" s="703" t="s">
        <v>1</v>
      </c>
      <c r="D540" s="686" t="s">
        <v>48</v>
      </c>
      <c r="E540" s="1127">
        <v>0.64236111111111116</v>
      </c>
      <c r="F540" s="1115" t="s">
        <v>1</v>
      </c>
      <c r="G540" s="698" t="s">
        <v>1</v>
      </c>
      <c r="H540" s="1103" t="s">
        <v>1</v>
      </c>
      <c r="I540" s="703" t="s">
        <v>1</v>
      </c>
      <c r="J540" s="687" t="s">
        <v>1</v>
      </c>
      <c r="K540" s="1126" t="s">
        <v>1</v>
      </c>
      <c r="L540" s="697" t="s">
        <v>1</v>
      </c>
    </row>
    <row r="541" spans="1:12" ht="15.75" x14ac:dyDescent="0.25">
      <c r="A541" s="1099" t="s">
        <v>1</v>
      </c>
      <c r="B541" s="1103" t="s">
        <v>1</v>
      </c>
      <c r="C541" s="703" t="s">
        <v>1</v>
      </c>
      <c r="D541" s="681" t="s">
        <v>733</v>
      </c>
      <c r="E541" s="1127">
        <v>0.66319444444444442</v>
      </c>
      <c r="F541" s="697" t="s">
        <v>1</v>
      </c>
      <c r="G541" s="698" t="s">
        <v>1</v>
      </c>
      <c r="H541" s="1103" t="s">
        <v>1</v>
      </c>
      <c r="I541" s="703" t="s">
        <v>1</v>
      </c>
      <c r="J541" s="685" t="s">
        <v>1</v>
      </c>
      <c r="K541" s="1126" t="s">
        <v>1</v>
      </c>
      <c r="L541" s="1115" t="s">
        <v>1</v>
      </c>
    </row>
    <row r="542" spans="1:12" ht="15.75" x14ac:dyDescent="0.25">
      <c r="A542" s="1099" t="s">
        <v>1</v>
      </c>
      <c r="B542" s="1103" t="s">
        <v>276</v>
      </c>
      <c r="C542" s="703" t="s">
        <v>273</v>
      </c>
      <c r="D542" s="686" t="s">
        <v>1</v>
      </c>
      <c r="E542" s="1126" t="s">
        <v>1</v>
      </c>
      <c r="F542" s="1118" t="s">
        <v>1</v>
      </c>
      <c r="G542" s="698" t="s">
        <v>1</v>
      </c>
      <c r="H542" s="1103" t="s">
        <v>1</v>
      </c>
      <c r="I542" s="703" t="s">
        <v>1</v>
      </c>
      <c r="J542" s="681" t="s">
        <v>1</v>
      </c>
      <c r="K542" s="1126" t="s">
        <v>1</v>
      </c>
      <c r="L542" s="697" t="s">
        <v>1</v>
      </c>
    </row>
    <row r="543" spans="1:12" ht="15.75" x14ac:dyDescent="0.25">
      <c r="A543" s="1099" t="s">
        <v>1</v>
      </c>
      <c r="B543" s="1103" t="s">
        <v>1</v>
      </c>
      <c r="C543" s="703" t="s">
        <v>1</v>
      </c>
      <c r="D543" s="687" t="s">
        <v>1</v>
      </c>
      <c r="E543" s="1126" t="s">
        <v>1</v>
      </c>
      <c r="F543" s="697" t="s">
        <v>1</v>
      </c>
      <c r="G543" s="698" t="s">
        <v>1</v>
      </c>
      <c r="H543" s="1103" t="s">
        <v>1</v>
      </c>
      <c r="I543" s="703" t="s">
        <v>1</v>
      </c>
      <c r="J543" s="686" t="s">
        <v>1</v>
      </c>
      <c r="K543" s="1126" t="s">
        <v>1</v>
      </c>
      <c r="L543" s="1118" t="s">
        <v>1</v>
      </c>
    </row>
    <row r="544" spans="1:12" ht="15.75" x14ac:dyDescent="0.25">
      <c r="A544" s="1099" t="s">
        <v>1</v>
      </c>
      <c r="B544" s="1103" t="s">
        <v>1</v>
      </c>
      <c r="C544" s="703" t="s">
        <v>1</v>
      </c>
      <c r="D544" s="685" t="s">
        <v>1</v>
      </c>
      <c r="E544" s="1126" t="s">
        <v>1</v>
      </c>
      <c r="F544" s="1115" t="s">
        <v>1</v>
      </c>
      <c r="G544" s="698" t="s">
        <v>1</v>
      </c>
      <c r="H544" s="1103" t="s">
        <v>1</v>
      </c>
      <c r="I544" s="703" t="s">
        <v>1</v>
      </c>
      <c r="J544" s="690" t="s">
        <v>1</v>
      </c>
      <c r="K544" s="1126" t="s">
        <v>1</v>
      </c>
      <c r="L544" s="1119" t="s">
        <v>1</v>
      </c>
    </row>
    <row r="545" spans="1:12" ht="15.75" x14ac:dyDescent="0.25">
      <c r="A545" s="1099" t="s">
        <v>1</v>
      </c>
      <c r="B545" s="1103" t="s">
        <v>1</v>
      </c>
      <c r="C545" s="703" t="s">
        <v>1</v>
      </c>
      <c r="D545" s="681" t="s">
        <v>1</v>
      </c>
      <c r="E545" s="1126" t="s">
        <v>1</v>
      </c>
      <c r="F545" s="697" t="s">
        <v>1</v>
      </c>
      <c r="G545" s="698" t="s">
        <v>1</v>
      </c>
      <c r="H545" s="1103" t="s">
        <v>1</v>
      </c>
      <c r="I545" s="703" t="s">
        <v>1</v>
      </c>
      <c r="J545" s="681" t="s">
        <v>1</v>
      </c>
      <c r="K545" s="1126" t="s">
        <v>1</v>
      </c>
      <c r="L545" s="697" t="s">
        <v>1</v>
      </c>
    </row>
    <row r="546" spans="1:12" ht="15.75" x14ac:dyDescent="0.25">
      <c r="A546" s="1099" t="s">
        <v>1</v>
      </c>
      <c r="B546" s="1103" t="s">
        <v>1</v>
      </c>
      <c r="C546" s="703" t="s">
        <v>1</v>
      </c>
      <c r="D546" s="687" t="s">
        <v>1</v>
      </c>
      <c r="E546" s="1126" t="s">
        <v>1</v>
      </c>
      <c r="F546" s="697" t="s">
        <v>1</v>
      </c>
      <c r="G546" s="698" t="s">
        <v>1</v>
      </c>
      <c r="H546" s="1103" t="s">
        <v>1</v>
      </c>
      <c r="I546" s="703" t="s">
        <v>1</v>
      </c>
      <c r="J546" s="681" t="s">
        <v>1</v>
      </c>
      <c r="K546" s="1126" t="s">
        <v>1</v>
      </c>
      <c r="L546" s="1118" t="s">
        <v>1</v>
      </c>
    </row>
    <row r="547" spans="1:12" ht="15.75" x14ac:dyDescent="0.25">
      <c r="A547" s="1099" t="s">
        <v>1</v>
      </c>
      <c r="B547" s="1103" t="s">
        <v>1</v>
      </c>
      <c r="C547" s="703" t="s">
        <v>1</v>
      </c>
      <c r="D547" s="681" t="s">
        <v>1</v>
      </c>
      <c r="E547" s="1126" t="s">
        <v>1</v>
      </c>
      <c r="F547" s="697" t="s">
        <v>1</v>
      </c>
      <c r="G547" s="698" t="s">
        <v>1</v>
      </c>
      <c r="H547" s="1103" t="s">
        <v>1</v>
      </c>
      <c r="I547" s="703" t="s">
        <v>1</v>
      </c>
      <c r="J547" s="690" t="s">
        <v>1</v>
      </c>
      <c r="K547" s="1126" t="s">
        <v>1</v>
      </c>
      <c r="L547" s="697" t="s">
        <v>1</v>
      </c>
    </row>
    <row r="548" spans="1:12" ht="15.75" x14ac:dyDescent="0.25">
      <c r="A548" s="1099" t="s">
        <v>1</v>
      </c>
      <c r="B548" s="1103" t="s">
        <v>1</v>
      </c>
      <c r="C548" s="703" t="s">
        <v>1</v>
      </c>
      <c r="D548" s="685" t="s">
        <v>1</v>
      </c>
      <c r="E548" s="1126" t="s">
        <v>1</v>
      </c>
      <c r="F548" s="1115" t="s">
        <v>1</v>
      </c>
      <c r="G548" s="698" t="s">
        <v>1</v>
      </c>
      <c r="H548" s="1103" t="s">
        <v>1</v>
      </c>
      <c r="I548" s="703" t="s">
        <v>1</v>
      </c>
      <c r="J548" s="690" t="s">
        <v>1</v>
      </c>
      <c r="K548" s="1126" t="s">
        <v>1</v>
      </c>
      <c r="L548" s="1119" t="s">
        <v>1</v>
      </c>
    </row>
    <row r="549" spans="1:12" ht="15.75" x14ac:dyDescent="0.25">
      <c r="A549" s="1099" t="s">
        <v>1</v>
      </c>
      <c r="B549" s="1103" t="s">
        <v>1</v>
      </c>
      <c r="C549" s="703" t="s">
        <v>1</v>
      </c>
      <c r="D549" s="681" t="s">
        <v>1</v>
      </c>
      <c r="E549" s="1126" t="s">
        <v>1</v>
      </c>
      <c r="F549" s="697" t="s">
        <v>1</v>
      </c>
      <c r="G549" s="698" t="s">
        <v>1</v>
      </c>
      <c r="H549" s="1103" t="s">
        <v>1</v>
      </c>
      <c r="I549" s="703" t="s">
        <v>1</v>
      </c>
      <c r="J549" s="681" t="s">
        <v>1</v>
      </c>
      <c r="K549" s="1126" t="s">
        <v>1</v>
      </c>
      <c r="L549" s="697" t="s">
        <v>1</v>
      </c>
    </row>
    <row r="550" spans="1:12" ht="15.75" x14ac:dyDescent="0.25">
      <c r="A550" s="1099" t="s">
        <v>1</v>
      </c>
      <c r="B550" s="1103" t="s">
        <v>1</v>
      </c>
      <c r="C550" s="703" t="s">
        <v>1</v>
      </c>
      <c r="D550" s="686" t="s">
        <v>1</v>
      </c>
      <c r="E550" s="1126" t="s">
        <v>1</v>
      </c>
      <c r="F550" s="1118" t="s">
        <v>1</v>
      </c>
      <c r="G550" s="698" t="s">
        <v>1</v>
      </c>
      <c r="H550" s="1103" t="s">
        <v>1</v>
      </c>
      <c r="I550" s="703" t="s">
        <v>1</v>
      </c>
      <c r="J550" s="686" t="s">
        <v>1</v>
      </c>
      <c r="K550" s="1126" t="s">
        <v>1</v>
      </c>
      <c r="L550" s="1118" t="s">
        <v>1</v>
      </c>
    </row>
    <row r="551" spans="1:12" ht="15.75" x14ac:dyDescent="0.25">
      <c r="A551" s="1099" t="s">
        <v>1</v>
      </c>
      <c r="B551" s="1103" t="s">
        <v>1</v>
      </c>
      <c r="C551" s="703" t="s">
        <v>1</v>
      </c>
      <c r="D551" s="687" t="s">
        <v>1</v>
      </c>
      <c r="E551" s="1126" t="s">
        <v>1</v>
      </c>
      <c r="F551" s="697" t="s">
        <v>1</v>
      </c>
      <c r="G551" s="698" t="s">
        <v>1</v>
      </c>
      <c r="H551" s="1103" t="s">
        <v>1</v>
      </c>
      <c r="I551" s="703" t="s">
        <v>1</v>
      </c>
      <c r="J551" s="687" t="s">
        <v>1</v>
      </c>
      <c r="K551" s="1126" t="s">
        <v>1</v>
      </c>
      <c r="L551" s="697" t="s">
        <v>1</v>
      </c>
    </row>
    <row r="552" spans="1:12" ht="15.75" x14ac:dyDescent="0.25">
      <c r="A552" s="1099" t="s">
        <v>1</v>
      </c>
      <c r="B552" s="1103" t="s">
        <v>1</v>
      </c>
      <c r="C552" s="703" t="s">
        <v>1</v>
      </c>
      <c r="D552" s="685" t="s">
        <v>1</v>
      </c>
      <c r="E552" s="1126" t="s">
        <v>1</v>
      </c>
      <c r="F552" s="1115" t="s">
        <v>1</v>
      </c>
      <c r="G552" s="698" t="s">
        <v>1</v>
      </c>
      <c r="H552" s="1103" t="s">
        <v>1</v>
      </c>
      <c r="I552" s="703" t="s">
        <v>1</v>
      </c>
      <c r="J552" s="681" t="s">
        <v>1</v>
      </c>
      <c r="K552" s="1126" t="s">
        <v>1</v>
      </c>
      <c r="L552" s="1119" t="s">
        <v>1</v>
      </c>
    </row>
    <row r="553" spans="1:12" ht="15.75" x14ac:dyDescent="0.25">
      <c r="A553" s="1099" t="s">
        <v>1</v>
      </c>
      <c r="B553" s="1103" t="s">
        <v>1</v>
      </c>
      <c r="C553" s="703" t="s">
        <v>1</v>
      </c>
      <c r="D553" s="681" t="s">
        <v>1</v>
      </c>
      <c r="E553" s="1126" t="s">
        <v>1</v>
      </c>
      <c r="F553" s="697" t="s">
        <v>1</v>
      </c>
      <c r="G553" s="698" t="s">
        <v>1</v>
      </c>
      <c r="H553" s="1103" t="s">
        <v>1</v>
      </c>
      <c r="I553" s="703" t="s">
        <v>1</v>
      </c>
      <c r="J553" s="681" t="s">
        <v>1</v>
      </c>
      <c r="K553" s="1126" t="s">
        <v>1</v>
      </c>
      <c r="L553" s="697" t="s">
        <v>1</v>
      </c>
    </row>
    <row r="554" spans="1:12" ht="15.75" x14ac:dyDescent="0.25">
      <c r="A554" s="1099" t="s">
        <v>1</v>
      </c>
      <c r="B554" s="1103" t="s">
        <v>1</v>
      </c>
      <c r="C554" s="703" t="s">
        <v>1</v>
      </c>
      <c r="D554" s="681" t="s">
        <v>1</v>
      </c>
      <c r="E554" s="1126" t="s">
        <v>1</v>
      </c>
      <c r="F554" s="697" t="s">
        <v>1</v>
      </c>
      <c r="G554" s="698" t="s">
        <v>1</v>
      </c>
      <c r="H554" s="1103" t="s">
        <v>1</v>
      </c>
      <c r="I554" s="703" t="s">
        <v>1</v>
      </c>
      <c r="J554" s="681" t="s">
        <v>1</v>
      </c>
      <c r="K554" s="1126" t="s">
        <v>1</v>
      </c>
      <c r="L554" s="1118" t="s">
        <v>1</v>
      </c>
    </row>
    <row r="555" spans="1:12" ht="15.75" x14ac:dyDescent="0.25">
      <c r="A555" s="1099" t="s">
        <v>1</v>
      </c>
      <c r="B555" s="1103" t="s">
        <v>1</v>
      </c>
      <c r="C555" s="703" t="s">
        <v>1</v>
      </c>
      <c r="D555" s="687" t="s">
        <v>1</v>
      </c>
      <c r="E555" s="1126" t="s">
        <v>1</v>
      </c>
      <c r="F555" s="697" t="s">
        <v>1</v>
      </c>
      <c r="G555" s="698" t="s">
        <v>1</v>
      </c>
      <c r="H555" s="1103" t="s">
        <v>1</v>
      </c>
      <c r="I555" s="703" t="s">
        <v>1</v>
      </c>
      <c r="J555" s="687" t="s">
        <v>1</v>
      </c>
      <c r="K555" s="1126" t="s">
        <v>1</v>
      </c>
      <c r="L555" s="697" t="s">
        <v>1</v>
      </c>
    </row>
    <row r="556" spans="1:12" ht="15.75" x14ac:dyDescent="0.25">
      <c r="A556" s="1099" t="s">
        <v>1</v>
      </c>
      <c r="B556" s="1103" t="s">
        <v>1</v>
      </c>
      <c r="C556" s="703" t="s">
        <v>1</v>
      </c>
      <c r="D556" s="690" t="s">
        <v>1</v>
      </c>
      <c r="E556" s="1126" t="s">
        <v>1</v>
      </c>
      <c r="F556" s="1119" t="s">
        <v>1</v>
      </c>
      <c r="G556" s="698" t="s">
        <v>1</v>
      </c>
      <c r="H556" s="1103" t="s">
        <v>1</v>
      </c>
      <c r="I556" s="703" t="s">
        <v>1</v>
      </c>
      <c r="J556" s="681" t="s">
        <v>1</v>
      </c>
      <c r="K556" s="1126" t="s">
        <v>1</v>
      </c>
      <c r="L556" s="1119" t="s">
        <v>1</v>
      </c>
    </row>
    <row r="557" spans="1:12" ht="15.75" x14ac:dyDescent="0.25">
      <c r="A557" s="1099" t="s">
        <v>1</v>
      </c>
      <c r="B557" s="1103" t="s">
        <v>1</v>
      </c>
      <c r="C557" s="703" t="s">
        <v>1</v>
      </c>
      <c r="D557" s="687" t="s">
        <v>1</v>
      </c>
      <c r="E557" s="1126" t="s">
        <v>1</v>
      </c>
      <c r="F557" s="697" t="s">
        <v>1</v>
      </c>
      <c r="G557" s="698" t="s">
        <v>1</v>
      </c>
      <c r="H557" s="1103" t="s">
        <v>1</v>
      </c>
      <c r="I557" s="703" t="s">
        <v>1</v>
      </c>
      <c r="J557" s="687" t="s">
        <v>1</v>
      </c>
      <c r="K557" s="1126" t="s">
        <v>1</v>
      </c>
      <c r="L557" s="697" t="s">
        <v>1</v>
      </c>
    </row>
    <row r="558" spans="1:12" ht="15.75" x14ac:dyDescent="0.25">
      <c r="A558" s="1099" t="s">
        <v>1</v>
      </c>
      <c r="B558" s="1103" t="s">
        <v>1</v>
      </c>
      <c r="C558" s="703" t="s">
        <v>1</v>
      </c>
      <c r="D558" s="681" t="s">
        <v>1</v>
      </c>
      <c r="E558" s="1126" t="s">
        <v>1</v>
      </c>
      <c r="F558" s="697" t="s">
        <v>1</v>
      </c>
      <c r="G558" s="698" t="s">
        <v>1</v>
      </c>
      <c r="H558" s="1103" t="s">
        <v>1</v>
      </c>
      <c r="I558" s="703" t="s">
        <v>1</v>
      </c>
      <c r="J558" s="681" t="s">
        <v>1</v>
      </c>
      <c r="K558" s="1126" t="s">
        <v>1</v>
      </c>
      <c r="L558" s="697" t="s">
        <v>1</v>
      </c>
    </row>
    <row r="559" spans="1:12" ht="15.75" x14ac:dyDescent="0.25">
      <c r="A559" s="1099" t="s">
        <v>1</v>
      </c>
      <c r="B559" s="1103" t="s">
        <v>1</v>
      </c>
      <c r="C559" s="703" t="s">
        <v>1</v>
      </c>
      <c r="D559" s="687" t="s">
        <v>1</v>
      </c>
      <c r="E559" s="1126" t="s">
        <v>1</v>
      </c>
      <c r="F559" s="697" t="s">
        <v>1</v>
      </c>
      <c r="G559" s="697" t="s">
        <v>1</v>
      </c>
      <c r="H559" s="703" t="s">
        <v>1</v>
      </c>
      <c r="I559" s="703" t="s">
        <v>1</v>
      </c>
      <c r="J559" s="681" t="s">
        <v>1</v>
      </c>
      <c r="K559" s="1126" t="s">
        <v>1</v>
      </c>
      <c r="L559" s="697" t="s">
        <v>1</v>
      </c>
    </row>
    <row r="560" spans="1:12" ht="16.5" thickBot="1" x14ac:dyDescent="0.3">
      <c r="A560" s="1102" t="s">
        <v>1</v>
      </c>
      <c r="B560" s="1106" t="s">
        <v>1</v>
      </c>
      <c r="C560" s="570" t="s">
        <v>1</v>
      </c>
      <c r="D560" s="605" t="s">
        <v>1</v>
      </c>
      <c r="E560" s="1133" t="s">
        <v>1</v>
      </c>
      <c r="F560" s="1120" t="s">
        <v>1</v>
      </c>
      <c r="G560" s="700" t="s">
        <v>1</v>
      </c>
      <c r="H560" s="1108" t="s">
        <v>1</v>
      </c>
      <c r="I560" s="1108" t="s">
        <v>1</v>
      </c>
      <c r="J560" s="692" t="s">
        <v>1</v>
      </c>
      <c r="K560" s="1139" t="s">
        <v>1</v>
      </c>
      <c r="L560" s="700" t="s">
        <v>1</v>
      </c>
    </row>
    <row r="561" spans="1:12" ht="23.25" customHeight="1" x14ac:dyDescent="0.35">
      <c r="A561" s="1237" t="s">
        <v>712</v>
      </c>
      <c r="B561" s="1238"/>
      <c r="C561" s="1238"/>
      <c r="D561" s="1238"/>
      <c r="E561" s="1238"/>
      <c r="F561" s="1238"/>
      <c r="G561" s="1238"/>
      <c r="H561" s="1238"/>
      <c r="I561" s="1238"/>
      <c r="J561" s="1238"/>
      <c r="K561" s="1238"/>
      <c r="L561" s="1239"/>
    </row>
    <row r="562" spans="1:12" ht="23.25" customHeight="1" thickBot="1" x14ac:dyDescent="0.4">
      <c r="A562" s="1240" t="s">
        <v>713</v>
      </c>
      <c r="B562" s="1241"/>
      <c r="C562" s="1241"/>
      <c r="D562" s="1241"/>
      <c r="E562" s="1241"/>
      <c r="F562" s="1241"/>
      <c r="G562" s="1241"/>
      <c r="H562" s="1241"/>
      <c r="I562" s="1241"/>
      <c r="J562" s="1241"/>
      <c r="K562" s="1241"/>
      <c r="L562" s="1242"/>
    </row>
    <row r="563" spans="1:12" ht="23.25" customHeight="1" thickBot="1" x14ac:dyDescent="0.4">
      <c r="A563" s="1243" t="s">
        <v>714</v>
      </c>
      <c r="B563" s="1244"/>
      <c r="C563" s="1244"/>
      <c r="D563" s="1244"/>
      <c r="E563" s="1244"/>
      <c r="F563" s="1244"/>
      <c r="G563" s="1244"/>
      <c r="H563" s="1244"/>
      <c r="I563" s="1244"/>
      <c r="J563" s="1244"/>
      <c r="K563" s="1244"/>
      <c r="L563" s="1245"/>
    </row>
    <row r="564" spans="1:12" ht="23.25" customHeight="1" x14ac:dyDescent="0.35">
      <c r="A564" s="619" t="s">
        <v>715</v>
      </c>
      <c r="B564" s="620"/>
      <c r="C564" s="620"/>
      <c r="D564" s="621" t="s">
        <v>716</v>
      </c>
      <c r="E564" s="1241" t="s">
        <v>403</v>
      </c>
      <c r="F564" s="1241"/>
      <c r="G564" s="1241"/>
      <c r="H564" s="1241"/>
      <c r="I564" s="1241"/>
      <c r="J564" s="618" t="s">
        <v>824</v>
      </c>
      <c r="K564" s="1241" t="s">
        <v>1</v>
      </c>
      <c r="L564" s="1242"/>
    </row>
    <row r="565" spans="1:12" ht="15.75" thickBot="1" x14ac:dyDescent="0.3">
      <c r="A565" s="560" t="s">
        <v>1</v>
      </c>
      <c r="B565" s="561" t="s">
        <v>1</v>
      </c>
      <c r="C565" s="561" t="s">
        <v>1</v>
      </c>
      <c r="D565" s="562" t="s">
        <v>1</v>
      </c>
      <c r="E565" s="561" t="s">
        <v>1</v>
      </c>
      <c r="F565" s="561" t="s">
        <v>1</v>
      </c>
      <c r="G565" s="561" t="s">
        <v>1</v>
      </c>
      <c r="H565" s="561" t="s">
        <v>1</v>
      </c>
      <c r="I565" s="1227" t="s">
        <v>1</v>
      </c>
      <c r="J565" s="1227"/>
      <c r="K565" s="561" t="s">
        <v>1</v>
      </c>
      <c r="L565" s="563" t="s">
        <v>1</v>
      </c>
    </row>
    <row r="566" spans="1:12" ht="15.75" x14ac:dyDescent="0.25">
      <c r="A566" s="564" t="s">
        <v>719</v>
      </c>
      <c r="B566" s="565" t="s">
        <v>1</v>
      </c>
      <c r="C566" s="569" t="s">
        <v>1</v>
      </c>
      <c r="D566" s="567" t="s">
        <v>720</v>
      </c>
      <c r="E566" s="699" t="s">
        <v>721</v>
      </c>
      <c r="F566" s="569" t="s">
        <v>722</v>
      </c>
      <c r="G566" s="564" t="s">
        <v>719</v>
      </c>
      <c r="H566" s="570" t="s">
        <v>1</v>
      </c>
      <c r="I566" s="1109" t="s">
        <v>1</v>
      </c>
      <c r="J566" s="572" t="s">
        <v>720</v>
      </c>
      <c r="K566" s="700" t="s">
        <v>721</v>
      </c>
      <c r="L566" s="700" t="s">
        <v>722</v>
      </c>
    </row>
    <row r="567" spans="1:12" ht="15.75" x14ac:dyDescent="0.25">
      <c r="A567" s="1099" t="s">
        <v>1</v>
      </c>
      <c r="B567" s="574" t="s">
        <v>1</v>
      </c>
      <c r="C567" s="702" t="s">
        <v>1</v>
      </c>
      <c r="D567" s="680" t="s">
        <v>1</v>
      </c>
      <c r="E567" s="1125" t="s">
        <v>1</v>
      </c>
      <c r="F567" s="1110" t="s">
        <v>1</v>
      </c>
      <c r="G567" s="697" t="s">
        <v>1</v>
      </c>
      <c r="H567" s="703" t="s">
        <v>1</v>
      </c>
      <c r="I567" s="703" t="s">
        <v>1</v>
      </c>
      <c r="J567" s="682" t="s">
        <v>1</v>
      </c>
      <c r="K567" s="1136" t="s">
        <v>1</v>
      </c>
      <c r="L567" s="1123" t="s">
        <v>1</v>
      </c>
    </row>
    <row r="568" spans="1:12" ht="15.75" x14ac:dyDescent="0.25">
      <c r="A568" s="1099" t="s">
        <v>1</v>
      </c>
      <c r="B568" s="1103" t="s">
        <v>881</v>
      </c>
      <c r="C568" s="703">
        <v>112</v>
      </c>
      <c r="D568" s="681" t="s">
        <v>819</v>
      </c>
      <c r="E568" s="1126" t="s">
        <v>1</v>
      </c>
      <c r="F568" s="1111" t="s">
        <v>1</v>
      </c>
      <c r="G568" s="698" t="s">
        <v>1</v>
      </c>
      <c r="H568" s="1103" t="s">
        <v>1</v>
      </c>
      <c r="I568" s="703" t="s">
        <v>1</v>
      </c>
      <c r="J568" s="681" t="s">
        <v>1</v>
      </c>
      <c r="K568" s="1137" t="s">
        <v>1</v>
      </c>
      <c r="L568" s="600" t="s">
        <v>1</v>
      </c>
    </row>
    <row r="569" spans="1:12" ht="15.75" x14ac:dyDescent="0.25">
      <c r="A569" s="1099" t="s">
        <v>725</v>
      </c>
      <c r="B569" s="1104" t="s">
        <v>1</v>
      </c>
      <c r="C569" s="703" t="s">
        <v>1</v>
      </c>
      <c r="D569" s="681" t="s">
        <v>726</v>
      </c>
      <c r="E569" s="1126" t="s">
        <v>1</v>
      </c>
      <c r="F569" s="1112">
        <v>0.46527777777777779</v>
      </c>
      <c r="G569" s="698" t="s">
        <v>1</v>
      </c>
      <c r="H569" s="1103" t="s">
        <v>1</v>
      </c>
      <c r="I569" s="703" t="s">
        <v>1</v>
      </c>
      <c r="J569" s="685" t="s">
        <v>1</v>
      </c>
      <c r="K569" s="1126" t="s">
        <v>1</v>
      </c>
      <c r="L569" s="1115" t="s">
        <v>1</v>
      </c>
    </row>
    <row r="570" spans="1:12" ht="15.75" x14ac:dyDescent="0.25">
      <c r="A570" s="1099" t="s">
        <v>727</v>
      </c>
      <c r="B570" s="1103" t="s">
        <v>1</v>
      </c>
      <c r="C570" s="703" t="s">
        <v>1</v>
      </c>
      <c r="D570" s="685" t="s">
        <v>728</v>
      </c>
      <c r="E570" s="1126" t="s">
        <v>1</v>
      </c>
      <c r="F570" s="1114">
        <v>0.48958333333333331</v>
      </c>
      <c r="G570" s="698" t="s">
        <v>1</v>
      </c>
      <c r="H570" s="1103" t="s">
        <v>1</v>
      </c>
      <c r="I570" s="703" t="s">
        <v>1</v>
      </c>
      <c r="J570" s="681" t="s">
        <v>1</v>
      </c>
      <c r="K570" s="1126" t="s">
        <v>1</v>
      </c>
      <c r="L570" s="697" t="s">
        <v>1</v>
      </c>
    </row>
    <row r="571" spans="1:12" ht="15.75" x14ac:dyDescent="0.25">
      <c r="A571" s="1099" t="s">
        <v>1</v>
      </c>
      <c r="B571" s="1103" t="s">
        <v>1</v>
      </c>
      <c r="C571" s="703" t="s">
        <v>1</v>
      </c>
      <c r="D571" s="687" t="s">
        <v>1</v>
      </c>
      <c r="E571" s="1126" t="s">
        <v>1</v>
      </c>
      <c r="F571" s="697" t="s">
        <v>1</v>
      </c>
      <c r="G571" s="698" t="s">
        <v>1</v>
      </c>
      <c r="H571" s="1103" t="s">
        <v>1</v>
      </c>
      <c r="I571" s="703" t="s">
        <v>1</v>
      </c>
      <c r="J571" s="686" t="s">
        <v>1</v>
      </c>
      <c r="K571" s="1126" t="s">
        <v>1</v>
      </c>
      <c r="L571" s="1118" t="s">
        <v>1</v>
      </c>
    </row>
    <row r="572" spans="1:12" ht="15.75" x14ac:dyDescent="0.25">
      <c r="A572" s="1099" t="s">
        <v>727</v>
      </c>
      <c r="B572" s="1103" t="s">
        <v>1</v>
      </c>
      <c r="C572" s="703" t="s">
        <v>1</v>
      </c>
      <c r="D572" s="686" t="s">
        <v>48</v>
      </c>
      <c r="E572" s="1126" t="s">
        <v>1</v>
      </c>
      <c r="F572" s="1113">
        <v>0.57291666666666663</v>
      </c>
      <c r="G572" s="698" t="s">
        <v>1</v>
      </c>
      <c r="H572" s="1103" t="s">
        <v>1</v>
      </c>
      <c r="I572" s="703" t="s">
        <v>1</v>
      </c>
      <c r="J572" s="687" t="s">
        <v>1</v>
      </c>
      <c r="K572" s="1126" t="s">
        <v>1</v>
      </c>
      <c r="L572" s="697" t="s">
        <v>1</v>
      </c>
    </row>
    <row r="573" spans="1:12" ht="15.75" x14ac:dyDescent="0.25">
      <c r="A573" s="1099" t="s">
        <v>1</v>
      </c>
      <c r="B573" s="1103" t="s">
        <v>1</v>
      </c>
      <c r="C573" s="703" t="s">
        <v>1</v>
      </c>
      <c r="D573" s="681" t="s">
        <v>1</v>
      </c>
      <c r="E573" s="1126" t="s">
        <v>1</v>
      </c>
      <c r="F573" s="697" t="s">
        <v>1</v>
      </c>
      <c r="G573" s="698" t="s">
        <v>1</v>
      </c>
      <c r="H573" s="1103" t="s">
        <v>1</v>
      </c>
      <c r="I573" s="703" t="s">
        <v>1</v>
      </c>
      <c r="J573" s="685" t="s">
        <v>1</v>
      </c>
      <c r="K573" s="1126" t="s">
        <v>1</v>
      </c>
      <c r="L573" s="1115" t="s">
        <v>1</v>
      </c>
    </row>
    <row r="574" spans="1:12" ht="15.75" x14ac:dyDescent="0.25">
      <c r="A574" s="1099" t="s">
        <v>1</v>
      </c>
      <c r="B574" s="1103" t="s">
        <v>1</v>
      </c>
      <c r="C574" s="703" t="s">
        <v>1</v>
      </c>
      <c r="D574" s="685" t="s">
        <v>728</v>
      </c>
      <c r="E574" s="1127">
        <v>0.64583333333333337</v>
      </c>
      <c r="F574" s="1118" t="s">
        <v>1</v>
      </c>
      <c r="G574" s="698" t="s">
        <v>1</v>
      </c>
      <c r="H574" s="1103" t="s">
        <v>1</v>
      </c>
      <c r="I574" s="703" t="s">
        <v>1</v>
      </c>
      <c r="J574" s="681" t="s">
        <v>1</v>
      </c>
      <c r="K574" s="1126" t="s">
        <v>1</v>
      </c>
      <c r="L574" s="697" t="s">
        <v>1</v>
      </c>
    </row>
    <row r="575" spans="1:12" ht="15.75" x14ac:dyDescent="0.25">
      <c r="A575" s="1099" t="s">
        <v>1</v>
      </c>
      <c r="B575" s="1103" t="s">
        <v>276</v>
      </c>
      <c r="C575" s="703" t="s">
        <v>273</v>
      </c>
      <c r="D575" s="687" t="s">
        <v>1</v>
      </c>
      <c r="E575" s="1126" t="s">
        <v>1</v>
      </c>
      <c r="F575" s="697" t="s">
        <v>1</v>
      </c>
      <c r="G575" s="698" t="s">
        <v>1</v>
      </c>
      <c r="H575" s="1103" t="s">
        <v>1</v>
      </c>
      <c r="I575" s="703" t="s">
        <v>1</v>
      </c>
      <c r="J575" s="681" t="s">
        <v>1</v>
      </c>
      <c r="K575" s="1126" t="s">
        <v>1</v>
      </c>
      <c r="L575" s="697" t="s">
        <v>1</v>
      </c>
    </row>
    <row r="576" spans="1:12" ht="15.75" x14ac:dyDescent="0.25">
      <c r="A576" s="1099" t="s">
        <v>1</v>
      </c>
      <c r="B576" s="1103" t="s">
        <v>1</v>
      </c>
      <c r="C576" s="703" t="s">
        <v>1</v>
      </c>
      <c r="D576" s="685" t="s">
        <v>1</v>
      </c>
      <c r="E576" s="1126" t="s">
        <v>1</v>
      </c>
      <c r="F576" s="1115" t="s">
        <v>1</v>
      </c>
      <c r="G576" s="698" t="s">
        <v>1</v>
      </c>
      <c r="H576" s="1103" t="s">
        <v>1</v>
      </c>
      <c r="I576" s="703" t="s">
        <v>1</v>
      </c>
      <c r="J576" s="681" t="s">
        <v>1</v>
      </c>
      <c r="K576" s="1126" t="s">
        <v>1</v>
      </c>
      <c r="L576" s="697" t="s">
        <v>1</v>
      </c>
    </row>
    <row r="577" spans="1:12" ht="15.75" x14ac:dyDescent="0.25">
      <c r="A577" s="1099" t="s">
        <v>1</v>
      </c>
      <c r="B577" s="1103" t="s">
        <v>881</v>
      </c>
      <c r="C577" s="703">
        <v>127</v>
      </c>
      <c r="D577" s="681" t="s">
        <v>939</v>
      </c>
      <c r="E577" s="1126" t="s">
        <v>1</v>
      </c>
      <c r="F577" s="697" t="s">
        <v>1</v>
      </c>
      <c r="G577" s="698" t="s">
        <v>1</v>
      </c>
      <c r="H577" s="1103" t="s">
        <v>1</v>
      </c>
      <c r="I577" s="703" t="s">
        <v>1</v>
      </c>
      <c r="J577" s="685" t="s">
        <v>1</v>
      </c>
      <c r="K577" s="1126" t="s">
        <v>1</v>
      </c>
      <c r="L577" s="1115" t="s">
        <v>1</v>
      </c>
    </row>
    <row r="578" spans="1:12" ht="15.75" x14ac:dyDescent="0.25">
      <c r="A578" s="1099" t="s">
        <v>727</v>
      </c>
      <c r="B578" s="1103" t="s">
        <v>1</v>
      </c>
      <c r="C578" s="703" t="s">
        <v>1</v>
      </c>
      <c r="D578" s="685" t="s">
        <v>728</v>
      </c>
      <c r="E578" s="1126" t="s">
        <v>1</v>
      </c>
      <c r="F578" s="1114">
        <v>0.64583333333333337</v>
      </c>
      <c r="G578" s="698" t="s">
        <v>1</v>
      </c>
      <c r="H578" s="1103" t="s">
        <v>1</v>
      </c>
      <c r="I578" s="703" t="s">
        <v>1</v>
      </c>
      <c r="J578" s="681" t="s">
        <v>1</v>
      </c>
      <c r="K578" s="1126" t="s">
        <v>1</v>
      </c>
      <c r="L578" s="697" t="s">
        <v>1</v>
      </c>
    </row>
    <row r="579" spans="1:12" ht="15.75" x14ac:dyDescent="0.25">
      <c r="A579" s="1099" t="s">
        <v>1</v>
      </c>
      <c r="B579" s="1103" t="s">
        <v>1</v>
      </c>
      <c r="C579" s="703" t="s">
        <v>1</v>
      </c>
      <c r="D579" s="681" t="s">
        <v>1</v>
      </c>
      <c r="E579" s="1126" t="s">
        <v>1</v>
      </c>
      <c r="F579" s="697" t="s">
        <v>1</v>
      </c>
      <c r="G579" s="698" t="s">
        <v>1</v>
      </c>
      <c r="H579" s="1103" t="s">
        <v>1</v>
      </c>
      <c r="I579" s="703" t="s">
        <v>1</v>
      </c>
      <c r="J579" s="686" t="s">
        <v>1</v>
      </c>
      <c r="K579" s="1126" t="s">
        <v>1</v>
      </c>
      <c r="L579" s="1118" t="s">
        <v>1</v>
      </c>
    </row>
    <row r="580" spans="1:12" ht="15.75" x14ac:dyDescent="0.25">
      <c r="A580" s="1099" t="s">
        <v>727</v>
      </c>
      <c r="B580" s="1103" t="s">
        <v>1</v>
      </c>
      <c r="C580" s="703" t="s">
        <v>1</v>
      </c>
      <c r="D580" s="686" t="s">
        <v>48</v>
      </c>
      <c r="E580" s="1126" t="s">
        <v>1</v>
      </c>
      <c r="F580" s="1113">
        <v>0.71875</v>
      </c>
      <c r="G580" s="698" t="s">
        <v>1</v>
      </c>
      <c r="H580" s="1103" t="s">
        <v>1</v>
      </c>
      <c r="I580" s="703" t="s">
        <v>1</v>
      </c>
      <c r="J580" s="687" t="s">
        <v>1</v>
      </c>
      <c r="K580" s="1126" t="s">
        <v>1</v>
      </c>
      <c r="L580" s="697" t="s">
        <v>1</v>
      </c>
    </row>
    <row r="581" spans="1:12" ht="15.75" x14ac:dyDescent="0.25">
      <c r="A581" s="1099" t="s">
        <v>1</v>
      </c>
      <c r="B581" s="1103" t="s">
        <v>1</v>
      </c>
      <c r="C581" s="703" t="s">
        <v>1</v>
      </c>
      <c r="D581" s="681" t="s">
        <v>1</v>
      </c>
      <c r="E581" s="1126" t="s">
        <v>1</v>
      </c>
      <c r="F581" s="697" t="s">
        <v>1</v>
      </c>
      <c r="G581" s="698" t="s">
        <v>1</v>
      </c>
      <c r="H581" s="1103" t="s">
        <v>1</v>
      </c>
      <c r="I581" s="703" t="s">
        <v>1</v>
      </c>
      <c r="J581" s="685" t="s">
        <v>1</v>
      </c>
      <c r="K581" s="1126" t="s">
        <v>1</v>
      </c>
      <c r="L581" s="1115" t="s">
        <v>1</v>
      </c>
    </row>
    <row r="582" spans="1:12" ht="15.75" x14ac:dyDescent="0.25">
      <c r="A582" s="1099" t="s">
        <v>1</v>
      </c>
      <c r="B582" s="1103" t="s">
        <v>1</v>
      </c>
      <c r="C582" s="703" t="s">
        <v>1</v>
      </c>
      <c r="D582" s="685" t="s">
        <v>728</v>
      </c>
      <c r="E582" s="1127">
        <v>0.78472222222222221</v>
      </c>
      <c r="F582" s="1118" t="s">
        <v>1</v>
      </c>
      <c r="G582" s="698" t="s">
        <v>1</v>
      </c>
      <c r="H582" s="1103" t="s">
        <v>1</v>
      </c>
      <c r="I582" s="703" t="s">
        <v>1</v>
      </c>
      <c r="J582" s="681" t="s">
        <v>1</v>
      </c>
      <c r="K582" s="1126" t="s">
        <v>1</v>
      </c>
      <c r="L582" s="697" t="s">
        <v>1</v>
      </c>
    </row>
    <row r="583" spans="1:12" ht="15.75" x14ac:dyDescent="0.25">
      <c r="A583" s="1099" t="s">
        <v>1</v>
      </c>
      <c r="B583" s="1103" t="s">
        <v>881</v>
      </c>
      <c r="C583" s="703">
        <v>127</v>
      </c>
      <c r="D583" s="681" t="s">
        <v>1293</v>
      </c>
      <c r="E583" s="1126" t="s">
        <v>1</v>
      </c>
      <c r="F583" s="697" t="s">
        <v>1</v>
      </c>
      <c r="G583" s="698" t="s">
        <v>1</v>
      </c>
      <c r="H583" s="1103" t="s">
        <v>1</v>
      </c>
      <c r="I583" s="703" t="s">
        <v>1</v>
      </c>
      <c r="J583" s="686" t="s">
        <v>1</v>
      </c>
      <c r="K583" s="1126" t="s">
        <v>1</v>
      </c>
      <c r="L583" s="1118" t="s">
        <v>1</v>
      </c>
    </row>
    <row r="584" spans="1:12" ht="15.75" x14ac:dyDescent="0.25">
      <c r="A584" s="1099" t="s">
        <v>1</v>
      </c>
      <c r="B584" s="1103" t="s">
        <v>1</v>
      </c>
      <c r="C584" s="703" t="s">
        <v>1</v>
      </c>
      <c r="D584" s="685" t="s">
        <v>1</v>
      </c>
      <c r="E584" s="1126" t="s">
        <v>1</v>
      </c>
      <c r="F584" s="1115" t="s">
        <v>1</v>
      </c>
      <c r="G584" s="698" t="s">
        <v>1</v>
      </c>
      <c r="H584" s="1103" t="s">
        <v>1</v>
      </c>
      <c r="I584" s="703" t="s">
        <v>1</v>
      </c>
      <c r="J584" s="690" t="s">
        <v>1</v>
      </c>
      <c r="K584" s="1126" t="s">
        <v>1</v>
      </c>
      <c r="L584" s="1119" t="s">
        <v>1</v>
      </c>
    </row>
    <row r="585" spans="1:12" ht="15.75" x14ac:dyDescent="0.25">
      <c r="A585" s="1099" t="s">
        <v>1</v>
      </c>
      <c r="B585" s="1103" t="s">
        <v>881</v>
      </c>
      <c r="C585" s="703">
        <v>123</v>
      </c>
      <c r="D585" s="681" t="s">
        <v>940</v>
      </c>
      <c r="E585" s="1126" t="s">
        <v>1</v>
      </c>
      <c r="F585" s="697" t="s">
        <v>1</v>
      </c>
      <c r="G585" s="698" t="s">
        <v>1</v>
      </c>
      <c r="H585" s="1103" t="s">
        <v>1</v>
      </c>
      <c r="I585" s="703" t="s">
        <v>1</v>
      </c>
      <c r="J585" s="681" t="s">
        <v>1</v>
      </c>
      <c r="K585" s="1126" t="s">
        <v>1</v>
      </c>
      <c r="L585" s="697" t="s">
        <v>1</v>
      </c>
    </row>
    <row r="586" spans="1:12" ht="15.75" x14ac:dyDescent="0.25">
      <c r="A586" s="1099">
        <v>7</v>
      </c>
      <c r="B586" s="1103" t="s">
        <v>1</v>
      </c>
      <c r="C586" s="703" t="s">
        <v>1</v>
      </c>
      <c r="D586" s="685" t="s">
        <v>728</v>
      </c>
      <c r="E586" s="1126" t="s">
        <v>1</v>
      </c>
      <c r="F586" s="1114">
        <v>0.78472222222222221</v>
      </c>
      <c r="G586" s="698" t="s">
        <v>1</v>
      </c>
      <c r="H586" s="1103" t="s">
        <v>1</v>
      </c>
      <c r="I586" s="703" t="s">
        <v>1</v>
      </c>
      <c r="J586" s="681" t="s">
        <v>1</v>
      </c>
      <c r="K586" s="1126" t="s">
        <v>1</v>
      </c>
      <c r="L586" s="1118" t="s">
        <v>1</v>
      </c>
    </row>
    <row r="587" spans="1:12" ht="15.75" x14ac:dyDescent="0.25">
      <c r="A587" s="1099" t="s">
        <v>1</v>
      </c>
      <c r="B587" s="1103" t="s">
        <v>1</v>
      </c>
      <c r="C587" s="703" t="s">
        <v>1</v>
      </c>
      <c r="D587" s="681" t="s">
        <v>1</v>
      </c>
      <c r="E587" s="1126" t="s">
        <v>1</v>
      </c>
      <c r="F587" s="697" t="s">
        <v>1</v>
      </c>
      <c r="G587" s="698" t="s">
        <v>1</v>
      </c>
      <c r="H587" s="1103" t="s">
        <v>1</v>
      </c>
      <c r="I587" s="703" t="s">
        <v>1</v>
      </c>
      <c r="J587" s="690" t="s">
        <v>1</v>
      </c>
      <c r="K587" s="1126" t="s">
        <v>1</v>
      </c>
      <c r="L587" s="697" t="s">
        <v>1</v>
      </c>
    </row>
    <row r="588" spans="1:12" ht="15.75" x14ac:dyDescent="0.25">
      <c r="A588" s="1099">
        <v>7</v>
      </c>
      <c r="B588" s="1103" t="s">
        <v>1</v>
      </c>
      <c r="C588" s="703" t="s">
        <v>1</v>
      </c>
      <c r="D588" s="688" t="s">
        <v>50</v>
      </c>
      <c r="E588" s="1126" t="s">
        <v>1</v>
      </c>
      <c r="F588" s="1116">
        <v>0.86111111111111116</v>
      </c>
      <c r="G588" s="698" t="s">
        <v>1</v>
      </c>
      <c r="H588" s="1103" t="s">
        <v>1</v>
      </c>
      <c r="I588" s="703" t="s">
        <v>1</v>
      </c>
      <c r="J588" s="690" t="s">
        <v>1</v>
      </c>
      <c r="K588" s="1126" t="s">
        <v>1</v>
      </c>
      <c r="L588" s="1119" t="s">
        <v>1</v>
      </c>
    </row>
    <row r="589" spans="1:12" ht="15.75" x14ac:dyDescent="0.25">
      <c r="A589" s="1099" t="s">
        <v>1</v>
      </c>
      <c r="B589" s="1103" t="s">
        <v>1</v>
      </c>
      <c r="C589" s="703" t="s">
        <v>1</v>
      </c>
      <c r="D589" s="681" t="s">
        <v>1</v>
      </c>
      <c r="E589" s="1126" t="s">
        <v>1</v>
      </c>
      <c r="F589" s="697" t="s">
        <v>1</v>
      </c>
      <c r="G589" s="698" t="s">
        <v>1</v>
      </c>
      <c r="H589" s="1103" t="s">
        <v>1</v>
      </c>
      <c r="I589" s="703" t="s">
        <v>1</v>
      </c>
      <c r="J589" s="681" t="s">
        <v>1</v>
      </c>
      <c r="K589" s="1126" t="s">
        <v>1</v>
      </c>
      <c r="L589" s="697" t="s">
        <v>1</v>
      </c>
    </row>
    <row r="590" spans="1:12" ht="15.75" x14ac:dyDescent="0.25">
      <c r="A590" s="1099" t="s">
        <v>1</v>
      </c>
      <c r="B590" s="1103" t="s">
        <v>1</v>
      </c>
      <c r="C590" s="703" t="s">
        <v>1</v>
      </c>
      <c r="D590" s="685" t="s">
        <v>728</v>
      </c>
      <c r="E590" s="1127">
        <v>0.90972222222222221</v>
      </c>
      <c r="F590" s="1115" t="s">
        <v>1</v>
      </c>
      <c r="G590" s="698" t="s">
        <v>1</v>
      </c>
      <c r="H590" s="1103" t="s">
        <v>1</v>
      </c>
      <c r="I590" s="703" t="s">
        <v>1</v>
      </c>
      <c r="J590" s="686" t="s">
        <v>1</v>
      </c>
      <c r="K590" s="1126" t="s">
        <v>1</v>
      </c>
      <c r="L590" s="1118" t="s">
        <v>1</v>
      </c>
    </row>
    <row r="591" spans="1:12" ht="15.75" x14ac:dyDescent="0.25">
      <c r="A591" s="1099" t="s">
        <v>1</v>
      </c>
      <c r="B591" s="1103" t="s">
        <v>276</v>
      </c>
      <c r="C591" s="703" t="s">
        <v>273</v>
      </c>
      <c r="D591" s="687" t="s">
        <v>1</v>
      </c>
      <c r="E591" s="1126" t="s">
        <v>1</v>
      </c>
      <c r="F591" s="697" t="s">
        <v>1</v>
      </c>
      <c r="G591" s="698" t="s">
        <v>1</v>
      </c>
      <c r="H591" s="1103" t="s">
        <v>1</v>
      </c>
      <c r="I591" s="703" t="s">
        <v>1</v>
      </c>
      <c r="J591" s="687" t="s">
        <v>1</v>
      </c>
      <c r="K591" s="1126" t="s">
        <v>1</v>
      </c>
      <c r="L591" s="697" t="s">
        <v>1</v>
      </c>
    </row>
    <row r="592" spans="1:12" ht="15.75" x14ac:dyDescent="0.25">
      <c r="A592" s="1099" t="s">
        <v>1</v>
      </c>
      <c r="B592" s="1103" t="s">
        <v>1</v>
      </c>
      <c r="C592" s="703" t="s">
        <v>1</v>
      </c>
      <c r="D592" s="685" t="s">
        <v>1</v>
      </c>
      <c r="E592" s="1126" t="s">
        <v>1</v>
      </c>
      <c r="F592" s="1115" t="s">
        <v>1</v>
      </c>
      <c r="G592" s="698" t="s">
        <v>1</v>
      </c>
      <c r="H592" s="1103" t="s">
        <v>1</v>
      </c>
      <c r="I592" s="703" t="s">
        <v>1</v>
      </c>
      <c r="J592" s="681" t="s">
        <v>1</v>
      </c>
      <c r="K592" s="1126" t="s">
        <v>1</v>
      </c>
      <c r="L592" s="1119" t="s">
        <v>1</v>
      </c>
    </row>
    <row r="593" spans="1:12" ht="15.75" x14ac:dyDescent="0.25">
      <c r="A593" s="1099" t="s">
        <v>1</v>
      </c>
      <c r="B593" s="1103" t="s">
        <v>273</v>
      </c>
      <c r="C593" s="703">
        <v>133</v>
      </c>
      <c r="D593" s="681" t="s">
        <v>941</v>
      </c>
      <c r="E593" s="1126" t="s">
        <v>1</v>
      </c>
      <c r="F593" s="697" t="s">
        <v>1</v>
      </c>
      <c r="G593" s="698" t="s">
        <v>1</v>
      </c>
      <c r="H593" s="1103" t="s">
        <v>1</v>
      </c>
      <c r="I593" s="703" t="s">
        <v>1</v>
      </c>
      <c r="J593" s="681" t="s">
        <v>1</v>
      </c>
      <c r="K593" s="1126" t="s">
        <v>1</v>
      </c>
      <c r="L593" s="697" t="s">
        <v>1</v>
      </c>
    </row>
    <row r="594" spans="1:12" ht="15.75" x14ac:dyDescent="0.25">
      <c r="A594" s="1099" t="s">
        <v>727</v>
      </c>
      <c r="B594" s="1103" t="s">
        <v>1</v>
      </c>
      <c r="C594" s="703" t="s">
        <v>1</v>
      </c>
      <c r="D594" s="685" t="s">
        <v>728</v>
      </c>
      <c r="E594" s="1126" t="s">
        <v>1</v>
      </c>
      <c r="F594" s="1114">
        <v>0.90972222222222221</v>
      </c>
      <c r="G594" s="698" t="s">
        <v>1</v>
      </c>
      <c r="H594" s="1103" t="s">
        <v>1</v>
      </c>
      <c r="I594" s="703" t="s">
        <v>1</v>
      </c>
      <c r="J594" s="681" t="s">
        <v>1</v>
      </c>
      <c r="K594" s="1126" t="s">
        <v>1</v>
      </c>
      <c r="L594" s="1118" t="s">
        <v>1</v>
      </c>
    </row>
    <row r="595" spans="1:12" ht="15.75" x14ac:dyDescent="0.25">
      <c r="A595" s="1099" t="s">
        <v>1</v>
      </c>
      <c r="B595" s="1103" t="s">
        <v>1</v>
      </c>
      <c r="C595" s="703" t="s">
        <v>1</v>
      </c>
      <c r="D595" s="687" t="s">
        <v>1</v>
      </c>
      <c r="E595" s="1126" t="s">
        <v>1</v>
      </c>
      <c r="F595" s="697" t="s">
        <v>1</v>
      </c>
      <c r="G595" s="698" t="s">
        <v>1</v>
      </c>
      <c r="H595" s="1103" t="s">
        <v>1</v>
      </c>
      <c r="I595" s="703" t="s">
        <v>1</v>
      </c>
      <c r="J595" s="687" t="s">
        <v>1</v>
      </c>
      <c r="K595" s="1126" t="s">
        <v>1</v>
      </c>
      <c r="L595" s="697" t="s">
        <v>1</v>
      </c>
    </row>
    <row r="596" spans="1:12" ht="15.75" x14ac:dyDescent="0.25">
      <c r="A596" s="1099" t="s">
        <v>727</v>
      </c>
      <c r="B596" s="1103" t="s">
        <v>1</v>
      </c>
      <c r="C596" s="703" t="s">
        <v>1</v>
      </c>
      <c r="D596" s="686" t="s">
        <v>48</v>
      </c>
      <c r="E596" s="1126" t="s">
        <v>1</v>
      </c>
      <c r="F596" s="1113">
        <v>0.95833333333333337</v>
      </c>
      <c r="G596" s="698" t="s">
        <v>1</v>
      </c>
      <c r="H596" s="1103" t="s">
        <v>1</v>
      </c>
      <c r="I596" s="703" t="s">
        <v>1</v>
      </c>
      <c r="J596" s="681" t="s">
        <v>1</v>
      </c>
      <c r="K596" s="1126" t="s">
        <v>1</v>
      </c>
      <c r="L596" s="1119" t="s">
        <v>1</v>
      </c>
    </row>
    <row r="597" spans="1:12" ht="15.75" x14ac:dyDescent="0.25">
      <c r="A597" s="1099" t="s">
        <v>1</v>
      </c>
      <c r="B597" s="1103" t="s">
        <v>1</v>
      </c>
      <c r="C597" s="703" t="s">
        <v>1</v>
      </c>
      <c r="D597" s="687" t="s">
        <v>1</v>
      </c>
      <c r="E597" s="1126" t="s">
        <v>1</v>
      </c>
      <c r="F597" s="697" t="s">
        <v>1</v>
      </c>
      <c r="G597" s="698" t="s">
        <v>1</v>
      </c>
      <c r="H597" s="1103" t="s">
        <v>1</v>
      </c>
      <c r="I597" s="703" t="s">
        <v>1</v>
      </c>
      <c r="J597" s="687" t="s">
        <v>1</v>
      </c>
      <c r="K597" s="1126" t="s">
        <v>1</v>
      </c>
      <c r="L597" s="697" t="s">
        <v>1</v>
      </c>
    </row>
    <row r="598" spans="1:12" ht="15.75" x14ac:dyDescent="0.25">
      <c r="A598" s="1099" t="s">
        <v>725</v>
      </c>
      <c r="B598" s="1103" t="s">
        <v>1</v>
      </c>
      <c r="C598" s="703" t="s">
        <v>1</v>
      </c>
      <c r="D598" s="685" t="s">
        <v>728</v>
      </c>
      <c r="E598" s="1127">
        <v>0</v>
      </c>
      <c r="F598" s="697" t="s">
        <v>1</v>
      </c>
      <c r="G598" s="698" t="s">
        <v>1</v>
      </c>
      <c r="H598" s="1103" t="s">
        <v>1</v>
      </c>
      <c r="I598" s="703" t="s">
        <v>1</v>
      </c>
      <c r="J598" s="681" t="s">
        <v>1</v>
      </c>
      <c r="K598" s="1126" t="s">
        <v>1</v>
      </c>
      <c r="L598" s="697" t="s">
        <v>1</v>
      </c>
    </row>
    <row r="599" spans="1:12" ht="15.75" x14ac:dyDescent="0.25">
      <c r="A599" s="1099" t="s">
        <v>1</v>
      </c>
      <c r="B599" s="1103" t="s">
        <v>1</v>
      </c>
      <c r="C599" s="703" t="s">
        <v>1</v>
      </c>
      <c r="D599" s="681" t="s">
        <v>733</v>
      </c>
      <c r="E599" s="1127">
        <v>2.0833333333333332E-2</v>
      </c>
      <c r="F599" s="697" t="s">
        <v>1</v>
      </c>
      <c r="G599" s="697" t="s">
        <v>1</v>
      </c>
      <c r="H599" s="703" t="s">
        <v>1</v>
      </c>
      <c r="I599" s="703" t="s">
        <v>1</v>
      </c>
      <c r="J599" s="681" t="s">
        <v>1</v>
      </c>
      <c r="K599" s="1126" t="s">
        <v>1</v>
      </c>
      <c r="L599" s="697" t="s">
        <v>1</v>
      </c>
    </row>
    <row r="600" spans="1:12" ht="16.5" thickBot="1" x14ac:dyDescent="0.3">
      <c r="A600" s="1102" t="s">
        <v>1</v>
      </c>
      <c r="B600" s="1106" t="s">
        <v>276</v>
      </c>
      <c r="C600" s="570" t="s">
        <v>273</v>
      </c>
      <c r="D600" s="605" t="s">
        <v>1</v>
      </c>
      <c r="E600" s="1133" t="s">
        <v>1</v>
      </c>
      <c r="F600" s="1120" t="s">
        <v>1</v>
      </c>
      <c r="G600" s="700" t="s">
        <v>1</v>
      </c>
      <c r="H600" s="1108" t="s">
        <v>1</v>
      </c>
      <c r="I600" s="1108" t="s">
        <v>1</v>
      </c>
      <c r="J600" s="692" t="s">
        <v>1</v>
      </c>
      <c r="K600" s="1139" t="s">
        <v>1</v>
      </c>
      <c r="L600" s="700" t="s">
        <v>1</v>
      </c>
    </row>
    <row r="601" spans="1:12" ht="23.25" customHeight="1" x14ac:dyDescent="0.35">
      <c r="A601" s="1237" t="s">
        <v>712</v>
      </c>
      <c r="B601" s="1238"/>
      <c r="C601" s="1238"/>
      <c r="D601" s="1238"/>
      <c r="E601" s="1238"/>
      <c r="F601" s="1238"/>
      <c r="G601" s="1238"/>
      <c r="H601" s="1238"/>
      <c r="I601" s="1238"/>
      <c r="J601" s="1238"/>
      <c r="K601" s="1238"/>
      <c r="L601" s="1239"/>
    </row>
    <row r="602" spans="1:12" ht="23.25" customHeight="1" thickBot="1" x14ac:dyDescent="0.4">
      <c r="A602" s="1240" t="s">
        <v>713</v>
      </c>
      <c r="B602" s="1241"/>
      <c r="C602" s="1241"/>
      <c r="D602" s="1241"/>
      <c r="E602" s="1241"/>
      <c r="F602" s="1241"/>
      <c r="G602" s="1241"/>
      <c r="H602" s="1241"/>
      <c r="I602" s="1241"/>
      <c r="J602" s="1241"/>
      <c r="K602" s="1241"/>
      <c r="L602" s="1242"/>
    </row>
    <row r="603" spans="1:12" ht="23.25" customHeight="1" thickBot="1" x14ac:dyDescent="0.4">
      <c r="A603" s="1243" t="s">
        <v>714</v>
      </c>
      <c r="B603" s="1244"/>
      <c r="C603" s="1244"/>
      <c r="D603" s="1244"/>
      <c r="E603" s="1244"/>
      <c r="F603" s="1244"/>
      <c r="G603" s="1244"/>
      <c r="H603" s="1244"/>
      <c r="I603" s="1244"/>
      <c r="J603" s="1244"/>
      <c r="K603" s="1244"/>
      <c r="L603" s="1245"/>
    </row>
    <row r="604" spans="1:12" ht="23.25" customHeight="1" x14ac:dyDescent="0.35">
      <c r="A604" s="619" t="s">
        <v>715</v>
      </c>
      <c r="B604" s="620"/>
      <c r="C604" s="620"/>
      <c r="D604" s="621" t="s">
        <v>716</v>
      </c>
      <c r="E604" s="1241" t="s">
        <v>403</v>
      </c>
      <c r="F604" s="1241"/>
      <c r="G604" s="1241"/>
      <c r="H604" s="1241"/>
      <c r="I604" s="1241"/>
      <c r="J604" s="618" t="s">
        <v>831</v>
      </c>
      <c r="K604" s="1241" t="s">
        <v>1</v>
      </c>
      <c r="L604" s="1242"/>
    </row>
    <row r="605" spans="1:12" ht="15.75" thickBot="1" x14ac:dyDescent="0.3">
      <c r="A605" s="560" t="s">
        <v>1</v>
      </c>
      <c r="B605" s="561" t="s">
        <v>1</v>
      </c>
      <c r="C605" s="561" t="s">
        <v>1</v>
      </c>
      <c r="D605" s="562" t="s">
        <v>1</v>
      </c>
      <c r="E605" s="561" t="s">
        <v>1</v>
      </c>
      <c r="F605" s="561" t="s">
        <v>1</v>
      </c>
      <c r="G605" s="561" t="s">
        <v>1</v>
      </c>
      <c r="H605" s="561" t="s">
        <v>1</v>
      </c>
      <c r="I605" s="1227" t="s">
        <v>1</v>
      </c>
      <c r="J605" s="1227"/>
      <c r="K605" s="561" t="s">
        <v>1</v>
      </c>
      <c r="L605" s="563" t="s">
        <v>1</v>
      </c>
    </row>
    <row r="606" spans="1:12" ht="15.75" x14ac:dyDescent="0.25">
      <c r="A606" s="564" t="s">
        <v>719</v>
      </c>
      <c r="B606" s="565" t="s">
        <v>1</v>
      </c>
      <c r="C606" s="569" t="s">
        <v>1</v>
      </c>
      <c r="D606" s="567" t="s">
        <v>720</v>
      </c>
      <c r="E606" s="699" t="s">
        <v>721</v>
      </c>
      <c r="F606" s="569" t="s">
        <v>722</v>
      </c>
      <c r="G606" s="564" t="s">
        <v>719</v>
      </c>
      <c r="H606" s="570" t="s">
        <v>1</v>
      </c>
      <c r="I606" s="1109" t="s">
        <v>1</v>
      </c>
      <c r="J606" s="572" t="s">
        <v>720</v>
      </c>
      <c r="K606" s="700" t="s">
        <v>721</v>
      </c>
      <c r="L606" s="700" t="s">
        <v>722</v>
      </c>
    </row>
    <row r="607" spans="1:12" ht="15.75" x14ac:dyDescent="0.25">
      <c r="A607" s="1099" t="s">
        <v>1</v>
      </c>
      <c r="B607" s="574" t="s">
        <v>1</v>
      </c>
      <c r="C607" s="702" t="s">
        <v>1</v>
      </c>
      <c r="D607" s="680" t="s">
        <v>1</v>
      </c>
      <c r="E607" s="1125" t="s">
        <v>1</v>
      </c>
      <c r="F607" s="1110" t="s">
        <v>1</v>
      </c>
      <c r="G607" s="697" t="s">
        <v>1</v>
      </c>
      <c r="H607" s="703" t="s">
        <v>1</v>
      </c>
      <c r="I607" s="703" t="s">
        <v>1</v>
      </c>
      <c r="J607" s="682" t="s">
        <v>1</v>
      </c>
      <c r="K607" s="1136" t="s">
        <v>1</v>
      </c>
      <c r="L607" s="1123" t="s">
        <v>1</v>
      </c>
    </row>
    <row r="608" spans="1:12" ht="15.75" x14ac:dyDescent="0.25">
      <c r="A608" s="1099" t="s">
        <v>1</v>
      </c>
      <c r="B608" s="1103" t="s">
        <v>273</v>
      </c>
      <c r="C608" s="703">
        <v>120</v>
      </c>
      <c r="D608" s="681" t="s">
        <v>942</v>
      </c>
      <c r="E608" s="1126" t="s">
        <v>1</v>
      </c>
      <c r="F608" s="1111" t="s">
        <v>1</v>
      </c>
      <c r="G608" s="698" t="s">
        <v>1</v>
      </c>
      <c r="H608" s="1103" t="s">
        <v>1</v>
      </c>
      <c r="I608" s="703" t="s">
        <v>1</v>
      </c>
      <c r="J608" s="681" t="s">
        <v>1</v>
      </c>
      <c r="K608" s="1137" t="s">
        <v>1</v>
      </c>
      <c r="L608" s="600" t="s">
        <v>1</v>
      </c>
    </row>
    <row r="609" spans="1:12" ht="15.75" x14ac:dyDescent="0.25">
      <c r="A609" s="1099" t="s">
        <v>725</v>
      </c>
      <c r="B609" s="1104" t="s">
        <v>1</v>
      </c>
      <c r="C609" s="703" t="s">
        <v>1</v>
      </c>
      <c r="D609" s="681" t="s">
        <v>726</v>
      </c>
      <c r="E609" s="1126" t="s">
        <v>1</v>
      </c>
      <c r="F609" s="1112">
        <v>0.53125</v>
      </c>
      <c r="G609" s="698" t="s">
        <v>1</v>
      </c>
      <c r="H609" s="1103" t="s">
        <v>1</v>
      </c>
      <c r="I609" s="703" t="s">
        <v>1</v>
      </c>
      <c r="J609" s="685" t="s">
        <v>1</v>
      </c>
      <c r="K609" s="1126" t="s">
        <v>1</v>
      </c>
      <c r="L609" s="1115" t="s">
        <v>1</v>
      </c>
    </row>
    <row r="610" spans="1:12" ht="15.75" x14ac:dyDescent="0.25">
      <c r="A610" s="1099" t="s">
        <v>727</v>
      </c>
      <c r="B610" s="1103" t="s">
        <v>1</v>
      </c>
      <c r="C610" s="703" t="s">
        <v>1</v>
      </c>
      <c r="D610" s="686" t="s">
        <v>48</v>
      </c>
      <c r="E610" s="1126" t="s">
        <v>1</v>
      </c>
      <c r="F610" s="1113">
        <v>0.55208333333333337</v>
      </c>
      <c r="G610" s="698" t="s">
        <v>1</v>
      </c>
      <c r="H610" s="1103" t="s">
        <v>1</v>
      </c>
      <c r="I610" s="703" t="s">
        <v>1</v>
      </c>
      <c r="J610" s="681" t="s">
        <v>1</v>
      </c>
      <c r="K610" s="1126" t="s">
        <v>1</v>
      </c>
      <c r="L610" s="697" t="s">
        <v>1</v>
      </c>
    </row>
    <row r="611" spans="1:12" ht="15.75" x14ac:dyDescent="0.25">
      <c r="A611" s="1099" t="s">
        <v>1</v>
      </c>
      <c r="B611" s="1103" t="s">
        <v>1</v>
      </c>
      <c r="C611" s="703" t="s">
        <v>1</v>
      </c>
      <c r="D611" s="687" t="s">
        <v>1</v>
      </c>
      <c r="E611" s="1126" t="s">
        <v>1</v>
      </c>
      <c r="F611" s="697" t="s">
        <v>1</v>
      </c>
      <c r="G611" s="698" t="s">
        <v>1</v>
      </c>
      <c r="H611" s="1103" t="s">
        <v>1</v>
      </c>
      <c r="I611" s="703" t="s">
        <v>1</v>
      </c>
      <c r="J611" s="686" t="s">
        <v>1</v>
      </c>
      <c r="K611" s="1126" t="s">
        <v>1</v>
      </c>
      <c r="L611" s="1118" t="s">
        <v>1</v>
      </c>
    </row>
    <row r="612" spans="1:12" ht="15.75" x14ac:dyDescent="0.25">
      <c r="A612" s="1099" t="s">
        <v>1</v>
      </c>
      <c r="B612" s="1103" t="s">
        <v>1</v>
      </c>
      <c r="C612" s="703" t="s">
        <v>1</v>
      </c>
      <c r="D612" s="685" t="s">
        <v>728</v>
      </c>
      <c r="E612" s="1127">
        <v>0.625</v>
      </c>
      <c r="F612" s="1115" t="s">
        <v>1</v>
      </c>
      <c r="G612" s="698" t="s">
        <v>1</v>
      </c>
      <c r="H612" s="1103" t="s">
        <v>1</v>
      </c>
      <c r="I612" s="703" t="s">
        <v>1</v>
      </c>
      <c r="J612" s="687" t="s">
        <v>1</v>
      </c>
      <c r="K612" s="1126" t="s">
        <v>1</v>
      </c>
      <c r="L612" s="697" t="s">
        <v>1</v>
      </c>
    </row>
    <row r="613" spans="1:12" ht="15.75" x14ac:dyDescent="0.25">
      <c r="A613" s="1099" t="s">
        <v>1</v>
      </c>
      <c r="B613" s="1103" t="s">
        <v>881</v>
      </c>
      <c r="C613" s="703">
        <v>120</v>
      </c>
      <c r="D613" s="681" t="s">
        <v>1294</v>
      </c>
      <c r="E613" s="1126" t="s">
        <v>1</v>
      </c>
      <c r="F613" s="697" t="s">
        <v>1</v>
      </c>
      <c r="G613" s="698" t="s">
        <v>1</v>
      </c>
      <c r="H613" s="1103" t="s">
        <v>1</v>
      </c>
      <c r="I613" s="703" t="s">
        <v>1</v>
      </c>
      <c r="J613" s="685" t="s">
        <v>1</v>
      </c>
      <c r="K613" s="1126" t="s">
        <v>1</v>
      </c>
      <c r="L613" s="1115" t="s">
        <v>1</v>
      </c>
    </row>
    <row r="614" spans="1:12" ht="15.75" x14ac:dyDescent="0.25">
      <c r="A614" s="1099" t="s">
        <v>1</v>
      </c>
      <c r="B614" s="1103" t="s">
        <v>1</v>
      </c>
      <c r="C614" s="703" t="s">
        <v>1</v>
      </c>
      <c r="D614" s="686" t="s">
        <v>1</v>
      </c>
      <c r="E614" s="1126" t="s">
        <v>1</v>
      </c>
      <c r="F614" s="1118" t="s">
        <v>1</v>
      </c>
      <c r="G614" s="698" t="s">
        <v>1</v>
      </c>
      <c r="H614" s="1103" t="s">
        <v>1</v>
      </c>
      <c r="I614" s="703" t="s">
        <v>1</v>
      </c>
      <c r="J614" s="681" t="s">
        <v>1</v>
      </c>
      <c r="K614" s="1126" t="s">
        <v>1</v>
      </c>
      <c r="L614" s="697" t="s">
        <v>1</v>
      </c>
    </row>
    <row r="615" spans="1:12" ht="15.75" x14ac:dyDescent="0.25">
      <c r="A615" s="1099" t="s">
        <v>1</v>
      </c>
      <c r="B615" s="1103" t="s">
        <v>881</v>
      </c>
      <c r="C615" s="703">
        <v>155</v>
      </c>
      <c r="D615" s="681" t="s">
        <v>943</v>
      </c>
      <c r="E615" s="1126" t="s">
        <v>1</v>
      </c>
      <c r="F615" s="697" t="s">
        <v>1</v>
      </c>
      <c r="G615" s="698" t="s">
        <v>1</v>
      </c>
      <c r="H615" s="1103" t="s">
        <v>1</v>
      </c>
      <c r="I615" s="703" t="s">
        <v>1</v>
      </c>
      <c r="J615" s="681" t="s">
        <v>1</v>
      </c>
      <c r="K615" s="1126" t="s">
        <v>1</v>
      </c>
      <c r="L615" s="697" t="s">
        <v>1</v>
      </c>
    </row>
    <row r="616" spans="1:12" ht="15.75" x14ac:dyDescent="0.25">
      <c r="A616" s="1099" t="s">
        <v>727</v>
      </c>
      <c r="B616" s="1103" t="s">
        <v>1</v>
      </c>
      <c r="C616" s="703" t="s">
        <v>1</v>
      </c>
      <c r="D616" s="685" t="s">
        <v>728</v>
      </c>
      <c r="E616" s="1126" t="s">
        <v>1</v>
      </c>
      <c r="F616" s="1114">
        <v>0.625</v>
      </c>
      <c r="G616" s="698" t="s">
        <v>1</v>
      </c>
      <c r="H616" s="1103" t="s">
        <v>1</v>
      </c>
      <c r="I616" s="703" t="s">
        <v>1</v>
      </c>
      <c r="J616" s="681" t="s">
        <v>1</v>
      </c>
      <c r="K616" s="1126" t="s">
        <v>1</v>
      </c>
      <c r="L616" s="697" t="s">
        <v>1</v>
      </c>
    </row>
    <row r="617" spans="1:12" ht="15.75" x14ac:dyDescent="0.25">
      <c r="A617" s="1099" t="s">
        <v>1</v>
      </c>
      <c r="B617" s="1103" t="s">
        <v>1</v>
      </c>
      <c r="C617" s="703" t="s">
        <v>1</v>
      </c>
      <c r="D617" s="681" t="s">
        <v>1</v>
      </c>
      <c r="E617" s="1126" t="s">
        <v>1</v>
      </c>
      <c r="F617" s="697" t="s">
        <v>1</v>
      </c>
      <c r="G617" s="698" t="s">
        <v>1</v>
      </c>
      <c r="H617" s="1103" t="s">
        <v>1</v>
      </c>
      <c r="I617" s="703" t="s">
        <v>1</v>
      </c>
      <c r="J617" s="685" t="s">
        <v>1</v>
      </c>
      <c r="K617" s="1126" t="s">
        <v>1</v>
      </c>
      <c r="L617" s="1115" t="s">
        <v>1</v>
      </c>
    </row>
    <row r="618" spans="1:12" ht="15.75" x14ac:dyDescent="0.25">
      <c r="A618" s="1099" t="s">
        <v>727</v>
      </c>
      <c r="B618" s="1103" t="s">
        <v>1</v>
      </c>
      <c r="C618" s="703" t="s">
        <v>1</v>
      </c>
      <c r="D618" s="686" t="s">
        <v>48</v>
      </c>
      <c r="E618" s="1126" t="s">
        <v>1</v>
      </c>
      <c r="F618" s="1113">
        <v>0.69791666666666663</v>
      </c>
      <c r="G618" s="698" t="s">
        <v>1</v>
      </c>
      <c r="H618" s="1103" t="s">
        <v>1</v>
      </c>
      <c r="I618" s="703" t="s">
        <v>1</v>
      </c>
      <c r="J618" s="681" t="s">
        <v>1</v>
      </c>
      <c r="K618" s="1126" t="s">
        <v>1</v>
      </c>
      <c r="L618" s="697" t="s">
        <v>1</v>
      </c>
    </row>
    <row r="619" spans="1:12" ht="15.75" x14ac:dyDescent="0.25">
      <c r="A619" s="1099" t="s">
        <v>1</v>
      </c>
      <c r="B619" s="1103" t="s">
        <v>1</v>
      </c>
      <c r="C619" s="703" t="s">
        <v>1</v>
      </c>
      <c r="D619" s="681" t="s">
        <v>1</v>
      </c>
      <c r="E619" s="1126" t="s">
        <v>1</v>
      </c>
      <c r="F619" s="697" t="s">
        <v>1</v>
      </c>
      <c r="G619" s="698" t="s">
        <v>1</v>
      </c>
      <c r="H619" s="1103" t="s">
        <v>1</v>
      </c>
      <c r="I619" s="703" t="s">
        <v>1</v>
      </c>
      <c r="J619" s="686" t="s">
        <v>1</v>
      </c>
      <c r="K619" s="1126" t="s">
        <v>1</v>
      </c>
      <c r="L619" s="1118" t="s">
        <v>1</v>
      </c>
    </row>
    <row r="620" spans="1:12" ht="15.75" x14ac:dyDescent="0.25">
      <c r="A620" s="1099" t="s">
        <v>1</v>
      </c>
      <c r="B620" s="1103" t="s">
        <v>1</v>
      </c>
      <c r="C620" s="703" t="s">
        <v>1</v>
      </c>
      <c r="D620" s="685" t="s">
        <v>728</v>
      </c>
      <c r="E620" s="1127">
        <v>0.76041666666666663</v>
      </c>
      <c r="F620" s="1115" t="s">
        <v>1</v>
      </c>
      <c r="G620" s="698" t="s">
        <v>1</v>
      </c>
      <c r="H620" s="1103" t="s">
        <v>1</v>
      </c>
      <c r="I620" s="703" t="s">
        <v>1</v>
      </c>
      <c r="J620" s="687" t="s">
        <v>1</v>
      </c>
      <c r="K620" s="1126" t="s">
        <v>1</v>
      </c>
      <c r="L620" s="697" t="s">
        <v>1</v>
      </c>
    </row>
    <row r="621" spans="1:12" ht="15.75" x14ac:dyDescent="0.25">
      <c r="A621" s="1099" t="s">
        <v>1</v>
      </c>
      <c r="B621" s="1103" t="s">
        <v>276</v>
      </c>
      <c r="C621" s="703" t="s">
        <v>273</v>
      </c>
      <c r="D621" s="681" t="s">
        <v>1</v>
      </c>
      <c r="E621" s="1126" t="s">
        <v>1</v>
      </c>
      <c r="F621" s="697" t="s">
        <v>1</v>
      </c>
      <c r="G621" s="698" t="s">
        <v>1</v>
      </c>
      <c r="H621" s="1103" t="s">
        <v>1</v>
      </c>
      <c r="I621" s="703" t="s">
        <v>1</v>
      </c>
      <c r="J621" s="685" t="s">
        <v>1</v>
      </c>
      <c r="K621" s="1126" t="s">
        <v>1</v>
      </c>
      <c r="L621" s="1115" t="s">
        <v>1</v>
      </c>
    </row>
    <row r="622" spans="1:12" ht="15.75" x14ac:dyDescent="0.25">
      <c r="A622" s="1099" t="s">
        <v>1</v>
      </c>
      <c r="B622" s="1103" t="s">
        <v>1</v>
      </c>
      <c r="C622" s="703" t="s">
        <v>1</v>
      </c>
      <c r="D622" s="686" t="s">
        <v>1</v>
      </c>
      <c r="E622" s="1126" t="s">
        <v>1</v>
      </c>
      <c r="F622" s="1118" t="s">
        <v>1</v>
      </c>
      <c r="G622" s="698" t="s">
        <v>1</v>
      </c>
      <c r="H622" s="1103" t="s">
        <v>1</v>
      </c>
      <c r="I622" s="703" t="s">
        <v>1</v>
      </c>
      <c r="J622" s="681" t="s">
        <v>1</v>
      </c>
      <c r="K622" s="1126" t="s">
        <v>1</v>
      </c>
      <c r="L622" s="697" t="s">
        <v>1</v>
      </c>
    </row>
    <row r="623" spans="1:12" ht="15.75" x14ac:dyDescent="0.25">
      <c r="A623" s="1099" t="s">
        <v>1</v>
      </c>
      <c r="B623" s="1103" t="s">
        <v>881</v>
      </c>
      <c r="C623" s="703">
        <v>124</v>
      </c>
      <c r="D623" s="681" t="s">
        <v>944</v>
      </c>
      <c r="E623" s="1126" t="s">
        <v>1</v>
      </c>
      <c r="F623" s="697" t="s">
        <v>1</v>
      </c>
      <c r="G623" s="698" t="s">
        <v>1</v>
      </c>
      <c r="H623" s="1103" t="s">
        <v>1</v>
      </c>
      <c r="I623" s="703" t="s">
        <v>1</v>
      </c>
      <c r="J623" s="686" t="s">
        <v>1</v>
      </c>
      <c r="K623" s="1126" t="s">
        <v>1</v>
      </c>
      <c r="L623" s="1118" t="s">
        <v>1</v>
      </c>
    </row>
    <row r="624" spans="1:12" ht="15.75" x14ac:dyDescent="0.25">
      <c r="A624" s="1099">
        <v>7</v>
      </c>
      <c r="B624" s="1103" t="s">
        <v>1</v>
      </c>
      <c r="C624" s="703" t="s">
        <v>1</v>
      </c>
      <c r="D624" s="685" t="s">
        <v>728</v>
      </c>
      <c r="E624" s="1126" t="s">
        <v>1</v>
      </c>
      <c r="F624" s="1114">
        <v>0.76041666666666663</v>
      </c>
      <c r="G624" s="698" t="s">
        <v>1</v>
      </c>
      <c r="H624" s="1103" t="s">
        <v>1</v>
      </c>
      <c r="I624" s="703" t="s">
        <v>1</v>
      </c>
      <c r="J624" s="690" t="s">
        <v>1</v>
      </c>
      <c r="K624" s="1126" t="s">
        <v>1</v>
      </c>
      <c r="L624" s="1119" t="s">
        <v>1</v>
      </c>
    </row>
    <row r="625" spans="1:12" ht="15.75" x14ac:dyDescent="0.25">
      <c r="A625" s="1099" t="s">
        <v>1</v>
      </c>
      <c r="B625" s="1103" t="s">
        <v>1</v>
      </c>
      <c r="C625" s="703" t="s">
        <v>1</v>
      </c>
      <c r="D625" s="681" t="s">
        <v>1</v>
      </c>
      <c r="E625" s="1126" t="s">
        <v>1</v>
      </c>
      <c r="F625" s="697" t="s">
        <v>1</v>
      </c>
      <c r="G625" s="698" t="s">
        <v>1</v>
      </c>
      <c r="H625" s="1103" t="s">
        <v>1</v>
      </c>
      <c r="I625" s="703" t="s">
        <v>1</v>
      </c>
      <c r="J625" s="681" t="s">
        <v>1</v>
      </c>
      <c r="K625" s="1126" t="s">
        <v>1</v>
      </c>
      <c r="L625" s="697" t="s">
        <v>1</v>
      </c>
    </row>
    <row r="626" spans="1:12" ht="15.75" x14ac:dyDescent="0.25">
      <c r="A626" s="1099">
        <v>7</v>
      </c>
      <c r="B626" s="1103" t="s">
        <v>1</v>
      </c>
      <c r="C626" s="703" t="s">
        <v>1</v>
      </c>
      <c r="D626" s="688" t="s">
        <v>50</v>
      </c>
      <c r="E626" s="1126" t="s">
        <v>1</v>
      </c>
      <c r="F626" s="1116">
        <v>0.83333333333333337</v>
      </c>
      <c r="G626" s="698" t="s">
        <v>1</v>
      </c>
      <c r="H626" s="1103" t="s">
        <v>1</v>
      </c>
      <c r="I626" s="703" t="s">
        <v>1</v>
      </c>
      <c r="J626" s="681" t="s">
        <v>1</v>
      </c>
      <c r="K626" s="1126" t="s">
        <v>1</v>
      </c>
      <c r="L626" s="1118" t="s">
        <v>1</v>
      </c>
    </row>
    <row r="627" spans="1:12" ht="15.75" x14ac:dyDescent="0.25">
      <c r="A627" s="1099" t="s">
        <v>1</v>
      </c>
      <c r="B627" s="1103" t="s">
        <v>1</v>
      </c>
      <c r="C627" s="703" t="s">
        <v>1</v>
      </c>
      <c r="D627" s="681" t="s">
        <v>1</v>
      </c>
      <c r="E627" s="1126" t="s">
        <v>1</v>
      </c>
      <c r="F627" s="697" t="s">
        <v>1</v>
      </c>
      <c r="G627" s="698" t="s">
        <v>1</v>
      </c>
      <c r="H627" s="1103" t="s">
        <v>1</v>
      </c>
      <c r="I627" s="703" t="s">
        <v>1</v>
      </c>
      <c r="J627" s="690" t="s">
        <v>1</v>
      </c>
      <c r="K627" s="1126" t="s">
        <v>1</v>
      </c>
      <c r="L627" s="697" t="s">
        <v>1</v>
      </c>
    </row>
    <row r="628" spans="1:12" ht="15.75" x14ac:dyDescent="0.25">
      <c r="A628" s="1099" t="s">
        <v>1</v>
      </c>
      <c r="B628" s="1103" t="s">
        <v>1</v>
      </c>
      <c r="C628" s="703" t="s">
        <v>1</v>
      </c>
      <c r="D628" s="685" t="s">
        <v>728</v>
      </c>
      <c r="E628" s="1127">
        <v>0.88194444444444442</v>
      </c>
      <c r="F628" s="1115" t="s">
        <v>1</v>
      </c>
      <c r="G628" s="698" t="s">
        <v>1</v>
      </c>
      <c r="H628" s="1103" t="s">
        <v>1</v>
      </c>
      <c r="I628" s="703" t="s">
        <v>1</v>
      </c>
      <c r="J628" s="690" t="s">
        <v>1</v>
      </c>
      <c r="K628" s="1126" t="s">
        <v>1</v>
      </c>
      <c r="L628" s="1119" t="s">
        <v>1</v>
      </c>
    </row>
    <row r="629" spans="1:12" ht="15.75" x14ac:dyDescent="0.25">
      <c r="A629" s="1099" t="s">
        <v>1</v>
      </c>
      <c r="B629" s="1103" t="s">
        <v>276</v>
      </c>
      <c r="C629" s="703" t="s">
        <v>273</v>
      </c>
      <c r="D629" s="681" t="s">
        <v>1</v>
      </c>
      <c r="E629" s="1126" t="s">
        <v>1</v>
      </c>
      <c r="F629" s="697" t="s">
        <v>1</v>
      </c>
      <c r="G629" s="698" t="s">
        <v>1</v>
      </c>
      <c r="H629" s="1103" t="s">
        <v>1</v>
      </c>
      <c r="I629" s="703" t="s">
        <v>1</v>
      </c>
      <c r="J629" s="681" t="s">
        <v>1</v>
      </c>
      <c r="K629" s="1126" t="s">
        <v>1</v>
      </c>
      <c r="L629" s="697" t="s">
        <v>1</v>
      </c>
    </row>
    <row r="630" spans="1:12" ht="15.75" x14ac:dyDescent="0.25">
      <c r="A630" s="1099" t="s">
        <v>1</v>
      </c>
      <c r="B630" s="1103" t="s">
        <v>1</v>
      </c>
      <c r="C630" s="703" t="s">
        <v>1</v>
      </c>
      <c r="D630" s="686" t="s">
        <v>1</v>
      </c>
      <c r="E630" s="1126" t="s">
        <v>1</v>
      </c>
      <c r="F630" s="1118" t="s">
        <v>1</v>
      </c>
      <c r="G630" s="698" t="s">
        <v>1</v>
      </c>
      <c r="H630" s="1103" t="s">
        <v>1</v>
      </c>
      <c r="I630" s="703" t="s">
        <v>1</v>
      </c>
      <c r="J630" s="686" t="s">
        <v>1</v>
      </c>
      <c r="K630" s="1126" t="s">
        <v>1</v>
      </c>
      <c r="L630" s="1118" t="s">
        <v>1</v>
      </c>
    </row>
    <row r="631" spans="1:12" ht="15.75" x14ac:dyDescent="0.25">
      <c r="A631" s="1099" t="s">
        <v>1</v>
      </c>
      <c r="B631" s="1103" t="s">
        <v>273</v>
      </c>
      <c r="C631" s="703">
        <v>130</v>
      </c>
      <c r="D631" s="681" t="s">
        <v>945</v>
      </c>
      <c r="E631" s="1126" t="s">
        <v>1</v>
      </c>
      <c r="F631" s="697" t="s">
        <v>1</v>
      </c>
      <c r="G631" s="698" t="s">
        <v>1</v>
      </c>
      <c r="H631" s="1103" t="s">
        <v>1</v>
      </c>
      <c r="I631" s="703" t="s">
        <v>1</v>
      </c>
      <c r="J631" s="687" t="s">
        <v>1</v>
      </c>
      <c r="K631" s="1126" t="s">
        <v>1</v>
      </c>
      <c r="L631" s="697" t="s">
        <v>1</v>
      </c>
    </row>
    <row r="632" spans="1:12" ht="15.75" x14ac:dyDescent="0.25">
      <c r="A632" s="1099" t="s">
        <v>727</v>
      </c>
      <c r="B632" s="1103" t="s">
        <v>1</v>
      </c>
      <c r="C632" s="703" t="s">
        <v>1</v>
      </c>
      <c r="D632" s="685" t="s">
        <v>728</v>
      </c>
      <c r="E632" s="1126" t="s">
        <v>1</v>
      </c>
      <c r="F632" s="1114">
        <v>0.88194444444444442</v>
      </c>
      <c r="G632" s="698" t="s">
        <v>1</v>
      </c>
      <c r="H632" s="1103" t="s">
        <v>1</v>
      </c>
      <c r="I632" s="703" t="s">
        <v>1</v>
      </c>
      <c r="J632" s="681" t="s">
        <v>1</v>
      </c>
      <c r="K632" s="1126" t="s">
        <v>1</v>
      </c>
      <c r="L632" s="1119" t="s">
        <v>1</v>
      </c>
    </row>
    <row r="633" spans="1:12" ht="15.75" x14ac:dyDescent="0.25">
      <c r="A633" s="1099" t="s">
        <v>1</v>
      </c>
      <c r="B633" s="1103" t="s">
        <v>1</v>
      </c>
      <c r="C633" s="703" t="s">
        <v>1</v>
      </c>
      <c r="D633" s="681" t="s">
        <v>1</v>
      </c>
      <c r="E633" s="1126" t="s">
        <v>1</v>
      </c>
      <c r="F633" s="697" t="s">
        <v>1</v>
      </c>
      <c r="G633" s="698" t="s">
        <v>1</v>
      </c>
      <c r="H633" s="1103" t="s">
        <v>1</v>
      </c>
      <c r="I633" s="703" t="s">
        <v>1</v>
      </c>
      <c r="J633" s="681" t="s">
        <v>1</v>
      </c>
      <c r="K633" s="1126" t="s">
        <v>1</v>
      </c>
      <c r="L633" s="697" t="s">
        <v>1</v>
      </c>
    </row>
    <row r="634" spans="1:12" ht="15.75" x14ac:dyDescent="0.25">
      <c r="A634" s="1099" t="s">
        <v>727</v>
      </c>
      <c r="B634" s="1103" t="s">
        <v>1</v>
      </c>
      <c r="C634" s="703" t="s">
        <v>1</v>
      </c>
      <c r="D634" s="686" t="s">
        <v>48</v>
      </c>
      <c r="E634" s="1126" t="s">
        <v>1</v>
      </c>
      <c r="F634" s="1113">
        <v>0.93055555555555558</v>
      </c>
      <c r="G634" s="698" t="s">
        <v>1</v>
      </c>
      <c r="H634" s="1103" t="s">
        <v>1</v>
      </c>
      <c r="I634" s="703" t="s">
        <v>1</v>
      </c>
      <c r="J634" s="681" t="s">
        <v>1</v>
      </c>
      <c r="K634" s="1126" t="s">
        <v>1</v>
      </c>
      <c r="L634" s="1118" t="s">
        <v>1</v>
      </c>
    </row>
    <row r="635" spans="1:12" ht="15.75" x14ac:dyDescent="0.25">
      <c r="A635" s="1099" t="s">
        <v>1</v>
      </c>
      <c r="B635" s="1103" t="s">
        <v>1</v>
      </c>
      <c r="C635" s="703" t="s">
        <v>1</v>
      </c>
      <c r="D635" s="687" t="s">
        <v>1</v>
      </c>
      <c r="E635" s="1126" t="s">
        <v>1</v>
      </c>
      <c r="F635" s="697" t="s">
        <v>1</v>
      </c>
      <c r="G635" s="698" t="s">
        <v>1</v>
      </c>
      <c r="H635" s="1103" t="s">
        <v>1</v>
      </c>
      <c r="I635" s="703" t="s">
        <v>1</v>
      </c>
      <c r="J635" s="687" t="s">
        <v>1</v>
      </c>
      <c r="K635" s="1126" t="s">
        <v>1</v>
      </c>
      <c r="L635" s="697" t="s">
        <v>1</v>
      </c>
    </row>
    <row r="636" spans="1:12" ht="15.75" x14ac:dyDescent="0.25">
      <c r="A636" s="1099">
        <v>7</v>
      </c>
      <c r="B636" s="1103" t="s">
        <v>1</v>
      </c>
      <c r="C636" s="703" t="s">
        <v>1</v>
      </c>
      <c r="D636" s="685" t="s">
        <v>728</v>
      </c>
      <c r="E636" s="1126" t="s">
        <v>1</v>
      </c>
      <c r="F636" s="1114">
        <v>0.97916666666666663</v>
      </c>
      <c r="G636" s="698" t="s">
        <v>1</v>
      </c>
      <c r="H636" s="1103" t="s">
        <v>1</v>
      </c>
      <c r="I636" s="703" t="s">
        <v>1</v>
      </c>
      <c r="J636" s="681" t="s">
        <v>1</v>
      </c>
      <c r="K636" s="1126" t="s">
        <v>1</v>
      </c>
      <c r="L636" s="1119" t="s">
        <v>1</v>
      </c>
    </row>
    <row r="637" spans="1:12" ht="15.75" x14ac:dyDescent="0.25">
      <c r="A637" s="1099" t="s">
        <v>1</v>
      </c>
      <c r="B637" s="1103" t="s">
        <v>1</v>
      </c>
      <c r="C637" s="703" t="s">
        <v>1</v>
      </c>
      <c r="D637" s="687" t="s">
        <v>1</v>
      </c>
      <c r="E637" s="1126" t="s">
        <v>1</v>
      </c>
      <c r="F637" s="697" t="s">
        <v>1</v>
      </c>
      <c r="G637" s="698" t="s">
        <v>1</v>
      </c>
      <c r="H637" s="1103" t="s">
        <v>1</v>
      </c>
      <c r="I637" s="703" t="s">
        <v>1</v>
      </c>
      <c r="J637" s="687" t="s">
        <v>1</v>
      </c>
      <c r="K637" s="1126" t="s">
        <v>1</v>
      </c>
      <c r="L637" s="697" t="s">
        <v>1</v>
      </c>
    </row>
    <row r="638" spans="1:12" ht="15.75" x14ac:dyDescent="0.25">
      <c r="A638" s="1099" t="s">
        <v>725</v>
      </c>
      <c r="B638" s="1103" t="s">
        <v>1</v>
      </c>
      <c r="C638" s="703" t="s">
        <v>1</v>
      </c>
      <c r="D638" s="688" t="s">
        <v>50</v>
      </c>
      <c r="E638" s="1127">
        <v>2.4305555555555556E-2</v>
      </c>
      <c r="F638" s="697" t="s">
        <v>1</v>
      </c>
      <c r="G638" s="698" t="s">
        <v>1</v>
      </c>
      <c r="H638" s="1103" t="s">
        <v>1</v>
      </c>
      <c r="I638" s="703" t="s">
        <v>1</v>
      </c>
      <c r="J638" s="681" t="s">
        <v>1</v>
      </c>
      <c r="K638" s="1126" t="s">
        <v>1</v>
      </c>
      <c r="L638" s="697" t="s">
        <v>1</v>
      </c>
    </row>
    <row r="639" spans="1:12" ht="15.75" x14ac:dyDescent="0.25">
      <c r="A639" s="1099" t="s">
        <v>1</v>
      </c>
      <c r="B639" s="1103" t="s">
        <v>1</v>
      </c>
      <c r="C639" s="703" t="s">
        <v>1</v>
      </c>
      <c r="D639" s="681" t="s">
        <v>733</v>
      </c>
      <c r="E639" s="1127">
        <v>4.1666666666666664E-2</v>
      </c>
      <c r="F639" s="697" t="s">
        <v>1</v>
      </c>
      <c r="G639" s="697" t="s">
        <v>1</v>
      </c>
      <c r="H639" s="703" t="s">
        <v>1</v>
      </c>
      <c r="I639" s="703" t="s">
        <v>1</v>
      </c>
      <c r="J639" s="681" t="s">
        <v>1</v>
      </c>
      <c r="K639" s="1126" t="s">
        <v>1</v>
      </c>
      <c r="L639" s="697" t="s">
        <v>1</v>
      </c>
    </row>
    <row r="640" spans="1:12" ht="16.5" thickBot="1" x14ac:dyDescent="0.3">
      <c r="A640" s="1102" t="s">
        <v>1</v>
      </c>
      <c r="B640" s="1106" t="s">
        <v>276</v>
      </c>
      <c r="C640" s="570" t="s">
        <v>273</v>
      </c>
      <c r="D640" s="605" t="s">
        <v>1</v>
      </c>
      <c r="E640" s="1133" t="s">
        <v>1</v>
      </c>
      <c r="F640" s="1120" t="s">
        <v>1</v>
      </c>
      <c r="G640" s="700" t="s">
        <v>1</v>
      </c>
      <c r="H640" s="1108" t="s">
        <v>1</v>
      </c>
      <c r="I640" s="1108" t="s">
        <v>1</v>
      </c>
      <c r="J640" s="692" t="s">
        <v>1</v>
      </c>
      <c r="K640" s="1139" t="s">
        <v>1</v>
      </c>
      <c r="L640" s="700" t="s">
        <v>1</v>
      </c>
    </row>
    <row r="641" spans="1:12" ht="23.25" customHeight="1" x14ac:dyDescent="0.35">
      <c r="A641" s="1237" t="s">
        <v>712</v>
      </c>
      <c r="B641" s="1238"/>
      <c r="C641" s="1238"/>
      <c r="D641" s="1238"/>
      <c r="E641" s="1238"/>
      <c r="F641" s="1238"/>
      <c r="G641" s="1238"/>
      <c r="H641" s="1238"/>
      <c r="I641" s="1238"/>
      <c r="J641" s="1238"/>
      <c r="K641" s="1238"/>
      <c r="L641" s="1239"/>
    </row>
    <row r="642" spans="1:12" ht="23.25" customHeight="1" thickBot="1" x14ac:dyDescent="0.4">
      <c r="A642" s="1240" t="s">
        <v>713</v>
      </c>
      <c r="B642" s="1241"/>
      <c r="C642" s="1241"/>
      <c r="D642" s="1241"/>
      <c r="E642" s="1241"/>
      <c r="F642" s="1241"/>
      <c r="G642" s="1241"/>
      <c r="H642" s="1241"/>
      <c r="I642" s="1241"/>
      <c r="J642" s="1241"/>
      <c r="K642" s="1241"/>
      <c r="L642" s="1242"/>
    </row>
    <row r="643" spans="1:12" ht="23.25" customHeight="1" thickBot="1" x14ac:dyDescent="0.4">
      <c r="A643" s="1243" t="s">
        <v>714</v>
      </c>
      <c r="B643" s="1244"/>
      <c r="C643" s="1244"/>
      <c r="D643" s="1244"/>
      <c r="E643" s="1244"/>
      <c r="F643" s="1244"/>
      <c r="G643" s="1244"/>
      <c r="H643" s="1244"/>
      <c r="I643" s="1244"/>
      <c r="J643" s="1244"/>
      <c r="K643" s="1244"/>
      <c r="L643" s="1245"/>
    </row>
    <row r="644" spans="1:12" ht="23.25" customHeight="1" x14ac:dyDescent="0.35">
      <c r="A644" s="619" t="s">
        <v>715</v>
      </c>
      <c r="B644" s="620"/>
      <c r="C644" s="620"/>
      <c r="D644" s="621" t="s">
        <v>716</v>
      </c>
      <c r="E644" s="1241" t="s">
        <v>403</v>
      </c>
      <c r="F644" s="1241"/>
      <c r="G644" s="1241"/>
      <c r="H644" s="1241"/>
      <c r="I644" s="1241"/>
      <c r="J644" s="618" t="s">
        <v>839</v>
      </c>
      <c r="K644" s="1241" t="s">
        <v>1</v>
      </c>
      <c r="L644" s="1242"/>
    </row>
    <row r="645" spans="1:12" ht="15.75" thickBot="1" x14ac:dyDescent="0.3">
      <c r="A645" s="560" t="s">
        <v>1</v>
      </c>
      <c r="B645" s="561" t="s">
        <v>1</v>
      </c>
      <c r="C645" s="561" t="s">
        <v>1</v>
      </c>
      <c r="D645" s="562" t="s">
        <v>1</v>
      </c>
      <c r="E645" s="561" t="s">
        <v>1</v>
      </c>
      <c r="F645" s="561" t="s">
        <v>1</v>
      </c>
      <c r="G645" s="561" t="s">
        <v>1</v>
      </c>
      <c r="H645" s="561" t="s">
        <v>1</v>
      </c>
      <c r="I645" s="1227" t="s">
        <v>1</v>
      </c>
      <c r="J645" s="1227"/>
      <c r="K645" s="561" t="s">
        <v>1</v>
      </c>
      <c r="L645" s="563" t="s">
        <v>1</v>
      </c>
    </row>
    <row r="646" spans="1:12" ht="15.75" x14ac:dyDescent="0.25">
      <c r="A646" s="564" t="s">
        <v>719</v>
      </c>
      <c r="B646" s="565" t="s">
        <v>1</v>
      </c>
      <c r="C646" s="569" t="s">
        <v>1</v>
      </c>
      <c r="D646" s="567" t="s">
        <v>720</v>
      </c>
      <c r="E646" s="699" t="s">
        <v>721</v>
      </c>
      <c r="F646" s="569" t="s">
        <v>722</v>
      </c>
      <c r="G646" s="564" t="s">
        <v>719</v>
      </c>
      <c r="H646" s="570" t="s">
        <v>1</v>
      </c>
      <c r="I646" s="1109" t="s">
        <v>1</v>
      </c>
      <c r="J646" s="572" t="s">
        <v>720</v>
      </c>
      <c r="K646" s="700" t="s">
        <v>721</v>
      </c>
      <c r="L646" s="700" t="s">
        <v>722</v>
      </c>
    </row>
    <row r="647" spans="1:12" ht="15.75" x14ac:dyDescent="0.25">
      <c r="A647" s="1099" t="s">
        <v>1</v>
      </c>
      <c r="B647" s="574" t="s">
        <v>1</v>
      </c>
      <c r="C647" s="702" t="s">
        <v>1</v>
      </c>
      <c r="D647" s="680" t="s">
        <v>1</v>
      </c>
      <c r="E647" s="1125" t="s">
        <v>1</v>
      </c>
      <c r="F647" s="1110" t="s">
        <v>1</v>
      </c>
      <c r="G647" s="697" t="s">
        <v>1</v>
      </c>
      <c r="H647" s="703" t="s">
        <v>1</v>
      </c>
      <c r="I647" s="703" t="s">
        <v>1</v>
      </c>
      <c r="J647" s="682" t="s">
        <v>1</v>
      </c>
      <c r="K647" s="1136" t="s">
        <v>1</v>
      </c>
      <c r="L647" s="1123" t="s">
        <v>1</v>
      </c>
    </row>
    <row r="648" spans="1:12" ht="15.75" x14ac:dyDescent="0.25">
      <c r="A648" s="1099" t="s">
        <v>1</v>
      </c>
      <c r="B648" s="1103" t="s">
        <v>881</v>
      </c>
      <c r="C648" s="703">
        <v>122</v>
      </c>
      <c r="D648" s="681" t="s">
        <v>946</v>
      </c>
      <c r="E648" s="1126" t="s">
        <v>1</v>
      </c>
      <c r="F648" s="1111" t="s">
        <v>1</v>
      </c>
      <c r="G648" s="698" t="s">
        <v>1</v>
      </c>
      <c r="H648" s="1103" t="s">
        <v>1</v>
      </c>
      <c r="I648" s="703" t="s">
        <v>1</v>
      </c>
      <c r="J648" s="681" t="s">
        <v>1</v>
      </c>
      <c r="K648" s="1137" t="s">
        <v>1</v>
      </c>
      <c r="L648" s="600" t="s">
        <v>1</v>
      </c>
    </row>
    <row r="649" spans="1:12" ht="15.75" x14ac:dyDescent="0.25">
      <c r="A649" s="1099" t="s">
        <v>725</v>
      </c>
      <c r="B649" s="1104" t="s">
        <v>1</v>
      </c>
      <c r="C649" s="703" t="s">
        <v>1</v>
      </c>
      <c r="D649" s="681" t="s">
        <v>726</v>
      </c>
      <c r="E649" s="1126" t="s">
        <v>1</v>
      </c>
      <c r="F649" s="1112">
        <v>0.5625</v>
      </c>
      <c r="G649" s="698" t="s">
        <v>1</v>
      </c>
      <c r="H649" s="1103" t="s">
        <v>1</v>
      </c>
      <c r="I649" s="703" t="s">
        <v>1</v>
      </c>
      <c r="J649" s="685" t="s">
        <v>1</v>
      </c>
      <c r="K649" s="1126" t="s">
        <v>1</v>
      </c>
      <c r="L649" s="1115" t="s">
        <v>1</v>
      </c>
    </row>
    <row r="650" spans="1:12" ht="15.75" x14ac:dyDescent="0.25">
      <c r="A650" s="1099">
        <v>7</v>
      </c>
      <c r="B650" s="1103" t="s">
        <v>1</v>
      </c>
      <c r="C650" s="703" t="s">
        <v>1</v>
      </c>
      <c r="D650" s="688" t="s">
        <v>50</v>
      </c>
      <c r="E650" s="1126" t="s">
        <v>1</v>
      </c>
      <c r="F650" s="1122">
        <v>0.58333333333333337</v>
      </c>
      <c r="G650" s="698" t="s">
        <v>1</v>
      </c>
      <c r="H650" s="1103" t="s">
        <v>1</v>
      </c>
      <c r="I650" s="703" t="s">
        <v>1</v>
      </c>
      <c r="J650" s="681" t="s">
        <v>1</v>
      </c>
      <c r="K650" s="1126" t="s">
        <v>1</v>
      </c>
      <c r="L650" s="697" t="s">
        <v>1</v>
      </c>
    </row>
    <row r="651" spans="1:12" ht="15.75" x14ac:dyDescent="0.25">
      <c r="A651" s="1099" t="s">
        <v>1</v>
      </c>
      <c r="B651" s="1103" t="s">
        <v>1</v>
      </c>
      <c r="C651" s="703" t="s">
        <v>1</v>
      </c>
      <c r="D651" s="687" t="s">
        <v>1</v>
      </c>
      <c r="E651" s="1126" t="s">
        <v>1</v>
      </c>
      <c r="F651" s="697" t="s">
        <v>1</v>
      </c>
      <c r="G651" s="698" t="s">
        <v>1</v>
      </c>
      <c r="H651" s="1103" t="s">
        <v>1</v>
      </c>
      <c r="I651" s="703" t="s">
        <v>1</v>
      </c>
      <c r="J651" s="686" t="s">
        <v>1</v>
      </c>
      <c r="K651" s="1126" t="s">
        <v>1</v>
      </c>
      <c r="L651" s="1118" t="s">
        <v>1</v>
      </c>
    </row>
    <row r="652" spans="1:12" ht="15.75" x14ac:dyDescent="0.25">
      <c r="A652" s="1099" t="s">
        <v>1</v>
      </c>
      <c r="B652" s="1103" t="s">
        <v>1</v>
      </c>
      <c r="C652" s="703" t="s">
        <v>1</v>
      </c>
      <c r="D652" s="685" t="s">
        <v>728</v>
      </c>
      <c r="E652" s="1127">
        <v>0.65625</v>
      </c>
      <c r="F652" s="1115" t="s">
        <v>1</v>
      </c>
      <c r="G652" s="698" t="s">
        <v>1</v>
      </c>
      <c r="H652" s="1103" t="s">
        <v>1</v>
      </c>
      <c r="I652" s="703" t="s">
        <v>1</v>
      </c>
      <c r="J652" s="687" t="s">
        <v>1</v>
      </c>
      <c r="K652" s="1126" t="s">
        <v>1</v>
      </c>
      <c r="L652" s="697" t="s">
        <v>1</v>
      </c>
    </row>
    <row r="653" spans="1:12" ht="15.75" x14ac:dyDescent="0.25">
      <c r="A653" s="1099" t="s">
        <v>1</v>
      </c>
      <c r="B653" s="1103" t="s">
        <v>273</v>
      </c>
      <c r="C653" s="703">
        <v>122</v>
      </c>
      <c r="D653" s="681" t="s">
        <v>947</v>
      </c>
      <c r="E653" s="1126" t="s">
        <v>1</v>
      </c>
      <c r="F653" s="697" t="s">
        <v>1</v>
      </c>
      <c r="G653" s="698" t="s">
        <v>1</v>
      </c>
      <c r="H653" s="1103" t="s">
        <v>1</v>
      </c>
      <c r="I653" s="703" t="s">
        <v>1</v>
      </c>
      <c r="J653" s="685" t="s">
        <v>1</v>
      </c>
      <c r="K653" s="1126" t="s">
        <v>1</v>
      </c>
      <c r="L653" s="1115" t="s">
        <v>1</v>
      </c>
    </row>
    <row r="654" spans="1:12" ht="15.75" x14ac:dyDescent="0.25">
      <c r="A654" s="1099" t="s">
        <v>1</v>
      </c>
      <c r="B654" s="1103" t="s">
        <v>1</v>
      </c>
      <c r="C654" s="703" t="s">
        <v>1</v>
      </c>
      <c r="D654" s="686" t="s">
        <v>1</v>
      </c>
      <c r="E654" s="1126" t="s">
        <v>1</v>
      </c>
      <c r="F654" s="1118" t="s">
        <v>1</v>
      </c>
      <c r="G654" s="698" t="s">
        <v>1</v>
      </c>
      <c r="H654" s="1103" t="s">
        <v>1</v>
      </c>
      <c r="I654" s="703" t="s">
        <v>1</v>
      </c>
      <c r="J654" s="681" t="s">
        <v>1</v>
      </c>
      <c r="K654" s="1126" t="s">
        <v>1</v>
      </c>
      <c r="L654" s="697" t="s">
        <v>1</v>
      </c>
    </row>
    <row r="655" spans="1:12" ht="15.75" x14ac:dyDescent="0.25">
      <c r="A655" s="1099" t="s">
        <v>1</v>
      </c>
      <c r="B655" s="1103" t="s">
        <v>273</v>
      </c>
      <c r="C655" s="703">
        <v>154</v>
      </c>
      <c r="D655" s="681" t="s">
        <v>948</v>
      </c>
      <c r="E655" s="1126" t="s">
        <v>1</v>
      </c>
      <c r="F655" s="697" t="s">
        <v>1</v>
      </c>
      <c r="G655" s="698" t="s">
        <v>1</v>
      </c>
      <c r="H655" s="1103" t="s">
        <v>1</v>
      </c>
      <c r="I655" s="703" t="s">
        <v>1</v>
      </c>
      <c r="J655" s="681" t="s">
        <v>1</v>
      </c>
      <c r="K655" s="1126" t="s">
        <v>1</v>
      </c>
      <c r="L655" s="697" t="s">
        <v>1</v>
      </c>
    </row>
    <row r="656" spans="1:12" ht="15.75" x14ac:dyDescent="0.25">
      <c r="A656" s="1099">
        <v>7</v>
      </c>
      <c r="B656" s="1103" t="s">
        <v>1</v>
      </c>
      <c r="C656" s="703" t="s">
        <v>1</v>
      </c>
      <c r="D656" s="685" t="s">
        <v>728</v>
      </c>
      <c r="E656" s="1126" t="s">
        <v>1</v>
      </c>
      <c r="F656" s="1114">
        <v>0.65625</v>
      </c>
      <c r="G656" s="698" t="s">
        <v>1</v>
      </c>
      <c r="H656" s="1103" t="s">
        <v>1</v>
      </c>
      <c r="I656" s="703" t="s">
        <v>1</v>
      </c>
      <c r="J656" s="681" t="s">
        <v>1</v>
      </c>
      <c r="K656" s="1126" t="s">
        <v>1</v>
      </c>
      <c r="L656" s="697" t="s">
        <v>1</v>
      </c>
    </row>
    <row r="657" spans="1:12" ht="15.75" x14ac:dyDescent="0.25">
      <c r="A657" s="1099" t="s">
        <v>1</v>
      </c>
      <c r="B657" s="1103" t="s">
        <v>1</v>
      </c>
      <c r="C657" s="703" t="s">
        <v>1</v>
      </c>
      <c r="D657" s="681" t="s">
        <v>1</v>
      </c>
      <c r="E657" s="1126" t="s">
        <v>1</v>
      </c>
      <c r="F657" s="697" t="s">
        <v>1</v>
      </c>
      <c r="G657" s="698" t="s">
        <v>1</v>
      </c>
      <c r="H657" s="1103" t="s">
        <v>1</v>
      </c>
      <c r="I657" s="703" t="s">
        <v>1</v>
      </c>
      <c r="J657" s="685" t="s">
        <v>1</v>
      </c>
      <c r="K657" s="1126" t="s">
        <v>1</v>
      </c>
      <c r="L657" s="1115" t="s">
        <v>1</v>
      </c>
    </row>
    <row r="658" spans="1:12" ht="15.75" x14ac:dyDescent="0.25">
      <c r="A658" s="1099">
        <v>7</v>
      </c>
      <c r="B658" s="1103" t="s">
        <v>1</v>
      </c>
      <c r="C658" s="703" t="s">
        <v>1</v>
      </c>
      <c r="D658" s="688" t="s">
        <v>50</v>
      </c>
      <c r="E658" s="1126" t="s">
        <v>1</v>
      </c>
      <c r="F658" s="1122">
        <v>0.72916666666666663</v>
      </c>
      <c r="G658" s="698" t="s">
        <v>1</v>
      </c>
      <c r="H658" s="1103" t="s">
        <v>1</v>
      </c>
      <c r="I658" s="703" t="s">
        <v>1</v>
      </c>
      <c r="J658" s="681" t="s">
        <v>1</v>
      </c>
      <c r="K658" s="1126" t="s">
        <v>1</v>
      </c>
      <c r="L658" s="697" t="s">
        <v>1</v>
      </c>
    </row>
    <row r="659" spans="1:12" ht="15.75" x14ac:dyDescent="0.25">
      <c r="A659" s="1099" t="s">
        <v>1</v>
      </c>
      <c r="B659" s="1103" t="s">
        <v>1</v>
      </c>
      <c r="C659" s="703" t="s">
        <v>1</v>
      </c>
      <c r="D659" s="681" t="s">
        <v>1</v>
      </c>
      <c r="E659" s="1126" t="s">
        <v>1</v>
      </c>
      <c r="F659" s="697" t="s">
        <v>1</v>
      </c>
      <c r="G659" s="698" t="s">
        <v>1</v>
      </c>
      <c r="H659" s="1103" t="s">
        <v>1</v>
      </c>
      <c r="I659" s="703" t="s">
        <v>1</v>
      </c>
      <c r="J659" s="686" t="s">
        <v>1</v>
      </c>
      <c r="K659" s="1126" t="s">
        <v>1</v>
      </c>
      <c r="L659" s="1118" t="s">
        <v>1</v>
      </c>
    </row>
    <row r="660" spans="1:12" ht="15.75" x14ac:dyDescent="0.25">
      <c r="A660" s="1099" t="s">
        <v>725</v>
      </c>
      <c r="B660" s="1103" t="s">
        <v>1</v>
      </c>
      <c r="C660" s="703" t="s">
        <v>1</v>
      </c>
      <c r="D660" s="685" t="s">
        <v>728</v>
      </c>
      <c r="E660" s="1127">
        <v>0.78472222222222221</v>
      </c>
      <c r="F660" s="1115" t="s">
        <v>1</v>
      </c>
      <c r="G660" s="698" t="s">
        <v>1</v>
      </c>
      <c r="H660" s="1103" t="s">
        <v>1</v>
      </c>
      <c r="I660" s="703" t="s">
        <v>1</v>
      </c>
      <c r="J660" s="687" t="s">
        <v>1</v>
      </c>
      <c r="K660" s="1126" t="s">
        <v>1</v>
      </c>
      <c r="L660" s="697" t="s">
        <v>1</v>
      </c>
    </row>
    <row r="661" spans="1:12" ht="15.75" x14ac:dyDescent="0.25">
      <c r="A661" s="1099" t="s">
        <v>1</v>
      </c>
      <c r="B661" s="1103" t="s">
        <v>1</v>
      </c>
      <c r="C661" s="703" t="s">
        <v>1</v>
      </c>
      <c r="D661" s="681" t="s">
        <v>733</v>
      </c>
      <c r="E661" s="1127">
        <v>0.80555555555555558</v>
      </c>
      <c r="F661" s="697" t="s">
        <v>1</v>
      </c>
      <c r="G661" s="698" t="s">
        <v>1</v>
      </c>
      <c r="H661" s="1103" t="s">
        <v>1</v>
      </c>
      <c r="I661" s="703" t="s">
        <v>1</v>
      </c>
      <c r="J661" s="685" t="s">
        <v>1</v>
      </c>
      <c r="K661" s="1126" t="s">
        <v>1</v>
      </c>
      <c r="L661" s="1115" t="s">
        <v>1</v>
      </c>
    </row>
    <row r="662" spans="1:12" ht="15.75" x14ac:dyDescent="0.25">
      <c r="A662" s="1099" t="s">
        <v>1</v>
      </c>
      <c r="B662" s="1103" t="s">
        <v>892</v>
      </c>
      <c r="C662" s="703" t="s">
        <v>273</v>
      </c>
      <c r="D662" s="686" t="s">
        <v>1</v>
      </c>
      <c r="E662" s="1126" t="s">
        <v>1</v>
      </c>
      <c r="F662" s="1118" t="s">
        <v>1</v>
      </c>
      <c r="G662" s="698" t="s">
        <v>1</v>
      </c>
      <c r="H662" s="1103" t="s">
        <v>1</v>
      </c>
      <c r="I662" s="703" t="s">
        <v>1</v>
      </c>
      <c r="J662" s="681" t="s">
        <v>1</v>
      </c>
      <c r="K662" s="1126" t="s">
        <v>1</v>
      </c>
      <c r="L662" s="697" t="s">
        <v>1</v>
      </c>
    </row>
    <row r="663" spans="1:12" ht="15.75" x14ac:dyDescent="0.25">
      <c r="A663" s="1099" t="s">
        <v>1</v>
      </c>
      <c r="B663" s="1103" t="s">
        <v>1</v>
      </c>
      <c r="C663" s="703" t="s">
        <v>1</v>
      </c>
      <c r="D663" s="687" t="s">
        <v>1</v>
      </c>
      <c r="E663" s="1126" t="s">
        <v>1</v>
      </c>
      <c r="F663" s="697" t="s">
        <v>1</v>
      </c>
      <c r="G663" s="698" t="s">
        <v>1</v>
      </c>
      <c r="H663" s="1103" t="s">
        <v>1</v>
      </c>
      <c r="I663" s="703" t="s">
        <v>1</v>
      </c>
      <c r="J663" s="686" t="s">
        <v>1</v>
      </c>
      <c r="K663" s="1126" t="s">
        <v>1</v>
      </c>
      <c r="L663" s="1118" t="s">
        <v>1</v>
      </c>
    </row>
    <row r="664" spans="1:12" ht="15.75" x14ac:dyDescent="0.25">
      <c r="A664" s="1099" t="s">
        <v>1</v>
      </c>
      <c r="B664" s="1103" t="s">
        <v>1</v>
      </c>
      <c r="C664" s="703" t="s">
        <v>1</v>
      </c>
      <c r="D664" s="685" t="s">
        <v>1</v>
      </c>
      <c r="E664" s="1126" t="s">
        <v>1</v>
      </c>
      <c r="F664" s="1115" t="s">
        <v>1</v>
      </c>
      <c r="G664" s="698" t="s">
        <v>1</v>
      </c>
      <c r="H664" s="1103" t="s">
        <v>1</v>
      </c>
      <c r="I664" s="703" t="s">
        <v>1</v>
      </c>
      <c r="J664" s="690" t="s">
        <v>1</v>
      </c>
      <c r="K664" s="1126" t="s">
        <v>1</v>
      </c>
      <c r="L664" s="1119" t="s">
        <v>1</v>
      </c>
    </row>
    <row r="665" spans="1:12" ht="15.75" x14ac:dyDescent="0.25">
      <c r="A665" s="1099" t="s">
        <v>1</v>
      </c>
      <c r="B665" s="1103" t="s">
        <v>1</v>
      </c>
      <c r="C665" s="703" t="s">
        <v>1</v>
      </c>
      <c r="D665" s="681" t="s">
        <v>1</v>
      </c>
      <c r="E665" s="1126" t="s">
        <v>1</v>
      </c>
      <c r="F665" s="697" t="s">
        <v>1</v>
      </c>
      <c r="G665" s="698" t="s">
        <v>1</v>
      </c>
      <c r="H665" s="1103" t="s">
        <v>1</v>
      </c>
      <c r="I665" s="703" t="s">
        <v>1</v>
      </c>
      <c r="J665" s="681" t="s">
        <v>1</v>
      </c>
      <c r="K665" s="1126" t="s">
        <v>1</v>
      </c>
      <c r="L665" s="697" t="s">
        <v>1</v>
      </c>
    </row>
    <row r="666" spans="1:12" ht="15.75" x14ac:dyDescent="0.25">
      <c r="A666" s="1099" t="s">
        <v>1</v>
      </c>
      <c r="B666" s="1103" t="s">
        <v>1</v>
      </c>
      <c r="C666" s="703" t="s">
        <v>1</v>
      </c>
      <c r="D666" s="687" t="s">
        <v>1</v>
      </c>
      <c r="E666" s="1126" t="s">
        <v>1</v>
      </c>
      <c r="F666" s="697" t="s">
        <v>1</v>
      </c>
      <c r="G666" s="698" t="s">
        <v>1</v>
      </c>
      <c r="H666" s="1103" t="s">
        <v>1</v>
      </c>
      <c r="I666" s="703" t="s">
        <v>1</v>
      </c>
      <c r="J666" s="681" t="s">
        <v>1</v>
      </c>
      <c r="K666" s="1126" t="s">
        <v>1</v>
      </c>
      <c r="L666" s="1118" t="s">
        <v>1</v>
      </c>
    </row>
    <row r="667" spans="1:12" ht="15.75" x14ac:dyDescent="0.25">
      <c r="A667" s="1099" t="s">
        <v>1</v>
      </c>
      <c r="B667" s="1103" t="s">
        <v>1</v>
      </c>
      <c r="C667" s="703" t="s">
        <v>1</v>
      </c>
      <c r="D667" s="681" t="s">
        <v>1</v>
      </c>
      <c r="E667" s="1126" t="s">
        <v>1</v>
      </c>
      <c r="F667" s="697" t="s">
        <v>1</v>
      </c>
      <c r="G667" s="698" t="s">
        <v>1</v>
      </c>
      <c r="H667" s="1103" t="s">
        <v>1</v>
      </c>
      <c r="I667" s="703" t="s">
        <v>1</v>
      </c>
      <c r="J667" s="690" t="s">
        <v>1</v>
      </c>
      <c r="K667" s="1126" t="s">
        <v>1</v>
      </c>
      <c r="L667" s="697" t="s">
        <v>1</v>
      </c>
    </row>
    <row r="668" spans="1:12" ht="15.75" x14ac:dyDescent="0.25">
      <c r="A668" s="1099" t="s">
        <v>1</v>
      </c>
      <c r="B668" s="1103" t="s">
        <v>1</v>
      </c>
      <c r="C668" s="703" t="s">
        <v>1</v>
      </c>
      <c r="D668" s="685" t="s">
        <v>1</v>
      </c>
      <c r="E668" s="1126" t="s">
        <v>1</v>
      </c>
      <c r="F668" s="1115" t="s">
        <v>1</v>
      </c>
      <c r="G668" s="698" t="s">
        <v>1</v>
      </c>
      <c r="H668" s="1103" t="s">
        <v>1</v>
      </c>
      <c r="I668" s="703" t="s">
        <v>1</v>
      </c>
      <c r="J668" s="690" t="s">
        <v>1</v>
      </c>
      <c r="K668" s="1126" t="s">
        <v>1</v>
      </c>
      <c r="L668" s="1119" t="s">
        <v>1</v>
      </c>
    </row>
    <row r="669" spans="1:12" ht="15.75" x14ac:dyDescent="0.25">
      <c r="A669" s="1099" t="s">
        <v>1</v>
      </c>
      <c r="B669" s="1103" t="s">
        <v>1</v>
      </c>
      <c r="C669" s="703" t="s">
        <v>1</v>
      </c>
      <c r="D669" s="681" t="s">
        <v>1</v>
      </c>
      <c r="E669" s="1126" t="s">
        <v>1</v>
      </c>
      <c r="F669" s="697" t="s">
        <v>1</v>
      </c>
      <c r="G669" s="698" t="s">
        <v>1</v>
      </c>
      <c r="H669" s="1103" t="s">
        <v>1</v>
      </c>
      <c r="I669" s="703" t="s">
        <v>1</v>
      </c>
      <c r="J669" s="681" t="s">
        <v>1</v>
      </c>
      <c r="K669" s="1126" t="s">
        <v>1</v>
      </c>
      <c r="L669" s="697" t="s">
        <v>1</v>
      </c>
    </row>
    <row r="670" spans="1:12" ht="15.75" x14ac:dyDescent="0.25">
      <c r="A670" s="1099" t="s">
        <v>1</v>
      </c>
      <c r="B670" s="1103" t="s">
        <v>1</v>
      </c>
      <c r="C670" s="703" t="s">
        <v>1</v>
      </c>
      <c r="D670" s="686" t="s">
        <v>1</v>
      </c>
      <c r="E670" s="1126" t="s">
        <v>1</v>
      </c>
      <c r="F670" s="1118" t="s">
        <v>1</v>
      </c>
      <c r="G670" s="698" t="s">
        <v>1</v>
      </c>
      <c r="H670" s="1103" t="s">
        <v>1</v>
      </c>
      <c r="I670" s="703" t="s">
        <v>1</v>
      </c>
      <c r="J670" s="686" t="s">
        <v>1</v>
      </c>
      <c r="K670" s="1126" t="s">
        <v>1</v>
      </c>
      <c r="L670" s="1118" t="s">
        <v>1</v>
      </c>
    </row>
    <row r="671" spans="1:12" ht="15.75" x14ac:dyDescent="0.25">
      <c r="A671" s="1099" t="s">
        <v>1</v>
      </c>
      <c r="B671" s="1103" t="s">
        <v>1</v>
      </c>
      <c r="C671" s="703" t="s">
        <v>1</v>
      </c>
      <c r="D671" s="687" t="s">
        <v>1</v>
      </c>
      <c r="E671" s="1126" t="s">
        <v>1</v>
      </c>
      <c r="F671" s="697" t="s">
        <v>1</v>
      </c>
      <c r="G671" s="698" t="s">
        <v>1</v>
      </c>
      <c r="H671" s="1103" t="s">
        <v>1</v>
      </c>
      <c r="I671" s="703" t="s">
        <v>1</v>
      </c>
      <c r="J671" s="687" t="s">
        <v>1</v>
      </c>
      <c r="K671" s="1126" t="s">
        <v>1</v>
      </c>
      <c r="L671" s="697" t="s">
        <v>1</v>
      </c>
    </row>
    <row r="672" spans="1:12" ht="15.75" x14ac:dyDescent="0.25">
      <c r="A672" s="1099" t="s">
        <v>1</v>
      </c>
      <c r="B672" s="1103" t="s">
        <v>1</v>
      </c>
      <c r="C672" s="703" t="s">
        <v>1</v>
      </c>
      <c r="D672" s="685" t="s">
        <v>1</v>
      </c>
      <c r="E672" s="1126" t="s">
        <v>1</v>
      </c>
      <c r="F672" s="1115" t="s">
        <v>1</v>
      </c>
      <c r="G672" s="698" t="s">
        <v>1</v>
      </c>
      <c r="H672" s="1103" t="s">
        <v>1</v>
      </c>
      <c r="I672" s="703" t="s">
        <v>1</v>
      </c>
      <c r="J672" s="681" t="s">
        <v>1</v>
      </c>
      <c r="K672" s="1126" t="s">
        <v>1</v>
      </c>
      <c r="L672" s="1119" t="s">
        <v>1</v>
      </c>
    </row>
    <row r="673" spans="1:12" ht="15.75" x14ac:dyDescent="0.25">
      <c r="A673" s="1099" t="s">
        <v>1</v>
      </c>
      <c r="B673" s="1103" t="s">
        <v>1</v>
      </c>
      <c r="C673" s="703" t="s">
        <v>1</v>
      </c>
      <c r="D673" s="681" t="s">
        <v>1</v>
      </c>
      <c r="E673" s="1126" t="s">
        <v>1</v>
      </c>
      <c r="F673" s="697" t="s">
        <v>1</v>
      </c>
      <c r="G673" s="698" t="s">
        <v>1</v>
      </c>
      <c r="H673" s="1103" t="s">
        <v>1</v>
      </c>
      <c r="I673" s="703" t="s">
        <v>1</v>
      </c>
      <c r="J673" s="681" t="s">
        <v>1</v>
      </c>
      <c r="K673" s="1126" t="s">
        <v>1</v>
      </c>
      <c r="L673" s="697" t="s">
        <v>1</v>
      </c>
    </row>
    <row r="674" spans="1:12" ht="15.75" x14ac:dyDescent="0.25">
      <c r="A674" s="1099" t="s">
        <v>1</v>
      </c>
      <c r="B674" s="1103" t="s">
        <v>1</v>
      </c>
      <c r="C674" s="703" t="s">
        <v>1</v>
      </c>
      <c r="D674" s="681" t="s">
        <v>1</v>
      </c>
      <c r="E674" s="1126" t="s">
        <v>1</v>
      </c>
      <c r="F674" s="697" t="s">
        <v>1</v>
      </c>
      <c r="G674" s="698" t="s">
        <v>1</v>
      </c>
      <c r="H674" s="1103" t="s">
        <v>1</v>
      </c>
      <c r="I674" s="703" t="s">
        <v>1</v>
      </c>
      <c r="J674" s="681" t="s">
        <v>1</v>
      </c>
      <c r="K674" s="1126" t="s">
        <v>1</v>
      </c>
      <c r="L674" s="1118" t="s">
        <v>1</v>
      </c>
    </row>
    <row r="675" spans="1:12" ht="15.75" x14ac:dyDescent="0.25">
      <c r="A675" s="1099" t="s">
        <v>1</v>
      </c>
      <c r="B675" s="1103" t="s">
        <v>1</v>
      </c>
      <c r="C675" s="703" t="s">
        <v>1</v>
      </c>
      <c r="D675" s="687" t="s">
        <v>1</v>
      </c>
      <c r="E675" s="1126" t="s">
        <v>1</v>
      </c>
      <c r="F675" s="697" t="s">
        <v>1</v>
      </c>
      <c r="G675" s="698" t="s">
        <v>1</v>
      </c>
      <c r="H675" s="1103" t="s">
        <v>1</v>
      </c>
      <c r="I675" s="703" t="s">
        <v>1</v>
      </c>
      <c r="J675" s="687" t="s">
        <v>1</v>
      </c>
      <c r="K675" s="1126" t="s">
        <v>1</v>
      </c>
      <c r="L675" s="697" t="s">
        <v>1</v>
      </c>
    </row>
    <row r="676" spans="1:12" ht="15.75" x14ac:dyDescent="0.25">
      <c r="A676" s="1099" t="s">
        <v>1</v>
      </c>
      <c r="B676" s="1103" t="s">
        <v>1</v>
      </c>
      <c r="C676" s="703" t="s">
        <v>1</v>
      </c>
      <c r="D676" s="690" t="s">
        <v>1</v>
      </c>
      <c r="E676" s="1126" t="s">
        <v>1</v>
      </c>
      <c r="F676" s="1119" t="s">
        <v>1</v>
      </c>
      <c r="G676" s="698" t="s">
        <v>1</v>
      </c>
      <c r="H676" s="1103" t="s">
        <v>1</v>
      </c>
      <c r="I676" s="703" t="s">
        <v>1</v>
      </c>
      <c r="J676" s="681" t="s">
        <v>1</v>
      </c>
      <c r="K676" s="1126" t="s">
        <v>1</v>
      </c>
      <c r="L676" s="1119" t="s">
        <v>1</v>
      </c>
    </row>
    <row r="677" spans="1:12" ht="15.75" x14ac:dyDescent="0.25">
      <c r="A677" s="1099" t="s">
        <v>1</v>
      </c>
      <c r="B677" s="1103" t="s">
        <v>1</v>
      </c>
      <c r="C677" s="703" t="s">
        <v>1</v>
      </c>
      <c r="D677" s="687" t="s">
        <v>1</v>
      </c>
      <c r="E677" s="1126" t="s">
        <v>1</v>
      </c>
      <c r="F677" s="697" t="s">
        <v>1</v>
      </c>
      <c r="G677" s="698" t="s">
        <v>1</v>
      </c>
      <c r="H677" s="1103" t="s">
        <v>1</v>
      </c>
      <c r="I677" s="703" t="s">
        <v>1</v>
      </c>
      <c r="J677" s="687" t="s">
        <v>1</v>
      </c>
      <c r="K677" s="1126" t="s">
        <v>1</v>
      </c>
      <c r="L677" s="697" t="s">
        <v>1</v>
      </c>
    </row>
    <row r="678" spans="1:12" ht="15.75" x14ac:dyDescent="0.25">
      <c r="A678" s="1099" t="s">
        <v>1</v>
      </c>
      <c r="B678" s="1103" t="s">
        <v>1</v>
      </c>
      <c r="C678" s="703" t="s">
        <v>1</v>
      </c>
      <c r="D678" s="681" t="s">
        <v>1</v>
      </c>
      <c r="E678" s="1126" t="s">
        <v>1</v>
      </c>
      <c r="F678" s="697" t="s">
        <v>1</v>
      </c>
      <c r="G678" s="698" t="s">
        <v>1</v>
      </c>
      <c r="H678" s="1103" t="s">
        <v>1</v>
      </c>
      <c r="I678" s="703" t="s">
        <v>1</v>
      </c>
      <c r="J678" s="681" t="s">
        <v>1</v>
      </c>
      <c r="K678" s="1126" t="s">
        <v>1</v>
      </c>
      <c r="L678" s="697" t="s">
        <v>1</v>
      </c>
    </row>
    <row r="679" spans="1:12" ht="15.75" x14ac:dyDescent="0.25">
      <c r="A679" s="1099" t="s">
        <v>1</v>
      </c>
      <c r="B679" s="1103" t="s">
        <v>1</v>
      </c>
      <c r="C679" s="703" t="s">
        <v>1</v>
      </c>
      <c r="D679" s="687" t="s">
        <v>1</v>
      </c>
      <c r="E679" s="1126" t="s">
        <v>1</v>
      </c>
      <c r="F679" s="697" t="s">
        <v>1</v>
      </c>
      <c r="G679" s="697" t="s">
        <v>1</v>
      </c>
      <c r="H679" s="703" t="s">
        <v>1</v>
      </c>
      <c r="I679" s="703" t="s">
        <v>1</v>
      </c>
      <c r="J679" s="681" t="s">
        <v>1</v>
      </c>
      <c r="K679" s="1126" t="s">
        <v>1</v>
      </c>
      <c r="L679" s="697" t="s">
        <v>1</v>
      </c>
    </row>
    <row r="680" spans="1:12" ht="16.5" thickBot="1" x14ac:dyDescent="0.3">
      <c r="A680" s="1102" t="s">
        <v>1</v>
      </c>
      <c r="B680" s="1106" t="s">
        <v>1</v>
      </c>
      <c r="C680" s="570" t="s">
        <v>1</v>
      </c>
      <c r="D680" s="605" t="s">
        <v>1</v>
      </c>
      <c r="E680" s="1133" t="s">
        <v>1</v>
      </c>
      <c r="F680" s="1120" t="s">
        <v>1</v>
      </c>
      <c r="G680" s="700" t="s">
        <v>1</v>
      </c>
      <c r="H680" s="1108" t="s">
        <v>1</v>
      </c>
      <c r="I680" s="1108" t="s">
        <v>1</v>
      </c>
      <c r="J680" s="692" t="s">
        <v>1</v>
      </c>
      <c r="K680" s="1139" t="s">
        <v>1</v>
      </c>
      <c r="L680" s="700" t="s">
        <v>1</v>
      </c>
    </row>
    <row r="681" spans="1:12" ht="23.25" customHeight="1" x14ac:dyDescent="0.35">
      <c r="A681" s="1237" t="s">
        <v>712</v>
      </c>
      <c r="B681" s="1238"/>
      <c r="C681" s="1238"/>
      <c r="D681" s="1238"/>
      <c r="E681" s="1238"/>
      <c r="F681" s="1238"/>
      <c r="G681" s="1238"/>
      <c r="H681" s="1238"/>
      <c r="I681" s="1238"/>
      <c r="J681" s="1238"/>
      <c r="K681" s="1238"/>
      <c r="L681" s="1239"/>
    </row>
    <row r="682" spans="1:12" ht="23.25" customHeight="1" thickBot="1" x14ac:dyDescent="0.4">
      <c r="A682" s="1240" t="s">
        <v>713</v>
      </c>
      <c r="B682" s="1241"/>
      <c r="C682" s="1241"/>
      <c r="D682" s="1241"/>
      <c r="E682" s="1241"/>
      <c r="F682" s="1241"/>
      <c r="G682" s="1241"/>
      <c r="H682" s="1241"/>
      <c r="I682" s="1241"/>
      <c r="J682" s="1241"/>
      <c r="K682" s="1241"/>
      <c r="L682" s="1242"/>
    </row>
    <row r="683" spans="1:12" ht="23.25" customHeight="1" thickBot="1" x14ac:dyDescent="0.4">
      <c r="A683" s="1243" t="s">
        <v>714</v>
      </c>
      <c r="B683" s="1244"/>
      <c r="C683" s="1244"/>
      <c r="D683" s="1244"/>
      <c r="E683" s="1244"/>
      <c r="F683" s="1244"/>
      <c r="G683" s="1244"/>
      <c r="H683" s="1244"/>
      <c r="I683" s="1244"/>
      <c r="J683" s="1244"/>
      <c r="K683" s="1244"/>
      <c r="L683" s="1245"/>
    </row>
    <row r="684" spans="1:12" ht="23.25" customHeight="1" x14ac:dyDescent="0.35">
      <c r="A684" s="619" t="s">
        <v>715</v>
      </c>
      <c r="B684" s="620"/>
      <c r="C684" s="620"/>
      <c r="D684" s="621" t="s">
        <v>716</v>
      </c>
      <c r="E684" s="1241" t="s">
        <v>403</v>
      </c>
      <c r="F684" s="1241"/>
      <c r="G684" s="1241"/>
      <c r="H684" s="1241"/>
      <c r="I684" s="1241"/>
      <c r="J684" s="556" t="s">
        <v>844</v>
      </c>
      <c r="K684" s="1241" t="s">
        <v>1</v>
      </c>
      <c r="L684" s="1242"/>
    </row>
    <row r="685" spans="1:12" ht="15.75" thickBot="1" x14ac:dyDescent="0.3">
      <c r="A685" s="560" t="s">
        <v>1</v>
      </c>
      <c r="B685" s="561" t="s">
        <v>1</v>
      </c>
      <c r="C685" s="561" t="s">
        <v>1</v>
      </c>
      <c r="D685" s="562" t="s">
        <v>1</v>
      </c>
      <c r="E685" s="561" t="s">
        <v>1</v>
      </c>
      <c r="F685" s="561" t="s">
        <v>1</v>
      </c>
      <c r="G685" s="561" t="s">
        <v>1</v>
      </c>
      <c r="H685" s="561" t="s">
        <v>1</v>
      </c>
      <c r="I685" s="1227" t="s">
        <v>1</v>
      </c>
      <c r="J685" s="1227"/>
      <c r="K685" s="561" t="s">
        <v>1</v>
      </c>
      <c r="L685" s="563" t="s">
        <v>1</v>
      </c>
    </row>
    <row r="686" spans="1:12" ht="15.75" x14ac:dyDescent="0.25">
      <c r="A686" s="564" t="s">
        <v>719</v>
      </c>
      <c r="B686" s="565" t="s">
        <v>1</v>
      </c>
      <c r="C686" s="569" t="s">
        <v>1</v>
      </c>
      <c r="D686" s="567" t="s">
        <v>720</v>
      </c>
      <c r="E686" s="699" t="s">
        <v>721</v>
      </c>
      <c r="F686" s="569" t="s">
        <v>722</v>
      </c>
      <c r="G686" s="564" t="s">
        <v>719</v>
      </c>
      <c r="H686" s="570" t="s">
        <v>1</v>
      </c>
      <c r="I686" s="1109" t="s">
        <v>1</v>
      </c>
      <c r="J686" s="572" t="s">
        <v>720</v>
      </c>
      <c r="K686" s="700" t="s">
        <v>721</v>
      </c>
      <c r="L686" s="700" t="s">
        <v>722</v>
      </c>
    </row>
    <row r="687" spans="1:12" ht="15.75" x14ac:dyDescent="0.25">
      <c r="A687" s="1099" t="s">
        <v>1</v>
      </c>
      <c r="B687" s="574" t="s">
        <v>1</v>
      </c>
      <c r="C687" s="702" t="s">
        <v>1</v>
      </c>
      <c r="D687" s="680" t="s">
        <v>1</v>
      </c>
      <c r="E687" s="1125" t="s">
        <v>1</v>
      </c>
      <c r="F687" s="1110" t="s">
        <v>1</v>
      </c>
      <c r="G687" s="697" t="s">
        <v>1</v>
      </c>
      <c r="H687" s="703" t="s">
        <v>1</v>
      </c>
      <c r="I687" s="703" t="s">
        <v>1</v>
      </c>
      <c r="J687" s="682" t="s">
        <v>1</v>
      </c>
      <c r="K687" s="1136" t="s">
        <v>1</v>
      </c>
      <c r="L687" s="1123" t="s">
        <v>1</v>
      </c>
    </row>
    <row r="688" spans="1:12" ht="15.75" x14ac:dyDescent="0.25">
      <c r="A688" s="1099" t="s">
        <v>1</v>
      </c>
      <c r="B688" s="1103" t="s">
        <v>273</v>
      </c>
      <c r="C688" s="703">
        <v>125</v>
      </c>
      <c r="D688" s="681" t="s">
        <v>953</v>
      </c>
      <c r="E688" s="1126" t="s">
        <v>1</v>
      </c>
      <c r="F688" s="1111" t="s">
        <v>1</v>
      </c>
      <c r="G688" s="698" t="s">
        <v>1</v>
      </c>
      <c r="H688" s="1103" t="s">
        <v>1</v>
      </c>
      <c r="I688" s="703" t="s">
        <v>1</v>
      </c>
      <c r="J688" s="681" t="s">
        <v>1</v>
      </c>
      <c r="K688" s="1137" t="s">
        <v>1</v>
      </c>
      <c r="L688" s="600" t="s">
        <v>1</v>
      </c>
    </row>
    <row r="689" spans="1:12" ht="15.75" x14ac:dyDescent="0.25">
      <c r="A689" s="1099" t="s">
        <v>725</v>
      </c>
      <c r="B689" s="1104" t="s">
        <v>1</v>
      </c>
      <c r="C689" s="703" t="s">
        <v>1</v>
      </c>
      <c r="D689" s="681" t="s">
        <v>726</v>
      </c>
      <c r="E689" s="1126" t="s">
        <v>1</v>
      </c>
      <c r="F689" s="1112">
        <v>0.59375</v>
      </c>
      <c r="G689" s="698" t="s">
        <v>1</v>
      </c>
      <c r="H689" s="1103" t="s">
        <v>1</v>
      </c>
      <c r="I689" s="703" t="s">
        <v>1</v>
      </c>
      <c r="J689" s="685" t="s">
        <v>1</v>
      </c>
      <c r="K689" s="1126" t="s">
        <v>1</v>
      </c>
      <c r="L689" s="1115" t="s">
        <v>1</v>
      </c>
    </row>
    <row r="690" spans="1:12" ht="15.75" x14ac:dyDescent="0.25">
      <c r="A690" s="1099">
        <v>7</v>
      </c>
      <c r="B690" s="1103" t="s">
        <v>1</v>
      </c>
      <c r="C690" s="703" t="s">
        <v>1</v>
      </c>
      <c r="D690" s="685" t="s">
        <v>728</v>
      </c>
      <c r="E690" s="1126" t="s">
        <v>1</v>
      </c>
      <c r="F690" s="1114">
        <v>0.61805555555555558</v>
      </c>
      <c r="G690" s="698" t="s">
        <v>1</v>
      </c>
      <c r="H690" s="1103" t="s">
        <v>1</v>
      </c>
      <c r="I690" s="703" t="s">
        <v>1</v>
      </c>
      <c r="J690" s="681" t="s">
        <v>1</v>
      </c>
      <c r="K690" s="1126" t="s">
        <v>1</v>
      </c>
      <c r="L690" s="697" t="s">
        <v>1</v>
      </c>
    </row>
    <row r="691" spans="1:12" ht="15.75" x14ac:dyDescent="0.25">
      <c r="A691" s="1099" t="s">
        <v>1</v>
      </c>
      <c r="B691" s="1103" t="s">
        <v>1</v>
      </c>
      <c r="C691" s="703" t="s">
        <v>1</v>
      </c>
      <c r="D691" s="687" t="s">
        <v>1</v>
      </c>
      <c r="E691" s="1126" t="s">
        <v>1</v>
      </c>
      <c r="F691" s="697" t="s">
        <v>1</v>
      </c>
      <c r="G691" s="698" t="s">
        <v>1</v>
      </c>
      <c r="H691" s="1103" t="s">
        <v>1</v>
      </c>
      <c r="I691" s="703" t="s">
        <v>1</v>
      </c>
      <c r="J691" s="686" t="s">
        <v>1</v>
      </c>
      <c r="K691" s="1126" t="s">
        <v>1</v>
      </c>
      <c r="L691" s="1118" t="s">
        <v>1</v>
      </c>
    </row>
    <row r="692" spans="1:12" ht="15.75" x14ac:dyDescent="0.25">
      <c r="A692" s="1099">
        <v>7</v>
      </c>
      <c r="B692" s="1103" t="s">
        <v>1</v>
      </c>
      <c r="C692" s="703" t="s">
        <v>1</v>
      </c>
      <c r="D692" s="688" t="s">
        <v>50</v>
      </c>
      <c r="E692" s="1126" t="s">
        <v>1</v>
      </c>
      <c r="F692" s="1116">
        <v>0.6875</v>
      </c>
      <c r="G692" s="698" t="s">
        <v>1</v>
      </c>
      <c r="H692" s="1103" t="s">
        <v>1</v>
      </c>
      <c r="I692" s="703" t="s">
        <v>1</v>
      </c>
      <c r="J692" s="687" t="s">
        <v>1</v>
      </c>
      <c r="K692" s="1126" t="s">
        <v>1</v>
      </c>
      <c r="L692" s="697" t="s">
        <v>1</v>
      </c>
    </row>
    <row r="693" spans="1:12" ht="15.75" x14ac:dyDescent="0.25">
      <c r="A693" s="1099" t="s">
        <v>1</v>
      </c>
      <c r="B693" s="1103" t="s">
        <v>1</v>
      </c>
      <c r="C693" s="703" t="s">
        <v>1</v>
      </c>
      <c r="D693" s="681" t="s">
        <v>1</v>
      </c>
      <c r="E693" s="1126" t="s">
        <v>1</v>
      </c>
      <c r="F693" s="697" t="s">
        <v>1</v>
      </c>
      <c r="G693" s="698" t="s">
        <v>1</v>
      </c>
      <c r="H693" s="1103" t="s">
        <v>1</v>
      </c>
      <c r="I693" s="703" t="s">
        <v>1</v>
      </c>
      <c r="J693" s="685" t="s">
        <v>1</v>
      </c>
      <c r="K693" s="1126" t="s">
        <v>1</v>
      </c>
      <c r="L693" s="1115" t="s">
        <v>1</v>
      </c>
    </row>
    <row r="694" spans="1:12" ht="15.75" x14ac:dyDescent="0.25">
      <c r="A694" s="1099" t="s">
        <v>1</v>
      </c>
      <c r="B694" s="1103" t="s">
        <v>1</v>
      </c>
      <c r="C694" s="703" t="s">
        <v>1</v>
      </c>
      <c r="D694" s="685" t="s">
        <v>728</v>
      </c>
      <c r="E694" s="1127">
        <v>0.75</v>
      </c>
      <c r="F694" s="1118" t="s">
        <v>1</v>
      </c>
      <c r="G694" s="698" t="s">
        <v>1</v>
      </c>
      <c r="H694" s="1103" t="s">
        <v>1</v>
      </c>
      <c r="I694" s="703" t="s">
        <v>1</v>
      </c>
      <c r="J694" s="681" t="s">
        <v>1</v>
      </c>
      <c r="K694" s="1126" t="s">
        <v>1</v>
      </c>
      <c r="L694" s="697" t="s">
        <v>1</v>
      </c>
    </row>
    <row r="695" spans="1:12" ht="15.75" x14ac:dyDescent="0.25">
      <c r="A695" s="1099" t="s">
        <v>1</v>
      </c>
      <c r="B695" s="1103" t="s">
        <v>881</v>
      </c>
      <c r="C695" s="703">
        <v>125</v>
      </c>
      <c r="D695" s="681" t="s">
        <v>954</v>
      </c>
      <c r="E695" s="1126" t="s">
        <v>1</v>
      </c>
      <c r="F695" s="697" t="s">
        <v>1</v>
      </c>
      <c r="G695" s="698" t="s">
        <v>1</v>
      </c>
      <c r="H695" s="1103" t="s">
        <v>1</v>
      </c>
      <c r="I695" s="703" t="s">
        <v>1</v>
      </c>
      <c r="J695" s="681" t="s">
        <v>1</v>
      </c>
      <c r="K695" s="1126" t="s">
        <v>1</v>
      </c>
      <c r="L695" s="697" t="s">
        <v>1</v>
      </c>
    </row>
    <row r="696" spans="1:12" ht="15.75" x14ac:dyDescent="0.25">
      <c r="A696" s="1099" t="s">
        <v>1</v>
      </c>
      <c r="B696" s="1103" t="s">
        <v>1</v>
      </c>
      <c r="C696" s="703" t="s">
        <v>1</v>
      </c>
      <c r="D696" s="685" t="s">
        <v>1</v>
      </c>
      <c r="E696" s="1126" t="s">
        <v>1</v>
      </c>
      <c r="F696" s="1115" t="s">
        <v>1</v>
      </c>
      <c r="G696" s="698" t="s">
        <v>1</v>
      </c>
      <c r="H696" s="1103" t="s">
        <v>1</v>
      </c>
      <c r="I696" s="703" t="s">
        <v>1</v>
      </c>
      <c r="J696" s="681" t="s">
        <v>1</v>
      </c>
      <c r="K696" s="1126" t="s">
        <v>1</v>
      </c>
      <c r="L696" s="697" t="s">
        <v>1</v>
      </c>
    </row>
    <row r="697" spans="1:12" ht="15.75" x14ac:dyDescent="0.25">
      <c r="A697" s="1099" t="s">
        <v>1</v>
      </c>
      <c r="B697" s="1103" t="s">
        <v>881</v>
      </c>
      <c r="C697" s="703">
        <v>119</v>
      </c>
      <c r="D697" s="681" t="s">
        <v>955</v>
      </c>
      <c r="E697" s="1126" t="s">
        <v>1</v>
      </c>
      <c r="F697" s="697" t="s">
        <v>1</v>
      </c>
      <c r="G697" s="698" t="s">
        <v>1</v>
      </c>
      <c r="H697" s="1103" t="s">
        <v>1</v>
      </c>
      <c r="I697" s="703" t="s">
        <v>1</v>
      </c>
      <c r="J697" s="685" t="s">
        <v>1</v>
      </c>
      <c r="K697" s="1126" t="s">
        <v>1</v>
      </c>
      <c r="L697" s="1115" t="s">
        <v>1</v>
      </c>
    </row>
    <row r="698" spans="1:12" ht="15.75" x14ac:dyDescent="0.25">
      <c r="A698" s="1099" t="s">
        <v>727</v>
      </c>
      <c r="B698" s="1103" t="s">
        <v>1</v>
      </c>
      <c r="C698" s="703" t="s">
        <v>1</v>
      </c>
      <c r="D698" s="685" t="s">
        <v>728</v>
      </c>
      <c r="E698" s="1126" t="s">
        <v>1</v>
      </c>
      <c r="F698" s="1114">
        <v>0.75</v>
      </c>
      <c r="G698" s="698" t="s">
        <v>1</v>
      </c>
      <c r="H698" s="1103" t="s">
        <v>1</v>
      </c>
      <c r="I698" s="703" t="s">
        <v>1</v>
      </c>
      <c r="J698" s="681" t="s">
        <v>1</v>
      </c>
      <c r="K698" s="1126" t="s">
        <v>1</v>
      </c>
      <c r="L698" s="697" t="s">
        <v>1</v>
      </c>
    </row>
    <row r="699" spans="1:12" ht="15.75" x14ac:dyDescent="0.25">
      <c r="A699" s="1099" t="s">
        <v>1</v>
      </c>
      <c r="B699" s="1103" t="s">
        <v>1</v>
      </c>
      <c r="C699" s="703" t="s">
        <v>1</v>
      </c>
      <c r="D699" s="681" t="s">
        <v>1</v>
      </c>
      <c r="E699" s="1126" t="s">
        <v>1</v>
      </c>
      <c r="F699" s="697" t="s">
        <v>1</v>
      </c>
      <c r="G699" s="698" t="s">
        <v>1</v>
      </c>
      <c r="H699" s="1103" t="s">
        <v>1</v>
      </c>
      <c r="I699" s="703" t="s">
        <v>1</v>
      </c>
      <c r="J699" s="686" t="s">
        <v>1</v>
      </c>
      <c r="K699" s="1126" t="s">
        <v>1</v>
      </c>
      <c r="L699" s="1118" t="s">
        <v>1</v>
      </c>
    </row>
    <row r="700" spans="1:12" ht="15.75" x14ac:dyDescent="0.25">
      <c r="A700" s="1099" t="s">
        <v>727</v>
      </c>
      <c r="B700" s="1103" t="s">
        <v>1</v>
      </c>
      <c r="C700" s="703" t="s">
        <v>1</v>
      </c>
      <c r="D700" s="686" t="s">
        <v>48</v>
      </c>
      <c r="E700" s="1126" t="s">
        <v>1</v>
      </c>
      <c r="F700" s="1113">
        <v>0.82291666666666663</v>
      </c>
      <c r="G700" s="698" t="s">
        <v>1</v>
      </c>
      <c r="H700" s="1103" t="s">
        <v>1</v>
      </c>
      <c r="I700" s="703" t="s">
        <v>1</v>
      </c>
      <c r="J700" s="687" t="s">
        <v>1</v>
      </c>
      <c r="K700" s="1126" t="s">
        <v>1</v>
      </c>
      <c r="L700" s="697" t="s">
        <v>1</v>
      </c>
    </row>
    <row r="701" spans="1:12" ht="15.75" x14ac:dyDescent="0.25">
      <c r="A701" s="1099" t="s">
        <v>1</v>
      </c>
      <c r="B701" s="1103" t="s">
        <v>1</v>
      </c>
      <c r="C701" s="703" t="s">
        <v>1</v>
      </c>
      <c r="D701" s="681" t="s">
        <v>1</v>
      </c>
      <c r="E701" s="1126" t="s">
        <v>1</v>
      </c>
      <c r="F701" s="697" t="s">
        <v>1</v>
      </c>
      <c r="G701" s="698" t="s">
        <v>1</v>
      </c>
      <c r="H701" s="1103" t="s">
        <v>1</v>
      </c>
      <c r="I701" s="703" t="s">
        <v>1</v>
      </c>
      <c r="J701" s="685" t="s">
        <v>1</v>
      </c>
      <c r="K701" s="1126" t="s">
        <v>1</v>
      </c>
      <c r="L701" s="1115" t="s">
        <v>1</v>
      </c>
    </row>
    <row r="702" spans="1:12" ht="15.75" x14ac:dyDescent="0.25">
      <c r="A702" s="1099" t="s">
        <v>725</v>
      </c>
      <c r="B702" s="1103" t="s">
        <v>1</v>
      </c>
      <c r="C702" s="703" t="s">
        <v>1</v>
      </c>
      <c r="D702" s="685" t="s">
        <v>728</v>
      </c>
      <c r="E702" s="1127">
        <v>0.87152777777777779</v>
      </c>
      <c r="F702" s="1118" t="s">
        <v>1</v>
      </c>
      <c r="G702" s="698" t="s">
        <v>1</v>
      </c>
      <c r="H702" s="1103" t="s">
        <v>1</v>
      </c>
      <c r="I702" s="703" t="s">
        <v>1</v>
      </c>
      <c r="J702" s="681" t="s">
        <v>1</v>
      </c>
      <c r="K702" s="1126" t="s">
        <v>1</v>
      </c>
      <c r="L702" s="697" t="s">
        <v>1</v>
      </c>
    </row>
    <row r="703" spans="1:12" ht="15.75" x14ac:dyDescent="0.25">
      <c r="A703" s="1099" t="s">
        <v>1</v>
      </c>
      <c r="B703" s="1103" t="s">
        <v>1</v>
      </c>
      <c r="C703" s="703" t="s">
        <v>1</v>
      </c>
      <c r="D703" s="681" t="s">
        <v>733</v>
      </c>
      <c r="E703" s="1127">
        <v>0.89236111111111116</v>
      </c>
      <c r="F703" s="697" t="s">
        <v>1</v>
      </c>
      <c r="G703" s="698" t="s">
        <v>1</v>
      </c>
      <c r="H703" s="1103" t="s">
        <v>1</v>
      </c>
      <c r="I703" s="703" t="s">
        <v>1</v>
      </c>
      <c r="J703" s="686" t="s">
        <v>1</v>
      </c>
      <c r="K703" s="1126" t="s">
        <v>1</v>
      </c>
      <c r="L703" s="1118" t="s">
        <v>1</v>
      </c>
    </row>
    <row r="704" spans="1:12" ht="15.75" x14ac:dyDescent="0.25">
      <c r="A704" s="1099" t="s">
        <v>1</v>
      </c>
      <c r="B704" s="1103" t="s">
        <v>276</v>
      </c>
      <c r="C704" s="703" t="s">
        <v>273</v>
      </c>
      <c r="D704" s="685" t="s">
        <v>1</v>
      </c>
      <c r="E704" s="1126" t="s">
        <v>1</v>
      </c>
      <c r="F704" s="1115" t="s">
        <v>1</v>
      </c>
      <c r="G704" s="698" t="s">
        <v>1</v>
      </c>
      <c r="H704" s="1103" t="s">
        <v>1</v>
      </c>
      <c r="I704" s="703" t="s">
        <v>1</v>
      </c>
      <c r="J704" s="690" t="s">
        <v>1</v>
      </c>
      <c r="K704" s="1126" t="s">
        <v>1</v>
      </c>
      <c r="L704" s="1119" t="s">
        <v>1</v>
      </c>
    </row>
    <row r="705" spans="1:12" ht="15.75" x14ac:dyDescent="0.25">
      <c r="A705" s="1099" t="s">
        <v>1</v>
      </c>
      <c r="B705" s="1103" t="s">
        <v>1</v>
      </c>
      <c r="C705" s="703" t="s">
        <v>1</v>
      </c>
      <c r="D705" s="681" t="s">
        <v>1</v>
      </c>
      <c r="E705" s="1126" t="s">
        <v>1</v>
      </c>
      <c r="F705" s="697" t="s">
        <v>1</v>
      </c>
      <c r="G705" s="698" t="s">
        <v>1</v>
      </c>
      <c r="H705" s="1103" t="s">
        <v>1</v>
      </c>
      <c r="I705" s="703" t="s">
        <v>1</v>
      </c>
      <c r="J705" s="681" t="s">
        <v>1</v>
      </c>
      <c r="K705" s="1126" t="s">
        <v>1</v>
      </c>
      <c r="L705" s="697" t="s">
        <v>1</v>
      </c>
    </row>
    <row r="706" spans="1:12" ht="15.75" x14ac:dyDescent="0.25">
      <c r="A706" s="1099" t="s">
        <v>1</v>
      </c>
      <c r="B706" s="1103" t="s">
        <v>1</v>
      </c>
      <c r="C706" s="703" t="s">
        <v>1</v>
      </c>
      <c r="D706" s="687" t="s">
        <v>1</v>
      </c>
      <c r="E706" s="1126" t="s">
        <v>1</v>
      </c>
      <c r="F706" s="697" t="s">
        <v>1</v>
      </c>
      <c r="G706" s="698" t="s">
        <v>1</v>
      </c>
      <c r="H706" s="1103" t="s">
        <v>1</v>
      </c>
      <c r="I706" s="703" t="s">
        <v>1</v>
      </c>
      <c r="J706" s="681" t="s">
        <v>1</v>
      </c>
      <c r="K706" s="1126" t="s">
        <v>1</v>
      </c>
      <c r="L706" s="1118" t="s">
        <v>1</v>
      </c>
    </row>
    <row r="707" spans="1:12" ht="15.75" x14ac:dyDescent="0.25">
      <c r="A707" s="1099" t="s">
        <v>1</v>
      </c>
      <c r="B707" s="1103" t="s">
        <v>1</v>
      </c>
      <c r="C707" s="703" t="s">
        <v>1</v>
      </c>
      <c r="D707" s="681" t="s">
        <v>1</v>
      </c>
      <c r="E707" s="1126" t="s">
        <v>1</v>
      </c>
      <c r="F707" s="697" t="s">
        <v>1</v>
      </c>
      <c r="G707" s="698" t="s">
        <v>1</v>
      </c>
      <c r="H707" s="1103" t="s">
        <v>1</v>
      </c>
      <c r="I707" s="703" t="s">
        <v>1</v>
      </c>
      <c r="J707" s="690" t="s">
        <v>1</v>
      </c>
      <c r="K707" s="1126" t="s">
        <v>1</v>
      </c>
      <c r="L707" s="697" t="s">
        <v>1</v>
      </c>
    </row>
    <row r="708" spans="1:12" ht="15.75" x14ac:dyDescent="0.25">
      <c r="A708" s="1099" t="s">
        <v>1</v>
      </c>
      <c r="B708" s="1103" t="s">
        <v>1</v>
      </c>
      <c r="C708" s="703" t="s">
        <v>1</v>
      </c>
      <c r="D708" s="685" t="s">
        <v>1</v>
      </c>
      <c r="E708" s="1126" t="s">
        <v>1</v>
      </c>
      <c r="F708" s="1115" t="s">
        <v>1</v>
      </c>
      <c r="G708" s="698" t="s">
        <v>1</v>
      </c>
      <c r="H708" s="1103" t="s">
        <v>1</v>
      </c>
      <c r="I708" s="703" t="s">
        <v>1</v>
      </c>
      <c r="J708" s="690" t="s">
        <v>1</v>
      </c>
      <c r="K708" s="1126" t="s">
        <v>1</v>
      </c>
      <c r="L708" s="1119" t="s">
        <v>1</v>
      </c>
    </row>
    <row r="709" spans="1:12" ht="15.75" x14ac:dyDescent="0.25">
      <c r="A709" s="1099" t="s">
        <v>1</v>
      </c>
      <c r="B709" s="1103" t="s">
        <v>1</v>
      </c>
      <c r="C709" s="703" t="s">
        <v>1</v>
      </c>
      <c r="D709" s="681" t="s">
        <v>1</v>
      </c>
      <c r="E709" s="1126" t="s">
        <v>1</v>
      </c>
      <c r="F709" s="697" t="s">
        <v>1</v>
      </c>
      <c r="G709" s="698" t="s">
        <v>1</v>
      </c>
      <c r="H709" s="1103" t="s">
        <v>1</v>
      </c>
      <c r="I709" s="703" t="s">
        <v>1</v>
      </c>
      <c r="J709" s="681" t="s">
        <v>1</v>
      </c>
      <c r="K709" s="1126" t="s">
        <v>1</v>
      </c>
      <c r="L709" s="697" t="s">
        <v>1</v>
      </c>
    </row>
    <row r="710" spans="1:12" ht="15.75" x14ac:dyDescent="0.25">
      <c r="A710" s="1099" t="s">
        <v>1</v>
      </c>
      <c r="B710" s="1103" t="s">
        <v>1</v>
      </c>
      <c r="C710" s="703" t="s">
        <v>1</v>
      </c>
      <c r="D710" s="686" t="s">
        <v>1</v>
      </c>
      <c r="E710" s="1126" t="s">
        <v>1</v>
      </c>
      <c r="F710" s="1118" t="s">
        <v>1</v>
      </c>
      <c r="G710" s="698" t="s">
        <v>1</v>
      </c>
      <c r="H710" s="1103" t="s">
        <v>1</v>
      </c>
      <c r="I710" s="703" t="s">
        <v>1</v>
      </c>
      <c r="J710" s="686" t="s">
        <v>1</v>
      </c>
      <c r="K710" s="1126" t="s">
        <v>1</v>
      </c>
      <c r="L710" s="1118" t="s">
        <v>1</v>
      </c>
    </row>
    <row r="711" spans="1:12" ht="15.75" x14ac:dyDescent="0.25">
      <c r="A711" s="1099" t="s">
        <v>1</v>
      </c>
      <c r="B711" s="1103" t="s">
        <v>1</v>
      </c>
      <c r="C711" s="703" t="s">
        <v>1</v>
      </c>
      <c r="D711" s="687" t="s">
        <v>1</v>
      </c>
      <c r="E711" s="1126" t="s">
        <v>1</v>
      </c>
      <c r="F711" s="697" t="s">
        <v>1</v>
      </c>
      <c r="G711" s="698" t="s">
        <v>1</v>
      </c>
      <c r="H711" s="1103" t="s">
        <v>1</v>
      </c>
      <c r="I711" s="703" t="s">
        <v>1</v>
      </c>
      <c r="J711" s="687" t="s">
        <v>1</v>
      </c>
      <c r="K711" s="1126" t="s">
        <v>1</v>
      </c>
      <c r="L711" s="697" t="s">
        <v>1</v>
      </c>
    </row>
    <row r="712" spans="1:12" ht="15.75" x14ac:dyDescent="0.25">
      <c r="A712" s="1099" t="s">
        <v>1</v>
      </c>
      <c r="B712" s="1103" t="s">
        <v>1</v>
      </c>
      <c r="C712" s="703" t="s">
        <v>1</v>
      </c>
      <c r="D712" s="685" t="s">
        <v>1</v>
      </c>
      <c r="E712" s="1126" t="s">
        <v>1</v>
      </c>
      <c r="F712" s="1115" t="s">
        <v>1</v>
      </c>
      <c r="G712" s="698" t="s">
        <v>1</v>
      </c>
      <c r="H712" s="1103" t="s">
        <v>1</v>
      </c>
      <c r="I712" s="703" t="s">
        <v>1</v>
      </c>
      <c r="J712" s="681" t="s">
        <v>1</v>
      </c>
      <c r="K712" s="1126" t="s">
        <v>1</v>
      </c>
      <c r="L712" s="1119" t="s">
        <v>1</v>
      </c>
    </row>
    <row r="713" spans="1:12" ht="15.75" x14ac:dyDescent="0.25">
      <c r="A713" s="1099" t="s">
        <v>1</v>
      </c>
      <c r="B713" s="1103" t="s">
        <v>1</v>
      </c>
      <c r="C713" s="703" t="s">
        <v>1</v>
      </c>
      <c r="D713" s="681" t="s">
        <v>1</v>
      </c>
      <c r="E713" s="1126" t="s">
        <v>1</v>
      </c>
      <c r="F713" s="697" t="s">
        <v>1</v>
      </c>
      <c r="G713" s="698" t="s">
        <v>1</v>
      </c>
      <c r="H713" s="1103" t="s">
        <v>1</v>
      </c>
      <c r="I713" s="703" t="s">
        <v>1</v>
      </c>
      <c r="J713" s="681" t="s">
        <v>1</v>
      </c>
      <c r="K713" s="1126" t="s">
        <v>1</v>
      </c>
      <c r="L713" s="697" t="s">
        <v>1</v>
      </c>
    </row>
    <row r="714" spans="1:12" ht="15.75" x14ac:dyDescent="0.25">
      <c r="A714" s="1099" t="s">
        <v>1</v>
      </c>
      <c r="B714" s="1103" t="s">
        <v>1</v>
      </c>
      <c r="C714" s="703" t="s">
        <v>1</v>
      </c>
      <c r="D714" s="681" t="s">
        <v>1</v>
      </c>
      <c r="E714" s="1126" t="s">
        <v>1</v>
      </c>
      <c r="F714" s="697" t="s">
        <v>1</v>
      </c>
      <c r="G714" s="698" t="s">
        <v>1</v>
      </c>
      <c r="H714" s="1103" t="s">
        <v>1</v>
      </c>
      <c r="I714" s="703" t="s">
        <v>1</v>
      </c>
      <c r="J714" s="681" t="s">
        <v>1</v>
      </c>
      <c r="K714" s="1126" t="s">
        <v>1</v>
      </c>
      <c r="L714" s="1118" t="s">
        <v>1</v>
      </c>
    </row>
    <row r="715" spans="1:12" ht="15.75" x14ac:dyDescent="0.25">
      <c r="A715" s="1099" t="s">
        <v>1</v>
      </c>
      <c r="B715" s="1103" t="s">
        <v>1</v>
      </c>
      <c r="C715" s="703" t="s">
        <v>1</v>
      </c>
      <c r="D715" s="687" t="s">
        <v>1</v>
      </c>
      <c r="E715" s="1126" t="s">
        <v>1</v>
      </c>
      <c r="F715" s="697" t="s">
        <v>1</v>
      </c>
      <c r="G715" s="698" t="s">
        <v>1</v>
      </c>
      <c r="H715" s="1103" t="s">
        <v>1</v>
      </c>
      <c r="I715" s="703" t="s">
        <v>1</v>
      </c>
      <c r="J715" s="687" t="s">
        <v>1</v>
      </c>
      <c r="K715" s="1126" t="s">
        <v>1</v>
      </c>
      <c r="L715" s="697" t="s">
        <v>1</v>
      </c>
    </row>
    <row r="716" spans="1:12" ht="15.75" x14ac:dyDescent="0.25">
      <c r="A716" s="1099" t="s">
        <v>1</v>
      </c>
      <c r="B716" s="1103" t="s">
        <v>1</v>
      </c>
      <c r="C716" s="703" t="s">
        <v>1</v>
      </c>
      <c r="D716" s="690" t="s">
        <v>1</v>
      </c>
      <c r="E716" s="1126" t="s">
        <v>1</v>
      </c>
      <c r="F716" s="1119" t="s">
        <v>1</v>
      </c>
      <c r="G716" s="698" t="s">
        <v>1</v>
      </c>
      <c r="H716" s="1103" t="s">
        <v>1</v>
      </c>
      <c r="I716" s="703" t="s">
        <v>1</v>
      </c>
      <c r="J716" s="681" t="s">
        <v>1</v>
      </c>
      <c r="K716" s="1126" t="s">
        <v>1</v>
      </c>
      <c r="L716" s="1119" t="s">
        <v>1</v>
      </c>
    </row>
    <row r="717" spans="1:12" ht="15.75" x14ac:dyDescent="0.25">
      <c r="A717" s="1099" t="s">
        <v>1</v>
      </c>
      <c r="B717" s="1103" t="s">
        <v>1</v>
      </c>
      <c r="C717" s="703" t="s">
        <v>1</v>
      </c>
      <c r="D717" s="687" t="s">
        <v>1</v>
      </c>
      <c r="E717" s="1126" t="s">
        <v>1</v>
      </c>
      <c r="F717" s="697" t="s">
        <v>1</v>
      </c>
      <c r="G717" s="698" t="s">
        <v>1</v>
      </c>
      <c r="H717" s="1103" t="s">
        <v>1</v>
      </c>
      <c r="I717" s="703" t="s">
        <v>1</v>
      </c>
      <c r="J717" s="687" t="s">
        <v>1</v>
      </c>
      <c r="K717" s="1126" t="s">
        <v>1</v>
      </c>
      <c r="L717" s="697" t="s">
        <v>1</v>
      </c>
    </row>
    <row r="718" spans="1:12" ht="15.75" x14ac:dyDescent="0.25">
      <c r="A718" s="1099" t="s">
        <v>1</v>
      </c>
      <c r="B718" s="1103" t="s">
        <v>1</v>
      </c>
      <c r="C718" s="703" t="s">
        <v>1</v>
      </c>
      <c r="D718" s="681" t="s">
        <v>1</v>
      </c>
      <c r="E718" s="1126" t="s">
        <v>1</v>
      </c>
      <c r="F718" s="697" t="s">
        <v>1</v>
      </c>
      <c r="G718" s="698" t="s">
        <v>1</v>
      </c>
      <c r="H718" s="1103" t="s">
        <v>1</v>
      </c>
      <c r="I718" s="703" t="s">
        <v>1</v>
      </c>
      <c r="J718" s="681" t="s">
        <v>1</v>
      </c>
      <c r="K718" s="1126" t="s">
        <v>1</v>
      </c>
      <c r="L718" s="697" t="s">
        <v>1</v>
      </c>
    </row>
    <row r="719" spans="1:12" ht="15.75" x14ac:dyDescent="0.25">
      <c r="A719" s="1099" t="s">
        <v>1</v>
      </c>
      <c r="B719" s="1103" t="s">
        <v>1</v>
      </c>
      <c r="C719" s="703" t="s">
        <v>1</v>
      </c>
      <c r="D719" s="687" t="s">
        <v>1</v>
      </c>
      <c r="E719" s="1126" t="s">
        <v>1</v>
      </c>
      <c r="F719" s="697" t="s">
        <v>1</v>
      </c>
      <c r="G719" s="697" t="s">
        <v>1</v>
      </c>
      <c r="H719" s="703" t="s">
        <v>1</v>
      </c>
      <c r="I719" s="703" t="s">
        <v>1</v>
      </c>
      <c r="J719" s="681" t="s">
        <v>1</v>
      </c>
      <c r="K719" s="1126" t="s">
        <v>1</v>
      </c>
      <c r="L719" s="697" t="s">
        <v>1</v>
      </c>
    </row>
    <row r="720" spans="1:12" ht="16.5" thickBot="1" x14ac:dyDescent="0.3">
      <c r="A720" s="1102" t="s">
        <v>1</v>
      </c>
      <c r="B720" s="1106" t="s">
        <v>1</v>
      </c>
      <c r="C720" s="570" t="s">
        <v>1</v>
      </c>
      <c r="D720" s="605" t="s">
        <v>1</v>
      </c>
      <c r="E720" s="1133" t="s">
        <v>1</v>
      </c>
      <c r="F720" s="1120" t="s">
        <v>1</v>
      </c>
      <c r="G720" s="700" t="s">
        <v>1</v>
      </c>
      <c r="H720" s="1108" t="s">
        <v>1</v>
      </c>
      <c r="I720" s="1108" t="s">
        <v>1</v>
      </c>
      <c r="J720" s="692" t="s">
        <v>1</v>
      </c>
      <c r="K720" s="1139" t="s">
        <v>1</v>
      </c>
      <c r="L720" s="700" t="s">
        <v>1</v>
      </c>
    </row>
    <row r="721" spans="1:12" ht="23.25" customHeight="1" x14ac:dyDescent="0.35">
      <c r="A721" s="1237" t="s">
        <v>712</v>
      </c>
      <c r="B721" s="1238"/>
      <c r="C721" s="1238"/>
      <c r="D721" s="1238"/>
      <c r="E721" s="1238"/>
      <c r="F721" s="1238"/>
      <c r="G721" s="1238"/>
      <c r="H721" s="1238"/>
      <c r="I721" s="1238"/>
      <c r="J721" s="1238"/>
      <c r="K721" s="1238"/>
      <c r="L721" s="1239"/>
    </row>
    <row r="722" spans="1:12" ht="23.25" customHeight="1" thickBot="1" x14ac:dyDescent="0.4">
      <c r="A722" s="1240" t="s">
        <v>713</v>
      </c>
      <c r="B722" s="1241"/>
      <c r="C722" s="1241"/>
      <c r="D722" s="1241"/>
      <c r="E722" s="1241"/>
      <c r="F722" s="1241"/>
      <c r="G722" s="1241"/>
      <c r="H722" s="1241"/>
      <c r="I722" s="1241"/>
      <c r="J722" s="1241"/>
      <c r="K722" s="1241"/>
      <c r="L722" s="1242"/>
    </row>
    <row r="723" spans="1:12" ht="23.25" customHeight="1" thickBot="1" x14ac:dyDescent="0.4">
      <c r="A723" s="1243" t="s">
        <v>714</v>
      </c>
      <c r="B723" s="1244"/>
      <c r="C723" s="1244"/>
      <c r="D723" s="1244"/>
      <c r="E723" s="1244"/>
      <c r="F723" s="1244"/>
      <c r="G723" s="1244"/>
      <c r="H723" s="1244"/>
      <c r="I723" s="1244"/>
      <c r="J723" s="1244"/>
      <c r="K723" s="1244"/>
      <c r="L723" s="1245"/>
    </row>
    <row r="724" spans="1:12" ht="23.25" customHeight="1" x14ac:dyDescent="0.35">
      <c r="A724" s="619" t="s">
        <v>227</v>
      </c>
      <c r="B724" s="620"/>
      <c r="C724" s="620" t="s">
        <v>1</v>
      </c>
      <c r="D724" s="621" t="s">
        <v>716</v>
      </c>
      <c r="E724" s="1241" t="s">
        <v>403</v>
      </c>
      <c r="F724" s="1241"/>
      <c r="G724" s="1241"/>
      <c r="H724" s="1241"/>
      <c r="I724" s="1241"/>
      <c r="J724" s="556" t="s">
        <v>718</v>
      </c>
      <c r="K724" s="1241" t="s">
        <v>1</v>
      </c>
      <c r="L724" s="1242"/>
    </row>
    <row r="725" spans="1:12" ht="15.75" thickBot="1" x14ac:dyDescent="0.3">
      <c r="A725" s="560" t="s">
        <v>1</v>
      </c>
      <c r="B725" s="561" t="s">
        <v>1</v>
      </c>
      <c r="C725" s="561" t="s">
        <v>1</v>
      </c>
      <c r="D725" s="562" t="s">
        <v>1</v>
      </c>
      <c r="E725" s="561" t="s">
        <v>1</v>
      </c>
      <c r="F725" s="561" t="s">
        <v>1</v>
      </c>
      <c r="G725" s="561" t="s">
        <v>1</v>
      </c>
      <c r="H725" s="561" t="s">
        <v>1</v>
      </c>
      <c r="I725" s="1227" t="s">
        <v>1</v>
      </c>
      <c r="J725" s="1227"/>
      <c r="K725" s="561" t="s">
        <v>1</v>
      </c>
      <c r="L725" s="563" t="s">
        <v>1</v>
      </c>
    </row>
    <row r="726" spans="1:12" ht="15.75" x14ac:dyDescent="0.25">
      <c r="A726" s="564" t="s">
        <v>719</v>
      </c>
      <c r="B726" s="565" t="s">
        <v>1</v>
      </c>
      <c r="C726" s="569" t="s">
        <v>1</v>
      </c>
      <c r="D726" s="567" t="s">
        <v>720</v>
      </c>
      <c r="E726" s="699" t="s">
        <v>721</v>
      </c>
      <c r="F726" s="569" t="s">
        <v>722</v>
      </c>
      <c r="G726" s="564" t="s">
        <v>719</v>
      </c>
      <c r="H726" s="570" t="s">
        <v>1</v>
      </c>
      <c r="I726" s="1109" t="s">
        <v>1</v>
      </c>
      <c r="J726" s="572" t="s">
        <v>720</v>
      </c>
      <c r="K726" s="700" t="s">
        <v>721</v>
      </c>
      <c r="L726" s="700" t="s">
        <v>722</v>
      </c>
    </row>
    <row r="727" spans="1:12" ht="15.75" x14ac:dyDescent="0.25">
      <c r="A727" s="1099" t="s">
        <v>1</v>
      </c>
      <c r="B727" s="574" t="s">
        <v>1</v>
      </c>
      <c r="C727" s="702" t="s">
        <v>1</v>
      </c>
      <c r="D727" s="680" t="s">
        <v>1</v>
      </c>
      <c r="E727" s="1125" t="s">
        <v>1</v>
      </c>
      <c r="F727" s="1110" t="s">
        <v>1</v>
      </c>
      <c r="G727" s="697" t="s">
        <v>1</v>
      </c>
      <c r="H727" s="703" t="s">
        <v>1</v>
      </c>
      <c r="I727" s="703" t="s">
        <v>1</v>
      </c>
      <c r="J727" s="682" t="s">
        <v>1</v>
      </c>
      <c r="K727" s="1136" t="s">
        <v>1</v>
      </c>
      <c r="L727" s="1123" t="s">
        <v>1</v>
      </c>
    </row>
    <row r="728" spans="1:12" ht="15.75" x14ac:dyDescent="0.25">
      <c r="A728" s="1099" t="s">
        <v>1</v>
      </c>
      <c r="B728" s="1103" t="s">
        <v>273</v>
      </c>
      <c r="C728" s="703">
        <v>111</v>
      </c>
      <c r="D728" s="681" t="s">
        <v>902</v>
      </c>
      <c r="E728" s="1126" t="s">
        <v>1</v>
      </c>
      <c r="F728" s="1111" t="s">
        <v>1</v>
      </c>
      <c r="G728" s="698" t="s">
        <v>1</v>
      </c>
      <c r="H728" s="1103" t="s">
        <v>881</v>
      </c>
      <c r="I728" s="703">
        <v>118</v>
      </c>
      <c r="J728" s="681" t="s">
        <v>956</v>
      </c>
      <c r="K728" s="1137" t="s">
        <v>1</v>
      </c>
      <c r="L728" s="600" t="s">
        <v>1</v>
      </c>
    </row>
    <row r="729" spans="1:12" ht="15.75" x14ac:dyDescent="0.25">
      <c r="A729" s="1099" t="s">
        <v>725</v>
      </c>
      <c r="B729" s="1104" t="s">
        <v>1</v>
      </c>
      <c r="C729" s="703" t="s">
        <v>1</v>
      </c>
      <c r="D729" s="681" t="s">
        <v>726</v>
      </c>
      <c r="E729" s="1126" t="s">
        <v>1</v>
      </c>
      <c r="F729" s="1112">
        <v>0.29166666666666669</v>
      </c>
      <c r="G729" s="698">
        <v>47</v>
      </c>
      <c r="H729" s="1103" t="s">
        <v>1</v>
      </c>
      <c r="I729" s="703" t="s">
        <v>1</v>
      </c>
      <c r="J729" s="685" t="s">
        <v>237</v>
      </c>
      <c r="K729" s="1126" t="s">
        <v>1</v>
      </c>
      <c r="L729" s="1114">
        <v>0.76041666666666663</v>
      </c>
    </row>
    <row r="730" spans="1:12" ht="15.75" x14ac:dyDescent="0.25">
      <c r="A730" s="1099">
        <v>47</v>
      </c>
      <c r="B730" s="1103" t="s">
        <v>1</v>
      </c>
      <c r="C730" s="703" t="s">
        <v>1</v>
      </c>
      <c r="D730" s="686" t="s">
        <v>236</v>
      </c>
      <c r="E730" s="1126" t="s">
        <v>1</v>
      </c>
      <c r="F730" s="1113">
        <v>0.3125</v>
      </c>
      <c r="G730" s="698" t="s">
        <v>1</v>
      </c>
      <c r="H730" s="1103" t="s">
        <v>1</v>
      </c>
      <c r="I730" s="703" t="s">
        <v>1</v>
      </c>
      <c r="J730" s="681" t="s">
        <v>1</v>
      </c>
      <c r="K730" s="1126" t="s">
        <v>1</v>
      </c>
      <c r="L730" s="697" t="s">
        <v>1</v>
      </c>
    </row>
    <row r="731" spans="1:12" ht="15.75" x14ac:dyDescent="0.25">
      <c r="A731" s="1099" t="s">
        <v>1</v>
      </c>
      <c r="B731" s="1103" t="s">
        <v>1</v>
      </c>
      <c r="C731" s="703" t="s">
        <v>1</v>
      </c>
      <c r="D731" s="687" t="s">
        <v>1</v>
      </c>
      <c r="E731" s="1126" t="s">
        <v>1</v>
      </c>
      <c r="F731" s="697" t="s">
        <v>1</v>
      </c>
      <c r="G731" s="698">
        <v>47</v>
      </c>
      <c r="H731" s="1103" t="s">
        <v>1</v>
      </c>
      <c r="I731" s="703" t="s">
        <v>1</v>
      </c>
      <c r="J731" s="686" t="s">
        <v>236</v>
      </c>
      <c r="K731" s="1126" t="s">
        <v>1</v>
      </c>
      <c r="L731" s="1113">
        <v>0.8125</v>
      </c>
    </row>
    <row r="732" spans="1:12" ht="15.75" x14ac:dyDescent="0.25">
      <c r="A732" s="1099">
        <v>47</v>
      </c>
      <c r="B732" s="1103" t="s">
        <v>1</v>
      </c>
      <c r="C732" s="703" t="s">
        <v>1</v>
      </c>
      <c r="D732" s="685" t="s">
        <v>237</v>
      </c>
      <c r="E732" s="1126" t="s">
        <v>1</v>
      </c>
      <c r="F732" s="1114">
        <v>0.35416666666666669</v>
      </c>
      <c r="G732" s="698" t="s">
        <v>1</v>
      </c>
      <c r="H732" s="1103" t="s">
        <v>1</v>
      </c>
      <c r="I732" s="703" t="s">
        <v>1</v>
      </c>
      <c r="J732" s="687" t="s">
        <v>1</v>
      </c>
      <c r="K732" s="1126" t="s">
        <v>1</v>
      </c>
      <c r="L732" s="697" t="s">
        <v>1</v>
      </c>
    </row>
    <row r="733" spans="1:12" ht="15.75" x14ac:dyDescent="0.25">
      <c r="A733" s="1099" t="s">
        <v>1</v>
      </c>
      <c r="B733" s="1103" t="s">
        <v>1</v>
      </c>
      <c r="C733" s="703" t="s">
        <v>1</v>
      </c>
      <c r="D733" s="681" t="s">
        <v>1</v>
      </c>
      <c r="E733" s="1126" t="s">
        <v>1</v>
      </c>
      <c r="F733" s="697" t="s">
        <v>1</v>
      </c>
      <c r="G733" s="698" t="s">
        <v>1</v>
      </c>
      <c r="H733" s="1103" t="s">
        <v>1</v>
      </c>
      <c r="I733" s="703" t="s">
        <v>1</v>
      </c>
      <c r="J733" s="685" t="s">
        <v>237</v>
      </c>
      <c r="K733" s="1127">
        <v>0.85416666666666663</v>
      </c>
      <c r="L733" s="1115" t="s">
        <v>1</v>
      </c>
    </row>
    <row r="734" spans="1:12" ht="15.75" x14ac:dyDescent="0.25">
      <c r="A734" s="1099">
        <v>47</v>
      </c>
      <c r="B734" s="1103" t="s">
        <v>1</v>
      </c>
      <c r="C734" s="703" t="s">
        <v>1</v>
      </c>
      <c r="D734" s="686" t="s">
        <v>236</v>
      </c>
      <c r="E734" s="1126" t="s">
        <v>1</v>
      </c>
      <c r="F734" s="1113">
        <v>0.39583333333333331</v>
      </c>
      <c r="G734" s="698" t="s">
        <v>1</v>
      </c>
      <c r="H734" s="1103" t="s">
        <v>892</v>
      </c>
      <c r="I734" s="703" t="s">
        <v>273</v>
      </c>
      <c r="J734" s="681" t="s">
        <v>1</v>
      </c>
      <c r="K734" s="1126" t="s">
        <v>1</v>
      </c>
      <c r="L734" s="697" t="s">
        <v>1</v>
      </c>
    </row>
    <row r="735" spans="1:12" ht="15.75" x14ac:dyDescent="0.25">
      <c r="A735" s="1099" t="s">
        <v>1</v>
      </c>
      <c r="B735" s="1103" t="s">
        <v>1</v>
      </c>
      <c r="C735" s="703" t="s">
        <v>1</v>
      </c>
      <c r="D735" s="687" t="s">
        <v>1</v>
      </c>
      <c r="E735" s="1126" t="s">
        <v>1</v>
      </c>
      <c r="F735" s="697" t="s">
        <v>1</v>
      </c>
      <c r="G735" s="698" t="s">
        <v>1</v>
      </c>
      <c r="H735" s="1103" t="s">
        <v>1</v>
      </c>
      <c r="I735" s="703" t="s">
        <v>1</v>
      </c>
      <c r="J735" s="681" t="s">
        <v>1</v>
      </c>
      <c r="K735" s="1126" t="s">
        <v>1</v>
      </c>
      <c r="L735" s="697" t="s">
        <v>1</v>
      </c>
    </row>
    <row r="736" spans="1:12" ht="15.75" x14ac:dyDescent="0.25">
      <c r="A736" s="1099" t="s">
        <v>1</v>
      </c>
      <c r="B736" s="1103" t="s">
        <v>1</v>
      </c>
      <c r="C736" s="703" t="s">
        <v>1</v>
      </c>
      <c r="D736" s="685" t="s">
        <v>237</v>
      </c>
      <c r="E736" s="1127">
        <v>0.44791666666666669</v>
      </c>
      <c r="F736" s="1115" t="s">
        <v>1</v>
      </c>
      <c r="G736" s="698" t="s">
        <v>1</v>
      </c>
      <c r="H736" s="1103" t="s">
        <v>881</v>
      </c>
      <c r="I736" s="703">
        <v>132</v>
      </c>
      <c r="J736" s="681" t="s">
        <v>957</v>
      </c>
      <c r="K736" s="1126" t="s">
        <v>1</v>
      </c>
      <c r="L736" s="697" t="s">
        <v>1</v>
      </c>
    </row>
    <row r="737" spans="1:12" ht="15.75" x14ac:dyDescent="0.25">
      <c r="A737" s="1099" t="s">
        <v>1</v>
      </c>
      <c r="B737" s="1103" t="s">
        <v>881</v>
      </c>
      <c r="C737" s="703">
        <v>111</v>
      </c>
      <c r="D737" s="681" t="s">
        <v>1295</v>
      </c>
      <c r="E737" s="1126" t="s">
        <v>1</v>
      </c>
      <c r="F737" s="697" t="s">
        <v>1</v>
      </c>
      <c r="G737" s="698">
        <v>47</v>
      </c>
      <c r="H737" s="1103" t="s">
        <v>1</v>
      </c>
      <c r="I737" s="703" t="s">
        <v>1</v>
      </c>
      <c r="J737" s="685" t="s">
        <v>237</v>
      </c>
      <c r="K737" s="1126" t="s">
        <v>1</v>
      </c>
      <c r="L737" s="1114">
        <v>0.85416666666666663</v>
      </c>
    </row>
    <row r="738" spans="1:12" ht="15.75" x14ac:dyDescent="0.25">
      <c r="A738" s="1099" t="s">
        <v>1</v>
      </c>
      <c r="B738" s="1103" t="s">
        <v>1</v>
      </c>
      <c r="C738" s="703" t="s">
        <v>1</v>
      </c>
      <c r="D738" s="687" t="s">
        <v>1</v>
      </c>
      <c r="E738" s="1126" t="s">
        <v>1</v>
      </c>
      <c r="F738" s="697" t="s">
        <v>1</v>
      </c>
      <c r="G738" s="698" t="s">
        <v>1</v>
      </c>
      <c r="H738" s="1103" t="s">
        <v>1</v>
      </c>
      <c r="I738" s="703" t="s">
        <v>1</v>
      </c>
      <c r="J738" s="681" t="s">
        <v>1</v>
      </c>
      <c r="K738" s="1126" t="s">
        <v>1</v>
      </c>
      <c r="L738" s="697" t="s">
        <v>1</v>
      </c>
    </row>
    <row r="739" spans="1:12" ht="15.75" x14ac:dyDescent="0.25">
      <c r="A739" s="1099" t="s">
        <v>1</v>
      </c>
      <c r="B739" s="1103" t="s">
        <v>881</v>
      </c>
      <c r="C739" s="703">
        <v>109</v>
      </c>
      <c r="D739" s="681" t="s">
        <v>958</v>
      </c>
      <c r="E739" s="1126" t="s">
        <v>1</v>
      </c>
      <c r="F739" s="697" t="s">
        <v>1</v>
      </c>
      <c r="G739" s="698">
        <v>47</v>
      </c>
      <c r="H739" s="1103" t="s">
        <v>1</v>
      </c>
      <c r="I739" s="703" t="s">
        <v>1</v>
      </c>
      <c r="J739" s="686" t="s">
        <v>236</v>
      </c>
      <c r="K739" s="1126" t="s">
        <v>1</v>
      </c>
      <c r="L739" s="1113">
        <v>0.89583333333333337</v>
      </c>
    </row>
    <row r="740" spans="1:12" ht="15.75" x14ac:dyDescent="0.25">
      <c r="A740" s="1099">
        <v>47</v>
      </c>
      <c r="B740" s="1103" t="s">
        <v>1</v>
      </c>
      <c r="C740" s="703" t="s">
        <v>1</v>
      </c>
      <c r="D740" s="685" t="s">
        <v>237</v>
      </c>
      <c r="E740" s="1126" t="s">
        <v>1</v>
      </c>
      <c r="F740" s="1114">
        <v>0.44791666666666669</v>
      </c>
      <c r="G740" s="698" t="s">
        <v>1</v>
      </c>
      <c r="H740" s="1103" t="s">
        <v>1</v>
      </c>
      <c r="I740" s="703" t="s">
        <v>1</v>
      </c>
      <c r="J740" s="687" t="s">
        <v>1</v>
      </c>
      <c r="K740" s="1126" t="s">
        <v>1</v>
      </c>
      <c r="L740" s="697" t="s">
        <v>1</v>
      </c>
    </row>
    <row r="741" spans="1:12" ht="15.75" x14ac:dyDescent="0.25">
      <c r="A741" s="1099" t="s">
        <v>1</v>
      </c>
      <c r="B741" s="1103" t="s">
        <v>1</v>
      </c>
      <c r="C741" s="703" t="s">
        <v>1</v>
      </c>
      <c r="D741" s="681" t="s">
        <v>1</v>
      </c>
      <c r="E741" s="1126" t="s">
        <v>1</v>
      </c>
      <c r="F741" s="697" t="s">
        <v>1</v>
      </c>
      <c r="G741" s="698">
        <v>47</v>
      </c>
      <c r="H741" s="1103" t="s">
        <v>1</v>
      </c>
      <c r="I741" s="703" t="s">
        <v>1</v>
      </c>
      <c r="J741" s="685" t="s">
        <v>237</v>
      </c>
      <c r="K741" s="1126" t="s">
        <v>1</v>
      </c>
      <c r="L741" s="1114">
        <v>0.9375</v>
      </c>
    </row>
    <row r="742" spans="1:12" ht="15.75" x14ac:dyDescent="0.25">
      <c r="A742" s="1099">
        <v>47</v>
      </c>
      <c r="B742" s="1103" t="s">
        <v>1</v>
      </c>
      <c r="C742" s="703" t="s">
        <v>1</v>
      </c>
      <c r="D742" s="686" t="s">
        <v>236</v>
      </c>
      <c r="E742" s="1126" t="s">
        <v>1</v>
      </c>
      <c r="F742" s="1113">
        <v>0.5</v>
      </c>
      <c r="G742" s="698" t="s">
        <v>1</v>
      </c>
      <c r="H742" s="1103" t="s">
        <v>1</v>
      </c>
      <c r="I742" s="703" t="s">
        <v>1</v>
      </c>
      <c r="J742" s="681" t="s">
        <v>1</v>
      </c>
      <c r="K742" s="1126" t="s">
        <v>1</v>
      </c>
      <c r="L742" s="697" t="s">
        <v>1</v>
      </c>
    </row>
    <row r="743" spans="1:12" ht="15.75" x14ac:dyDescent="0.25">
      <c r="A743" s="1099" t="s">
        <v>1</v>
      </c>
      <c r="B743" s="1103" t="s">
        <v>1</v>
      </c>
      <c r="C743" s="703" t="s">
        <v>1</v>
      </c>
      <c r="D743" s="687" t="s">
        <v>1</v>
      </c>
      <c r="E743" s="1126" t="s">
        <v>1</v>
      </c>
      <c r="F743" s="697" t="s">
        <v>1</v>
      </c>
      <c r="G743" s="698">
        <v>47</v>
      </c>
      <c r="H743" s="1103" t="s">
        <v>1</v>
      </c>
      <c r="I743" s="703" t="s">
        <v>1</v>
      </c>
      <c r="J743" s="686" t="s">
        <v>236</v>
      </c>
      <c r="K743" s="1126" t="s">
        <v>1</v>
      </c>
      <c r="L743" s="1113">
        <v>0.97916666666666663</v>
      </c>
    </row>
    <row r="744" spans="1:12" ht="15.75" x14ac:dyDescent="0.25">
      <c r="A744" s="1099">
        <v>47</v>
      </c>
      <c r="B744" s="1103" t="s">
        <v>1</v>
      </c>
      <c r="C744" s="703" t="s">
        <v>1</v>
      </c>
      <c r="D744" s="685" t="s">
        <v>237</v>
      </c>
      <c r="E744" s="1126" t="s">
        <v>1</v>
      </c>
      <c r="F744" s="1114">
        <v>0.55208333333333337</v>
      </c>
      <c r="G744" s="698" t="s">
        <v>1</v>
      </c>
      <c r="H744" s="1103" t="s">
        <v>1</v>
      </c>
      <c r="I744" s="703" t="s">
        <v>1</v>
      </c>
      <c r="J744" s="690" t="s">
        <v>1</v>
      </c>
      <c r="K744" s="1126" t="s">
        <v>1</v>
      </c>
      <c r="L744" s="1119" t="s">
        <v>1</v>
      </c>
    </row>
    <row r="745" spans="1:12" ht="15.75" x14ac:dyDescent="0.25">
      <c r="A745" s="1099" t="s">
        <v>1</v>
      </c>
      <c r="B745" s="1103" t="s">
        <v>1</v>
      </c>
      <c r="C745" s="703" t="s">
        <v>1</v>
      </c>
      <c r="D745" s="681" t="s">
        <v>1</v>
      </c>
      <c r="E745" s="1126" t="s">
        <v>1</v>
      </c>
      <c r="F745" s="697" t="s">
        <v>1</v>
      </c>
      <c r="G745" s="698" t="s">
        <v>725</v>
      </c>
      <c r="H745" s="1103" t="s">
        <v>1</v>
      </c>
      <c r="I745" s="703" t="s">
        <v>1</v>
      </c>
      <c r="J745" s="685" t="s">
        <v>237</v>
      </c>
      <c r="K745" s="1127">
        <v>1.7361111111111112E-2</v>
      </c>
      <c r="L745" s="697" t="s">
        <v>1</v>
      </c>
    </row>
    <row r="746" spans="1:12" ht="15.75" x14ac:dyDescent="0.25">
      <c r="A746" s="1099">
        <v>47</v>
      </c>
      <c r="B746" s="1103" t="s">
        <v>1</v>
      </c>
      <c r="C746" s="703" t="s">
        <v>1</v>
      </c>
      <c r="D746" s="686" t="s">
        <v>236</v>
      </c>
      <c r="E746" s="1126" t="s">
        <v>1</v>
      </c>
      <c r="F746" s="1113">
        <v>0.60416666666666663</v>
      </c>
      <c r="G746" s="698" t="s">
        <v>1</v>
      </c>
      <c r="H746" s="1103" t="s">
        <v>1</v>
      </c>
      <c r="I746" s="703" t="s">
        <v>1</v>
      </c>
      <c r="J746" s="681" t="s">
        <v>733</v>
      </c>
      <c r="K746" s="1127">
        <v>3.8194444444444448E-2</v>
      </c>
      <c r="L746" s="1118" t="s">
        <v>1</v>
      </c>
    </row>
    <row r="747" spans="1:12" ht="15.75" x14ac:dyDescent="0.25">
      <c r="A747" s="1099" t="s">
        <v>1</v>
      </c>
      <c r="B747" s="1103" t="s">
        <v>1</v>
      </c>
      <c r="C747" s="703" t="s">
        <v>1</v>
      </c>
      <c r="D747" s="681" t="s">
        <v>1</v>
      </c>
      <c r="E747" s="1126" t="s">
        <v>1</v>
      </c>
      <c r="F747" s="697" t="s">
        <v>1</v>
      </c>
      <c r="G747" s="698" t="s">
        <v>1</v>
      </c>
      <c r="H747" s="1103" t="s">
        <v>276</v>
      </c>
      <c r="I747" s="703" t="s">
        <v>273</v>
      </c>
      <c r="J747" s="690" t="s">
        <v>1</v>
      </c>
      <c r="K747" s="1126" t="s">
        <v>1</v>
      </c>
      <c r="L747" s="697" t="s">
        <v>1</v>
      </c>
    </row>
    <row r="748" spans="1:12" ht="15.75" x14ac:dyDescent="0.25">
      <c r="A748" s="1099">
        <v>47</v>
      </c>
      <c r="B748" s="1103" t="s">
        <v>1</v>
      </c>
      <c r="C748" s="703" t="s">
        <v>1</v>
      </c>
      <c r="D748" s="685" t="s">
        <v>237</v>
      </c>
      <c r="E748" s="1127">
        <v>0.65625</v>
      </c>
      <c r="F748" s="1115" t="s">
        <v>1</v>
      </c>
      <c r="G748" s="698" t="s">
        <v>1</v>
      </c>
      <c r="H748" s="1103" t="s">
        <v>1</v>
      </c>
      <c r="I748" s="703" t="s">
        <v>1</v>
      </c>
      <c r="J748" s="690" t="s">
        <v>1</v>
      </c>
      <c r="K748" s="1126" t="s">
        <v>1</v>
      </c>
      <c r="L748" s="1119" t="s">
        <v>1</v>
      </c>
    </row>
    <row r="749" spans="1:12" ht="15.75" x14ac:dyDescent="0.25">
      <c r="A749" s="1099" t="s">
        <v>1</v>
      </c>
      <c r="B749" s="1103" t="s">
        <v>276</v>
      </c>
      <c r="C749" s="703" t="s">
        <v>273</v>
      </c>
      <c r="D749" s="681" t="s">
        <v>1</v>
      </c>
      <c r="E749" s="1126" t="s">
        <v>1</v>
      </c>
      <c r="F749" s="697" t="s">
        <v>1</v>
      </c>
      <c r="G749" s="698" t="s">
        <v>1</v>
      </c>
      <c r="H749" s="1103" t="s">
        <v>1</v>
      </c>
      <c r="I749" s="703" t="s">
        <v>1</v>
      </c>
      <c r="J749" s="681" t="s">
        <v>1</v>
      </c>
      <c r="K749" s="1126" t="s">
        <v>1</v>
      </c>
      <c r="L749" s="697" t="s">
        <v>1</v>
      </c>
    </row>
    <row r="750" spans="1:12" ht="15.75" x14ac:dyDescent="0.25">
      <c r="A750" s="1099" t="s">
        <v>1</v>
      </c>
      <c r="B750" s="1103" t="s">
        <v>1</v>
      </c>
      <c r="C750" s="703" t="s">
        <v>1</v>
      </c>
      <c r="D750" s="686" t="s">
        <v>1</v>
      </c>
      <c r="E750" s="1126" t="s">
        <v>1</v>
      </c>
      <c r="F750" s="1118" t="s">
        <v>1</v>
      </c>
      <c r="G750" s="698" t="s">
        <v>1</v>
      </c>
      <c r="H750" s="1103" t="s">
        <v>1</v>
      </c>
      <c r="I750" s="703" t="s">
        <v>1</v>
      </c>
      <c r="J750" s="686" t="s">
        <v>1</v>
      </c>
      <c r="K750" s="1126" t="s">
        <v>1</v>
      </c>
      <c r="L750" s="1118" t="s">
        <v>1</v>
      </c>
    </row>
    <row r="751" spans="1:12" ht="15.75" x14ac:dyDescent="0.25">
      <c r="A751" s="1099" t="s">
        <v>1</v>
      </c>
      <c r="B751" s="1103" t="s">
        <v>273</v>
      </c>
      <c r="C751" s="703">
        <v>153</v>
      </c>
      <c r="D751" s="681" t="s">
        <v>959</v>
      </c>
      <c r="E751" s="1126" t="s">
        <v>1</v>
      </c>
      <c r="F751" s="697" t="s">
        <v>1</v>
      </c>
      <c r="G751" s="698" t="s">
        <v>1</v>
      </c>
      <c r="H751" s="1103" t="s">
        <v>1</v>
      </c>
      <c r="I751" s="703" t="s">
        <v>1</v>
      </c>
      <c r="J751" s="687" t="s">
        <v>1</v>
      </c>
      <c r="K751" s="1126" t="s">
        <v>1</v>
      </c>
      <c r="L751" s="697" t="s">
        <v>1</v>
      </c>
    </row>
    <row r="752" spans="1:12" ht="15.75" x14ac:dyDescent="0.25">
      <c r="A752" s="1099">
        <v>47</v>
      </c>
      <c r="B752" s="1103" t="s">
        <v>1</v>
      </c>
      <c r="C752" s="703" t="s">
        <v>1</v>
      </c>
      <c r="D752" s="685" t="s">
        <v>237</v>
      </c>
      <c r="E752" s="1126" t="s">
        <v>1</v>
      </c>
      <c r="F752" s="1114">
        <v>0.65625</v>
      </c>
      <c r="G752" s="698" t="s">
        <v>1</v>
      </c>
      <c r="H752" s="1103" t="s">
        <v>1</v>
      </c>
      <c r="I752" s="703" t="s">
        <v>1</v>
      </c>
      <c r="J752" s="681" t="s">
        <v>1</v>
      </c>
      <c r="K752" s="1126" t="s">
        <v>1</v>
      </c>
      <c r="L752" s="1119" t="s">
        <v>1</v>
      </c>
    </row>
    <row r="753" spans="1:12" ht="15.75" x14ac:dyDescent="0.25">
      <c r="A753" s="1099" t="s">
        <v>1</v>
      </c>
      <c r="B753" s="1103" t="s">
        <v>1</v>
      </c>
      <c r="C753" s="703" t="s">
        <v>1</v>
      </c>
      <c r="D753" s="681" t="s">
        <v>1</v>
      </c>
      <c r="E753" s="1126" t="s">
        <v>1</v>
      </c>
      <c r="F753" s="697" t="s">
        <v>1</v>
      </c>
      <c r="G753" s="698" t="s">
        <v>1</v>
      </c>
      <c r="H753" s="1103" t="s">
        <v>1</v>
      </c>
      <c r="I753" s="703" t="s">
        <v>1</v>
      </c>
      <c r="J753" s="681" t="s">
        <v>1</v>
      </c>
      <c r="K753" s="1126" t="s">
        <v>1</v>
      </c>
      <c r="L753" s="697" t="s">
        <v>1</v>
      </c>
    </row>
    <row r="754" spans="1:12" ht="15.75" x14ac:dyDescent="0.25">
      <c r="A754" s="1099">
        <v>47</v>
      </c>
      <c r="B754" s="1103" t="s">
        <v>1</v>
      </c>
      <c r="C754" s="703" t="s">
        <v>1</v>
      </c>
      <c r="D754" s="686" t="s">
        <v>236</v>
      </c>
      <c r="E754" s="1126" t="s">
        <v>1</v>
      </c>
      <c r="F754" s="1113">
        <v>0.70833333333333337</v>
      </c>
      <c r="G754" s="698" t="s">
        <v>1</v>
      </c>
      <c r="H754" s="1103" t="s">
        <v>1</v>
      </c>
      <c r="I754" s="703" t="s">
        <v>1</v>
      </c>
      <c r="J754" s="681" t="s">
        <v>1</v>
      </c>
      <c r="K754" s="1126" t="s">
        <v>1</v>
      </c>
      <c r="L754" s="1118" t="s">
        <v>1</v>
      </c>
    </row>
    <row r="755" spans="1:12" ht="15.75" x14ac:dyDescent="0.25">
      <c r="A755" s="1099" t="s">
        <v>1</v>
      </c>
      <c r="B755" s="1103" t="s">
        <v>1</v>
      </c>
      <c r="C755" s="703" t="s">
        <v>1</v>
      </c>
      <c r="D755" s="687" t="s">
        <v>1</v>
      </c>
      <c r="E755" s="1126" t="s">
        <v>1</v>
      </c>
      <c r="F755" s="697" t="s">
        <v>1</v>
      </c>
      <c r="G755" s="698" t="s">
        <v>1</v>
      </c>
      <c r="H755" s="1103" t="s">
        <v>1</v>
      </c>
      <c r="I755" s="703" t="s">
        <v>1</v>
      </c>
      <c r="J755" s="687" t="s">
        <v>1</v>
      </c>
      <c r="K755" s="1126" t="s">
        <v>1</v>
      </c>
      <c r="L755" s="697" t="s">
        <v>1</v>
      </c>
    </row>
    <row r="756" spans="1:12" ht="15.75" x14ac:dyDescent="0.25">
      <c r="A756" s="1099" t="s">
        <v>1</v>
      </c>
      <c r="B756" s="1103" t="s">
        <v>1</v>
      </c>
      <c r="C756" s="703" t="s">
        <v>1</v>
      </c>
      <c r="D756" s="685" t="s">
        <v>237</v>
      </c>
      <c r="E756" s="1127">
        <v>0.76041666666666663</v>
      </c>
      <c r="F756" s="1119" t="s">
        <v>1</v>
      </c>
      <c r="G756" s="698" t="s">
        <v>1</v>
      </c>
      <c r="H756" s="1103" t="s">
        <v>1</v>
      </c>
      <c r="I756" s="703" t="s">
        <v>1</v>
      </c>
      <c r="J756" s="681" t="s">
        <v>1</v>
      </c>
      <c r="K756" s="1126" t="s">
        <v>1</v>
      </c>
      <c r="L756" s="1119" t="s">
        <v>1</v>
      </c>
    </row>
    <row r="757" spans="1:12" ht="15.75" x14ac:dyDescent="0.25">
      <c r="A757" s="1099" t="s">
        <v>1</v>
      </c>
      <c r="B757" s="1103" t="s">
        <v>892</v>
      </c>
      <c r="C757" s="703" t="s">
        <v>273</v>
      </c>
      <c r="D757" s="687" t="s">
        <v>1</v>
      </c>
      <c r="E757" s="1126" t="s">
        <v>1</v>
      </c>
      <c r="F757" s="697" t="s">
        <v>1</v>
      </c>
      <c r="G757" s="698" t="s">
        <v>1</v>
      </c>
      <c r="H757" s="1103" t="s">
        <v>1</v>
      </c>
      <c r="I757" s="703" t="s">
        <v>1</v>
      </c>
      <c r="J757" s="687" t="s">
        <v>1</v>
      </c>
      <c r="K757" s="1126" t="s">
        <v>1</v>
      </c>
      <c r="L757" s="697" t="s">
        <v>1</v>
      </c>
    </row>
    <row r="758" spans="1:12" ht="15.75" x14ac:dyDescent="0.25">
      <c r="A758" s="1099" t="s">
        <v>1</v>
      </c>
      <c r="B758" s="1103" t="s">
        <v>1</v>
      </c>
      <c r="C758" s="703" t="s">
        <v>1</v>
      </c>
      <c r="D758" s="681" t="s">
        <v>1</v>
      </c>
      <c r="E758" s="1126" t="s">
        <v>1</v>
      </c>
      <c r="F758" s="697" t="s">
        <v>1</v>
      </c>
      <c r="G758" s="698" t="s">
        <v>1</v>
      </c>
      <c r="H758" s="1103" t="s">
        <v>1</v>
      </c>
      <c r="I758" s="703" t="s">
        <v>1</v>
      </c>
      <c r="J758" s="681" t="s">
        <v>1</v>
      </c>
      <c r="K758" s="1126" t="s">
        <v>1</v>
      </c>
      <c r="L758" s="697" t="s">
        <v>1</v>
      </c>
    </row>
    <row r="759" spans="1:12" ht="15.75" x14ac:dyDescent="0.25">
      <c r="A759" s="1099" t="s">
        <v>1</v>
      </c>
      <c r="B759" s="1103" t="s">
        <v>1</v>
      </c>
      <c r="C759" s="703" t="s">
        <v>1</v>
      </c>
      <c r="D759" s="687" t="s">
        <v>1</v>
      </c>
      <c r="E759" s="1126" t="s">
        <v>1</v>
      </c>
      <c r="F759" s="697" t="s">
        <v>1</v>
      </c>
      <c r="G759" s="697" t="s">
        <v>1</v>
      </c>
      <c r="H759" s="703" t="s">
        <v>1</v>
      </c>
      <c r="I759" s="703" t="s">
        <v>1</v>
      </c>
      <c r="J759" s="681" t="s">
        <v>1</v>
      </c>
      <c r="K759" s="1126" t="s">
        <v>1</v>
      </c>
      <c r="L759" s="697" t="s">
        <v>1</v>
      </c>
    </row>
    <row r="760" spans="1:12" ht="16.5" thickBot="1" x14ac:dyDescent="0.3">
      <c r="A760" s="1102" t="s">
        <v>1</v>
      </c>
      <c r="B760" s="1106" t="s">
        <v>1</v>
      </c>
      <c r="C760" s="570" t="s">
        <v>1</v>
      </c>
      <c r="D760" s="605" t="s">
        <v>1</v>
      </c>
      <c r="E760" s="1133" t="s">
        <v>1</v>
      </c>
      <c r="F760" s="1120" t="s">
        <v>1</v>
      </c>
      <c r="G760" s="700" t="s">
        <v>1</v>
      </c>
      <c r="H760" s="1108" t="s">
        <v>1</v>
      </c>
      <c r="I760" s="1108" t="s">
        <v>1</v>
      </c>
      <c r="J760" s="692" t="s">
        <v>1</v>
      </c>
      <c r="K760" s="1139" t="s">
        <v>1</v>
      </c>
      <c r="L760" s="700" t="s">
        <v>1</v>
      </c>
    </row>
    <row r="761" spans="1:12" ht="23.25" customHeight="1" x14ac:dyDescent="0.35">
      <c r="A761" s="1237" t="s">
        <v>712</v>
      </c>
      <c r="B761" s="1238"/>
      <c r="C761" s="1238"/>
      <c r="D761" s="1238"/>
      <c r="E761" s="1238"/>
      <c r="F761" s="1238"/>
      <c r="G761" s="1238"/>
      <c r="H761" s="1238"/>
      <c r="I761" s="1238"/>
      <c r="J761" s="1238"/>
      <c r="K761" s="1238"/>
      <c r="L761" s="1239"/>
    </row>
    <row r="762" spans="1:12" ht="23.25" customHeight="1" thickBot="1" x14ac:dyDescent="0.4">
      <c r="A762" s="1240" t="s">
        <v>713</v>
      </c>
      <c r="B762" s="1241"/>
      <c r="C762" s="1241"/>
      <c r="D762" s="1241"/>
      <c r="E762" s="1241"/>
      <c r="F762" s="1241"/>
      <c r="G762" s="1241"/>
      <c r="H762" s="1241"/>
      <c r="I762" s="1241"/>
      <c r="J762" s="1241"/>
      <c r="K762" s="1241"/>
      <c r="L762" s="1242"/>
    </row>
    <row r="763" spans="1:12" ht="23.25" customHeight="1" thickBot="1" x14ac:dyDescent="0.4">
      <c r="A763" s="1243" t="s">
        <v>714</v>
      </c>
      <c r="B763" s="1244"/>
      <c r="C763" s="1244"/>
      <c r="D763" s="1244"/>
      <c r="E763" s="1244"/>
      <c r="F763" s="1244"/>
      <c r="G763" s="1244"/>
      <c r="H763" s="1244"/>
      <c r="I763" s="1244"/>
      <c r="J763" s="1244"/>
      <c r="K763" s="1244"/>
      <c r="L763" s="1245"/>
    </row>
    <row r="764" spans="1:12" ht="23.25" customHeight="1" x14ac:dyDescent="0.35">
      <c r="A764" s="619" t="s">
        <v>227</v>
      </c>
      <c r="B764" s="620"/>
      <c r="C764" s="620"/>
      <c r="D764" s="621" t="s">
        <v>716</v>
      </c>
      <c r="E764" s="1241" t="s">
        <v>403</v>
      </c>
      <c r="F764" s="1241"/>
      <c r="G764" s="1241"/>
      <c r="H764" s="1241"/>
      <c r="I764" s="1241"/>
      <c r="J764" s="556" t="s">
        <v>735</v>
      </c>
      <c r="K764" s="1241" t="s">
        <v>1</v>
      </c>
      <c r="L764" s="1242"/>
    </row>
    <row r="765" spans="1:12" ht="15.75" thickBot="1" x14ac:dyDescent="0.3">
      <c r="A765" s="560" t="s">
        <v>1</v>
      </c>
      <c r="B765" s="561" t="s">
        <v>1</v>
      </c>
      <c r="C765" s="561" t="s">
        <v>1</v>
      </c>
      <c r="D765" s="562" t="s">
        <v>1</v>
      </c>
      <c r="E765" s="561" t="s">
        <v>1</v>
      </c>
      <c r="F765" s="561" t="s">
        <v>1</v>
      </c>
      <c r="G765" s="561" t="s">
        <v>1</v>
      </c>
      <c r="H765" s="561" t="s">
        <v>1</v>
      </c>
      <c r="I765" s="1227" t="s">
        <v>1</v>
      </c>
      <c r="J765" s="1227"/>
      <c r="K765" s="561" t="s">
        <v>1</v>
      </c>
      <c r="L765" s="563" t="s">
        <v>1</v>
      </c>
    </row>
    <row r="766" spans="1:12" ht="15.75" x14ac:dyDescent="0.25">
      <c r="A766" s="564" t="s">
        <v>719</v>
      </c>
      <c r="B766" s="565" t="s">
        <v>1</v>
      </c>
      <c r="C766" s="569" t="s">
        <v>1</v>
      </c>
      <c r="D766" s="567" t="s">
        <v>720</v>
      </c>
      <c r="E766" s="699" t="s">
        <v>721</v>
      </c>
      <c r="F766" s="569" t="s">
        <v>722</v>
      </c>
      <c r="G766" s="564" t="s">
        <v>719</v>
      </c>
      <c r="H766" s="570" t="s">
        <v>1</v>
      </c>
      <c r="I766" s="1109" t="s">
        <v>1</v>
      </c>
      <c r="J766" s="572" t="s">
        <v>720</v>
      </c>
      <c r="K766" s="700" t="s">
        <v>721</v>
      </c>
      <c r="L766" s="700" t="s">
        <v>722</v>
      </c>
    </row>
    <row r="767" spans="1:12" ht="15.75" x14ac:dyDescent="0.25">
      <c r="A767" s="1099" t="s">
        <v>1</v>
      </c>
      <c r="B767" s="574" t="s">
        <v>1</v>
      </c>
      <c r="C767" s="702" t="s">
        <v>1</v>
      </c>
      <c r="D767" s="680" t="s">
        <v>1</v>
      </c>
      <c r="E767" s="1125" t="s">
        <v>1</v>
      </c>
      <c r="F767" s="1110" t="s">
        <v>1</v>
      </c>
      <c r="G767" s="697" t="s">
        <v>1</v>
      </c>
      <c r="H767" s="703" t="s">
        <v>1</v>
      </c>
      <c r="I767" s="703" t="s">
        <v>1</v>
      </c>
      <c r="J767" s="682" t="s">
        <v>1</v>
      </c>
      <c r="K767" s="1136" t="s">
        <v>1</v>
      </c>
      <c r="L767" s="1123" t="s">
        <v>1</v>
      </c>
    </row>
    <row r="768" spans="1:12" ht="15.75" x14ac:dyDescent="0.25">
      <c r="A768" s="1099" t="s">
        <v>1</v>
      </c>
      <c r="B768" s="1103" t="s">
        <v>881</v>
      </c>
      <c r="C768" s="703">
        <v>112</v>
      </c>
      <c r="D768" s="681" t="s">
        <v>902</v>
      </c>
      <c r="E768" s="1126" t="s">
        <v>1</v>
      </c>
      <c r="F768" s="1111" t="s">
        <v>1</v>
      </c>
      <c r="G768" s="698" t="s">
        <v>1</v>
      </c>
      <c r="H768" s="1103" t="s">
        <v>881</v>
      </c>
      <c r="I768" s="703">
        <v>132</v>
      </c>
      <c r="J768" s="681" t="s">
        <v>960</v>
      </c>
      <c r="K768" s="1137" t="s">
        <v>1</v>
      </c>
      <c r="L768" s="600" t="s">
        <v>1</v>
      </c>
    </row>
    <row r="769" spans="1:12" ht="15.75" x14ac:dyDescent="0.25">
      <c r="A769" s="1099" t="s">
        <v>1</v>
      </c>
      <c r="B769" s="1104" t="s">
        <v>1</v>
      </c>
      <c r="C769" s="703" t="s">
        <v>1</v>
      </c>
      <c r="D769" s="681" t="s">
        <v>726</v>
      </c>
      <c r="E769" s="1126" t="s">
        <v>1</v>
      </c>
      <c r="F769" s="1112">
        <v>0.29166666666666669</v>
      </c>
      <c r="G769" s="698">
        <v>47</v>
      </c>
      <c r="H769" s="1103" t="s">
        <v>1</v>
      </c>
      <c r="I769" s="703" t="s">
        <v>1</v>
      </c>
      <c r="J769" s="685" t="s">
        <v>237</v>
      </c>
      <c r="K769" s="1126" t="s">
        <v>1</v>
      </c>
      <c r="L769" s="1114">
        <v>0.70833333333333337</v>
      </c>
    </row>
    <row r="770" spans="1:12" ht="15.75" x14ac:dyDescent="0.25">
      <c r="A770" s="1099">
        <v>47</v>
      </c>
      <c r="B770" s="1103" t="s">
        <v>1</v>
      </c>
      <c r="C770" s="703" t="s">
        <v>1</v>
      </c>
      <c r="D770" s="685" t="s">
        <v>237</v>
      </c>
      <c r="E770" s="1126" t="s">
        <v>1</v>
      </c>
      <c r="F770" s="1114">
        <v>0.3125</v>
      </c>
      <c r="G770" s="698" t="s">
        <v>1</v>
      </c>
      <c r="H770" s="1103" t="s">
        <v>1</v>
      </c>
      <c r="I770" s="703" t="s">
        <v>1</v>
      </c>
      <c r="J770" s="681" t="s">
        <v>1</v>
      </c>
      <c r="K770" s="1126" t="s">
        <v>1</v>
      </c>
      <c r="L770" s="697" t="s">
        <v>1</v>
      </c>
    </row>
    <row r="771" spans="1:12" ht="15.75" x14ac:dyDescent="0.25">
      <c r="A771" s="1099" t="s">
        <v>1</v>
      </c>
      <c r="B771" s="1103" t="s">
        <v>1</v>
      </c>
      <c r="C771" s="703" t="s">
        <v>1</v>
      </c>
      <c r="D771" s="687" t="s">
        <v>1</v>
      </c>
      <c r="E771" s="1126" t="s">
        <v>1</v>
      </c>
      <c r="F771" s="697" t="s">
        <v>1</v>
      </c>
      <c r="G771" s="698">
        <v>47</v>
      </c>
      <c r="H771" s="1103" t="s">
        <v>1</v>
      </c>
      <c r="I771" s="703" t="s">
        <v>1</v>
      </c>
      <c r="J771" s="686" t="s">
        <v>236</v>
      </c>
      <c r="K771" s="1126" t="s">
        <v>1</v>
      </c>
      <c r="L771" s="1113">
        <v>0.76041666666666663</v>
      </c>
    </row>
    <row r="772" spans="1:12" ht="15.75" x14ac:dyDescent="0.25">
      <c r="A772" s="1099">
        <v>47</v>
      </c>
      <c r="B772" s="1103" t="s">
        <v>1</v>
      </c>
      <c r="C772" s="703" t="s">
        <v>1</v>
      </c>
      <c r="D772" s="686" t="s">
        <v>236</v>
      </c>
      <c r="E772" s="1126" t="s">
        <v>1</v>
      </c>
      <c r="F772" s="1113">
        <v>0.35416666666666669</v>
      </c>
      <c r="G772" s="698" t="s">
        <v>1</v>
      </c>
      <c r="H772" s="1103" t="s">
        <v>1</v>
      </c>
      <c r="I772" s="703" t="s">
        <v>1</v>
      </c>
      <c r="J772" s="687" t="s">
        <v>1</v>
      </c>
      <c r="K772" s="1126" t="s">
        <v>1</v>
      </c>
      <c r="L772" s="697" t="s">
        <v>1</v>
      </c>
    </row>
    <row r="773" spans="1:12" ht="15.75" x14ac:dyDescent="0.25">
      <c r="A773" s="1099" t="s">
        <v>1</v>
      </c>
      <c r="B773" s="1103" t="s">
        <v>1</v>
      </c>
      <c r="C773" s="703" t="s">
        <v>1</v>
      </c>
      <c r="D773" s="681" t="s">
        <v>1</v>
      </c>
      <c r="E773" s="1126" t="s">
        <v>1</v>
      </c>
      <c r="F773" s="697" t="s">
        <v>1</v>
      </c>
      <c r="G773" s="698" t="s">
        <v>1</v>
      </c>
      <c r="H773" s="1103" t="s">
        <v>1</v>
      </c>
      <c r="I773" s="703" t="s">
        <v>1</v>
      </c>
      <c r="J773" s="685" t="s">
        <v>237</v>
      </c>
      <c r="K773" s="1127">
        <v>0.8125</v>
      </c>
      <c r="L773" s="1115" t="s">
        <v>1</v>
      </c>
    </row>
    <row r="774" spans="1:12" ht="15.75" x14ac:dyDescent="0.25">
      <c r="A774" s="1099" t="s">
        <v>1</v>
      </c>
      <c r="B774" s="1103" t="s">
        <v>1</v>
      </c>
      <c r="C774" s="703" t="s">
        <v>1</v>
      </c>
      <c r="D774" s="685" t="s">
        <v>237</v>
      </c>
      <c r="E774" s="1127">
        <v>0.39583333333333331</v>
      </c>
      <c r="F774" s="1118" t="s">
        <v>1</v>
      </c>
      <c r="G774" s="698" t="s">
        <v>1</v>
      </c>
      <c r="H774" s="1103" t="s">
        <v>881</v>
      </c>
      <c r="I774" s="703">
        <v>132</v>
      </c>
      <c r="J774" s="681" t="s">
        <v>1297</v>
      </c>
      <c r="K774" s="1126" t="s">
        <v>961</v>
      </c>
      <c r="L774" s="697" t="s">
        <v>1</v>
      </c>
    </row>
    <row r="775" spans="1:12" ht="15.75" x14ac:dyDescent="0.25">
      <c r="A775" s="1099" t="s">
        <v>1</v>
      </c>
      <c r="B775" s="1103" t="s">
        <v>881</v>
      </c>
      <c r="C775" s="703">
        <v>112</v>
      </c>
      <c r="D775" s="681" t="s">
        <v>1296</v>
      </c>
      <c r="E775" s="1126" t="s">
        <v>1</v>
      </c>
      <c r="F775" s="697" t="s">
        <v>1</v>
      </c>
      <c r="G775" s="698" t="s">
        <v>1</v>
      </c>
      <c r="H775" s="1103" t="s">
        <v>1</v>
      </c>
      <c r="I775" s="703" t="s">
        <v>1</v>
      </c>
      <c r="J775" s="681" t="s">
        <v>1</v>
      </c>
      <c r="K775" s="1126" t="s">
        <v>1</v>
      </c>
      <c r="L775" s="697" t="s">
        <v>1</v>
      </c>
    </row>
    <row r="776" spans="1:12" ht="15.75" x14ac:dyDescent="0.25">
      <c r="A776" s="1099" t="s">
        <v>1</v>
      </c>
      <c r="B776" s="1103" t="s">
        <v>1</v>
      </c>
      <c r="C776" s="703" t="s">
        <v>1</v>
      </c>
      <c r="D776" s="685" t="s">
        <v>1</v>
      </c>
      <c r="E776" s="1126" t="s">
        <v>1</v>
      </c>
      <c r="F776" s="1115" t="s">
        <v>1</v>
      </c>
      <c r="G776" s="698" t="s">
        <v>1</v>
      </c>
      <c r="H776" s="1103" t="s">
        <v>881</v>
      </c>
      <c r="I776" s="703">
        <v>125</v>
      </c>
      <c r="J776" s="681" t="s">
        <v>962</v>
      </c>
      <c r="K776" s="1126" t="s">
        <v>1</v>
      </c>
      <c r="L776" s="697" t="s">
        <v>1</v>
      </c>
    </row>
    <row r="777" spans="1:12" ht="15.75" x14ac:dyDescent="0.25">
      <c r="A777" s="1099" t="s">
        <v>1</v>
      </c>
      <c r="B777" s="1103" t="s">
        <v>273</v>
      </c>
      <c r="C777" s="703">
        <v>153</v>
      </c>
      <c r="D777" s="681" t="s">
        <v>963</v>
      </c>
      <c r="E777" s="1126" t="s">
        <v>1</v>
      </c>
      <c r="F777" s="697" t="s">
        <v>1</v>
      </c>
      <c r="G777" s="698">
        <v>47</v>
      </c>
      <c r="H777" s="1103" t="s">
        <v>1</v>
      </c>
      <c r="I777" s="703" t="s">
        <v>1</v>
      </c>
      <c r="J777" s="685" t="s">
        <v>237</v>
      </c>
      <c r="K777" s="1126" t="s">
        <v>1</v>
      </c>
      <c r="L777" s="1114">
        <v>0.8125</v>
      </c>
    </row>
    <row r="778" spans="1:12" ht="15.75" x14ac:dyDescent="0.25">
      <c r="A778" s="1099">
        <v>47</v>
      </c>
      <c r="B778" s="1103" t="s">
        <v>1</v>
      </c>
      <c r="C778" s="703" t="s">
        <v>1</v>
      </c>
      <c r="D778" s="685" t="s">
        <v>237</v>
      </c>
      <c r="E778" s="1126" t="s">
        <v>1</v>
      </c>
      <c r="F778" s="1114">
        <v>0.39583333333333331</v>
      </c>
      <c r="G778" s="698" t="s">
        <v>1</v>
      </c>
      <c r="H778" s="1103" t="s">
        <v>1</v>
      </c>
      <c r="I778" s="703" t="s">
        <v>1</v>
      </c>
      <c r="J778" s="681" t="s">
        <v>1</v>
      </c>
      <c r="K778" s="1126" t="s">
        <v>1</v>
      </c>
      <c r="L778" s="697" t="s">
        <v>1</v>
      </c>
    </row>
    <row r="779" spans="1:12" ht="15.75" x14ac:dyDescent="0.25">
      <c r="A779" s="1099" t="s">
        <v>1</v>
      </c>
      <c r="B779" s="1103" t="s">
        <v>1</v>
      </c>
      <c r="C779" s="703" t="s">
        <v>1</v>
      </c>
      <c r="D779" s="681" t="s">
        <v>1</v>
      </c>
      <c r="E779" s="1126" t="s">
        <v>1</v>
      </c>
      <c r="F779" s="697" t="s">
        <v>1</v>
      </c>
      <c r="G779" s="698" t="s">
        <v>725</v>
      </c>
      <c r="H779" s="1103" t="s">
        <v>1</v>
      </c>
      <c r="I779" s="703" t="s">
        <v>1</v>
      </c>
      <c r="J779" s="686" t="s">
        <v>236</v>
      </c>
      <c r="K779" s="1127">
        <v>0.85763888888888884</v>
      </c>
      <c r="L779" s="1118" t="s">
        <v>1</v>
      </c>
    </row>
    <row r="780" spans="1:12" ht="15.75" x14ac:dyDescent="0.25">
      <c r="A780" s="1099">
        <v>47</v>
      </c>
      <c r="B780" s="1103" t="s">
        <v>1</v>
      </c>
      <c r="C780" s="703" t="s">
        <v>1</v>
      </c>
      <c r="D780" s="686" t="s">
        <v>236</v>
      </c>
      <c r="E780" s="1126" t="s">
        <v>1</v>
      </c>
      <c r="F780" s="1113">
        <v>0.44791666666666669</v>
      </c>
      <c r="G780" s="698" t="s">
        <v>1</v>
      </c>
      <c r="H780" s="1103" t="s">
        <v>1</v>
      </c>
      <c r="I780" s="703" t="s">
        <v>1</v>
      </c>
      <c r="J780" s="681" t="s">
        <v>733</v>
      </c>
      <c r="K780" s="1127">
        <v>0.88194444444444442</v>
      </c>
      <c r="L780" s="697" t="s">
        <v>1</v>
      </c>
    </row>
    <row r="781" spans="1:12" ht="15.75" x14ac:dyDescent="0.25">
      <c r="A781" s="1099" t="s">
        <v>1</v>
      </c>
      <c r="B781" s="1103" t="s">
        <v>1</v>
      </c>
      <c r="C781" s="703" t="s">
        <v>1</v>
      </c>
      <c r="D781" s="681" t="s">
        <v>1</v>
      </c>
      <c r="E781" s="1126" t="s">
        <v>1</v>
      </c>
      <c r="F781" s="697" t="s">
        <v>1</v>
      </c>
      <c r="G781" s="698" t="s">
        <v>1</v>
      </c>
      <c r="H781" s="1103" t="s">
        <v>276</v>
      </c>
      <c r="I781" s="703" t="s">
        <v>273</v>
      </c>
      <c r="J781" s="685" t="s">
        <v>1</v>
      </c>
      <c r="K781" s="1126" t="s">
        <v>1</v>
      </c>
      <c r="L781" s="1115" t="s">
        <v>1</v>
      </c>
    </row>
    <row r="782" spans="1:12" ht="15.75" x14ac:dyDescent="0.25">
      <c r="A782" s="1099">
        <v>47</v>
      </c>
      <c r="B782" s="1103" t="s">
        <v>1</v>
      </c>
      <c r="C782" s="703" t="s">
        <v>1</v>
      </c>
      <c r="D782" s="685" t="s">
        <v>237</v>
      </c>
      <c r="E782" s="1126" t="s">
        <v>1</v>
      </c>
      <c r="F782" s="1114">
        <v>0.5</v>
      </c>
      <c r="G782" s="698" t="s">
        <v>1</v>
      </c>
      <c r="H782" s="1103" t="s">
        <v>1</v>
      </c>
      <c r="I782" s="703" t="s">
        <v>1</v>
      </c>
      <c r="J782" s="681" t="s">
        <v>1</v>
      </c>
      <c r="K782" s="1126" t="s">
        <v>1</v>
      </c>
      <c r="L782" s="697" t="s">
        <v>1</v>
      </c>
    </row>
    <row r="783" spans="1:12" ht="15.75" x14ac:dyDescent="0.25">
      <c r="A783" s="1099" t="s">
        <v>1</v>
      </c>
      <c r="B783" s="1103" t="s">
        <v>1</v>
      </c>
      <c r="C783" s="703" t="s">
        <v>1</v>
      </c>
      <c r="D783" s="687" t="s">
        <v>1</v>
      </c>
      <c r="E783" s="1126" t="s">
        <v>1</v>
      </c>
      <c r="F783" s="697" t="s">
        <v>1</v>
      </c>
      <c r="G783" s="698" t="s">
        <v>1</v>
      </c>
      <c r="H783" s="1103" t="s">
        <v>1</v>
      </c>
      <c r="I783" s="703" t="s">
        <v>1</v>
      </c>
      <c r="J783" s="686" t="s">
        <v>1</v>
      </c>
      <c r="K783" s="1126" t="s">
        <v>1</v>
      </c>
      <c r="L783" s="1118" t="s">
        <v>1</v>
      </c>
    </row>
    <row r="784" spans="1:12" ht="15.75" x14ac:dyDescent="0.25">
      <c r="A784" s="1099">
        <v>47</v>
      </c>
      <c r="B784" s="1103" t="s">
        <v>1</v>
      </c>
      <c r="C784" s="703" t="s">
        <v>1</v>
      </c>
      <c r="D784" s="686" t="s">
        <v>236</v>
      </c>
      <c r="E784" s="1126" t="s">
        <v>1</v>
      </c>
      <c r="F784" s="1113">
        <v>0.55208333333333337</v>
      </c>
      <c r="G784" s="698" t="s">
        <v>1</v>
      </c>
      <c r="H784" s="1103" t="s">
        <v>1</v>
      </c>
      <c r="I784" s="703" t="s">
        <v>1</v>
      </c>
      <c r="J784" s="690" t="s">
        <v>1</v>
      </c>
      <c r="K784" s="1126" t="s">
        <v>1</v>
      </c>
      <c r="L784" s="1119" t="s">
        <v>1</v>
      </c>
    </row>
    <row r="785" spans="1:12" ht="15.75" x14ac:dyDescent="0.25">
      <c r="A785" s="1099" t="s">
        <v>1</v>
      </c>
      <c r="B785" s="1103" t="s">
        <v>1</v>
      </c>
      <c r="C785" s="703" t="s">
        <v>1</v>
      </c>
      <c r="D785" s="681" t="s">
        <v>1</v>
      </c>
      <c r="E785" s="1126" t="s">
        <v>1</v>
      </c>
      <c r="F785" s="697" t="s">
        <v>1</v>
      </c>
      <c r="G785" s="698" t="s">
        <v>1</v>
      </c>
      <c r="H785" s="1103" t="s">
        <v>1</v>
      </c>
      <c r="I785" s="703" t="s">
        <v>1</v>
      </c>
      <c r="J785" s="681" t="s">
        <v>1</v>
      </c>
      <c r="K785" s="1126" t="s">
        <v>1</v>
      </c>
      <c r="L785" s="697" t="s">
        <v>1</v>
      </c>
    </row>
    <row r="786" spans="1:12" ht="15.75" x14ac:dyDescent="0.25">
      <c r="A786" s="1099" t="s">
        <v>1</v>
      </c>
      <c r="B786" s="1103" t="s">
        <v>1</v>
      </c>
      <c r="C786" s="703" t="s">
        <v>1</v>
      </c>
      <c r="D786" s="685" t="s">
        <v>237</v>
      </c>
      <c r="E786" s="1127">
        <v>0.60416666666666663</v>
      </c>
      <c r="F786" s="697" t="s">
        <v>1</v>
      </c>
      <c r="G786" s="698" t="s">
        <v>1</v>
      </c>
      <c r="H786" s="1103" t="s">
        <v>1</v>
      </c>
      <c r="I786" s="703" t="s">
        <v>1</v>
      </c>
      <c r="J786" s="681" t="s">
        <v>1</v>
      </c>
      <c r="K786" s="1126" t="s">
        <v>1</v>
      </c>
      <c r="L786" s="1118" t="s">
        <v>1</v>
      </c>
    </row>
    <row r="787" spans="1:12" ht="15.75" x14ac:dyDescent="0.25">
      <c r="A787" s="1099" t="s">
        <v>1</v>
      </c>
      <c r="B787" s="1103" t="s">
        <v>273</v>
      </c>
      <c r="C787" s="703">
        <v>153</v>
      </c>
      <c r="D787" s="681" t="s">
        <v>964</v>
      </c>
      <c r="E787" s="1126" t="s">
        <v>1</v>
      </c>
      <c r="F787" s="697" t="s">
        <v>1</v>
      </c>
      <c r="G787" s="698" t="s">
        <v>1</v>
      </c>
      <c r="H787" s="1103" t="s">
        <v>1</v>
      </c>
      <c r="I787" s="703" t="s">
        <v>1</v>
      </c>
      <c r="J787" s="690" t="s">
        <v>1</v>
      </c>
      <c r="K787" s="1126" t="s">
        <v>1</v>
      </c>
      <c r="L787" s="697" t="s">
        <v>1</v>
      </c>
    </row>
    <row r="788" spans="1:12" ht="15.75" x14ac:dyDescent="0.25">
      <c r="A788" s="1099" t="s">
        <v>1</v>
      </c>
      <c r="B788" s="1103" t="s">
        <v>1</v>
      </c>
      <c r="C788" s="703" t="s">
        <v>1</v>
      </c>
      <c r="D788" s="685" t="s">
        <v>1</v>
      </c>
      <c r="E788" s="1126" t="s">
        <v>1</v>
      </c>
      <c r="F788" s="1115" t="s">
        <v>1</v>
      </c>
      <c r="G788" s="698" t="s">
        <v>1</v>
      </c>
      <c r="H788" s="1103" t="s">
        <v>1</v>
      </c>
      <c r="I788" s="703" t="s">
        <v>1</v>
      </c>
      <c r="J788" s="690" t="s">
        <v>1</v>
      </c>
      <c r="K788" s="1126" t="s">
        <v>1</v>
      </c>
      <c r="L788" s="1119" t="s">
        <v>1</v>
      </c>
    </row>
    <row r="789" spans="1:12" ht="15.75" x14ac:dyDescent="0.25">
      <c r="A789" s="1099" t="s">
        <v>1</v>
      </c>
      <c r="B789" s="1103" t="s">
        <v>273</v>
      </c>
      <c r="C789" s="703">
        <v>124</v>
      </c>
      <c r="D789" s="681" t="s">
        <v>965</v>
      </c>
      <c r="E789" s="1126" t="s">
        <v>1</v>
      </c>
      <c r="F789" s="697" t="s">
        <v>1</v>
      </c>
      <c r="G789" s="698" t="s">
        <v>1</v>
      </c>
      <c r="H789" s="1103" t="s">
        <v>1</v>
      </c>
      <c r="I789" s="703" t="s">
        <v>1</v>
      </c>
      <c r="J789" s="681" t="s">
        <v>1</v>
      </c>
      <c r="K789" s="1126" t="s">
        <v>1</v>
      </c>
      <c r="L789" s="697" t="s">
        <v>1</v>
      </c>
    </row>
    <row r="790" spans="1:12" ht="15.75" x14ac:dyDescent="0.25">
      <c r="A790" s="1099">
        <v>47</v>
      </c>
      <c r="B790" s="1103" t="s">
        <v>1</v>
      </c>
      <c r="C790" s="703" t="s">
        <v>1</v>
      </c>
      <c r="D790" s="685" t="s">
        <v>237</v>
      </c>
      <c r="E790" s="1126" t="s">
        <v>1</v>
      </c>
      <c r="F790" s="1114">
        <v>0.60416666666666663</v>
      </c>
      <c r="G790" s="698" t="s">
        <v>1</v>
      </c>
      <c r="H790" s="1103" t="s">
        <v>1</v>
      </c>
      <c r="I790" s="703" t="s">
        <v>1</v>
      </c>
      <c r="J790" s="686" t="s">
        <v>1</v>
      </c>
      <c r="K790" s="1126" t="s">
        <v>1</v>
      </c>
      <c r="L790" s="1118" t="s">
        <v>1</v>
      </c>
    </row>
    <row r="791" spans="1:12" ht="15.75" x14ac:dyDescent="0.25">
      <c r="A791" s="1099" t="s">
        <v>1</v>
      </c>
      <c r="B791" s="1103" t="s">
        <v>1</v>
      </c>
      <c r="C791" s="703" t="s">
        <v>1</v>
      </c>
      <c r="D791" s="687" t="s">
        <v>1</v>
      </c>
      <c r="E791" s="1126" t="s">
        <v>1</v>
      </c>
      <c r="F791" s="697" t="s">
        <v>1</v>
      </c>
      <c r="G791" s="698" t="s">
        <v>1</v>
      </c>
      <c r="H791" s="1103" t="s">
        <v>1</v>
      </c>
      <c r="I791" s="703" t="s">
        <v>1</v>
      </c>
      <c r="J791" s="687" t="s">
        <v>1</v>
      </c>
      <c r="K791" s="1126" t="s">
        <v>1</v>
      </c>
      <c r="L791" s="697" t="s">
        <v>1</v>
      </c>
    </row>
    <row r="792" spans="1:12" ht="15.75" x14ac:dyDescent="0.25">
      <c r="A792" s="1099">
        <v>47</v>
      </c>
      <c r="B792" s="1103" t="s">
        <v>1</v>
      </c>
      <c r="C792" s="703" t="s">
        <v>1</v>
      </c>
      <c r="D792" s="686" t="s">
        <v>236</v>
      </c>
      <c r="E792" s="1126" t="s">
        <v>1</v>
      </c>
      <c r="F792" s="1113">
        <v>0.65625</v>
      </c>
      <c r="G792" s="698" t="s">
        <v>1</v>
      </c>
      <c r="H792" s="1103" t="s">
        <v>1</v>
      </c>
      <c r="I792" s="703" t="s">
        <v>1</v>
      </c>
      <c r="J792" s="681" t="s">
        <v>1</v>
      </c>
      <c r="K792" s="1126" t="s">
        <v>1</v>
      </c>
      <c r="L792" s="1119" t="s">
        <v>1</v>
      </c>
    </row>
    <row r="793" spans="1:12" ht="15.75" x14ac:dyDescent="0.25">
      <c r="A793" s="1099" t="s">
        <v>1</v>
      </c>
      <c r="B793" s="1103" t="s">
        <v>1</v>
      </c>
      <c r="C793" s="703" t="s">
        <v>1</v>
      </c>
      <c r="D793" s="681" t="s">
        <v>1</v>
      </c>
      <c r="E793" s="1126" t="s">
        <v>1</v>
      </c>
      <c r="F793" s="697" t="s">
        <v>1</v>
      </c>
      <c r="G793" s="698" t="s">
        <v>1</v>
      </c>
      <c r="H793" s="1103" t="s">
        <v>1</v>
      </c>
      <c r="I793" s="703" t="s">
        <v>1</v>
      </c>
      <c r="J793" s="681" t="s">
        <v>1</v>
      </c>
      <c r="K793" s="1126" t="s">
        <v>1</v>
      </c>
      <c r="L793" s="697" t="s">
        <v>1</v>
      </c>
    </row>
    <row r="794" spans="1:12" ht="15.75" x14ac:dyDescent="0.25">
      <c r="A794" s="1099" t="s">
        <v>1</v>
      </c>
      <c r="B794" s="1103" t="s">
        <v>1</v>
      </c>
      <c r="C794" s="703" t="s">
        <v>1</v>
      </c>
      <c r="D794" s="685" t="s">
        <v>237</v>
      </c>
      <c r="E794" s="1127">
        <v>0.70833333333333337</v>
      </c>
      <c r="F794" s="697" t="s">
        <v>1</v>
      </c>
      <c r="G794" s="698" t="s">
        <v>1</v>
      </c>
      <c r="H794" s="1103" t="s">
        <v>1</v>
      </c>
      <c r="I794" s="703" t="s">
        <v>1</v>
      </c>
      <c r="J794" s="681" t="s">
        <v>1</v>
      </c>
      <c r="K794" s="1126" t="s">
        <v>1</v>
      </c>
      <c r="L794" s="1118" t="s">
        <v>1</v>
      </c>
    </row>
    <row r="795" spans="1:12" ht="15.75" x14ac:dyDescent="0.25">
      <c r="A795" s="1099" t="s">
        <v>1</v>
      </c>
      <c r="B795" s="1103" t="s">
        <v>273</v>
      </c>
      <c r="C795" s="703">
        <v>124</v>
      </c>
      <c r="D795" s="681" t="s">
        <v>966</v>
      </c>
      <c r="E795" s="1126" t="s">
        <v>1</v>
      </c>
      <c r="F795" s="697" t="s">
        <v>1</v>
      </c>
      <c r="G795" s="698" t="s">
        <v>1</v>
      </c>
      <c r="H795" s="1103" t="s">
        <v>1</v>
      </c>
      <c r="I795" s="703" t="s">
        <v>1</v>
      </c>
      <c r="J795" s="687" t="s">
        <v>1</v>
      </c>
      <c r="K795" s="1126" t="s">
        <v>1</v>
      </c>
      <c r="L795" s="697" t="s">
        <v>1</v>
      </c>
    </row>
    <row r="796" spans="1:12" ht="15.75" x14ac:dyDescent="0.25">
      <c r="A796" s="1099" t="s">
        <v>1</v>
      </c>
      <c r="B796" s="1103" t="s">
        <v>1</v>
      </c>
      <c r="C796" s="703" t="s">
        <v>1</v>
      </c>
      <c r="D796" s="690" t="s">
        <v>1</v>
      </c>
      <c r="E796" s="1126" t="s">
        <v>1</v>
      </c>
      <c r="F796" s="1119" t="s">
        <v>1</v>
      </c>
      <c r="G796" s="698" t="s">
        <v>1</v>
      </c>
      <c r="H796" s="1103" t="s">
        <v>1</v>
      </c>
      <c r="I796" s="703" t="s">
        <v>1</v>
      </c>
      <c r="J796" s="681" t="s">
        <v>1</v>
      </c>
      <c r="K796" s="1126" t="s">
        <v>1</v>
      </c>
      <c r="L796" s="1119" t="s">
        <v>1</v>
      </c>
    </row>
    <row r="797" spans="1:12" ht="15.75" x14ac:dyDescent="0.25">
      <c r="A797" s="1099" t="s">
        <v>1</v>
      </c>
      <c r="B797" s="1103" t="s">
        <v>1</v>
      </c>
      <c r="C797" s="703" t="s">
        <v>1</v>
      </c>
      <c r="D797" s="687" t="s">
        <v>1</v>
      </c>
      <c r="E797" s="1126" t="s">
        <v>1</v>
      </c>
      <c r="F797" s="697" t="s">
        <v>1</v>
      </c>
      <c r="G797" s="698" t="s">
        <v>1</v>
      </c>
      <c r="H797" s="1103" t="s">
        <v>1</v>
      </c>
      <c r="I797" s="703" t="s">
        <v>1</v>
      </c>
      <c r="J797" s="687" t="s">
        <v>1</v>
      </c>
      <c r="K797" s="1126" t="s">
        <v>1</v>
      </c>
      <c r="L797" s="697" t="s">
        <v>1</v>
      </c>
    </row>
    <row r="798" spans="1:12" ht="15.75" x14ac:dyDescent="0.25">
      <c r="A798" s="1099" t="s">
        <v>1</v>
      </c>
      <c r="B798" s="1103" t="s">
        <v>1</v>
      </c>
      <c r="C798" s="703" t="s">
        <v>1</v>
      </c>
      <c r="D798" s="681" t="s">
        <v>1</v>
      </c>
      <c r="E798" s="1126" t="s">
        <v>1</v>
      </c>
      <c r="F798" s="697" t="s">
        <v>1</v>
      </c>
      <c r="G798" s="698" t="s">
        <v>1</v>
      </c>
      <c r="H798" s="1103" t="s">
        <v>1</v>
      </c>
      <c r="I798" s="703" t="s">
        <v>1</v>
      </c>
      <c r="J798" s="681" t="s">
        <v>1</v>
      </c>
      <c r="K798" s="1126" t="s">
        <v>1</v>
      </c>
      <c r="L798" s="697" t="s">
        <v>1</v>
      </c>
    </row>
    <row r="799" spans="1:12" ht="15.75" x14ac:dyDescent="0.25">
      <c r="A799" s="1099" t="s">
        <v>1</v>
      </c>
      <c r="B799" s="1103" t="s">
        <v>1</v>
      </c>
      <c r="C799" s="703" t="s">
        <v>1</v>
      </c>
      <c r="D799" s="687" t="s">
        <v>1</v>
      </c>
      <c r="E799" s="1126" t="s">
        <v>1</v>
      </c>
      <c r="F799" s="697" t="s">
        <v>1</v>
      </c>
      <c r="G799" s="697" t="s">
        <v>1</v>
      </c>
      <c r="H799" s="703" t="s">
        <v>1</v>
      </c>
      <c r="I799" s="703" t="s">
        <v>1</v>
      </c>
      <c r="J799" s="681" t="s">
        <v>1</v>
      </c>
      <c r="K799" s="1126" t="s">
        <v>1</v>
      </c>
      <c r="L799" s="697" t="s">
        <v>1</v>
      </c>
    </row>
    <row r="800" spans="1:12" ht="16.5" thickBot="1" x14ac:dyDescent="0.3">
      <c r="A800" s="1102" t="s">
        <v>1</v>
      </c>
      <c r="B800" s="1106" t="s">
        <v>1</v>
      </c>
      <c r="C800" s="570" t="s">
        <v>1</v>
      </c>
      <c r="D800" s="605" t="s">
        <v>1</v>
      </c>
      <c r="E800" s="1133" t="s">
        <v>1</v>
      </c>
      <c r="F800" s="1120" t="s">
        <v>1</v>
      </c>
      <c r="G800" s="700" t="s">
        <v>1</v>
      </c>
      <c r="H800" s="1108" t="s">
        <v>1</v>
      </c>
      <c r="I800" s="1108" t="s">
        <v>1</v>
      </c>
      <c r="J800" s="692" t="s">
        <v>1</v>
      </c>
      <c r="K800" s="1139" t="s">
        <v>1</v>
      </c>
      <c r="L800" s="700" t="s">
        <v>1</v>
      </c>
    </row>
    <row r="801" spans="1:12" ht="23.25" customHeight="1" x14ac:dyDescent="0.35">
      <c r="A801" s="1237" t="s">
        <v>712</v>
      </c>
      <c r="B801" s="1238"/>
      <c r="C801" s="1238"/>
      <c r="D801" s="1238"/>
      <c r="E801" s="1238"/>
      <c r="F801" s="1238"/>
      <c r="G801" s="1238"/>
      <c r="H801" s="1238"/>
      <c r="I801" s="1238"/>
      <c r="J801" s="1238"/>
      <c r="K801" s="1238"/>
      <c r="L801" s="1239"/>
    </row>
    <row r="802" spans="1:12" ht="23.25" customHeight="1" thickBot="1" x14ac:dyDescent="0.4">
      <c r="A802" s="1240" t="s">
        <v>713</v>
      </c>
      <c r="B802" s="1241"/>
      <c r="C802" s="1241"/>
      <c r="D802" s="1241"/>
      <c r="E802" s="1241"/>
      <c r="F802" s="1241"/>
      <c r="G802" s="1241"/>
      <c r="H802" s="1241"/>
      <c r="I802" s="1241"/>
      <c r="J802" s="1241"/>
      <c r="K802" s="1241"/>
      <c r="L802" s="1242"/>
    </row>
    <row r="803" spans="1:12" ht="23.25" customHeight="1" thickBot="1" x14ac:dyDescent="0.4">
      <c r="A803" s="1243" t="s">
        <v>714</v>
      </c>
      <c r="B803" s="1244"/>
      <c r="C803" s="1244"/>
      <c r="D803" s="1244"/>
      <c r="E803" s="1244"/>
      <c r="F803" s="1244"/>
      <c r="G803" s="1244"/>
      <c r="H803" s="1244"/>
      <c r="I803" s="1244"/>
      <c r="J803" s="1244"/>
      <c r="K803" s="1244"/>
      <c r="L803" s="1245"/>
    </row>
    <row r="804" spans="1:12" ht="23.25" customHeight="1" x14ac:dyDescent="0.35">
      <c r="A804" s="619" t="s">
        <v>227</v>
      </c>
      <c r="B804" s="620"/>
      <c r="C804" s="620"/>
      <c r="D804" s="621" t="s">
        <v>716</v>
      </c>
      <c r="E804" s="1241" t="s">
        <v>403</v>
      </c>
      <c r="F804" s="1241"/>
      <c r="G804" s="1241"/>
      <c r="H804" s="1241"/>
      <c r="I804" s="1241"/>
      <c r="J804" s="556" t="s">
        <v>744</v>
      </c>
      <c r="K804" s="1241" t="s">
        <v>1</v>
      </c>
      <c r="L804" s="1242"/>
    </row>
    <row r="805" spans="1:12" ht="15.75" thickBot="1" x14ac:dyDescent="0.3">
      <c r="A805" s="560" t="s">
        <v>1</v>
      </c>
      <c r="B805" s="561" t="s">
        <v>1</v>
      </c>
      <c r="C805" s="561" t="s">
        <v>1</v>
      </c>
      <c r="D805" s="562" t="s">
        <v>1</v>
      </c>
      <c r="E805" s="561" t="s">
        <v>1</v>
      </c>
      <c r="F805" s="561" t="s">
        <v>1</v>
      </c>
      <c r="G805" s="561" t="s">
        <v>1</v>
      </c>
      <c r="H805" s="561" t="s">
        <v>1</v>
      </c>
      <c r="I805" s="1227" t="s">
        <v>1</v>
      </c>
      <c r="J805" s="1227"/>
      <c r="K805" s="561" t="s">
        <v>1</v>
      </c>
      <c r="L805" s="563" t="s">
        <v>1</v>
      </c>
    </row>
    <row r="806" spans="1:12" ht="15.75" x14ac:dyDescent="0.25">
      <c r="A806" s="564" t="s">
        <v>719</v>
      </c>
      <c r="B806" s="565" t="s">
        <v>1</v>
      </c>
      <c r="C806" s="569" t="s">
        <v>1</v>
      </c>
      <c r="D806" s="567" t="s">
        <v>720</v>
      </c>
      <c r="E806" s="699" t="s">
        <v>721</v>
      </c>
      <c r="F806" s="569" t="s">
        <v>722</v>
      </c>
      <c r="G806" s="564" t="s">
        <v>719</v>
      </c>
      <c r="H806" s="570" t="s">
        <v>1</v>
      </c>
      <c r="I806" s="1109" t="s">
        <v>1</v>
      </c>
      <c r="J806" s="572" t="s">
        <v>720</v>
      </c>
      <c r="K806" s="700" t="s">
        <v>721</v>
      </c>
      <c r="L806" s="700" t="s">
        <v>722</v>
      </c>
    </row>
    <row r="807" spans="1:12" ht="15.75" x14ac:dyDescent="0.25">
      <c r="A807" s="1099" t="s">
        <v>1</v>
      </c>
      <c r="B807" s="574" t="s">
        <v>1</v>
      </c>
      <c r="C807" s="702" t="s">
        <v>1</v>
      </c>
      <c r="D807" s="680" t="s">
        <v>1</v>
      </c>
      <c r="E807" s="1125" t="s">
        <v>1</v>
      </c>
      <c r="F807" s="1110" t="s">
        <v>1</v>
      </c>
      <c r="G807" s="697" t="s">
        <v>1</v>
      </c>
      <c r="H807" s="703" t="s">
        <v>1</v>
      </c>
      <c r="I807" s="703" t="s">
        <v>1</v>
      </c>
      <c r="J807" s="682" t="s">
        <v>1</v>
      </c>
      <c r="K807" s="1136" t="s">
        <v>1</v>
      </c>
      <c r="L807" s="1123" t="s">
        <v>1</v>
      </c>
    </row>
    <row r="808" spans="1:12" ht="15.75" x14ac:dyDescent="0.25">
      <c r="A808" s="1099" t="s">
        <v>1</v>
      </c>
      <c r="B808" s="1103" t="s">
        <v>881</v>
      </c>
      <c r="C808" s="703">
        <v>135</v>
      </c>
      <c r="D808" s="681" t="s">
        <v>967</v>
      </c>
      <c r="E808" s="1126" t="s">
        <v>1</v>
      </c>
      <c r="F808" s="1111" t="s">
        <v>1</v>
      </c>
      <c r="G808" s="698" t="s">
        <v>1</v>
      </c>
      <c r="H808" s="1103" t="s">
        <v>1</v>
      </c>
      <c r="I808" s="703" t="s">
        <v>1</v>
      </c>
      <c r="J808" s="681" t="s">
        <v>1</v>
      </c>
      <c r="K808" s="1137" t="s">
        <v>1</v>
      </c>
      <c r="L808" s="600" t="s">
        <v>1</v>
      </c>
    </row>
    <row r="809" spans="1:12" ht="15.75" x14ac:dyDescent="0.25">
      <c r="A809" s="1099" t="s">
        <v>725</v>
      </c>
      <c r="B809" s="1104" t="s">
        <v>1</v>
      </c>
      <c r="C809" s="703" t="s">
        <v>1</v>
      </c>
      <c r="D809" s="681" t="s">
        <v>726</v>
      </c>
      <c r="E809" s="1126" t="s">
        <v>1</v>
      </c>
      <c r="F809" s="1112">
        <v>0.82986111111111116</v>
      </c>
      <c r="G809" s="698" t="s">
        <v>1</v>
      </c>
      <c r="H809" s="1103" t="s">
        <v>1</v>
      </c>
      <c r="I809" s="703" t="s">
        <v>1</v>
      </c>
      <c r="J809" s="685" t="s">
        <v>1</v>
      </c>
      <c r="K809" s="1126" t="s">
        <v>1</v>
      </c>
      <c r="L809" s="1115" t="s">
        <v>1</v>
      </c>
    </row>
    <row r="810" spans="1:12" ht="15.75" x14ac:dyDescent="0.25">
      <c r="A810" s="1099">
        <v>47</v>
      </c>
      <c r="B810" s="1103" t="s">
        <v>1</v>
      </c>
      <c r="C810" s="703" t="s">
        <v>1</v>
      </c>
      <c r="D810" s="686" t="s">
        <v>236</v>
      </c>
      <c r="E810" s="1126" t="s">
        <v>1</v>
      </c>
      <c r="F810" s="1113">
        <v>0.85416666666666663</v>
      </c>
      <c r="G810" s="698" t="s">
        <v>1</v>
      </c>
      <c r="H810" s="1103" t="s">
        <v>1</v>
      </c>
      <c r="I810" s="703" t="s">
        <v>1</v>
      </c>
      <c r="J810" s="681" t="s">
        <v>1</v>
      </c>
      <c r="K810" s="1126" t="s">
        <v>1</v>
      </c>
      <c r="L810" s="697" t="s">
        <v>1</v>
      </c>
    </row>
    <row r="811" spans="1:12" ht="15.75" x14ac:dyDescent="0.25">
      <c r="A811" s="1099" t="s">
        <v>1</v>
      </c>
      <c r="B811" s="1103" t="s">
        <v>1</v>
      </c>
      <c r="C811" s="703" t="s">
        <v>1</v>
      </c>
      <c r="D811" s="687" t="s">
        <v>1</v>
      </c>
      <c r="E811" s="1126" t="s">
        <v>1</v>
      </c>
      <c r="F811" s="697" t="s">
        <v>1</v>
      </c>
      <c r="G811" s="698" t="s">
        <v>1</v>
      </c>
      <c r="H811" s="1103" t="s">
        <v>1</v>
      </c>
      <c r="I811" s="703" t="s">
        <v>1</v>
      </c>
      <c r="J811" s="686" t="s">
        <v>1</v>
      </c>
      <c r="K811" s="1126" t="s">
        <v>1</v>
      </c>
      <c r="L811" s="1118" t="s">
        <v>1</v>
      </c>
    </row>
    <row r="812" spans="1:12" ht="15.75" x14ac:dyDescent="0.25">
      <c r="A812" s="1099">
        <v>47</v>
      </c>
      <c r="B812" s="1103" t="s">
        <v>1</v>
      </c>
      <c r="C812" s="703" t="s">
        <v>1</v>
      </c>
      <c r="D812" s="685" t="s">
        <v>237</v>
      </c>
      <c r="E812" s="1126" t="s">
        <v>1</v>
      </c>
      <c r="F812" s="1114">
        <v>0.89583333333333337</v>
      </c>
      <c r="G812" s="698" t="s">
        <v>1</v>
      </c>
      <c r="H812" s="1103" t="s">
        <v>1</v>
      </c>
      <c r="I812" s="703" t="s">
        <v>1</v>
      </c>
      <c r="J812" s="687" t="s">
        <v>1</v>
      </c>
      <c r="K812" s="1126" t="s">
        <v>1</v>
      </c>
      <c r="L812" s="697" t="s">
        <v>1</v>
      </c>
    </row>
    <row r="813" spans="1:12" ht="15.75" x14ac:dyDescent="0.25">
      <c r="A813" s="1099" t="s">
        <v>1</v>
      </c>
      <c r="B813" s="1103" t="s">
        <v>1</v>
      </c>
      <c r="C813" s="703" t="s">
        <v>1</v>
      </c>
      <c r="D813" s="681" t="s">
        <v>1</v>
      </c>
      <c r="E813" s="1126" t="s">
        <v>1</v>
      </c>
      <c r="F813" s="697" t="s">
        <v>1</v>
      </c>
      <c r="G813" s="698" t="s">
        <v>1</v>
      </c>
      <c r="H813" s="1103" t="s">
        <v>1</v>
      </c>
      <c r="I813" s="703" t="s">
        <v>1</v>
      </c>
      <c r="J813" s="685" t="s">
        <v>1</v>
      </c>
      <c r="K813" s="1126" t="s">
        <v>1</v>
      </c>
      <c r="L813" s="1115" t="s">
        <v>1</v>
      </c>
    </row>
    <row r="814" spans="1:12" ht="15.75" x14ac:dyDescent="0.25">
      <c r="A814" s="1099">
        <v>47</v>
      </c>
      <c r="B814" s="1103" t="s">
        <v>1</v>
      </c>
      <c r="C814" s="703" t="s">
        <v>1</v>
      </c>
      <c r="D814" s="686" t="s">
        <v>236</v>
      </c>
      <c r="E814" s="1126" t="s">
        <v>1</v>
      </c>
      <c r="F814" s="1113">
        <v>0.9375</v>
      </c>
      <c r="G814" s="698" t="s">
        <v>1</v>
      </c>
      <c r="H814" s="1103" t="s">
        <v>1</v>
      </c>
      <c r="I814" s="703" t="s">
        <v>1</v>
      </c>
      <c r="J814" s="681" t="s">
        <v>1</v>
      </c>
      <c r="K814" s="1126" t="s">
        <v>1</v>
      </c>
      <c r="L814" s="697" t="s">
        <v>1</v>
      </c>
    </row>
    <row r="815" spans="1:12" ht="15.75" x14ac:dyDescent="0.25">
      <c r="A815" s="1099" t="s">
        <v>1</v>
      </c>
      <c r="B815" s="1103" t="s">
        <v>1</v>
      </c>
      <c r="C815" s="703" t="s">
        <v>1</v>
      </c>
      <c r="D815" s="687" t="s">
        <v>1</v>
      </c>
      <c r="E815" s="1126" t="s">
        <v>1</v>
      </c>
      <c r="F815" s="697" t="s">
        <v>1</v>
      </c>
      <c r="G815" s="698" t="s">
        <v>1</v>
      </c>
      <c r="H815" s="1103" t="s">
        <v>1</v>
      </c>
      <c r="I815" s="703" t="s">
        <v>1</v>
      </c>
      <c r="J815" s="681" t="s">
        <v>1</v>
      </c>
      <c r="K815" s="1126" t="s">
        <v>1</v>
      </c>
      <c r="L815" s="697" t="s">
        <v>1</v>
      </c>
    </row>
    <row r="816" spans="1:12" ht="15.75" x14ac:dyDescent="0.25">
      <c r="A816" s="1099">
        <v>47</v>
      </c>
      <c r="B816" s="1103" t="s">
        <v>1</v>
      </c>
      <c r="C816" s="703" t="s">
        <v>1</v>
      </c>
      <c r="D816" s="685" t="s">
        <v>237</v>
      </c>
      <c r="E816" s="1126" t="s">
        <v>1</v>
      </c>
      <c r="F816" s="1114">
        <v>0.97916666666666663</v>
      </c>
      <c r="G816" s="698" t="s">
        <v>1</v>
      </c>
      <c r="H816" s="1103" t="s">
        <v>1</v>
      </c>
      <c r="I816" s="703" t="s">
        <v>1</v>
      </c>
      <c r="J816" s="681" t="s">
        <v>1</v>
      </c>
      <c r="K816" s="1126" t="s">
        <v>1</v>
      </c>
      <c r="L816" s="697" t="s">
        <v>1</v>
      </c>
    </row>
    <row r="817" spans="1:12" ht="15.75" x14ac:dyDescent="0.25">
      <c r="A817" s="1099" t="s">
        <v>1</v>
      </c>
      <c r="B817" s="1103" t="s">
        <v>1</v>
      </c>
      <c r="C817" s="703" t="s">
        <v>1</v>
      </c>
      <c r="D817" s="681" t="s">
        <v>1</v>
      </c>
      <c r="E817" s="1126" t="s">
        <v>1</v>
      </c>
      <c r="F817" s="697" t="s">
        <v>1</v>
      </c>
      <c r="G817" s="698" t="s">
        <v>1</v>
      </c>
      <c r="H817" s="1103" t="s">
        <v>1</v>
      </c>
      <c r="I817" s="703" t="s">
        <v>1</v>
      </c>
      <c r="J817" s="685" t="s">
        <v>1</v>
      </c>
      <c r="K817" s="1126" t="s">
        <v>1</v>
      </c>
      <c r="L817" s="1115" t="s">
        <v>1</v>
      </c>
    </row>
    <row r="818" spans="1:12" ht="15.75" x14ac:dyDescent="0.25">
      <c r="A818" s="1099" t="s">
        <v>725</v>
      </c>
      <c r="B818" s="1103" t="s">
        <v>1</v>
      </c>
      <c r="C818" s="703" t="s">
        <v>1</v>
      </c>
      <c r="D818" s="686" t="s">
        <v>236</v>
      </c>
      <c r="E818" s="1127">
        <v>1.7361111111111112E-2</v>
      </c>
      <c r="F818" s="697" t="s">
        <v>1</v>
      </c>
      <c r="G818" s="698" t="s">
        <v>1</v>
      </c>
      <c r="H818" s="1103" t="s">
        <v>1</v>
      </c>
      <c r="I818" s="703" t="s">
        <v>1</v>
      </c>
      <c r="J818" s="681" t="s">
        <v>1</v>
      </c>
      <c r="K818" s="1126" t="s">
        <v>1</v>
      </c>
      <c r="L818" s="697" t="s">
        <v>1</v>
      </c>
    </row>
    <row r="819" spans="1:12" ht="15.75" x14ac:dyDescent="0.25">
      <c r="A819" s="1099" t="s">
        <v>1</v>
      </c>
      <c r="B819" s="1103" t="s">
        <v>1</v>
      </c>
      <c r="C819" s="703" t="s">
        <v>1</v>
      </c>
      <c r="D819" s="681" t="s">
        <v>733</v>
      </c>
      <c r="E819" s="1127">
        <v>3.8194444444444448E-2</v>
      </c>
      <c r="F819" s="697" t="s">
        <v>1</v>
      </c>
      <c r="G819" s="698" t="s">
        <v>1</v>
      </c>
      <c r="H819" s="1103" t="s">
        <v>1</v>
      </c>
      <c r="I819" s="703" t="s">
        <v>1</v>
      </c>
      <c r="J819" s="686" t="s">
        <v>1</v>
      </c>
      <c r="K819" s="1126" t="s">
        <v>1</v>
      </c>
      <c r="L819" s="1118" t="s">
        <v>1</v>
      </c>
    </row>
    <row r="820" spans="1:12" ht="15.75" x14ac:dyDescent="0.25">
      <c r="A820" s="1099" t="s">
        <v>1</v>
      </c>
      <c r="B820" s="1103" t="s">
        <v>892</v>
      </c>
      <c r="C820" s="703" t="s">
        <v>273</v>
      </c>
      <c r="D820" s="685" t="s">
        <v>1</v>
      </c>
      <c r="E820" s="1126" t="s">
        <v>1</v>
      </c>
      <c r="F820" s="1115" t="s">
        <v>1</v>
      </c>
      <c r="G820" s="698" t="s">
        <v>1</v>
      </c>
      <c r="H820" s="1103" t="s">
        <v>1</v>
      </c>
      <c r="I820" s="703" t="s">
        <v>1</v>
      </c>
      <c r="J820" s="687" t="s">
        <v>1</v>
      </c>
      <c r="K820" s="1126" t="s">
        <v>1</v>
      </c>
      <c r="L820" s="697" t="s">
        <v>1</v>
      </c>
    </row>
    <row r="821" spans="1:12" ht="15.75" x14ac:dyDescent="0.25">
      <c r="A821" s="1099" t="s">
        <v>1</v>
      </c>
      <c r="B821" s="1103" t="s">
        <v>1</v>
      </c>
      <c r="C821" s="703" t="s">
        <v>1</v>
      </c>
      <c r="D821" s="681" t="s">
        <v>1</v>
      </c>
      <c r="E821" s="1126" t="s">
        <v>1</v>
      </c>
      <c r="F821" s="697" t="s">
        <v>1</v>
      </c>
      <c r="G821" s="698" t="s">
        <v>1</v>
      </c>
      <c r="H821" s="1103" t="s">
        <v>1</v>
      </c>
      <c r="I821" s="703" t="s">
        <v>1</v>
      </c>
      <c r="J821" s="685" t="s">
        <v>1</v>
      </c>
      <c r="K821" s="1126" t="s">
        <v>1</v>
      </c>
      <c r="L821" s="1115" t="s">
        <v>1</v>
      </c>
    </row>
    <row r="822" spans="1:12" ht="15.75" x14ac:dyDescent="0.25">
      <c r="A822" s="1099" t="s">
        <v>1</v>
      </c>
      <c r="B822" s="1103" t="s">
        <v>1</v>
      </c>
      <c r="C822" s="703" t="s">
        <v>1</v>
      </c>
      <c r="D822" s="686" t="s">
        <v>1</v>
      </c>
      <c r="E822" s="1126" t="s">
        <v>1</v>
      </c>
      <c r="F822" s="1118" t="s">
        <v>1</v>
      </c>
      <c r="G822" s="698" t="s">
        <v>1</v>
      </c>
      <c r="H822" s="1103" t="s">
        <v>1</v>
      </c>
      <c r="I822" s="703" t="s">
        <v>1</v>
      </c>
      <c r="J822" s="681" t="s">
        <v>1</v>
      </c>
      <c r="K822" s="1126" t="s">
        <v>1</v>
      </c>
      <c r="L822" s="697" t="s">
        <v>1</v>
      </c>
    </row>
    <row r="823" spans="1:12" ht="15.75" x14ac:dyDescent="0.25">
      <c r="A823" s="1099" t="s">
        <v>1</v>
      </c>
      <c r="B823" s="1103" t="s">
        <v>1</v>
      </c>
      <c r="C823" s="703" t="s">
        <v>1</v>
      </c>
      <c r="D823" s="687" t="s">
        <v>1</v>
      </c>
      <c r="E823" s="1126" t="s">
        <v>1</v>
      </c>
      <c r="F823" s="697" t="s">
        <v>1</v>
      </c>
      <c r="G823" s="698" t="s">
        <v>1</v>
      </c>
      <c r="H823" s="1103" t="s">
        <v>1</v>
      </c>
      <c r="I823" s="703" t="s">
        <v>1</v>
      </c>
      <c r="J823" s="686" t="s">
        <v>1</v>
      </c>
      <c r="K823" s="1126" t="s">
        <v>1</v>
      </c>
      <c r="L823" s="1118" t="s">
        <v>1</v>
      </c>
    </row>
    <row r="824" spans="1:12" ht="15.75" x14ac:dyDescent="0.25">
      <c r="A824" s="1099" t="s">
        <v>1</v>
      </c>
      <c r="B824" s="1103" t="s">
        <v>1</v>
      </c>
      <c r="C824" s="703" t="s">
        <v>1</v>
      </c>
      <c r="D824" s="685" t="s">
        <v>1</v>
      </c>
      <c r="E824" s="1126" t="s">
        <v>1</v>
      </c>
      <c r="F824" s="1115" t="s">
        <v>1</v>
      </c>
      <c r="G824" s="698" t="s">
        <v>1</v>
      </c>
      <c r="H824" s="1103" t="s">
        <v>1</v>
      </c>
      <c r="I824" s="703" t="s">
        <v>1</v>
      </c>
      <c r="J824" s="690" t="s">
        <v>1</v>
      </c>
      <c r="K824" s="1126" t="s">
        <v>1</v>
      </c>
      <c r="L824" s="1119" t="s">
        <v>1</v>
      </c>
    </row>
    <row r="825" spans="1:12" ht="15.75" x14ac:dyDescent="0.25">
      <c r="A825" s="1099" t="s">
        <v>1</v>
      </c>
      <c r="B825" s="1103" t="s">
        <v>1</v>
      </c>
      <c r="C825" s="703" t="s">
        <v>1</v>
      </c>
      <c r="D825" s="681" t="s">
        <v>1</v>
      </c>
      <c r="E825" s="1126" t="s">
        <v>1</v>
      </c>
      <c r="F825" s="697" t="s">
        <v>1</v>
      </c>
      <c r="G825" s="698" t="s">
        <v>1</v>
      </c>
      <c r="H825" s="1103" t="s">
        <v>1</v>
      </c>
      <c r="I825" s="703" t="s">
        <v>1</v>
      </c>
      <c r="J825" s="681" t="s">
        <v>1</v>
      </c>
      <c r="K825" s="1126" t="s">
        <v>1</v>
      </c>
      <c r="L825" s="697" t="s">
        <v>1</v>
      </c>
    </row>
    <row r="826" spans="1:12" ht="15.75" x14ac:dyDescent="0.25">
      <c r="A826" s="1099" t="s">
        <v>1</v>
      </c>
      <c r="B826" s="1103" t="s">
        <v>1</v>
      </c>
      <c r="C826" s="703" t="s">
        <v>1</v>
      </c>
      <c r="D826" s="687" t="s">
        <v>1</v>
      </c>
      <c r="E826" s="1126" t="s">
        <v>1</v>
      </c>
      <c r="F826" s="697" t="s">
        <v>1</v>
      </c>
      <c r="G826" s="698" t="s">
        <v>1</v>
      </c>
      <c r="H826" s="1103" t="s">
        <v>1</v>
      </c>
      <c r="I826" s="703" t="s">
        <v>1</v>
      </c>
      <c r="J826" s="681" t="s">
        <v>1</v>
      </c>
      <c r="K826" s="1126" t="s">
        <v>1</v>
      </c>
      <c r="L826" s="1118" t="s">
        <v>1</v>
      </c>
    </row>
    <row r="827" spans="1:12" ht="15.75" x14ac:dyDescent="0.25">
      <c r="A827" s="1099" t="s">
        <v>1</v>
      </c>
      <c r="B827" s="1103" t="s">
        <v>1</v>
      </c>
      <c r="C827" s="703" t="s">
        <v>1</v>
      </c>
      <c r="D827" s="681" t="s">
        <v>1</v>
      </c>
      <c r="E827" s="1126" t="s">
        <v>1</v>
      </c>
      <c r="F827" s="697" t="s">
        <v>1</v>
      </c>
      <c r="G827" s="698" t="s">
        <v>1</v>
      </c>
      <c r="H827" s="1103" t="s">
        <v>1</v>
      </c>
      <c r="I827" s="703" t="s">
        <v>1</v>
      </c>
      <c r="J827" s="690" t="s">
        <v>1</v>
      </c>
      <c r="K827" s="1126" t="s">
        <v>1</v>
      </c>
      <c r="L827" s="697" t="s">
        <v>1</v>
      </c>
    </row>
    <row r="828" spans="1:12" ht="15.75" x14ac:dyDescent="0.25">
      <c r="A828" s="1099" t="s">
        <v>1</v>
      </c>
      <c r="B828" s="1103" t="s">
        <v>1</v>
      </c>
      <c r="C828" s="703" t="s">
        <v>1</v>
      </c>
      <c r="D828" s="685" t="s">
        <v>1</v>
      </c>
      <c r="E828" s="1126" t="s">
        <v>1</v>
      </c>
      <c r="F828" s="1115" t="s">
        <v>1</v>
      </c>
      <c r="G828" s="698" t="s">
        <v>1</v>
      </c>
      <c r="H828" s="1103" t="s">
        <v>1</v>
      </c>
      <c r="I828" s="703" t="s">
        <v>1</v>
      </c>
      <c r="J828" s="690" t="s">
        <v>1</v>
      </c>
      <c r="K828" s="1126" t="s">
        <v>1</v>
      </c>
      <c r="L828" s="1119" t="s">
        <v>1</v>
      </c>
    </row>
    <row r="829" spans="1:12" ht="15.75" x14ac:dyDescent="0.25">
      <c r="A829" s="1099" t="s">
        <v>1</v>
      </c>
      <c r="B829" s="1103" t="s">
        <v>1</v>
      </c>
      <c r="C829" s="703" t="s">
        <v>1</v>
      </c>
      <c r="D829" s="681" t="s">
        <v>1</v>
      </c>
      <c r="E829" s="1126" t="s">
        <v>1</v>
      </c>
      <c r="F829" s="697" t="s">
        <v>1</v>
      </c>
      <c r="G829" s="698" t="s">
        <v>1</v>
      </c>
      <c r="H829" s="1103" t="s">
        <v>1</v>
      </c>
      <c r="I829" s="703" t="s">
        <v>1</v>
      </c>
      <c r="J829" s="681" t="s">
        <v>1</v>
      </c>
      <c r="K829" s="1126" t="s">
        <v>1</v>
      </c>
      <c r="L829" s="697" t="s">
        <v>1</v>
      </c>
    </row>
    <row r="830" spans="1:12" ht="15.75" x14ac:dyDescent="0.25">
      <c r="A830" s="1099" t="s">
        <v>1</v>
      </c>
      <c r="B830" s="1103" t="s">
        <v>1</v>
      </c>
      <c r="C830" s="703" t="s">
        <v>1</v>
      </c>
      <c r="D830" s="686" t="s">
        <v>1</v>
      </c>
      <c r="E830" s="1126" t="s">
        <v>1</v>
      </c>
      <c r="F830" s="1118" t="s">
        <v>1</v>
      </c>
      <c r="G830" s="698" t="s">
        <v>1</v>
      </c>
      <c r="H830" s="1103" t="s">
        <v>1</v>
      </c>
      <c r="I830" s="703" t="s">
        <v>1</v>
      </c>
      <c r="J830" s="686" t="s">
        <v>1</v>
      </c>
      <c r="K830" s="1126" t="s">
        <v>1</v>
      </c>
      <c r="L830" s="1118" t="s">
        <v>1</v>
      </c>
    </row>
    <row r="831" spans="1:12" ht="15.75" x14ac:dyDescent="0.25">
      <c r="A831" s="1099" t="s">
        <v>1</v>
      </c>
      <c r="B831" s="1103" t="s">
        <v>1</v>
      </c>
      <c r="C831" s="703" t="s">
        <v>1</v>
      </c>
      <c r="D831" s="687" t="s">
        <v>1</v>
      </c>
      <c r="E831" s="1126" t="s">
        <v>1</v>
      </c>
      <c r="F831" s="697" t="s">
        <v>1</v>
      </c>
      <c r="G831" s="698" t="s">
        <v>1</v>
      </c>
      <c r="H831" s="1103" t="s">
        <v>1</v>
      </c>
      <c r="I831" s="703" t="s">
        <v>1</v>
      </c>
      <c r="J831" s="687" t="s">
        <v>1</v>
      </c>
      <c r="K831" s="1126" t="s">
        <v>1</v>
      </c>
      <c r="L831" s="697" t="s">
        <v>1</v>
      </c>
    </row>
    <row r="832" spans="1:12" ht="15.75" x14ac:dyDescent="0.25">
      <c r="A832" s="1099" t="s">
        <v>1</v>
      </c>
      <c r="B832" s="1103" t="s">
        <v>1</v>
      </c>
      <c r="C832" s="703" t="s">
        <v>1</v>
      </c>
      <c r="D832" s="685" t="s">
        <v>1</v>
      </c>
      <c r="E832" s="1126" t="s">
        <v>1</v>
      </c>
      <c r="F832" s="1115" t="s">
        <v>1</v>
      </c>
      <c r="G832" s="698" t="s">
        <v>1</v>
      </c>
      <c r="H832" s="1103" t="s">
        <v>1</v>
      </c>
      <c r="I832" s="703" t="s">
        <v>1</v>
      </c>
      <c r="J832" s="681" t="s">
        <v>1</v>
      </c>
      <c r="K832" s="1126" t="s">
        <v>1</v>
      </c>
      <c r="L832" s="1119" t="s">
        <v>1</v>
      </c>
    </row>
    <row r="833" spans="1:12" ht="15.75" x14ac:dyDescent="0.25">
      <c r="A833" s="1099" t="s">
        <v>1</v>
      </c>
      <c r="B833" s="1103" t="s">
        <v>1</v>
      </c>
      <c r="C833" s="703" t="s">
        <v>1</v>
      </c>
      <c r="D833" s="681" t="s">
        <v>1</v>
      </c>
      <c r="E833" s="1126" t="s">
        <v>1</v>
      </c>
      <c r="F833" s="697" t="s">
        <v>1</v>
      </c>
      <c r="G833" s="698" t="s">
        <v>1</v>
      </c>
      <c r="H833" s="1103" t="s">
        <v>1</v>
      </c>
      <c r="I833" s="703" t="s">
        <v>1</v>
      </c>
      <c r="J833" s="681" t="s">
        <v>1</v>
      </c>
      <c r="K833" s="1126" t="s">
        <v>1</v>
      </c>
      <c r="L833" s="697" t="s">
        <v>1</v>
      </c>
    </row>
    <row r="834" spans="1:12" ht="15.75" x14ac:dyDescent="0.25">
      <c r="A834" s="1099" t="s">
        <v>1</v>
      </c>
      <c r="B834" s="1103" t="s">
        <v>1</v>
      </c>
      <c r="C834" s="703" t="s">
        <v>1</v>
      </c>
      <c r="D834" s="681" t="s">
        <v>1</v>
      </c>
      <c r="E834" s="1126" t="s">
        <v>1</v>
      </c>
      <c r="F834" s="697" t="s">
        <v>1</v>
      </c>
      <c r="G834" s="698" t="s">
        <v>1</v>
      </c>
      <c r="H834" s="1103" t="s">
        <v>1</v>
      </c>
      <c r="I834" s="703" t="s">
        <v>1</v>
      </c>
      <c r="J834" s="681" t="s">
        <v>1</v>
      </c>
      <c r="K834" s="1126" t="s">
        <v>1</v>
      </c>
      <c r="L834" s="1118" t="s">
        <v>1</v>
      </c>
    </row>
    <row r="835" spans="1:12" ht="15.75" x14ac:dyDescent="0.25">
      <c r="A835" s="1099" t="s">
        <v>1</v>
      </c>
      <c r="B835" s="1103" t="s">
        <v>1</v>
      </c>
      <c r="C835" s="703" t="s">
        <v>1</v>
      </c>
      <c r="D835" s="687" t="s">
        <v>1</v>
      </c>
      <c r="E835" s="1126" t="s">
        <v>1</v>
      </c>
      <c r="F835" s="697" t="s">
        <v>1</v>
      </c>
      <c r="G835" s="698" t="s">
        <v>1</v>
      </c>
      <c r="H835" s="1103" t="s">
        <v>1</v>
      </c>
      <c r="I835" s="703" t="s">
        <v>1</v>
      </c>
      <c r="J835" s="687" t="s">
        <v>1</v>
      </c>
      <c r="K835" s="1126" t="s">
        <v>1</v>
      </c>
      <c r="L835" s="697" t="s">
        <v>1</v>
      </c>
    </row>
    <row r="836" spans="1:12" ht="15.75" x14ac:dyDescent="0.25">
      <c r="A836" s="1099" t="s">
        <v>1</v>
      </c>
      <c r="B836" s="1103" t="s">
        <v>1</v>
      </c>
      <c r="C836" s="703" t="s">
        <v>1</v>
      </c>
      <c r="D836" s="690" t="s">
        <v>1</v>
      </c>
      <c r="E836" s="1126" t="s">
        <v>1</v>
      </c>
      <c r="F836" s="1119" t="s">
        <v>1</v>
      </c>
      <c r="G836" s="698" t="s">
        <v>1</v>
      </c>
      <c r="H836" s="1103" t="s">
        <v>1</v>
      </c>
      <c r="I836" s="703" t="s">
        <v>1</v>
      </c>
      <c r="J836" s="681" t="s">
        <v>1</v>
      </c>
      <c r="K836" s="1126" t="s">
        <v>1</v>
      </c>
      <c r="L836" s="1119" t="s">
        <v>1</v>
      </c>
    </row>
    <row r="837" spans="1:12" ht="15.75" x14ac:dyDescent="0.25">
      <c r="A837" s="1099" t="s">
        <v>1</v>
      </c>
      <c r="B837" s="1103" t="s">
        <v>1</v>
      </c>
      <c r="C837" s="703" t="s">
        <v>1</v>
      </c>
      <c r="D837" s="687" t="s">
        <v>1</v>
      </c>
      <c r="E837" s="1126" t="s">
        <v>1</v>
      </c>
      <c r="F837" s="697" t="s">
        <v>1</v>
      </c>
      <c r="G837" s="698" t="s">
        <v>1</v>
      </c>
      <c r="H837" s="1103" t="s">
        <v>1</v>
      </c>
      <c r="I837" s="703" t="s">
        <v>1</v>
      </c>
      <c r="J837" s="687" t="s">
        <v>1</v>
      </c>
      <c r="K837" s="1126" t="s">
        <v>1</v>
      </c>
      <c r="L837" s="697" t="s">
        <v>1</v>
      </c>
    </row>
    <row r="838" spans="1:12" ht="15.75" x14ac:dyDescent="0.25">
      <c r="A838" s="1099" t="s">
        <v>1</v>
      </c>
      <c r="B838" s="1103" t="s">
        <v>1</v>
      </c>
      <c r="C838" s="703" t="s">
        <v>1</v>
      </c>
      <c r="D838" s="681" t="s">
        <v>1</v>
      </c>
      <c r="E838" s="1126" t="s">
        <v>1</v>
      </c>
      <c r="F838" s="697" t="s">
        <v>1</v>
      </c>
      <c r="G838" s="698" t="s">
        <v>1</v>
      </c>
      <c r="H838" s="1103" t="s">
        <v>1</v>
      </c>
      <c r="I838" s="703" t="s">
        <v>1</v>
      </c>
      <c r="J838" s="681" t="s">
        <v>1</v>
      </c>
      <c r="K838" s="1126" t="s">
        <v>1</v>
      </c>
      <c r="L838" s="697" t="s">
        <v>1</v>
      </c>
    </row>
    <row r="839" spans="1:12" ht="15.75" x14ac:dyDescent="0.25">
      <c r="A839" s="1099" t="s">
        <v>1</v>
      </c>
      <c r="B839" s="1103" t="s">
        <v>1</v>
      </c>
      <c r="C839" s="703" t="s">
        <v>1</v>
      </c>
      <c r="D839" s="687" t="s">
        <v>1</v>
      </c>
      <c r="E839" s="1126" t="s">
        <v>1</v>
      </c>
      <c r="F839" s="697" t="s">
        <v>1</v>
      </c>
      <c r="G839" s="697" t="s">
        <v>1</v>
      </c>
      <c r="H839" s="703" t="s">
        <v>1</v>
      </c>
      <c r="I839" s="703" t="s">
        <v>1</v>
      </c>
      <c r="J839" s="681" t="s">
        <v>1</v>
      </c>
      <c r="K839" s="1126" t="s">
        <v>1</v>
      </c>
      <c r="L839" s="697" t="s">
        <v>1</v>
      </c>
    </row>
    <row r="840" spans="1:12" ht="15.75" x14ac:dyDescent="0.25">
      <c r="A840" s="1102" t="s">
        <v>1</v>
      </c>
      <c r="B840" s="1106" t="s">
        <v>1</v>
      </c>
      <c r="C840" s="570" t="s">
        <v>1</v>
      </c>
      <c r="D840" s="605" t="s">
        <v>1</v>
      </c>
      <c r="E840" s="1133" t="s">
        <v>1</v>
      </c>
      <c r="F840" s="1120" t="s">
        <v>1</v>
      </c>
      <c r="G840" s="700" t="s">
        <v>1</v>
      </c>
      <c r="H840" s="1108" t="s">
        <v>1</v>
      </c>
      <c r="I840" s="1108" t="s">
        <v>1</v>
      </c>
      <c r="J840" s="692" t="s">
        <v>1</v>
      </c>
      <c r="K840" s="1139" t="s">
        <v>1</v>
      </c>
      <c r="L840" s="700" t="s">
        <v>1</v>
      </c>
    </row>
  </sheetData>
  <mergeCells count="126">
    <mergeCell ref="A803:L803"/>
    <mergeCell ref="E804:I804"/>
    <mergeCell ref="K804:L804"/>
    <mergeCell ref="I805:J805"/>
    <mergeCell ref="A761:L761"/>
    <mergeCell ref="A762:L762"/>
    <mergeCell ref="A763:L763"/>
    <mergeCell ref="E764:I764"/>
    <mergeCell ref="K764:L764"/>
    <mergeCell ref="I765:J765"/>
    <mergeCell ref="A721:L721"/>
    <mergeCell ref="A722:L722"/>
    <mergeCell ref="A723:L723"/>
    <mergeCell ref="E724:I724"/>
    <mergeCell ref="K724:L724"/>
    <mergeCell ref="I725:J725"/>
    <mergeCell ref="I685:J685"/>
    <mergeCell ref="A801:L801"/>
    <mergeCell ref="A802:L802"/>
    <mergeCell ref="A681:L681"/>
    <mergeCell ref="A682:L682"/>
    <mergeCell ref="A683:L683"/>
    <mergeCell ref="E684:I684"/>
    <mergeCell ref="K684:L684"/>
    <mergeCell ref="A641:L641"/>
    <mergeCell ref="A642:L642"/>
    <mergeCell ref="A643:L643"/>
    <mergeCell ref="E644:I644"/>
    <mergeCell ref="K644:L644"/>
    <mergeCell ref="I645:J645"/>
    <mergeCell ref="A601:L601"/>
    <mergeCell ref="A602:L602"/>
    <mergeCell ref="A603:L603"/>
    <mergeCell ref="E604:I604"/>
    <mergeCell ref="K604:L604"/>
    <mergeCell ref="I605:J605"/>
    <mergeCell ref="A561:L561"/>
    <mergeCell ref="A562:L562"/>
    <mergeCell ref="A563:L563"/>
    <mergeCell ref="E564:I564"/>
    <mergeCell ref="K564:L564"/>
    <mergeCell ref="I565:J565"/>
    <mergeCell ref="A521:L521"/>
    <mergeCell ref="A522:L522"/>
    <mergeCell ref="A523:L523"/>
    <mergeCell ref="E524:I524"/>
    <mergeCell ref="K524:L524"/>
    <mergeCell ref="I525:J525"/>
    <mergeCell ref="A481:L481"/>
    <mergeCell ref="A482:L482"/>
    <mergeCell ref="A483:L483"/>
    <mergeCell ref="E484:I484"/>
    <mergeCell ref="K484:L484"/>
    <mergeCell ref="I485:J485"/>
    <mergeCell ref="A441:L441"/>
    <mergeCell ref="A442:L442"/>
    <mergeCell ref="A443:L443"/>
    <mergeCell ref="E444:I444"/>
    <mergeCell ref="K444:L444"/>
    <mergeCell ref="I445:J445"/>
    <mergeCell ref="A401:L401"/>
    <mergeCell ref="A402:L402"/>
    <mergeCell ref="A403:L403"/>
    <mergeCell ref="E404:I404"/>
    <mergeCell ref="K404:L404"/>
    <mergeCell ref="I405:J405"/>
    <mergeCell ref="A361:L361"/>
    <mergeCell ref="A362:L362"/>
    <mergeCell ref="A363:L363"/>
    <mergeCell ref="E364:I364"/>
    <mergeCell ref="K364:L364"/>
    <mergeCell ref="I365:J365"/>
    <mergeCell ref="A321:L321"/>
    <mergeCell ref="A322:L322"/>
    <mergeCell ref="A323:L323"/>
    <mergeCell ref="E324:I324"/>
    <mergeCell ref="K324:L324"/>
    <mergeCell ref="I325:J325"/>
    <mergeCell ref="A281:L281"/>
    <mergeCell ref="A282:L282"/>
    <mergeCell ref="A283:L283"/>
    <mergeCell ref="E284:I284"/>
    <mergeCell ref="K284:L284"/>
    <mergeCell ref="I285:J285"/>
    <mergeCell ref="A241:L241"/>
    <mergeCell ref="A242:L242"/>
    <mergeCell ref="A243:L243"/>
    <mergeCell ref="E244:I244"/>
    <mergeCell ref="K244:L244"/>
    <mergeCell ref="I245:J245"/>
    <mergeCell ref="A201:L201"/>
    <mergeCell ref="A202:L202"/>
    <mergeCell ref="A203:L203"/>
    <mergeCell ref="E204:I204"/>
    <mergeCell ref="K204:L204"/>
    <mergeCell ref="I205:J205"/>
    <mergeCell ref="A161:L161"/>
    <mergeCell ref="A162:L162"/>
    <mergeCell ref="A163:L163"/>
    <mergeCell ref="E164:I164"/>
    <mergeCell ref="K164:L164"/>
    <mergeCell ref="I165:J165"/>
    <mergeCell ref="A121:L121"/>
    <mergeCell ref="A122:L122"/>
    <mergeCell ref="A123:L123"/>
    <mergeCell ref="E124:I124"/>
    <mergeCell ref="K124:L124"/>
    <mergeCell ref="I125:J125"/>
    <mergeCell ref="A81:L81"/>
    <mergeCell ref="A82:L82"/>
    <mergeCell ref="A83:L83"/>
    <mergeCell ref="E84:I84"/>
    <mergeCell ref="K84:L84"/>
    <mergeCell ref="I85:J85"/>
    <mergeCell ref="A41:L41"/>
    <mergeCell ref="A42:L42"/>
    <mergeCell ref="A43:L43"/>
    <mergeCell ref="E44:I44"/>
    <mergeCell ref="K44:L44"/>
    <mergeCell ref="I45:J45"/>
    <mergeCell ref="A1:L1"/>
    <mergeCell ref="A2:L2"/>
    <mergeCell ref="A3:L3"/>
    <mergeCell ref="E4:I4"/>
    <mergeCell ref="K4:L4"/>
    <mergeCell ref="I5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0F85-BF34-4C3C-AFF8-FD96840562B4}">
  <dimension ref="A1:L680"/>
  <sheetViews>
    <sheetView topLeftCell="A310" zoomScaleNormal="100" zoomScaleSheetLayoutView="100" workbookViewId="0">
      <selection activeCell="G357" sqref="G357"/>
    </sheetView>
    <sheetView workbookViewId="1">
      <selection sqref="A1:L1"/>
    </sheetView>
  </sheetViews>
  <sheetFormatPr defaultRowHeight="15" x14ac:dyDescent="0.25"/>
  <cols>
    <col min="1" max="3" width="10.42578125" customWidth="1"/>
    <col min="4" max="4" width="27.85546875" customWidth="1"/>
    <col min="5" max="9" width="10.42578125" customWidth="1"/>
    <col min="10" max="10" width="27.85546875" customWidth="1"/>
    <col min="11" max="12" width="10.42578125" customWidth="1"/>
  </cols>
  <sheetData>
    <row r="1" spans="1:12" ht="23.25" x14ac:dyDescent="0.35">
      <c r="A1" s="1237" t="s">
        <v>712</v>
      </c>
      <c r="B1" s="1238"/>
      <c r="C1" s="1238"/>
      <c r="D1" s="1238"/>
      <c r="E1" s="1238"/>
      <c r="F1" s="1238"/>
      <c r="G1" s="1238"/>
      <c r="H1" s="1238"/>
      <c r="I1" s="1238"/>
      <c r="J1" s="1238"/>
      <c r="K1" s="1238"/>
      <c r="L1" s="1239"/>
    </row>
    <row r="2" spans="1:12" ht="23.25" x14ac:dyDescent="0.35">
      <c r="A2" s="1240" t="s">
        <v>713</v>
      </c>
      <c r="B2" s="1241"/>
      <c r="C2" s="1241"/>
      <c r="D2" s="1241"/>
      <c r="E2" s="1241"/>
      <c r="F2" s="1241"/>
      <c r="G2" s="1241"/>
      <c r="H2" s="1241"/>
      <c r="I2" s="1241"/>
      <c r="J2" s="1241"/>
      <c r="K2" s="1241"/>
      <c r="L2" s="1242"/>
    </row>
    <row r="3" spans="1:12" ht="23.25" x14ac:dyDescent="0.35">
      <c r="A3" s="1243" t="s">
        <v>714</v>
      </c>
      <c r="B3" s="1244"/>
      <c r="C3" s="1244"/>
      <c r="D3" s="1244"/>
      <c r="E3" s="1244"/>
      <c r="F3" s="1244"/>
      <c r="G3" s="1244"/>
      <c r="H3" s="1244"/>
      <c r="I3" s="1244"/>
      <c r="J3" s="1244"/>
      <c r="K3" s="1244"/>
      <c r="L3" s="1245"/>
    </row>
    <row r="4" spans="1:12" ht="23.25" x14ac:dyDescent="0.35">
      <c r="A4" s="619" t="s">
        <v>968</v>
      </c>
      <c r="B4" s="620"/>
      <c r="C4" s="620"/>
      <c r="D4" s="621" t="s">
        <v>716</v>
      </c>
      <c r="E4" s="1241" t="s">
        <v>597</v>
      </c>
      <c r="F4" s="1241"/>
      <c r="G4" s="1241"/>
      <c r="H4" s="1241"/>
      <c r="I4" s="1241"/>
      <c r="J4" s="618" t="s">
        <v>718</v>
      </c>
      <c r="K4" s="1241"/>
      <c r="L4" s="1242"/>
    </row>
    <row r="5" spans="1:12" x14ac:dyDescent="0.25">
      <c r="A5" s="622"/>
      <c r="B5" s="623"/>
      <c r="C5" s="623"/>
      <c r="D5" s="624"/>
      <c r="E5" s="623"/>
      <c r="F5" s="623"/>
      <c r="G5" s="623"/>
      <c r="H5" s="623"/>
      <c r="I5" s="1246"/>
      <c r="J5" s="1246"/>
      <c r="K5" s="623"/>
      <c r="L5" s="625"/>
    </row>
    <row r="6" spans="1:12" ht="15.75" x14ac:dyDescent="0.25">
      <c r="A6" s="626" t="s">
        <v>719</v>
      </c>
      <c r="B6" s="627"/>
      <c r="C6" s="628"/>
      <c r="D6" s="629" t="s">
        <v>720</v>
      </c>
      <c r="E6" s="630" t="s">
        <v>721</v>
      </c>
      <c r="F6" s="631" t="s">
        <v>722</v>
      </c>
      <c r="G6" s="626" t="s">
        <v>719</v>
      </c>
      <c r="H6" s="632"/>
      <c r="I6" s="633"/>
      <c r="J6" s="634" t="s">
        <v>720</v>
      </c>
      <c r="K6" s="626" t="s">
        <v>721</v>
      </c>
      <c r="L6" s="626" t="s">
        <v>722</v>
      </c>
    </row>
    <row r="7" spans="1:12" ht="15.75" x14ac:dyDescent="0.25">
      <c r="A7" s="635"/>
      <c r="B7" s="636"/>
      <c r="C7" s="637"/>
      <c r="D7" s="638"/>
      <c r="E7" s="639"/>
      <c r="F7" s="640"/>
      <c r="G7" s="641"/>
      <c r="H7" s="642"/>
      <c r="I7" s="643"/>
      <c r="J7" s="644"/>
      <c r="K7" s="645"/>
      <c r="L7" s="646"/>
    </row>
    <row r="8" spans="1:12" ht="15.75" x14ac:dyDescent="0.25">
      <c r="A8" s="647"/>
      <c r="B8" s="648" t="s">
        <v>273</v>
      </c>
      <c r="C8" s="649">
        <v>101</v>
      </c>
      <c r="D8" s="650" t="s">
        <v>852</v>
      </c>
      <c r="E8" s="651"/>
      <c r="F8" s="652"/>
      <c r="G8" s="647"/>
      <c r="H8" s="648"/>
      <c r="I8" s="649"/>
      <c r="J8" s="650"/>
      <c r="K8" s="651"/>
      <c r="L8" s="653"/>
    </row>
    <row r="9" spans="1:12" ht="15.75" x14ac:dyDescent="0.25">
      <c r="A9" s="647" t="s">
        <v>725</v>
      </c>
      <c r="B9" s="654"/>
      <c r="C9" s="649"/>
      <c r="D9" s="650" t="s">
        <v>726</v>
      </c>
      <c r="E9" s="651"/>
      <c r="F9" s="655">
        <v>0.30555555555555558</v>
      </c>
      <c r="G9" s="647"/>
      <c r="H9" s="648"/>
      <c r="I9" s="649"/>
      <c r="J9" s="656"/>
      <c r="K9" s="651"/>
      <c r="L9" s="657"/>
    </row>
    <row r="10" spans="1:12" ht="15.75" x14ac:dyDescent="0.25">
      <c r="A10" s="647">
        <v>7</v>
      </c>
      <c r="B10" s="648"/>
      <c r="C10" s="649"/>
      <c r="D10" s="656" t="s">
        <v>728</v>
      </c>
      <c r="E10" s="651"/>
      <c r="F10" s="657">
        <v>0.3263888888888889</v>
      </c>
      <c r="G10" s="647"/>
      <c r="H10" s="648"/>
      <c r="I10" s="649"/>
      <c r="J10" s="650"/>
      <c r="K10" s="651"/>
      <c r="L10" s="653"/>
    </row>
    <row r="11" spans="1:12" ht="15.75" x14ac:dyDescent="0.25">
      <c r="A11" s="647"/>
      <c r="B11" s="648"/>
      <c r="C11" s="649"/>
      <c r="D11" s="650"/>
      <c r="E11" s="651"/>
      <c r="F11" s="653"/>
      <c r="G11" s="647"/>
      <c r="H11" s="648"/>
      <c r="I11" s="649"/>
      <c r="J11" s="617"/>
      <c r="K11" s="651"/>
      <c r="L11" s="658"/>
    </row>
    <row r="12" spans="1:12" ht="15.75" x14ac:dyDescent="0.25">
      <c r="A12" s="647">
        <v>7</v>
      </c>
      <c r="B12" s="648"/>
      <c r="C12" s="649"/>
      <c r="D12" s="659" t="s">
        <v>50</v>
      </c>
      <c r="E12" s="651"/>
      <c r="F12" s="660">
        <v>0.375</v>
      </c>
      <c r="G12" s="647"/>
      <c r="H12" s="648"/>
      <c r="I12" s="649"/>
      <c r="J12" s="661"/>
      <c r="K12" s="651"/>
      <c r="L12" s="653"/>
    </row>
    <row r="13" spans="1:12" ht="15.75" x14ac:dyDescent="0.25">
      <c r="A13" s="647"/>
      <c r="B13" s="648"/>
      <c r="C13" s="649"/>
      <c r="D13" s="661"/>
      <c r="E13" s="651"/>
      <c r="F13" s="653"/>
      <c r="G13" s="647"/>
      <c r="H13" s="648"/>
      <c r="I13" s="649"/>
      <c r="J13" s="656"/>
      <c r="K13" s="662"/>
      <c r="L13" s="657"/>
    </row>
    <row r="14" spans="1:12" ht="15.75" x14ac:dyDescent="0.25">
      <c r="A14" s="647"/>
      <c r="B14" s="648"/>
      <c r="C14" s="649"/>
      <c r="D14" s="656" t="s">
        <v>728</v>
      </c>
      <c r="E14" s="662">
        <v>0.4375</v>
      </c>
      <c r="F14" s="657"/>
      <c r="G14" s="647"/>
      <c r="H14" s="648"/>
      <c r="I14" s="649"/>
      <c r="J14" s="650"/>
      <c r="K14" s="651"/>
      <c r="L14" s="653"/>
    </row>
    <row r="15" spans="1:12" ht="15.75" x14ac:dyDescent="0.25">
      <c r="A15" s="647"/>
      <c r="B15" s="648" t="s">
        <v>273</v>
      </c>
      <c r="C15" s="649">
        <v>101</v>
      </c>
      <c r="D15" s="650" t="s">
        <v>969</v>
      </c>
      <c r="E15" s="651"/>
      <c r="F15" s="653"/>
      <c r="G15" s="647"/>
      <c r="H15" s="648"/>
      <c r="I15" s="649"/>
      <c r="J15" s="650"/>
      <c r="K15" s="651"/>
      <c r="L15" s="653"/>
    </row>
    <row r="16" spans="1:12" ht="15.75" x14ac:dyDescent="0.25">
      <c r="A16" s="647"/>
      <c r="B16" s="648"/>
      <c r="C16" s="649"/>
      <c r="D16" s="661"/>
      <c r="E16" s="651"/>
      <c r="F16" s="653"/>
      <c r="G16" s="647"/>
      <c r="H16" s="648"/>
      <c r="I16" s="649"/>
      <c r="J16" s="650"/>
      <c r="K16" s="651"/>
      <c r="L16" s="653"/>
    </row>
    <row r="17" spans="1:12" ht="15.75" x14ac:dyDescent="0.25">
      <c r="A17" s="647"/>
      <c r="B17" s="648" t="s">
        <v>273</v>
      </c>
      <c r="C17" s="649">
        <v>153</v>
      </c>
      <c r="D17" s="650" t="s">
        <v>803</v>
      </c>
      <c r="E17" s="651"/>
      <c r="F17" s="653"/>
      <c r="G17" s="647"/>
      <c r="H17" s="648"/>
      <c r="I17" s="649"/>
      <c r="J17" s="656"/>
      <c r="K17" s="651"/>
      <c r="L17" s="657"/>
    </row>
    <row r="18" spans="1:12" ht="15.75" x14ac:dyDescent="0.25">
      <c r="A18" s="647">
        <v>7</v>
      </c>
      <c r="B18" s="648"/>
      <c r="C18" s="649"/>
      <c r="D18" s="656" t="s">
        <v>728</v>
      </c>
      <c r="E18" s="651"/>
      <c r="F18" s="657">
        <v>0.4375</v>
      </c>
      <c r="G18" s="647"/>
      <c r="H18" s="648"/>
      <c r="I18" s="649"/>
      <c r="J18" s="650"/>
      <c r="K18" s="651"/>
      <c r="L18" s="653"/>
    </row>
    <row r="19" spans="1:12" ht="15.75" x14ac:dyDescent="0.25">
      <c r="A19" s="647"/>
      <c r="B19" s="648"/>
      <c r="C19" s="649"/>
      <c r="D19" s="650"/>
      <c r="E19" s="651"/>
      <c r="F19" s="653"/>
      <c r="G19" s="647"/>
      <c r="H19" s="648"/>
      <c r="I19" s="649"/>
      <c r="J19" s="617"/>
      <c r="K19" s="651"/>
      <c r="L19" s="658"/>
    </row>
    <row r="20" spans="1:12" ht="15.75" x14ac:dyDescent="0.25">
      <c r="A20" s="647">
        <v>7</v>
      </c>
      <c r="B20" s="648"/>
      <c r="C20" s="649"/>
      <c r="D20" s="659" t="s">
        <v>50</v>
      </c>
      <c r="E20" s="651"/>
      <c r="F20" s="660">
        <v>0.51388888888888884</v>
      </c>
      <c r="G20" s="647"/>
      <c r="H20" s="648"/>
      <c r="I20" s="649"/>
      <c r="J20" s="661"/>
      <c r="K20" s="651"/>
      <c r="L20" s="653"/>
    </row>
    <row r="21" spans="1:12" ht="15.75" x14ac:dyDescent="0.25">
      <c r="A21" s="647"/>
      <c r="B21" s="648"/>
      <c r="C21" s="649"/>
      <c r="D21" s="661"/>
      <c r="E21" s="651"/>
      <c r="F21" s="653"/>
      <c r="G21" s="647"/>
      <c r="H21" s="648"/>
      <c r="I21" s="649"/>
      <c r="J21" s="656"/>
      <c r="K21" s="662"/>
      <c r="L21" s="657"/>
    </row>
    <row r="22" spans="1:12" ht="15.75" x14ac:dyDescent="0.25">
      <c r="A22" s="647"/>
      <c r="B22" s="648"/>
      <c r="C22" s="649"/>
      <c r="D22" s="656" t="s">
        <v>728</v>
      </c>
      <c r="E22" s="662">
        <v>0.58333333333333337</v>
      </c>
      <c r="F22" s="657"/>
      <c r="G22" s="647"/>
      <c r="H22" s="648"/>
      <c r="I22" s="649"/>
      <c r="J22" s="650"/>
      <c r="K22" s="651"/>
      <c r="L22" s="653"/>
    </row>
    <row r="23" spans="1:12" ht="15.75" x14ac:dyDescent="0.25">
      <c r="A23" s="647"/>
      <c r="B23" s="648" t="s">
        <v>273</v>
      </c>
      <c r="C23" s="649">
        <v>153</v>
      </c>
      <c r="D23" s="650" t="s">
        <v>970</v>
      </c>
      <c r="E23" s="651"/>
      <c r="F23" s="653"/>
      <c r="G23" s="647"/>
      <c r="H23" s="648"/>
      <c r="I23" s="649"/>
      <c r="J23" s="617"/>
      <c r="K23" s="662"/>
      <c r="L23" s="658"/>
    </row>
    <row r="24" spans="1:12" ht="15.75" x14ac:dyDescent="0.25">
      <c r="A24" s="647"/>
      <c r="B24" s="648"/>
      <c r="C24" s="649"/>
      <c r="D24" s="661"/>
      <c r="E24" s="651"/>
      <c r="F24" s="653"/>
      <c r="G24" s="647"/>
      <c r="H24" s="648"/>
      <c r="I24" s="649"/>
      <c r="J24" s="650"/>
      <c r="K24" s="662"/>
      <c r="L24" s="664"/>
    </row>
    <row r="25" spans="1:12" ht="15.75" x14ac:dyDescent="0.25">
      <c r="A25" s="647"/>
      <c r="B25" s="648" t="s">
        <v>273</v>
      </c>
      <c r="C25" s="649">
        <v>156</v>
      </c>
      <c r="D25" s="650" t="s">
        <v>804</v>
      </c>
      <c r="E25" s="651"/>
      <c r="F25" s="653"/>
      <c r="G25" s="647"/>
      <c r="H25" s="648"/>
      <c r="I25" s="649"/>
      <c r="J25" s="650"/>
      <c r="K25" s="651"/>
      <c r="L25" s="653"/>
    </row>
    <row r="26" spans="1:12" ht="15.75" x14ac:dyDescent="0.25">
      <c r="A26" s="647">
        <v>7</v>
      </c>
      <c r="B26" s="648"/>
      <c r="C26" s="649"/>
      <c r="D26" s="656" t="s">
        <v>728</v>
      </c>
      <c r="E26" s="651"/>
      <c r="F26" s="657">
        <v>0.58333333333333337</v>
      </c>
      <c r="G26" s="647"/>
      <c r="H26" s="648"/>
      <c r="I26" s="649"/>
      <c r="J26" s="663"/>
      <c r="K26" s="662"/>
      <c r="L26" s="658"/>
    </row>
    <row r="27" spans="1:12" ht="15.75" x14ac:dyDescent="0.25">
      <c r="A27" s="647"/>
      <c r="B27" s="648"/>
      <c r="C27" s="649"/>
      <c r="D27" s="650"/>
      <c r="E27" s="651"/>
      <c r="F27" s="653"/>
      <c r="G27" s="647"/>
      <c r="H27" s="648"/>
      <c r="I27" s="649"/>
      <c r="J27" s="663"/>
      <c r="K27" s="651"/>
      <c r="L27" s="653"/>
    </row>
    <row r="28" spans="1:12" ht="15.75" x14ac:dyDescent="0.25">
      <c r="A28" s="647">
        <v>7</v>
      </c>
      <c r="B28" s="648"/>
      <c r="C28" s="649"/>
      <c r="D28" s="659" t="s">
        <v>50</v>
      </c>
      <c r="E28" s="651"/>
      <c r="F28" s="660">
        <v>0.65277777777777779</v>
      </c>
      <c r="G28" s="647"/>
      <c r="H28" s="648"/>
      <c r="I28" s="649"/>
      <c r="J28" s="650"/>
      <c r="K28" s="651"/>
      <c r="L28" s="664"/>
    </row>
    <row r="29" spans="1:12" ht="15.75" x14ac:dyDescent="0.25">
      <c r="A29" s="647"/>
      <c r="B29" s="648"/>
      <c r="C29" s="649"/>
      <c r="D29" s="661"/>
      <c r="E29" s="651"/>
      <c r="F29" s="653"/>
      <c r="G29" s="647"/>
      <c r="H29" s="648"/>
      <c r="I29" s="649"/>
      <c r="J29" s="650"/>
      <c r="K29" s="651"/>
      <c r="L29" s="653"/>
    </row>
    <row r="30" spans="1:12" ht="15.75" x14ac:dyDescent="0.25">
      <c r="A30" s="647" t="s">
        <v>727</v>
      </c>
      <c r="B30" s="648"/>
      <c r="C30" s="649"/>
      <c r="D30" s="656" t="s">
        <v>728</v>
      </c>
      <c r="E30" s="662"/>
      <c r="F30" s="657">
        <v>0.72222222222222221</v>
      </c>
      <c r="G30" s="647"/>
      <c r="H30" s="648"/>
      <c r="I30" s="649"/>
      <c r="J30" s="617"/>
      <c r="K30" s="651"/>
      <c r="L30" s="658"/>
    </row>
    <row r="31" spans="1:12" ht="15.75" x14ac:dyDescent="0.25">
      <c r="A31" s="647"/>
      <c r="B31" s="648"/>
      <c r="C31" s="649"/>
      <c r="D31" s="650"/>
      <c r="E31" s="651"/>
      <c r="F31" s="653"/>
      <c r="G31" s="647"/>
      <c r="H31" s="648"/>
      <c r="I31" s="649"/>
      <c r="J31" s="661"/>
      <c r="K31" s="651"/>
      <c r="L31" s="653"/>
    </row>
    <row r="32" spans="1:12" ht="15.75" x14ac:dyDescent="0.25">
      <c r="A32" s="647" t="s">
        <v>725</v>
      </c>
      <c r="B32" s="648"/>
      <c r="C32" s="649"/>
      <c r="D32" s="617" t="s">
        <v>48</v>
      </c>
      <c r="E32" s="662">
        <v>0.78055555555555556</v>
      </c>
      <c r="F32" s="658"/>
      <c r="G32" s="647"/>
      <c r="H32" s="648"/>
      <c r="I32" s="649"/>
      <c r="J32" s="650"/>
      <c r="K32" s="662"/>
      <c r="L32" s="664"/>
    </row>
    <row r="33" spans="1:12" ht="15.75" x14ac:dyDescent="0.25">
      <c r="A33" s="647"/>
      <c r="B33" s="648"/>
      <c r="C33" s="649"/>
      <c r="D33" s="650" t="s">
        <v>733</v>
      </c>
      <c r="E33" s="662">
        <v>0.80138888888888893</v>
      </c>
      <c r="F33" s="664"/>
      <c r="G33" s="647"/>
      <c r="H33" s="648"/>
      <c r="I33" s="649"/>
      <c r="J33" s="650"/>
      <c r="K33" s="651"/>
      <c r="L33" s="653"/>
    </row>
    <row r="34" spans="1:12" ht="15.75" x14ac:dyDescent="0.25">
      <c r="A34" s="647"/>
      <c r="B34" s="648" t="s">
        <v>276</v>
      </c>
      <c r="C34" s="649" t="s">
        <v>273</v>
      </c>
      <c r="D34" s="650"/>
      <c r="E34" s="651"/>
      <c r="F34" s="653"/>
      <c r="G34" s="647"/>
      <c r="H34" s="648"/>
      <c r="I34" s="649"/>
      <c r="J34" s="650"/>
      <c r="K34" s="662"/>
      <c r="L34" s="658"/>
    </row>
    <row r="35" spans="1:12" ht="15.75" x14ac:dyDescent="0.25">
      <c r="A35" s="647"/>
      <c r="B35" s="648"/>
      <c r="C35" s="649"/>
      <c r="D35" s="661"/>
      <c r="E35" s="651"/>
      <c r="F35" s="653"/>
      <c r="G35" s="647"/>
      <c r="H35" s="648"/>
      <c r="I35" s="649"/>
      <c r="J35" s="661"/>
      <c r="K35" s="651"/>
      <c r="L35" s="653"/>
    </row>
    <row r="36" spans="1:12" ht="15.75" x14ac:dyDescent="0.25">
      <c r="A36" s="647"/>
      <c r="B36" s="648"/>
      <c r="C36" s="649"/>
      <c r="D36" s="663"/>
      <c r="E36" s="662"/>
      <c r="F36" s="664"/>
      <c r="G36" s="647"/>
      <c r="H36" s="648"/>
      <c r="I36" s="649"/>
      <c r="J36" s="650"/>
      <c r="K36" s="662"/>
      <c r="L36" s="664"/>
    </row>
    <row r="37" spans="1:12" ht="15.75" x14ac:dyDescent="0.25">
      <c r="A37" s="647"/>
      <c r="B37" s="648"/>
      <c r="C37" s="649"/>
      <c r="D37" s="661"/>
      <c r="E37" s="651"/>
      <c r="F37" s="653"/>
      <c r="G37" s="647"/>
      <c r="H37" s="648"/>
      <c r="I37" s="649"/>
      <c r="J37" s="661"/>
      <c r="K37" s="651"/>
      <c r="L37" s="653"/>
    </row>
    <row r="38" spans="1:12" ht="15.75" x14ac:dyDescent="0.25">
      <c r="A38" s="647"/>
      <c r="B38" s="648"/>
      <c r="C38" s="649"/>
      <c r="D38" s="650"/>
      <c r="E38" s="651"/>
      <c r="F38" s="653"/>
      <c r="G38" s="647"/>
      <c r="H38" s="648"/>
      <c r="I38" s="649"/>
      <c r="J38" s="650"/>
      <c r="K38" s="651"/>
      <c r="L38" s="653"/>
    </row>
    <row r="39" spans="1:12" ht="15.75" x14ac:dyDescent="0.25">
      <c r="A39" s="647"/>
      <c r="B39" s="648"/>
      <c r="C39" s="665"/>
      <c r="D39" s="661"/>
      <c r="E39" s="651"/>
      <c r="F39" s="653"/>
      <c r="G39" s="666"/>
      <c r="H39" s="648"/>
      <c r="I39" s="665"/>
      <c r="J39" s="650"/>
      <c r="K39" s="651"/>
      <c r="L39" s="653"/>
    </row>
    <row r="40" spans="1:12" ht="15.75" x14ac:dyDescent="0.25">
      <c r="A40" s="667"/>
      <c r="B40" s="668"/>
      <c r="C40" s="669"/>
      <c r="D40" s="670"/>
      <c r="E40" s="671"/>
      <c r="F40" s="672"/>
      <c r="G40" s="673"/>
      <c r="H40" s="674"/>
      <c r="I40" s="675"/>
      <c r="J40" s="676"/>
      <c r="K40" s="671"/>
      <c r="L40" s="677"/>
    </row>
    <row r="41" spans="1:12" ht="23.25" x14ac:dyDescent="0.35">
      <c r="A41" s="1237" t="s">
        <v>712</v>
      </c>
      <c r="B41" s="1238"/>
      <c r="C41" s="1238"/>
      <c r="D41" s="1238"/>
      <c r="E41" s="1238"/>
      <c r="F41" s="1238"/>
      <c r="G41" s="1238"/>
      <c r="H41" s="1238"/>
      <c r="I41" s="1238"/>
      <c r="J41" s="1238"/>
      <c r="K41" s="1238"/>
      <c r="L41" s="1239"/>
    </row>
    <row r="42" spans="1:12" ht="23.25" x14ac:dyDescent="0.35">
      <c r="A42" s="1240" t="s">
        <v>713</v>
      </c>
      <c r="B42" s="1241"/>
      <c r="C42" s="1241"/>
      <c r="D42" s="1241"/>
      <c r="E42" s="1241"/>
      <c r="F42" s="1241"/>
      <c r="G42" s="1241"/>
      <c r="H42" s="1241"/>
      <c r="I42" s="1241"/>
      <c r="J42" s="1241"/>
      <c r="K42" s="1241"/>
      <c r="L42" s="1242"/>
    </row>
    <row r="43" spans="1:12" ht="23.25" x14ac:dyDescent="0.35">
      <c r="A43" s="1243" t="s">
        <v>714</v>
      </c>
      <c r="B43" s="1244"/>
      <c r="C43" s="1244"/>
      <c r="D43" s="1244"/>
      <c r="E43" s="1244"/>
      <c r="F43" s="1244"/>
      <c r="G43" s="1244"/>
      <c r="H43" s="1244"/>
      <c r="I43" s="1244"/>
      <c r="J43" s="1244"/>
      <c r="K43" s="1244"/>
      <c r="L43" s="1245"/>
    </row>
    <row r="44" spans="1:12" ht="23.25" x14ac:dyDescent="0.35">
      <c r="A44" s="619" t="s">
        <v>968</v>
      </c>
      <c r="B44" s="620"/>
      <c r="C44" s="620"/>
      <c r="D44" s="621" t="s">
        <v>716</v>
      </c>
      <c r="E44" s="1241" t="s">
        <v>597</v>
      </c>
      <c r="F44" s="1241"/>
      <c r="G44" s="1241"/>
      <c r="H44" s="1241"/>
      <c r="I44" s="1241"/>
      <c r="J44" s="618" t="s">
        <v>735</v>
      </c>
      <c r="K44" s="1241"/>
      <c r="L44" s="1242"/>
    </row>
    <row r="45" spans="1:12" x14ac:dyDescent="0.25">
      <c r="A45" s="622"/>
      <c r="B45" s="623"/>
      <c r="C45" s="623"/>
      <c r="D45" s="624"/>
      <c r="E45" s="623"/>
      <c r="F45" s="623"/>
      <c r="G45" s="623"/>
      <c r="H45" s="623"/>
      <c r="I45" s="1246"/>
      <c r="J45" s="1246"/>
      <c r="K45" s="623"/>
      <c r="L45" s="625"/>
    </row>
    <row r="46" spans="1:12" ht="15.75" x14ac:dyDescent="0.25">
      <c r="A46" s="626" t="s">
        <v>719</v>
      </c>
      <c r="B46" s="627"/>
      <c r="C46" s="628"/>
      <c r="D46" s="629" t="s">
        <v>720</v>
      </c>
      <c r="E46" s="630" t="s">
        <v>721</v>
      </c>
      <c r="F46" s="631" t="s">
        <v>722</v>
      </c>
      <c r="G46" s="626" t="s">
        <v>719</v>
      </c>
      <c r="H46" s="632"/>
      <c r="I46" s="633"/>
      <c r="J46" s="634" t="s">
        <v>720</v>
      </c>
      <c r="K46" s="626" t="s">
        <v>721</v>
      </c>
      <c r="L46" s="626" t="s">
        <v>722</v>
      </c>
    </row>
    <row r="47" spans="1:12" ht="15.75" x14ac:dyDescent="0.25">
      <c r="A47" s="635"/>
      <c r="B47" s="636"/>
      <c r="C47" s="637"/>
      <c r="D47" s="638"/>
      <c r="E47" s="639"/>
      <c r="F47" s="640"/>
      <c r="G47" s="641"/>
      <c r="H47" s="642"/>
      <c r="I47" s="643"/>
      <c r="J47" s="644"/>
      <c r="K47" s="645"/>
      <c r="L47" s="646"/>
    </row>
    <row r="48" spans="1:12" ht="15.75" x14ac:dyDescent="0.25">
      <c r="A48" s="647"/>
      <c r="B48" s="648" t="s">
        <v>273</v>
      </c>
      <c r="C48" s="649">
        <v>102</v>
      </c>
      <c r="D48" s="650" t="s">
        <v>857</v>
      </c>
      <c r="E48" s="651"/>
      <c r="F48" s="652"/>
      <c r="G48" s="647"/>
      <c r="H48" s="648"/>
      <c r="I48" s="649"/>
      <c r="J48" s="650"/>
      <c r="K48" s="651"/>
      <c r="L48" s="653"/>
    </row>
    <row r="49" spans="1:12" ht="15.75" x14ac:dyDescent="0.25">
      <c r="A49" s="647" t="s">
        <v>725</v>
      </c>
      <c r="B49" s="654"/>
      <c r="C49" s="649"/>
      <c r="D49" s="650" t="s">
        <v>726</v>
      </c>
      <c r="E49" s="651"/>
      <c r="F49" s="655">
        <v>0.3125</v>
      </c>
      <c r="G49" s="647"/>
      <c r="H49" s="648"/>
      <c r="I49" s="649"/>
      <c r="J49" s="656"/>
      <c r="K49" s="651"/>
      <c r="L49" s="657"/>
    </row>
    <row r="50" spans="1:12" ht="15.75" x14ac:dyDescent="0.25">
      <c r="A50" s="647" t="s">
        <v>727</v>
      </c>
      <c r="B50" s="648"/>
      <c r="C50" s="649"/>
      <c r="D50" s="617" t="s">
        <v>48</v>
      </c>
      <c r="E50" s="651"/>
      <c r="F50" s="658">
        <v>0.33333333333333331</v>
      </c>
      <c r="G50" s="647"/>
      <c r="H50" s="648"/>
      <c r="I50" s="649"/>
      <c r="J50" s="650"/>
      <c r="K50" s="651"/>
      <c r="L50" s="653"/>
    </row>
    <row r="51" spans="1:12" ht="15.75" x14ac:dyDescent="0.25">
      <c r="A51" s="647"/>
      <c r="B51" s="648"/>
      <c r="C51" s="649"/>
      <c r="D51" s="650"/>
      <c r="E51" s="651"/>
      <c r="F51" s="653"/>
      <c r="G51" s="647"/>
      <c r="H51" s="648"/>
      <c r="I51" s="649"/>
      <c r="J51" s="617"/>
      <c r="K51" s="651"/>
      <c r="L51" s="658"/>
    </row>
    <row r="52" spans="1:12" ht="15.75" x14ac:dyDescent="0.25">
      <c r="A52" s="647" t="s">
        <v>727</v>
      </c>
      <c r="B52" s="648"/>
      <c r="C52" s="649"/>
      <c r="D52" s="656" t="s">
        <v>728</v>
      </c>
      <c r="E52" s="651"/>
      <c r="F52" s="657">
        <v>0.39583333333333331</v>
      </c>
      <c r="G52" s="647"/>
      <c r="H52" s="648"/>
      <c r="I52" s="649"/>
      <c r="J52" s="661"/>
      <c r="K52" s="651"/>
      <c r="L52" s="653"/>
    </row>
    <row r="53" spans="1:12" ht="15.75" x14ac:dyDescent="0.25">
      <c r="A53" s="647"/>
      <c r="B53" s="648"/>
      <c r="C53" s="649"/>
      <c r="D53" s="650"/>
      <c r="E53" s="651"/>
      <c r="F53" s="653"/>
      <c r="G53" s="647"/>
      <c r="H53" s="648"/>
      <c r="I53" s="649"/>
      <c r="J53" s="656"/>
      <c r="K53" s="662"/>
      <c r="L53" s="657"/>
    </row>
    <row r="54" spans="1:12" ht="15.75" x14ac:dyDescent="0.25">
      <c r="A54" s="647" t="s">
        <v>727</v>
      </c>
      <c r="B54" s="648"/>
      <c r="C54" s="649"/>
      <c r="D54" s="617" t="s">
        <v>48</v>
      </c>
      <c r="E54" s="651"/>
      <c r="F54" s="658">
        <v>0.44444444444444442</v>
      </c>
      <c r="G54" s="647"/>
      <c r="H54" s="648"/>
      <c r="I54" s="649"/>
      <c r="J54" s="650"/>
      <c r="K54" s="651"/>
      <c r="L54" s="653"/>
    </row>
    <row r="55" spans="1:12" ht="15.75" x14ac:dyDescent="0.25">
      <c r="A55" s="647"/>
      <c r="B55" s="648"/>
      <c r="C55" s="649"/>
      <c r="D55" s="661"/>
      <c r="E55" s="651"/>
      <c r="F55" s="653"/>
      <c r="G55" s="647"/>
      <c r="H55" s="648"/>
      <c r="I55" s="649"/>
      <c r="J55" s="650"/>
      <c r="K55" s="651"/>
      <c r="L55" s="653"/>
    </row>
    <row r="56" spans="1:12" ht="15.75" x14ac:dyDescent="0.25">
      <c r="A56" s="647"/>
      <c r="B56" s="648"/>
      <c r="C56" s="649"/>
      <c r="D56" s="656" t="s">
        <v>728</v>
      </c>
      <c r="E56" s="662">
        <v>0.51041666666666663</v>
      </c>
      <c r="F56" s="657"/>
      <c r="G56" s="647"/>
      <c r="H56" s="648"/>
      <c r="I56" s="649"/>
      <c r="J56" s="650"/>
      <c r="K56" s="651"/>
      <c r="L56" s="653"/>
    </row>
    <row r="57" spans="1:12" ht="15.75" x14ac:dyDescent="0.25">
      <c r="A57" s="647"/>
      <c r="B57" s="648" t="s">
        <v>276</v>
      </c>
      <c r="C57" s="649" t="s">
        <v>273</v>
      </c>
      <c r="D57" s="650"/>
      <c r="E57" s="651"/>
      <c r="F57" s="653"/>
      <c r="G57" s="647"/>
      <c r="H57" s="648"/>
      <c r="I57" s="649"/>
      <c r="J57" s="656"/>
      <c r="K57" s="651"/>
      <c r="L57" s="657"/>
    </row>
    <row r="58" spans="1:12" ht="15.75" x14ac:dyDescent="0.25">
      <c r="A58" s="647"/>
      <c r="B58" s="648"/>
      <c r="C58" s="649"/>
      <c r="D58" s="661"/>
      <c r="E58" s="651"/>
      <c r="F58" s="653"/>
      <c r="G58" s="647"/>
      <c r="H58" s="648"/>
      <c r="I58" s="649"/>
      <c r="J58" s="650"/>
      <c r="K58" s="651"/>
      <c r="L58" s="653"/>
    </row>
    <row r="59" spans="1:12" ht="15.75" x14ac:dyDescent="0.25">
      <c r="A59" s="647"/>
      <c r="B59" s="648" t="s">
        <v>273</v>
      </c>
      <c r="C59" s="649">
        <v>101</v>
      </c>
      <c r="D59" s="650" t="s">
        <v>750</v>
      </c>
      <c r="E59" s="651"/>
      <c r="F59" s="653"/>
      <c r="G59" s="647"/>
      <c r="H59" s="648"/>
      <c r="I59" s="649"/>
      <c r="J59" s="617"/>
      <c r="K59" s="651"/>
      <c r="L59" s="658"/>
    </row>
    <row r="60" spans="1:12" ht="15.75" x14ac:dyDescent="0.25">
      <c r="A60" s="647">
        <v>7</v>
      </c>
      <c r="B60" s="648"/>
      <c r="C60" s="649"/>
      <c r="D60" s="656" t="s">
        <v>728</v>
      </c>
      <c r="E60" s="651"/>
      <c r="F60" s="657">
        <v>0.51041666666666663</v>
      </c>
      <c r="G60" s="647"/>
      <c r="H60" s="648"/>
      <c r="I60" s="649"/>
      <c r="J60" s="661"/>
      <c r="K60" s="651"/>
      <c r="L60" s="653"/>
    </row>
    <row r="61" spans="1:12" ht="15.75" x14ac:dyDescent="0.25">
      <c r="A61" s="647"/>
      <c r="B61" s="648"/>
      <c r="C61" s="649"/>
      <c r="D61" s="650"/>
      <c r="E61" s="651"/>
      <c r="F61" s="653"/>
      <c r="G61" s="647"/>
      <c r="H61" s="648"/>
      <c r="I61" s="649"/>
      <c r="J61" s="656"/>
      <c r="K61" s="662"/>
      <c r="L61" s="657"/>
    </row>
    <row r="62" spans="1:12" ht="15.75" x14ac:dyDescent="0.25">
      <c r="A62" s="647">
        <v>7</v>
      </c>
      <c r="B62" s="648"/>
      <c r="C62" s="649"/>
      <c r="D62" s="659" t="s">
        <v>50</v>
      </c>
      <c r="E62" s="651"/>
      <c r="F62" s="660">
        <v>0.56944444444444442</v>
      </c>
      <c r="G62" s="647"/>
      <c r="H62" s="648"/>
      <c r="I62" s="649"/>
      <c r="J62" s="650"/>
      <c r="K62" s="651"/>
      <c r="L62" s="653"/>
    </row>
    <row r="63" spans="1:12" ht="15.75" x14ac:dyDescent="0.25">
      <c r="A63" s="647"/>
      <c r="B63" s="648"/>
      <c r="C63" s="649"/>
      <c r="D63" s="661"/>
      <c r="E63" s="651"/>
      <c r="F63" s="653"/>
      <c r="G63" s="647"/>
      <c r="H63" s="648"/>
      <c r="I63" s="649"/>
      <c r="J63" s="617"/>
      <c r="K63" s="662"/>
      <c r="L63" s="658"/>
    </row>
    <row r="64" spans="1:12" ht="15.75" x14ac:dyDescent="0.25">
      <c r="A64" s="647"/>
      <c r="B64" s="648"/>
      <c r="C64" s="649"/>
      <c r="D64" s="656" t="s">
        <v>728</v>
      </c>
      <c r="E64" s="662">
        <v>0.63888888888888884</v>
      </c>
      <c r="F64" s="657"/>
      <c r="G64" s="647"/>
      <c r="H64" s="648"/>
      <c r="I64" s="649"/>
      <c r="J64" s="650"/>
      <c r="K64" s="662"/>
      <c r="L64" s="664"/>
    </row>
    <row r="65" spans="1:12" ht="15.75" x14ac:dyDescent="0.25">
      <c r="A65" s="647"/>
      <c r="B65" s="648" t="s">
        <v>276</v>
      </c>
      <c r="C65" s="649" t="s">
        <v>273</v>
      </c>
      <c r="D65" s="650"/>
      <c r="E65" s="651"/>
      <c r="F65" s="653"/>
      <c r="G65" s="647"/>
      <c r="H65" s="648"/>
      <c r="I65" s="649"/>
      <c r="J65" s="650"/>
      <c r="K65" s="651"/>
      <c r="L65" s="653"/>
    </row>
    <row r="66" spans="1:12" ht="15.75" x14ac:dyDescent="0.25">
      <c r="A66" s="647"/>
      <c r="B66" s="648"/>
      <c r="C66" s="649"/>
      <c r="D66" s="661"/>
      <c r="E66" s="651"/>
      <c r="F66" s="653"/>
      <c r="G66" s="647"/>
      <c r="H66" s="648"/>
      <c r="I66" s="649"/>
      <c r="J66" s="663"/>
      <c r="K66" s="662"/>
      <c r="L66" s="658"/>
    </row>
    <row r="67" spans="1:12" ht="15.75" x14ac:dyDescent="0.25">
      <c r="A67" s="647"/>
      <c r="B67" s="648" t="s">
        <v>273</v>
      </c>
      <c r="C67" s="649">
        <v>154</v>
      </c>
      <c r="D67" s="650" t="s">
        <v>971</v>
      </c>
      <c r="E67" s="651"/>
      <c r="F67" s="653"/>
      <c r="G67" s="647"/>
      <c r="H67" s="648"/>
      <c r="I67" s="649"/>
      <c r="J67" s="663"/>
      <c r="K67" s="651"/>
      <c r="L67" s="653"/>
    </row>
    <row r="68" spans="1:12" ht="15.75" x14ac:dyDescent="0.25">
      <c r="A68" s="647">
        <v>7</v>
      </c>
      <c r="B68" s="648"/>
      <c r="C68" s="649"/>
      <c r="D68" s="656" t="s">
        <v>728</v>
      </c>
      <c r="E68" s="651"/>
      <c r="F68" s="657">
        <v>0.63888888888888884</v>
      </c>
      <c r="G68" s="647"/>
      <c r="H68" s="648"/>
      <c r="I68" s="649"/>
      <c r="J68" s="650"/>
      <c r="K68" s="651"/>
      <c r="L68" s="664"/>
    </row>
    <row r="69" spans="1:12" ht="15.75" x14ac:dyDescent="0.25">
      <c r="A69" s="647"/>
      <c r="B69" s="648"/>
      <c r="C69" s="649"/>
      <c r="D69" s="650"/>
      <c r="E69" s="651"/>
      <c r="F69" s="653"/>
      <c r="G69" s="647"/>
      <c r="H69" s="648"/>
      <c r="I69" s="649"/>
      <c r="J69" s="650"/>
      <c r="K69" s="651"/>
      <c r="L69" s="653"/>
    </row>
    <row r="70" spans="1:12" ht="15.75" x14ac:dyDescent="0.25">
      <c r="A70" s="647">
        <v>7</v>
      </c>
      <c r="B70" s="648"/>
      <c r="C70" s="649"/>
      <c r="D70" s="659" t="s">
        <v>50</v>
      </c>
      <c r="E70" s="651"/>
      <c r="F70" s="660">
        <v>0.70833333333333337</v>
      </c>
      <c r="G70" s="647"/>
      <c r="H70" s="648"/>
      <c r="I70" s="649"/>
      <c r="J70" s="617"/>
      <c r="K70" s="651"/>
      <c r="L70" s="658"/>
    </row>
    <row r="71" spans="1:12" ht="15.75" x14ac:dyDescent="0.25">
      <c r="A71" s="647"/>
      <c r="B71" s="648"/>
      <c r="C71" s="649"/>
      <c r="D71" s="661"/>
      <c r="E71" s="651"/>
      <c r="F71" s="653"/>
      <c r="G71" s="647"/>
      <c r="H71" s="648"/>
      <c r="I71" s="649"/>
      <c r="J71" s="661"/>
      <c r="K71" s="651"/>
      <c r="L71" s="653"/>
    </row>
    <row r="72" spans="1:12" ht="15.75" x14ac:dyDescent="0.25">
      <c r="A72" s="647" t="s">
        <v>725</v>
      </c>
      <c r="B72" s="648"/>
      <c r="C72" s="649"/>
      <c r="D72" s="656" t="s">
        <v>728</v>
      </c>
      <c r="E72" s="662">
        <v>0.7631944444444444</v>
      </c>
      <c r="F72" s="657"/>
      <c r="G72" s="647"/>
      <c r="H72" s="648"/>
      <c r="I72" s="649"/>
      <c r="J72" s="650"/>
      <c r="K72" s="662"/>
      <c r="L72" s="664"/>
    </row>
    <row r="73" spans="1:12" ht="15.75" x14ac:dyDescent="0.25">
      <c r="A73" s="647"/>
      <c r="B73" s="648"/>
      <c r="C73" s="649"/>
      <c r="D73" s="650" t="s">
        <v>733</v>
      </c>
      <c r="E73" s="662">
        <v>0.78402777777777777</v>
      </c>
      <c r="F73" s="664"/>
      <c r="G73" s="647"/>
      <c r="H73" s="648"/>
      <c r="I73" s="649"/>
      <c r="J73" s="650"/>
      <c r="K73" s="651"/>
      <c r="L73" s="653"/>
    </row>
    <row r="74" spans="1:12" ht="15.75" x14ac:dyDescent="0.25">
      <c r="A74" s="647"/>
      <c r="B74" s="648" t="s">
        <v>276</v>
      </c>
      <c r="C74" s="649" t="s">
        <v>273</v>
      </c>
      <c r="D74" s="650"/>
      <c r="E74" s="651"/>
      <c r="F74" s="653"/>
      <c r="G74" s="647"/>
      <c r="H74" s="648"/>
      <c r="I74" s="649"/>
      <c r="J74" s="650"/>
      <c r="K74" s="662"/>
      <c r="L74" s="658"/>
    </row>
    <row r="75" spans="1:12" ht="15.75" x14ac:dyDescent="0.25">
      <c r="A75" s="647"/>
      <c r="B75" s="648"/>
      <c r="C75" s="649"/>
      <c r="D75" s="661"/>
      <c r="E75" s="651"/>
      <c r="F75" s="653"/>
      <c r="G75" s="647"/>
      <c r="H75" s="648"/>
      <c r="I75" s="649"/>
      <c r="J75" s="661"/>
      <c r="K75" s="651"/>
      <c r="L75" s="653"/>
    </row>
    <row r="76" spans="1:12" ht="15.75" x14ac:dyDescent="0.25">
      <c r="A76" s="647"/>
      <c r="B76" s="648"/>
      <c r="C76" s="649"/>
      <c r="D76" s="650"/>
      <c r="E76" s="651"/>
      <c r="F76" s="653"/>
      <c r="G76" s="647"/>
      <c r="H76" s="648"/>
      <c r="I76" s="649"/>
      <c r="J76" s="650"/>
      <c r="K76" s="662"/>
      <c r="L76" s="664"/>
    </row>
    <row r="77" spans="1:12" ht="15.75" x14ac:dyDescent="0.25">
      <c r="A77" s="647"/>
      <c r="B77" s="648"/>
      <c r="C77" s="665"/>
      <c r="D77" s="661"/>
      <c r="E77" s="651"/>
      <c r="F77" s="653"/>
      <c r="G77" s="647"/>
      <c r="H77" s="648"/>
      <c r="I77" s="649"/>
      <c r="J77" s="661"/>
      <c r="K77" s="651"/>
      <c r="L77" s="653"/>
    </row>
    <row r="78" spans="1:12" ht="15.75" x14ac:dyDescent="0.25">
      <c r="A78" s="647"/>
      <c r="B78" s="648"/>
      <c r="C78" s="649"/>
      <c r="D78" s="650"/>
      <c r="E78" s="651"/>
      <c r="F78" s="653"/>
      <c r="G78" s="647"/>
      <c r="H78" s="648"/>
      <c r="I78" s="649"/>
      <c r="J78" s="650"/>
      <c r="K78" s="651"/>
      <c r="L78" s="653"/>
    </row>
    <row r="79" spans="1:12" ht="15.75" x14ac:dyDescent="0.25">
      <c r="A79" s="647"/>
      <c r="B79" s="648"/>
      <c r="C79" s="665"/>
      <c r="D79" s="661"/>
      <c r="E79" s="651"/>
      <c r="F79" s="653"/>
      <c r="G79" s="666"/>
      <c r="H79" s="648"/>
      <c r="I79" s="665"/>
      <c r="J79" s="650"/>
      <c r="K79" s="651"/>
      <c r="L79" s="653"/>
    </row>
    <row r="80" spans="1:12" ht="15.75" x14ac:dyDescent="0.25">
      <c r="A80" s="667"/>
      <c r="B80" s="668"/>
      <c r="C80" s="669"/>
      <c r="D80" s="670"/>
      <c r="E80" s="671"/>
      <c r="F80" s="672"/>
      <c r="G80" s="673"/>
      <c r="H80" s="674"/>
      <c r="I80" s="675"/>
      <c r="J80" s="676"/>
      <c r="K80" s="671"/>
      <c r="L80" s="677"/>
    </row>
    <row r="81" spans="1:12" ht="23.25" x14ac:dyDescent="0.35">
      <c r="A81" s="1237" t="s">
        <v>712</v>
      </c>
      <c r="B81" s="1238"/>
      <c r="C81" s="1238"/>
      <c r="D81" s="1238"/>
      <c r="E81" s="1238"/>
      <c r="F81" s="1238"/>
      <c r="G81" s="1238"/>
      <c r="H81" s="1238"/>
      <c r="I81" s="1238"/>
      <c r="J81" s="1238"/>
      <c r="K81" s="1238"/>
      <c r="L81" s="1239"/>
    </row>
    <row r="82" spans="1:12" ht="23.25" x14ac:dyDescent="0.35">
      <c r="A82" s="1240" t="s">
        <v>713</v>
      </c>
      <c r="B82" s="1241"/>
      <c r="C82" s="1241"/>
      <c r="D82" s="1241"/>
      <c r="E82" s="1241"/>
      <c r="F82" s="1241"/>
      <c r="G82" s="1241"/>
      <c r="H82" s="1241"/>
      <c r="I82" s="1241"/>
      <c r="J82" s="1241"/>
      <c r="K82" s="1241"/>
      <c r="L82" s="1242"/>
    </row>
    <row r="83" spans="1:12" ht="23.25" x14ac:dyDescent="0.35">
      <c r="A83" s="1243" t="s">
        <v>714</v>
      </c>
      <c r="B83" s="1244"/>
      <c r="C83" s="1244"/>
      <c r="D83" s="1244"/>
      <c r="E83" s="1244"/>
      <c r="F83" s="1244"/>
      <c r="G83" s="1244"/>
      <c r="H83" s="1244"/>
      <c r="I83" s="1244"/>
      <c r="J83" s="1244"/>
      <c r="K83" s="1244"/>
      <c r="L83" s="1245"/>
    </row>
    <row r="84" spans="1:12" ht="23.25" x14ac:dyDescent="0.35">
      <c r="A84" s="619" t="s">
        <v>968</v>
      </c>
      <c r="B84" s="620"/>
      <c r="C84" s="620"/>
      <c r="D84" s="621" t="s">
        <v>716</v>
      </c>
      <c r="E84" s="1241" t="s">
        <v>597</v>
      </c>
      <c r="F84" s="1241"/>
      <c r="G84" s="1241"/>
      <c r="H84" s="1241"/>
      <c r="I84" s="1241"/>
      <c r="J84" s="618" t="s">
        <v>744</v>
      </c>
      <c r="K84" s="1241"/>
      <c r="L84" s="1242"/>
    </row>
    <row r="85" spans="1:12" x14ac:dyDescent="0.25">
      <c r="A85" s="622"/>
      <c r="B85" s="623"/>
      <c r="C85" s="623"/>
      <c r="D85" s="624"/>
      <c r="E85" s="623"/>
      <c r="F85" s="623"/>
      <c r="G85" s="623"/>
      <c r="H85" s="623"/>
      <c r="I85" s="1246"/>
      <c r="J85" s="1246"/>
      <c r="K85" s="623"/>
      <c r="L85" s="625"/>
    </row>
    <row r="86" spans="1:12" ht="15.75" x14ac:dyDescent="0.25">
      <c r="A86" s="626" t="s">
        <v>719</v>
      </c>
      <c r="B86" s="627"/>
      <c r="C86" s="628"/>
      <c r="D86" s="629" t="s">
        <v>720</v>
      </c>
      <c r="E86" s="630" t="s">
        <v>721</v>
      </c>
      <c r="F86" s="631" t="s">
        <v>722</v>
      </c>
      <c r="G86" s="626" t="s">
        <v>719</v>
      </c>
      <c r="H86" s="632"/>
      <c r="I86" s="633"/>
      <c r="J86" s="634" t="s">
        <v>720</v>
      </c>
      <c r="K86" s="626" t="s">
        <v>721</v>
      </c>
      <c r="L86" s="626" t="s">
        <v>722</v>
      </c>
    </row>
    <row r="87" spans="1:12" ht="15.75" x14ac:dyDescent="0.25">
      <c r="A87" s="635"/>
      <c r="B87" s="636"/>
      <c r="C87" s="637"/>
      <c r="D87" s="638"/>
      <c r="E87" s="639"/>
      <c r="F87" s="640"/>
      <c r="G87" s="641"/>
      <c r="H87" s="642"/>
      <c r="I87" s="643"/>
      <c r="J87" s="644"/>
      <c r="K87" s="645"/>
      <c r="L87" s="646"/>
    </row>
    <row r="88" spans="1:12" ht="15.75" x14ac:dyDescent="0.25">
      <c r="A88" s="647"/>
      <c r="B88" s="648" t="s">
        <v>273</v>
      </c>
      <c r="C88" s="649">
        <v>103</v>
      </c>
      <c r="D88" s="650" t="s">
        <v>972</v>
      </c>
      <c r="E88" s="651"/>
      <c r="F88" s="652"/>
      <c r="G88" s="647"/>
      <c r="H88" s="648" t="s">
        <v>273</v>
      </c>
      <c r="I88" s="649">
        <v>124</v>
      </c>
      <c r="J88" s="650" t="s">
        <v>973</v>
      </c>
      <c r="K88" s="651"/>
      <c r="L88" s="653"/>
    </row>
    <row r="89" spans="1:12" ht="15.75" x14ac:dyDescent="0.25">
      <c r="A89" s="647" t="s">
        <v>725</v>
      </c>
      <c r="B89" s="654"/>
      <c r="C89" s="649"/>
      <c r="D89" s="650" t="s">
        <v>726</v>
      </c>
      <c r="E89" s="651"/>
      <c r="F89" s="655">
        <v>0.31944444444444442</v>
      </c>
      <c r="G89" s="647">
        <v>7</v>
      </c>
      <c r="H89" s="648"/>
      <c r="I89" s="649"/>
      <c r="J89" s="656" t="s">
        <v>728</v>
      </c>
      <c r="K89" s="651"/>
      <c r="L89" s="657">
        <v>0.73611111111111116</v>
      </c>
    </row>
    <row r="90" spans="1:12" ht="15.75" x14ac:dyDescent="0.25">
      <c r="A90" s="647" t="s">
        <v>727</v>
      </c>
      <c r="B90" s="648"/>
      <c r="C90" s="649"/>
      <c r="D90" s="656" t="s">
        <v>728</v>
      </c>
      <c r="E90" s="651"/>
      <c r="F90" s="657">
        <v>0.34027777777777779</v>
      </c>
      <c r="G90" s="647"/>
      <c r="H90" s="648"/>
      <c r="I90" s="649"/>
      <c r="J90" s="650"/>
      <c r="K90" s="651"/>
      <c r="L90" s="653"/>
    </row>
    <row r="91" spans="1:12" ht="15.75" x14ac:dyDescent="0.25">
      <c r="A91" s="647"/>
      <c r="B91" s="648"/>
      <c r="C91" s="649"/>
      <c r="D91" s="650"/>
      <c r="E91" s="651"/>
      <c r="F91" s="653"/>
      <c r="G91" s="647">
        <v>7</v>
      </c>
      <c r="H91" s="648"/>
      <c r="I91" s="649"/>
      <c r="J91" s="659" t="s">
        <v>50</v>
      </c>
      <c r="K91" s="651"/>
      <c r="L91" s="660">
        <v>0.79166666666666663</v>
      </c>
    </row>
    <row r="92" spans="1:12" ht="15.75" x14ac:dyDescent="0.25">
      <c r="A92" s="647" t="s">
        <v>727</v>
      </c>
      <c r="B92" s="648"/>
      <c r="C92" s="649"/>
      <c r="D92" s="617" t="s">
        <v>48</v>
      </c>
      <c r="E92" s="651"/>
      <c r="F92" s="658">
        <v>0.3888888888888889</v>
      </c>
      <c r="G92" s="647"/>
      <c r="H92" s="648"/>
      <c r="I92" s="649"/>
      <c r="J92" s="661"/>
      <c r="K92" s="651"/>
      <c r="L92" s="653"/>
    </row>
    <row r="93" spans="1:12" ht="15.75" x14ac:dyDescent="0.25">
      <c r="A93" s="647"/>
      <c r="B93" s="648"/>
      <c r="C93" s="649"/>
      <c r="D93" s="661"/>
      <c r="E93" s="651"/>
      <c r="F93" s="653"/>
      <c r="G93" s="647"/>
      <c r="H93" s="648"/>
      <c r="I93" s="649"/>
      <c r="J93" s="656" t="s">
        <v>728</v>
      </c>
      <c r="K93" s="662">
        <v>0.84027777777777779</v>
      </c>
      <c r="L93" s="657"/>
    </row>
    <row r="94" spans="1:12" ht="15.75" x14ac:dyDescent="0.25">
      <c r="A94" s="647"/>
      <c r="B94" s="648"/>
      <c r="C94" s="649"/>
      <c r="D94" s="656" t="s">
        <v>728</v>
      </c>
      <c r="E94" s="662">
        <v>0.4513888888888889</v>
      </c>
      <c r="F94" s="657"/>
      <c r="G94" s="647"/>
      <c r="H94" s="648" t="s">
        <v>273</v>
      </c>
      <c r="I94" s="649">
        <v>124</v>
      </c>
      <c r="J94" s="650" t="s">
        <v>843</v>
      </c>
      <c r="K94" s="651"/>
      <c r="L94" s="653"/>
    </row>
    <row r="95" spans="1:12" ht="15.75" x14ac:dyDescent="0.25">
      <c r="A95" s="647"/>
      <c r="B95" s="648" t="s">
        <v>273</v>
      </c>
      <c r="C95" s="649">
        <v>103</v>
      </c>
      <c r="D95" s="650" t="s">
        <v>974</v>
      </c>
      <c r="E95" s="651"/>
      <c r="F95" s="653"/>
      <c r="G95" s="647"/>
      <c r="H95" s="648"/>
      <c r="I95" s="649"/>
      <c r="J95" s="661"/>
      <c r="K95" s="651"/>
      <c r="L95" s="653"/>
    </row>
    <row r="96" spans="1:12" ht="15.75" x14ac:dyDescent="0.25">
      <c r="A96" s="647"/>
      <c r="B96" s="648"/>
      <c r="C96" s="649"/>
      <c r="D96" s="661"/>
      <c r="E96" s="651"/>
      <c r="F96" s="653"/>
      <c r="G96" s="647"/>
      <c r="H96" s="648" t="s">
        <v>273</v>
      </c>
      <c r="I96" s="649">
        <v>119</v>
      </c>
      <c r="J96" s="650" t="s">
        <v>975</v>
      </c>
      <c r="K96" s="651"/>
      <c r="L96" s="653"/>
    </row>
    <row r="97" spans="1:12" ht="15.75" x14ac:dyDescent="0.25">
      <c r="A97" s="647"/>
      <c r="B97" s="648" t="s">
        <v>273</v>
      </c>
      <c r="C97" s="649">
        <v>154</v>
      </c>
      <c r="D97" s="650" t="s">
        <v>976</v>
      </c>
      <c r="E97" s="651"/>
      <c r="F97" s="653"/>
      <c r="G97" s="647">
        <v>7</v>
      </c>
      <c r="H97" s="648"/>
      <c r="I97" s="649"/>
      <c r="J97" s="656" t="s">
        <v>728</v>
      </c>
      <c r="K97" s="651"/>
      <c r="L97" s="657">
        <v>0.84027777777777779</v>
      </c>
    </row>
    <row r="98" spans="1:12" ht="15.75" x14ac:dyDescent="0.25">
      <c r="A98" s="647" t="s">
        <v>727</v>
      </c>
      <c r="B98" s="648"/>
      <c r="C98" s="649"/>
      <c r="D98" s="656" t="s">
        <v>728</v>
      </c>
      <c r="E98" s="651"/>
      <c r="F98" s="657">
        <v>0.4513888888888889</v>
      </c>
      <c r="G98" s="647"/>
      <c r="H98" s="648"/>
      <c r="I98" s="649"/>
      <c r="J98" s="650"/>
      <c r="K98" s="651"/>
      <c r="L98" s="653"/>
    </row>
    <row r="99" spans="1:12" ht="15.75" x14ac:dyDescent="0.25">
      <c r="A99" s="647"/>
      <c r="B99" s="648"/>
      <c r="C99" s="649"/>
      <c r="D99" s="650"/>
      <c r="E99" s="651"/>
      <c r="F99" s="653"/>
      <c r="G99" s="647">
        <v>7</v>
      </c>
      <c r="H99" s="648"/>
      <c r="I99" s="649"/>
      <c r="J99" s="659" t="s">
        <v>50</v>
      </c>
      <c r="K99" s="651"/>
      <c r="L99" s="660">
        <v>0.90277777777777779</v>
      </c>
    </row>
    <row r="100" spans="1:12" ht="15.75" x14ac:dyDescent="0.25">
      <c r="A100" s="647" t="s">
        <v>727</v>
      </c>
      <c r="B100" s="648"/>
      <c r="C100" s="649"/>
      <c r="D100" s="617" t="s">
        <v>48</v>
      </c>
      <c r="E100" s="651"/>
      <c r="F100" s="658">
        <v>0.52777777777777779</v>
      </c>
      <c r="G100" s="647"/>
      <c r="H100" s="648"/>
      <c r="I100" s="649"/>
      <c r="J100" s="661"/>
      <c r="K100" s="651"/>
      <c r="L100" s="653"/>
    </row>
    <row r="101" spans="1:12" ht="15.75" x14ac:dyDescent="0.25">
      <c r="A101" s="647"/>
      <c r="B101" s="648"/>
      <c r="C101" s="649"/>
      <c r="D101" s="661"/>
      <c r="E101" s="651"/>
      <c r="F101" s="653"/>
      <c r="G101" s="647">
        <v>7</v>
      </c>
      <c r="H101" s="648"/>
      <c r="I101" s="649"/>
      <c r="J101" s="656" t="s">
        <v>728</v>
      </c>
      <c r="K101" s="651"/>
      <c r="L101" s="657">
        <v>0.94444444444444442</v>
      </c>
    </row>
    <row r="102" spans="1:12" ht="15.75" x14ac:dyDescent="0.25">
      <c r="A102" s="647"/>
      <c r="B102" s="648"/>
      <c r="C102" s="649"/>
      <c r="D102" s="656" t="s">
        <v>728</v>
      </c>
      <c r="E102" s="662">
        <v>0.59722222222222221</v>
      </c>
      <c r="F102" s="657"/>
      <c r="G102" s="647"/>
      <c r="H102" s="648"/>
      <c r="I102" s="649"/>
      <c r="J102" s="650"/>
      <c r="K102" s="651"/>
      <c r="L102" s="653"/>
    </row>
    <row r="103" spans="1:12" ht="15.75" x14ac:dyDescent="0.25">
      <c r="A103" s="647"/>
      <c r="B103" s="648" t="s">
        <v>273</v>
      </c>
      <c r="C103" s="649">
        <v>154</v>
      </c>
      <c r="D103" s="650" t="s">
        <v>977</v>
      </c>
      <c r="E103" s="651"/>
      <c r="F103" s="653"/>
      <c r="G103" s="647" t="s">
        <v>725</v>
      </c>
      <c r="H103" s="648"/>
      <c r="I103" s="649"/>
      <c r="J103" s="659" t="s">
        <v>50</v>
      </c>
      <c r="K103" s="662">
        <v>0.98611111111111116</v>
      </c>
      <c r="L103" s="660"/>
    </row>
    <row r="104" spans="1:12" ht="15.75" x14ac:dyDescent="0.25">
      <c r="A104" s="647"/>
      <c r="B104" s="648"/>
      <c r="C104" s="649"/>
      <c r="D104" s="661"/>
      <c r="E104" s="651"/>
      <c r="F104" s="653"/>
      <c r="G104" s="647"/>
      <c r="H104" s="648"/>
      <c r="I104" s="649"/>
      <c r="J104" s="650" t="s">
        <v>733</v>
      </c>
      <c r="K104" s="662">
        <v>1.0069444444444444</v>
      </c>
      <c r="L104" s="664"/>
    </row>
    <row r="105" spans="1:12" ht="15.75" x14ac:dyDescent="0.25">
      <c r="A105" s="647"/>
      <c r="B105" s="648" t="s">
        <v>273</v>
      </c>
      <c r="C105" s="649">
        <v>116</v>
      </c>
      <c r="D105" s="650" t="s">
        <v>978</v>
      </c>
      <c r="E105" s="651"/>
      <c r="F105" s="653"/>
      <c r="G105" s="647"/>
      <c r="H105" s="648" t="s">
        <v>276</v>
      </c>
      <c r="I105" s="649" t="s">
        <v>273</v>
      </c>
      <c r="J105" s="650"/>
      <c r="K105" s="651"/>
      <c r="L105" s="653"/>
    </row>
    <row r="106" spans="1:12" ht="15.75" x14ac:dyDescent="0.25">
      <c r="A106" s="647" t="s">
        <v>727</v>
      </c>
      <c r="B106" s="648"/>
      <c r="C106" s="649"/>
      <c r="D106" s="656" t="s">
        <v>728</v>
      </c>
      <c r="E106" s="651"/>
      <c r="F106" s="657">
        <v>0.59722222222222221</v>
      </c>
      <c r="G106" s="647"/>
      <c r="H106" s="648"/>
      <c r="I106" s="649"/>
      <c r="J106" s="650"/>
      <c r="K106" s="651"/>
      <c r="L106" s="653"/>
    </row>
    <row r="107" spans="1:12" ht="15.75" x14ac:dyDescent="0.25">
      <c r="A107" s="647"/>
      <c r="B107" s="648"/>
      <c r="C107" s="649"/>
      <c r="D107" s="650"/>
      <c r="E107" s="651"/>
      <c r="F107" s="653"/>
      <c r="G107" s="647"/>
      <c r="H107" s="648"/>
      <c r="I107" s="649"/>
      <c r="J107" s="617"/>
      <c r="K107" s="651"/>
      <c r="L107" s="658"/>
    </row>
    <row r="108" spans="1:12" ht="15.75" x14ac:dyDescent="0.25">
      <c r="A108" s="647" t="s">
        <v>727</v>
      </c>
      <c r="B108" s="648"/>
      <c r="C108" s="649"/>
      <c r="D108" s="617" t="s">
        <v>48</v>
      </c>
      <c r="E108" s="651"/>
      <c r="F108" s="658">
        <v>0.66666666666666663</v>
      </c>
      <c r="G108" s="647"/>
      <c r="H108" s="648"/>
      <c r="I108" s="649"/>
      <c r="J108" s="661"/>
      <c r="K108" s="651"/>
      <c r="L108" s="653"/>
    </row>
    <row r="109" spans="1:12" ht="15.75" x14ac:dyDescent="0.25">
      <c r="A109" s="647"/>
      <c r="B109" s="648"/>
      <c r="C109" s="649"/>
      <c r="D109" s="661"/>
      <c r="E109" s="651"/>
      <c r="F109" s="653"/>
      <c r="G109" s="647"/>
      <c r="H109" s="648"/>
      <c r="I109" s="649"/>
      <c r="J109" s="661"/>
      <c r="K109" s="651"/>
      <c r="L109" s="653"/>
    </row>
    <row r="110" spans="1:12" ht="15.75" x14ac:dyDescent="0.25">
      <c r="A110" s="647"/>
      <c r="B110" s="648"/>
      <c r="C110" s="649"/>
      <c r="D110" s="656" t="s">
        <v>728</v>
      </c>
      <c r="E110" s="662">
        <v>0.73611111111111116</v>
      </c>
      <c r="F110" s="657"/>
      <c r="G110" s="647"/>
      <c r="H110" s="648"/>
      <c r="I110" s="649"/>
      <c r="J110" s="650"/>
      <c r="K110" s="662"/>
      <c r="L110" s="664"/>
    </row>
    <row r="111" spans="1:12" ht="15.75" x14ac:dyDescent="0.25">
      <c r="A111" s="647"/>
      <c r="B111" s="648" t="s">
        <v>273</v>
      </c>
      <c r="C111" s="649">
        <v>116</v>
      </c>
      <c r="D111" s="650" t="s">
        <v>979</v>
      </c>
      <c r="E111" s="651"/>
      <c r="F111" s="653"/>
      <c r="G111" s="647"/>
      <c r="H111" s="648"/>
      <c r="I111" s="649"/>
      <c r="J111" s="650"/>
      <c r="K111" s="651"/>
      <c r="L111" s="653"/>
    </row>
    <row r="112" spans="1:12" ht="15.75" x14ac:dyDescent="0.25">
      <c r="A112" s="647"/>
      <c r="B112" s="648"/>
      <c r="C112" s="649"/>
      <c r="D112" s="650"/>
      <c r="E112" s="651"/>
      <c r="F112" s="653"/>
      <c r="G112" s="647"/>
      <c r="H112" s="648"/>
      <c r="I112" s="649"/>
      <c r="J112" s="650"/>
      <c r="K112" s="662"/>
      <c r="L112" s="664"/>
    </row>
    <row r="113" spans="1:12" ht="15.75" x14ac:dyDescent="0.25">
      <c r="A113" s="647"/>
      <c r="B113" s="648"/>
      <c r="C113" s="649"/>
      <c r="D113" s="661"/>
      <c r="E113" s="651"/>
      <c r="F113" s="653"/>
      <c r="G113" s="647"/>
      <c r="H113" s="648"/>
      <c r="I113" s="649"/>
      <c r="J113" s="650"/>
      <c r="K113" s="651"/>
      <c r="L113" s="653"/>
    </row>
    <row r="114" spans="1:12" ht="15.75" x14ac:dyDescent="0.25">
      <c r="A114" s="647"/>
      <c r="B114" s="648"/>
      <c r="C114" s="649"/>
      <c r="D114" s="650"/>
      <c r="E114" s="651"/>
      <c r="F114" s="653"/>
      <c r="G114" s="647"/>
      <c r="H114" s="648"/>
      <c r="I114" s="649"/>
      <c r="J114" s="650"/>
      <c r="K114" s="662"/>
      <c r="L114" s="658"/>
    </row>
    <row r="115" spans="1:12" ht="15.75" x14ac:dyDescent="0.25">
      <c r="A115" s="647"/>
      <c r="B115" s="648"/>
      <c r="C115" s="665"/>
      <c r="D115" s="661"/>
      <c r="E115" s="651"/>
      <c r="F115" s="653"/>
      <c r="G115" s="647"/>
      <c r="H115" s="648"/>
      <c r="I115" s="649"/>
      <c r="J115" s="661"/>
      <c r="K115" s="651"/>
      <c r="L115" s="653"/>
    </row>
    <row r="116" spans="1:12" ht="15.75" x14ac:dyDescent="0.25">
      <c r="A116" s="647"/>
      <c r="B116" s="648"/>
      <c r="C116" s="649"/>
      <c r="D116" s="650"/>
      <c r="E116" s="651"/>
      <c r="F116" s="653"/>
      <c r="G116" s="647"/>
      <c r="H116" s="648"/>
      <c r="I116" s="649"/>
      <c r="J116" s="650"/>
      <c r="K116" s="662"/>
      <c r="L116" s="664"/>
    </row>
    <row r="117" spans="1:12" ht="15.75" x14ac:dyDescent="0.25">
      <c r="A117" s="647"/>
      <c r="B117" s="648"/>
      <c r="C117" s="665"/>
      <c r="D117" s="661"/>
      <c r="E117" s="651"/>
      <c r="F117" s="653"/>
      <c r="G117" s="647"/>
      <c r="H117" s="648"/>
      <c r="I117" s="649"/>
      <c r="J117" s="661"/>
      <c r="K117" s="651"/>
      <c r="L117" s="653"/>
    </row>
    <row r="118" spans="1:12" ht="15.75" x14ac:dyDescent="0.25">
      <c r="A118" s="647"/>
      <c r="B118" s="648"/>
      <c r="C118" s="649"/>
      <c r="D118" s="650"/>
      <c r="E118" s="651"/>
      <c r="F118" s="653"/>
      <c r="G118" s="647"/>
      <c r="H118" s="648"/>
      <c r="I118" s="649"/>
      <c r="J118" s="650"/>
      <c r="K118" s="651"/>
      <c r="L118" s="653"/>
    </row>
    <row r="119" spans="1:12" ht="15.75" x14ac:dyDescent="0.25">
      <c r="A119" s="647"/>
      <c r="B119" s="648"/>
      <c r="C119" s="665"/>
      <c r="D119" s="661"/>
      <c r="E119" s="651"/>
      <c r="F119" s="653"/>
      <c r="G119" s="666"/>
      <c r="H119" s="648"/>
      <c r="I119" s="665"/>
      <c r="J119" s="650"/>
      <c r="K119" s="651"/>
      <c r="L119" s="653"/>
    </row>
    <row r="120" spans="1:12" ht="15.75" x14ac:dyDescent="0.25">
      <c r="A120" s="667"/>
      <c r="B120" s="668"/>
      <c r="C120" s="669"/>
      <c r="D120" s="670"/>
      <c r="E120" s="671"/>
      <c r="F120" s="672"/>
      <c r="G120" s="673"/>
      <c r="H120" s="674"/>
      <c r="I120" s="675"/>
      <c r="J120" s="676"/>
      <c r="K120" s="671"/>
      <c r="L120" s="677"/>
    </row>
    <row r="121" spans="1:12" ht="23.25" x14ac:dyDescent="0.35">
      <c r="A121" s="1237" t="s">
        <v>712</v>
      </c>
      <c r="B121" s="1238"/>
      <c r="C121" s="1238"/>
      <c r="D121" s="1238"/>
      <c r="E121" s="1238"/>
      <c r="F121" s="1238"/>
      <c r="G121" s="1238"/>
      <c r="H121" s="1238"/>
      <c r="I121" s="1238"/>
      <c r="J121" s="1238"/>
      <c r="K121" s="1238"/>
      <c r="L121" s="1239"/>
    </row>
    <row r="122" spans="1:12" ht="23.25" x14ac:dyDescent="0.35">
      <c r="A122" s="1240" t="s">
        <v>713</v>
      </c>
      <c r="B122" s="1241"/>
      <c r="C122" s="1241"/>
      <c r="D122" s="1241"/>
      <c r="E122" s="1241"/>
      <c r="F122" s="1241"/>
      <c r="G122" s="1241"/>
      <c r="H122" s="1241"/>
      <c r="I122" s="1241"/>
      <c r="J122" s="1241"/>
      <c r="K122" s="1241"/>
      <c r="L122" s="1242"/>
    </row>
    <row r="123" spans="1:12" ht="23.25" x14ac:dyDescent="0.35">
      <c r="A123" s="1243" t="s">
        <v>714</v>
      </c>
      <c r="B123" s="1244"/>
      <c r="C123" s="1244"/>
      <c r="D123" s="1244"/>
      <c r="E123" s="1244"/>
      <c r="F123" s="1244"/>
      <c r="G123" s="1244"/>
      <c r="H123" s="1244"/>
      <c r="I123" s="1244"/>
      <c r="J123" s="1244"/>
      <c r="K123" s="1244"/>
      <c r="L123" s="1245"/>
    </row>
    <row r="124" spans="1:12" ht="23.25" x14ac:dyDescent="0.35">
      <c r="A124" s="619" t="s">
        <v>968</v>
      </c>
      <c r="B124" s="620"/>
      <c r="C124" s="620"/>
      <c r="D124" s="621" t="s">
        <v>716</v>
      </c>
      <c r="E124" s="1241" t="s">
        <v>597</v>
      </c>
      <c r="F124" s="1241"/>
      <c r="G124" s="1241"/>
      <c r="H124" s="1241"/>
      <c r="I124" s="1241"/>
      <c r="J124" s="618" t="s">
        <v>751</v>
      </c>
      <c r="K124" s="1241"/>
      <c r="L124" s="1242"/>
    </row>
    <row r="125" spans="1:12" x14ac:dyDescent="0.25">
      <c r="A125" s="622"/>
      <c r="B125" s="623"/>
      <c r="C125" s="623"/>
      <c r="D125" s="624"/>
      <c r="E125" s="623"/>
      <c r="F125" s="623"/>
      <c r="G125" s="623"/>
      <c r="H125" s="623"/>
      <c r="I125" s="1246"/>
      <c r="J125" s="1246"/>
      <c r="K125" s="623"/>
      <c r="L125" s="625"/>
    </row>
    <row r="126" spans="1:12" ht="15.75" x14ac:dyDescent="0.25">
      <c r="A126" s="626" t="s">
        <v>719</v>
      </c>
      <c r="B126" s="627"/>
      <c r="C126" s="628"/>
      <c r="D126" s="629" t="s">
        <v>720</v>
      </c>
      <c r="E126" s="630" t="s">
        <v>721</v>
      </c>
      <c r="F126" s="631" t="s">
        <v>722</v>
      </c>
      <c r="G126" s="626" t="s">
        <v>719</v>
      </c>
      <c r="H126" s="632"/>
      <c r="I126" s="633"/>
      <c r="J126" s="634" t="s">
        <v>720</v>
      </c>
      <c r="K126" s="626" t="s">
        <v>721</v>
      </c>
      <c r="L126" s="626" t="s">
        <v>722</v>
      </c>
    </row>
    <row r="127" spans="1:12" ht="15.75" x14ac:dyDescent="0.25">
      <c r="A127" s="635"/>
      <c r="B127" s="636"/>
      <c r="C127" s="637"/>
      <c r="D127" s="638"/>
      <c r="E127" s="639"/>
      <c r="F127" s="640"/>
      <c r="G127" s="641"/>
      <c r="H127" s="642"/>
      <c r="I127" s="643"/>
      <c r="J127" s="644"/>
      <c r="K127" s="645"/>
      <c r="L127" s="646"/>
    </row>
    <row r="128" spans="1:12" ht="15.75" x14ac:dyDescent="0.25">
      <c r="A128" s="647"/>
      <c r="B128" s="648" t="s">
        <v>273</v>
      </c>
      <c r="C128" s="649">
        <v>104</v>
      </c>
      <c r="D128" s="650" t="s">
        <v>927</v>
      </c>
      <c r="E128" s="651"/>
      <c r="F128" s="652"/>
      <c r="G128" s="647"/>
      <c r="H128" s="648" t="s">
        <v>273</v>
      </c>
      <c r="I128" s="649">
        <v>126</v>
      </c>
      <c r="J128" s="650" t="s">
        <v>980</v>
      </c>
      <c r="K128" s="651"/>
      <c r="L128" s="653"/>
    </row>
    <row r="129" spans="1:12" ht="15.75" x14ac:dyDescent="0.25">
      <c r="A129" s="647" t="s">
        <v>725</v>
      </c>
      <c r="B129" s="654"/>
      <c r="C129" s="649"/>
      <c r="D129" s="650" t="s">
        <v>726</v>
      </c>
      <c r="E129" s="651"/>
      <c r="F129" s="655">
        <v>0.3263888888888889</v>
      </c>
      <c r="G129" s="647" t="s">
        <v>727</v>
      </c>
      <c r="H129" s="648"/>
      <c r="I129" s="649"/>
      <c r="J129" s="656" t="s">
        <v>728</v>
      </c>
      <c r="K129" s="651"/>
      <c r="L129" s="657">
        <v>0.80555555555555558</v>
      </c>
    </row>
    <row r="130" spans="1:12" ht="15.75" x14ac:dyDescent="0.25">
      <c r="A130" s="647">
        <v>7</v>
      </c>
      <c r="B130" s="648"/>
      <c r="C130" s="649"/>
      <c r="D130" s="659" t="s">
        <v>50</v>
      </c>
      <c r="E130" s="651"/>
      <c r="F130" s="660">
        <v>0.34722222222222221</v>
      </c>
      <c r="G130" s="647"/>
      <c r="H130" s="648"/>
      <c r="I130" s="649"/>
      <c r="J130" s="650"/>
      <c r="K130" s="651"/>
      <c r="L130" s="653"/>
    </row>
    <row r="131" spans="1:12" ht="15.75" x14ac:dyDescent="0.25">
      <c r="A131" s="647"/>
      <c r="B131" s="648"/>
      <c r="C131" s="649"/>
      <c r="D131" s="661"/>
      <c r="E131" s="651"/>
      <c r="F131" s="653"/>
      <c r="G131" s="647" t="s">
        <v>727</v>
      </c>
      <c r="H131" s="648"/>
      <c r="I131" s="649"/>
      <c r="J131" s="617" t="s">
        <v>48</v>
      </c>
      <c r="K131" s="651"/>
      <c r="L131" s="658">
        <v>0.86111111111111116</v>
      </c>
    </row>
    <row r="132" spans="1:12" ht="15.75" x14ac:dyDescent="0.25">
      <c r="A132" s="647">
        <v>7</v>
      </c>
      <c r="B132" s="648"/>
      <c r="C132" s="649"/>
      <c r="D132" s="656" t="s">
        <v>728</v>
      </c>
      <c r="E132" s="651"/>
      <c r="F132" s="657">
        <v>0.40972222222222221</v>
      </c>
      <c r="G132" s="647"/>
      <c r="H132" s="648"/>
      <c r="I132" s="649"/>
      <c r="J132" s="661"/>
      <c r="K132" s="651"/>
      <c r="L132" s="653"/>
    </row>
    <row r="133" spans="1:12" ht="15.75" x14ac:dyDescent="0.25">
      <c r="A133" s="647"/>
      <c r="B133" s="648"/>
      <c r="C133" s="649"/>
      <c r="D133" s="650"/>
      <c r="E133" s="651"/>
      <c r="F133" s="653"/>
      <c r="G133" s="647" t="s">
        <v>727</v>
      </c>
      <c r="H133" s="648"/>
      <c r="I133" s="649"/>
      <c r="J133" s="656" t="s">
        <v>728</v>
      </c>
      <c r="K133" s="651"/>
      <c r="L133" s="657">
        <v>0.90277777777777779</v>
      </c>
    </row>
    <row r="134" spans="1:12" ht="15.75" x14ac:dyDescent="0.25">
      <c r="A134" s="647">
        <v>7</v>
      </c>
      <c r="B134" s="648"/>
      <c r="C134" s="649"/>
      <c r="D134" s="659" t="s">
        <v>50</v>
      </c>
      <c r="E134" s="651"/>
      <c r="F134" s="660">
        <v>0.4861111111111111</v>
      </c>
      <c r="G134" s="647"/>
      <c r="H134" s="648"/>
      <c r="I134" s="649"/>
      <c r="J134" s="650"/>
      <c r="K134" s="651"/>
      <c r="L134" s="653"/>
    </row>
    <row r="135" spans="1:12" ht="15.75" x14ac:dyDescent="0.25">
      <c r="A135" s="647"/>
      <c r="B135" s="648"/>
      <c r="C135" s="649"/>
      <c r="D135" s="661"/>
      <c r="E135" s="651"/>
      <c r="F135" s="653"/>
      <c r="G135" s="647" t="s">
        <v>727</v>
      </c>
      <c r="H135" s="648"/>
      <c r="I135" s="649"/>
      <c r="J135" s="617" t="s">
        <v>48</v>
      </c>
      <c r="K135" s="651"/>
      <c r="L135" s="658">
        <v>0.94444444444444442</v>
      </c>
    </row>
    <row r="136" spans="1:12" ht="15.75" x14ac:dyDescent="0.25">
      <c r="A136" s="647"/>
      <c r="B136" s="648"/>
      <c r="C136" s="649"/>
      <c r="D136" s="656" t="s">
        <v>728</v>
      </c>
      <c r="E136" s="662">
        <v>0.54166666666666663</v>
      </c>
      <c r="F136" s="657"/>
      <c r="G136" s="647"/>
      <c r="H136" s="648"/>
      <c r="I136" s="649"/>
      <c r="J136" s="661"/>
      <c r="K136" s="651"/>
      <c r="L136" s="653"/>
    </row>
    <row r="137" spans="1:12" ht="15.75" x14ac:dyDescent="0.25">
      <c r="A137" s="647"/>
      <c r="B137" s="648" t="s">
        <v>276</v>
      </c>
      <c r="C137" s="649" t="s">
        <v>273</v>
      </c>
      <c r="D137" s="650"/>
      <c r="E137" s="651"/>
      <c r="F137" s="653"/>
      <c r="G137" s="647" t="s">
        <v>727</v>
      </c>
      <c r="H137" s="648"/>
      <c r="I137" s="649"/>
      <c r="J137" s="656" t="s">
        <v>728</v>
      </c>
      <c r="K137" s="651"/>
      <c r="L137" s="657">
        <v>0.97916666666666663</v>
      </c>
    </row>
    <row r="138" spans="1:12" ht="15.75" x14ac:dyDescent="0.25">
      <c r="A138" s="647"/>
      <c r="B138" s="648"/>
      <c r="C138" s="649"/>
      <c r="D138" s="661"/>
      <c r="E138" s="651"/>
      <c r="F138" s="653"/>
      <c r="G138" s="647"/>
      <c r="H138" s="648"/>
      <c r="I138" s="649"/>
      <c r="J138" s="650"/>
      <c r="K138" s="651"/>
      <c r="L138" s="653"/>
    </row>
    <row r="139" spans="1:12" ht="15.75" x14ac:dyDescent="0.25">
      <c r="A139" s="647"/>
      <c r="B139" s="648" t="s">
        <v>273</v>
      </c>
      <c r="C139" s="649">
        <v>112</v>
      </c>
      <c r="D139" s="650" t="s">
        <v>981</v>
      </c>
      <c r="E139" s="651"/>
      <c r="F139" s="653"/>
      <c r="G139" s="647" t="s">
        <v>725</v>
      </c>
      <c r="H139" s="648"/>
      <c r="I139" s="649"/>
      <c r="J139" s="617" t="s">
        <v>48</v>
      </c>
      <c r="K139" s="662">
        <v>1.0104166666666667</v>
      </c>
      <c r="L139" s="658"/>
    </row>
    <row r="140" spans="1:12" ht="15.75" x14ac:dyDescent="0.25">
      <c r="A140" s="647" t="s">
        <v>727</v>
      </c>
      <c r="B140" s="648"/>
      <c r="C140" s="649"/>
      <c r="D140" s="656" t="s">
        <v>728</v>
      </c>
      <c r="E140" s="651"/>
      <c r="F140" s="657">
        <v>0.54166666666666663</v>
      </c>
      <c r="G140" s="647"/>
      <c r="H140" s="648"/>
      <c r="I140" s="649"/>
      <c r="J140" s="650" t="s">
        <v>733</v>
      </c>
      <c r="K140" s="662">
        <v>1.0277777777777777</v>
      </c>
      <c r="L140" s="664"/>
    </row>
    <row r="141" spans="1:12" ht="15.75" x14ac:dyDescent="0.25">
      <c r="A141" s="647"/>
      <c r="B141" s="648"/>
      <c r="C141" s="649"/>
      <c r="D141" s="650"/>
      <c r="E141" s="651"/>
      <c r="F141" s="653"/>
      <c r="G141" s="647"/>
      <c r="H141" s="648" t="s">
        <v>276</v>
      </c>
      <c r="I141" s="649" t="s">
        <v>273</v>
      </c>
      <c r="J141" s="650"/>
      <c r="K141" s="651"/>
      <c r="L141" s="653"/>
    </row>
    <row r="142" spans="1:12" ht="15.75" x14ac:dyDescent="0.25">
      <c r="A142" s="647" t="s">
        <v>727</v>
      </c>
      <c r="B142" s="648"/>
      <c r="C142" s="649"/>
      <c r="D142" s="617" t="s">
        <v>48</v>
      </c>
      <c r="E142" s="651"/>
      <c r="F142" s="658">
        <v>0.61111111111111116</v>
      </c>
      <c r="G142" s="647"/>
      <c r="H142" s="648"/>
      <c r="I142" s="649"/>
      <c r="J142" s="650"/>
      <c r="K142" s="651"/>
      <c r="L142" s="653"/>
    </row>
    <row r="143" spans="1:12" ht="15.75" x14ac:dyDescent="0.25">
      <c r="A143" s="647"/>
      <c r="B143" s="648"/>
      <c r="C143" s="649"/>
      <c r="D143" s="661"/>
      <c r="E143" s="651"/>
      <c r="F143" s="653"/>
      <c r="G143" s="647"/>
      <c r="H143" s="648"/>
      <c r="I143" s="649"/>
      <c r="J143" s="617"/>
      <c r="K143" s="651"/>
      <c r="L143" s="658"/>
    </row>
    <row r="144" spans="1:12" ht="15.75" x14ac:dyDescent="0.25">
      <c r="A144" s="647"/>
      <c r="B144" s="648"/>
      <c r="C144" s="649"/>
      <c r="D144" s="656" t="s">
        <v>728</v>
      </c>
      <c r="E144" s="662">
        <v>0.68055555555555558</v>
      </c>
      <c r="F144" s="657"/>
      <c r="G144" s="647"/>
      <c r="H144" s="648"/>
      <c r="I144" s="649"/>
      <c r="J144" s="661"/>
      <c r="K144" s="651"/>
      <c r="L144" s="653"/>
    </row>
    <row r="145" spans="1:12" ht="15.75" x14ac:dyDescent="0.25">
      <c r="A145" s="647"/>
      <c r="B145" s="648" t="s">
        <v>273</v>
      </c>
      <c r="C145" s="649">
        <v>112</v>
      </c>
      <c r="D145" s="650" t="s">
        <v>982</v>
      </c>
      <c r="E145" s="651"/>
      <c r="F145" s="653"/>
      <c r="G145" s="647"/>
      <c r="H145" s="648"/>
      <c r="I145" s="649"/>
      <c r="J145" s="661"/>
      <c r="K145" s="651"/>
      <c r="L145" s="653"/>
    </row>
    <row r="146" spans="1:12" ht="15.75" x14ac:dyDescent="0.25">
      <c r="A146" s="647"/>
      <c r="B146" s="648"/>
      <c r="C146" s="649"/>
      <c r="D146" s="661"/>
      <c r="E146" s="651"/>
      <c r="F146" s="653"/>
      <c r="G146" s="647"/>
      <c r="H146" s="648"/>
      <c r="I146" s="649"/>
      <c r="J146" s="650"/>
      <c r="K146" s="662"/>
      <c r="L146" s="664"/>
    </row>
    <row r="147" spans="1:12" ht="15.75" x14ac:dyDescent="0.25">
      <c r="A147" s="647"/>
      <c r="B147" s="648" t="s">
        <v>273</v>
      </c>
      <c r="C147" s="649">
        <v>120</v>
      </c>
      <c r="D147" s="650" t="s">
        <v>983</v>
      </c>
      <c r="E147" s="651"/>
      <c r="F147" s="653"/>
      <c r="G147" s="647"/>
      <c r="H147" s="648"/>
      <c r="I147" s="649"/>
      <c r="J147" s="650"/>
      <c r="K147" s="651"/>
      <c r="L147" s="653"/>
    </row>
    <row r="148" spans="1:12" ht="15.75" x14ac:dyDescent="0.25">
      <c r="A148" s="647" t="s">
        <v>727</v>
      </c>
      <c r="B148" s="648"/>
      <c r="C148" s="649"/>
      <c r="D148" s="656" t="s">
        <v>728</v>
      </c>
      <c r="E148" s="651"/>
      <c r="F148" s="657">
        <v>0.68055555555555558</v>
      </c>
      <c r="G148" s="647"/>
      <c r="H148" s="648"/>
      <c r="I148" s="649"/>
      <c r="J148" s="661"/>
      <c r="K148" s="651"/>
      <c r="L148" s="653"/>
    </row>
    <row r="149" spans="1:12" ht="15.75" x14ac:dyDescent="0.25">
      <c r="A149" s="647"/>
      <c r="B149" s="648"/>
      <c r="C149" s="649"/>
      <c r="D149" s="650"/>
      <c r="E149" s="651"/>
      <c r="F149" s="653"/>
      <c r="G149" s="647"/>
      <c r="H149" s="648"/>
      <c r="I149" s="649"/>
      <c r="J149" s="661"/>
      <c r="K149" s="651"/>
      <c r="L149" s="653"/>
    </row>
    <row r="150" spans="1:12" ht="15.75" x14ac:dyDescent="0.25">
      <c r="A150" s="647" t="s">
        <v>727</v>
      </c>
      <c r="B150" s="648"/>
      <c r="C150" s="649"/>
      <c r="D150" s="617" t="s">
        <v>48</v>
      </c>
      <c r="E150" s="651"/>
      <c r="F150" s="658">
        <v>0.75</v>
      </c>
      <c r="G150" s="647"/>
      <c r="H150" s="648"/>
      <c r="I150" s="649"/>
      <c r="J150" s="650"/>
      <c r="K150" s="662"/>
      <c r="L150" s="664"/>
    </row>
    <row r="151" spans="1:12" ht="15.75" x14ac:dyDescent="0.25">
      <c r="A151" s="647"/>
      <c r="B151" s="648"/>
      <c r="C151" s="649"/>
      <c r="D151" s="661"/>
      <c r="E151" s="651"/>
      <c r="F151" s="653"/>
      <c r="G151" s="647"/>
      <c r="H151" s="648"/>
      <c r="I151" s="649"/>
      <c r="J151" s="650"/>
      <c r="K151" s="651"/>
      <c r="L151" s="653"/>
    </row>
    <row r="152" spans="1:12" ht="15.75" x14ac:dyDescent="0.25">
      <c r="A152" s="647"/>
      <c r="B152" s="648"/>
      <c r="C152" s="649"/>
      <c r="D152" s="656" t="s">
        <v>728</v>
      </c>
      <c r="E152" s="662">
        <v>0.80555555555555558</v>
      </c>
      <c r="F152" s="657"/>
      <c r="G152" s="647"/>
      <c r="H152" s="648"/>
      <c r="I152" s="649"/>
      <c r="J152" s="650"/>
      <c r="K152" s="662"/>
      <c r="L152" s="664"/>
    </row>
    <row r="153" spans="1:12" ht="15.75" x14ac:dyDescent="0.25">
      <c r="A153" s="647"/>
      <c r="B153" s="648" t="s">
        <v>273</v>
      </c>
      <c r="C153" s="649">
        <v>120</v>
      </c>
      <c r="D153" s="650" t="s">
        <v>984</v>
      </c>
      <c r="E153" s="651"/>
      <c r="F153" s="653"/>
      <c r="G153" s="647"/>
      <c r="H153" s="648"/>
      <c r="I153" s="649"/>
      <c r="J153" s="650"/>
      <c r="K153" s="651"/>
      <c r="L153" s="653"/>
    </row>
    <row r="154" spans="1:12" ht="15.75" x14ac:dyDescent="0.25">
      <c r="A154" s="647"/>
      <c r="B154" s="648"/>
      <c r="C154" s="649"/>
      <c r="D154" s="650"/>
      <c r="E154" s="651"/>
      <c r="F154" s="653"/>
      <c r="G154" s="647"/>
      <c r="H154" s="648"/>
      <c r="I154" s="649"/>
      <c r="J154" s="650"/>
      <c r="K154" s="662"/>
      <c r="L154" s="658"/>
    </row>
    <row r="155" spans="1:12" ht="15.75" x14ac:dyDescent="0.25">
      <c r="A155" s="647"/>
      <c r="B155" s="648"/>
      <c r="C155" s="665"/>
      <c r="D155" s="661"/>
      <c r="E155" s="651"/>
      <c r="F155" s="653"/>
      <c r="G155" s="647"/>
      <c r="H155" s="648"/>
      <c r="I155" s="649"/>
      <c r="J155" s="661"/>
      <c r="K155" s="651"/>
      <c r="L155" s="653"/>
    </row>
    <row r="156" spans="1:12" ht="15.75" x14ac:dyDescent="0.25">
      <c r="A156" s="647"/>
      <c r="B156" s="648"/>
      <c r="C156" s="649"/>
      <c r="D156" s="650"/>
      <c r="E156" s="651"/>
      <c r="F156" s="653"/>
      <c r="G156" s="647"/>
      <c r="H156" s="648"/>
      <c r="I156" s="649"/>
      <c r="J156" s="650"/>
      <c r="K156" s="662"/>
      <c r="L156" s="664"/>
    </row>
    <row r="157" spans="1:12" ht="15.75" x14ac:dyDescent="0.25">
      <c r="A157" s="647"/>
      <c r="B157" s="648"/>
      <c r="C157" s="665"/>
      <c r="D157" s="661"/>
      <c r="E157" s="651"/>
      <c r="F157" s="653"/>
      <c r="G157" s="647"/>
      <c r="H157" s="648"/>
      <c r="I157" s="649"/>
      <c r="J157" s="661"/>
      <c r="K157" s="651"/>
      <c r="L157" s="653"/>
    </row>
    <row r="158" spans="1:12" ht="15.75" x14ac:dyDescent="0.25">
      <c r="A158" s="647"/>
      <c r="B158" s="648"/>
      <c r="C158" s="649"/>
      <c r="D158" s="650"/>
      <c r="E158" s="651"/>
      <c r="F158" s="653"/>
      <c r="G158" s="647"/>
      <c r="H158" s="648"/>
      <c r="I158" s="649"/>
      <c r="J158" s="650"/>
      <c r="K158" s="651"/>
      <c r="L158" s="653"/>
    </row>
    <row r="159" spans="1:12" ht="15.75" x14ac:dyDescent="0.25">
      <c r="A159" s="647"/>
      <c r="B159" s="648"/>
      <c r="C159" s="665"/>
      <c r="D159" s="661"/>
      <c r="E159" s="651"/>
      <c r="F159" s="653"/>
      <c r="G159" s="666"/>
      <c r="H159" s="648"/>
      <c r="I159" s="665"/>
      <c r="J159" s="650"/>
      <c r="K159" s="651"/>
      <c r="L159" s="653"/>
    </row>
    <row r="160" spans="1:12" ht="15.75" x14ac:dyDescent="0.25">
      <c r="A160" s="667"/>
      <c r="B160" s="668"/>
      <c r="C160" s="669"/>
      <c r="D160" s="670"/>
      <c r="E160" s="671"/>
      <c r="F160" s="672"/>
      <c r="G160" s="673"/>
      <c r="H160" s="674"/>
      <c r="I160" s="675"/>
      <c r="J160" s="676"/>
      <c r="K160" s="671"/>
      <c r="L160" s="677"/>
    </row>
    <row r="161" spans="1:12" ht="23.25" x14ac:dyDescent="0.35">
      <c r="A161" s="1237" t="s">
        <v>712</v>
      </c>
      <c r="B161" s="1238"/>
      <c r="C161" s="1238"/>
      <c r="D161" s="1238"/>
      <c r="E161" s="1238"/>
      <c r="F161" s="1238"/>
      <c r="G161" s="1238"/>
      <c r="H161" s="1238"/>
      <c r="I161" s="1238"/>
      <c r="J161" s="1238"/>
      <c r="K161" s="1238"/>
      <c r="L161" s="1239"/>
    </row>
    <row r="162" spans="1:12" ht="23.25" x14ac:dyDescent="0.35">
      <c r="A162" s="1240" t="s">
        <v>713</v>
      </c>
      <c r="B162" s="1241"/>
      <c r="C162" s="1241"/>
      <c r="D162" s="1241"/>
      <c r="E162" s="1241"/>
      <c r="F162" s="1241"/>
      <c r="G162" s="1241"/>
      <c r="H162" s="1241"/>
      <c r="I162" s="1241"/>
      <c r="J162" s="1241"/>
      <c r="K162" s="1241"/>
      <c r="L162" s="1242"/>
    </row>
    <row r="163" spans="1:12" ht="23.25" x14ac:dyDescent="0.35">
      <c r="A163" s="1243" t="s">
        <v>714</v>
      </c>
      <c r="B163" s="1244"/>
      <c r="C163" s="1244"/>
      <c r="D163" s="1244"/>
      <c r="E163" s="1244"/>
      <c r="F163" s="1244"/>
      <c r="G163" s="1244"/>
      <c r="H163" s="1244"/>
      <c r="I163" s="1244"/>
      <c r="J163" s="1244"/>
      <c r="K163" s="1244"/>
      <c r="L163" s="1245"/>
    </row>
    <row r="164" spans="1:12" ht="23.25" x14ac:dyDescent="0.35">
      <c r="A164" s="619" t="s">
        <v>968</v>
      </c>
      <c r="B164" s="620"/>
      <c r="C164" s="620"/>
      <c r="D164" s="621" t="s">
        <v>716</v>
      </c>
      <c r="E164" s="1241" t="s">
        <v>597</v>
      </c>
      <c r="F164" s="1241"/>
      <c r="G164" s="1241"/>
      <c r="H164" s="1241"/>
      <c r="I164" s="1241"/>
      <c r="J164" s="618" t="s">
        <v>758</v>
      </c>
      <c r="K164" s="1241"/>
      <c r="L164" s="1242"/>
    </row>
    <row r="165" spans="1:12" x14ac:dyDescent="0.25">
      <c r="A165" s="622"/>
      <c r="B165" s="623"/>
      <c r="C165" s="623"/>
      <c r="D165" s="624"/>
      <c r="E165" s="623"/>
      <c r="F165" s="623"/>
      <c r="G165" s="623"/>
      <c r="H165" s="623"/>
      <c r="I165" s="1246"/>
      <c r="J165" s="1246"/>
      <c r="K165" s="623"/>
      <c r="L165" s="625"/>
    </row>
    <row r="166" spans="1:12" ht="15.75" x14ac:dyDescent="0.25">
      <c r="A166" s="626" t="s">
        <v>719</v>
      </c>
      <c r="B166" s="627"/>
      <c r="C166" s="628"/>
      <c r="D166" s="629" t="s">
        <v>720</v>
      </c>
      <c r="E166" s="630" t="s">
        <v>721</v>
      </c>
      <c r="F166" s="631" t="s">
        <v>722</v>
      </c>
      <c r="G166" s="626" t="s">
        <v>719</v>
      </c>
      <c r="H166" s="632"/>
      <c r="I166" s="633"/>
      <c r="J166" s="634" t="s">
        <v>720</v>
      </c>
      <c r="K166" s="626" t="s">
        <v>721</v>
      </c>
      <c r="L166" s="626" t="s">
        <v>722</v>
      </c>
    </row>
    <row r="167" spans="1:12" ht="15.75" x14ac:dyDescent="0.25">
      <c r="A167" s="635"/>
      <c r="B167" s="636"/>
      <c r="C167" s="637"/>
      <c r="D167" s="638"/>
      <c r="E167" s="639"/>
      <c r="F167" s="640"/>
      <c r="G167" s="641"/>
      <c r="H167" s="642"/>
      <c r="I167" s="643"/>
      <c r="J167" s="644"/>
      <c r="K167" s="645"/>
      <c r="L167" s="646"/>
    </row>
    <row r="168" spans="1:12" ht="15.75" x14ac:dyDescent="0.25">
      <c r="A168" s="647"/>
      <c r="B168" s="648" t="s">
        <v>273</v>
      </c>
      <c r="C168" s="649">
        <v>105</v>
      </c>
      <c r="D168" s="650" t="s">
        <v>985</v>
      </c>
      <c r="E168" s="651"/>
      <c r="F168" s="652"/>
      <c r="G168" s="647"/>
      <c r="H168" s="648" t="s">
        <v>273</v>
      </c>
      <c r="I168" s="649">
        <v>112</v>
      </c>
      <c r="J168" s="650" t="s">
        <v>767</v>
      </c>
      <c r="K168" s="651"/>
      <c r="L168" s="653"/>
    </row>
    <row r="169" spans="1:12" ht="15.75" x14ac:dyDescent="0.25">
      <c r="A169" s="647" t="s">
        <v>725</v>
      </c>
      <c r="B169" s="654"/>
      <c r="C169" s="649"/>
      <c r="D169" s="650" t="s">
        <v>726</v>
      </c>
      <c r="E169" s="651"/>
      <c r="F169" s="655">
        <v>0.33333333333333331</v>
      </c>
      <c r="G169" s="647" t="s">
        <v>727</v>
      </c>
      <c r="H169" s="648"/>
      <c r="I169" s="649"/>
      <c r="J169" s="656" t="s">
        <v>728</v>
      </c>
      <c r="K169" s="651"/>
      <c r="L169" s="657">
        <v>0.75</v>
      </c>
    </row>
    <row r="170" spans="1:12" ht="15.75" x14ac:dyDescent="0.25">
      <c r="A170" s="647">
        <v>7</v>
      </c>
      <c r="B170" s="648"/>
      <c r="C170" s="649"/>
      <c r="D170" s="656" t="s">
        <v>728</v>
      </c>
      <c r="E170" s="651"/>
      <c r="F170" s="657">
        <v>0.35416666666666669</v>
      </c>
      <c r="G170" s="647"/>
      <c r="H170" s="648"/>
      <c r="I170" s="649"/>
      <c r="J170" s="650"/>
      <c r="K170" s="651"/>
      <c r="L170" s="653"/>
    </row>
    <row r="171" spans="1:12" ht="15.75" x14ac:dyDescent="0.25">
      <c r="A171" s="647"/>
      <c r="B171" s="648"/>
      <c r="C171" s="649"/>
      <c r="D171" s="650"/>
      <c r="E171" s="651"/>
      <c r="F171" s="653"/>
      <c r="G171" s="647" t="s">
        <v>727</v>
      </c>
      <c r="H171" s="648"/>
      <c r="I171" s="649"/>
      <c r="J171" s="617" t="s">
        <v>48</v>
      </c>
      <c r="K171" s="651"/>
      <c r="L171" s="658">
        <v>0.80555555555555558</v>
      </c>
    </row>
    <row r="172" spans="1:12" ht="15.75" x14ac:dyDescent="0.25">
      <c r="A172" s="647">
        <v>7</v>
      </c>
      <c r="B172" s="648"/>
      <c r="C172" s="649"/>
      <c r="D172" s="659" t="s">
        <v>50</v>
      </c>
      <c r="E172" s="651"/>
      <c r="F172" s="660">
        <v>0.40277777777777779</v>
      </c>
      <c r="G172" s="647"/>
      <c r="H172" s="648"/>
      <c r="I172" s="649"/>
      <c r="J172" s="661"/>
      <c r="K172" s="651"/>
      <c r="L172" s="653"/>
    </row>
    <row r="173" spans="1:12" ht="15.75" x14ac:dyDescent="0.25">
      <c r="A173" s="647"/>
      <c r="B173" s="648"/>
      <c r="C173" s="649"/>
      <c r="D173" s="661"/>
      <c r="E173" s="651"/>
      <c r="F173" s="653"/>
      <c r="G173" s="647" t="s">
        <v>727</v>
      </c>
      <c r="H173" s="648"/>
      <c r="I173" s="649"/>
      <c r="J173" s="656" t="s">
        <v>728</v>
      </c>
      <c r="K173" s="662"/>
      <c r="L173" s="657">
        <v>0.85069444444444442</v>
      </c>
    </row>
    <row r="174" spans="1:12" ht="15.75" x14ac:dyDescent="0.25">
      <c r="A174" s="647"/>
      <c r="B174" s="648"/>
      <c r="C174" s="649"/>
      <c r="D174" s="656" t="s">
        <v>728</v>
      </c>
      <c r="E174" s="662">
        <v>0.46527777777777779</v>
      </c>
      <c r="F174" s="657"/>
      <c r="G174" s="647"/>
      <c r="H174" s="648"/>
      <c r="I174" s="649"/>
      <c r="J174" s="650"/>
      <c r="K174" s="651"/>
      <c r="L174" s="653"/>
    </row>
    <row r="175" spans="1:12" ht="15.75" x14ac:dyDescent="0.25">
      <c r="A175" s="647"/>
      <c r="B175" s="648" t="s">
        <v>273</v>
      </c>
      <c r="C175" s="649">
        <v>105</v>
      </c>
      <c r="D175" s="650" t="s">
        <v>986</v>
      </c>
      <c r="E175" s="651"/>
      <c r="F175" s="653"/>
      <c r="G175" s="647" t="s">
        <v>725</v>
      </c>
      <c r="H175" s="648"/>
      <c r="I175" s="649"/>
      <c r="J175" s="617" t="s">
        <v>48</v>
      </c>
      <c r="K175" s="662">
        <v>0.89930555555555558</v>
      </c>
      <c r="L175" s="658"/>
    </row>
    <row r="176" spans="1:12" ht="15.75" x14ac:dyDescent="0.25">
      <c r="A176" s="647"/>
      <c r="B176" s="648"/>
      <c r="C176" s="649"/>
      <c r="D176" s="661"/>
      <c r="E176" s="651"/>
      <c r="F176" s="653"/>
      <c r="G176" s="647"/>
      <c r="H176" s="648"/>
      <c r="I176" s="649"/>
      <c r="J176" s="650" t="s">
        <v>733</v>
      </c>
      <c r="K176" s="662">
        <v>0.92013888888888884</v>
      </c>
      <c r="L176" s="664"/>
    </row>
    <row r="177" spans="1:12" ht="15.75" x14ac:dyDescent="0.25">
      <c r="A177" s="647"/>
      <c r="B177" s="648" t="s">
        <v>273</v>
      </c>
      <c r="C177" s="649">
        <v>106</v>
      </c>
      <c r="D177" s="650" t="s">
        <v>987</v>
      </c>
      <c r="E177" s="651"/>
      <c r="F177" s="653"/>
      <c r="G177" s="647"/>
      <c r="H177" s="648" t="s">
        <v>276</v>
      </c>
      <c r="I177" s="649" t="s">
        <v>273</v>
      </c>
      <c r="J177" s="650"/>
      <c r="K177" s="651"/>
      <c r="L177" s="653"/>
    </row>
    <row r="178" spans="1:12" ht="15.75" x14ac:dyDescent="0.25">
      <c r="A178" s="647">
        <v>7</v>
      </c>
      <c r="B178" s="648"/>
      <c r="C178" s="649"/>
      <c r="D178" s="656" t="s">
        <v>728</v>
      </c>
      <c r="E178" s="651"/>
      <c r="F178" s="657">
        <v>0.46527777777777779</v>
      </c>
      <c r="G178" s="647"/>
      <c r="H178" s="648"/>
      <c r="I178" s="649"/>
      <c r="J178" s="650"/>
      <c r="K178" s="651"/>
      <c r="L178" s="653"/>
    </row>
    <row r="179" spans="1:12" ht="15.75" x14ac:dyDescent="0.25">
      <c r="A179" s="647"/>
      <c r="B179" s="648"/>
      <c r="C179" s="649"/>
      <c r="D179" s="650"/>
      <c r="E179" s="651"/>
      <c r="F179" s="653"/>
      <c r="G179" s="647"/>
      <c r="H179" s="648"/>
      <c r="I179" s="649"/>
      <c r="J179" s="617"/>
      <c r="K179" s="651"/>
      <c r="L179" s="658"/>
    </row>
    <row r="180" spans="1:12" ht="15.75" x14ac:dyDescent="0.25">
      <c r="A180" s="647">
        <v>7</v>
      </c>
      <c r="B180" s="648"/>
      <c r="C180" s="649"/>
      <c r="D180" s="659" t="s">
        <v>50</v>
      </c>
      <c r="E180" s="651"/>
      <c r="F180" s="660">
        <v>0.54166666666666663</v>
      </c>
      <c r="G180" s="647"/>
      <c r="H180" s="648"/>
      <c r="I180" s="649"/>
      <c r="J180" s="661"/>
      <c r="K180" s="651"/>
      <c r="L180" s="653"/>
    </row>
    <row r="181" spans="1:12" ht="15.75" x14ac:dyDescent="0.25">
      <c r="A181" s="647"/>
      <c r="B181" s="648"/>
      <c r="C181" s="649"/>
      <c r="D181" s="661"/>
      <c r="E181" s="651"/>
      <c r="F181" s="653"/>
      <c r="G181" s="647"/>
      <c r="H181" s="648"/>
      <c r="I181" s="649"/>
      <c r="J181" s="656"/>
      <c r="K181" s="662"/>
      <c r="L181" s="657"/>
    </row>
    <row r="182" spans="1:12" ht="15.75" x14ac:dyDescent="0.25">
      <c r="A182" s="647"/>
      <c r="B182" s="648"/>
      <c r="C182" s="649"/>
      <c r="D182" s="656" t="s">
        <v>728</v>
      </c>
      <c r="E182" s="662">
        <v>0.61111111111111116</v>
      </c>
      <c r="F182" s="657"/>
      <c r="G182" s="647"/>
      <c r="H182" s="648"/>
      <c r="I182" s="649"/>
      <c r="J182" s="650"/>
      <c r="K182" s="651"/>
      <c r="L182" s="653"/>
    </row>
    <row r="183" spans="1:12" ht="15.75" x14ac:dyDescent="0.25">
      <c r="A183" s="647"/>
      <c r="B183" s="648" t="s">
        <v>276</v>
      </c>
      <c r="C183" s="649" t="s">
        <v>273</v>
      </c>
      <c r="D183" s="650"/>
      <c r="E183" s="651"/>
      <c r="F183" s="653"/>
      <c r="G183" s="647"/>
      <c r="H183" s="648"/>
      <c r="I183" s="649"/>
      <c r="J183" s="617"/>
      <c r="K183" s="662"/>
      <c r="L183" s="658"/>
    </row>
    <row r="184" spans="1:12" ht="15.75" x14ac:dyDescent="0.25">
      <c r="A184" s="647"/>
      <c r="B184" s="648"/>
      <c r="C184" s="649"/>
      <c r="D184" s="661"/>
      <c r="E184" s="651"/>
      <c r="F184" s="653"/>
      <c r="G184" s="647"/>
      <c r="H184" s="648"/>
      <c r="I184" s="649"/>
      <c r="J184" s="650"/>
      <c r="K184" s="662"/>
      <c r="L184" s="664"/>
    </row>
    <row r="185" spans="1:12" ht="15.75" x14ac:dyDescent="0.25">
      <c r="A185" s="647"/>
      <c r="B185" s="648" t="s">
        <v>273</v>
      </c>
      <c r="C185" s="649">
        <v>152</v>
      </c>
      <c r="D185" s="650" t="s">
        <v>988</v>
      </c>
      <c r="E185" s="651"/>
      <c r="F185" s="653"/>
      <c r="G185" s="647"/>
      <c r="H185" s="648"/>
      <c r="I185" s="649"/>
      <c r="J185" s="650"/>
      <c r="K185" s="651"/>
      <c r="L185" s="653"/>
    </row>
    <row r="186" spans="1:12" ht="15.75" x14ac:dyDescent="0.25">
      <c r="A186" s="647">
        <v>7</v>
      </c>
      <c r="B186" s="648"/>
      <c r="C186" s="649"/>
      <c r="D186" s="656" t="s">
        <v>728</v>
      </c>
      <c r="E186" s="651"/>
      <c r="F186" s="657">
        <v>0.61111111111111116</v>
      </c>
      <c r="G186" s="647"/>
      <c r="H186" s="648"/>
      <c r="I186" s="649"/>
      <c r="J186" s="663"/>
      <c r="K186" s="662"/>
      <c r="L186" s="658"/>
    </row>
    <row r="187" spans="1:12" ht="15.75" x14ac:dyDescent="0.25">
      <c r="A187" s="647"/>
      <c r="B187" s="648"/>
      <c r="C187" s="649"/>
      <c r="D187" s="650"/>
      <c r="E187" s="651"/>
      <c r="F187" s="653"/>
      <c r="G187" s="647"/>
      <c r="H187" s="648"/>
      <c r="I187" s="649"/>
      <c r="J187" s="663"/>
      <c r="K187" s="651"/>
      <c r="L187" s="653"/>
    </row>
    <row r="188" spans="1:12" ht="15.75" x14ac:dyDescent="0.25">
      <c r="A188" s="647">
        <v>7</v>
      </c>
      <c r="B188" s="648"/>
      <c r="C188" s="649"/>
      <c r="D188" s="659" t="s">
        <v>50</v>
      </c>
      <c r="E188" s="651"/>
      <c r="F188" s="660">
        <v>0.68055555555555558</v>
      </c>
      <c r="G188" s="647"/>
      <c r="H188" s="648"/>
      <c r="I188" s="649"/>
      <c r="J188" s="650"/>
      <c r="K188" s="651"/>
      <c r="L188" s="664"/>
    </row>
    <row r="189" spans="1:12" ht="15.75" x14ac:dyDescent="0.25">
      <c r="A189" s="647"/>
      <c r="B189" s="648"/>
      <c r="C189" s="649"/>
      <c r="D189" s="661"/>
      <c r="E189" s="651"/>
      <c r="F189" s="653"/>
      <c r="G189" s="647"/>
      <c r="H189" s="648"/>
      <c r="I189" s="649"/>
      <c r="J189" s="650"/>
      <c r="K189" s="651"/>
      <c r="L189" s="653"/>
    </row>
    <row r="190" spans="1:12" ht="15.75" x14ac:dyDescent="0.25">
      <c r="A190" s="647"/>
      <c r="B190" s="648"/>
      <c r="C190" s="649"/>
      <c r="D190" s="656" t="s">
        <v>728</v>
      </c>
      <c r="E190" s="662">
        <v>0.75</v>
      </c>
      <c r="F190" s="657"/>
      <c r="G190" s="647"/>
      <c r="H190" s="648"/>
      <c r="I190" s="649"/>
      <c r="J190" s="617"/>
      <c r="K190" s="651"/>
      <c r="L190" s="658"/>
    </row>
    <row r="191" spans="1:12" ht="15.75" x14ac:dyDescent="0.25">
      <c r="A191" s="647"/>
      <c r="B191" s="648" t="s">
        <v>276</v>
      </c>
      <c r="C191" s="649" t="s">
        <v>273</v>
      </c>
      <c r="D191" s="650"/>
      <c r="E191" s="651"/>
      <c r="F191" s="653"/>
      <c r="G191" s="647"/>
      <c r="H191" s="648"/>
      <c r="I191" s="649"/>
      <c r="J191" s="661"/>
      <c r="K191" s="651"/>
      <c r="L191" s="653"/>
    </row>
    <row r="192" spans="1:12" ht="15.75" x14ac:dyDescent="0.25">
      <c r="A192" s="647"/>
      <c r="B192" s="648"/>
      <c r="C192" s="649"/>
      <c r="D192" s="661"/>
      <c r="E192" s="651"/>
      <c r="F192" s="653"/>
      <c r="G192" s="647"/>
      <c r="H192" s="648"/>
      <c r="I192" s="649"/>
      <c r="J192" s="650"/>
      <c r="K192" s="662"/>
      <c r="L192" s="664"/>
    </row>
    <row r="193" spans="1:12" ht="15.75" x14ac:dyDescent="0.25">
      <c r="A193" s="647"/>
      <c r="B193" s="648"/>
      <c r="C193" s="649"/>
      <c r="D193" s="650"/>
      <c r="E193" s="662"/>
      <c r="F193" s="664"/>
      <c r="G193" s="647"/>
      <c r="H193" s="648"/>
      <c r="I193" s="649"/>
      <c r="J193" s="650"/>
      <c r="K193" s="651"/>
      <c r="L193" s="653"/>
    </row>
    <row r="194" spans="1:12" ht="15.75" x14ac:dyDescent="0.25">
      <c r="A194" s="647"/>
      <c r="B194" s="648"/>
      <c r="C194" s="649"/>
      <c r="D194" s="650"/>
      <c r="E194" s="651"/>
      <c r="F194" s="653"/>
      <c r="G194" s="647"/>
      <c r="H194" s="648"/>
      <c r="I194" s="649"/>
      <c r="J194" s="650"/>
      <c r="K194" s="662"/>
      <c r="L194" s="658"/>
    </row>
    <row r="195" spans="1:12" ht="15.75" x14ac:dyDescent="0.25">
      <c r="A195" s="647"/>
      <c r="B195" s="648"/>
      <c r="C195" s="649"/>
      <c r="D195" s="661"/>
      <c r="E195" s="651"/>
      <c r="F195" s="653"/>
      <c r="G195" s="647"/>
      <c r="H195" s="648"/>
      <c r="I195" s="649"/>
      <c r="J195" s="661"/>
      <c r="K195" s="651"/>
      <c r="L195" s="653"/>
    </row>
    <row r="196" spans="1:12" ht="15.75" x14ac:dyDescent="0.25">
      <c r="A196" s="647"/>
      <c r="B196" s="648"/>
      <c r="C196" s="649"/>
      <c r="D196" s="663"/>
      <c r="E196" s="662"/>
      <c r="F196" s="664"/>
      <c r="G196" s="647"/>
      <c r="H196" s="648"/>
      <c r="I196" s="649"/>
      <c r="J196" s="650"/>
      <c r="K196" s="662"/>
      <c r="L196" s="664"/>
    </row>
    <row r="197" spans="1:12" ht="15.75" x14ac:dyDescent="0.25">
      <c r="A197" s="647"/>
      <c r="B197" s="648"/>
      <c r="C197" s="649"/>
      <c r="D197" s="661"/>
      <c r="E197" s="651"/>
      <c r="F197" s="653"/>
      <c r="G197" s="647"/>
      <c r="H197" s="648"/>
      <c r="I197" s="649"/>
      <c r="J197" s="661"/>
      <c r="K197" s="651"/>
      <c r="L197" s="653"/>
    </row>
    <row r="198" spans="1:12" ht="15.75" x14ac:dyDescent="0.25">
      <c r="A198" s="647"/>
      <c r="B198" s="648"/>
      <c r="C198" s="649"/>
      <c r="D198" s="650"/>
      <c r="E198" s="651"/>
      <c r="F198" s="653"/>
      <c r="G198" s="647"/>
      <c r="H198" s="648"/>
      <c r="I198" s="649"/>
      <c r="J198" s="650"/>
      <c r="K198" s="651"/>
      <c r="L198" s="653"/>
    </row>
    <row r="199" spans="1:12" ht="15.75" x14ac:dyDescent="0.25">
      <c r="A199" s="647"/>
      <c r="B199" s="648"/>
      <c r="C199" s="665"/>
      <c r="D199" s="661"/>
      <c r="E199" s="651"/>
      <c r="F199" s="653"/>
      <c r="G199" s="666"/>
      <c r="H199" s="648"/>
      <c r="I199" s="665"/>
      <c r="J199" s="650"/>
      <c r="K199" s="651"/>
      <c r="L199" s="653"/>
    </row>
    <row r="200" spans="1:12" ht="15.75" x14ac:dyDescent="0.25">
      <c r="A200" s="667"/>
      <c r="B200" s="668"/>
      <c r="C200" s="669"/>
      <c r="D200" s="670"/>
      <c r="E200" s="671"/>
      <c r="F200" s="672"/>
      <c r="G200" s="673"/>
      <c r="H200" s="674"/>
      <c r="I200" s="675"/>
      <c r="J200" s="676"/>
      <c r="K200" s="671"/>
      <c r="L200" s="677"/>
    </row>
    <row r="201" spans="1:12" ht="23.25" x14ac:dyDescent="0.35">
      <c r="A201" s="1237" t="s">
        <v>712</v>
      </c>
      <c r="B201" s="1238"/>
      <c r="C201" s="1238"/>
      <c r="D201" s="1238"/>
      <c r="E201" s="1238"/>
      <c r="F201" s="1238"/>
      <c r="G201" s="1238"/>
      <c r="H201" s="1238"/>
      <c r="I201" s="1238"/>
      <c r="J201" s="1238"/>
      <c r="K201" s="1238"/>
      <c r="L201" s="1239"/>
    </row>
    <row r="202" spans="1:12" ht="23.25" x14ac:dyDescent="0.35">
      <c r="A202" s="1240" t="s">
        <v>713</v>
      </c>
      <c r="B202" s="1241"/>
      <c r="C202" s="1241"/>
      <c r="D202" s="1241"/>
      <c r="E202" s="1241"/>
      <c r="F202" s="1241"/>
      <c r="G202" s="1241"/>
      <c r="H202" s="1241"/>
      <c r="I202" s="1241"/>
      <c r="J202" s="1241"/>
      <c r="K202" s="1241"/>
      <c r="L202" s="1242"/>
    </row>
    <row r="203" spans="1:12" ht="23.25" x14ac:dyDescent="0.35">
      <c r="A203" s="1243" t="s">
        <v>714</v>
      </c>
      <c r="B203" s="1244"/>
      <c r="C203" s="1244"/>
      <c r="D203" s="1244"/>
      <c r="E203" s="1244"/>
      <c r="F203" s="1244"/>
      <c r="G203" s="1244"/>
      <c r="H203" s="1244"/>
      <c r="I203" s="1244"/>
      <c r="J203" s="1244"/>
      <c r="K203" s="1244"/>
      <c r="L203" s="1245"/>
    </row>
    <row r="204" spans="1:12" ht="23.25" x14ac:dyDescent="0.35">
      <c r="A204" s="619" t="s">
        <v>968</v>
      </c>
      <c r="B204" s="620"/>
      <c r="C204" s="620"/>
      <c r="D204" s="621" t="s">
        <v>716</v>
      </c>
      <c r="E204" s="1241" t="s">
        <v>597</v>
      </c>
      <c r="F204" s="1241"/>
      <c r="G204" s="1241"/>
      <c r="H204" s="1241"/>
      <c r="I204" s="1241"/>
      <c r="J204" s="618" t="s">
        <v>765</v>
      </c>
      <c r="K204" s="1241"/>
      <c r="L204" s="1242"/>
    </row>
    <row r="205" spans="1:12" x14ac:dyDescent="0.25">
      <c r="A205" s="622"/>
      <c r="B205" s="623"/>
      <c r="C205" s="623"/>
      <c r="D205" s="624"/>
      <c r="E205" s="623"/>
      <c r="F205" s="623"/>
      <c r="G205" s="623"/>
      <c r="H205" s="623"/>
      <c r="I205" s="1246"/>
      <c r="J205" s="1246"/>
      <c r="K205" s="623"/>
      <c r="L205" s="625"/>
    </row>
    <row r="206" spans="1:12" ht="15.75" x14ac:dyDescent="0.25">
      <c r="A206" s="626" t="s">
        <v>719</v>
      </c>
      <c r="B206" s="627"/>
      <c r="C206" s="628"/>
      <c r="D206" s="629" t="s">
        <v>720</v>
      </c>
      <c r="E206" s="630" t="s">
        <v>721</v>
      </c>
      <c r="F206" s="631" t="s">
        <v>722</v>
      </c>
      <c r="G206" s="626" t="s">
        <v>719</v>
      </c>
      <c r="H206" s="632"/>
      <c r="I206" s="633"/>
      <c r="J206" s="634" t="s">
        <v>720</v>
      </c>
      <c r="K206" s="626" t="s">
        <v>721</v>
      </c>
      <c r="L206" s="626" t="s">
        <v>722</v>
      </c>
    </row>
    <row r="207" spans="1:12" ht="15.75" x14ac:dyDescent="0.25">
      <c r="A207" s="635"/>
      <c r="B207" s="636"/>
      <c r="C207" s="637"/>
      <c r="D207" s="638"/>
      <c r="E207" s="639"/>
      <c r="F207" s="640"/>
      <c r="G207" s="641"/>
      <c r="H207" s="642"/>
      <c r="I207" s="643"/>
      <c r="J207" s="644"/>
      <c r="K207" s="645"/>
      <c r="L207" s="646"/>
    </row>
    <row r="208" spans="1:12" ht="15.75" x14ac:dyDescent="0.25">
      <c r="A208" s="647"/>
      <c r="B208" s="648" t="s">
        <v>273</v>
      </c>
      <c r="C208" s="649">
        <v>106</v>
      </c>
      <c r="D208" s="650" t="s">
        <v>989</v>
      </c>
      <c r="E208" s="651"/>
      <c r="F208" s="652"/>
      <c r="G208" s="647"/>
      <c r="H208" s="648"/>
      <c r="I208" s="649"/>
      <c r="J208" s="650"/>
      <c r="K208" s="651"/>
      <c r="L208" s="653"/>
    </row>
    <row r="209" spans="1:12" ht="15.75" x14ac:dyDescent="0.25">
      <c r="A209" s="647" t="s">
        <v>725</v>
      </c>
      <c r="B209" s="654"/>
      <c r="C209" s="649"/>
      <c r="D209" s="650" t="s">
        <v>726</v>
      </c>
      <c r="E209" s="651"/>
      <c r="F209" s="655">
        <v>0.34027777777777779</v>
      </c>
      <c r="G209" s="647"/>
      <c r="H209" s="648"/>
      <c r="I209" s="649"/>
      <c r="J209" s="656"/>
      <c r="K209" s="651"/>
      <c r="L209" s="657"/>
    </row>
    <row r="210" spans="1:12" ht="15.75" x14ac:dyDescent="0.25">
      <c r="A210" s="647" t="s">
        <v>727</v>
      </c>
      <c r="B210" s="648"/>
      <c r="C210" s="649"/>
      <c r="D210" s="617" t="s">
        <v>48</v>
      </c>
      <c r="E210" s="651"/>
      <c r="F210" s="658">
        <v>0.3611111111111111</v>
      </c>
      <c r="G210" s="647"/>
      <c r="H210" s="648"/>
      <c r="I210" s="649"/>
      <c r="J210" s="650"/>
      <c r="K210" s="651"/>
      <c r="L210" s="653"/>
    </row>
    <row r="211" spans="1:12" ht="15.75" x14ac:dyDescent="0.25">
      <c r="A211" s="647"/>
      <c r="B211" s="648"/>
      <c r="C211" s="649"/>
      <c r="D211" s="661"/>
      <c r="E211" s="651"/>
      <c r="F211" s="653"/>
      <c r="G211" s="647"/>
      <c r="H211" s="648"/>
      <c r="I211" s="649"/>
      <c r="J211" s="617"/>
      <c r="K211" s="662"/>
      <c r="L211" s="658"/>
    </row>
    <row r="212" spans="1:12" ht="15.75" x14ac:dyDescent="0.25">
      <c r="A212" s="647"/>
      <c r="B212" s="648"/>
      <c r="C212" s="649"/>
      <c r="D212" s="656" t="s">
        <v>728</v>
      </c>
      <c r="E212" s="662">
        <v>0.4236111111111111</v>
      </c>
      <c r="F212" s="657"/>
      <c r="G212" s="647"/>
      <c r="H212" s="648"/>
      <c r="I212" s="649"/>
      <c r="J212" s="650"/>
      <c r="K212" s="662"/>
      <c r="L212" s="664"/>
    </row>
    <row r="213" spans="1:12" ht="15.75" x14ac:dyDescent="0.25">
      <c r="A213" s="647"/>
      <c r="B213" s="648" t="s">
        <v>273</v>
      </c>
      <c r="C213" s="649">
        <v>106</v>
      </c>
      <c r="D213" s="650" t="s">
        <v>990</v>
      </c>
      <c r="E213" s="651"/>
      <c r="F213" s="653"/>
      <c r="G213" s="647"/>
      <c r="H213" s="648"/>
      <c r="I213" s="649"/>
      <c r="J213" s="650"/>
      <c r="K213" s="651"/>
      <c r="L213" s="653"/>
    </row>
    <row r="214" spans="1:12" ht="15.75" x14ac:dyDescent="0.25">
      <c r="A214" s="647"/>
      <c r="B214" s="648"/>
      <c r="C214" s="649"/>
      <c r="D214" s="661"/>
      <c r="E214" s="651"/>
      <c r="F214" s="653"/>
      <c r="G214" s="647"/>
      <c r="H214" s="648"/>
      <c r="I214" s="649"/>
      <c r="J214" s="650"/>
      <c r="K214" s="651"/>
      <c r="L214" s="653"/>
    </row>
    <row r="215" spans="1:12" ht="15.75" x14ac:dyDescent="0.25">
      <c r="A215" s="647"/>
      <c r="B215" s="648" t="s">
        <v>273</v>
      </c>
      <c r="C215" s="649">
        <v>152</v>
      </c>
      <c r="D215" s="650" t="s">
        <v>991</v>
      </c>
      <c r="E215" s="651"/>
      <c r="F215" s="653"/>
      <c r="G215" s="647"/>
      <c r="H215" s="648"/>
      <c r="I215" s="649"/>
      <c r="J215" s="617"/>
      <c r="K215" s="651"/>
      <c r="L215" s="658"/>
    </row>
    <row r="216" spans="1:12" ht="15.75" x14ac:dyDescent="0.25">
      <c r="A216" s="647" t="s">
        <v>727</v>
      </c>
      <c r="B216" s="648"/>
      <c r="C216" s="649"/>
      <c r="D216" s="656" t="s">
        <v>728</v>
      </c>
      <c r="E216" s="651"/>
      <c r="F216" s="657">
        <v>0.4236111111111111</v>
      </c>
      <c r="G216" s="647"/>
      <c r="H216" s="648"/>
      <c r="I216" s="649"/>
      <c r="J216" s="661"/>
      <c r="K216" s="651"/>
      <c r="L216" s="653"/>
    </row>
    <row r="217" spans="1:12" ht="15.75" x14ac:dyDescent="0.25">
      <c r="A217" s="647"/>
      <c r="B217" s="648"/>
      <c r="C217" s="649"/>
      <c r="D217" s="650"/>
      <c r="E217" s="651"/>
      <c r="F217" s="653"/>
      <c r="G217" s="647"/>
      <c r="H217" s="648"/>
      <c r="I217" s="649"/>
      <c r="J217" s="656"/>
      <c r="K217" s="662"/>
      <c r="L217" s="657"/>
    </row>
    <row r="218" spans="1:12" ht="15.75" x14ac:dyDescent="0.25">
      <c r="A218" s="647" t="s">
        <v>727</v>
      </c>
      <c r="B218" s="648"/>
      <c r="C218" s="649"/>
      <c r="D218" s="617" t="s">
        <v>48</v>
      </c>
      <c r="E218" s="651"/>
      <c r="F218" s="658">
        <v>0.5</v>
      </c>
      <c r="G218" s="647"/>
      <c r="H218" s="648"/>
      <c r="I218" s="649"/>
      <c r="J218" s="650"/>
      <c r="K218" s="651"/>
      <c r="L218" s="653"/>
    </row>
    <row r="219" spans="1:12" ht="15.75" x14ac:dyDescent="0.25">
      <c r="A219" s="647"/>
      <c r="B219" s="648"/>
      <c r="C219" s="649"/>
      <c r="D219" s="661"/>
      <c r="E219" s="651"/>
      <c r="F219" s="653"/>
      <c r="G219" s="647"/>
      <c r="H219" s="648"/>
      <c r="I219" s="649"/>
      <c r="J219" s="617"/>
      <c r="K219" s="662"/>
      <c r="L219" s="658"/>
    </row>
    <row r="220" spans="1:12" ht="15.75" x14ac:dyDescent="0.25">
      <c r="A220" s="647"/>
      <c r="B220" s="648"/>
      <c r="C220" s="649"/>
      <c r="D220" s="656" t="s">
        <v>728</v>
      </c>
      <c r="E220" s="662">
        <v>0.56944444444444442</v>
      </c>
      <c r="F220" s="657"/>
      <c r="G220" s="647"/>
      <c r="H220" s="648"/>
      <c r="I220" s="649"/>
      <c r="J220" s="650"/>
      <c r="K220" s="662"/>
      <c r="L220" s="664"/>
    </row>
    <row r="221" spans="1:12" ht="15.75" x14ac:dyDescent="0.25">
      <c r="A221" s="647"/>
      <c r="B221" s="648" t="s">
        <v>273</v>
      </c>
      <c r="C221" s="649">
        <v>152</v>
      </c>
      <c r="D221" s="650" t="s">
        <v>992</v>
      </c>
      <c r="E221" s="651"/>
      <c r="F221" s="653"/>
      <c r="G221" s="647"/>
      <c r="H221" s="648"/>
      <c r="I221" s="649"/>
      <c r="J221" s="650"/>
      <c r="K221" s="651"/>
      <c r="L221" s="653"/>
    </row>
    <row r="222" spans="1:12" ht="15.75" x14ac:dyDescent="0.25">
      <c r="A222" s="647"/>
      <c r="B222" s="648"/>
      <c r="C222" s="649"/>
      <c r="D222" s="661"/>
      <c r="E222" s="651"/>
      <c r="F222" s="653"/>
      <c r="G222" s="647"/>
      <c r="H222" s="648"/>
      <c r="I222" s="649"/>
      <c r="J222" s="663"/>
      <c r="K222" s="662"/>
      <c r="L222" s="658"/>
    </row>
    <row r="223" spans="1:12" ht="15.75" x14ac:dyDescent="0.25">
      <c r="A223" s="647"/>
      <c r="B223" s="648" t="s">
        <v>273</v>
      </c>
      <c r="C223" s="649">
        <v>115</v>
      </c>
      <c r="D223" s="650" t="s">
        <v>993</v>
      </c>
      <c r="E223" s="651"/>
      <c r="F223" s="653"/>
      <c r="G223" s="647"/>
      <c r="H223" s="648"/>
      <c r="I223" s="649"/>
      <c r="J223" s="663"/>
      <c r="K223" s="651"/>
      <c r="L223" s="653"/>
    </row>
    <row r="224" spans="1:12" ht="15.75" x14ac:dyDescent="0.25">
      <c r="A224" s="647" t="s">
        <v>727</v>
      </c>
      <c r="B224" s="648"/>
      <c r="C224" s="649"/>
      <c r="D224" s="656" t="s">
        <v>728</v>
      </c>
      <c r="E224" s="651"/>
      <c r="F224" s="657">
        <v>0.56944444444444442</v>
      </c>
      <c r="G224" s="647"/>
      <c r="H224" s="648"/>
      <c r="I224" s="649"/>
      <c r="J224" s="650"/>
      <c r="K224" s="651"/>
      <c r="L224" s="664"/>
    </row>
    <row r="225" spans="1:12" ht="15.75" x14ac:dyDescent="0.25">
      <c r="A225" s="647"/>
      <c r="B225" s="648"/>
      <c r="C225" s="649"/>
      <c r="D225" s="650"/>
      <c r="E225" s="651"/>
      <c r="F225" s="653"/>
      <c r="G225" s="647"/>
      <c r="H225" s="648"/>
      <c r="I225" s="649"/>
      <c r="J225" s="650"/>
      <c r="K225" s="651"/>
      <c r="L225" s="653"/>
    </row>
    <row r="226" spans="1:12" ht="15.75" x14ac:dyDescent="0.25">
      <c r="A226" s="647" t="s">
        <v>727</v>
      </c>
      <c r="B226" s="648"/>
      <c r="C226" s="649"/>
      <c r="D226" s="617" t="s">
        <v>48</v>
      </c>
      <c r="E226" s="651"/>
      <c r="F226" s="658">
        <v>0.63888888888888884</v>
      </c>
      <c r="G226" s="647"/>
      <c r="H226" s="648"/>
      <c r="I226" s="649"/>
      <c r="J226" s="663"/>
      <c r="K226" s="662"/>
      <c r="L226" s="658"/>
    </row>
    <row r="227" spans="1:12" ht="15.75" x14ac:dyDescent="0.25">
      <c r="A227" s="647"/>
      <c r="B227" s="648"/>
      <c r="C227" s="649"/>
      <c r="D227" s="661"/>
      <c r="E227" s="651"/>
      <c r="F227" s="653"/>
      <c r="G227" s="647"/>
      <c r="H227" s="648"/>
      <c r="I227" s="649"/>
      <c r="J227" s="663"/>
      <c r="K227" s="651"/>
      <c r="L227" s="653"/>
    </row>
    <row r="228" spans="1:12" ht="15.75" x14ac:dyDescent="0.25">
      <c r="A228" s="647"/>
      <c r="B228" s="648"/>
      <c r="C228" s="649"/>
      <c r="D228" s="656" t="s">
        <v>728</v>
      </c>
      <c r="E228" s="662">
        <v>0.71180555555555558</v>
      </c>
      <c r="F228" s="657"/>
      <c r="G228" s="647"/>
      <c r="H228" s="648"/>
      <c r="I228" s="649"/>
      <c r="J228" s="650"/>
      <c r="K228" s="651"/>
      <c r="L228" s="664"/>
    </row>
    <row r="229" spans="1:12" ht="15.75" x14ac:dyDescent="0.25">
      <c r="A229" s="647"/>
      <c r="B229" s="648" t="s">
        <v>273</v>
      </c>
      <c r="C229" s="649">
        <v>115</v>
      </c>
      <c r="D229" s="650" t="s">
        <v>994</v>
      </c>
      <c r="E229" s="651"/>
      <c r="F229" s="653"/>
      <c r="G229" s="647"/>
      <c r="H229" s="648"/>
      <c r="I229" s="649"/>
      <c r="J229" s="650"/>
      <c r="K229" s="651"/>
      <c r="L229" s="653"/>
    </row>
    <row r="230" spans="1:12" ht="15.75" x14ac:dyDescent="0.25">
      <c r="A230" s="647"/>
      <c r="B230" s="648"/>
      <c r="C230" s="649"/>
      <c r="D230" s="661"/>
      <c r="E230" s="651"/>
      <c r="F230" s="653"/>
      <c r="G230" s="647"/>
      <c r="H230" s="648"/>
      <c r="I230" s="649"/>
      <c r="J230" s="617"/>
      <c r="K230" s="651"/>
      <c r="L230" s="658"/>
    </row>
    <row r="231" spans="1:12" ht="15.75" x14ac:dyDescent="0.25">
      <c r="A231" s="647"/>
      <c r="B231" s="648" t="s">
        <v>273</v>
      </c>
      <c r="C231" s="649">
        <v>157</v>
      </c>
      <c r="D231" s="650" t="s">
        <v>995</v>
      </c>
      <c r="E231" s="651"/>
      <c r="F231" s="653"/>
      <c r="G231" s="647"/>
      <c r="H231" s="648"/>
      <c r="I231" s="649"/>
      <c r="J231" s="661"/>
      <c r="K231" s="651"/>
      <c r="L231" s="653"/>
    </row>
    <row r="232" spans="1:12" ht="15.75" x14ac:dyDescent="0.25">
      <c r="A232" s="647" t="s">
        <v>727</v>
      </c>
      <c r="B232" s="648"/>
      <c r="C232" s="649"/>
      <c r="D232" s="656" t="s">
        <v>728</v>
      </c>
      <c r="E232" s="651"/>
      <c r="F232" s="657">
        <v>0.71180555555555558</v>
      </c>
      <c r="G232" s="647"/>
      <c r="H232" s="648"/>
      <c r="I232" s="649"/>
      <c r="J232" s="650"/>
      <c r="K232" s="662"/>
      <c r="L232" s="664"/>
    </row>
    <row r="233" spans="1:12" ht="15.75" x14ac:dyDescent="0.25">
      <c r="A233" s="647"/>
      <c r="B233" s="648"/>
      <c r="C233" s="649"/>
      <c r="D233" s="650"/>
      <c r="E233" s="651"/>
      <c r="F233" s="653"/>
      <c r="G233" s="647"/>
      <c r="H233" s="648"/>
      <c r="I233" s="649"/>
      <c r="J233" s="650"/>
      <c r="K233" s="651"/>
      <c r="L233" s="653"/>
    </row>
    <row r="234" spans="1:12" ht="15.75" x14ac:dyDescent="0.25">
      <c r="A234" s="647" t="s">
        <v>725</v>
      </c>
      <c r="B234" s="648"/>
      <c r="C234" s="649"/>
      <c r="D234" s="617" t="s">
        <v>48</v>
      </c>
      <c r="E234" s="662">
        <v>0.76666666666666672</v>
      </c>
      <c r="F234" s="658"/>
      <c r="G234" s="647"/>
      <c r="H234" s="648"/>
      <c r="I234" s="649"/>
      <c r="J234" s="650"/>
      <c r="K234" s="662"/>
      <c r="L234" s="658"/>
    </row>
    <row r="235" spans="1:12" ht="15.75" x14ac:dyDescent="0.25">
      <c r="A235" s="647"/>
      <c r="B235" s="648"/>
      <c r="C235" s="649"/>
      <c r="D235" s="650" t="s">
        <v>733</v>
      </c>
      <c r="E235" s="662">
        <v>0.78749999999999998</v>
      </c>
      <c r="F235" s="664"/>
      <c r="G235" s="647"/>
      <c r="H235" s="648"/>
      <c r="I235" s="649"/>
      <c r="J235" s="661"/>
      <c r="K235" s="651"/>
      <c r="L235" s="653"/>
    </row>
    <row r="236" spans="1:12" ht="15.75" x14ac:dyDescent="0.25">
      <c r="A236" s="647"/>
      <c r="B236" s="648" t="s">
        <v>276</v>
      </c>
      <c r="C236" s="649" t="s">
        <v>273</v>
      </c>
      <c r="D236" s="650"/>
      <c r="E236" s="651"/>
      <c r="F236" s="653"/>
      <c r="G236" s="647"/>
      <c r="H236" s="648"/>
      <c r="I236" s="649"/>
      <c r="J236" s="650"/>
      <c r="K236" s="662"/>
      <c r="L236" s="664"/>
    </row>
    <row r="237" spans="1:12" ht="15.75" x14ac:dyDescent="0.25">
      <c r="A237" s="647"/>
      <c r="B237" s="648"/>
      <c r="C237" s="649"/>
      <c r="D237" s="661"/>
      <c r="E237" s="651"/>
      <c r="F237" s="653"/>
      <c r="G237" s="647"/>
      <c r="H237" s="648"/>
      <c r="I237" s="649"/>
      <c r="J237" s="661"/>
      <c r="K237" s="651"/>
      <c r="L237" s="653"/>
    </row>
    <row r="238" spans="1:12" ht="15.75" x14ac:dyDescent="0.25">
      <c r="A238" s="647"/>
      <c r="B238" s="648"/>
      <c r="C238" s="649"/>
      <c r="D238" s="650"/>
      <c r="E238" s="651"/>
      <c r="F238" s="653"/>
      <c r="G238" s="647"/>
      <c r="H238" s="648"/>
      <c r="I238" s="649"/>
      <c r="J238" s="650"/>
      <c r="K238" s="651"/>
      <c r="L238" s="653"/>
    </row>
    <row r="239" spans="1:12" ht="15.75" x14ac:dyDescent="0.25">
      <c r="A239" s="647"/>
      <c r="B239" s="648"/>
      <c r="C239" s="665"/>
      <c r="D239" s="661"/>
      <c r="E239" s="651"/>
      <c r="F239" s="653"/>
      <c r="G239" s="666"/>
      <c r="H239" s="648"/>
      <c r="I239" s="665"/>
      <c r="J239" s="650"/>
      <c r="K239" s="651"/>
      <c r="L239" s="653"/>
    </row>
    <row r="240" spans="1:12" ht="15.75" x14ac:dyDescent="0.25">
      <c r="A240" s="667"/>
      <c r="B240" s="668"/>
      <c r="C240" s="669"/>
      <c r="D240" s="670"/>
      <c r="E240" s="671"/>
      <c r="F240" s="672"/>
      <c r="G240" s="673"/>
      <c r="H240" s="674"/>
      <c r="I240" s="675"/>
      <c r="J240" s="676"/>
      <c r="K240" s="671"/>
      <c r="L240" s="677"/>
    </row>
    <row r="241" spans="1:12" ht="23.25" x14ac:dyDescent="0.35">
      <c r="A241" s="1237" t="s">
        <v>712</v>
      </c>
      <c r="B241" s="1238"/>
      <c r="C241" s="1238"/>
      <c r="D241" s="1238"/>
      <c r="E241" s="1238"/>
      <c r="F241" s="1238"/>
      <c r="G241" s="1238"/>
      <c r="H241" s="1238"/>
      <c r="I241" s="1238"/>
      <c r="J241" s="1238"/>
      <c r="K241" s="1238"/>
      <c r="L241" s="1239"/>
    </row>
    <row r="242" spans="1:12" ht="23.25" x14ac:dyDescent="0.35">
      <c r="A242" s="1240" t="s">
        <v>713</v>
      </c>
      <c r="B242" s="1241"/>
      <c r="C242" s="1241"/>
      <c r="D242" s="1241"/>
      <c r="E242" s="1241"/>
      <c r="F242" s="1241"/>
      <c r="G242" s="1241"/>
      <c r="H242" s="1241"/>
      <c r="I242" s="1241"/>
      <c r="J242" s="1241"/>
      <c r="K242" s="1241"/>
      <c r="L242" s="1242"/>
    </row>
    <row r="243" spans="1:12" ht="23.25" x14ac:dyDescent="0.35">
      <c r="A243" s="1243" t="s">
        <v>714</v>
      </c>
      <c r="B243" s="1244"/>
      <c r="C243" s="1244"/>
      <c r="D243" s="1244"/>
      <c r="E243" s="1244"/>
      <c r="F243" s="1244"/>
      <c r="G243" s="1244"/>
      <c r="H243" s="1244"/>
      <c r="I243" s="1244"/>
      <c r="J243" s="1244"/>
      <c r="K243" s="1244"/>
      <c r="L243" s="1245"/>
    </row>
    <row r="244" spans="1:12" ht="23.25" x14ac:dyDescent="0.35">
      <c r="A244" s="619" t="s">
        <v>968</v>
      </c>
      <c r="B244" s="620"/>
      <c r="C244" s="620"/>
      <c r="D244" s="621" t="s">
        <v>716</v>
      </c>
      <c r="E244" s="1241" t="s">
        <v>597</v>
      </c>
      <c r="F244" s="1241"/>
      <c r="G244" s="1241"/>
      <c r="H244" s="1241"/>
      <c r="I244" s="1241"/>
      <c r="J244" s="618" t="s">
        <v>771</v>
      </c>
      <c r="K244" s="1241"/>
      <c r="L244" s="1242"/>
    </row>
    <row r="245" spans="1:12" x14ac:dyDescent="0.25">
      <c r="A245" s="622"/>
      <c r="B245" s="623"/>
      <c r="C245" s="623"/>
      <c r="D245" s="624"/>
      <c r="E245" s="623"/>
      <c r="F245" s="623"/>
      <c r="G245" s="623"/>
      <c r="H245" s="623"/>
      <c r="I245" s="1246"/>
      <c r="J245" s="1246"/>
      <c r="K245" s="623"/>
      <c r="L245" s="625"/>
    </row>
    <row r="246" spans="1:12" ht="15.75" x14ac:dyDescent="0.25">
      <c r="A246" s="626" t="s">
        <v>719</v>
      </c>
      <c r="B246" s="627"/>
      <c r="C246" s="628"/>
      <c r="D246" s="629" t="s">
        <v>720</v>
      </c>
      <c r="E246" s="630" t="s">
        <v>721</v>
      </c>
      <c r="F246" s="631" t="s">
        <v>722</v>
      </c>
      <c r="G246" s="626" t="s">
        <v>719</v>
      </c>
      <c r="H246" s="632"/>
      <c r="I246" s="633"/>
      <c r="J246" s="634" t="s">
        <v>720</v>
      </c>
      <c r="K246" s="626" t="s">
        <v>721</v>
      </c>
      <c r="L246" s="626" t="s">
        <v>722</v>
      </c>
    </row>
    <row r="247" spans="1:12" ht="15.75" x14ac:dyDescent="0.25">
      <c r="A247" s="635"/>
      <c r="B247" s="636"/>
      <c r="C247" s="637"/>
      <c r="D247" s="638"/>
      <c r="E247" s="639"/>
      <c r="F247" s="640"/>
      <c r="G247" s="641"/>
      <c r="H247" s="642"/>
      <c r="I247" s="643"/>
      <c r="J247" s="644"/>
      <c r="K247" s="645"/>
      <c r="L247" s="646"/>
    </row>
    <row r="248" spans="1:12" ht="15.75" x14ac:dyDescent="0.25">
      <c r="A248" s="647"/>
      <c r="B248" s="648" t="s">
        <v>273</v>
      </c>
      <c r="C248" s="649">
        <v>107</v>
      </c>
      <c r="D248" s="650" t="s">
        <v>996</v>
      </c>
      <c r="E248" s="651"/>
      <c r="F248" s="652"/>
      <c r="G248" s="647"/>
      <c r="H248" s="648"/>
      <c r="I248" s="649"/>
      <c r="J248" s="650"/>
      <c r="K248" s="651"/>
      <c r="L248" s="653"/>
    </row>
    <row r="249" spans="1:12" ht="15.75" x14ac:dyDescent="0.25">
      <c r="A249" s="647" t="s">
        <v>725</v>
      </c>
      <c r="B249" s="654"/>
      <c r="C249" s="649"/>
      <c r="D249" s="650" t="s">
        <v>726</v>
      </c>
      <c r="E249" s="651"/>
      <c r="F249" s="655">
        <v>0.34722222222222221</v>
      </c>
      <c r="G249" s="647"/>
      <c r="H249" s="648"/>
      <c r="I249" s="649"/>
      <c r="J249" s="656"/>
      <c r="K249" s="651"/>
      <c r="L249" s="657"/>
    </row>
    <row r="250" spans="1:12" ht="15.75" x14ac:dyDescent="0.25">
      <c r="A250" s="647" t="s">
        <v>727</v>
      </c>
      <c r="B250" s="648"/>
      <c r="C250" s="649"/>
      <c r="D250" s="656" t="s">
        <v>728</v>
      </c>
      <c r="E250" s="651"/>
      <c r="F250" s="657">
        <v>0.36805555555555558</v>
      </c>
      <c r="G250" s="647"/>
      <c r="H250" s="648"/>
      <c r="I250" s="649"/>
      <c r="J250" s="650"/>
      <c r="K250" s="651"/>
      <c r="L250" s="653"/>
    </row>
    <row r="251" spans="1:12" ht="15.75" x14ac:dyDescent="0.25">
      <c r="A251" s="647"/>
      <c r="B251" s="648"/>
      <c r="C251" s="649"/>
      <c r="D251" s="650"/>
      <c r="E251" s="651"/>
      <c r="F251" s="653"/>
      <c r="G251" s="647"/>
      <c r="H251" s="648"/>
      <c r="I251" s="649"/>
      <c r="J251" s="617"/>
      <c r="K251" s="662"/>
      <c r="L251" s="658"/>
    </row>
    <row r="252" spans="1:12" ht="15.75" x14ac:dyDescent="0.25">
      <c r="A252" s="647" t="s">
        <v>727</v>
      </c>
      <c r="B252" s="648"/>
      <c r="C252" s="649"/>
      <c r="D252" s="617" t="s">
        <v>48</v>
      </c>
      <c r="E252" s="651"/>
      <c r="F252" s="658">
        <v>0.41666666666666669</v>
      </c>
      <c r="G252" s="647"/>
      <c r="H252" s="648"/>
      <c r="I252" s="649"/>
      <c r="J252" s="650"/>
      <c r="K252" s="662"/>
      <c r="L252" s="664"/>
    </row>
    <row r="253" spans="1:12" ht="15.75" x14ac:dyDescent="0.25">
      <c r="A253" s="647"/>
      <c r="B253" s="648"/>
      <c r="C253" s="649"/>
      <c r="D253" s="661"/>
      <c r="E253" s="651"/>
      <c r="F253" s="653"/>
      <c r="G253" s="647"/>
      <c r="H253" s="648"/>
      <c r="I253" s="649"/>
      <c r="J253" s="650"/>
      <c r="K253" s="651"/>
      <c r="L253" s="653"/>
    </row>
    <row r="254" spans="1:12" ht="15.75" x14ac:dyDescent="0.25">
      <c r="A254" s="647" t="s">
        <v>727</v>
      </c>
      <c r="B254" s="648"/>
      <c r="C254" s="649"/>
      <c r="D254" s="656" t="s">
        <v>728</v>
      </c>
      <c r="E254" s="651"/>
      <c r="F254" s="657">
        <v>0.47569444444444442</v>
      </c>
      <c r="G254" s="647"/>
      <c r="H254" s="648"/>
      <c r="I254" s="649"/>
      <c r="J254" s="650"/>
      <c r="K254" s="651"/>
      <c r="L254" s="653"/>
    </row>
    <row r="255" spans="1:12" ht="15.75" x14ac:dyDescent="0.25">
      <c r="A255" s="647"/>
      <c r="B255" s="648"/>
      <c r="C255" s="649"/>
      <c r="D255" s="650"/>
      <c r="E255" s="651"/>
      <c r="F255" s="653"/>
      <c r="G255" s="647"/>
      <c r="H255" s="648"/>
      <c r="I255" s="649"/>
      <c r="J255" s="617"/>
      <c r="K255" s="651"/>
      <c r="L255" s="658"/>
    </row>
    <row r="256" spans="1:12" ht="15.75" x14ac:dyDescent="0.25">
      <c r="A256" s="647" t="s">
        <v>725</v>
      </c>
      <c r="B256" s="648"/>
      <c r="C256" s="649"/>
      <c r="D256" s="617" t="s">
        <v>48</v>
      </c>
      <c r="E256" s="662">
        <v>0.53472222222222221</v>
      </c>
      <c r="F256" s="658"/>
      <c r="G256" s="647"/>
      <c r="H256" s="648"/>
      <c r="I256" s="649"/>
      <c r="J256" s="661"/>
      <c r="K256" s="651"/>
      <c r="L256" s="653"/>
    </row>
    <row r="257" spans="1:12" ht="15.75" x14ac:dyDescent="0.25">
      <c r="A257" s="647"/>
      <c r="B257" s="648"/>
      <c r="C257" s="649"/>
      <c r="D257" s="650" t="s">
        <v>733</v>
      </c>
      <c r="E257" s="662">
        <v>0.55555555555555558</v>
      </c>
      <c r="F257" s="664"/>
      <c r="G257" s="647"/>
      <c r="H257" s="648"/>
      <c r="I257" s="649"/>
      <c r="J257" s="656"/>
      <c r="K257" s="662"/>
      <c r="L257" s="657"/>
    </row>
    <row r="258" spans="1:12" ht="15.75" x14ac:dyDescent="0.25">
      <c r="A258" s="647"/>
      <c r="B258" s="648" t="s">
        <v>276</v>
      </c>
      <c r="C258" s="649" t="s">
        <v>273</v>
      </c>
      <c r="D258" s="650"/>
      <c r="E258" s="651"/>
      <c r="F258" s="653"/>
      <c r="G258" s="647"/>
      <c r="H258" s="648"/>
      <c r="I258" s="649"/>
      <c r="J258" s="650"/>
      <c r="K258" s="651"/>
      <c r="L258" s="653"/>
    </row>
    <row r="259" spans="1:12" ht="15.75" x14ac:dyDescent="0.25">
      <c r="A259" s="647"/>
      <c r="B259" s="648"/>
      <c r="C259" s="649"/>
      <c r="D259" s="661"/>
      <c r="E259" s="651"/>
      <c r="F259" s="653"/>
      <c r="G259" s="647"/>
      <c r="H259" s="648"/>
      <c r="I259" s="649"/>
      <c r="J259" s="617"/>
      <c r="K259" s="662"/>
      <c r="L259" s="658"/>
    </row>
    <row r="260" spans="1:12" ht="15.75" x14ac:dyDescent="0.25">
      <c r="A260" s="647"/>
      <c r="B260" s="648"/>
      <c r="C260" s="649"/>
      <c r="D260" s="650"/>
      <c r="E260" s="651"/>
      <c r="F260" s="653"/>
      <c r="G260" s="647"/>
      <c r="H260" s="648"/>
      <c r="I260" s="649"/>
      <c r="J260" s="650"/>
      <c r="K260" s="662"/>
      <c r="L260" s="664"/>
    </row>
    <row r="261" spans="1:12" ht="15.75" x14ac:dyDescent="0.25">
      <c r="A261" s="647"/>
      <c r="B261" s="648"/>
      <c r="C261" s="665"/>
      <c r="D261" s="661"/>
      <c r="E261" s="651"/>
      <c r="F261" s="653"/>
      <c r="G261" s="647"/>
      <c r="H261" s="648"/>
      <c r="I261" s="649"/>
      <c r="J261" s="650"/>
      <c r="K261" s="651"/>
      <c r="L261" s="653"/>
    </row>
    <row r="262" spans="1:12" ht="15.75" x14ac:dyDescent="0.25">
      <c r="A262" s="647"/>
      <c r="B262" s="648"/>
      <c r="C262" s="649"/>
      <c r="D262" s="650"/>
      <c r="E262" s="651"/>
      <c r="F262" s="653"/>
      <c r="G262" s="647"/>
      <c r="H262" s="648"/>
      <c r="I262" s="649"/>
      <c r="J262" s="663"/>
      <c r="K262" s="662"/>
      <c r="L262" s="658"/>
    </row>
    <row r="263" spans="1:12" ht="15.75" x14ac:dyDescent="0.25">
      <c r="A263" s="647"/>
      <c r="B263" s="648"/>
      <c r="C263" s="649"/>
      <c r="D263" s="650"/>
      <c r="E263" s="651"/>
      <c r="F263" s="653"/>
      <c r="G263" s="647"/>
      <c r="H263" s="648"/>
      <c r="I263" s="649"/>
      <c r="J263" s="663"/>
      <c r="K263" s="651"/>
      <c r="L263" s="653"/>
    </row>
    <row r="264" spans="1:12" ht="15.75" x14ac:dyDescent="0.25">
      <c r="A264" s="647"/>
      <c r="B264" s="648"/>
      <c r="C264" s="649"/>
      <c r="D264" s="656"/>
      <c r="E264" s="651"/>
      <c r="F264" s="657"/>
      <c r="G264" s="647"/>
      <c r="H264" s="648"/>
      <c r="I264" s="649"/>
      <c r="J264" s="650"/>
      <c r="K264" s="651"/>
      <c r="L264" s="664"/>
    </row>
    <row r="265" spans="1:12" ht="15.75" x14ac:dyDescent="0.25">
      <c r="A265" s="647"/>
      <c r="B265" s="648"/>
      <c r="C265" s="649"/>
      <c r="D265" s="650"/>
      <c r="E265" s="651"/>
      <c r="F265" s="653"/>
      <c r="G265" s="647"/>
      <c r="H265" s="648"/>
      <c r="I265" s="649"/>
      <c r="J265" s="650"/>
      <c r="K265" s="651"/>
      <c r="L265" s="653"/>
    </row>
    <row r="266" spans="1:12" ht="15.75" x14ac:dyDescent="0.25">
      <c r="A266" s="647"/>
      <c r="B266" s="648"/>
      <c r="C266" s="649"/>
      <c r="D266" s="617"/>
      <c r="E266" s="651"/>
      <c r="F266" s="658"/>
      <c r="G266" s="647"/>
      <c r="H266" s="648"/>
      <c r="I266" s="649"/>
      <c r="J266" s="663"/>
      <c r="K266" s="662"/>
      <c r="L266" s="658"/>
    </row>
    <row r="267" spans="1:12" ht="15.75" x14ac:dyDescent="0.25">
      <c r="A267" s="647"/>
      <c r="B267" s="648"/>
      <c r="C267" s="649"/>
      <c r="D267" s="661"/>
      <c r="E267" s="651"/>
      <c r="F267" s="653"/>
      <c r="G267" s="647"/>
      <c r="H267" s="648"/>
      <c r="I267" s="649"/>
      <c r="J267" s="663"/>
      <c r="K267" s="651"/>
      <c r="L267" s="653"/>
    </row>
    <row r="268" spans="1:12" ht="15.75" x14ac:dyDescent="0.25">
      <c r="A268" s="647"/>
      <c r="B268" s="648"/>
      <c r="C268" s="649"/>
      <c r="D268" s="656"/>
      <c r="E268" s="651"/>
      <c r="F268" s="657"/>
      <c r="G268" s="647"/>
      <c r="H268" s="648"/>
      <c r="I268" s="649"/>
      <c r="J268" s="650"/>
      <c r="K268" s="651"/>
      <c r="L268" s="664"/>
    </row>
    <row r="269" spans="1:12" ht="15.75" x14ac:dyDescent="0.25">
      <c r="A269" s="647"/>
      <c r="B269" s="648"/>
      <c r="C269" s="649"/>
      <c r="D269" s="650"/>
      <c r="E269" s="651"/>
      <c r="F269" s="653"/>
      <c r="G269" s="647"/>
      <c r="H269" s="648"/>
      <c r="I269" s="649"/>
      <c r="J269" s="650"/>
      <c r="K269" s="651"/>
      <c r="L269" s="653"/>
    </row>
    <row r="270" spans="1:12" ht="15.75" x14ac:dyDescent="0.25">
      <c r="A270" s="647"/>
      <c r="B270" s="648"/>
      <c r="C270" s="649"/>
      <c r="D270" s="617"/>
      <c r="E270" s="662"/>
      <c r="F270" s="658"/>
      <c r="G270" s="647"/>
      <c r="H270" s="648"/>
      <c r="I270" s="649"/>
      <c r="J270" s="617"/>
      <c r="K270" s="651"/>
      <c r="L270" s="658"/>
    </row>
    <row r="271" spans="1:12" ht="15.75" x14ac:dyDescent="0.25">
      <c r="A271" s="647"/>
      <c r="B271" s="648"/>
      <c r="C271" s="649"/>
      <c r="D271" s="650"/>
      <c r="E271" s="662"/>
      <c r="F271" s="664"/>
      <c r="G271" s="647"/>
      <c r="H271" s="648"/>
      <c r="I271" s="649"/>
      <c r="J271" s="661"/>
      <c r="K271" s="651"/>
      <c r="L271" s="653"/>
    </row>
    <row r="272" spans="1:12" ht="15.75" x14ac:dyDescent="0.25">
      <c r="A272" s="647"/>
      <c r="B272" s="648"/>
      <c r="C272" s="649"/>
      <c r="D272" s="650"/>
      <c r="E272" s="651"/>
      <c r="F272" s="653"/>
      <c r="G272" s="647"/>
      <c r="H272" s="648"/>
      <c r="I272" s="649"/>
      <c r="J272" s="650"/>
      <c r="K272" s="662"/>
      <c r="L272" s="664"/>
    </row>
    <row r="273" spans="1:12" ht="15.75" x14ac:dyDescent="0.25">
      <c r="A273" s="647"/>
      <c r="B273" s="648"/>
      <c r="C273" s="649"/>
      <c r="D273" s="661"/>
      <c r="E273" s="651"/>
      <c r="F273" s="653"/>
      <c r="G273" s="647"/>
      <c r="H273" s="648"/>
      <c r="I273" s="649"/>
      <c r="J273" s="650"/>
      <c r="K273" s="651"/>
      <c r="L273" s="653"/>
    </row>
    <row r="274" spans="1:12" ht="15.75" x14ac:dyDescent="0.25">
      <c r="A274" s="647"/>
      <c r="B274" s="648"/>
      <c r="C274" s="649"/>
      <c r="D274" s="650"/>
      <c r="E274" s="651"/>
      <c r="F274" s="653"/>
      <c r="G274" s="647"/>
      <c r="H274" s="648"/>
      <c r="I274" s="649"/>
      <c r="J274" s="650"/>
      <c r="K274" s="662"/>
      <c r="L274" s="658"/>
    </row>
    <row r="275" spans="1:12" ht="15.75" x14ac:dyDescent="0.25">
      <c r="A275" s="647"/>
      <c r="B275" s="648"/>
      <c r="C275" s="665"/>
      <c r="D275" s="661"/>
      <c r="E275" s="651"/>
      <c r="F275" s="653"/>
      <c r="G275" s="647"/>
      <c r="H275" s="648"/>
      <c r="I275" s="649"/>
      <c r="J275" s="661"/>
      <c r="K275" s="651"/>
      <c r="L275" s="653"/>
    </row>
    <row r="276" spans="1:12" ht="15.75" x14ac:dyDescent="0.25">
      <c r="A276" s="647"/>
      <c r="B276" s="648"/>
      <c r="C276" s="649"/>
      <c r="D276" s="650"/>
      <c r="E276" s="651"/>
      <c r="F276" s="653"/>
      <c r="G276" s="647"/>
      <c r="H276" s="648"/>
      <c r="I276" s="649"/>
      <c r="J276" s="650"/>
      <c r="K276" s="662"/>
      <c r="L276" s="664"/>
    </row>
    <row r="277" spans="1:12" ht="15.75" x14ac:dyDescent="0.25">
      <c r="A277" s="647"/>
      <c r="B277" s="648"/>
      <c r="C277" s="649"/>
      <c r="D277" s="661"/>
      <c r="E277" s="651"/>
      <c r="F277" s="653"/>
      <c r="G277" s="647"/>
      <c r="H277" s="648"/>
      <c r="I277" s="649"/>
      <c r="J277" s="661"/>
      <c r="K277" s="651"/>
      <c r="L277" s="653"/>
    </row>
    <row r="278" spans="1:12" ht="15.75" x14ac:dyDescent="0.25">
      <c r="A278" s="647"/>
      <c r="B278" s="648"/>
      <c r="C278" s="649"/>
      <c r="D278" s="650"/>
      <c r="E278" s="651"/>
      <c r="F278" s="653"/>
      <c r="G278" s="647"/>
      <c r="H278" s="648"/>
      <c r="I278" s="649"/>
      <c r="J278" s="650"/>
      <c r="K278" s="651"/>
      <c r="L278" s="653"/>
    </row>
    <row r="279" spans="1:12" ht="15.75" x14ac:dyDescent="0.25">
      <c r="A279" s="647"/>
      <c r="B279" s="648"/>
      <c r="C279" s="665"/>
      <c r="D279" s="661"/>
      <c r="E279" s="651"/>
      <c r="F279" s="653"/>
      <c r="G279" s="666"/>
      <c r="H279" s="648"/>
      <c r="I279" s="665"/>
      <c r="J279" s="650"/>
      <c r="K279" s="651"/>
      <c r="L279" s="653"/>
    </row>
    <row r="280" spans="1:12" ht="15.75" x14ac:dyDescent="0.25">
      <c r="A280" s="667"/>
      <c r="B280" s="668"/>
      <c r="C280" s="669"/>
      <c r="D280" s="670"/>
      <c r="E280" s="671"/>
      <c r="F280" s="672"/>
      <c r="G280" s="673"/>
      <c r="H280" s="674"/>
      <c r="I280" s="675"/>
      <c r="J280" s="676"/>
      <c r="K280" s="671"/>
      <c r="L280" s="677"/>
    </row>
    <row r="281" spans="1:12" ht="23.25" x14ac:dyDescent="0.35">
      <c r="A281" s="1237" t="s">
        <v>712</v>
      </c>
      <c r="B281" s="1238"/>
      <c r="C281" s="1238"/>
      <c r="D281" s="1238"/>
      <c r="E281" s="1238"/>
      <c r="F281" s="1238"/>
      <c r="G281" s="1238"/>
      <c r="H281" s="1238"/>
      <c r="I281" s="1238"/>
      <c r="J281" s="1238"/>
      <c r="K281" s="1238"/>
      <c r="L281" s="1239"/>
    </row>
    <row r="282" spans="1:12" ht="23.25" x14ac:dyDescent="0.35">
      <c r="A282" s="1240" t="s">
        <v>713</v>
      </c>
      <c r="B282" s="1241"/>
      <c r="C282" s="1241"/>
      <c r="D282" s="1241"/>
      <c r="E282" s="1241"/>
      <c r="F282" s="1241"/>
      <c r="G282" s="1241"/>
      <c r="H282" s="1241"/>
      <c r="I282" s="1241"/>
      <c r="J282" s="1241"/>
      <c r="K282" s="1241"/>
      <c r="L282" s="1242"/>
    </row>
    <row r="283" spans="1:12" ht="23.25" x14ac:dyDescent="0.35">
      <c r="A283" s="1243" t="s">
        <v>714</v>
      </c>
      <c r="B283" s="1244"/>
      <c r="C283" s="1244"/>
      <c r="D283" s="1244"/>
      <c r="E283" s="1244"/>
      <c r="F283" s="1244"/>
      <c r="G283" s="1244"/>
      <c r="H283" s="1244"/>
      <c r="I283" s="1244"/>
      <c r="J283" s="1244"/>
      <c r="K283" s="1244"/>
      <c r="L283" s="1245"/>
    </row>
    <row r="284" spans="1:12" ht="23.25" x14ac:dyDescent="0.35">
      <c r="A284" s="619" t="s">
        <v>968</v>
      </c>
      <c r="B284" s="620"/>
      <c r="C284" s="620"/>
      <c r="D284" s="621" t="s">
        <v>716</v>
      </c>
      <c r="E284" s="1241" t="s">
        <v>597</v>
      </c>
      <c r="F284" s="1241"/>
      <c r="G284" s="1241"/>
      <c r="H284" s="1241"/>
      <c r="I284" s="1241"/>
      <c r="J284" s="618" t="s">
        <v>778</v>
      </c>
      <c r="K284" s="1241"/>
      <c r="L284" s="1242"/>
    </row>
    <row r="285" spans="1:12" x14ac:dyDescent="0.25">
      <c r="A285" s="622"/>
      <c r="B285" s="623"/>
      <c r="C285" s="623"/>
      <c r="D285" s="624"/>
      <c r="E285" s="623"/>
      <c r="F285" s="623"/>
      <c r="G285" s="623"/>
      <c r="H285" s="623"/>
      <c r="I285" s="1246"/>
      <c r="J285" s="1246"/>
      <c r="K285" s="623"/>
      <c r="L285" s="625"/>
    </row>
    <row r="286" spans="1:12" ht="15.75" x14ac:dyDescent="0.25">
      <c r="A286" s="626" t="s">
        <v>719</v>
      </c>
      <c r="B286" s="627"/>
      <c r="C286" s="628"/>
      <c r="D286" s="629" t="s">
        <v>720</v>
      </c>
      <c r="E286" s="630" t="s">
        <v>721</v>
      </c>
      <c r="F286" s="631" t="s">
        <v>722</v>
      </c>
      <c r="G286" s="626" t="s">
        <v>719</v>
      </c>
      <c r="H286" s="632"/>
      <c r="I286" s="633"/>
      <c r="J286" s="634" t="s">
        <v>720</v>
      </c>
      <c r="K286" s="626" t="s">
        <v>721</v>
      </c>
      <c r="L286" s="626" t="s">
        <v>722</v>
      </c>
    </row>
    <row r="287" spans="1:12" ht="15.75" x14ac:dyDescent="0.25">
      <c r="A287" s="635"/>
      <c r="B287" s="636"/>
      <c r="C287" s="637"/>
      <c r="D287" s="638"/>
      <c r="E287" s="639"/>
      <c r="F287" s="640"/>
      <c r="G287" s="641"/>
      <c r="H287" s="642"/>
      <c r="I287" s="643"/>
      <c r="J287" s="644"/>
      <c r="K287" s="645"/>
      <c r="L287" s="646"/>
    </row>
    <row r="288" spans="1:12" ht="15.75" x14ac:dyDescent="0.25">
      <c r="A288" s="647"/>
      <c r="B288" s="648" t="s">
        <v>273</v>
      </c>
      <c r="C288" s="649">
        <v>109</v>
      </c>
      <c r="D288" s="650" t="s">
        <v>997</v>
      </c>
      <c r="E288" s="651"/>
      <c r="F288" s="652"/>
      <c r="G288" s="647"/>
      <c r="H288" s="648" t="s">
        <v>273</v>
      </c>
      <c r="I288" s="649">
        <v>118</v>
      </c>
      <c r="J288" s="650" t="s">
        <v>998</v>
      </c>
      <c r="K288" s="651"/>
      <c r="L288" s="653"/>
    </row>
    <row r="289" spans="1:12" ht="15.75" x14ac:dyDescent="0.25">
      <c r="A289" s="647" t="s">
        <v>725</v>
      </c>
      <c r="B289" s="654"/>
      <c r="C289" s="649"/>
      <c r="D289" s="650" t="s">
        <v>726</v>
      </c>
      <c r="E289" s="651"/>
      <c r="F289" s="655">
        <v>0.3611111111111111</v>
      </c>
      <c r="G289" s="647" t="s">
        <v>727</v>
      </c>
      <c r="H289" s="648"/>
      <c r="I289" s="649"/>
      <c r="J289" s="656" t="s">
        <v>728</v>
      </c>
      <c r="K289" s="651"/>
      <c r="L289" s="657">
        <v>0.82986111111111116</v>
      </c>
    </row>
    <row r="290" spans="1:12" ht="15.75" x14ac:dyDescent="0.25">
      <c r="A290" s="647">
        <v>7</v>
      </c>
      <c r="B290" s="648"/>
      <c r="C290" s="649"/>
      <c r="D290" s="656" t="s">
        <v>728</v>
      </c>
      <c r="E290" s="651"/>
      <c r="F290" s="657">
        <v>0.38194444444444442</v>
      </c>
      <c r="G290" s="647"/>
      <c r="H290" s="648"/>
      <c r="I290" s="649"/>
      <c r="J290" s="650"/>
      <c r="K290" s="651"/>
      <c r="L290" s="653"/>
    </row>
    <row r="291" spans="1:12" ht="15.75" x14ac:dyDescent="0.25">
      <c r="A291" s="647"/>
      <c r="B291" s="648"/>
      <c r="C291" s="649"/>
      <c r="D291" s="650"/>
      <c r="E291" s="651"/>
      <c r="F291" s="653"/>
      <c r="G291" s="647" t="s">
        <v>727</v>
      </c>
      <c r="H291" s="648"/>
      <c r="I291" s="649"/>
      <c r="J291" s="617" t="s">
        <v>48</v>
      </c>
      <c r="K291" s="651"/>
      <c r="L291" s="658">
        <v>0.88888888888888884</v>
      </c>
    </row>
    <row r="292" spans="1:12" ht="15.75" x14ac:dyDescent="0.25">
      <c r="A292" s="647">
        <v>7</v>
      </c>
      <c r="B292" s="648"/>
      <c r="C292" s="649"/>
      <c r="D292" s="659" t="s">
        <v>50</v>
      </c>
      <c r="E292" s="651"/>
      <c r="F292" s="660">
        <v>0.43055555555555558</v>
      </c>
      <c r="G292" s="647"/>
      <c r="H292" s="648"/>
      <c r="I292" s="649"/>
      <c r="J292" s="661"/>
      <c r="K292" s="651"/>
      <c r="L292" s="653"/>
    </row>
    <row r="293" spans="1:12" ht="15.75" x14ac:dyDescent="0.25">
      <c r="A293" s="647"/>
      <c r="B293" s="648"/>
      <c r="C293" s="649"/>
      <c r="D293" s="661"/>
      <c r="E293" s="651"/>
      <c r="F293" s="653"/>
      <c r="G293" s="647" t="s">
        <v>727</v>
      </c>
      <c r="H293" s="648"/>
      <c r="I293" s="649"/>
      <c r="J293" s="656" t="s">
        <v>728</v>
      </c>
      <c r="K293" s="651"/>
      <c r="L293" s="657">
        <v>0.93055555555555558</v>
      </c>
    </row>
    <row r="294" spans="1:12" ht="15.75" x14ac:dyDescent="0.25">
      <c r="A294" s="647">
        <v>7</v>
      </c>
      <c r="B294" s="648"/>
      <c r="C294" s="649"/>
      <c r="D294" s="656" t="s">
        <v>728</v>
      </c>
      <c r="E294" s="651"/>
      <c r="F294" s="657">
        <v>0.4861111111111111</v>
      </c>
      <c r="G294" s="647"/>
      <c r="H294" s="648"/>
      <c r="I294" s="649"/>
      <c r="J294" s="650"/>
      <c r="K294" s="651"/>
      <c r="L294" s="653"/>
    </row>
    <row r="295" spans="1:12" ht="15.75" x14ac:dyDescent="0.25">
      <c r="A295" s="647"/>
      <c r="B295" s="648"/>
      <c r="C295" s="649"/>
      <c r="D295" s="650"/>
      <c r="E295" s="651"/>
      <c r="F295" s="653"/>
      <c r="G295" s="647" t="s">
        <v>727</v>
      </c>
      <c r="H295" s="648"/>
      <c r="I295" s="649"/>
      <c r="J295" s="617" t="s">
        <v>48</v>
      </c>
      <c r="K295" s="651"/>
      <c r="L295" s="658">
        <v>0.97916666666666663</v>
      </c>
    </row>
    <row r="296" spans="1:12" ht="15.75" x14ac:dyDescent="0.25">
      <c r="A296" s="647" t="s">
        <v>725</v>
      </c>
      <c r="B296" s="648"/>
      <c r="C296" s="649"/>
      <c r="D296" s="659" t="s">
        <v>50</v>
      </c>
      <c r="E296" s="662">
        <v>0.54513888888888884</v>
      </c>
      <c r="F296" s="658"/>
      <c r="G296" s="647"/>
      <c r="H296" s="648"/>
      <c r="I296" s="649"/>
      <c r="J296" s="661"/>
      <c r="K296" s="651"/>
      <c r="L296" s="653"/>
    </row>
    <row r="297" spans="1:12" ht="15.75" x14ac:dyDescent="0.25">
      <c r="A297" s="647"/>
      <c r="B297" s="648"/>
      <c r="C297" s="649"/>
      <c r="D297" s="650" t="s">
        <v>733</v>
      </c>
      <c r="E297" s="662">
        <v>0.56597222222222221</v>
      </c>
      <c r="F297" s="664"/>
      <c r="G297" s="647" t="s">
        <v>725</v>
      </c>
      <c r="H297" s="648"/>
      <c r="I297" s="649"/>
      <c r="J297" s="656" t="s">
        <v>728</v>
      </c>
      <c r="K297" s="662">
        <v>1.0173611111111112</v>
      </c>
      <c r="L297" s="657"/>
    </row>
    <row r="298" spans="1:12" ht="15.75" x14ac:dyDescent="0.25">
      <c r="A298" s="647"/>
      <c r="B298" s="648" t="s">
        <v>276</v>
      </c>
      <c r="C298" s="649" t="s">
        <v>273</v>
      </c>
      <c r="D298" s="650"/>
      <c r="E298" s="651"/>
      <c r="F298" s="653"/>
      <c r="G298" s="647"/>
      <c r="H298" s="648"/>
      <c r="I298" s="649"/>
      <c r="J298" s="650" t="s">
        <v>733</v>
      </c>
      <c r="K298" s="662">
        <v>1.0381944444444444</v>
      </c>
      <c r="L298" s="664"/>
    </row>
    <row r="299" spans="1:12" ht="15.75" x14ac:dyDescent="0.25">
      <c r="A299" s="647"/>
      <c r="B299" s="648"/>
      <c r="C299" s="649"/>
      <c r="D299" s="661"/>
      <c r="E299" s="651"/>
      <c r="F299" s="653"/>
      <c r="G299" s="647"/>
      <c r="H299" s="648" t="s">
        <v>276</v>
      </c>
      <c r="I299" s="649" t="s">
        <v>273</v>
      </c>
      <c r="J299" s="650"/>
      <c r="K299" s="651"/>
      <c r="L299" s="653"/>
    </row>
    <row r="300" spans="1:12" ht="15.75" x14ac:dyDescent="0.25">
      <c r="A300" s="647"/>
      <c r="B300" s="648" t="s">
        <v>273</v>
      </c>
      <c r="C300" s="649">
        <v>122</v>
      </c>
      <c r="D300" s="650" t="s">
        <v>999</v>
      </c>
      <c r="E300" s="651"/>
      <c r="F300" s="652"/>
      <c r="G300" s="647"/>
      <c r="H300" s="648"/>
      <c r="I300" s="649"/>
      <c r="J300" s="661"/>
      <c r="K300" s="651"/>
      <c r="L300" s="653"/>
    </row>
    <row r="301" spans="1:12" ht="15.75" x14ac:dyDescent="0.25">
      <c r="A301" s="647" t="s">
        <v>725</v>
      </c>
      <c r="B301" s="654"/>
      <c r="C301" s="649"/>
      <c r="D301" s="650" t="s">
        <v>726</v>
      </c>
      <c r="E301" s="651"/>
      <c r="F301" s="655">
        <v>0.67708333333333337</v>
      </c>
      <c r="G301" s="647"/>
      <c r="H301" s="648"/>
      <c r="I301" s="649"/>
      <c r="J301" s="650"/>
      <c r="K301" s="651"/>
      <c r="L301" s="653"/>
    </row>
    <row r="302" spans="1:12" ht="15.75" x14ac:dyDescent="0.25">
      <c r="A302" s="647" t="s">
        <v>727</v>
      </c>
      <c r="B302" s="648"/>
      <c r="C302" s="649"/>
      <c r="D302" s="656" t="s">
        <v>728</v>
      </c>
      <c r="E302" s="651"/>
      <c r="F302" s="657">
        <v>0.70138888888888884</v>
      </c>
      <c r="G302" s="647"/>
      <c r="H302" s="648"/>
      <c r="I302" s="649"/>
      <c r="J302" s="663"/>
      <c r="K302" s="662"/>
      <c r="L302" s="658"/>
    </row>
    <row r="303" spans="1:12" ht="15.75" x14ac:dyDescent="0.25">
      <c r="A303" s="647"/>
      <c r="B303" s="648"/>
      <c r="C303" s="649"/>
      <c r="D303" s="661"/>
      <c r="E303" s="651"/>
      <c r="F303" s="653"/>
      <c r="G303" s="647"/>
      <c r="H303" s="648"/>
      <c r="I303" s="649"/>
      <c r="J303" s="663"/>
      <c r="K303" s="651"/>
      <c r="L303" s="653"/>
    </row>
    <row r="304" spans="1:12" ht="15.75" x14ac:dyDescent="0.25">
      <c r="A304" s="647" t="s">
        <v>727</v>
      </c>
      <c r="B304" s="648"/>
      <c r="C304" s="649"/>
      <c r="D304" s="617" t="s">
        <v>48</v>
      </c>
      <c r="E304" s="651"/>
      <c r="F304" s="658">
        <v>0.77777777777777779</v>
      </c>
      <c r="G304" s="647"/>
      <c r="H304" s="648"/>
      <c r="I304" s="649"/>
      <c r="J304" s="650"/>
      <c r="K304" s="651"/>
      <c r="L304" s="664"/>
    </row>
    <row r="305" spans="1:12" ht="15.75" x14ac:dyDescent="0.25">
      <c r="A305" s="647"/>
      <c r="B305" s="648"/>
      <c r="C305" s="649"/>
      <c r="D305" s="661"/>
      <c r="E305" s="651"/>
      <c r="F305" s="653"/>
      <c r="G305" s="647"/>
      <c r="H305" s="648"/>
      <c r="I305" s="649"/>
      <c r="J305" s="650"/>
      <c r="K305" s="651"/>
      <c r="L305" s="653"/>
    </row>
    <row r="306" spans="1:12" ht="15.75" x14ac:dyDescent="0.25">
      <c r="A306" s="647"/>
      <c r="B306" s="648"/>
      <c r="C306" s="649"/>
      <c r="D306" s="656" t="s">
        <v>728</v>
      </c>
      <c r="E306" s="662">
        <v>0.82986111111111116</v>
      </c>
      <c r="F306" s="657"/>
      <c r="G306" s="647"/>
      <c r="H306" s="648"/>
      <c r="I306" s="649"/>
      <c r="J306" s="663"/>
      <c r="K306" s="662"/>
      <c r="L306" s="658"/>
    </row>
    <row r="307" spans="1:12" ht="15.75" x14ac:dyDescent="0.25">
      <c r="A307" s="647"/>
      <c r="B307" s="648" t="s">
        <v>273</v>
      </c>
      <c r="C307" s="649">
        <v>122</v>
      </c>
      <c r="D307" s="650" t="s">
        <v>1000</v>
      </c>
      <c r="E307" s="651"/>
      <c r="F307" s="653"/>
      <c r="G307" s="647"/>
      <c r="H307" s="648"/>
      <c r="I307" s="649"/>
      <c r="J307" s="663"/>
      <c r="K307" s="651"/>
      <c r="L307" s="653"/>
    </row>
    <row r="308" spans="1:12" ht="15.75" x14ac:dyDescent="0.25">
      <c r="A308" s="647"/>
      <c r="B308" s="648"/>
      <c r="C308" s="649"/>
      <c r="D308" s="661"/>
      <c r="E308" s="651"/>
      <c r="F308" s="653"/>
      <c r="G308" s="647"/>
      <c r="H308" s="648"/>
      <c r="I308" s="649"/>
      <c r="J308" s="650"/>
      <c r="K308" s="651"/>
      <c r="L308" s="664"/>
    </row>
    <row r="309" spans="1:12" ht="15.75" x14ac:dyDescent="0.25">
      <c r="A309" s="647"/>
      <c r="B309" s="648"/>
      <c r="C309" s="649"/>
      <c r="D309" s="650"/>
      <c r="E309" s="651"/>
      <c r="F309" s="653"/>
      <c r="G309" s="647"/>
      <c r="H309" s="648"/>
      <c r="I309" s="649"/>
      <c r="J309" s="650"/>
      <c r="K309" s="651"/>
      <c r="L309" s="653"/>
    </row>
    <row r="310" spans="1:12" ht="15.75" x14ac:dyDescent="0.25">
      <c r="A310" s="647"/>
      <c r="B310" s="648"/>
      <c r="C310" s="649"/>
      <c r="D310" s="656"/>
      <c r="E310" s="651"/>
      <c r="F310" s="657"/>
      <c r="G310" s="647"/>
      <c r="H310" s="648"/>
      <c r="I310" s="649"/>
      <c r="J310" s="617"/>
      <c r="K310" s="651"/>
      <c r="L310" s="658"/>
    </row>
    <row r="311" spans="1:12" ht="15.75" x14ac:dyDescent="0.25">
      <c r="A311" s="647"/>
      <c r="B311" s="648"/>
      <c r="C311" s="649"/>
      <c r="D311" s="650"/>
      <c r="E311" s="651"/>
      <c r="F311" s="653"/>
      <c r="G311" s="647"/>
      <c r="H311" s="648"/>
      <c r="I311" s="649"/>
      <c r="J311" s="661"/>
      <c r="K311" s="651"/>
      <c r="L311" s="653"/>
    </row>
    <row r="312" spans="1:12" ht="15.75" x14ac:dyDescent="0.25">
      <c r="A312" s="647"/>
      <c r="B312" s="648"/>
      <c r="C312" s="649"/>
      <c r="D312" s="617"/>
      <c r="E312" s="651"/>
      <c r="F312" s="658"/>
      <c r="G312" s="647"/>
      <c r="H312" s="648"/>
      <c r="I312" s="649"/>
      <c r="J312" s="650"/>
      <c r="K312" s="662"/>
      <c r="L312" s="664"/>
    </row>
    <row r="313" spans="1:12" ht="15.75" x14ac:dyDescent="0.25">
      <c r="A313" s="647"/>
      <c r="B313" s="648"/>
      <c r="C313" s="649"/>
      <c r="D313" s="661"/>
      <c r="E313" s="651"/>
      <c r="F313" s="653"/>
      <c r="G313" s="647"/>
      <c r="H313" s="648"/>
      <c r="I313" s="649"/>
      <c r="J313" s="650"/>
      <c r="K313" s="651"/>
      <c r="L313" s="653"/>
    </row>
    <row r="314" spans="1:12" ht="15.75" x14ac:dyDescent="0.25">
      <c r="A314" s="647"/>
      <c r="B314" s="648"/>
      <c r="C314" s="649"/>
      <c r="D314" s="656"/>
      <c r="E314" s="662"/>
      <c r="F314" s="657"/>
      <c r="G314" s="647"/>
      <c r="H314" s="648"/>
      <c r="I314" s="649"/>
      <c r="J314" s="650"/>
      <c r="K314" s="662"/>
      <c r="L314" s="658"/>
    </row>
    <row r="315" spans="1:12" ht="15.75" x14ac:dyDescent="0.25">
      <c r="A315" s="647"/>
      <c r="B315" s="648"/>
      <c r="C315" s="649"/>
      <c r="D315" s="650"/>
      <c r="E315" s="651"/>
      <c r="F315" s="653"/>
      <c r="G315" s="647"/>
      <c r="H315" s="648"/>
      <c r="I315" s="649"/>
      <c r="J315" s="661"/>
      <c r="K315" s="651"/>
      <c r="L315" s="653"/>
    </row>
    <row r="316" spans="1:12" ht="15.75" x14ac:dyDescent="0.25">
      <c r="A316" s="647"/>
      <c r="B316" s="648"/>
      <c r="C316" s="649"/>
      <c r="D316" s="650"/>
      <c r="E316" s="651"/>
      <c r="F316" s="653"/>
      <c r="G316" s="647"/>
      <c r="H316" s="648"/>
      <c r="I316" s="649"/>
      <c r="J316" s="650"/>
      <c r="K316" s="662"/>
      <c r="L316" s="664"/>
    </row>
    <row r="317" spans="1:12" ht="15.75" x14ac:dyDescent="0.25">
      <c r="A317" s="647"/>
      <c r="B317" s="648"/>
      <c r="C317" s="649"/>
      <c r="D317" s="661"/>
      <c r="E317" s="651"/>
      <c r="F317" s="653"/>
      <c r="G317" s="647"/>
      <c r="H317" s="648"/>
      <c r="I317" s="649"/>
      <c r="J317" s="661"/>
      <c r="K317" s="651"/>
      <c r="L317" s="653"/>
    </row>
    <row r="318" spans="1:12" ht="15.75" x14ac:dyDescent="0.25">
      <c r="A318" s="647"/>
      <c r="B318" s="648"/>
      <c r="C318" s="649"/>
      <c r="D318" s="650"/>
      <c r="E318" s="651"/>
      <c r="F318" s="653"/>
      <c r="G318" s="647"/>
      <c r="H318" s="648"/>
      <c r="I318" s="649"/>
      <c r="J318" s="650"/>
      <c r="K318" s="651"/>
      <c r="L318" s="653"/>
    </row>
    <row r="319" spans="1:12" ht="15.75" x14ac:dyDescent="0.25">
      <c r="A319" s="647"/>
      <c r="B319" s="648"/>
      <c r="C319" s="665"/>
      <c r="D319" s="661"/>
      <c r="E319" s="651"/>
      <c r="F319" s="653"/>
      <c r="G319" s="666"/>
      <c r="H319" s="648"/>
      <c r="I319" s="665"/>
      <c r="J319" s="650"/>
      <c r="K319" s="651"/>
      <c r="L319" s="653"/>
    </row>
    <row r="320" spans="1:12" ht="15.75" x14ac:dyDescent="0.25">
      <c r="A320" s="667"/>
      <c r="B320" s="668"/>
      <c r="C320" s="669"/>
      <c r="D320" s="670"/>
      <c r="E320" s="671"/>
      <c r="F320" s="672"/>
      <c r="G320" s="673"/>
      <c r="H320" s="674"/>
      <c r="I320" s="675"/>
      <c r="J320" s="676"/>
      <c r="K320" s="671"/>
      <c r="L320" s="677"/>
    </row>
    <row r="321" spans="1:12" ht="23.25" x14ac:dyDescent="0.35">
      <c r="A321" s="1237" t="s">
        <v>712</v>
      </c>
      <c r="B321" s="1238"/>
      <c r="C321" s="1238"/>
      <c r="D321" s="1238"/>
      <c r="E321" s="1238"/>
      <c r="F321" s="1238"/>
      <c r="G321" s="1238"/>
      <c r="H321" s="1238"/>
      <c r="I321" s="1238"/>
      <c r="J321" s="1238"/>
      <c r="K321" s="1238"/>
      <c r="L321" s="1239"/>
    </row>
    <row r="322" spans="1:12" ht="23.25" x14ac:dyDescent="0.35">
      <c r="A322" s="1240" t="s">
        <v>713</v>
      </c>
      <c r="B322" s="1241"/>
      <c r="C322" s="1241"/>
      <c r="D322" s="1241"/>
      <c r="E322" s="1241"/>
      <c r="F322" s="1241"/>
      <c r="G322" s="1241"/>
      <c r="H322" s="1241"/>
      <c r="I322" s="1241"/>
      <c r="J322" s="1241"/>
      <c r="K322" s="1241"/>
      <c r="L322" s="1242"/>
    </row>
    <row r="323" spans="1:12" ht="23.25" x14ac:dyDescent="0.35">
      <c r="A323" s="1243" t="s">
        <v>714</v>
      </c>
      <c r="B323" s="1244"/>
      <c r="C323" s="1244"/>
      <c r="D323" s="1244"/>
      <c r="E323" s="1244"/>
      <c r="F323" s="1244"/>
      <c r="G323" s="1244"/>
      <c r="H323" s="1244"/>
      <c r="I323" s="1244"/>
      <c r="J323" s="1244"/>
      <c r="K323" s="1244"/>
      <c r="L323" s="1245"/>
    </row>
    <row r="324" spans="1:12" ht="23.25" x14ac:dyDescent="0.35">
      <c r="A324" s="619" t="s">
        <v>968</v>
      </c>
      <c r="B324" s="620"/>
      <c r="C324" s="620"/>
      <c r="D324" s="621" t="s">
        <v>716</v>
      </c>
      <c r="E324" s="1241" t="s">
        <v>597</v>
      </c>
      <c r="F324" s="1241"/>
      <c r="G324" s="1241"/>
      <c r="H324" s="1241"/>
      <c r="I324" s="1241"/>
      <c r="J324" s="618" t="s">
        <v>784</v>
      </c>
      <c r="K324" s="1241"/>
      <c r="L324" s="1242"/>
    </row>
    <row r="325" spans="1:12" x14ac:dyDescent="0.25">
      <c r="A325" s="622"/>
      <c r="B325" s="623"/>
      <c r="C325" s="623"/>
      <c r="D325" s="624"/>
      <c r="E325" s="623"/>
      <c r="F325" s="623"/>
      <c r="G325" s="623"/>
      <c r="H325" s="623"/>
      <c r="I325" s="1246"/>
      <c r="J325" s="1246"/>
      <c r="K325" s="623"/>
      <c r="L325" s="625"/>
    </row>
    <row r="326" spans="1:12" ht="15.75" x14ac:dyDescent="0.25">
      <c r="A326" s="626" t="s">
        <v>719</v>
      </c>
      <c r="B326" s="627"/>
      <c r="C326" s="628"/>
      <c r="D326" s="629" t="s">
        <v>720</v>
      </c>
      <c r="E326" s="630" t="s">
        <v>721</v>
      </c>
      <c r="F326" s="631" t="s">
        <v>722</v>
      </c>
      <c r="G326" s="626" t="s">
        <v>719</v>
      </c>
      <c r="H326" s="632"/>
      <c r="I326" s="633"/>
      <c r="J326" s="634" t="s">
        <v>720</v>
      </c>
      <c r="K326" s="626" t="s">
        <v>721</v>
      </c>
      <c r="L326" s="626" t="s">
        <v>722</v>
      </c>
    </row>
    <row r="327" spans="1:12" ht="15.75" x14ac:dyDescent="0.25">
      <c r="A327" s="635"/>
      <c r="B327" s="636"/>
      <c r="C327" s="637"/>
      <c r="D327" s="638"/>
      <c r="E327" s="639"/>
      <c r="F327" s="640"/>
      <c r="G327" s="641"/>
      <c r="H327" s="642"/>
      <c r="I327" s="643"/>
      <c r="J327" s="644"/>
      <c r="K327" s="645"/>
      <c r="L327" s="646"/>
    </row>
    <row r="328" spans="1:12" ht="15.75" x14ac:dyDescent="0.25">
      <c r="A328" s="647"/>
      <c r="B328" s="648" t="s">
        <v>273</v>
      </c>
      <c r="C328" s="649">
        <v>155</v>
      </c>
      <c r="D328" s="650" t="s">
        <v>1001</v>
      </c>
      <c r="E328" s="651"/>
      <c r="F328" s="652"/>
      <c r="G328" s="647"/>
      <c r="H328" s="648"/>
      <c r="I328" s="649"/>
      <c r="J328" s="650"/>
      <c r="K328" s="651"/>
      <c r="L328" s="653"/>
    </row>
    <row r="329" spans="1:12" ht="15.75" x14ac:dyDescent="0.25">
      <c r="A329" s="647" t="s">
        <v>725</v>
      </c>
      <c r="B329" s="654"/>
      <c r="C329" s="649"/>
      <c r="D329" s="650" t="s">
        <v>726</v>
      </c>
      <c r="E329" s="651"/>
      <c r="F329" s="655">
        <v>0.4375</v>
      </c>
      <c r="G329" s="647"/>
      <c r="H329" s="648"/>
      <c r="I329" s="649"/>
      <c r="J329" s="656"/>
      <c r="K329" s="651"/>
      <c r="L329" s="657"/>
    </row>
    <row r="330" spans="1:12" ht="15.75" x14ac:dyDescent="0.25">
      <c r="A330" s="647">
        <v>7</v>
      </c>
      <c r="B330" s="648"/>
      <c r="C330" s="649"/>
      <c r="D330" s="659" t="s">
        <v>50</v>
      </c>
      <c r="E330" s="651"/>
      <c r="F330" s="660">
        <v>0.45833333333333331</v>
      </c>
      <c r="G330" s="647"/>
      <c r="H330" s="648"/>
      <c r="I330" s="649"/>
      <c r="J330" s="650"/>
      <c r="K330" s="651"/>
      <c r="L330" s="653"/>
    </row>
    <row r="331" spans="1:12" ht="15.75" x14ac:dyDescent="0.25">
      <c r="A331" s="647"/>
      <c r="B331" s="648"/>
      <c r="C331" s="649"/>
      <c r="D331" s="661"/>
      <c r="E331" s="651"/>
      <c r="F331" s="653"/>
      <c r="G331" s="647"/>
      <c r="H331" s="648"/>
      <c r="I331" s="649"/>
      <c r="J331" s="617"/>
      <c r="K331" s="651"/>
      <c r="L331" s="658"/>
    </row>
    <row r="332" spans="1:12" ht="15.75" x14ac:dyDescent="0.25">
      <c r="A332" s="647"/>
      <c r="B332" s="648"/>
      <c r="C332" s="649"/>
      <c r="D332" s="656" t="s">
        <v>728</v>
      </c>
      <c r="E332" s="662">
        <v>0.52083333333333337</v>
      </c>
      <c r="F332" s="657"/>
      <c r="G332" s="647"/>
      <c r="H332" s="648"/>
      <c r="I332" s="649"/>
      <c r="J332" s="661"/>
      <c r="K332" s="651"/>
      <c r="L332" s="653"/>
    </row>
    <row r="333" spans="1:12" ht="15.75" x14ac:dyDescent="0.25">
      <c r="A333" s="647"/>
      <c r="B333" s="648" t="s">
        <v>273</v>
      </c>
      <c r="C333" s="649">
        <v>155</v>
      </c>
      <c r="D333" s="650" t="s">
        <v>1002</v>
      </c>
      <c r="E333" s="651"/>
      <c r="F333" s="653"/>
      <c r="G333" s="647"/>
      <c r="H333" s="648"/>
      <c r="I333" s="649"/>
      <c r="J333" s="656"/>
      <c r="K333" s="651"/>
      <c r="L333" s="657"/>
    </row>
    <row r="334" spans="1:12" ht="15.75" x14ac:dyDescent="0.25">
      <c r="A334" s="647"/>
      <c r="B334" s="648"/>
      <c r="C334" s="649"/>
      <c r="D334" s="661"/>
      <c r="E334" s="651"/>
      <c r="F334" s="653"/>
      <c r="G334" s="647"/>
      <c r="H334" s="648"/>
      <c r="I334" s="649"/>
      <c r="J334" s="650"/>
      <c r="K334" s="651"/>
      <c r="L334" s="653"/>
    </row>
    <row r="335" spans="1:12" ht="15.75" x14ac:dyDescent="0.25">
      <c r="A335" s="647"/>
      <c r="B335" s="648" t="s">
        <v>273</v>
      </c>
      <c r="C335" s="649">
        <v>103</v>
      </c>
      <c r="D335" s="650" t="s">
        <v>763</v>
      </c>
      <c r="E335" s="651"/>
      <c r="F335" s="653"/>
      <c r="G335" s="647"/>
      <c r="H335" s="648"/>
      <c r="I335" s="649"/>
      <c r="J335" s="617"/>
      <c r="K335" s="651"/>
      <c r="L335" s="658"/>
    </row>
    <row r="336" spans="1:12" ht="15.75" x14ac:dyDescent="0.25">
      <c r="A336" s="647">
        <v>7</v>
      </c>
      <c r="B336" s="648"/>
      <c r="C336" s="649"/>
      <c r="D336" s="656" t="s">
        <v>728</v>
      </c>
      <c r="E336" s="651"/>
      <c r="F336" s="657">
        <v>0.52083333333333337</v>
      </c>
      <c r="G336" s="647"/>
      <c r="H336" s="648"/>
      <c r="I336" s="649"/>
      <c r="J336" s="661"/>
      <c r="K336" s="651"/>
      <c r="L336" s="653"/>
    </row>
    <row r="337" spans="1:12" ht="15.75" x14ac:dyDescent="0.25">
      <c r="A337" s="647"/>
      <c r="B337" s="648"/>
      <c r="C337" s="649"/>
      <c r="D337" s="650"/>
      <c r="E337" s="651"/>
      <c r="F337" s="653"/>
      <c r="G337" s="647"/>
      <c r="H337" s="648"/>
      <c r="I337" s="649"/>
      <c r="J337" s="656"/>
      <c r="K337" s="662"/>
      <c r="L337" s="657"/>
    </row>
    <row r="338" spans="1:12" ht="15.75" x14ac:dyDescent="0.25">
      <c r="A338" s="647" t="s">
        <v>725</v>
      </c>
      <c r="B338" s="648"/>
      <c r="C338" s="649"/>
      <c r="D338" s="659" t="s">
        <v>50</v>
      </c>
      <c r="E338" s="662">
        <v>0.58680555555555558</v>
      </c>
      <c r="F338" s="660"/>
      <c r="G338" s="647"/>
      <c r="H338" s="648"/>
      <c r="I338" s="649"/>
      <c r="J338" s="650"/>
      <c r="K338" s="662"/>
      <c r="L338" s="664"/>
    </row>
    <row r="339" spans="1:12" ht="15.75" x14ac:dyDescent="0.25">
      <c r="A339" s="647"/>
      <c r="B339" s="648"/>
      <c r="C339" s="649"/>
      <c r="D339" s="650" t="s">
        <v>733</v>
      </c>
      <c r="E339" s="662">
        <v>0.60069444444444442</v>
      </c>
      <c r="F339" s="655"/>
      <c r="G339" s="647"/>
      <c r="H339" s="648"/>
      <c r="I339" s="649"/>
      <c r="J339" s="650"/>
      <c r="K339" s="651"/>
      <c r="L339" s="653"/>
    </row>
    <row r="340" spans="1:12" ht="15.75" x14ac:dyDescent="0.25">
      <c r="A340" s="647"/>
      <c r="B340" s="648" t="s">
        <v>276</v>
      </c>
      <c r="C340" s="649" t="s">
        <v>273</v>
      </c>
      <c r="D340" s="650"/>
      <c r="E340" s="651"/>
      <c r="F340" s="657"/>
      <c r="G340" s="647"/>
      <c r="H340" s="648"/>
      <c r="I340" s="649"/>
      <c r="J340" s="661"/>
      <c r="K340" s="651"/>
      <c r="L340" s="653"/>
    </row>
    <row r="341" spans="1:12" ht="15.75" x14ac:dyDescent="0.25">
      <c r="A341" s="647"/>
      <c r="B341" s="648"/>
      <c r="C341" s="649"/>
      <c r="D341" s="650"/>
      <c r="E341" s="651"/>
      <c r="F341" s="655"/>
      <c r="G341" s="647"/>
      <c r="H341" s="648"/>
      <c r="I341" s="649"/>
      <c r="J341" s="650"/>
      <c r="K341" s="651"/>
      <c r="L341" s="653"/>
    </row>
    <row r="342" spans="1:12" ht="15.75" x14ac:dyDescent="0.25">
      <c r="A342" s="647"/>
      <c r="B342" s="648"/>
      <c r="C342" s="649"/>
      <c r="D342" s="656"/>
      <c r="E342" s="651"/>
      <c r="F342" s="657"/>
      <c r="G342" s="647"/>
      <c r="H342" s="648"/>
      <c r="I342" s="649"/>
      <c r="J342" s="663"/>
      <c r="K342" s="662"/>
      <c r="L342" s="658"/>
    </row>
    <row r="343" spans="1:12" ht="15.75" x14ac:dyDescent="0.25">
      <c r="A343" s="647"/>
      <c r="B343" s="648"/>
      <c r="C343" s="649"/>
      <c r="D343" s="661"/>
      <c r="E343" s="651"/>
      <c r="F343" s="653"/>
      <c r="G343" s="647"/>
      <c r="H343" s="648"/>
      <c r="I343" s="649"/>
      <c r="J343" s="663"/>
      <c r="K343" s="651"/>
      <c r="L343" s="653"/>
    </row>
    <row r="344" spans="1:12" ht="15.75" x14ac:dyDescent="0.25">
      <c r="A344" s="647"/>
      <c r="B344" s="648"/>
      <c r="C344" s="649"/>
      <c r="D344" s="617"/>
      <c r="E344" s="651"/>
      <c r="F344" s="658"/>
      <c r="G344" s="647"/>
      <c r="H344" s="648"/>
      <c r="I344" s="649"/>
      <c r="J344" s="650"/>
      <c r="K344" s="651"/>
      <c r="L344" s="664"/>
    </row>
    <row r="345" spans="1:12" ht="15.75" x14ac:dyDescent="0.25">
      <c r="A345" s="647"/>
      <c r="B345" s="648"/>
      <c r="C345" s="649"/>
      <c r="D345" s="661"/>
      <c r="E345" s="651"/>
      <c r="F345" s="653"/>
      <c r="G345" s="647"/>
      <c r="H345" s="648"/>
      <c r="I345" s="649"/>
      <c r="J345" s="650"/>
      <c r="K345" s="651"/>
      <c r="L345" s="653"/>
    </row>
    <row r="346" spans="1:12" ht="15.75" x14ac:dyDescent="0.25">
      <c r="A346" s="647"/>
      <c r="B346" s="648"/>
      <c r="C346" s="649"/>
      <c r="D346" s="656"/>
      <c r="E346" s="662"/>
      <c r="F346" s="657"/>
      <c r="G346" s="647"/>
      <c r="H346" s="648"/>
      <c r="I346" s="649"/>
      <c r="J346" s="663"/>
      <c r="K346" s="662"/>
      <c r="L346" s="658"/>
    </row>
    <row r="347" spans="1:12" ht="15.75" x14ac:dyDescent="0.25">
      <c r="A347" s="647"/>
      <c r="B347" s="648"/>
      <c r="C347" s="649"/>
      <c r="D347" s="650"/>
      <c r="E347" s="651"/>
      <c r="F347" s="653"/>
      <c r="G347" s="647"/>
      <c r="H347" s="648"/>
      <c r="I347" s="649"/>
      <c r="J347" s="663"/>
      <c r="K347" s="651"/>
      <c r="L347" s="653"/>
    </row>
    <row r="348" spans="1:12" ht="15.75" x14ac:dyDescent="0.25">
      <c r="A348" s="647"/>
      <c r="B348" s="648"/>
      <c r="C348" s="649"/>
      <c r="D348" s="661"/>
      <c r="E348" s="651"/>
      <c r="F348" s="653"/>
      <c r="G348" s="647"/>
      <c r="H348" s="648"/>
      <c r="I348" s="649"/>
      <c r="J348" s="650"/>
      <c r="K348" s="651"/>
      <c r="L348" s="664"/>
    </row>
    <row r="349" spans="1:12" ht="15.75" x14ac:dyDescent="0.25">
      <c r="A349" s="647"/>
      <c r="B349" s="648"/>
      <c r="C349" s="649"/>
      <c r="D349" s="656"/>
      <c r="E349" s="651"/>
      <c r="F349" s="657"/>
      <c r="G349" s="647"/>
      <c r="H349" s="648"/>
      <c r="I349" s="649"/>
      <c r="J349" s="650"/>
      <c r="K349" s="651"/>
      <c r="L349" s="653"/>
    </row>
    <row r="350" spans="1:12" ht="15.75" x14ac:dyDescent="0.25">
      <c r="A350" s="647"/>
      <c r="B350" s="648"/>
      <c r="C350" s="649"/>
      <c r="D350" s="650"/>
      <c r="E350" s="651"/>
      <c r="F350" s="653"/>
      <c r="G350" s="647"/>
      <c r="H350" s="648"/>
      <c r="I350" s="649"/>
      <c r="J350" s="617"/>
      <c r="K350" s="651"/>
      <c r="L350" s="658"/>
    </row>
    <row r="351" spans="1:12" ht="15.75" x14ac:dyDescent="0.25">
      <c r="A351" s="647"/>
      <c r="B351" s="648"/>
      <c r="C351" s="649"/>
      <c r="D351" s="659"/>
      <c r="E351" s="651"/>
      <c r="F351" s="660"/>
      <c r="G351" s="647"/>
      <c r="H351" s="648"/>
      <c r="I351" s="649"/>
      <c r="J351" s="661"/>
      <c r="K351" s="651"/>
      <c r="L351" s="653"/>
    </row>
    <row r="352" spans="1:12" ht="15.75" x14ac:dyDescent="0.25">
      <c r="A352" s="647"/>
      <c r="B352" s="648"/>
      <c r="C352" s="649"/>
      <c r="D352" s="661"/>
      <c r="E352" s="651"/>
      <c r="F352" s="653"/>
      <c r="G352" s="647"/>
      <c r="H352" s="648"/>
      <c r="I352" s="649"/>
      <c r="J352" s="650"/>
      <c r="K352" s="662"/>
      <c r="L352" s="664"/>
    </row>
    <row r="353" spans="1:12" ht="15.75" x14ac:dyDescent="0.25">
      <c r="A353" s="647"/>
      <c r="B353" s="648"/>
      <c r="C353" s="649"/>
      <c r="D353" s="656"/>
      <c r="E353" s="651"/>
      <c r="F353" s="657"/>
      <c r="G353" s="647"/>
      <c r="H353" s="648"/>
      <c r="I353" s="649"/>
      <c r="J353" s="650"/>
      <c r="K353" s="651"/>
      <c r="L353" s="653"/>
    </row>
    <row r="354" spans="1:12" ht="15.75" x14ac:dyDescent="0.25">
      <c r="A354" s="647"/>
      <c r="B354" s="648"/>
      <c r="C354" s="649"/>
      <c r="D354" s="650"/>
      <c r="E354" s="651"/>
      <c r="F354" s="653"/>
      <c r="G354" s="647"/>
      <c r="H354" s="648"/>
      <c r="I354" s="649"/>
      <c r="J354" s="650"/>
      <c r="K354" s="662"/>
      <c r="L354" s="658"/>
    </row>
    <row r="355" spans="1:12" ht="15.75" x14ac:dyDescent="0.25">
      <c r="A355" s="647"/>
      <c r="B355" s="648"/>
      <c r="C355" s="649"/>
      <c r="D355" s="659"/>
      <c r="E355" s="662"/>
      <c r="F355" s="658"/>
      <c r="G355" s="647"/>
      <c r="H355" s="648"/>
      <c r="I355" s="649"/>
      <c r="J355" s="661"/>
      <c r="K355" s="651"/>
      <c r="L355" s="653"/>
    </row>
    <row r="356" spans="1:12" ht="15.75" x14ac:dyDescent="0.25">
      <c r="A356" s="647"/>
      <c r="B356" s="648"/>
      <c r="C356" s="649"/>
      <c r="D356" s="650"/>
      <c r="E356" s="662"/>
      <c r="F356" s="664"/>
      <c r="G356" s="647"/>
      <c r="H356" s="648"/>
      <c r="I356" s="649"/>
      <c r="J356" s="650"/>
      <c r="K356" s="662"/>
      <c r="L356" s="664"/>
    </row>
    <row r="357" spans="1:12" ht="15.75" x14ac:dyDescent="0.25">
      <c r="A357" s="647"/>
      <c r="B357" s="648"/>
      <c r="C357" s="649"/>
      <c r="D357" s="650"/>
      <c r="E357" s="651"/>
      <c r="F357" s="653"/>
      <c r="G357" s="647"/>
      <c r="H357" s="648"/>
      <c r="I357" s="649"/>
      <c r="J357" s="661"/>
      <c r="K357" s="651"/>
      <c r="L357" s="653"/>
    </row>
    <row r="358" spans="1:12" ht="15.75" x14ac:dyDescent="0.25">
      <c r="A358" s="647"/>
      <c r="B358" s="648"/>
      <c r="C358" s="649"/>
      <c r="D358" s="650"/>
      <c r="E358" s="651"/>
      <c r="F358" s="653"/>
      <c r="G358" s="647"/>
      <c r="H358" s="648"/>
      <c r="I358" s="649"/>
      <c r="J358" s="650"/>
      <c r="K358" s="651"/>
      <c r="L358" s="653"/>
    </row>
    <row r="359" spans="1:12" ht="15.75" x14ac:dyDescent="0.25">
      <c r="A359" s="647"/>
      <c r="B359" s="648"/>
      <c r="C359" s="665"/>
      <c r="D359" s="661"/>
      <c r="E359" s="651"/>
      <c r="F359" s="653"/>
      <c r="G359" s="666"/>
      <c r="H359" s="648"/>
      <c r="I359" s="665"/>
      <c r="J359" s="650"/>
      <c r="K359" s="651"/>
      <c r="L359" s="653"/>
    </row>
    <row r="360" spans="1:12" ht="15.75" x14ac:dyDescent="0.25">
      <c r="A360" s="667"/>
      <c r="B360" s="668"/>
      <c r="C360" s="669"/>
      <c r="D360" s="670"/>
      <c r="E360" s="671"/>
      <c r="F360" s="672"/>
      <c r="G360" s="673"/>
      <c r="H360" s="674"/>
      <c r="I360" s="675"/>
      <c r="J360" s="676"/>
      <c r="K360" s="671"/>
      <c r="L360" s="677"/>
    </row>
    <row r="361" spans="1:12" ht="23.25" x14ac:dyDescent="0.35">
      <c r="A361" s="1237" t="s">
        <v>712</v>
      </c>
      <c r="B361" s="1238"/>
      <c r="C361" s="1238"/>
      <c r="D361" s="1238"/>
      <c r="E361" s="1238"/>
      <c r="F361" s="1238"/>
      <c r="G361" s="1238"/>
      <c r="H361" s="1238"/>
      <c r="I361" s="1238"/>
      <c r="J361" s="1238"/>
      <c r="K361" s="1238"/>
      <c r="L361" s="1239"/>
    </row>
    <row r="362" spans="1:12" ht="23.25" x14ac:dyDescent="0.35">
      <c r="A362" s="1240" t="s">
        <v>713</v>
      </c>
      <c r="B362" s="1241"/>
      <c r="C362" s="1241"/>
      <c r="D362" s="1241"/>
      <c r="E362" s="1241"/>
      <c r="F362" s="1241"/>
      <c r="G362" s="1241"/>
      <c r="H362" s="1241"/>
      <c r="I362" s="1241"/>
      <c r="J362" s="1241"/>
      <c r="K362" s="1241"/>
      <c r="L362" s="1242"/>
    </row>
    <row r="363" spans="1:12" ht="23.25" x14ac:dyDescent="0.35">
      <c r="A363" s="1243" t="s">
        <v>714</v>
      </c>
      <c r="B363" s="1244"/>
      <c r="C363" s="1244"/>
      <c r="D363" s="1244"/>
      <c r="E363" s="1244"/>
      <c r="F363" s="1244"/>
      <c r="G363" s="1244"/>
      <c r="H363" s="1244"/>
      <c r="I363" s="1244"/>
      <c r="J363" s="1244"/>
      <c r="K363" s="1244"/>
      <c r="L363" s="1245"/>
    </row>
    <row r="364" spans="1:12" ht="23.25" x14ac:dyDescent="0.35">
      <c r="A364" s="619" t="s">
        <v>968</v>
      </c>
      <c r="B364" s="620"/>
      <c r="C364" s="620"/>
      <c r="D364" s="621" t="s">
        <v>716</v>
      </c>
      <c r="E364" s="1241" t="s">
        <v>597</v>
      </c>
      <c r="F364" s="1241"/>
      <c r="G364" s="1241"/>
      <c r="H364" s="1241"/>
      <c r="I364" s="1241"/>
      <c r="J364" s="618" t="s">
        <v>789</v>
      </c>
      <c r="K364" s="1241"/>
      <c r="L364" s="1242"/>
    </row>
    <row r="365" spans="1:12" x14ac:dyDescent="0.25">
      <c r="A365" s="622"/>
      <c r="B365" s="623"/>
      <c r="C365" s="623"/>
      <c r="D365" s="624"/>
      <c r="E365" s="623"/>
      <c r="F365" s="623"/>
      <c r="G365" s="623"/>
      <c r="H365" s="623"/>
      <c r="I365" s="1246"/>
      <c r="J365" s="1246"/>
      <c r="K365" s="623"/>
      <c r="L365" s="625"/>
    </row>
    <row r="366" spans="1:12" ht="15.75" x14ac:dyDescent="0.25">
      <c r="A366" s="626" t="s">
        <v>719</v>
      </c>
      <c r="B366" s="627"/>
      <c r="C366" s="628"/>
      <c r="D366" s="629" t="s">
        <v>720</v>
      </c>
      <c r="E366" s="630" t="s">
        <v>721</v>
      </c>
      <c r="F366" s="631" t="s">
        <v>722</v>
      </c>
      <c r="G366" s="626" t="s">
        <v>719</v>
      </c>
      <c r="H366" s="632"/>
      <c r="I366" s="633"/>
      <c r="J366" s="634" t="s">
        <v>720</v>
      </c>
      <c r="K366" s="626" t="s">
        <v>721</v>
      </c>
      <c r="L366" s="626" t="s">
        <v>722</v>
      </c>
    </row>
    <row r="367" spans="1:12" ht="15.75" x14ac:dyDescent="0.25">
      <c r="A367" s="635"/>
      <c r="B367" s="636"/>
      <c r="C367" s="637"/>
      <c r="D367" s="638"/>
      <c r="E367" s="639"/>
      <c r="F367" s="640"/>
      <c r="G367" s="641"/>
      <c r="H367" s="642"/>
      <c r="I367" s="643"/>
      <c r="J367" s="644"/>
      <c r="K367" s="645"/>
      <c r="L367" s="646"/>
    </row>
    <row r="368" spans="1:12" ht="15.75" x14ac:dyDescent="0.25">
      <c r="A368" s="647"/>
      <c r="B368" s="648" t="s">
        <v>273</v>
      </c>
      <c r="C368" s="649">
        <v>156</v>
      </c>
      <c r="D368" s="650" t="s">
        <v>1003</v>
      </c>
      <c r="E368" s="651"/>
      <c r="F368" s="652"/>
      <c r="G368" s="647"/>
      <c r="H368" s="648" t="s">
        <v>273</v>
      </c>
      <c r="I368" s="649">
        <v>125</v>
      </c>
      <c r="J368" s="650" t="s">
        <v>1004</v>
      </c>
      <c r="K368" s="651"/>
      <c r="L368" s="653"/>
    </row>
    <row r="369" spans="1:12" ht="15.75" x14ac:dyDescent="0.25">
      <c r="A369" s="647" t="s">
        <v>725</v>
      </c>
      <c r="B369" s="654"/>
      <c r="C369" s="649"/>
      <c r="D369" s="650" t="s">
        <v>726</v>
      </c>
      <c r="E369" s="651"/>
      <c r="F369" s="655">
        <v>0.4513888888888889</v>
      </c>
      <c r="G369" s="647">
        <v>7</v>
      </c>
      <c r="H369" s="648"/>
      <c r="I369" s="649"/>
      <c r="J369" s="656" t="s">
        <v>728</v>
      </c>
      <c r="K369" s="651"/>
      <c r="L369" s="657">
        <v>0.79166666666666663</v>
      </c>
    </row>
    <row r="370" spans="1:12" ht="15.75" x14ac:dyDescent="0.25">
      <c r="A370" s="647" t="s">
        <v>727</v>
      </c>
      <c r="B370" s="648"/>
      <c r="C370" s="649"/>
      <c r="D370" s="617" t="s">
        <v>48</v>
      </c>
      <c r="E370" s="651"/>
      <c r="F370" s="658">
        <v>0.47222222222222221</v>
      </c>
      <c r="G370" s="647"/>
      <c r="H370" s="648"/>
      <c r="I370" s="649"/>
      <c r="J370" s="650"/>
      <c r="K370" s="651"/>
      <c r="L370" s="653"/>
    </row>
    <row r="371" spans="1:12" ht="15.75" x14ac:dyDescent="0.25">
      <c r="A371" s="647"/>
      <c r="B371" s="648"/>
      <c r="C371" s="649"/>
      <c r="D371" s="661"/>
      <c r="E371" s="651"/>
      <c r="F371" s="653"/>
      <c r="G371" s="647">
        <v>7</v>
      </c>
      <c r="H371" s="648"/>
      <c r="I371" s="649"/>
      <c r="J371" s="659" t="s">
        <v>50</v>
      </c>
      <c r="K371" s="651"/>
      <c r="L371" s="660">
        <v>0.84722222222222221</v>
      </c>
    </row>
    <row r="372" spans="1:12" ht="15.75" x14ac:dyDescent="0.25">
      <c r="A372" s="647"/>
      <c r="B372" s="648"/>
      <c r="C372" s="649"/>
      <c r="D372" s="656" t="s">
        <v>728</v>
      </c>
      <c r="E372" s="662">
        <v>0.52777777777777779</v>
      </c>
      <c r="F372" s="657"/>
      <c r="G372" s="647"/>
      <c r="H372" s="648"/>
      <c r="I372" s="649"/>
      <c r="J372" s="650"/>
      <c r="K372" s="662"/>
      <c r="L372" s="664"/>
    </row>
    <row r="373" spans="1:12" ht="15.75" x14ac:dyDescent="0.25">
      <c r="A373" s="647"/>
      <c r="B373" s="648" t="s">
        <v>273</v>
      </c>
      <c r="C373" s="649">
        <v>156</v>
      </c>
      <c r="D373" s="650" t="s">
        <v>1005</v>
      </c>
      <c r="E373" s="651"/>
      <c r="F373" s="653"/>
      <c r="G373" s="647">
        <v>7</v>
      </c>
      <c r="H373" s="648"/>
      <c r="I373" s="649"/>
      <c r="J373" s="656" t="s">
        <v>728</v>
      </c>
      <c r="K373" s="651"/>
      <c r="L373" s="657">
        <v>0.88888888888888884</v>
      </c>
    </row>
    <row r="374" spans="1:12" ht="15.75" x14ac:dyDescent="0.25">
      <c r="A374" s="647"/>
      <c r="B374" s="648"/>
      <c r="C374" s="649"/>
      <c r="D374" s="661"/>
      <c r="E374" s="651"/>
      <c r="F374" s="653"/>
      <c r="G374" s="647"/>
      <c r="H374" s="648"/>
      <c r="I374" s="649"/>
      <c r="J374" s="650"/>
      <c r="K374" s="651"/>
      <c r="L374" s="653"/>
    </row>
    <row r="375" spans="1:12" ht="15.75" x14ac:dyDescent="0.25">
      <c r="A375" s="647"/>
      <c r="B375" s="648" t="s">
        <v>273</v>
      </c>
      <c r="C375" s="649">
        <v>111</v>
      </c>
      <c r="D375" s="650" t="s">
        <v>1006</v>
      </c>
      <c r="E375" s="651"/>
      <c r="F375" s="653"/>
      <c r="G375" s="647">
        <v>7</v>
      </c>
      <c r="H375" s="648"/>
      <c r="I375" s="649"/>
      <c r="J375" s="659" t="s">
        <v>50</v>
      </c>
      <c r="K375" s="651"/>
      <c r="L375" s="660">
        <v>0.95833333333333337</v>
      </c>
    </row>
    <row r="376" spans="1:12" ht="15.75" x14ac:dyDescent="0.25">
      <c r="A376" s="647">
        <v>7</v>
      </c>
      <c r="B376" s="648"/>
      <c r="C376" s="649"/>
      <c r="D376" s="656" t="s">
        <v>728</v>
      </c>
      <c r="E376" s="651"/>
      <c r="F376" s="657">
        <v>0.52777777777777779</v>
      </c>
      <c r="G376" s="647"/>
      <c r="H376" s="648"/>
      <c r="I376" s="649"/>
      <c r="J376" s="661"/>
      <c r="K376" s="651"/>
      <c r="L376" s="653"/>
    </row>
    <row r="377" spans="1:12" ht="15.75" x14ac:dyDescent="0.25">
      <c r="A377" s="647"/>
      <c r="B377" s="648"/>
      <c r="C377" s="649"/>
      <c r="D377" s="650"/>
      <c r="E377" s="651"/>
      <c r="F377" s="653"/>
      <c r="G377" s="647" t="s">
        <v>725</v>
      </c>
      <c r="H377" s="648"/>
      <c r="I377" s="649"/>
      <c r="J377" s="656" t="s">
        <v>728</v>
      </c>
      <c r="K377" s="662">
        <v>0.99305555555555558</v>
      </c>
      <c r="L377" s="657"/>
    </row>
    <row r="378" spans="1:12" ht="15.75" x14ac:dyDescent="0.25">
      <c r="A378" s="647">
        <v>7</v>
      </c>
      <c r="B378" s="648"/>
      <c r="C378" s="649"/>
      <c r="D378" s="659" t="s">
        <v>50</v>
      </c>
      <c r="E378" s="651"/>
      <c r="F378" s="660">
        <v>0.59722222222222221</v>
      </c>
      <c r="G378" s="647"/>
      <c r="H378" s="648"/>
      <c r="I378" s="649"/>
      <c r="J378" s="650" t="s">
        <v>733</v>
      </c>
      <c r="K378" s="662">
        <v>1.0138888888888888</v>
      </c>
      <c r="L378" s="664"/>
    </row>
    <row r="379" spans="1:12" ht="15.75" x14ac:dyDescent="0.25">
      <c r="A379" s="647"/>
      <c r="B379" s="648"/>
      <c r="C379" s="649"/>
      <c r="D379" s="661"/>
      <c r="E379" s="651"/>
      <c r="F379" s="653"/>
      <c r="G379" s="647"/>
      <c r="H379" s="648" t="s">
        <v>276</v>
      </c>
      <c r="I379" s="649" t="s">
        <v>273</v>
      </c>
      <c r="J379" s="650"/>
      <c r="K379" s="651"/>
      <c r="L379" s="653"/>
    </row>
    <row r="380" spans="1:12" ht="15.75" x14ac:dyDescent="0.25">
      <c r="A380" s="647"/>
      <c r="B380" s="648"/>
      <c r="C380" s="649"/>
      <c r="D380" s="656" t="s">
        <v>728</v>
      </c>
      <c r="E380" s="662">
        <v>0.66666666666666663</v>
      </c>
      <c r="F380" s="657"/>
      <c r="G380" s="647"/>
      <c r="H380" s="648"/>
      <c r="I380" s="649"/>
      <c r="J380" s="663"/>
      <c r="K380" s="662"/>
      <c r="L380" s="658"/>
    </row>
    <row r="381" spans="1:12" ht="15.75" x14ac:dyDescent="0.25">
      <c r="A381" s="647"/>
      <c r="B381" s="648" t="s">
        <v>273</v>
      </c>
      <c r="C381" s="649">
        <v>155</v>
      </c>
      <c r="D381" s="650" t="s">
        <v>1007</v>
      </c>
      <c r="E381" s="651"/>
      <c r="F381" s="653"/>
      <c r="G381" s="647"/>
      <c r="H381" s="648"/>
      <c r="I381" s="649"/>
      <c r="J381" s="663"/>
      <c r="K381" s="651"/>
      <c r="L381" s="653"/>
    </row>
    <row r="382" spans="1:12" ht="15.75" x14ac:dyDescent="0.25">
      <c r="A382" s="647"/>
      <c r="B382" s="648"/>
      <c r="C382" s="649"/>
      <c r="D382" s="661"/>
      <c r="E382" s="651"/>
      <c r="F382" s="653"/>
      <c r="G382" s="647"/>
      <c r="H382" s="648"/>
      <c r="I382" s="649"/>
      <c r="J382" s="650"/>
      <c r="K382" s="651"/>
      <c r="L382" s="664"/>
    </row>
    <row r="383" spans="1:12" ht="15.75" x14ac:dyDescent="0.25">
      <c r="A383" s="647"/>
      <c r="B383" s="648" t="s">
        <v>273</v>
      </c>
      <c r="C383" s="649">
        <v>119</v>
      </c>
      <c r="D383" s="650" t="s">
        <v>760</v>
      </c>
      <c r="E383" s="651"/>
      <c r="F383" s="653"/>
      <c r="G383" s="647"/>
      <c r="H383" s="648"/>
      <c r="I383" s="649"/>
      <c r="J383" s="650"/>
      <c r="K383" s="651"/>
      <c r="L383" s="653"/>
    </row>
    <row r="384" spans="1:12" ht="15.75" x14ac:dyDescent="0.25">
      <c r="A384" s="647">
        <v>7</v>
      </c>
      <c r="B384" s="648"/>
      <c r="C384" s="649"/>
      <c r="D384" s="656" t="s">
        <v>728</v>
      </c>
      <c r="E384" s="651"/>
      <c r="F384" s="657">
        <v>0.66666666666666663</v>
      </c>
      <c r="G384" s="647"/>
      <c r="H384" s="648"/>
      <c r="I384" s="649"/>
      <c r="J384" s="663"/>
      <c r="K384" s="662"/>
      <c r="L384" s="658"/>
    </row>
    <row r="385" spans="1:12" ht="15.75" x14ac:dyDescent="0.25">
      <c r="A385" s="647"/>
      <c r="B385" s="648"/>
      <c r="C385" s="649"/>
      <c r="D385" s="650"/>
      <c r="E385" s="651"/>
      <c r="F385" s="653"/>
      <c r="G385" s="647"/>
      <c r="H385" s="648"/>
      <c r="I385" s="649"/>
      <c r="J385" s="663"/>
      <c r="K385" s="651"/>
      <c r="L385" s="653"/>
    </row>
    <row r="386" spans="1:12" ht="15.75" x14ac:dyDescent="0.25">
      <c r="A386" s="647">
        <v>7</v>
      </c>
      <c r="B386" s="648"/>
      <c r="C386" s="649"/>
      <c r="D386" s="659" t="s">
        <v>50</v>
      </c>
      <c r="E386" s="651"/>
      <c r="F386" s="660">
        <v>0.73611111111111116</v>
      </c>
      <c r="G386" s="647"/>
      <c r="H386" s="648"/>
      <c r="I386" s="649"/>
      <c r="J386" s="663"/>
      <c r="K386" s="662"/>
      <c r="L386" s="658"/>
    </row>
    <row r="387" spans="1:12" ht="15.75" x14ac:dyDescent="0.25">
      <c r="A387" s="647"/>
      <c r="B387" s="648"/>
      <c r="C387" s="649"/>
      <c r="D387" s="661"/>
      <c r="E387" s="651"/>
      <c r="F387" s="653"/>
      <c r="G387" s="647"/>
      <c r="H387" s="648"/>
      <c r="I387" s="649"/>
      <c r="J387" s="663"/>
      <c r="K387" s="651"/>
      <c r="L387" s="653"/>
    </row>
    <row r="388" spans="1:12" ht="15.75" x14ac:dyDescent="0.25">
      <c r="A388" s="647"/>
      <c r="B388" s="648"/>
      <c r="C388" s="649"/>
      <c r="D388" s="656" t="s">
        <v>728</v>
      </c>
      <c r="E388" s="662">
        <v>0.79166666666666663</v>
      </c>
      <c r="F388" s="657"/>
      <c r="G388" s="647"/>
      <c r="H388" s="648"/>
      <c r="I388" s="649"/>
      <c r="J388" s="650"/>
      <c r="K388" s="651"/>
      <c r="L388" s="664"/>
    </row>
    <row r="389" spans="1:12" ht="15.75" x14ac:dyDescent="0.25">
      <c r="A389" s="647"/>
      <c r="B389" s="648" t="s">
        <v>273</v>
      </c>
      <c r="C389" s="649">
        <v>119</v>
      </c>
      <c r="D389" s="650" t="s">
        <v>1008</v>
      </c>
      <c r="E389" s="651"/>
      <c r="F389" s="653"/>
      <c r="G389" s="647"/>
      <c r="H389" s="648"/>
      <c r="I389" s="649"/>
      <c r="J389" s="650"/>
      <c r="K389" s="651"/>
      <c r="L389" s="653"/>
    </row>
    <row r="390" spans="1:12" ht="15.75" x14ac:dyDescent="0.25">
      <c r="A390" s="647"/>
      <c r="B390" s="648"/>
      <c r="C390" s="649"/>
      <c r="D390" s="661"/>
      <c r="E390" s="651"/>
      <c r="F390" s="653"/>
      <c r="G390" s="647"/>
      <c r="H390" s="648"/>
      <c r="I390" s="649"/>
      <c r="J390" s="617"/>
      <c r="K390" s="651"/>
      <c r="L390" s="658"/>
    </row>
    <row r="391" spans="1:12" ht="15.75" x14ac:dyDescent="0.25">
      <c r="A391" s="647"/>
      <c r="B391" s="648"/>
      <c r="C391" s="649"/>
      <c r="D391" s="650"/>
      <c r="E391" s="651"/>
      <c r="F391" s="653"/>
      <c r="G391" s="647"/>
      <c r="H391" s="648"/>
      <c r="I391" s="649"/>
      <c r="J391" s="661"/>
      <c r="K391" s="651"/>
      <c r="L391" s="653"/>
    </row>
    <row r="392" spans="1:12" ht="15.75" x14ac:dyDescent="0.25">
      <c r="A392" s="647"/>
      <c r="B392" s="648"/>
      <c r="C392" s="649"/>
      <c r="D392" s="656"/>
      <c r="E392" s="651"/>
      <c r="F392" s="657"/>
      <c r="G392" s="647"/>
      <c r="H392" s="648"/>
      <c r="I392" s="649"/>
      <c r="J392" s="650"/>
      <c r="K392" s="662"/>
      <c r="L392" s="664"/>
    </row>
    <row r="393" spans="1:12" ht="15.75" x14ac:dyDescent="0.25">
      <c r="A393" s="647"/>
      <c r="B393" s="648"/>
      <c r="C393" s="649"/>
      <c r="D393" s="650"/>
      <c r="E393" s="651"/>
      <c r="F393" s="653"/>
      <c r="G393" s="647"/>
      <c r="H393" s="648"/>
      <c r="I393" s="649"/>
      <c r="J393" s="650"/>
      <c r="K393" s="651"/>
      <c r="L393" s="653"/>
    </row>
    <row r="394" spans="1:12" ht="15.75" x14ac:dyDescent="0.25">
      <c r="A394" s="647"/>
      <c r="B394" s="648"/>
      <c r="C394" s="649"/>
      <c r="D394" s="617"/>
      <c r="E394" s="662"/>
      <c r="F394" s="658"/>
      <c r="G394" s="647"/>
      <c r="H394" s="648"/>
      <c r="I394" s="649"/>
      <c r="J394" s="650"/>
      <c r="K394" s="662"/>
      <c r="L394" s="658"/>
    </row>
    <row r="395" spans="1:12" ht="15.75" x14ac:dyDescent="0.25">
      <c r="A395" s="647"/>
      <c r="B395" s="648"/>
      <c r="C395" s="649"/>
      <c r="D395" s="650"/>
      <c r="E395" s="662"/>
      <c r="F395" s="664"/>
      <c r="G395" s="647"/>
      <c r="H395" s="648"/>
      <c r="I395" s="649"/>
      <c r="J395" s="661"/>
      <c r="K395" s="651"/>
      <c r="L395" s="653"/>
    </row>
    <row r="396" spans="1:12" ht="15.75" x14ac:dyDescent="0.25">
      <c r="A396" s="647"/>
      <c r="B396" s="648"/>
      <c r="C396" s="649"/>
      <c r="D396" s="650"/>
      <c r="E396" s="651"/>
      <c r="F396" s="653"/>
      <c r="G396" s="647"/>
      <c r="H396" s="648"/>
      <c r="I396" s="649"/>
      <c r="J396" s="650"/>
      <c r="K396" s="662"/>
      <c r="L396" s="664"/>
    </row>
    <row r="397" spans="1:12" ht="15.75" x14ac:dyDescent="0.25">
      <c r="A397" s="647"/>
      <c r="B397" s="648"/>
      <c r="C397" s="649"/>
      <c r="D397" s="661"/>
      <c r="E397" s="651"/>
      <c r="F397" s="653"/>
      <c r="G397" s="647"/>
      <c r="H397" s="648"/>
      <c r="I397" s="649"/>
      <c r="J397" s="661"/>
      <c r="K397" s="651"/>
      <c r="L397" s="653"/>
    </row>
    <row r="398" spans="1:12" ht="15.75" x14ac:dyDescent="0.25">
      <c r="A398" s="647"/>
      <c r="B398" s="648"/>
      <c r="C398" s="649"/>
      <c r="D398" s="650"/>
      <c r="E398" s="651"/>
      <c r="F398" s="653"/>
      <c r="G398" s="647"/>
      <c r="H398" s="648"/>
      <c r="I398" s="649"/>
      <c r="J398" s="650"/>
      <c r="K398" s="651"/>
      <c r="L398" s="653"/>
    </row>
    <row r="399" spans="1:12" ht="15.75" x14ac:dyDescent="0.25">
      <c r="A399" s="647"/>
      <c r="B399" s="648"/>
      <c r="C399" s="665"/>
      <c r="D399" s="661"/>
      <c r="E399" s="651"/>
      <c r="F399" s="653"/>
      <c r="G399" s="666"/>
      <c r="H399" s="648"/>
      <c r="I399" s="665"/>
      <c r="J399" s="650"/>
      <c r="K399" s="651"/>
      <c r="L399" s="653"/>
    </row>
    <row r="400" spans="1:12" ht="15.75" x14ac:dyDescent="0.25">
      <c r="A400" s="667"/>
      <c r="B400" s="668"/>
      <c r="C400" s="669"/>
      <c r="D400" s="670"/>
      <c r="E400" s="671"/>
      <c r="F400" s="672"/>
      <c r="G400" s="673"/>
      <c r="H400" s="674"/>
      <c r="I400" s="675"/>
      <c r="J400" s="676"/>
      <c r="K400" s="671"/>
      <c r="L400" s="677"/>
    </row>
    <row r="401" spans="1:12" ht="23.25" x14ac:dyDescent="0.35">
      <c r="A401" s="1237" t="s">
        <v>712</v>
      </c>
      <c r="B401" s="1238"/>
      <c r="C401" s="1238"/>
      <c r="D401" s="1238"/>
      <c r="E401" s="1238"/>
      <c r="F401" s="1238"/>
      <c r="G401" s="1238"/>
      <c r="H401" s="1238"/>
      <c r="I401" s="1238"/>
      <c r="J401" s="1238"/>
      <c r="K401" s="1238"/>
      <c r="L401" s="1239"/>
    </row>
    <row r="402" spans="1:12" ht="23.25" x14ac:dyDescent="0.35">
      <c r="A402" s="1240" t="s">
        <v>713</v>
      </c>
      <c r="B402" s="1241"/>
      <c r="C402" s="1241"/>
      <c r="D402" s="1241"/>
      <c r="E402" s="1241"/>
      <c r="F402" s="1241"/>
      <c r="G402" s="1241"/>
      <c r="H402" s="1241"/>
      <c r="I402" s="1241"/>
      <c r="J402" s="1241"/>
      <c r="K402" s="1241"/>
      <c r="L402" s="1242"/>
    </row>
    <row r="403" spans="1:12" ht="23.25" x14ac:dyDescent="0.35">
      <c r="A403" s="1243" t="s">
        <v>714</v>
      </c>
      <c r="B403" s="1244"/>
      <c r="C403" s="1244"/>
      <c r="D403" s="1244"/>
      <c r="E403" s="1244"/>
      <c r="F403" s="1244"/>
      <c r="G403" s="1244"/>
      <c r="H403" s="1244"/>
      <c r="I403" s="1244"/>
      <c r="J403" s="1244"/>
      <c r="K403" s="1244"/>
      <c r="L403" s="1245"/>
    </row>
    <row r="404" spans="1:12" ht="23.25" x14ac:dyDescent="0.35">
      <c r="A404" s="619" t="s">
        <v>968</v>
      </c>
      <c r="B404" s="620"/>
      <c r="C404" s="620"/>
      <c r="D404" s="621" t="s">
        <v>716</v>
      </c>
      <c r="E404" s="1241" t="s">
        <v>597</v>
      </c>
      <c r="F404" s="1241"/>
      <c r="G404" s="1241"/>
      <c r="H404" s="1241"/>
      <c r="I404" s="1241"/>
      <c r="J404" s="618" t="s">
        <v>796</v>
      </c>
      <c r="K404" s="1241"/>
      <c r="L404" s="1242"/>
    </row>
    <row r="405" spans="1:12" x14ac:dyDescent="0.25">
      <c r="A405" s="622"/>
      <c r="B405" s="623"/>
      <c r="C405" s="623"/>
      <c r="D405" s="624"/>
      <c r="E405" s="623"/>
      <c r="F405" s="623"/>
      <c r="G405" s="623"/>
      <c r="H405" s="623"/>
      <c r="I405" s="1246"/>
      <c r="J405" s="1246"/>
      <c r="K405" s="623"/>
      <c r="L405" s="625"/>
    </row>
    <row r="406" spans="1:12" ht="15.75" x14ac:dyDescent="0.25">
      <c r="A406" s="626" t="s">
        <v>719</v>
      </c>
      <c r="B406" s="627"/>
      <c r="C406" s="628"/>
      <c r="D406" s="629" t="s">
        <v>720</v>
      </c>
      <c r="E406" s="630" t="s">
        <v>721</v>
      </c>
      <c r="F406" s="631" t="s">
        <v>722</v>
      </c>
      <c r="G406" s="626" t="s">
        <v>719</v>
      </c>
      <c r="H406" s="632"/>
      <c r="I406" s="633"/>
      <c r="J406" s="634" t="s">
        <v>720</v>
      </c>
      <c r="K406" s="626" t="s">
        <v>721</v>
      </c>
      <c r="L406" s="626" t="s">
        <v>722</v>
      </c>
    </row>
    <row r="407" spans="1:12" ht="15.75" x14ac:dyDescent="0.25">
      <c r="A407" s="635"/>
      <c r="B407" s="636"/>
      <c r="C407" s="637"/>
      <c r="D407" s="638"/>
      <c r="E407" s="639"/>
      <c r="F407" s="640"/>
      <c r="G407" s="641"/>
      <c r="H407" s="642"/>
      <c r="I407" s="643"/>
      <c r="J407" s="644"/>
      <c r="K407" s="645"/>
      <c r="L407" s="646"/>
    </row>
    <row r="408" spans="1:12" ht="15.75" x14ac:dyDescent="0.25">
      <c r="A408" s="647"/>
      <c r="B408" s="648" t="s">
        <v>273</v>
      </c>
      <c r="C408" s="649">
        <v>157</v>
      </c>
      <c r="D408" s="650" t="s">
        <v>1009</v>
      </c>
      <c r="E408" s="651"/>
      <c r="F408" s="652"/>
      <c r="G408" s="647"/>
      <c r="H408" s="648" t="s">
        <v>273</v>
      </c>
      <c r="I408" s="649">
        <v>122</v>
      </c>
      <c r="J408" s="650" t="s">
        <v>768</v>
      </c>
      <c r="K408" s="651"/>
      <c r="L408" s="653"/>
    </row>
    <row r="409" spans="1:12" ht="15.75" x14ac:dyDescent="0.25">
      <c r="A409" s="647" t="s">
        <v>725</v>
      </c>
      <c r="B409" s="654"/>
      <c r="C409" s="649"/>
      <c r="D409" s="650" t="s">
        <v>726</v>
      </c>
      <c r="E409" s="651"/>
      <c r="F409" s="655">
        <v>0.47916666666666669</v>
      </c>
      <c r="G409" s="647" t="s">
        <v>727</v>
      </c>
      <c r="H409" s="648"/>
      <c r="I409" s="649"/>
      <c r="J409" s="656" t="s">
        <v>728</v>
      </c>
      <c r="K409" s="651"/>
      <c r="L409" s="657">
        <v>0.875</v>
      </c>
    </row>
    <row r="410" spans="1:12" ht="15.75" x14ac:dyDescent="0.25">
      <c r="A410" s="647" t="s">
        <v>727</v>
      </c>
      <c r="B410" s="648"/>
      <c r="C410" s="649"/>
      <c r="D410" s="656" t="s">
        <v>728</v>
      </c>
      <c r="E410" s="651"/>
      <c r="F410" s="657">
        <v>0.5</v>
      </c>
      <c r="G410" s="647"/>
      <c r="H410" s="648"/>
      <c r="I410" s="649"/>
      <c r="J410" s="650"/>
      <c r="K410" s="651"/>
      <c r="L410" s="653"/>
    </row>
    <row r="411" spans="1:12" ht="15.75" x14ac:dyDescent="0.25">
      <c r="A411" s="647"/>
      <c r="B411" s="648"/>
      <c r="C411" s="649"/>
      <c r="D411" s="661"/>
      <c r="E411" s="651"/>
      <c r="F411" s="653"/>
      <c r="G411" s="647" t="s">
        <v>727</v>
      </c>
      <c r="H411" s="648"/>
      <c r="I411" s="649"/>
      <c r="J411" s="617" t="s">
        <v>48</v>
      </c>
      <c r="K411" s="651"/>
      <c r="L411" s="658">
        <v>0.91666666666666663</v>
      </c>
    </row>
    <row r="412" spans="1:12" ht="15.75" x14ac:dyDescent="0.25">
      <c r="A412" s="647" t="s">
        <v>727</v>
      </c>
      <c r="B412" s="648"/>
      <c r="C412" s="649"/>
      <c r="D412" s="617" t="s">
        <v>48</v>
      </c>
      <c r="E412" s="651"/>
      <c r="F412" s="658">
        <v>0.58333333333333337</v>
      </c>
      <c r="G412" s="647"/>
      <c r="H412" s="648"/>
      <c r="I412" s="649"/>
      <c r="J412" s="650"/>
      <c r="K412" s="662"/>
      <c r="L412" s="664"/>
    </row>
    <row r="413" spans="1:12" ht="15.75" x14ac:dyDescent="0.25">
      <c r="A413" s="647"/>
      <c r="B413" s="648"/>
      <c r="C413" s="649"/>
      <c r="D413" s="661"/>
      <c r="E413" s="651"/>
      <c r="F413" s="653"/>
      <c r="G413" s="647" t="s">
        <v>727</v>
      </c>
      <c r="H413" s="648"/>
      <c r="I413" s="649"/>
      <c r="J413" s="656" t="s">
        <v>728</v>
      </c>
      <c r="K413" s="651"/>
      <c r="L413" s="657">
        <v>0.95833333333333337</v>
      </c>
    </row>
    <row r="414" spans="1:12" ht="15.75" x14ac:dyDescent="0.25">
      <c r="A414" s="647"/>
      <c r="B414" s="648"/>
      <c r="C414" s="649"/>
      <c r="D414" s="656" t="s">
        <v>728</v>
      </c>
      <c r="E414" s="662">
        <v>0.65277777777777779</v>
      </c>
      <c r="F414" s="657"/>
      <c r="G414" s="647"/>
      <c r="H414" s="648"/>
      <c r="I414" s="649"/>
      <c r="J414" s="650"/>
      <c r="K414" s="651"/>
      <c r="L414" s="653"/>
    </row>
    <row r="415" spans="1:12" ht="15.75" x14ac:dyDescent="0.25">
      <c r="A415" s="647"/>
      <c r="B415" s="648" t="s">
        <v>273</v>
      </c>
      <c r="C415" s="649">
        <v>157</v>
      </c>
      <c r="D415" s="650" t="s">
        <v>1010</v>
      </c>
      <c r="E415" s="651"/>
      <c r="F415" s="653"/>
      <c r="G415" s="647" t="s">
        <v>725</v>
      </c>
      <c r="H415" s="648"/>
      <c r="I415" s="649"/>
      <c r="J415" s="617" t="s">
        <v>48</v>
      </c>
      <c r="K415" s="662">
        <v>1</v>
      </c>
      <c r="L415" s="658"/>
    </row>
    <row r="416" spans="1:12" ht="15.75" x14ac:dyDescent="0.25">
      <c r="A416" s="647"/>
      <c r="B416" s="648"/>
      <c r="C416" s="649"/>
      <c r="D416" s="661"/>
      <c r="E416" s="651"/>
      <c r="F416" s="653"/>
      <c r="G416" s="647"/>
      <c r="H416" s="648"/>
      <c r="I416" s="649"/>
      <c r="J416" s="650" t="s">
        <v>733</v>
      </c>
      <c r="K416" s="662">
        <v>1.0208333333333333</v>
      </c>
      <c r="L416" s="664"/>
    </row>
    <row r="417" spans="1:12" ht="15.75" x14ac:dyDescent="0.25">
      <c r="A417" s="647"/>
      <c r="B417" s="648" t="s">
        <v>273</v>
      </c>
      <c r="C417" s="649">
        <v>118</v>
      </c>
      <c r="D417" s="650" t="s">
        <v>1011</v>
      </c>
      <c r="E417" s="651"/>
      <c r="F417" s="653"/>
      <c r="G417" s="647"/>
      <c r="H417" s="648" t="s">
        <v>276</v>
      </c>
      <c r="I417" s="649" t="s">
        <v>273</v>
      </c>
      <c r="J417" s="650"/>
      <c r="K417" s="651"/>
      <c r="L417" s="653"/>
    </row>
    <row r="418" spans="1:12" ht="15.75" x14ac:dyDescent="0.25">
      <c r="A418" s="647" t="s">
        <v>727</v>
      </c>
      <c r="B418" s="648"/>
      <c r="C418" s="649"/>
      <c r="D418" s="656" t="s">
        <v>728</v>
      </c>
      <c r="E418" s="651"/>
      <c r="F418" s="657">
        <v>0.65277777777777779</v>
      </c>
      <c r="G418" s="647"/>
      <c r="H418" s="648"/>
      <c r="I418" s="649"/>
      <c r="J418" s="650"/>
      <c r="K418" s="651"/>
      <c r="L418" s="653"/>
    </row>
    <row r="419" spans="1:12" ht="15.75" x14ac:dyDescent="0.25">
      <c r="A419" s="647"/>
      <c r="B419" s="648"/>
      <c r="C419" s="649"/>
      <c r="D419" s="650"/>
      <c r="E419" s="651"/>
      <c r="F419" s="653"/>
      <c r="G419" s="647"/>
      <c r="H419" s="648"/>
      <c r="I419" s="649"/>
      <c r="J419" s="617"/>
      <c r="K419" s="662"/>
      <c r="L419" s="658"/>
    </row>
    <row r="420" spans="1:12" ht="15.75" x14ac:dyDescent="0.25">
      <c r="A420" s="647" t="s">
        <v>727</v>
      </c>
      <c r="B420" s="648"/>
      <c r="C420" s="649"/>
      <c r="D420" s="617" t="s">
        <v>48</v>
      </c>
      <c r="E420" s="651"/>
      <c r="F420" s="658">
        <v>0.72222222222222221</v>
      </c>
      <c r="G420" s="647"/>
      <c r="H420" s="648"/>
      <c r="I420" s="649"/>
      <c r="J420" s="650"/>
      <c r="K420" s="662"/>
      <c r="L420" s="664"/>
    </row>
    <row r="421" spans="1:12" ht="15.75" x14ac:dyDescent="0.25">
      <c r="A421" s="647"/>
      <c r="B421" s="648"/>
      <c r="C421" s="649"/>
      <c r="D421" s="661"/>
      <c r="E421" s="651"/>
      <c r="F421" s="653"/>
      <c r="G421" s="647"/>
      <c r="H421" s="648"/>
      <c r="I421" s="649"/>
      <c r="J421" s="650"/>
      <c r="K421" s="651"/>
      <c r="L421" s="653"/>
    </row>
    <row r="422" spans="1:12" ht="15.75" x14ac:dyDescent="0.25">
      <c r="A422" s="647"/>
      <c r="B422" s="648"/>
      <c r="C422" s="649"/>
      <c r="D422" s="656" t="s">
        <v>728</v>
      </c>
      <c r="E422" s="662">
        <v>0.77777777777777779</v>
      </c>
      <c r="F422" s="657"/>
      <c r="G422" s="647"/>
      <c r="H422" s="648"/>
      <c r="I422" s="649"/>
      <c r="J422" s="663"/>
      <c r="K422" s="662"/>
      <c r="L422" s="658"/>
    </row>
    <row r="423" spans="1:12" ht="15.75" x14ac:dyDescent="0.25">
      <c r="A423" s="647"/>
      <c r="B423" s="648" t="s">
        <v>273</v>
      </c>
      <c r="C423" s="649">
        <v>118</v>
      </c>
      <c r="D423" s="650" t="s">
        <v>1012</v>
      </c>
      <c r="E423" s="651"/>
      <c r="F423" s="653"/>
      <c r="G423" s="647"/>
      <c r="H423" s="648"/>
      <c r="I423" s="649"/>
      <c r="J423" s="663"/>
      <c r="K423" s="651"/>
      <c r="L423" s="653"/>
    </row>
    <row r="424" spans="1:12" ht="15.75" x14ac:dyDescent="0.25">
      <c r="A424" s="647"/>
      <c r="B424" s="648"/>
      <c r="C424" s="649"/>
      <c r="D424" s="661"/>
      <c r="E424" s="651"/>
      <c r="F424" s="653"/>
      <c r="G424" s="647"/>
      <c r="H424" s="648"/>
      <c r="I424" s="649"/>
      <c r="J424" s="650"/>
      <c r="K424" s="651"/>
      <c r="L424" s="664"/>
    </row>
    <row r="425" spans="1:12" ht="15.75" x14ac:dyDescent="0.25">
      <c r="A425" s="647"/>
      <c r="B425" s="648" t="s">
        <v>273</v>
      </c>
      <c r="C425" s="649">
        <v>115</v>
      </c>
      <c r="D425" s="650" t="s">
        <v>1013</v>
      </c>
      <c r="E425" s="651"/>
      <c r="F425" s="653"/>
      <c r="G425" s="647"/>
      <c r="H425" s="648"/>
      <c r="I425" s="649"/>
      <c r="J425" s="650"/>
      <c r="K425" s="651"/>
      <c r="L425" s="653"/>
    </row>
    <row r="426" spans="1:12" ht="15.75" x14ac:dyDescent="0.25">
      <c r="A426" s="647" t="s">
        <v>727</v>
      </c>
      <c r="B426" s="648"/>
      <c r="C426" s="649"/>
      <c r="D426" s="656" t="s">
        <v>728</v>
      </c>
      <c r="E426" s="651"/>
      <c r="F426" s="657">
        <v>0.77777777777777779</v>
      </c>
      <c r="G426" s="647"/>
      <c r="H426" s="648"/>
      <c r="I426" s="649"/>
      <c r="J426" s="663"/>
      <c r="K426" s="662"/>
      <c r="L426" s="658"/>
    </row>
    <row r="427" spans="1:12" ht="15.75" x14ac:dyDescent="0.25">
      <c r="A427" s="647"/>
      <c r="B427" s="648"/>
      <c r="C427" s="649"/>
      <c r="D427" s="650"/>
      <c r="E427" s="651"/>
      <c r="F427" s="653"/>
      <c r="G427" s="647"/>
      <c r="H427" s="648"/>
      <c r="I427" s="649"/>
      <c r="J427" s="663"/>
      <c r="K427" s="651"/>
      <c r="L427" s="653"/>
    </row>
    <row r="428" spans="1:12" ht="15.75" x14ac:dyDescent="0.25">
      <c r="A428" s="647" t="s">
        <v>727</v>
      </c>
      <c r="B428" s="648"/>
      <c r="C428" s="649"/>
      <c r="D428" s="617" t="s">
        <v>48</v>
      </c>
      <c r="E428" s="651"/>
      <c r="F428" s="658">
        <v>0.83333333333333337</v>
      </c>
      <c r="G428" s="647"/>
      <c r="H428" s="648"/>
      <c r="I428" s="649"/>
      <c r="J428" s="650"/>
      <c r="K428" s="651"/>
      <c r="L428" s="664"/>
    </row>
    <row r="429" spans="1:12" ht="15.75" x14ac:dyDescent="0.25">
      <c r="A429" s="647"/>
      <c r="B429" s="648"/>
      <c r="C429" s="649"/>
      <c r="D429" s="661"/>
      <c r="E429" s="651"/>
      <c r="F429" s="653"/>
      <c r="G429" s="647"/>
      <c r="H429" s="648"/>
      <c r="I429" s="649"/>
      <c r="J429" s="650"/>
      <c r="K429" s="651"/>
      <c r="L429" s="653"/>
    </row>
    <row r="430" spans="1:12" ht="15.75" x14ac:dyDescent="0.25">
      <c r="A430" s="647"/>
      <c r="B430" s="648"/>
      <c r="C430" s="649"/>
      <c r="D430" s="656" t="s">
        <v>728</v>
      </c>
      <c r="E430" s="662">
        <v>0.875</v>
      </c>
      <c r="F430" s="657"/>
      <c r="G430" s="647"/>
      <c r="H430" s="648"/>
      <c r="I430" s="649"/>
      <c r="J430" s="617"/>
      <c r="K430" s="651"/>
      <c r="L430" s="658"/>
    </row>
    <row r="431" spans="1:12" ht="15.75" x14ac:dyDescent="0.25">
      <c r="A431" s="647"/>
      <c r="B431" s="648" t="s">
        <v>276</v>
      </c>
      <c r="C431" s="649" t="s">
        <v>273</v>
      </c>
      <c r="D431" s="650"/>
      <c r="E431" s="651"/>
      <c r="F431" s="653"/>
      <c r="G431" s="647"/>
      <c r="H431" s="648"/>
      <c r="I431" s="649"/>
      <c r="J431" s="661"/>
      <c r="K431" s="651"/>
      <c r="L431" s="653"/>
    </row>
    <row r="432" spans="1:12" ht="15.75" x14ac:dyDescent="0.25">
      <c r="A432" s="647"/>
      <c r="B432" s="648"/>
      <c r="C432" s="649"/>
      <c r="D432" s="661"/>
      <c r="E432" s="651"/>
      <c r="F432" s="653"/>
      <c r="G432" s="647"/>
      <c r="H432" s="648"/>
      <c r="I432" s="649"/>
      <c r="J432" s="650"/>
      <c r="K432" s="662"/>
      <c r="L432" s="664"/>
    </row>
    <row r="433" spans="1:12" ht="15.75" x14ac:dyDescent="0.25">
      <c r="A433" s="647"/>
      <c r="B433" s="648" t="s">
        <v>273</v>
      </c>
      <c r="C433" s="649">
        <v>157</v>
      </c>
      <c r="D433" s="650" t="s">
        <v>995</v>
      </c>
      <c r="E433" s="651"/>
      <c r="F433" s="653"/>
      <c r="G433" s="647"/>
      <c r="H433" s="648"/>
      <c r="I433" s="649"/>
      <c r="J433" s="650"/>
      <c r="K433" s="651"/>
      <c r="L433" s="653"/>
    </row>
    <row r="434" spans="1:12" ht="15.75" x14ac:dyDescent="0.25">
      <c r="A434" s="647" t="s">
        <v>727</v>
      </c>
      <c r="B434" s="648"/>
      <c r="C434" s="649"/>
      <c r="D434" s="656" t="s">
        <v>728</v>
      </c>
      <c r="E434" s="651"/>
      <c r="F434" s="657">
        <v>0.71180555555555558</v>
      </c>
      <c r="G434" s="647"/>
      <c r="H434" s="648"/>
      <c r="I434" s="649"/>
      <c r="J434" s="650"/>
      <c r="K434" s="662"/>
      <c r="L434" s="658"/>
    </row>
    <row r="435" spans="1:12" ht="15.75" x14ac:dyDescent="0.25">
      <c r="A435" s="647"/>
      <c r="B435" s="648"/>
      <c r="C435" s="649"/>
      <c r="D435" s="650"/>
      <c r="E435" s="651"/>
      <c r="F435" s="653"/>
      <c r="G435" s="647"/>
      <c r="H435" s="648"/>
      <c r="I435" s="649"/>
      <c r="J435" s="661"/>
      <c r="K435" s="651"/>
      <c r="L435" s="653"/>
    </row>
    <row r="436" spans="1:12" ht="15.75" x14ac:dyDescent="0.25">
      <c r="A436" s="647" t="s">
        <v>725</v>
      </c>
      <c r="B436" s="648"/>
      <c r="C436" s="649"/>
      <c r="D436" s="617" t="s">
        <v>48</v>
      </c>
      <c r="E436" s="662">
        <v>0.76666666666666672</v>
      </c>
      <c r="F436" s="658"/>
      <c r="G436" s="647"/>
      <c r="H436" s="648"/>
      <c r="I436" s="649"/>
      <c r="J436" s="650"/>
      <c r="K436" s="662"/>
      <c r="L436" s="664"/>
    </row>
    <row r="437" spans="1:12" ht="15.75" x14ac:dyDescent="0.25">
      <c r="A437" s="647"/>
      <c r="B437" s="648"/>
      <c r="C437" s="649"/>
      <c r="D437" s="650" t="s">
        <v>733</v>
      </c>
      <c r="E437" s="662">
        <v>0.78749999999999998</v>
      </c>
      <c r="F437" s="664"/>
      <c r="G437" s="647"/>
      <c r="H437" s="648"/>
      <c r="I437" s="649"/>
      <c r="J437" s="661"/>
      <c r="K437" s="651"/>
      <c r="L437" s="653"/>
    </row>
    <row r="438" spans="1:12" ht="15.75" x14ac:dyDescent="0.25">
      <c r="A438" s="647"/>
      <c r="B438" s="648" t="s">
        <v>276</v>
      </c>
      <c r="C438" s="649" t="s">
        <v>273</v>
      </c>
      <c r="D438" s="650"/>
      <c r="E438" s="651"/>
      <c r="F438" s="653"/>
      <c r="G438" s="647"/>
      <c r="H438" s="648"/>
      <c r="I438" s="649"/>
      <c r="J438" s="650"/>
      <c r="K438" s="651"/>
      <c r="L438" s="653"/>
    </row>
    <row r="439" spans="1:12" ht="15.75" x14ac:dyDescent="0.25">
      <c r="A439" s="647"/>
      <c r="B439" s="648"/>
      <c r="C439" s="665"/>
      <c r="D439" s="661"/>
      <c r="E439" s="651"/>
      <c r="F439" s="653"/>
      <c r="G439" s="666"/>
      <c r="H439" s="648"/>
      <c r="I439" s="665"/>
      <c r="J439" s="650"/>
      <c r="K439" s="651"/>
      <c r="L439" s="653"/>
    </row>
    <row r="440" spans="1:12" ht="15.75" x14ac:dyDescent="0.25">
      <c r="A440" s="667"/>
      <c r="B440" s="668"/>
      <c r="C440" s="669"/>
      <c r="D440" s="670"/>
      <c r="E440" s="671"/>
      <c r="F440" s="672"/>
      <c r="G440" s="673"/>
      <c r="H440" s="674"/>
      <c r="I440" s="675"/>
      <c r="J440" s="676"/>
      <c r="K440" s="671"/>
      <c r="L440" s="677"/>
    </row>
    <row r="441" spans="1:12" ht="23.25" x14ac:dyDescent="0.35">
      <c r="A441" s="1237" t="s">
        <v>712</v>
      </c>
      <c r="B441" s="1238"/>
      <c r="C441" s="1238"/>
      <c r="D441" s="1238"/>
      <c r="E441" s="1238"/>
      <c r="F441" s="1238"/>
      <c r="G441" s="1238"/>
      <c r="H441" s="1238"/>
      <c r="I441" s="1238"/>
      <c r="J441" s="1238"/>
      <c r="K441" s="1238"/>
      <c r="L441" s="1239"/>
    </row>
    <row r="442" spans="1:12" ht="23.25" x14ac:dyDescent="0.35">
      <c r="A442" s="1240" t="s">
        <v>713</v>
      </c>
      <c r="B442" s="1241"/>
      <c r="C442" s="1241"/>
      <c r="D442" s="1241"/>
      <c r="E442" s="1241"/>
      <c r="F442" s="1241"/>
      <c r="G442" s="1241"/>
      <c r="H442" s="1241"/>
      <c r="I442" s="1241"/>
      <c r="J442" s="1241"/>
      <c r="K442" s="1241"/>
      <c r="L442" s="1242"/>
    </row>
    <row r="443" spans="1:12" ht="23.25" x14ac:dyDescent="0.35">
      <c r="A443" s="1243" t="s">
        <v>714</v>
      </c>
      <c r="B443" s="1244"/>
      <c r="C443" s="1244"/>
      <c r="D443" s="1244"/>
      <c r="E443" s="1244"/>
      <c r="F443" s="1244"/>
      <c r="G443" s="1244"/>
      <c r="H443" s="1244"/>
      <c r="I443" s="1244"/>
      <c r="J443" s="1244"/>
      <c r="K443" s="1244"/>
      <c r="L443" s="1245"/>
    </row>
    <row r="444" spans="1:12" ht="23.25" x14ac:dyDescent="0.35">
      <c r="A444" s="619" t="s">
        <v>968</v>
      </c>
      <c r="B444" s="620"/>
      <c r="C444" s="620"/>
      <c r="D444" s="621" t="s">
        <v>716</v>
      </c>
      <c r="E444" s="1241" t="s">
        <v>597</v>
      </c>
      <c r="F444" s="1241"/>
      <c r="G444" s="1241"/>
      <c r="H444" s="1241"/>
      <c r="I444" s="1241"/>
      <c r="J444" s="618" t="s">
        <v>799</v>
      </c>
      <c r="K444" s="1241"/>
      <c r="L444" s="1242"/>
    </row>
    <row r="445" spans="1:12" x14ac:dyDescent="0.25">
      <c r="A445" s="622"/>
      <c r="B445" s="623"/>
      <c r="C445" s="623"/>
      <c r="D445" s="624"/>
      <c r="E445" s="623"/>
      <c r="F445" s="623"/>
      <c r="G445" s="623"/>
      <c r="H445" s="623"/>
      <c r="I445" s="1246"/>
      <c r="J445" s="1246"/>
      <c r="K445" s="623"/>
      <c r="L445" s="625"/>
    </row>
    <row r="446" spans="1:12" ht="15.75" x14ac:dyDescent="0.25">
      <c r="A446" s="626" t="s">
        <v>719</v>
      </c>
      <c r="B446" s="627"/>
      <c r="C446" s="628"/>
      <c r="D446" s="629" t="s">
        <v>720</v>
      </c>
      <c r="E446" s="630" t="s">
        <v>721</v>
      </c>
      <c r="F446" s="631" t="s">
        <v>722</v>
      </c>
      <c r="G446" s="626" t="s">
        <v>719</v>
      </c>
      <c r="H446" s="632"/>
      <c r="I446" s="633"/>
      <c r="J446" s="634" t="s">
        <v>720</v>
      </c>
      <c r="K446" s="626" t="s">
        <v>721</v>
      </c>
      <c r="L446" s="626" t="s">
        <v>722</v>
      </c>
    </row>
    <row r="447" spans="1:12" ht="15.75" x14ac:dyDescent="0.25">
      <c r="A447" s="635"/>
      <c r="B447" s="636"/>
      <c r="C447" s="637"/>
      <c r="D447" s="638"/>
      <c r="E447" s="639"/>
      <c r="F447" s="640"/>
      <c r="G447" s="641"/>
      <c r="H447" s="642"/>
      <c r="I447" s="643"/>
      <c r="J447" s="644"/>
      <c r="K447" s="645"/>
      <c r="L447" s="646"/>
    </row>
    <row r="448" spans="1:12" ht="15.75" x14ac:dyDescent="0.25">
      <c r="A448" s="647"/>
      <c r="B448" s="648" t="s">
        <v>273</v>
      </c>
      <c r="C448" s="649">
        <v>114</v>
      </c>
      <c r="D448" s="650" t="s">
        <v>942</v>
      </c>
      <c r="E448" s="651"/>
      <c r="F448" s="652"/>
      <c r="G448" s="647"/>
      <c r="H448" s="648" t="s">
        <v>273</v>
      </c>
      <c r="I448" s="649">
        <v>120</v>
      </c>
      <c r="J448" s="650" t="s">
        <v>1014</v>
      </c>
      <c r="K448" s="651"/>
      <c r="L448" s="653"/>
    </row>
    <row r="449" spans="1:12" ht="15.75" x14ac:dyDescent="0.25">
      <c r="A449" s="647" t="s">
        <v>725</v>
      </c>
      <c r="B449" s="654"/>
      <c r="C449" s="649"/>
      <c r="D449" s="650" t="s">
        <v>726</v>
      </c>
      <c r="E449" s="651"/>
      <c r="F449" s="655">
        <v>0.53472222222222221</v>
      </c>
      <c r="G449" s="647">
        <v>7</v>
      </c>
      <c r="H449" s="648"/>
      <c r="I449" s="649"/>
      <c r="J449" s="656" t="s">
        <v>728</v>
      </c>
      <c r="K449" s="651"/>
      <c r="L449" s="657">
        <v>0.86111111111111116</v>
      </c>
    </row>
    <row r="450" spans="1:12" ht="15.75" x14ac:dyDescent="0.25">
      <c r="A450" s="647" t="s">
        <v>727</v>
      </c>
      <c r="B450" s="648"/>
      <c r="C450" s="649"/>
      <c r="D450" s="617" t="s">
        <v>48</v>
      </c>
      <c r="E450" s="651"/>
      <c r="F450" s="658">
        <v>0.55555555555555558</v>
      </c>
      <c r="G450" s="647"/>
      <c r="H450" s="648"/>
      <c r="I450" s="649"/>
      <c r="J450" s="650"/>
      <c r="K450" s="651"/>
      <c r="L450" s="653"/>
    </row>
    <row r="451" spans="1:12" ht="15.75" x14ac:dyDescent="0.25">
      <c r="A451" s="647"/>
      <c r="B451" s="648"/>
      <c r="C451" s="649"/>
      <c r="D451" s="661"/>
      <c r="E451" s="651"/>
      <c r="F451" s="653"/>
      <c r="G451" s="647">
        <v>7</v>
      </c>
      <c r="H451" s="648"/>
      <c r="I451" s="649"/>
      <c r="J451" s="659" t="s">
        <v>50</v>
      </c>
      <c r="K451" s="651"/>
      <c r="L451" s="660">
        <v>0.93055555555555558</v>
      </c>
    </row>
    <row r="452" spans="1:12" ht="15.75" x14ac:dyDescent="0.25">
      <c r="A452" s="647"/>
      <c r="B452" s="648"/>
      <c r="C452" s="649"/>
      <c r="D452" s="656" t="s">
        <v>728</v>
      </c>
      <c r="E452" s="662">
        <v>0.625</v>
      </c>
      <c r="F452" s="657"/>
      <c r="G452" s="647"/>
      <c r="H452" s="648"/>
      <c r="I452" s="649"/>
      <c r="J452" s="650"/>
      <c r="K452" s="662"/>
      <c r="L452" s="664"/>
    </row>
    <row r="453" spans="1:12" ht="15.75" x14ac:dyDescent="0.25">
      <c r="A453" s="647"/>
      <c r="B453" s="648" t="s">
        <v>273</v>
      </c>
      <c r="C453" s="649">
        <v>114</v>
      </c>
      <c r="D453" s="650" t="s">
        <v>1015</v>
      </c>
      <c r="E453" s="651"/>
      <c r="F453" s="653"/>
      <c r="G453" s="647">
        <v>7</v>
      </c>
      <c r="H453" s="648"/>
      <c r="I453" s="649"/>
      <c r="J453" s="656" t="s">
        <v>728</v>
      </c>
      <c r="K453" s="651"/>
      <c r="L453" s="657">
        <v>0.96875</v>
      </c>
    </row>
    <row r="454" spans="1:12" ht="15.75" x14ac:dyDescent="0.25">
      <c r="A454" s="647"/>
      <c r="B454" s="648"/>
      <c r="C454" s="649"/>
      <c r="D454" s="661"/>
      <c r="E454" s="651"/>
      <c r="F454" s="653"/>
      <c r="G454" s="647"/>
      <c r="H454" s="648"/>
      <c r="I454" s="649"/>
      <c r="J454" s="650"/>
      <c r="K454" s="651"/>
      <c r="L454" s="653"/>
    </row>
    <row r="455" spans="1:12" ht="15.75" x14ac:dyDescent="0.25">
      <c r="A455" s="647"/>
      <c r="B455" s="648" t="s">
        <v>273</v>
      </c>
      <c r="C455" s="649">
        <v>153</v>
      </c>
      <c r="D455" s="650" t="s">
        <v>783</v>
      </c>
      <c r="E455" s="651"/>
      <c r="F455" s="653"/>
      <c r="G455" s="647" t="s">
        <v>725</v>
      </c>
      <c r="H455" s="648"/>
      <c r="I455" s="649"/>
      <c r="J455" s="659" t="s">
        <v>50</v>
      </c>
      <c r="K455" s="662">
        <v>1.0069444444444444</v>
      </c>
      <c r="L455" s="658"/>
    </row>
    <row r="456" spans="1:12" ht="15.75" x14ac:dyDescent="0.25">
      <c r="A456" s="647" t="s">
        <v>727</v>
      </c>
      <c r="B456" s="648"/>
      <c r="C456" s="649"/>
      <c r="D456" s="656" t="s">
        <v>728</v>
      </c>
      <c r="E456" s="651"/>
      <c r="F456" s="657">
        <v>0.625</v>
      </c>
      <c r="G456" s="647"/>
      <c r="H456" s="648"/>
      <c r="I456" s="649"/>
      <c r="J456" s="650" t="s">
        <v>733</v>
      </c>
      <c r="K456" s="662">
        <v>1.0277777777777777</v>
      </c>
      <c r="L456" s="664"/>
    </row>
    <row r="457" spans="1:12" ht="15.75" x14ac:dyDescent="0.25">
      <c r="A457" s="647"/>
      <c r="B457" s="648"/>
      <c r="C457" s="649"/>
      <c r="D457" s="650"/>
      <c r="E457" s="651"/>
      <c r="F457" s="653"/>
      <c r="G457" s="647"/>
      <c r="H457" s="648" t="s">
        <v>276</v>
      </c>
      <c r="I457" s="649" t="s">
        <v>273</v>
      </c>
      <c r="J457" s="650"/>
      <c r="K457" s="651"/>
      <c r="L457" s="653"/>
    </row>
    <row r="458" spans="1:12" ht="15.75" x14ac:dyDescent="0.25">
      <c r="A458" s="647" t="s">
        <v>727</v>
      </c>
      <c r="B458" s="648"/>
      <c r="C458" s="649"/>
      <c r="D458" s="617" t="s">
        <v>48</v>
      </c>
      <c r="E458" s="651"/>
      <c r="F458" s="658">
        <v>0.69444444444444442</v>
      </c>
      <c r="G458" s="647"/>
      <c r="H458" s="648"/>
      <c r="I458" s="649"/>
      <c r="J458" s="650"/>
      <c r="K458" s="651"/>
      <c r="L458" s="653"/>
    </row>
    <row r="459" spans="1:12" ht="15.75" x14ac:dyDescent="0.25">
      <c r="A459" s="647"/>
      <c r="B459" s="648"/>
      <c r="C459" s="649"/>
      <c r="D459" s="661"/>
      <c r="E459" s="651"/>
      <c r="F459" s="653"/>
      <c r="G459" s="647"/>
      <c r="H459" s="648"/>
      <c r="I459" s="649"/>
      <c r="J459" s="617"/>
      <c r="K459" s="662"/>
      <c r="L459" s="658"/>
    </row>
    <row r="460" spans="1:12" ht="15.75" x14ac:dyDescent="0.25">
      <c r="A460" s="647"/>
      <c r="B460" s="648"/>
      <c r="C460" s="649"/>
      <c r="D460" s="656" t="s">
        <v>728</v>
      </c>
      <c r="E460" s="662">
        <v>0.76388888888888884</v>
      </c>
      <c r="F460" s="657"/>
      <c r="G460" s="647"/>
      <c r="H460" s="648"/>
      <c r="I460" s="649"/>
      <c r="J460" s="650"/>
      <c r="K460" s="662"/>
      <c r="L460" s="664"/>
    </row>
    <row r="461" spans="1:12" ht="15.75" x14ac:dyDescent="0.25">
      <c r="A461" s="647"/>
      <c r="B461" s="648" t="s">
        <v>276</v>
      </c>
      <c r="C461" s="649" t="s">
        <v>273</v>
      </c>
      <c r="D461" s="650"/>
      <c r="E461" s="651"/>
      <c r="F461" s="653"/>
      <c r="G461" s="647"/>
      <c r="H461" s="648"/>
      <c r="I461" s="649"/>
      <c r="J461" s="650"/>
      <c r="K461" s="651"/>
      <c r="L461" s="653"/>
    </row>
    <row r="462" spans="1:12" ht="15.75" x14ac:dyDescent="0.25">
      <c r="A462" s="647"/>
      <c r="B462" s="648"/>
      <c r="C462" s="649"/>
      <c r="D462" s="661"/>
      <c r="E462" s="651"/>
      <c r="F462" s="653"/>
      <c r="G462" s="647"/>
      <c r="H462" s="648"/>
      <c r="I462" s="649"/>
      <c r="J462" s="663"/>
      <c r="K462" s="662"/>
      <c r="L462" s="658"/>
    </row>
    <row r="463" spans="1:12" ht="15.75" x14ac:dyDescent="0.25">
      <c r="A463" s="647"/>
      <c r="B463" s="648" t="s">
        <v>273</v>
      </c>
      <c r="C463" s="649">
        <v>113</v>
      </c>
      <c r="D463" s="650" t="s">
        <v>1016</v>
      </c>
      <c r="E463" s="651"/>
      <c r="F463" s="653"/>
      <c r="G463" s="647"/>
      <c r="H463" s="648"/>
      <c r="I463" s="649"/>
      <c r="J463" s="663"/>
      <c r="K463" s="651"/>
      <c r="L463" s="653"/>
    </row>
    <row r="464" spans="1:12" ht="15.75" x14ac:dyDescent="0.25">
      <c r="A464" s="647">
        <v>7</v>
      </c>
      <c r="B464" s="648"/>
      <c r="C464" s="649"/>
      <c r="D464" s="656" t="s">
        <v>728</v>
      </c>
      <c r="E464" s="651"/>
      <c r="F464" s="657">
        <v>0.76388888888888884</v>
      </c>
      <c r="G464" s="647"/>
      <c r="H464" s="648"/>
      <c r="I464" s="649"/>
      <c r="J464" s="650"/>
      <c r="K464" s="651"/>
      <c r="L464" s="664"/>
    </row>
    <row r="465" spans="1:12" ht="15.75" x14ac:dyDescent="0.25">
      <c r="A465" s="647"/>
      <c r="B465" s="648"/>
      <c r="C465" s="649"/>
      <c r="D465" s="650"/>
      <c r="E465" s="651"/>
      <c r="F465" s="653"/>
      <c r="G465" s="647"/>
      <c r="H465" s="648"/>
      <c r="I465" s="649"/>
      <c r="J465" s="650"/>
      <c r="K465" s="651"/>
      <c r="L465" s="653"/>
    </row>
    <row r="466" spans="1:12" ht="15.75" x14ac:dyDescent="0.25">
      <c r="A466" s="647">
        <v>7</v>
      </c>
      <c r="B466" s="648"/>
      <c r="C466" s="649"/>
      <c r="D466" s="659" t="s">
        <v>50</v>
      </c>
      <c r="E466" s="651"/>
      <c r="F466" s="660">
        <v>0.81944444444444442</v>
      </c>
      <c r="G466" s="647"/>
      <c r="H466" s="648"/>
      <c r="I466" s="649"/>
      <c r="J466" s="663"/>
      <c r="K466" s="662"/>
      <c r="L466" s="658"/>
    </row>
    <row r="467" spans="1:12" ht="15.75" x14ac:dyDescent="0.25">
      <c r="A467" s="647"/>
      <c r="B467" s="648"/>
      <c r="C467" s="649"/>
      <c r="D467" s="661"/>
      <c r="E467" s="651"/>
      <c r="F467" s="653"/>
      <c r="G467" s="647"/>
      <c r="H467" s="648"/>
      <c r="I467" s="649"/>
      <c r="J467" s="663"/>
      <c r="K467" s="651"/>
      <c r="L467" s="653"/>
    </row>
    <row r="468" spans="1:12" ht="15.75" x14ac:dyDescent="0.25">
      <c r="A468" s="647"/>
      <c r="B468" s="648"/>
      <c r="C468" s="649"/>
      <c r="D468" s="656" t="s">
        <v>728</v>
      </c>
      <c r="E468" s="662">
        <v>0.86111111111111116</v>
      </c>
      <c r="F468" s="657"/>
      <c r="G468" s="647"/>
      <c r="H468" s="648"/>
      <c r="I468" s="649"/>
      <c r="J468" s="650"/>
      <c r="K468" s="651"/>
      <c r="L468" s="664"/>
    </row>
    <row r="469" spans="1:12" ht="15.75" x14ac:dyDescent="0.25">
      <c r="A469" s="647"/>
      <c r="B469" s="648" t="s">
        <v>276</v>
      </c>
      <c r="C469" s="649" t="s">
        <v>273</v>
      </c>
      <c r="D469" s="650"/>
      <c r="E469" s="651"/>
      <c r="F469" s="653"/>
      <c r="G469" s="647"/>
      <c r="H469" s="648"/>
      <c r="I469" s="649"/>
      <c r="J469" s="650"/>
      <c r="K469" s="651"/>
      <c r="L469" s="653"/>
    </row>
    <row r="470" spans="1:12" ht="15.75" x14ac:dyDescent="0.25">
      <c r="A470" s="647"/>
      <c r="B470" s="648"/>
      <c r="C470" s="649"/>
      <c r="D470" s="661"/>
      <c r="E470" s="651"/>
      <c r="F470" s="653"/>
      <c r="G470" s="647"/>
      <c r="H470" s="648"/>
      <c r="I470" s="649"/>
      <c r="J470" s="617"/>
      <c r="K470" s="651"/>
      <c r="L470" s="658"/>
    </row>
    <row r="471" spans="1:12" ht="15.75" x14ac:dyDescent="0.25">
      <c r="A471" s="647"/>
      <c r="B471" s="648"/>
      <c r="C471" s="649"/>
      <c r="D471" s="650"/>
      <c r="E471" s="651"/>
      <c r="F471" s="653"/>
      <c r="G471" s="647"/>
      <c r="H471" s="648"/>
      <c r="I471" s="649"/>
      <c r="J471" s="661"/>
      <c r="K471" s="651"/>
      <c r="L471" s="653"/>
    </row>
    <row r="472" spans="1:12" ht="15.75" x14ac:dyDescent="0.25">
      <c r="A472" s="647"/>
      <c r="B472" s="648"/>
      <c r="C472" s="649"/>
      <c r="D472" s="656"/>
      <c r="E472" s="651"/>
      <c r="F472" s="657"/>
      <c r="G472" s="647"/>
      <c r="H472" s="648"/>
      <c r="I472" s="649"/>
      <c r="J472" s="650"/>
      <c r="K472" s="662"/>
      <c r="L472" s="664"/>
    </row>
    <row r="473" spans="1:12" ht="15.75" x14ac:dyDescent="0.25">
      <c r="A473" s="647"/>
      <c r="B473" s="648"/>
      <c r="C473" s="649"/>
      <c r="D473" s="650"/>
      <c r="E473" s="651"/>
      <c r="F473" s="653"/>
      <c r="G473" s="647"/>
      <c r="H473" s="648"/>
      <c r="I473" s="649"/>
      <c r="J473" s="650"/>
      <c r="K473" s="651"/>
      <c r="L473" s="653"/>
    </row>
    <row r="474" spans="1:12" ht="15.75" x14ac:dyDescent="0.25">
      <c r="A474" s="647"/>
      <c r="B474" s="648"/>
      <c r="C474" s="649"/>
      <c r="D474" s="659"/>
      <c r="E474" s="651"/>
      <c r="F474" s="660"/>
      <c r="G474" s="647"/>
      <c r="H474" s="648"/>
      <c r="I474" s="649"/>
      <c r="J474" s="650"/>
      <c r="K474" s="662"/>
      <c r="L474" s="658"/>
    </row>
    <row r="475" spans="1:12" ht="15.75" x14ac:dyDescent="0.25">
      <c r="A475" s="647"/>
      <c r="B475" s="648"/>
      <c r="C475" s="649"/>
      <c r="D475" s="661"/>
      <c r="E475" s="651"/>
      <c r="F475" s="653"/>
      <c r="G475" s="647"/>
      <c r="H475" s="648"/>
      <c r="I475" s="649"/>
      <c r="J475" s="661"/>
      <c r="K475" s="651"/>
      <c r="L475" s="653"/>
    </row>
    <row r="476" spans="1:12" ht="15.75" x14ac:dyDescent="0.25">
      <c r="A476" s="647"/>
      <c r="B476" s="648"/>
      <c r="C476" s="649"/>
      <c r="D476" s="656"/>
      <c r="E476" s="662"/>
      <c r="F476" s="657"/>
      <c r="G476" s="647"/>
      <c r="H476" s="648"/>
      <c r="I476" s="649"/>
      <c r="J476" s="650"/>
      <c r="K476" s="662"/>
      <c r="L476" s="664"/>
    </row>
    <row r="477" spans="1:12" ht="15.75" x14ac:dyDescent="0.25">
      <c r="A477" s="647"/>
      <c r="B477" s="648"/>
      <c r="C477" s="649"/>
      <c r="D477" s="650"/>
      <c r="E477" s="651"/>
      <c r="F477" s="653"/>
      <c r="G477" s="647"/>
      <c r="H477" s="648"/>
      <c r="I477" s="649"/>
      <c r="J477" s="661"/>
      <c r="K477" s="651"/>
      <c r="L477" s="653"/>
    </row>
    <row r="478" spans="1:12" ht="15.75" x14ac:dyDescent="0.25">
      <c r="A478" s="647"/>
      <c r="B478" s="648"/>
      <c r="C478" s="649"/>
      <c r="D478" s="650"/>
      <c r="E478" s="651"/>
      <c r="F478" s="653"/>
      <c r="G478" s="647"/>
      <c r="H478" s="648"/>
      <c r="I478" s="649"/>
      <c r="J478" s="650"/>
      <c r="K478" s="651"/>
      <c r="L478" s="653"/>
    </row>
    <row r="479" spans="1:12" ht="15.75" x14ac:dyDescent="0.25">
      <c r="A479" s="647"/>
      <c r="B479" s="648"/>
      <c r="C479" s="665"/>
      <c r="D479" s="661"/>
      <c r="E479" s="651"/>
      <c r="F479" s="653"/>
      <c r="G479" s="666"/>
      <c r="H479" s="648"/>
      <c r="I479" s="665"/>
      <c r="J479" s="650"/>
      <c r="K479" s="651"/>
      <c r="L479" s="653"/>
    </row>
    <row r="480" spans="1:12" ht="15.75" x14ac:dyDescent="0.25">
      <c r="A480" s="667"/>
      <c r="B480" s="668"/>
      <c r="C480" s="669"/>
      <c r="D480" s="670"/>
      <c r="E480" s="671"/>
      <c r="F480" s="672"/>
      <c r="G480" s="673"/>
      <c r="H480" s="674"/>
      <c r="I480" s="675"/>
      <c r="J480" s="676"/>
      <c r="K480" s="671"/>
      <c r="L480" s="677"/>
    </row>
    <row r="481" spans="1:12" ht="23.25" x14ac:dyDescent="0.35">
      <c r="A481" s="1237" t="s">
        <v>712</v>
      </c>
      <c r="B481" s="1238"/>
      <c r="C481" s="1238"/>
      <c r="D481" s="1238"/>
      <c r="E481" s="1238"/>
      <c r="F481" s="1238"/>
      <c r="G481" s="1238"/>
      <c r="H481" s="1238"/>
      <c r="I481" s="1238"/>
      <c r="J481" s="1238"/>
      <c r="K481" s="1238"/>
      <c r="L481" s="1239"/>
    </row>
    <row r="482" spans="1:12" ht="23.25" x14ac:dyDescent="0.35">
      <c r="A482" s="1240" t="s">
        <v>713</v>
      </c>
      <c r="B482" s="1241"/>
      <c r="C482" s="1241"/>
      <c r="D482" s="1241"/>
      <c r="E482" s="1241"/>
      <c r="F482" s="1241"/>
      <c r="G482" s="1241"/>
      <c r="H482" s="1241"/>
      <c r="I482" s="1241"/>
      <c r="J482" s="1241"/>
      <c r="K482" s="1241"/>
      <c r="L482" s="1242"/>
    </row>
    <row r="483" spans="1:12" ht="23.25" x14ac:dyDescent="0.35">
      <c r="A483" s="1243" t="s">
        <v>714</v>
      </c>
      <c r="B483" s="1244"/>
      <c r="C483" s="1244"/>
      <c r="D483" s="1244"/>
      <c r="E483" s="1244"/>
      <c r="F483" s="1244"/>
      <c r="G483" s="1244"/>
      <c r="H483" s="1244"/>
      <c r="I483" s="1244"/>
      <c r="J483" s="1244"/>
      <c r="K483" s="1244"/>
      <c r="L483" s="1245"/>
    </row>
    <row r="484" spans="1:12" ht="23.25" x14ac:dyDescent="0.35">
      <c r="A484" s="619" t="s">
        <v>968</v>
      </c>
      <c r="B484" s="620"/>
      <c r="C484" s="620"/>
      <c r="D484" s="621" t="s">
        <v>716</v>
      </c>
      <c r="E484" s="1241" t="s">
        <v>597</v>
      </c>
      <c r="F484" s="1241"/>
      <c r="G484" s="1241"/>
      <c r="H484" s="1241"/>
      <c r="I484" s="1241"/>
      <c r="J484" s="618" t="s">
        <v>806</v>
      </c>
      <c r="K484" s="1241"/>
      <c r="L484" s="1242"/>
    </row>
    <row r="485" spans="1:12" x14ac:dyDescent="0.25">
      <c r="A485" s="622"/>
      <c r="B485" s="623"/>
      <c r="C485" s="623"/>
      <c r="D485" s="624"/>
      <c r="E485" s="623"/>
      <c r="F485" s="623"/>
      <c r="G485" s="623"/>
      <c r="H485" s="623"/>
      <c r="I485" s="1246"/>
      <c r="J485" s="1246"/>
      <c r="K485" s="623"/>
      <c r="L485" s="625"/>
    </row>
    <row r="486" spans="1:12" ht="15.75" x14ac:dyDescent="0.25">
      <c r="A486" s="626" t="s">
        <v>719</v>
      </c>
      <c r="B486" s="627"/>
      <c r="C486" s="628"/>
      <c r="D486" s="629" t="s">
        <v>720</v>
      </c>
      <c r="E486" s="630" t="s">
        <v>721</v>
      </c>
      <c r="F486" s="631" t="s">
        <v>722</v>
      </c>
      <c r="G486" s="626" t="s">
        <v>719</v>
      </c>
      <c r="H486" s="632"/>
      <c r="I486" s="633"/>
      <c r="J486" s="634" t="s">
        <v>720</v>
      </c>
      <c r="K486" s="626" t="s">
        <v>721</v>
      </c>
      <c r="L486" s="626" t="s">
        <v>722</v>
      </c>
    </row>
    <row r="487" spans="1:12" ht="15.75" x14ac:dyDescent="0.25">
      <c r="A487" s="635"/>
      <c r="B487" s="636"/>
      <c r="C487" s="637"/>
      <c r="D487" s="638"/>
      <c r="E487" s="639"/>
      <c r="F487" s="640"/>
      <c r="G487" s="641"/>
      <c r="H487" s="642"/>
      <c r="I487" s="643"/>
      <c r="J487" s="644"/>
      <c r="K487" s="645"/>
      <c r="L487" s="646"/>
    </row>
    <row r="488" spans="1:12" ht="15.75" x14ac:dyDescent="0.25">
      <c r="A488" s="647"/>
      <c r="B488" s="648" t="s">
        <v>273</v>
      </c>
      <c r="C488" s="649">
        <v>113</v>
      </c>
      <c r="D488" s="650" t="s">
        <v>1017</v>
      </c>
      <c r="E488" s="651"/>
      <c r="F488" s="652"/>
      <c r="G488" s="647"/>
      <c r="H488" s="648"/>
      <c r="I488" s="649"/>
      <c r="J488" s="650"/>
      <c r="K488" s="651"/>
      <c r="L488" s="653"/>
    </row>
    <row r="489" spans="1:12" ht="15.75" x14ac:dyDescent="0.25">
      <c r="A489" s="647" t="s">
        <v>725</v>
      </c>
      <c r="B489" s="654"/>
      <c r="C489" s="649"/>
      <c r="D489" s="650" t="s">
        <v>726</v>
      </c>
      <c r="E489" s="651"/>
      <c r="F489" s="655">
        <v>0.53125</v>
      </c>
      <c r="G489" s="647"/>
      <c r="H489" s="648"/>
      <c r="I489" s="649"/>
      <c r="J489" s="656"/>
      <c r="K489" s="651"/>
      <c r="L489" s="657"/>
    </row>
    <row r="490" spans="1:12" ht="15.75" x14ac:dyDescent="0.25">
      <c r="A490" s="647">
        <v>7</v>
      </c>
      <c r="B490" s="648"/>
      <c r="C490" s="649"/>
      <c r="D490" s="656" t="s">
        <v>728</v>
      </c>
      <c r="E490" s="651"/>
      <c r="F490" s="657">
        <v>0.55555555555555558</v>
      </c>
      <c r="G490" s="647"/>
      <c r="H490" s="648"/>
      <c r="I490" s="649"/>
      <c r="J490" s="650"/>
      <c r="K490" s="651"/>
      <c r="L490" s="653"/>
    </row>
    <row r="491" spans="1:12" ht="15.75" x14ac:dyDescent="0.25">
      <c r="A491" s="647"/>
      <c r="B491" s="648"/>
      <c r="C491" s="649"/>
      <c r="D491" s="650"/>
      <c r="E491" s="651"/>
      <c r="F491" s="653"/>
      <c r="G491" s="647"/>
      <c r="H491" s="648"/>
      <c r="I491" s="649"/>
      <c r="J491" s="659"/>
      <c r="K491" s="651"/>
      <c r="L491" s="660"/>
    </row>
    <row r="492" spans="1:12" ht="15.75" x14ac:dyDescent="0.25">
      <c r="A492" s="647">
        <v>7</v>
      </c>
      <c r="B492" s="648"/>
      <c r="C492" s="649"/>
      <c r="D492" s="659" t="s">
        <v>50</v>
      </c>
      <c r="E492" s="651"/>
      <c r="F492" s="660">
        <v>0.625</v>
      </c>
      <c r="G492" s="647"/>
      <c r="H492" s="648"/>
      <c r="I492" s="649"/>
      <c r="J492" s="650"/>
      <c r="K492" s="662"/>
      <c r="L492" s="664"/>
    </row>
    <row r="493" spans="1:12" ht="15.75" x14ac:dyDescent="0.25">
      <c r="A493" s="647"/>
      <c r="B493" s="648"/>
      <c r="C493" s="649"/>
      <c r="D493" s="661"/>
      <c r="E493" s="651"/>
      <c r="F493" s="653"/>
      <c r="G493" s="647"/>
      <c r="H493" s="648"/>
      <c r="I493" s="649"/>
      <c r="J493" s="656"/>
      <c r="K493" s="651"/>
      <c r="L493" s="657"/>
    </row>
    <row r="494" spans="1:12" ht="15.75" x14ac:dyDescent="0.25">
      <c r="A494" s="647"/>
      <c r="B494" s="648"/>
      <c r="C494" s="649"/>
      <c r="D494" s="656" t="s">
        <v>728</v>
      </c>
      <c r="E494" s="662">
        <v>0.69097222222222221</v>
      </c>
      <c r="F494" s="657"/>
      <c r="G494" s="647"/>
      <c r="H494" s="648"/>
      <c r="I494" s="649"/>
      <c r="J494" s="650"/>
      <c r="K494" s="651"/>
      <c r="L494" s="653"/>
    </row>
    <row r="495" spans="1:12" ht="15.75" x14ac:dyDescent="0.25">
      <c r="A495" s="647"/>
      <c r="B495" s="648" t="s">
        <v>273</v>
      </c>
      <c r="C495" s="649">
        <v>113</v>
      </c>
      <c r="D495" s="650" t="s">
        <v>1018</v>
      </c>
      <c r="E495" s="651"/>
      <c r="F495" s="653"/>
      <c r="G495" s="647"/>
      <c r="H495" s="648"/>
      <c r="I495" s="649"/>
      <c r="J495" s="659"/>
      <c r="K495" s="651"/>
      <c r="L495" s="660"/>
    </row>
    <row r="496" spans="1:12" ht="15.75" x14ac:dyDescent="0.25">
      <c r="A496" s="647"/>
      <c r="B496" s="648"/>
      <c r="C496" s="649"/>
      <c r="D496" s="661"/>
      <c r="E496" s="651"/>
      <c r="F496" s="653"/>
      <c r="G496" s="647"/>
      <c r="H496" s="648"/>
      <c r="I496" s="649"/>
      <c r="J496" s="661"/>
      <c r="K496" s="651"/>
      <c r="L496" s="653"/>
    </row>
    <row r="497" spans="1:12" ht="15.75" x14ac:dyDescent="0.25">
      <c r="A497" s="647"/>
      <c r="B497" s="648" t="s">
        <v>273</v>
      </c>
      <c r="C497" s="649">
        <v>114</v>
      </c>
      <c r="D497" s="650" t="s">
        <v>1019</v>
      </c>
      <c r="E497" s="651"/>
      <c r="F497" s="653"/>
      <c r="G497" s="647"/>
      <c r="H497" s="648"/>
      <c r="I497" s="649"/>
      <c r="J497" s="656"/>
      <c r="K497" s="662"/>
      <c r="L497" s="657"/>
    </row>
    <row r="498" spans="1:12" ht="15.75" x14ac:dyDescent="0.25">
      <c r="A498" s="647">
        <v>7</v>
      </c>
      <c r="B498" s="648"/>
      <c r="C498" s="649"/>
      <c r="D498" s="656" t="s">
        <v>728</v>
      </c>
      <c r="E498" s="651"/>
      <c r="F498" s="657">
        <v>0.69097222222222221</v>
      </c>
      <c r="G498" s="647"/>
      <c r="H498" s="648"/>
      <c r="I498" s="649"/>
      <c r="J498" s="650"/>
      <c r="K498" s="662"/>
      <c r="L498" s="664"/>
    </row>
    <row r="499" spans="1:12" ht="15.75" x14ac:dyDescent="0.25">
      <c r="A499" s="647"/>
      <c r="B499" s="648"/>
      <c r="C499" s="649"/>
      <c r="D499" s="650"/>
      <c r="E499" s="651"/>
      <c r="F499" s="653"/>
      <c r="G499" s="647"/>
      <c r="H499" s="648"/>
      <c r="I499" s="649"/>
      <c r="J499" s="650"/>
      <c r="K499" s="651"/>
      <c r="L499" s="653"/>
    </row>
    <row r="500" spans="1:12" ht="15.75" x14ac:dyDescent="0.25">
      <c r="A500" s="647">
        <v>7</v>
      </c>
      <c r="B500" s="648"/>
      <c r="C500" s="649"/>
      <c r="D500" s="659" t="s">
        <v>50</v>
      </c>
      <c r="E500" s="651"/>
      <c r="F500" s="660">
        <v>0.76388888888888884</v>
      </c>
      <c r="G500" s="647"/>
      <c r="H500" s="648"/>
      <c r="I500" s="649"/>
      <c r="J500" s="663"/>
      <c r="K500" s="662"/>
      <c r="L500" s="658"/>
    </row>
    <row r="501" spans="1:12" ht="15.75" x14ac:dyDescent="0.25">
      <c r="A501" s="647"/>
      <c r="B501" s="648"/>
      <c r="C501" s="649"/>
      <c r="D501" s="661"/>
      <c r="E501" s="651"/>
      <c r="F501" s="653"/>
      <c r="G501" s="647"/>
      <c r="H501" s="648"/>
      <c r="I501" s="649"/>
      <c r="J501" s="663"/>
      <c r="K501" s="651"/>
      <c r="L501" s="653"/>
    </row>
    <row r="502" spans="1:12" ht="15.75" x14ac:dyDescent="0.25">
      <c r="A502" s="647"/>
      <c r="B502" s="648"/>
      <c r="C502" s="649"/>
      <c r="D502" s="656" t="s">
        <v>728</v>
      </c>
      <c r="E502" s="662">
        <v>0.81944444444444442</v>
      </c>
      <c r="F502" s="657"/>
      <c r="G502" s="647"/>
      <c r="H502" s="648"/>
      <c r="I502" s="649"/>
      <c r="J502" s="650"/>
      <c r="K502" s="651"/>
      <c r="L502" s="664"/>
    </row>
    <row r="503" spans="1:12" ht="15.75" x14ac:dyDescent="0.25">
      <c r="A503" s="647"/>
      <c r="B503" s="648" t="s">
        <v>276</v>
      </c>
      <c r="C503" s="649" t="s">
        <v>273</v>
      </c>
      <c r="D503" s="650"/>
      <c r="E503" s="651"/>
      <c r="F503" s="653"/>
      <c r="G503" s="647"/>
      <c r="H503" s="648"/>
      <c r="I503" s="649"/>
      <c r="J503" s="650"/>
      <c r="K503" s="651"/>
      <c r="L503" s="653"/>
    </row>
    <row r="504" spans="1:12" ht="15.75" x14ac:dyDescent="0.25">
      <c r="A504" s="647"/>
      <c r="B504" s="648"/>
      <c r="C504" s="649"/>
      <c r="D504" s="661"/>
      <c r="E504" s="651"/>
      <c r="F504" s="653"/>
      <c r="G504" s="647"/>
      <c r="H504" s="648"/>
      <c r="I504" s="649"/>
      <c r="J504" s="663"/>
      <c r="K504" s="662"/>
      <c r="L504" s="658"/>
    </row>
    <row r="505" spans="1:12" ht="15.75" x14ac:dyDescent="0.25">
      <c r="A505" s="647"/>
      <c r="B505" s="648" t="s">
        <v>273</v>
      </c>
      <c r="C505" s="649">
        <v>123</v>
      </c>
      <c r="D505" s="650" t="s">
        <v>1020</v>
      </c>
      <c r="E505" s="651"/>
      <c r="F505" s="653"/>
      <c r="G505" s="647"/>
      <c r="H505" s="648"/>
      <c r="I505" s="649"/>
      <c r="J505" s="663"/>
      <c r="K505" s="651"/>
      <c r="L505" s="653"/>
    </row>
    <row r="506" spans="1:12" ht="15.75" x14ac:dyDescent="0.25">
      <c r="A506" s="647">
        <v>7</v>
      </c>
      <c r="B506" s="648"/>
      <c r="C506" s="649"/>
      <c r="D506" s="656" t="s">
        <v>728</v>
      </c>
      <c r="E506" s="651"/>
      <c r="F506" s="657">
        <v>0.81944444444444442</v>
      </c>
      <c r="G506" s="647"/>
      <c r="H506" s="648"/>
      <c r="I506" s="649"/>
      <c r="J506" s="663"/>
      <c r="K506" s="662"/>
      <c r="L506" s="658"/>
    </row>
    <row r="507" spans="1:12" ht="15.75" x14ac:dyDescent="0.25">
      <c r="A507" s="647"/>
      <c r="B507" s="648"/>
      <c r="C507" s="649"/>
      <c r="D507" s="650"/>
      <c r="E507" s="651"/>
      <c r="F507" s="653"/>
      <c r="G507" s="647"/>
      <c r="H507" s="648"/>
      <c r="I507" s="649"/>
      <c r="J507" s="663"/>
      <c r="K507" s="651"/>
      <c r="L507" s="653"/>
    </row>
    <row r="508" spans="1:12" ht="15.75" x14ac:dyDescent="0.25">
      <c r="A508" s="647">
        <v>7</v>
      </c>
      <c r="B508" s="648"/>
      <c r="C508" s="649"/>
      <c r="D508" s="659" t="s">
        <v>50</v>
      </c>
      <c r="E508" s="651"/>
      <c r="F508" s="660">
        <v>0.875</v>
      </c>
      <c r="G508" s="647"/>
      <c r="H508" s="648"/>
      <c r="I508" s="649"/>
      <c r="J508" s="650"/>
      <c r="K508" s="651"/>
      <c r="L508" s="664"/>
    </row>
    <row r="509" spans="1:12" ht="15.75" x14ac:dyDescent="0.25">
      <c r="A509" s="647"/>
      <c r="B509" s="648"/>
      <c r="C509" s="649"/>
      <c r="D509" s="650"/>
      <c r="E509" s="662"/>
      <c r="F509" s="664"/>
      <c r="G509" s="647"/>
      <c r="H509" s="648"/>
      <c r="I509" s="649"/>
      <c r="J509" s="650"/>
      <c r="K509" s="651"/>
      <c r="L509" s="653"/>
    </row>
    <row r="510" spans="1:12" ht="15.75" x14ac:dyDescent="0.25">
      <c r="A510" s="647">
        <v>7</v>
      </c>
      <c r="B510" s="648"/>
      <c r="C510" s="649"/>
      <c r="D510" s="656" t="s">
        <v>728</v>
      </c>
      <c r="E510" s="651"/>
      <c r="F510" s="657">
        <v>0.91666666666666663</v>
      </c>
      <c r="G510" s="647"/>
      <c r="H510" s="648"/>
      <c r="I510" s="649"/>
      <c r="J510" s="617"/>
      <c r="K510" s="651"/>
      <c r="L510" s="658"/>
    </row>
    <row r="511" spans="1:12" ht="15.75" x14ac:dyDescent="0.25">
      <c r="A511" s="647"/>
      <c r="B511" s="648"/>
      <c r="C511" s="649"/>
      <c r="D511" s="650"/>
      <c r="E511" s="651"/>
      <c r="F511" s="653"/>
      <c r="G511" s="647"/>
      <c r="H511" s="648"/>
      <c r="I511" s="649"/>
      <c r="J511" s="661"/>
      <c r="K511" s="651"/>
      <c r="L511" s="653"/>
    </row>
    <row r="512" spans="1:12" ht="15.75" x14ac:dyDescent="0.25">
      <c r="A512" s="647" t="s">
        <v>725</v>
      </c>
      <c r="B512" s="648"/>
      <c r="C512" s="649"/>
      <c r="D512" s="659" t="s">
        <v>50</v>
      </c>
      <c r="E512" s="662">
        <v>0.96527777777777779</v>
      </c>
      <c r="F512" s="660"/>
      <c r="G512" s="647"/>
      <c r="H512" s="648"/>
      <c r="I512" s="649"/>
      <c r="J512" s="650"/>
      <c r="K512" s="662"/>
      <c r="L512" s="664"/>
    </row>
    <row r="513" spans="1:12" ht="15.75" x14ac:dyDescent="0.25">
      <c r="A513" s="647"/>
      <c r="B513" s="648"/>
      <c r="C513" s="649"/>
      <c r="D513" s="650" t="s">
        <v>733</v>
      </c>
      <c r="E513" s="662">
        <v>0.98611111111111116</v>
      </c>
      <c r="F513" s="664"/>
      <c r="G513" s="647"/>
      <c r="H513" s="648"/>
      <c r="I513" s="649"/>
      <c r="J513" s="650"/>
      <c r="K513" s="651"/>
      <c r="L513" s="653"/>
    </row>
    <row r="514" spans="1:12" ht="15.75" x14ac:dyDescent="0.25">
      <c r="A514" s="647"/>
      <c r="B514" s="648" t="s">
        <v>276</v>
      </c>
      <c r="C514" s="649" t="s">
        <v>273</v>
      </c>
      <c r="D514" s="650"/>
      <c r="E514" s="651"/>
      <c r="F514" s="653"/>
      <c r="G514" s="647"/>
      <c r="H514" s="648"/>
      <c r="I514" s="649"/>
      <c r="J514" s="650"/>
      <c r="K514" s="662"/>
      <c r="L514" s="658"/>
    </row>
    <row r="515" spans="1:12" ht="15.75" x14ac:dyDescent="0.25">
      <c r="A515" s="647"/>
      <c r="B515" s="648"/>
      <c r="C515" s="649"/>
      <c r="D515" s="661"/>
      <c r="E515" s="651"/>
      <c r="F515" s="653"/>
      <c r="G515" s="647"/>
      <c r="H515" s="648"/>
      <c r="I515" s="649"/>
      <c r="J515" s="661"/>
      <c r="K515" s="651"/>
      <c r="L515" s="653"/>
    </row>
    <row r="516" spans="1:12" ht="15.75" x14ac:dyDescent="0.25">
      <c r="A516" s="647"/>
      <c r="B516" s="648"/>
      <c r="C516" s="649"/>
      <c r="D516" s="650"/>
      <c r="E516" s="651"/>
      <c r="F516" s="653"/>
      <c r="G516" s="647"/>
      <c r="H516" s="648"/>
      <c r="I516" s="649"/>
      <c r="J516" s="650"/>
      <c r="K516" s="662"/>
      <c r="L516" s="664"/>
    </row>
    <row r="517" spans="1:12" ht="15.75" x14ac:dyDescent="0.25">
      <c r="A517" s="647"/>
      <c r="B517" s="648"/>
      <c r="C517" s="649"/>
      <c r="D517" s="661"/>
      <c r="E517" s="651"/>
      <c r="F517" s="653"/>
      <c r="G517" s="647"/>
      <c r="H517" s="648"/>
      <c r="I517" s="649"/>
      <c r="J517" s="661"/>
      <c r="K517" s="651"/>
      <c r="L517" s="653"/>
    </row>
    <row r="518" spans="1:12" ht="15.75" x14ac:dyDescent="0.25">
      <c r="A518" s="647"/>
      <c r="B518" s="648"/>
      <c r="C518" s="649"/>
      <c r="D518" s="650"/>
      <c r="E518" s="651"/>
      <c r="F518" s="653"/>
      <c r="G518" s="647"/>
      <c r="H518" s="648"/>
      <c r="I518" s="649"/>
      <c r="J518" s="650"/>
      <c r="K518" s="651"/>
      <c r="L518" s="653"/>
    </row>
    <row r="519" spans="1:12" ht="15.75" x14ac:dyDescent="0.25">
      <c r="A519" s="647"/>
      <c r="B519" s="648"/>
      <c r="C519" s="665"/>
      <c r="D519" s="661"/>
      <c r="E519" s="651"/>
      <c r="F519" s="653"/>
      <c r="G519" s="666"/>
      <c r="H519" s="648"/>
      <c r="I519" s="665"/>
      <c r="J519" s="650"/>
      <c r="K519" s="651"/>
      <c r="L519" s="653"/>
    </row>
    <row r="520" spans="1:12" ht="15.75" x14ac:dyDescent="0.25">
      <c r="A520" s="667"/>
      <c r="B520" s="668"/>
      <c r="C520" s="669"/>
      <c r="D520" s="670"/>
      <c r="E520" s="671"/>
      <c r="F520" s="672"/>
      <c r="G520" s="673"/>
      <c r="H520" s="674"/>
      <c r="I520" s="675"/>
      <c r="J520" s="676"/>
      <c r="K520" s="671"/>
      <c r="L520" s="677"/>
    </row>
    <row r="521" spans="1:12" ht="23.25" x14ac:dyDescent="0.35">
      <c r="A521" s="1237" t="s">
        <v>712</v>
      </c>
      <c r="B521" s="1238"/>
      <c r="C521" s="1238"/>
      <c r="D521" s="1238"/>
      <c r="E521" s="1238"/>
      <c r="F521" s="1238"/>
      <c r="G521" s="1238"/>
      <c r="H521" s="1238"/>
      <c r="I521" s="1238"/>
      <c r="J521" s="1238"/>
      <c r="K521" s="1238"/>
      <c r="L521" s="1239"/>
    </row>
    <row r="522" spans="1:12" ht="23.25" x14ac:dyDescent="0.35">
      <c r="A522" s="1240" t="s">
        <v>713</v>
      </c>
      <c r="B522" s="1241"/>
      <c r="C522" s="1241"/>
      <c r="D522" s="1241"/>
      <c r="E522" s="1241"/>
      <c r="F522" s="1241"/>
      <c r="G522" s="1241"/>
      <c r="H522" s="1241"/>
      <c r="I522" s="1241"/>
      <c r="J522" s="1241"/>
      <c r="K522" s="1241"/>
      <c r="L522" s="1242"/>
    </row>
    <row r="523" spans="1:12" ht="23.25" x14ac:dyDescent="0.35">
      <c r="A523" s="1243" t="s">
        <v>714</v>
      </c>
      <c r="B523" s="1244"/>
      <c r="C523" s="1244"/>
      <c r="D523" s="1244"/>
      <c r="E523" s="1244"/>
      <c r="F523" s="1244"/>
      <c r="G523" s="1244"/>
      <c r="H523" s="1244"/>
      <c r="I523" s="1244"/>
      <c r="J523" s="1244"/>
      <c r="K523" s="1244"/>
      <c r="L523" s="1245"/>
    </row>
    <row r="524" spans="1:12" ht="23.25" x14ac:dyDescent="0.35">
      <c r="A524" s="619" t="s">
        <v>227</v>
      </c>
      <c r="B524" s="620"/>
      <c r="C524" s="620"/>
      <c r="D524" s="621" t="s">
        <v>716</v>
      </c>
      <c r="E524" s="1241" t="s">
        <v>597</v>
      </c>
      <c r="F524" s="1241"/>
      <c r="G524" s="1241"/>
      <c r="H524" s="1241"/>
      <c r="I524" s="1241"/>
      <c r="J524" s="618" t="s">
        <v>718</v>
      </c>
      <c r="K524" s="1241"/>
      <c r="L524" s="1242"/>
    </row>
    <row r="525" spans="1:12" x14ac:dyDescent="0.25">
      <c r="A525" s="622"/>
      <c r="B525" s="623"/>
      <c r="C525" s="623"/>
      <c r="D525" s="624"/>
      <c r="E525" s="623"/>
      <c r="F525" s="623"/>
      <c r="G525" s="623"/>
      <c r="H525" s="623"/>
      <c r="I525" s="1246"/>
      <c r="J525" s="1246"/>
      <c r="K525" s="623"/>
      <c r="L525" s="625"/>
    </row>
    <row r="526" spans="1:12" ht="15.75" x14ac:dyDescent="0.25">
      <c r="A526" s="626" t="s">
        <v>719</v>
      </c>
      <c r="B526" s="627"/>
      <c r="C526" s="628"/>
      <c r="D526" s="629" t="s">
        <v>720</v>
      </c>
      <c r="E526" s="630" t="s">
        <v>721</v>
      </c>
      <c r="F526" s="631" t="s">
        <v>722</v>
      </c>
      <c r="G526" s="626" t="s">
        <v>719</v>
      </c>
      <c r="H526" s="632"/>
      <c r="I526" s="633"/>
      <c r="J526" s="634" t="s">
        <v>720</v>
      </c>
      <c r="K526" s="626" t="s">
        <v>721</v>
      </c>
      <c r="L526" s="626" t="s">
        <v>722</v>
      </c>
    </row>
    <row r="527" spans="1:12" ht="15.75" x14ac:dyDescent="0.25">
      <c r="A527" s="635"/>
      <c r="B527" s="636"/>
      <c r="C527" s="637"/>
      <c r="D527" s="638"/>
      <c r="E527" s="639"/>
      <c r="F527" s="640"/>
      <c r="G527" s="641"/>
      <c r="H527" s="642"/>
      <c r="I527" s="643"/>
      <c r="J527" s="644"/>
      <c r="K527" s="645"/>
      <c r="L527" s="646"/>
    </row>
    <row r="528" spans="1:12" ht="15.75" x14ac:dyDescent="0.25">
      <c r="A528" s="647"/>
      <c r="B528" s="648" t="s">
        <v>273</v>
      </c>
      <c r="C528" s="649">
        <v>108</v>
      </c>
      <c r="D528" s="650" t="s">
        <v>1021</v>
      </c>
      <c r="E528" s="651"/>
      <c r="F528" s="652"/>
      <c r="G528" s="647"/>
      <c r="H528" s="648" t="s">
        <v>273</v>
      </c>
      <c r="I528" s="649">
        <v>116</v>
      </c>
      <c r="J528" s="650" t="s">
        <v>807</v>
      </c>
      <c r="K528" s="651"/>
      <c r="L528" s="653"/>
    </row>
    <row r="529" spans="1:12" ht="15.75" x14ac:dyDescent="0.25">
      <c r="A529" s="647" t="s">
        <v>725</v>
      </c>
      <c r="B529" s="654"/>
      <c r="C529" s="649"/>
      <c r="D529" s="650" t="s">
        <v>726</v>
      </c>
      <c r="E529" s="651"/>
      <c r="F529" s="655">
        <v>0.35069444444444442</v>
      </c>
      <c r="G529" s="647">
        <v>47</v>
      </c>
      <c r="H529" s="648"/>
      <c r="I529" s="649"/>
      <c r="J529" s="656" t="s">
        <v>860</v>
      </c>
      <c r="K529" s="651"/>
      <c r="L529" s="657">
        <v>0.8125</v>
      </c>
    </row>
    <row r="530" spans="1:12" ht="15.75" x14ac:dyDescent="0.25">
      <c r="A530" s="647">
        <v>47</v>
      </c>
      <c r="B530" s="648"/>
      <c r="C530" s="649"/>
      <c r="D530" s="617" t="s">
        <v>236</v>
      </c>
      <c r="E530" s="651"/>
      <c r="F530" s="658">
        <v>0.375</v>
      </c>
      <c r="G530" s="647"/>
      <c r="H530" s="648"/>
      <c r="I530" s="649"/>
      <c r="J530" s="650"/>
      <c r="K530" s="651"/>
      <c r="L530" s="653"/>
    </row>
    <row r="531" spans="1:12" ht="15.75" x14ac:dyDescent="0.25">
      <c r="A531" s="647"/>
      <c r="B531" s="648"/>
      <c r="C531" s="649"/>
      <c r="D531" s="650"/>
      <c r="E531" s="651"/>
      <c r="F531" s="653"/>
      <c r="G531" s="647" t="s">
        <v>725</v>
      </c>
      <c r="H531" s="648"/>
      <c r="I531" s="649"/>
      <c r="J531" s="617" t="s">
        <v>236</v>
      </c>
      <c r="K531" s="662">
        <v>0.85763888888888884</v>
      </c>
      <c r="L531" s="658"/>
    </row>
    <row r="532" spans="1:12" ht="15.75" x14ac:dyDescent="0.25">
      <c r="A532" s="647">
        <v>47</v>
      </c>
      <c r="B532" s="648"/>
      <c r="C532" s="649"/>
      <c r="D532" s="656" t="s">
        <v>860</v>
      </c>
      <c r="E532" s="651"/>
      <c r="F532" s="657">
        <v>0.4375</v>
      </c>
      <c r="G532" s="647"/>
      <c r="H532" s="648"/>
      <c r="I532" s="649"/>
      <c r="J532" s="650" t="s">
        <v>733</v>
      </c>
      <c r="K532" s="662">
        <v>0.87847222222222221</v>
      </c>
      <c r="L532" s="664"/>
    </row>
    <row r="533" spans="1:12" ht="15.75" x14ac:dyDescent="0.25">
      <c r="A533" s="647"/>
      <c r="B533" s="648"/>
      <c r="C533" s="649"/>
      <c r="D533" s="650"/>
      <c r="E533" s="651"/>
      <c r="F533" s="653"/>
      <c r="G533" s="647"/>
      <c r="H533" s="648" t="s">
        <v>276</v>
      </c>
      <c r="I533" s="649" t="s">
        <v>273</v>
      </c>
      <c r="J533" s="650"/>
      <c r="K533" s="651"/>
      <c r="L533" s="653"/>
    </row>
    <row r="534" spans="1:12" ht="15.75" x14ac:dyDescent="0.25">
      <c r="A534" s="647">
        <v>47</v>
      </c>
      <c r="B534" s="648"/>
      <c r="C534" s="649"/>
      <c r="D534" s="617" t="s">
        <v>236</v>
      </c>
      <c r="E534" s="651"/>
      <c r="F534" s="658">
        <v>0.5</v>
      </c>
      <c r="G534" s="647"/>
      <c r="H534" s="648"/>
      <c r="I534" s="649"/>
      <c r="J534" s="663"/>
      <c r="K534" s="662"/>
      <c r="L534" s="658"/>
    </row>
    <row r="535" spans="1:12" ht="15.75" x14ac:dyDescent="0.25">
      <c r="A535" s="647"/>
      <c r="B535" s="648"/>
      <c r="C535" s="649"/>
      <c r="D535" s="661"/>
      <c r="E535" s="651"/>
      <c r="F535" s="653"/>
      <c r="G535" s="647"/>
      <c r="H535" s="648"/>
      <c r="I535" s="649"/>
      <c r="J535" s="663"/>
      <c r="K535" s="651"/>
      <c r="L535" s="653"/>
    </row>
    <row r="536" spans="1:12" ht="15.75" x14ac:dyDescent="0.25">
      <c r="A536" s="647"/>
      <c r="B536" s="648"/>
      <c r="C536" s="649"/>
      <c r="D536" s="656" t="s">
        <v>860</v>
      </c>
      <c r="E536" s="662">
        <v>0.5625</v>
      </c>
      <c r="F536" s="657"/>
      <c r="G536" s="647"/>
      <c r="H536" s="648"/>
      <c r="I536" s="649"/>
      <c r="J536" s="650"/>
      <c r="K536" s="651"/>
      <c r="L536" s="664"/>
    </row>
    <row r="537" spans="1:12" ht="15.75" x14ac:dyDescent="0.25">
      <c r="A537" s="647"/>
      <c r="B537" s="648" t="s">
        <v>276</v>
      </c>
      <c r="C537" s="649" t="s">
        <v>273</v>
      </c>
      <c r="D537" s="650"/>
      <c r="E537" s="651"/>
      <c r="F537" s="653"/>
      <c r="G537" s="647"/>
      <c r="H537" s="648"/>
      <c r="I537" s="649"/>
      <c r="J537" s="617"/>
      <c r="K537" s="651"/>
      <c r="L537" s="653"/>
    </row>
    <row r="538" spans="1:12" ht="15.75" x14ac:dyDescent="0.25">
      <c r="A538" s="647"/>
      <c r="B538" s="648"/>
      <c r="C538" s="649"/>
      <c r="D538" s="661"/>
      <c r="E538" s="651"/>
      <c r="F538" s="653"/>
      <c r="G538" s="647"/>
      <c r="H538" s="648"/>
      <c r="I538" s="649"/>
      <c r="J538" s="661"/>
      <c r="K538" s="651"/>
      <c r="L538" s="658"/>
    </row>
    <row r="539" spans="1:12" ht="15.75" x14ac:dyDescent="0.25">
      <c r="A539" s="647"/>
      <c r="B539" s="648" t="s">
        <v>273</v>
      </c>
      <c r="C539" s="649">
        <v>155</v>
      </c>
      <c r="D539" s="650" t="s">
        <v>821</v>
      </c>
      <c r="E539" s="651"/>
      <c r="F539" s="653"/>
      <c r="G539" s="647"/>
      <c r="H539" s="648"/>
      <c r="I539" s="649"/>
      <c r="J539" s="617"/>
      <c r="K539" s="651"/>
      <c r="L539" s="653"/>
    </row>
    <row r="540" spans="1:12" ht="15.75" x14ac:dyDescent="0.25">
      <c r="A540" s="647">
        <v>47</v>
      </c>
      <c r="B540" s="648"/>
      <c r="C540" s="649"/>
      <c r="D540" s="656" t="s">
        <v>860</v>
      </c>
      <c r="E540" s="651"/>
      <c r="F540" s="657">
        <v>0.5625</v>
      </c>
      <c r="G540" s="647"/>
      <c r="H540" s="648"/>
      <c r="I540" s="649"/>
      <c r="J540" s="661"/>
      <c r="K540" s="651"/>
      <c r="L540" s="658"/>
    </row>
    <row r="541" spans="1:12" ht="15.75" x14ac:dyDescent="0.25">
      <c r="A541" s="647"/>
      <c r="B541" s="648"/>
      <c r="C541" s="649"/>
      <c r="D541" s="650"/>
      <c r="E541" s="651"/>
      <c r="F541" s="653"/>
      <c r="G541" s="647"/>
      <c r="H541" s="648"/>
      <c r="I541" s="649"/>
      <c r="J541" s="617"/>
      <c r="K541" s="651"/>
      <c r="L541" s="653"/>
    </row>
    <row r="542" spans="1:12" ht="15.75" x14ac:dyDescent="0.25">
      <c r="A542" s="647">
        <v>47</v>
      </c>
      <c r="B542" s="648"/>
      <c r="C542" s="649"/>
      <c r="D542" s="617" t="s">
        <v>236</v>
      </c>
      <c r="E542" s="651"/>
      <c r="F542" s="658">
        <v>0.625</v>
      </c>
      <c r="G542" s="647"/>
      <c r="H542" s="648"/>
      <c r="I542" s="649"/>
      <c r="J542" s="661"/>
      <c r="K542" s="651"/>
      <c r="L542" s="658"/>
    </row>
    <row r="543" spans="1:12" ht="15.75" x14ac:dyDescent="0.25">
      <c r="A543" s="647"/>
      <c r="B543" s="648"/>
      <c r="C543" s="649"/>
      <c r="D543" s="661"/>
      <c r="E543" s="651"/>
      <c r="F543" s="653"/>
      <c r="G543" s="647"/>
      <c r="H543" s="648"/>
      <c r="I543" s="649"/>
      <c r="J543" s="661"/>
      <c r="K543" s="651"/>
      <c r="L543" s="653"/>
    </row>
    <row r="544" spans="1:12" ht="15.75" x14ac:dyDescent="0.25">
      <c r="A544" s="647"/>
      <c r="B544" s="648"/>
      <c r="C544" s="649"/>
      <c r="D544" s="656" t="s">
        <v>860</v>
      </c>
      <c r="E544" s="662">
        <v>0.6875</v>
      </c>
      <c r="F544" s="657"/>
      <c r="G544" s="647"/>
      <c r="H544" s="648"/>
      <c r="I544" s="649"/>
      <c r="J544" s="663"/>
      <c r="K544" s="662"/>
      <c r="L544" s="658"/>
    </row>
    <row r="545" spans="1:12" ht="15.75" x14ac:dyDescent="0.25">
      <c r="A545" s="647"/>
      <c r="B545" s="648" t="s">
        <v>276</v>
      </c>
      <c r="C545" s="649" t="s">
        <v>273</v>
      </c>
      <c r="D545" s="650"/>
      <c r="E545" s="651"/>
      <c r="F545" s="653"/>
      <c r="G545" s="647"/>
      <c r="H545" s="648"/>
      <c r="I545" s="649"/>
      <c r="J545" s="663"/>
      <c r="K545" s="651"/>
      <c r="L545" s="653"/>
    </row>
    <row r="546" spans="1:12" ht="15.75" x14ac:dyDescent="0.25">
      <c r="A546" s="647"/>
      <c r="B546" s="648"/>
      <c r="C546" s="649"/>
      <c r="D546" s="650"/>
      <c r="E546" s="651"/>
      <c r="F546" s="653"/>
      <c r="G546" s="647"/>
      <c r="H546" s="648"/>
      <c r="I546" s="649"/>
      <c r="J546" s="650"/>
      <c r="K546" s="651"/>
      <c r="L546" s="664"/>
    </row>
    <row r="547" spans="1:12" ht="15.75" x14ac:dyDescent="0.25">
      <c r="A547" s="647"/>
      <c r="B547" s="648" t="s">
        <v>273</v>
      </c>
      <c r="C547" s="649">
        <v>121</v>
      </c>
      <c r="D547" s="650" t="s">
        <v>776</v>
      </c>
      <c r="E547" s="651"/>
      <c r="F547" s="653"/>
      <c r="G547" s="647"/>
      <c r="H547" s="648"/>
      <c r="I547" s="649"/>
      <c r="J547" s="617"/>
      <c r="K547" s="651"/>
      <c r="L547" s="653"/>
    </row>
    <row r="548" spans="1:12" ht="15.75" x14ac:dyDescent="0.25">
      <c r="A548" s="647">
        <v>47</v>
      </c>
      <c r="B548" s="648"/>
      <c r="C548" s="649"/>
      <c r="D548" s="656" t="s">
        <v>860</v>
      </c>
      <c r="E548" s="651"/>
      <c r="F548" s="657">
        <v>0.6875</v>
      </c>
      <c r="G548" s="647"/>
      <c r="H548" s="648"/>
      <c r="I548" s="649"/>
      <c r="J548" s="661"/>
      <c r="K548" s="651"/>
      <c r="L548" s="658"/>
    </row>
    <row r="549" spans="1:12" ht="15.75" x14ac:dyDescent="0.25">
      <c r="A549" s="647"/>
      <c r="B549" s="648"/>
      <c r="C549" s="649"/>
      <c r="D549" s="650"/>
      <c r="E549" s="651"/>
      <c r="F549" s="653"/>
      <c r="G549" s="647"/>
      <c r="H549" s="648"/>
      <c r="I549" s="649"/>
      <c r="J549" s="617"/>
      <c r="K549" s="651"/>
      <c r="L549" s="653"/>
    </row>
    <row r="550" spans="1:12" ht="15.75" x14ac:dyDescent="0.25">
      <c r="A550" s="647">
        <v>47</v>
      </c>
      <c r="B550" s="648"/>
      <c r="C550" s="649"/>
      <c r="D550" s="617" t="s">
        <v>236</v>
      </c>
      <c r="E550" s="651"/>
      <c r="F550" s="658">
        <v>0.75</v>
      </c>
      <c r="G550" s="647"/>
      <c r="H550" s="648"/>
      <c r="I550" s="649"/>
      <c r="J550" s="661"/>
      <c r="K550" s="651"/>
      <c r="L550" s="658"/>
    </row>
    <row r="551" spans="1:12" ht="15.75" x14ac:dyDescent="0.25">
      <c r="A551" s="647"/>
      <c r="B551" s="648"/>
      <c r="C551" s="649"/>
      <c r="D551" s="661"/>
      <c r="E551" s="651"/>
      <c r="F551" s="653"/>
      <c r="G551" s="647"/>
      <c r="H551" s="648"/>
      <c r="I551" s="649"/>
      <c r="J551" s="661"/>
      <c r="K551" s="651"/>
      <c r="L551" s="653"/>
    </row>
    <row r="552" spans="1:12" ht="15.75" x14ac:dyDescent="0.25">
      <c r="A552" s="647"/>
      <c r="B552" s="648"/>
      <c r="C552" s="649"/>
      <c r="D552" s="656" t="s">
        <v>860</v>
      </c>
      <c r="E552" s="662">
        <v>0.8125</v>
      </c>
      <c r="F552" s="657"/>
      <c r="G552" s="647"/>
      <c r="H552" s="648"/>
      <c r="I552" s="649"/>
      <c r="J552" s="650"/>
      <c r="K552" s="662"/>
      <c r="L552" s="664"/>
    </row>
    <row r="553" spans="1:12" ht="15.75" x14ac:dyDescent="0.25">
      <c r="A553" s="647"/>
      <c r="B553" s="648" t="s">
        <v>273</v>
      </c>
      <c r="C553" s="649">
        <v>121</v>
      </c>
      <c r="D553" s="650" t="s">
        <v>814</v>
      </c>
      <c r="E553" s="651"/>
      <c r="F553" s="653"/>
      <c r="G553" s="647"/>
      <c r="H553" s="648"/>
      <c r="I553" s="649"/>
      <c r="J553" s="650"/>
      <c r="K553" s="651"/>
      <c r="L553" s="653"/>
    </row>
    <row r="554" spans="1:12" ht="15.75" x14ac:dyDescent="0.25">
      <c r="A554" s="647"/>
      <c r="B554" s="648"/>
      <c r="C554" s="649"/>
      <c r="D554" s="650"/>
      <c r="E554" s="651"/>
      <c r="F554" s="653"/>
      <c r="G554" s="647"/>
      <c r="H554" s="648"/>
      <c r="I554" s="649"/>
      <c r="J554" s="650"/>
      <c r="K554" s="662"/>
      <c r="L554" s="658"/>
    </row>
    <row r="555" spans="1:12" ht="15.75" x14ac:dyDescent="0.25">
      <c r="A555" s="647"/>
      <c r="B555" s="648"/>
      <c r="C555" s="649"/>
      <c r="D555" s="650"/>
      <c r="E555" s="651"/>
      <c r="F555" s="653"/>
      <c r="G555" s="647"/>
      <c r="H555" s="648"/>
      <c r="I555" s="649"/>
      <c r="J555" s="661"/>
      <c r="K555" s="651"/>
      <c r="L555" s="653"/>
    </row>
    <row r="556" spans="1:12" ht="15.75" x14ac:dyDescent="0.25">
      <c r="A556" s="647"/>
      <c r="B556" s="648"/>
      <c r="C556" s="649"/>
      <c r="D556" s="617"/>
      <c r="E556" s="651"/>
      <c r="F556" s="658"/>
      <c r="G556" s="647"/>
      <c r="H556" s="648"/>
      <c r="I556" s="649"/>
      <c r="J556" s="650"/>
      <c r="K556" s="662"/>
      <c r="L556" s="664"/>
    </row>
    <row r="557" spans="1:12" ht="15.75" x14ac:dyDescent="0.25">
      <c r="A557" s="647"/>
      <c r="B557" s="648"/>
      <c r="C557" s="649"/>
      <c r="D557" s="661"/>
      <c r="E557" s="651"/>
      <c r="F557" s="653"/>
      <c r="G557" s="647"/>
      <c r="H557" s="648"/>
      <c r="I557" s="649"/>
      <c r="J557" s="661"/>
      <c r="K557" s="651"/>
      <c r="L557" s="653"/>
    </row>
    <row r="558" spans="1:12" ht="15.75" x14ac:dyDescent="0.25">
      <c r="A558" s="647"/>
      <c r="B558" s="648"/>
      <c r="C558" s="649"/>
      <c r="D558" s="656"/>
      <c r="E558" s="662"/>
      <c r="F558" s="657"/>
      <c r="G558" s="647"/>
      <c r="H558" s="648"/>
      <c r="I558" s="649"/>
      <c r="J558" s="650"/>
      <c r="K558" s="651"/>
      <c r="L558" s="653"/>
    </row>
    <row r="559" spans="1:12" ht="15.75" x14ac:dyDescent="0.25">
      <c r="A559" s="647"/>
      <c r="B559" s="648"/>
      <c r="C559" s="649"/>
      <c r="D559" s="650"/>
      <c r="E559" s="651"/>
      <c r="F559" s="653"/>
      <c r="G559" s="666"/>
      <c r="H559" s="648"/>
      <c r="I559" s="665"/>
      <c r="J559" s="650"/>
      <c r="K559" s="651"/>
      <c r="L559" s="653"/>
    </row>
    <row r="560" spans="1:12" ht="15.75" x14ac:dyDescent="0.25">
      <c r="A560" s="667"/>
      <c r="B560" s="668"/>
      <c r="C560" s="669"/>
      <c r="D560" s="670"/>
      <c r="E560" s="671"/>
      <c r="F560" s="672"/>
      <c r="G560" s="673"/>
      <c r="H560" s="674"/>
      <c r="I560" s="675"/>
      <c r="J560" s="676"/>
      <c r="K560" s="671"/>
      <c r="L560" s="677"/>
    </row>
    <row r="561" spans="1:12" ht="23.25" x14ac:dyDescent="0.35">
      <c r="A561" s="1237" t="s">
        <v>712</v>
      </c>
      <c r="B561" s="1238"/>
      <c r="C561" s="1238"/>
      <c r="D561" s="1238"/>
      <c r="E561" s="1238"/>
      <c r="F561" s="1238"/>
      <c r="G561" s="1238"/>
      <c r="H561" s="1238"/>
      <c r="I561" s="1238"/>
      <c r="J561" s="1238"/>
      <c r="K561" s="1238"/>
      <c r="L561" s="1239"/>
    </row>
    <row r="562" spans="1:12" ht="23.25" x14ac:dyDescent="0.35">
      <c r="A562" s="1240" t="s">
        <v>713</v>
      </c>
      <c r="B562" s="1241"/>
      <c r="C562" s="1241"/>
      <c r="D562" s="1241"/>
      <c r="E562" s="1241"/>
      <c r="F562" s="1241"/>
      <c r="G562" s="1241"/>
      <c r="H562" s="1241"/>
      <c r="I562" s="1241"/>
      <c r="J562" s="1241"/>
      <c r="K562" s="1241"/>
      <c r="L562" s="1242"/>
    </row>
    <row r="563" spans="1:12" ht="23.25" x14ac:dyDescent="0.35">
      <c r="A563" s="1243" t="s">
        <v>714</v>
      </c>
      <c r="B563" s="1244"/>
      <c r="C563" s="1244"/>
      <c r="D563" s="1244"/>
      <c r="E563" s="1244"/>
      <c r="F563" s="1244"/>
      <c r="G563" s="1244"/>
      <c r="H563" s="1244"/>
      <c r="I563" s="1244"/>
      <c r="J563" s="1244"/>
      <c r="K563" s="1244"/>
      <c r="L563" s="1245"/>
    </row>
    <row r="564" spans="1:12" ht="23.25" x14ac:dyDescent="0.35">
      <c r="A564" s="619" t="s">
        <v>227</v>
      </c>
      <c r="B564" s="620"/>
      <c r="C564" s="620"/>
      <c r="D564" s="621" t="s">
        <v>716</v>
      </c>
      <c r="E564" s="1241" t="s">
        <v>597</v>
      </c>
      <c r="F564" s="1241"/>
      <c r="G564" s="1241"/>
      <c r="H564" s="1241"/>
      <c r="I564" s="1241"/>
      <c r="J564" s="618" t="s">
        <v>735</v>
      </c>
      <c r="K564" s="1241"/>
      <c r="L564" s="1242"/>
    </row>
    <row r="565" spans="1:12" x14ac:dyDescent="0.25">
      <c r="A565" s="622"/>
      <c r="B565" s="623"/>
      <c r="C565" s="623"/>
      <c r="D565" s="624"/>
      <c r="E565" s="623"/>
      <c r="F565" s="623"/>
      <c r="G565" s="623"/>
      <c r="H565" s="623"/>
      <c r="I565" s="1246"/>
      <c r="J565" s="1246"/>
      <c r="K565" s="623"/>
      <c r="L565" s="625"/>
    </row>
    <row r="566" spans="1:12" ht="15.75" x14ac:dyDescent="0.25">
      <c r="A566" s="626" t="s">
        <v>719</v>
      </c>
      <c r="B566" s="627"/>
      <c r="C566" s="628"/>
      <c r="D566" s="629" t="s">
        <v>720</v>
      </c>
      <c r="E566" s="630" t="s">
        <v>721</v>
      </c>
      <c r="F566" s="631" t="s">
        <v>722</v>
      </c>
      <c r="G566" s="626" t="s">
        <v>719</v>
      </c>
      <c r="H566" s="632"/>
      <c r="I566" s="633"/>
      <c r="J566" s="634" t="s">
        <v>720</v>
      </c>
      <c r="K566" s="626" t="s">
        <v>721</v>
      </c>
      <c r="L566" s="626" t="s">
        <v>722</v>
      </c>
    </row>
    <row r="567" spans="1:12" ht="15.75" x14ac:dyDescent="0.25">
      <c r="A567" s="635"/>
      <c r="B567" s="636"/>
      <c r="C567" s="637"/>
      <c r="D567" s="638"/>
      <c r="E567" s="639"/>
      <c r="F567" s="640"/>
      <c r="G567" s="641"/>
      <c r="H567" s="642"/>
      <c r="I567" s="643"/>
      <c r="J567" s="644"/>
      <c r="K567" s="645"/>
      <c r="L567" s="646"/>
    </row>
    <row r="568" spans="1:12" ht="15.75" x14ac:dyDescent="0.25">
      <c r="A568" s="647"/>
      <c r="B568" s="648" t="s">
        <v>273</v>
      </c>
      <c r="C568" s="649">
        <v>110</v>
      </c>
      <c r="D568" s="650" t="s">
        <v>1022</v>
      </c>
      <c r="E568" s="651"/>
      <c r="F568" s="652"/>
      <c r="G568" s="647"/>
      <c r="H568" s="648" t="s">
        <v>273</v>
      </c>
      <c r="I568" s="649">
        <v>124</v>
      </c>
      <c r="J568" s="650" t="s">
        <v>781</v>
      </c>
      <c r="K568" s="651"/>
      <c r="L568" s="653"/>
    </row>
    <row r="569" spans="1:12" ht="15.75" x14ac:dyDescent="0.25">
      <c r="A569" s="647" t="s">
        <v>725</v>
      </c>
      <c r="B569" s="654"/>
      <c r="C569" s="649"/>
      <c r="D569" s="650" t="s">
        <v>726</v>
      </c>
      <c r="E569" s="651"/>
      <c r="F569" s="655">
        <v>0.375</v>
      </c>
      <c r="G569" s="647">
        <v>47</v>
      </c>
      <c r="H569" s="648"/>
      <c r="I569" s="649"/>
      <c r="J569" s="656" t="s">
        <v>860</v>
      </c>
      <c r="K569" s="651"/>
      <c r="L569" s="657">
        <v>0.89583333333333337</v>
      </c>
    </row>
    <row r="570" spans="1:12" ht="15.75" x14ac:dyDescent="0.25">
      <c r="A570" s="647">
        <v>47</v>
      </c>
      <c r="B570" s="648"/>
      <c r="C570" s="649"/>
      <c r="D570" s="656" t="s">
        <v>860</v>
      </c>
      <c r="E570" s="651"/>
      <c r="F570" s="657">
        <v>0.39583333333333331</v>
      </c>
      <c r="G570" s="647"/>
      <c r="H570" s="648"/>
      <c r="I570" s="649"/>
      <c r="J570" s="650"/>
      <c r="K570" s="651"/>
      <c r="L570" s="653"/>
    </row>
    <row r="571" spans="1:12" ht="15.75" x14ac:dyDescent="0.25">
      <c r="A571" s="647"/>
      <c r="B571" s="648"/>
      <c r="C571" s="649"/>
      <c r="D571" s="650"/>
      <c r="E571" s="651"/>
      <c r="F571" s="653"/>
      <c r="G571" s="647">
        <v>47</v>
      </c>
      <c r="H571" s="648"/>
      <c r="I571" s="649"/>
      <c r="J571" s="617" t="s">
        <v>236</v>
      </c>
      <c r="K571" s="651"/>
      <c r="L571" s="658">
        <v>0.9375</v>
      </c>
    </row>
    <row r="572" spans="1:12" ht="15.75" x14ac:dyDescent="0.25">
      <c r="A572" s="647">
        <v>47</v>
      </c>
      <c r="B572" s="648"/>
      <c r="C572" s="649"/>
      <c r="D572" s="617" t="s">
        <v>236</v>
      </c>
      <c r="E572" s="651"/>
      <c r="F572" s="658">
        <v>0.45833333333333331</v>
      </c>
      <c r="G572" s="647"/>
      <c r="H572" s="648"/>
      <c r="I572" s="649"/>
      <c r="J572" s="650"/>
      <c r="K572" s="651"/>
      <c r="L572" s="653"/>
    </row>
    <row r="573" spans="1:12" ht="15.75" x14ac:dyDescent="0.25">
      <c r="A573" s="647"/>
      <c r="B573" s="648"/>
      <c r="C573" s="649"/>
      <c r="D573" s="650"/>
      <c r="E573" s="651"/>
      <c r="F573" s="653"/>
      <c r="G573" s="647">
        <v>47</v>
      </c>
      <c r="H573" s="648"/>
      <c r="I573" s="649"/>
      <c r="J573" s="656" t="s">
        <v>860</v>
      </c>
      <c r="K573" s="651"/>
      <c r="L573" s="657">
        <v>0.97916666666666663</v>
      </c>
    </row>
    <row r="574" spans="1:12" ht="15.75" x14ac:dyDescent="0.25">
      <c r="A574" s="647">
        <v>47</v>
      </c>
      <c r="B574" s="648"/>
      <c r="C574" s="649"/>
      <c r="D574" s="656" t="s">
        <v>860</v>
      </c>
      <c r="E574" s="651"/>
      <c r="F574" s="657">
        <v>0.52083333333333337</v>
      </c>
      <c r="G574" s="647"/>
      <c r="H574" s="648"/>
      <c r="I574" s="649"/>
      <c r="J574" s="650"/>
      <c r="K574" s="651"/>
      <c r="L574" s="653"/>
    </row>
    <row r="575" spans="1:12" ht="15.75" x14ac:dyDescent="0.25">
      <c r="A575" s="647"/>
      <c r="B575" s="648"/>
      <c r="C575" s="649"/>
      <c r="D575" s="650"/>
      <c r="E575" s="651"/>
      <c r="F575" s="653"/>
      <c r="G575" s="647" t="s">
        <v>725</v>
      </c>
      <c r="H575" s="648"/>
      <c r="I575" s="649"/>
      <c r="J575" s="617" t="s">
        <v>236</v>
      </c>
      <c r="K575" s="662">
        <v>1.0208333333333333</v>
      </c>
      <c r="L575" s="658"/>
    </row>
    <row r="576" spans="1:12" ht="15.75" x14ac:dyDescent="0.25">
      <c r="A576" s="647" t="s">
        <v>725</v>
      </c>
      <c r="B576" s="648"/>
      <c r="C576" s="649"/>
      <c r="D576" s="617" t="s">
        <v>236</v>
      </c>
      <c r="E576" s="662">
        <v>0.57291666666666663</v>
      </c>
      <c r="F576" s="658"/>
      <c r="G576" s="647"/>
      <c r="H576" s="648"/>
      <c r="I576" s="649"/>
      <c r="J576" s="650" t="s">
        <v>733</v>
      </c>
      <c r="K576" s="662">
        <v>1.0416666666666667</v>
      </c>
      <c r="L576" s="664"/>
    </row>
    <row r="577" spans="1:12" ht="15.75" x14ac:dyDescent="0.25">
      <c r="A577" s="647"/>
      <c r="B577" s="648"/>
      <c r="C577" s="649"/>
      <c r="D577" s="650" t="s">
        <v>733</v>
      </c>
      <c r="E577" s="662">
        <v>0.59375</v>
      </c>
      <c r="F577" s="653"/>
      <c r="G577" s="647"/>
      <c r="H577" s="648" t="s">
        <v>276</v>
      </c>
      <c r="I577" s="649" t="s">
        <v>273</v>
      </c>
      <c r="J577" s="650"/>
      <c r="K577" s="651"/>
      <c r="L577" s="653"/>
    </row>
    <row r="578" spans="1:12" ht="15.75" x14ac:dyDescent="0.25">
      <c r="A578" s="647"/>
      <c r="B578" s="648" t="s">
        <v>276</v>
      </c>
      <c r="C578" s="649" t="s">
        <v>273</v>
      </c>
      <c r="D578" s="650"/>
      <c r="E578" s="651"/>
      <c r="F578" s="657"/>
      <c r="G578" s="647"/>
      <c r="H578" s="648"/>
      <c r="I578" s="649"/>
      <c r="J578" s="661"/>
      <c r="K578" s="651"/>
      <c r="L578" s="658"/>
    </row>
    <row r="579" spans="1:12" ht="15.75" x14ac:dyDescent="0.25">
      <c r="A579" s="647"/>
      <c r="B579" s="648"/>
      <c r="C579" s="649"/>
      <c r="D579" s="663"/>
      <c r="E579" s="662"/>
      <c r="F579" s="653"/>
      <c r="G579" s="647"/>
      <c r="H579" s="648"/>
      <c r="I579" s="649"/>
      <c r="J579" s="617"/>
      <c r="K579" s="651"/>
      <c r="L579" s="653"/>
    </row>
    <row r="580" spans="1:12" ht="15.75" x14ac:dyDescent="0.25">
      <c r="A580" s="647"/>
      <c r="B580" s="648"/>
      <c r="C580" s="649"/>
      <c r="D580" s="650"/>
      <c r="E580" s="651"/>
      <c r="F580" s="652"/>
      <c r="G580" s="647"/>
      <c r="H580" s="648"/>
      <c r="I580" s="649"/>
      <c r="J580" s="661"/>
      <c r="K580" s="651"/>
      <c r="L580" s="658"/>
    </row>
    <row r="581" spans="1:12" ht="15.75" x14ac:dyDescent="0.25">
      <c r="A581" s="647"/>
      <c r="B581" s="648" t="s">
        <v>273</v>
      </c>
      <c r="C581" s="649">
        <v>123</v>
      </c>
      <c r="D581" s="650" t="s">
        <v>859</v>
      </c>
      <c r="E581" s="651"/>
      <c r="F581" s="652"/>
      <c r="G581" s="647"/>
      <c r="H581" s="648"/>
      <c r="I581" s="649"/>
      <c r="J581" s="617"/>
      <c r="K581" s="651"/>
      <c r="L581" s="653"/>
    </row>
    <row r="582" spans="1:12" ht="15.75" x14ac:dyDescent="0.25">
      <c r="A582" s="647" t="s">
        <v>725</v>
      </c>
      <c r="B582" s="654"/>
      <c r="C582" s="649"/>
      <c r="D582" s="650" t="s">
        <v>726</v>
      </c>
      <c r="E582" s="651"/>
      <c r="F582" s="655">
        <v>0.68402777777777779</v>
      </c>
      <c r="G582" s="647"/>
      <c r="H582" s="648"/>
      <c r="I582" s="649"/>
      <c r="J582" s="661"/>
      <c r="K582" s="651"/>
      <c r="L582" s="658"/>
    </row>
    <row r="583" spans="1:12" ht="15.75" x14ac:dyDescent="0.25">
      <c r="A583" s="647">
        <v>47</v>
      </c>
      <c r="B583" s="648"/>
      <c r="C583" s="649"/>
      <c r="D583" s="617" t="s">
        <v>236</v>
      </c>
      <c r="E583" s="651"/>
      <c r="F583" s="658">
        <v>0.70833333333333337</v>
      </c>
      <c r="G583" s="647"/>
      <c r="H583" s="648"/>
      <c r="I583" s="649"/>
      <c r="J583" s="661"/>
      <c r="K583" s="651"/>
      <c r="L583" s="653"/>
    </row>
    <row r="584" spans="1:12" ht="15.75" x14ac:dyDescent="0.25">
      <c r="A584" s="647"/>
      <c r="B584" s="648"/>
      <c r="C584" s="649"/>
      <c r="D584" s="661"/>
      <c r="E584" s="651"/>
      <c r="F584" s="653"/>
      <c r="G584" s="647"/>
      <c r="H584" s="648"/>
      <c r="I584" s="649"/>
      <c r="J584" s="663"/>
      <c r="K584" s="662"/>
      <c r="L584" s="658"/>
    </row>
    <row r="585" spans="1:12" ht="15.75" x14ac:dyDescent="0.25">
      <c r="A585" s="647"/>
      <c r="B585" s="648"/>
      <c r="C585" s="649"/>
      <c r="D585" s="656" t="s">
        <v>860</v>
      </c>
      <c r="E585" s="662">
        <v>0.77083333333333337</v>
      </c>
      <c r="F585" s="657"/>
      <c r="G585" s="647"/>
      <c r="H585" s="648"/>
      <c r="I585" s="649"/>
      <c r="J585" s="663"/>
      <c r="K585" s="651"/>
      <c r="L585" s="653"/>
    </row>
    <row r="586" spans="1:12" ht="15.75" x14ac:dyDescent="0.25">
      <c r="A586" s="647"/>
      <c r="B586" s="648" t="s">
        <v>273</v>
      </c>
      <c r="C586" s="649">
        <v>123</v>
      </c>
      <c r="D586" s="650" t="s">
        <v>1023</v>
      </c>
      <c r="E586" s="651"/>
      <c r="F586" s="653"/>
      <c r="G586" s="647"/>
      <c r="H586" s="648"/>
      <c r="I586" s="649"/>
      <c r="J586" s="650"/>
      <c r="K586" s="651"/>
      <c r="L586" s="664"/>
    </row>
    <row r="587" spans="1:12" ht="15.75" x14ac:dyDescent="0.25">
      <c r="A587" s="647"/>
      <c r="B587" s="648"/>
      <c r="C587" s="649"/>
      <c r="D587" s="650"/>
      <c r="E587" s="651"/>
      <c r="F587" s="653"/>
      <c r="G587" s="647"/>
      <c r="H587" s="648"/>
      <c r="I587" s="649"/>
      <c r="J587" s="617"/>
      <c r="K587" s="651"/>
      <c r="L587" s="653"/>
    </row>
    <row r="588" spans="1:12" ht="15.75" x14ac:dyDescent="0.25">
      <c r="A588" s="647"/>
      <c r="B588" s="648" t="s">
        <v>273</v>
      </c>
      <c r="C588" s="649">
        <v>117</v>
      </c>
      <c r="D588" s="650" t="s">
        <v>780</v>
      </c>
      <c r="E588" s="651"/>
      <c r="F588" s="653"/>
      <c r="G588" s="647"/>
      <c r="H588" s="648"/>
      <c r="I588" s="649"/>
      <c r="J588" s="661"/>
      <c r="K588" s="651"/>
      <c r="L588" s="658"/>
    </row>
    <row r="589" spans="1:12" ht="15.75" x14ac:dyDescent="0.25">
      <c r="A589" s="647">
        <v>47</v>
      </c>
      <c r="B589" s="648"/>
      <c r="C589" s="649"/>
      <c r="D589" s="656" t="s">
        <v>860</v>
      </c>
      <c r="E589" s="651"/>
      <c r="F589" s="657">
        <v>0.77083333333333337</v>
      </c>
      <c r="G589" s="647"/>
      <c r="H589" s="648"/>
      <c r="I589" s="649"/>
      <c r="J589" s="617"/>
      <c r="K589" s="651"/>
      <c r="L589" s="653"/>
    </row>
    <row r="590" spans="1:12" ht="15.75" x14ac:dyDescent="0.25">
      <c r="A590" s="647"/>
      <c r="B590" s="648"/>
      <c r="C590" s="649"/>
      <c r="D590" s="650"/>
      <c r="E590" s="651"/>
      <c r="F590" s="653"/>
      <c r="G590" s="647"/>
      <c r="H590" s="648"/>
      <c r="I590" s="649"/>
      <c r="J590" s="661"/>
      <c r="K590" s="651"/>
      <c r="L590" s="658"/>
    </row>
    <row r="591" spans="1:12" ht="15.75" x14ac:dyDescent="0.25">
      <c r="A591" s="647">
        <v>47</v>
      </c>
      <c r="B591" s="648"/>
      <c r="C591" s="649"/>
      <c r="D591" s="617" t="s">
        <v>236</v>
      </c>
      <c r="E591" s="651"/>
      <c r="F591" s="658">
        <v>0.84375</v>
      </c>
      <c r="G591" s="647"/>
      <c r="H591" s="648"/>
      <c r="I591" s="649"/>
      <c r="J591" s="661"/>
      <c r="K591" s="651"/>
      <c r="L591" s="653"/>
    </row>
    <row r="592" spans="1:12" ht="15.75" x14ac:dyDescent="0.25">
      <c r="A592" s="647"/>
      <c r="B592" s="648"/>
      <c r="C592" s="649"/>
      <c r="D592" s="661"/>
      <c r="E592" s="651"/>
      <c r="F592" s="653"/>
      <c r="G592" s="647"/>
      <c r="H592" s="648"/>
      <c r="I592" s="649"/>
      <c r="J592" s="650"/>
      <c r="K592" s="662"/>
      <c r="L592" s="664"/>
    </row>
    <row r="593" spans="1:12" ht="15.75" x14ac:dyDescent="0.25">
      <c r="A593" s="647"/>
      <c r="B593" s="648"/>
      <c r="C593" s="649"/>
      <c r="D593" s="656" t="s">
        <v>860</v>
      </c>
      <c r="E593" s="662">
        <v>0.89583333333333337</v>
      </c>
      <c r="F593" s="657"/>
      <c r="G593" s="647"/>
      <c r="H593" s="648"/>
      <c r="I593" s="649"/>
      <c r="J593" s="650"/>
      <c r="K593" s="651"/>
      <c r="L593" s="653"/>
    </row>
    <row r="594" spans="1:12" ht="15.75" x14ac:dyDescent="0.25">
      <c r="A594" s="647"/>
      <c r="B594" s="648" t="s">
        <v>276</v>
      </c>
      <c r="C594" s="649" t="s">
        <v>273</v>
      </c>
      <c r="D594" s="650"/>
      <c r="E594" s="651"/>
      <c r="F594" s="653"/>
      <c r="G594" s="647"/>
      <c r="H594" s="648"/>
      <c r="I594" s="649"/>
      <c r="J594" s="650"/>
      <c r="K594" s="662"/>
      <c r="L594" s="658"/>
    </row>
    <row r="595" spans="1:12" ht="15.75" x14ac:dyDescent="0.25">
      <c r="A595" s="647"/>
      <c r="B595" s="648"/>
      <c r="C595" s="649"/>
      <c r="D595" s="650"/>
      <c r="E595" s="651"/>
      <c r="F595" s="653"/>
      <c r="G595" s="647"/>
      <c r="H595" s="648"/>
      <c r="I595" s="649"/>
      <c r="J595" s="661"/>
      <c r="K595" s="651"/>
      <c r="L595" s="653"/>
    </row>
    <row r="596" spans="1:12" ht="15.75" x14ac:dyDescent="0.25">
      <c r="A596" s="647"/>
      <c r="B596" s="648"/>
      <c r="C596" s="649"/>
      <c r="D596" s="617"/>
      <c r="E596" s="651"/>
      <c r="F596" s="658"/>
      <c r="G596" s="647"/>
      <c r="H596" s="648"/>
      <c r="I596" s="649"/>
      <c r="J596" s="650"/>
      <c r="K596" s="662"/>
      <c r="L596" s="664"/>
    </row>
    <row r="597" spans="1:12" ht="15.75" x14ac:dyDescent="0.25">
      <c r="A597" s="647"/>
      <c r="B597" s="648"/>
      <c r="C597" s="649"/>
      <c r="D597" s="661"/>
      <c r="E597" s="651"/>
      <c r="F597" s="653"/>
      <c r="G597" s="647"/>
      <c r="H597" s="648"/>
      <c r="I597" s="649"/>
      <c r="J597" s="661"/>
      <c r="K597" s="651"/>
      <c r="L597" s="653"/>
    </row>
    <row r="598" spans="1:12" ht="15.75" x14ac:dyDescent="0.25">
      <c r="A598" s="647"/>
      <c r="B598" s="648"/>
      <c r="C598" s="649"/>
      <c r="D598" s="656"/>
      <c r="E598" s="662"/>
      <c r="F598" s="657"/>
      <c r="G598" s="647"/>
      <c r="H598" s="648"/>
      <c r="I598" s="649"/>
      <c r="J598" s="650"/>
      <c r="K598" s="651"/>
      <c r="L598" s="653"/>
    </row>
    <row r="599" spans="1:12" ht="15.75" x14ac:dyDescent="0.25">
      <c r="A599" s="647"/>
      <c r="B599" s="648"/>
      <c r="C599" s="649"/>
      <c r="D599" s="650"/>
      <c r="E599" s="651"/>
      <c r="F599" s="653"/>
      <c r="G599" s="666"/>
      <c r="H599" s="648"/>
      <c r="I599" s="665"/>
      <c r="J599" s="650"/>
      <c r="K599" s="651"/>
      <c r="L599" s="653"/>
    </row>
    <row r="600" spans="1:12" ht="15.75" x14ac:dyDescent="0.25">
      <c r="A600" s="667"/>
      <c r="B600" s="668"/>
      <c r="C600" s="669"/>
      <c r="D600" s="670"/>
      <c r="E600" s="671"/>
      <c r="F600" s="672"/>
      <c r="G600" s="673"/>
      <c r="H600" s="674"/>
      <c r="I600" s="675"/>
      <c r="J600" s="676"/>
      <c r="K600" s="671"/>
      <c r="L600" s="677"/>
    </row>
    <row r="601" spans="1:12" ht="23.25" x14ac:dyDescent="0.35">
      <c r="A601" s="1237" t="s">
        <v>712</v>
      </c>
      <c r="B601" s="1238"/>
      <c r="C601" s="1238"/>
      <c r="D601" s="1238"/>
      <c r="E601" s="1238"/>
      <c r="F601" s="1238"/>
      <c r="G601" s="1238"/>
      <c r="H601" s="1238"/>
      <c r="I601" s="1238"/>
      <c r="J601" s="1238"/>
      <c r="K601" s="1238"/>
      <c r="L601" s="1239"/>
    </row>
    <row r="602" spans="1:12" ht="23.25" x14ac:dyDescent="0.35">
      <c r="A602" s="1240" t="s">
        <v>713</v>
      </c>
      <c r="B602" s="1241"/>
      <c r="C602" s="1241"/>
      <c r="D602" s="1241"/>
      <c r="E602" s="1241"/>
      <c r="F602" s="1241"/>
      <c r="G602" s="1241"/>
      <c r="H602" s="1241"/>
      <c r="I602" s="1241"/>
      <c r="J602" s="1241"/>
      <c r="K602" s="1241"/>
      <c r="L602" s="1242"/>
    </row>
    <row r="603" spans="1:12" ht="23.25" x14ac:dyDescent="0.35">
      <c r="A603" s="1243" t="s">
        <v>714</v>
      </c>
      <c r="B603" s="1244"/>
      <c r="C603" s="1244"/>
      <c r="D603" s="1244"/>
      <c r="E603" s="1244"/>
      <c r="F603" s="1244"/>
      <c r="G603" s="1244"/>
      <c r="H603" s="1244"/>
      <c r="I603" s="1244"/>
      <c r="J603" s="1244"/>
      <c r="K603" s="1244"/>
      <c r="L603" s="1245"/>
    </row>
    <row r="604" spans="1:12" ht="23.25" x14ac:dyDescent="0.35">
      <c r="A604" s="619" t="s">
        <v>227</v>
      </c>
      <c r="B604" s="620"/>
      <c r="C604" s="620"/>
      <c r="D604" s="621" t="s">
        <v>716</v>
      </c>
      <c r="E604" s="1241" t="s">
        <v>597</v>
      </c>
      <c r="F604" s="1241"/>
      <c r="G604" s="1241"/>
      <c r="H604" s="1241"/>
      <c r="I604" s="1241"/>
      <c r="J604" s="618" t="s">
        <v>744</v>
      </c>
      <c r="K604" s="1241"/>
      <c r="L604" s="1242"/>
    </row>
    <row r="605" spans="1:12" x14ac:dyDescent="0.25">
      <c r="A605" s="622"/>
      <c r="B605" s="623"/>
      <c r="C605" s="623"/>
      <c r="D605" s="624"/>
      <c r="E605" s="623"/>
      <c r="F605" s="623"/>
      <c r="G605" s="623"/>
      <c r="H605" s="623"/>
      <c r="I605" s="1246"/>
      <c r="J605" s="1246"/>
      <c r="K605" s="623"/>
      <c r="L605" s="625"/>
    </row>
    <row r="606" spans="1:12" ht="15.75" x14ac:dyDescent="0.25">
      <c r="A606" s="626" t="s">
        <v>719</v>
      </c>
      <c r="B606" s="627"/>
      <c r="C606" s="628"/>
      <c r="D606" s="629" t="s">
        <v>720</v>
      </c>
      <c r="E606" s="630" t="s">
        <v>721</v>
      </c>
      <c r="F606" s="631" t="s">
        <v>722</v>
      </c>
      <c r="G606" s="626" t="s">
        <v>719</v>
      </c>
      <c r="H606" s="632"/>
      <c r="I606" s="633"/>
      <c r="J606" s="634" t="s">
        <v>720</v>
      </c>
      <c r="K606" s="626" t="s">
        <v>721</v>
      </c>
      <c r="L606" s="626" t="s">
        <v>722</v>
      </c>
    </row>
    <row r="607" spans="1:12" ht="15.75" x14ac:dyDescent="0.25">
      <c r="A607" s="635"/>
      <c r="B607" s="636"/>
      <c r="C607" s="637"/>
      <c r="D607" s="638"/>
      <c r="E607" s="639"/>
      <c r="F607" s="640"/>
      <c r="G607" s="641"/>
      <c r="H607" s="642"/>
      <c r="I607" s="643"/>
      <c r="J607" s="644"/>
      <c r="K607" s="645"/>
      <c r="L607" s="646"/>
    </row>
    <row r="608" spans="1:12" ht="15.75" x14ac:dyDescent="0.25">
      <c r="A608" s="647"/>
      <c r="B608" s="648" t="s">
        <v>273</v>
      </c>
      <c r="C608" s="649">
        <v>151</v>
      </c>
      <c r="D608" s="650" t="s">
        <v>1024</v>
      </c>
      <c r="E608" s="651"/>
      <c r="F608" s="652"/>
      <c r="G608" s="647"/>
      <c r="H608" s="648" t="s">
        <v>273</v>
      </c>
      <c r="I608" s="649">
        <v>121</v>
      </c>
      <c r="J608" s="650" t="s">
        <v>873</v>
      </c>
      <c r="K608" s="651"/>
      <c r="L608" s="653"/>
    </row>
    <row r="609" spans="1:12" ht="15.75" x14ac:dyDescent="0.25">
      <c r="A609" s="647" t="s">
        <v>725</v>
      </c>
      <c r="B609" s="654"/>
      <c r="C609" s="649"/>
      <c r="D609" s="650" t="s">
        <v>726</v>
      </c>
      <c r="E609" s="651"/>
      <c r="F609" s="655">
        <v>0.39583333333333331</v>
      </c>
      <c r="G609" s="647">
        <v>47</v>
      </c>
      <c r="H609" s="648"/>
      <c r="I609" s="649"/>
      <c r="J609" s="656" t="s">
        <v>860</v>
      </c>
      <c r="K609" s="651"/>
      <c r="L609" s="657">
        <v>0.85416666666666663</v>
      </c>
    </row>
    <row r="610" spans="1:12" ht="15.75" x14ac:dyDescent="0.25">
      <c r="A610" s="647">
        <v>47</v>
      </c>
      <c r="B610" s="648"/>
      <c r="C610" s="649"/>
      <c r="D610" s="617" t="s">
        <v>236</v>
      </c>
      <c r="E610" s="651"/>
      <c r="F610" s="658">
        <v>0.41666666666666669</v>
      </c>
      <c r="G610" s="647"/>
      <c r="H610" s="648"/>
      <c r="I610" s="649"/>
      <c r="J610" s="650"/>
      <c r="K610" s="651"/>
      <c r="L610" s="653"/>
    </row>
    <row r="611" spans="1:12" ht="15.75" x14ac:dyDescent="0.25">
      <c r="A611" s="647"/>
      <c r="B611" s="648"/>
      <c r="C611" s="649"/>
      <c r="D611" s="650"/>
      <c r="E611" s="651"/>
      <c r="F611" s="653"/>
      <c r="G611" s="647">
        <v>47</v>
      </c>
      <c r="H611" s="648"/>
      <c r="I611" s="649"/>
      <c r="J611" s="617" t="s">
        <v>236</v>
      </c>
      <c r="K611" s="651"/>
      <c r="L611" s="658">
        <v>0.89583333333333337</v>
      </c>
    </row>
    <row r="612" spans="1:12" ht="15.75" x14ac:dyDescent="0.25">
      <c r="A612" s="647">
        <v>47</v>
      </c>
      <c r="B612" s="648"/>
      <c r="C612" s="649"/>
      <c r="D612" s="656" t="s">
        <v>860</v>
      </c>
      <c r="E612" s="651"/>
      <c r="F612" s="657">
        <v>0.47916666666666669</v>
      </c>
      <c r="G612" s="647"/>
      <c r="H612" s="648"/>
      <c r="I612" s="649"/>
      <c r="J612" s="650"/>
      <c r="K612" s="651"/>
      <c r="L612" s="653"/>
    </row>
    <row r="613" spans="1:12" ht="15.75" x14ac:dyDescent="0.25">
      <c r="A613" s="647"/>
      <c r="B613" s="648"/>
      <c r="C613" s="649"/>
      <c r="D613" s="650"/>
      <c r="E613" s="651"/>
      <c r="F613" s="653"/>
      <c r="G613" s="647">
        <v>47</v>
      </c>
      <c r="H613" s="648"/>
      <c r="I613" s="649"/>
      <c r="J613" s="656" t="s">
        <v>860</v>
      </c>
      <c r="K613" s="651"/>
      <c r="L613" s="657">
        <v>0.9375</v>
      </c>
    </row>
    <row r="614" spans="1:12" ht="15.75" x14ac:dyDescent="0.25">
      <c r="A614" s="647">
        <v>47</v>
      </c>
      <c r="B614" s="648"/>
      <c r="C614" s="649"/>
      <c r="D614" s="617" t="s">
        <v>236</v>
      </c>
      <c r="E614" s="651"/>
      <c r="F614" s="658">
        <v>0.54166666666666663</v>
      </c>
      <c r="G614" s="647"/>
      <c r="H614" s="648"/>
      <c r="I614" s="649"/>
      <c r="J614" s="650"/>
      <c r="K614" s="651"/>
      <c r="L614" s="653"/>
    </row>
    <row r="615" spans="1:12" ht="15.75" x14ac:dyDescent="0.25">
      <c r="A615" s="647"/>
      <c r="B615" s="648"/>
      <c r="C615" s="649"/>
      <c r="D615" s="661"/>
      <c r="E615" s="651"/>
      <c r="F615" s="653"/>
      <c r="G615" s="647">
        <v>47</v>
      </c>
      <c r="H615" s="648"/>
      <c r="I615" s="649"/>
      <c r="J615" s="617" t="s">
        <v>236</v>
      </c>
      <c r="K615" s="651"/>
      <c r="L615" s="658">
        <v>0.97916666666666663</v>
      </c>
    </row>
    <row r="616" spans="1:12" ht="15.75" x14ac:dyDescent="0.25">
      <c r="A616" s="647"/>
      <c r="B616" s="648"/>
      <c r="C616" s="649"/>
      <c r="D616" s="656" t="s">
        <v>860</v>
      </c>
      <c r="E616" s="662">
        <v>0.60416666666666663</v>
      </c>
      <c r="F616" s="657"/>
      <c r="G616" s="647"/>
      <c r="H616" s="648"/>
      <c r="I616" s="649"/>
      <c r="J616" s="650"/>
      <c r="K616" s="651"/>
      <c r="L616" s="653"/>
    </row>
    <row r="617" spans="1:12" ht="15.75" x14ac:dyDescent="0.25">
      <c r="A617" s="647"/>
      <c r="B617" s="648" t="s">
        <v>273</v>
      </c>
      <c r="C617" s="649">
        <v>151</v>
      </c>
      <c r="D617" s="650" t="s">
        <v>1025</v>
      </c>
      <c r="E617" s="651"/>
      <c r="F617" s="653"/>
      <c r="G617" s="647" t="s">
        <v>725</v>
      </c>
      <c r="H617" s="648"/>
      <c r="I617" s="649"/>
      <c r="J617" s="656" t="s">
        <v>860</v>
      </c>
      <c r="K617" s="662">
        <v>1.0208333333333333</v>
      </c>
      <c r="L617" s="657"/>
    </row>
    <row r="618" spans="1:12" ht="15.75" x14ac:dyDescent="0.25">
      <c r="A618" s="647"/>
      <c r="B618" s="648"/>
      <c r="C618" s="649"/>
      <c r="D618" s="661"/>
      <c r="E618" s="651"/>
      <c r="F618" s="653"/>
      <c r="G618" s="647"/>
      <c r="H618" s="648"/>
      <c r="I618" s="649"/>
      <c r="J618" s="650" t="s">
        <v>733</v>
      </c>
      <c r="K618" s="662">
        <v>1.0347222222222223</v>
      </c>
      <c r="L618" s="664"/>
    </row>
    <row r="619" spans="1:12" ht="15.75" x14ac:dyDescent="0.25">
      <c r="A619" s="647"/>
      <c r="B619" s="648" t="s">
        <v>273</v>
      </c>
      <c r="C619" s="649">
        <v>117</v>
      </c>
      <c r="D619" s="650" t="s">
        <v>770</v>
      </c>
      <c r="E619" s="651"/>
      <c r="F619" s="653"/>
      <c r="G619" s="647"/>
      <c r="H619" s="648" t="s">
        <v>276</v>
      </c>
      <c r="I619" s="649" t="s">
        <v>273</v>
      </c>
      <c r="J619" s="650"/>
      <c r="K619" s="651"/>
      <c r="L619" s="653"/>
    </row>
    <row r="620" spans="1:12" ht="15.75" x14ac:dyDescent="0.25">
      <c r="A620" s="647">
        <v>47</v>
      </c>
      <c r="B620" s="648"/>
      <c r="C620" s="649"/>
      <c r="D620" s="656" t="s">
        <v>860</v>
      </c>
      <c r="E620" s="651"/>
      <c r="F620" s="657">
        <v>0.60416666666666663</v>
      </c>
      <c r="G620" s="647"/>
      <c r="H620" s="648"/>
      <c r="I620" s="649"/>
      <c r="J620" s="661"/>
      <c r="K620" s="651"/>
      <c r="L620" s="658"/>
    </row>
    <row r="621" spans="1:12" ht="15.75" x14ac:dyDescent="0.25">
      <c r="A621" s="647"/>
      <c r="B621" s="648"/>
      <c r="C621" s="649"/>
      <c r="D621" s="650"/>
      <c r="E621" s="651"/>
      <c r="F621" s="653"/>
      <c r="G621" s="647"/>
      <c r="H621" s="648"/>
      <c r="I621" s="649"/>
      <c r="J621" s="661"/>
      <c r="K621" s="651"/>
      <c r="L621" s="653"/>
    </row>
    <row r="622" spans="1:12" ht="15.75" x14ac:dyDescent="0.25">
      <c r="A622" s="647">
        <v>47</v>
      </c>
      <c r="B622" s="648"/>
      <c r="C622" s="649"/>
      <c r="D622" s="617" t="s">
        <v>236</v>
      </c>
      <c r="E622" s="651"/>
      <c r="F622" s="658">
        <v>0.66666666666666663</v>
      </c>
      <c r="G622" s="647"/>
      <c r="H622" s="648"/>
      <c r="I622" s="649"/>
      <c r="J622" s="663"/>
      <c r="K622" s="662"/>
      <c r="L622" s="658"/>
    </row>
    <row r="623" spans="1:12" ht="15.75" x14ac:dyDescent="0.25">
      <c r="A623" s="647"/>
      <c r="B623" s="648"/>
      <c r="C623" s="649"/>
      <c r="D623" s="661"/>
      <c r="E623" s="651"/>
      <c r="F623" s="653"/>
      <c r="G623" s="647"/>
      <c r="H623" s="648"/>
      <c r="I623" s="649"/>
      <c r="J623" s="663"/>
      <c r="K623" s="651"/>
      <c r="L623" s="653"/>
    </row>
    <row r="624" spans="1:12" ht="15.75" x14ac:dyDescent="0.25">
      <c r="A624" s="647"/>
      <c r="B624" s="648"/>
      <c r="C624" s="649"/>
      <c r="D624" s="656" t="s">
        <v>860</v>
      </c>
      <c r="E624" s="662">
        <v>0.72916666666666663</v>
      </c>
      <c r="F624" s="657"/>
      <c r="G624" s="647"/>
      <c r="H624" s="648"/>
      <c r="I624" s="649"/>
      <c r="J624" s="650"/>
      <c r="K624" s="651"/>
      <c r="L624" s="664"/>
    </row>
    <row r="625" spans="1:12" ht="15.75" x14ac:dyDescent="0.25">
      <c r="A625" s="647"/>
      <c r="B625" s="648" t="s">
        <v>273</v>
      </c>
      <c r="C625" s="649">
        <v>117</v>
      </c>
      <c r="D625" s="650" t="s">
        <v>1026</v>
      </c>
      <c r="E625" s="651"/>
      <c r="F625" s="653"/>
      <c r="G625" s="647"/>
      <c r="H625" s="648"/>
      <c r="I625" s="649"/>
      <c r="J625" s="617"/>
      <c r="K625" s="651"/>
      <c r="L625" s="653"/>
    </row>
    <row r="626" spans="1:12" ht="15.75" x14ac:dyDescent="0.25">
      <c r="A626" s="647"/>
      <c r="B626" s="648"/>
      <c r="C626" s="649"/>
      <c r="D626" s="650"/>
      <c r="E626" s="651"/>
      <c r="F626" s="653"/>
      <c r="G626" s="647"/>
      <c r="H626" s="648"/>
      <c r="I626" s="649"/>
      <c r="J626" s="650"/>
      <c r="K626" s="651"/>
      <c r="L626" s="664"/>
    </row>
    <row r="627" spans="1:12" ht="15.75" x14ac:dyDescent="0.25">
      <c r="A627" s="647"/>
      <c r="B627" s="648" t="s">
        <v>273</v>
      </c>
      <c r="C627" s="649">
        <v>111</v>
      </c>
      <c r="D627" s="650" t="s">
        <v>1027</v>
      </c>
      <c r="E627" s="651"/>
      <c r="F627" s="653"/>
      <c r="G627" s="647"/>
      <c r="H627" s="648"/>
      <c r="I627" s="649"/>
      <c r="J627" s="617"/>
      <c r="K627" s="651"/>
      <c r="L627" s="653"/>
    </row>
    <row r="628" spans="1:12" ht="15.75" x14ac:dyDescent="0.25">
      <c r="A628" s="647">
        <v>47</v>
      </c>
      <c r="B628" s="648"/>
      <c r="C628" s="649"/>
      <c r="D628" s="656" t="s">
        <v>860</v>
      </c>
      <c r="E628" s="651"/>
      <c r="F628" s="657">
        <v>0.72916666666666663</v>
      </c>
      <c r="G628" s="647"/>
      <c r="H628" s="648"/>
      <c r="I628" s="649"/>
      <c r="J628" s="661"/>
      <c r="K628" s="651"/>
      <c r="L628" s="658"/>
    </row>
    <row r="629" spans="1:12" ht="15.75" x14ac:dyDescent="0.25">
      <c r="A629" s="647"/>
      <c r="B629" s="648"/>
      <c r="C629" s="649"/>
      <c r="D629" s="650"/>
      <c r="E629" s="651"/>
      <c r="F629" s="653"/>
      <c r="G629" s="647"/>
      <c r="H629" s="648"/>
      <c r="I629" s="649"/>
      <c r="J629" s="617"/>
      <c r="K629" s="651"/>
      <c r="L629" s="653"/>
    </row>
    <row r="630" spans="1:12" ht="15.75" x14ac:dyDescent="0.25">
      <c r="A630" s="647">
        <v>47</v>
      </c>
      <c r="B630" s="648"/>
      <c r="C630" s="649"/>
      <c r="D630" s="617" t="s">
        <v>236</v>
      </c>
      <c r="E630" s="651"/>
      <c r="F630" s="658">
        <v>0.79166666666666663</v>
      </c>
      <c r="G630" s="647"/>
      <c r="H630" s="648"/>
      <c r="I630" s="649"/>
      <c r="J630" s="661"/>
      <c r="K630" s="651"/>
      <c r="L630" s="658"/>
    </row>
    <row r="631" spans="1:12" ht="15.75" x14ac:dyDescent="0.25">
      <c r="A631" s="647"/>
      <c r="B631" s="648"/>
      <c r="C631" s="649"/>
      <c r="D631" s="661"/>
      <c r="E631" s="651"/>
      <c r="F631" s="653"/>
      <c r="G631" s="647"/>
      <c r="H631" s="648"/>
      <c r="I631" s="649"/>
      <c r="J631" s="661"/>
      <c r="K631" s="651"/>
      <c r="L631" s="653"/>
    </row>
    <row r="632" spans="1:12" ht="15.75" x14ac:dyDescent="0.25">
      <c r="A632" s="647"/>
      <c r="B632" s="648"/>
      <c r="C632" s="649"/>
      <c r="D632" s="656" t="s">
        <v>860</v>
      </c>
      <c r="E632" s="662">
        <v>0.85416666666666663</v>
      </c>
      <c r="F632" s="657"/>
      <c r="G632" s="647"/>
      <c r="H632" s="648"/>
      <c r="I632" s="649"/>
      <c r="J632" s="650"/>
      <c r="K632" s="662"/>
      <c r="L632" s="664"/>
    </row>
    <row r="633" spans="1:12" ht="15.75" x14ac:dyDescent="0.25">
      <c r="A633" s="647"/>
      <c r="B633" s="648" t="s">
        <v>276</v>
      </c>
      <c r="C633" s="649" t="s">
        <v>273</v>
      </c>
      <c r="D633" s="650"/>
      <c r="E633" s="651"/>
      <c r="F633" s="653"/>
      <c r="G633" s="647"/>
      <c r="H633" s="648"/>
      <c r="I633" s="649"/>
      <c r="J633" s="650"/>
      <c r="K633" s="651"/>
      <c r="L633" s="653"/>
    </row>
    <row r="634" spans="1:12" ht="15.75" x14ac:dyDescent="0.25">
      <c r="A634" s="647"/>
      <c r="B634" s="648"/>
      <c r="C634" s="649"/>
      <c r="D634" s="650"/>
      <c r="E634" s="651"/>
      <c r="F634" s="653"/>
      <c r="G634" s="647"/>
      <c r="H634" s="648"/>
      <c r="I634" s="649"/>
      <c r="J634" s="650"/>
      <c r="K634" s="662"/>
      <c r="L634" s="658"/>
    </row>
    <row r="635" spans="1:12" ht="15.75" x14ac:dyDescent="0.25">
      <c r="A635" s="647"/>
      <c r="B635" s="648"/>
      <c r="C635" s="649"/>
      <c r="D635" s="650"/>
      <c r="E635" s="651"/>
      <c r="F635" s="653"/>
      <c r="G635" s="647"/>
      <c r="H635" s="648"/>
      <c r="I635" s="649"/>
      <c r="J635" s="661"/>
      <c r="K635" s="651"/>
      <c r="L635" s="653"/>
    </row>
    <row r="636" spans="1:12" ht="15.75" x14ac:dyDescent="0.25">
      <c r="A636" s="647"/>
      <c r="B636" s="648"/>
      <c r="C636" s="649"/>
      <c r="D636" s="617"/>
      <c r="E636" s="651"/>
      <c r="F636" s="658"/>
      <c r="G636" s="647"/>
      <c r="H636" s="648"/>
      <c r="I636" s="649"/>
      <c r="J636" s="650"/>
      <c r="K636" s="662"/>
      <c r="L636" s="664"/>
    </row>
    <row r="637" spans="1:12" ht="15.75" x14ac:dyDescent="0.25">
      <c r="A637" s="647"/>
      <c r="B637" s="648"/>
      <c r="C637" s="649"/>
      <c r="D637" s="661"/>
      <c r="E637" s="651"/>
      <c r="F637" s="653"/>
      <c r="G637" s="647"/>
      <c r="H637" s="648"/>
      <c r="I637" s="649"/>
      <c r="J637" s="661"/>
      <c r="K637" s="651"/>
      <c r="L637" s="653"/>
    </row>
    <row r="638" spans="1:12" ht="15.75" x14ac:dyDescent="0.25">
      <c r="A638" s="647"/>
      <c r="B638" s="648"/>
      <c r="C638" s="649"/>
      <c r="D638" s="656"/>
      <c r="E638" s="662"/>
      <c r="F638" s="657"/>
      <c r="G638" s="647"/>
      <c r="H638" s="648"/>
      <c r="I638" s="649"/>
      <c r="J638" s="650"/>
      <c r="K638" s="651"/>
      <c r="L638" s="653"/>
    </row>
    <row r="639" spans="1:12" ht="15.75" x14ac:dyDescent="0.25">
      <c r="A639" s="647"/>
      <c r="B639" s="648"/>
      <c r="C639" s="649"/>
      <c r="D639" s="650"/>
      <c r="E639" s="651"/>
      <c r="F639" s="653"/>
      <c r="G639" s="666"/>
      <c r="H639" s="648"/>
      <c r="I639" s="665"/>
      <c r="J639" s="650"/>
      <c r="K639" s="651"/>
      <c r="L639" s="653"/>
    </row>
    <row r="640" spans="1:12" ht="15.75" x14ac:dyDescent="0.25">
      <c r="A640" s="667"/>
      <c r="B640" s="668"/>
      <c r="C640" s="669"/>
      <c r="D640" s="670"/>
      <c r="E640" s="671"/>
      <c r="F640" s="672"/>
      <c r="G640" s="673"/>
      <c r="H640" s="674"/>
      <c r="I640" s="675"/>
      <c r="J640" s="676"/>
      <c r="K640" s="671"/>
      <c r="L640" s="677"/>
    </row>
    <row r="641" spans="1:12" ht="23.25" x14ac:dyDescent="0.35">
      <c r="A641" s="1237" t="s">
        <v>712</v>
      </c>
      <c r="B641" s="1238"/>
      <c r="C641" s="1238"/>
      <c r="D641" s="1238"/>
      <c r="E641" s="1238"/>
      <c r="F641" s="1238"/>
      <c r="G641" s="1238"/>
      <c r="H641" s="1238"/>
      <c r="I641" s="1238"/>
      <c r="J641" s="1238"/>
      <c r="K641" s="1238"/>
      <c r="L641" s="1239"/>
    </row>
    <row r="642" spans="1:12" ht="23.25" x14ac:dyDescent="0.35">
      <c r="A642" s="1240" t="s">
        <v>713</v>
      </c>
      <c r="B642" s="1241"/>
      <c r="C642" s="1241"/>
      <c r="D642" s="1241"/>
      <c r="E642" s="1241"/>
      <c r="F642" s="1241"/>
      <c r="G642" s="1241"/>
      <c r="H642" s="1241"/>
      <c r="I642" s="1241"/>
      <c r="J642" s="1241"/>
      <c r="K642" s="1241"/>
      <c r="L642" s="1242"/>
    </row>
    <row r="643" spans="1:12" ht="23.25" x14ac:dyDescent="0.35">
      <c r="A643" s="1243" t="s">
        <v>714</v>
      </c>
      <c r="B643" s="1244"/>
      <c r="C643" s="1244"/>
      <c r="D643" s="1244"/>
      <c r="E643" s="1244"/>
      <c r="F643" s="1244"/>
      <c r="G643" s="1244"/>
      <c r="H643" s="1244"/>
      <c r="I643" s="1244"/>
      <c r="J643" s="1244"/>
      <c r="K643" s="1244"/>
      <c r="L643" s="1245"/>
    </row>
    <row r="644" spans="1:12" ht="23.25" x14ac:dyDescent="0.35">
      <c r="A644" s="619" t="s">
        <v>227</v>
      </c>
      <c r="B644" s="620"/>
      <c r="C644" s="620"/>
      <c r="D644" s="621" t="s">
        <v>716</v>
      </c>
      <c r="E644" s="1241" t="s">
        <v>597</v>
      </c>
      <c r="F644" s="1241"/>
      <c r="G644" s="1241"/>
      <c r="H644" s="1241"/>
      <c r="I644" s="1241"/>
      <c r="J644" s="618" t="s">
        <v>751</v>
      </c>
      <c r="K644" s="1241"/>
      <c r="L644" s="1242"/>
    </row>
    <row r="645" spans="1:12" x14ac:dyDescent="0.25">
      <c r="A645" s="622"/>
      <c r="B645" s="623"/>
      <c r="C645" s="623"/>
      <c r="D645" s="624"/>
      <c r="E645" s="623"/>
      <c r="F645" s="623"/>
      <c r="G645" s="623"/>
      <c r="H645" s="623"/>
      <c r="I645" s="1246"/>
      <c r="J645" s="1246"/>
      <c r="K645" s="623"/>
      <c r="L645" s="625"/>
    </row>
    <row r="646" spans="1:12" ht="15.75" x14ac:dyDescent="0.25">
      <c r="A646" s="626" t="s">
        <v>719</v>
      </c>
      <c r="B646" s="627"/>
      <c r="C646" s="628"/>
      <c r="D646" s="629" t="s">
        <v>720</v>
      </c>
      <c r="E646" s="630" t="s">
        <v>721</v>
      </c>
      <c r="F646" s="631" t="s">
        <v>722</v>
      </c>
      <c r="G646" s="626" t="s">
        <v>719</v>
      </c>
      <c r="H646" s="632"/>
      <c r="I646" s="633"/>
      <c r="J646" s="634" t="s">
        <v>720</v>
      </c>
      <c r="K646" s="626" t="s">
        <v>721</v>
      </c>
      <c r="L646" s="626" t="s">
        <v>722</v>
      </c>
    </row>
    <row r="647" spans="1:12" ht="15.75" x14ac:dyDescent="0.25">
      <c r="A647" s="635"/>
      <c r="B647" s="636"/>
      <c r="C647" s="637"/>
      <c r="D647" s="638"/>
      <c r="E647" s="639"/>
      <c r="F647" s="640"/>
      <c r="G647" s="641"/>
      <c r="H647" s="642"/>
      <c r="I647" s="643"/>
      <c r="J647" s="644"/>
      <c r="K647" s="645"/>
      <c r="L647" s="646"/>
    </row>
    <row r="648" spans="1:12" ht="15.75" x14ac:dyDescent="0.25">
      <c r="A648" s="647"/>
      <c r="B648" s="648" t="s">
        <v>273</v>
      </c>
      <c r="C648" s="649">
        <v>105</v>
      </c>
      <c r="D648" s="650" t="s">
        <v>946</v>
      </c>
      <c r="E648" s="651"/>
      <c r="F648" s="652"/>
      <c r="G648" s="647"/>
      <c r="H648" s="648"/>
      <c r="I648" s="649"/>
      <c r="J648" s="650"/>
      <c r="K648" s="651"/>
      <c r="L648" s="653"/>
    </row>
    <row r="649" spans="1:12" ht="15.75" x14ac:dyDescent="0.25">
      <c r="A649" s="647" t="s">
        <v>725</v>
      </c>
      <c r="B649" s="654"/>
      <c r="C649" s="649"/>
      <c r="D649" s="650" t="s">
        <v>726</v>
      </c>
      <c r="E649" s="651"/>
      <c r="F649" s="655">
        <v>0.5625</v>
      </c>
      <c r="G649" s="647"/>
      <c r="H649" s="648"/>
      <c r="I649" s="649"/>
      <c r="J649" s="656"/>
      <c r="K649" s="651"/>
      <c r="L649" s="657"/>
    </row>
    <row r="650" spans="1:12" ht="15.75" x14ac:dyDescent="0.25">
      <c r="A650" s="647">
        <v>47</v>
      </c>
      <c r="B650" s="648"/>
      <c r="C650" s="649"/>
      <c r="D650" s="617" t="s">
        <v>236</v>
      </c>
      <c r="E650" s="651"/>
      <c r="F650" s="658">
        <v>0.58333333333333337</v>
      </c>
      <c r="G650" s="647"/>
      <c r="H650" s="648"/>
      <c r="I650" s="649"/>
      <c r="J650" s="650"/>
      <c r="K650" s="651"/>
      <c r="L650" s="653"/>
    </row>
    <row r="651" spans="1:12" ht="15.75" x14ac:dyDescent="0.25">
      <c r="A651" s="647"/>
      <c r="B651" s="648"/>
      <c r="C651" s="649"/>
      <c r="D651" s="661"/>
      <c r="E651" s="651"/>
      <c r="F651" s="653"/>
      <c r="G651" s="647"/>
      <c r="H651" s="648"/>
      <c r="I651" s="649"/>
      <c r="J651" s="617"/>
      <c r="K651" s="651"/>
      <c r="L651" s="658"/>
    </row>
    <row r="652" spans="1:12" ht="15.75" x14ac:dyDescent="0.25">
      <c r="A652" s="647"/>
      <c r="B652" s="648"/>
      <c r="C652" s="649"/>
      <c r="D652" s="656" t="s">
        <v>860</v>
      </c>
      <c r="E652" s="662">
        <v>0.64583333333333337</v>
      </c>
      <c r="F652" s="657"/>
      <c r="G652" s="647"/>
      <c r="H652" s="648"/>
      <c r="I652" s="649"/>
      <c r="J652" s="650"/>
      <c r="K652" s="651"/>
      <c r="L652" s="653"/>
    </row>
    <row r="653" spans="1:12" ht="15.75" x14ac:dyDescent="0.25">
      <c r="A653" s="647"/>
      <c r="B653" s="648" t="s">
        <v>276</v>
      </c>
      <c r="C653" s="649" t="s">
        <v>273</v>
      </c>
      <c r="D653" s="650"/>
      <c r="E653" s="651"/>
      <c r="F653" s="653"/>
      <c r="G653" s="647"/>
      <c r="H653" s="648"/>
      <c r="I653" s="649"/>
      <c r="J653" s="656"/>
      <c r="K653" s="651"/>
      <c r="L653" s="657"/>
    </row>
    <row r="654" spans="1:12" ht="15.75" x14ac:dyDescent="0.25">
      <c r="A654" s="647"/>
      <c r="B654" s="648"/>
      <c r="C654" s="649"/>
      <c r="D654" s="661"/>
      <c r="E654" s="651"/>
      <c r="F654" s="653"/>
      <c r="G654" s="647"/>
      <c r="H654" s="648"/>
      <c r="I654" s="649"/>
      <c r="J654" s="650"/>
      <c r="K654" s="651"/>
      <c r="L654" s="653"/>
    </row>
    <row r="655" spans="1:12" ht="15.75" x14ac:dyDescent="0.25">
      <c r="A655" s="647"/>
      <c r="B655" s="648" t="s">
        <v>273</v>
      </c>
      <c r="C655" s="649">
        <v>151</v>
      </c>
      <c r="D655" s="650" t="s">
        <v>791</v>
      </c>
      <c r="E655" s="651"/>
      <c r="F655" s="653"/>
      <c r="G655" s="647"/>
      <c r="H655" s="648"/>
      <c r="I655" s="649"/>
      <c r="J655" s="617"/>
      <c r="K655" s="651"/>
      <c r="L655" s="658"/>
    </row>
    <row r="656" spans="1:12" ht="15.75" x14ac:dyDescent="0.25">
      <c r="A656" s="647">
        <v>47</v>
      </c>
      <c r="B656" s="648"/>
      <c r="C656" s="649"/>
      <c r="D656" s="656" t="s">
        <v>860</v>
      </c>
      <c r="E656" s="651"/>
      <c r="F656" s="657">
        <v>0.64583333333333337</v>
      </c>
      <c r="G656" s="647"/>
      <c r="H656" s="648"/>
      <c r="I656" s="649"/>
      <c r="J656" s="650"/>
      <c r="K656" s="651"/>
      <c r="L656" s="653"/>
    </row>
    <row r="657" spans="1:12" ht="15.75" x14ac:dyDescent="0.25">
      <c r="A657" s="647"/>
      <c r="B657" s="648"/>
      <c r="C657" s="649"/>
      <c r="D657" s="650"/>
      <c r="E657" s="651"/>
      <c r="F657" s="653"/>
      <c r="G657" s="647"/>
      <c r="H657" s="648"/>
      <c r="I657" s="649"/>
      <c r="J657" s="656"/>
      <c r="K657" s="662"/>
      <c r="L657" s="657"/>
    </row>
    <row r="658" spans="1:12" ht="15.75" x14ac:dyDescent="0.25">
      <c r="A658" s="647" t="s">
        <v>725</v>
      </c>
      <c r="B658" s="648"/>
      <c r="C658" s="649"/>
      <c r="D658" s="617" t="s">
        <v>236</v>
      </c>
      <c r="E658" s="662">
        <v>0.69791666666666663</v>
      </c>
      <c r="F658" s="657"/>
      <c r="G658" s="647"/>
      <c r="H658" s="648"/>
      <c r="I658" s="649"/>
      <c r="J658" s="650"/>
      <c r="K658" s="662"/>
      <c r="L658" s="664"/>
    </row>
    <row r="659" spans="1:12" ht="15.75" x14ac:dyDescent="0.25">
      <c r="A659" s="647"/>
      <c r="B659" s="648"/>
      <c r="C659" s="649"/>
      <c r="D659" s="650" t="s">
        <v>733</v>
      </c>
      <c r="E659" s="662">
        <v>0.71875</v>
      </c>
      <c r="F659" s="664"/>
      <c r="G659" s="647"/>
      <c r="H659" s="648"/>
      <c r="I659" s="649"/>
      <c r="J659" s="650"/>
      <c r="K659" s="651"/>
      <c r="L659" s="653"/>
    </row>
    <row r="660" spans="1:12" ht="15.75" x14ac:dyDescent="0.25">
      <c r="A660" s="647"/>
      <c r="B660" s="648" t="s">
        <v>276</v>
      </c>
      <c r="C660" s="649" t="s">
        <v>273</v>
      </c>
      <c r="D660" s="650"/>
      <c r="E660" s="651"/>
      <c r="F660" s="653"/>
      <c r="G660" s="647"/>
      <c r="H660" s="648"/>
      <c r="I660" s="649"/>
      <c r="J660" s="661"/>
      <c r="K660" s="651"/>
      <c r="L660" s="658"/>
    </row>
    <row r="661" spans="1:12" ht="15.75" x14ac:dyDescent="0.25">
      <c r="A661" s="647"/>
      <c r="B661" s="648"/>
      <c r="C661" s="649"/>
      <c r="D661" s="661"/>
      <c r="E661" s="651"/>
      <c r="F661" s="658"/>
      <c r="G661" s="647"/>
      <c r="H661" s="648"/>
      <c r="I661" s="649"/>
      <c r="J661" s="661"/>
      <c r="K661" s="651"/>
      <c r="L661" s="653"/>
    </row>
    <row r="662" spans="1:12" ht="15.75" x14ac:dyDescent="0.25">
      <c r="A662" s="647"/>
      <c r="B662" s="648"/>
      <c r="C662" s="649"/>
      <c r="D662" s="661"/>
      <c r="E662" s="651"/>
      <c r="F662" s="653"/>
      <c r="G662" s="647"/>
      <c r="H662" s="648"/>
      <c r="I662" s="649"/>
      <c r="J662" s="663"/>
      <c r="K662" s="662"/>
      <c r="L662" s="658"/>
    </row>
    <row r="663" spans="1:12" ht="15.75" x14ac:dyDescent="0.25">
      <c r="A663" s="647"/>
      <c r="B663" s="648"/>
      <c r="C663" s="649"/>
      <c r="D663" s="663"/>
      <c r="E663" s="662"/>
      <c r="F663" s="658"/>
      <c r="G663" s="647"/>
      <c r="H663" s="648"/>
      <c r="I663" s="649"/>
      <c r="J663" s="663"/>
      <c r="K663" s="651"/>
      <c r="L663" s="653"/>
    </row>
    <row r="664" spans="1:12" ht="15.75" x14ac:dyDescent="0.25">
      <c r="A664" s="647"/>
      <c r="B664" s="648"/>
      <c r="C664" s="649"/>
      <c r="D664" s="663"/>
      <c r="E664" s="651"/>
      <c r="F664" s="653"/>
      <c r="G664" s="647"/>
      <c r="H664" s="648"/>
      <c r="I664" s="649"/>
      <c r="J664" s="650"/>
      <c r="K664" s="651"/>
      <c r="L664" s="664"/>
    </row>
    <row r="665" spans="1:12" ht="15.75" x14ac:dyDescent="0.25">
      <c r="A665" s="647"/>
      <c r="B665" s="648"/>
      <c r="C665" s="649"/>
      <c r="D665" s="650"/>
      <c r="E665" s="651"/>
      <c r="F665" s="664"/>
      <c r="G665" s="647"/>
      <c r="H665" s="648"/>
      <c r="I665" s="649"/>
      <c r="J665" s="617"/>
      <c r="K665" s="651"/>
      <c r="L665" s="653"/>
    </row>
    <row r="666" spans="1:12" ht="15.75" x14ac:dyDescent="0.25">
      <c r="A666" s="647"/>
      <c r="B666" s="648"/>
      <c r="C666" s="649"/>
      <c r="D666" s="617"/>
      <c r="E666" s="651"/>
      <c r="F666" s="653"/>
      <c r="G666" s="647"/>
      <c r="H666" s="648"/>
      <c r="I666" s="649"/>
      <c r="J666" s="650"/>
      <c r="K666" s="651"/>
      <c r="L666" s="664"/>
    </row>
    <row r="667" spans="1:12" ht="15.75" x14ac:dyDescent="0.25">
      <c r="A667" s="647"/>
      <c r="B667" s="648"/>
      <c r="C667" s="649"/>
      <c r="D667" s="650"/>
      <c r="E667" s="651"/>
      <c r="F667" s="664"/>
      <c r="G667" s="647"/>
      <c r="H667" s="648"/>
      <c r="I667" s="649"/>
      <c r="J667" s="617"/>
      <c r="K667" s="651"/>
      <c r="L667" s="653"/>
    </row>
    <row r="668" spans="1:12" ht="15.75" x14ac:dyDescent="0.25">
      <c r="A668" s="647"/>
      <c r="B668" s="648"/>
      <c r="C668" s="649"/>
      <c r="D668" s="617"/>
      <c r="E668" s="651"/>
      <c r="F668" s="653"/>
      <c r="G668" s="647"/>
      <c r="H668" s="648"/>
      <c r="I668" s="649"/>
      <c r="J668" s="661"/>
      <c r="K668" s="651"/>
      <c r="L668" s="658"/>
    </row>
    <row r="669" spans="1:12" ht="15.75" x14ac:dyDescent="0.25">
      <c r="A669" s="647"/>
      <c r="B669" s="648"/>
      <c r="C669" s="649"/>
      <c r="D669" s="650"/>
      <c r="E669" s="651"/>
      <c r="F669" s="653"/>
      <c r="G669" s="647"/>
      <c r="H669" s="648"/>
      <c r="I669" s="649"/>
      <c r="J669" s="617"/>
      <c r="K669" s="651"/>
      <c r="L669" s="653"/>
    </row>
    <row r="670" spans="1:12" ht="15.75" x14ac:dyDescent="0.25">
      <c r="A670" s="647"/>
      <c r="B670" s="648"/>
      <c r="C670" s="649"/>
      <c r="D670" s="650"/>
      <c r="E670" s="651"/>
      <c r="F670" s="653"/>
      <c r="G670" s="647"/>
      <c r="H670" s="648"/>
      <c r="I670" s="649"/>
      <c r="J670" s="661"/>
      <c r="K670" s="651"/>
      <c r="L670" s="658"/>
    </row>
    <row r="671" spans="1:12" ht="15.75" x14ac:dyDescent="0.25">
      <c r="A671" s="647"/>
      <c r="B671" s="648"/>
      <c r="C671" s="649"/>
      <c r="D671" s="650"/>
      <c r="E671" s="651"/>
      <c r="F671" s="653"/>
      <c r="G671" s="647"/>
      <c r="H671" s="648"/>
      <c r="I671" s="649"/>
      <c r="J671" s="661"/>
      <c r="K671" s="651"/>
      <c r="L671" s="653"/>
    </row>
    <row r="672" spans="1:12" ht="15.75" x14ac:dyDescent="0.25">
      <c r="A672" s="647"/>
      <c r="B672" s="648"/>
      <c r="C672" s="649"/>
      <c r="D672" s="617"/>
      <c r="E672" s="651"/>
      <c r="F672" s="658"/>
      <c r="G672" s="647"/>
      <c r="H672" s="648"/>
      <c r="I672" s="649"/>
      <c r="J672" s="650"/>
      <c r="K672" s="662"/>
      <c r="L672" s="664"/>
    </row>
    <row r="673" spans="1:12" ht="15.75" x14ac:dyDescent="0.25">
      <c r="A673" s="647"/>
      <c r="B673" s="648"/>
      <c r="C673" s="649"/>
      <c r="D673" s="661"/>
      <c r="E673" s="651"/>
      <c r="F673" s="653"/>
      <c r="G673" s="647"/>
      <c r="H673" s="648"/>
      <c r="I673" s="649"/>
      <c r="J673" s="650"/>
      <c r="K673" s="651"/>
      <c r="L673" s="653"/>
    </row>
    <row r="674" spans="1:12" ht="15.75" x14ac:dyDescent="0.25">
      <c r="A674" s="647"/>
      <c r="B674" s="648"/>
      <c r="C674" s="649"/>
      <c r="D674" s="656"/>
      <c r="E674" s="662"/>
      <c r="F674" s="657"/>
      <c r="G674" s="647"/>
      <c r="H674" s="648"/>
      <c r="I674" s="649"/>
      <c r="J674" s="650"/>
      <c r="K674" s="662"/>
      <c r="L674" s="658"/>
    </row>
    <row r="675" spans="1:12" ht="15.75" x14ac:dyDescent="0.25">
      <c r="A675" s="647"/>
      <c r="B675" s="648"/>
      <c r="C675" s="649"/>
      <c r="D675" s="650"/>
      <c r="E675" s="651"/>
      <c r="F675" s="653"/>
      <c r="G675" s="647"/>
      <c r="H675" s="648"/>
      <c r="I675" s="649"/>
      <c r="J675" s="661"/>
      <c r="K675" s="651"/>
      <c r="L675" s="653"/>
    </row>
    <row r="676" spans="1:12" ht="15.75" x14ac:dyDescent="0.25">
      <c r="A676" s="647"/>
      <c r="B676" s="648"/>
      <c r="C676" s="649"/>
      <c r="D676" s="617"/>
      <c r="E676" s="651"/>
      <c r="F676" s="658"/>
      <c r="G676" s="647"/>
      <c r="H676" s="648"/>
      <c r="I676" s="649"/>
      <c r="J676" s="650"/>
      <c r="K676" s="662"/>
      <c r="L676" s="664"/>
    </row>
    <row r="677" spans="1:12" ht="15.75" x14ac:dyDescent="0.25">
      <c r="A677" s="647"/>
      <c r="B677" s="648"/>
      <c r="C677" s="649"/>
      <c r="D677" s="661"/>
      <c r="E677" s="651"/>
      <c r="F677" s="653"/>
      <c r="G677" s="647"/>
      <c r="H677" s="648"/>
      <c r="I677" s="649"/>
      <c r="J677" s="661"/>
      <c r="K677" s="651"/>
      <c r="L677" s="653"/>
    </row>
    <row r="678" spans="1:12" ht="15.75" x14ac:dyDescent="0.25">
      <c r="A678" s="647"/>
      <c r="B678" s="648"/>
      <c r="C678" s="649"/>
      <c r="D678" s="656"/>
      <c r="E678" s="662"/>
      <c r="F678" s="657"/>
      <c r="G678" s="647"/>
      <c r="H678" s="648"/>
      <c r="I678" s="649"/>
      <c r="J678" s="650"/>
      <c r="K678" s="651"/>
      <c r="L678" s="653"/>
    </row>
    <row r="679" spans="1:12" ht="15.75" x14ac:dyDescent="0.25">
      <c r="A679" s="647"/>
      <c r="B679" s="648"/>
      <c r="C679" s="649"/>
      <c r="D679" s="650"/>
      <c r="E679" s="651"/>
      <c r="F679" s="653"/>
      <c r="G679" s="666"/>
      <c r="H679" s="648"/>
      <c r="I679" s="665"/>
      <c r="J679" s="650"/>
      <c r="K679" s="651"/>
      <c r="L679" s="653"/>
    </row>
    <row r="680" spans="1:12" ht="15.75" x14ac:dyDescent="0.25">
      <c r="A680" s="667"/>
      <c r="B680" s="668"/>
      <c r="C680" s="669"/>
      <c r="D680" s="670"/>
      <c r="E680" s="671"/>
      <c r="F680" s="672"/>
      <c r="G680" s="673"/>
      <c r="H680" s="674"/>
      <c r="I680" s="675"/>
      <c r="J680" s="676"/>
      <c r="K680" s="671"/>
      <c r="L680" s="677"/>
    </row>
  </sheetData>
  <mergeCells count="102">
    <mergeCell ref="A641:L641"/>
    <mergeCell ref="A642:L642"/>
    <mergeCell ref="A643:L643"/>
    <mergeCell ref="E644:I644"/>
    <mergeCell ref="K644:L644"/>
    <mergeCell ref="I645:J645"/>
    <mergeCell ref="A601:L601"/>
    <mergeCell ref="A602:L602"/>
    <mergeCell ref="A603:L603"/>
    <mergeCell ref="E604:I604"/>
    <mergeCell ref="K604:L604"/>
    <mergeCell ref="I605:J605"/>
    <mergeCell ref="A561:L561"/>
    <mergeCell ref="A562:L562"/>
    <mergeCell ref="A563:L563"/>
    <mergeCell ref="E564:I564"/>
    <mergeCell ref="K564:L564"/>
    <mergeCell ref="I565:J565"/>
    <mergeCell ref="A521:L521"/>
    <mergeCell ref="A522:L522"/>
    <mergeCell ref="A523:L523"/>
    <mergeCell ref="E524:I524"/>
    <mergeCell ref="K524:L524"/>
    <mergeCell ref="I525:J525"/>
    <mergeCell ref="A481:L481"/>
    <mergeCell ref="A482:L482"/>
    <mergeCell ref="A483:L483"/>
    <mergeCell ref="E484:I484"/>
    <mergeCell ref="K484:L484"/>
    <mergeCell ref="I485:J485"/>
    <mergeCell ref="A441:L441"/>
    <mergeCell ref="A442:L442"/>
    <mergeCell ref="A443:L443"/>
    <mergeCell ref="E444:I444"/>
    <mergeCell ref="K444:L444"/>
    <mergeCell ref="I445:J445"/>
    <mergeCell ref="A401:L401"/>
    <mergeCell ref="A402:L402"/>
    <mergeCell ref="A403:L403"/>
    <mergeCell ref="E404:I404"/>
    <mergeCell ref="K404:L404"/>
    <mergeCell ref="I405:J405"/>
    <mergeCell ref="A361:L361"/>
    <mergeCell ref="A362:L362"/>
    <mergeCell ref="A363:L363"/>
    <mergeCell ref="E364:I364"/>
    <mergeCell ref="K364:L364"/>
    <mergeCell ref="I365:J365"/>
    <mergeCell ref="A321:L321"/>
    <mergeCell ref="A322:L322"/>
    <mergeCell ref="A323:L323"/>
    <mergeCell ref="E324:I324"/>
    <mergeCell ref="K324:L324"/>
    <mergeCell ref="I325:J325"/>
    <mergeCell ref="A281:L281"/>
    <mergeCell ref="A282:L282"/>
    <mergeCell ref="A283:L283"/>
    <mergeCell ref="E284:I284"/>
    <mergeCell ref="K284:L284"/>
    <mergeCell ref="I285:J285"/>
    <mergeCell ref="A241:L241"/>
    <mergeCell ref="A242:L242"/>
    <mergeCell ref="A243:L243"/>
    <mergeCell ref="E244:I244"/>
    <mergeCell ref="K244:L244"/>
    <mergeCell ref="I245:J245"/>
    <mergeCell ref="A201:L201"/>
    <mergeCell ref="A202:L202"/>
    <mergeCell ref="A203:L203"/>
    <mergeCell ref="E204:I204"/>
    <mergeCell ref="K204:L204"/>
    <mergeCell ref="I205:J205"/>
    <mergeCell ref="A161:L161"/>
    <mergeCell ref="A162:L162"/>
    <mergeCell ref="A163:L163"/>
    <mergeCell ref="E164:I164"/>
    <mergeCell ref="K164:L164"/>
    <mergeCell ref="I165:J165"/>
    <mergeCell ref="A121:L121"/>
    <mergeCell ref="A122:L122"/>
    <mergeCell ref="A123:L123"/>
    <mergeCell ref="E124:I124"/>
    <mergeCell ref="K124:L124"/>
    <mergeCell ref="I125:J125"/>
    <mergeCell ref="E84:I84"/>
    <mergeCell ref="K84:L84"/>
    <mergeCell ref="I85:J85"/>
    <mergeCell ref="A41:L41"/>
    <mergeCell ref="A42:L42"/>
    <mergeCell ref="A43:L43"/>
    <mergeCell ref="E44:I44"/>
    <mergeCell ref="K44:L44"/>
    <mergeCell ref="I45:J45"/>
    <mergeCell ref="A1:L1"/>
    <mergeCell ref="A2:L2"/>
    <mergeCell ref="A3:L3"/>
    <mergeCell ref="E4:I4"/>
    <mergeCell ref="K4:L4"/>
    <mergeCell ref="I5:J5"/>
    <mergeCell ref="A81:L81"/>
    <mergeCell ref="A82:L82"/>
    <mergeCell ref="A83:L83"/>
  </mergeCells>
  <pageMargins left="0.7" right="0.7" top="0.75" bottom="0.75" header="0.3" footer="0.3"/>
  <rowBreaks count="16" manualBreakCount="16">
    <brk id="40" max="16383" man="1"/>
    <brk id="80" max="16383" man="1"/>
    <brk id="120" max="16383" man="1"/>
    <brk id="160" max="16383" man="1"/>
    <brk id="200" max="16383" man="1"/>
    <brk id="240" max="16383" man="1"/>
    <brk id="280" max="16383" man="1"/>
    <brk id="320" max="16383" man="1"/>
    <brk id="360" max="16383" man="1"/>
    <brk id="400" max="16383" man="1"/>
    <brk id="440" max="16383" man="1"/>
    <brk id="480" max="16383" man="1"/>
    <brk id="520" max="16383" man="1"/>
    <brk id="560" max="16383" man="1"/>
    <brk id="600" max="16383" man="1"/>
    <brk id="64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6A4C-38F1-46AE-967F-DC754012B192}">
  <dimension ref="A1:BO89"/>
  <sheetViews>
    <sheetView topLeftCell="A43" zoomScale="60" zoomScaleNormal="60" workbookViewId="0">
      <selection activeCell="C84" activeCellId="1" sqref="S84:S88 C84:C87"/>
    </sheetView>
    <sheetView workbookViewId="1"/>
  </sheetViews>
  <sheetFormatPr defaultColWidth="9.140625" defaultRowHeight="15.75" x14ac:dyDescent="0.25"/>
  <cols>
    <col min="1" max="16384" width="9.140625" style="867"/>
  </cols>
  <sheetData>
    <row r="1" spans="1:67" ht="24" x14ac:dyDescent="0.4">
      <c r="A1" s="853" t="s">
        <v>1139</v>
      </c>
      <c r="B1" s="854"/>
      <c r="C1" s="854"/>
      <c r="D1" s="854"/>
      <c r="E1" s="854"/>
      <c r="F1" s="855" t="s">
        <v>1103</v>
      </c>
      <c r="G1" s="855"/>
      <c r="H1" s="855" t="s">
        <v>1140</v>
      </c>
      <c r="I1" s="856"/>
      <c r="J1" s="857" t="s">
        <v>1141</v>
      </c>
      <c r="K1" s="858"/>
      <c r="L1" s="859"/>
      <c r="M1" s="860"/>
      <c r="N1" s="861"/>
      <c r="O1" s="862">
        <f>SUM(O3:O79)</f>
        <v>650.00000000000023</v>
      </c>
      <c r="P1" s="863"/>
      <c r="Q1" s="853" t="s">
        <v>1142</v>
      </c>
      <c r="R1" s="854"/>
      <c r="S1" s="854"/>
      <c r="T1" s="854"/>
      <c r="U1" s="854"/>
      <c r="V1" s="855" t="s">
        <v>1103</v>
      </c>
      <c r="W1" s="855"/>
      <c r="X1" s="855" t="s">
        <v>1143</v>
      </c>
      <c r="Y1" s="856"/>
      <c r="Z1" s="857" t="s">
        <v>1141</v>
      </c>
      <c r="AA1" s="858"/>
      <c r="AB1" s="864"/>
      <c r="AC1" s="865"/>
      <c r="AD1" s="866"/>
      <c r="AE1" s="862">
        <f>SUM(AE3:AE75)</f>
        <v>473.00000000003968</v>
      </c>
      <c r="AI1" s="853" t="s">
        <v>1144</v>
      </c>
      <c r="AJ1" s="854"/>
      <c r="AK1" s="854"/>
      <c r="AL1" s="854"/>
      <c r="AM1" s="854"/>
      <c r="AN1" s="855" t="s">
        <v>1103</v>
      </c>
      <c r="AO1" s="855"/>
      <c r="AP1" s="855" t="s">
        <v>1140</v>
      </c>
      <c r="AQ1" s="856"/>
      <c r="AR1" s="857" t="s">
        <v>1141</v>
      </c>
      <c r="AS1" s="858"/>
      <c r="AT1" s="859"/>
      <c r="AU1" s="860"/>
      <c r="AV1" s="861"/>
      <c r="AW1" s="862">
        <f>SUM(AW3:AW28)</f>
        <v>190</v>
      </c>
      <c r="AX1" s="863"/>
      <c r="AY1" s="853" t="s">
        <v>1145</v>
      </c>
      <c r="AZ1" s="854"/>
      <c r="BA1" s="854"/>
      <c r="BB1" s="854"/>
      <c r="BC1" s="854"/>
      <c r="BD1" s="855" t="s">
        <v>1103</v>
      </c>
      <c r="BE1" s="855"/>
      <c r="BF1" s="855" t="s">
        <v>1143</v>
      </c>
      <c r="BG1" s="856"/>
      <c r="BH1" s="857" t="s">
        <v>1141</v>
      </c>
      <c r="BI1" s="858"/>
      <c r="BJ1" s="859"/>
      <c r="BK1" s="860"/>
      <c r="BL1" s="861"/>
      <c r="BM1" s="862">
        <f>SUM(BM3:BM75)</f>
        <v>105.00000000000001</v>
      </c>
    </row>
    <row r="2" spans="1:67" ht="63.75" thickBot="1" x14ac:dyDescent="0.3">
      <c r="A2" s="868" t="s">
        <v>719</v>
      </c>
      <c r="B2" s="869" t="s">
        <v>1146</v>
      </c>
      <c r="C2" s="869" t="s">
        <v>1147</v>
      </c>
      <c r="D2" s="869" t="s">
        <v>1148</v>
      </c>
      <c r="E2" s="869" t="s">
        <v>1149</v>
      </c>
      <c r="F2" s="869" t="s">
        <v>1150</v>
      </c>
      <c r="G2" s="869" t="s">
        <v>1151</v>
      </c>
      <c r="H2" s="869" t="s">
        <v>1152</v>
      </c>
      <c r="I2" s="869" t="s">
        <v>1150</v>
      </c>
      <c r="J2" s="870" t="s">
        <v>1153</v>
      </c>
      <c r="K2" s="870" t="s">
        <v>1154</v>
      </c>
      <c r="L2" s="870" t="s">
        <v>1155</v>
      </c>
      <c r="M2" s="870" t="s">
        <v>1156</v>
      </c>
      <c r="N2" s="870" t="s">
        <v>1157</v>
      </c>
      <c r="O2" s="871" t="s">
        <v>1158</v>
      </c>
      <c r="P2" s="872"/>
      <c r="Q2" s="868" t="s">
        <v>719</v>
      </c>
      <c r="R2" s="869" t="s">
        <v>1146</v>
      </c>
      <c r="S2" s="869" t="s">
        <v>1147</v>
      </c>
      <c r="T2" s="869" t="s">
        <v>1148</v>
      </c>
      <c r="U2" s="869" t="s">
        <v>1149</v>
      </c>
      <c r="V2" s="869" t="s">
        <v>1150</v>
      </c>
      <c r="W2" s="869" t="s">
        <v>1151</v>
      </c>
      <c r="X2" s="869" t="s">
        <v>1152</v>
      </c>
      <c r="Y2" s="869" t="s">
        <v>1150</v>
      </c>
      <c r="Z2" s="870" t="s">
        <v>1153</v>
      </c>
      <c r="AA2" s="870" t="s">
        <v>1154</v>
      </c>
      <c r="AB2" s="870" t="s">
        <v>1155</v>
      </c>
      <c r="AC2" s="870" t="s">
        <v>1156</v>
      </c>
      <c r="AD2" s="870" t="s">
        <v>1157</v>
      </c>
      <c r="AE2" s="871" t="s">
        <v>1158</v>
      </c>
      <c r="AI2" s="868" t="s">
        <v>719</v>
      </c>
      <c r="AJ2" s="869" t="s">
        <v>1146</v>
      </c>
      <c r="AK2" s="869" t="s">
        <v>1147</v>
      </c>
      <c r="AL2" s="869" t="s">
        <v>1148</v>
      </c>
      <c r="AM2" s="869" t="s">
        <v>1149</v>
      </c>
      <c r="AN2" s="869" t="s">
        <v>1150</v>
      </c>
      <c r="AO2" s="869" t="s">
        <v>1151</v>
      </c>
      <c r="AP2" s="869" t="s">
        <v>1152</v>
      </c>
      <c r="AQ2" s="869" t="s">
        <v>1150</v>
      </c>
      <c r="AR2" s="870" t="s">
        <v>1153</v>
      </c>
      <c r="AS2" s="870" t="s">
        <v>1154</v>
      </c>
      <c r="AT2" s="870" t="s">
        <v>1155</v>
      </c>
      <c r="AU2" s="870" t="s">
        <v>1156</v>
      </c>
      <c r="AV2" s="870" t="s">
        <v>1157</v>
      </c>
      <c r="AW2" s="871" t="s">
        <v>1158</v>
      </c>
      <c r="AX2" s="872"/>
      <c r="AY2" s="868" t="s">
        <v>719</v>
      </c>
      <c r="AZ2" s="869" t="s">
        <v>1146</v>
      </c>
      <c r="BA2" s="869" t="s">
        <v>1147</v>
      </c>
      <c r="BB2" s="869" t="s">
        <v>1148</v>
      </c>
      <c r="BC2" s="869" t="s">
        <v>1149</v>
      </c>
      <c r="BD2" s="869" t="s">
        <v>1150</v>
      </c>
      <c r="BE2" s="869" t="s">
        <v>1151</v>
      </c>
      <c r="BF2" s="869" t="s">
        <v>1152</v>
      </c>
      <c r="BG2" s="869" t="s">
        <v>1150</v>
      </c>
      <c r="BH2" s="870" t="s">
        <v>1153</v>
      </c>
      <c r="BI2" s="870" t="s">
        <v>1154</v>
      </c>
      <c r="BJ2" s="870" t="s">
        <v>1155</v>
      </c>
      <c r="BK2" s="870" t="s">
        <v>1156</v>
      </c>
      <c r="BL2" s="870" t="s">
        <v>1157</v>
      </c>
      <c r="BM2" s="871" t="s">
        <v>1158</v>
      </c>
    </row>
    <row r="3" spans="1:67" ht="18.75" x14ac:dyDescent="0.3">
      <c r="A3" s="873">
        <v>7</v>
      </c>
      <c r="B3" s="874">
        <v>0.22916666666666666</v>
      </c>
      <c r="C3" s="875"/>
      <c r="D3" s="876"/>
      <c r="E3" s="877">
        <v>57</v>
      </c>
      <c r="F3" s="875">
        <f>C3-E3</f>
        <v>-57</v>
      </c>
      <c r="G3" s="878">
        <f t="shared" ref="G3:G66" si="0">E3*1.1+3</f>
        <v>65.7</v>
      </c>
      <c r="H3" s="879">
        <f t="shared" ref="H3:H66" si="1">MROUND(G3,5)</f>
        <v>65</v>
      </c>
      <c r="I3" s="878">
        <f t="shared" ref="I3:I66" si="2">C3-H3</f>
        <v>-65</v>
      </c>
      <c r="J3" s="880">
        <f>B3+TIME(,H3,)</f>
        <v>0.27430555555555552</v>
      </c>
      <c r="K3" s="881">
        <v>0.28125</v>
      </c>
      <c r="L3" s="882">
        <f>((K3-B3)*86400)/60</f>
        <v>75.000000000000014</v>
      </c>
      <c r="M3" s="883">
        <f t="shared" ref="M3:M66" si="3">L3-E3</f>
        <v>18.000000000000014</v>
      </c>
      <c r="N3" s="884">
        <f>L3-H3</f>
        <v>10.000000000000014</v>
      </c>
      <c r="O3" s="885">
        <f>L3-C3</f>
        <v>75.000000000000014</v>
      </c>
      <c r="P3" s="880"/>
      <c r="Q3" s="886" t="s">
        <v>729</v>
      </c>
      <c r="R3" s="887">
        <v>0.22222222222222221</v>
      </c>
      <c r="S3" s="888">
        <v>85</v>
      </c>
      <c r="T3" s="876">
        <v>27</v>
      </c>
      <c r="U3" s="889">
        <v>75.387654320987593</v>
      </c>
      <c r="V3" s="879">
        <f>S3-U3</f>
        <v>9.6123456790124067</v>
      </c>
      <c r="W3" s="878">
        <f t="shared" ref="W3:W66" si="4">U3*1.1+3</f>
        <v>85.926419753086364</v>
      </c>
      <c r="X3" s="879">
        <f t="shared" ref="X3:X66" si="5">MROUND(W3,5)</f>
        <v>85</v>
      </c>
      <c r="Y3" s="878">
        <f t="shared" ref="Y3:Y66" si="6">S3-X3</f>
        <v>0</v>
      </c>
      <c r="Z3" s="890">
        <f t="shared" ref="Z3:Z66" si="7">R3+TIME(,X3,)</f>
        <v>0.28125</v>
      </c>
      <c r="AA3" s="891">
        <v>0.28125</v>
      </c>
      <c r="AB3" s="883">
        <f t="shared" ref="AB3:AB66" si="8">((AA3-R3)*86400)/60</f>
        <v>85.000000000000014</v>
      </c>
      <c r="AC3" s="883">
        <f t="shared" ref="AC3:AC66" si="9">AB3-U3</f>
        <v>9.6123456790124209</v>
      </c>
      <c r="AD3" s="884">
        <f>AB3-X3</f>
        <v>0</v>
      </c>
      <c r="AE3" s="885">
        <f t="shared" ref="AE3:AE66" si="10">AB3-S3</f>
        <v>0</v>
      </c>
      <c r="AG3" s="892" t="s">
        <v>1159</v>
      </c>
      <c r="AI3" s="873">
        <v>47</v>
      </c>
      <c r="AJ3" s="874" t="s">
        <v>1160</v>
      </c>
      <c r="AK3" s="875">
        <v>80</v>
      </c>
      <c r="AL3" s="876">
        <v>25</v>
      </c>
      <c r="AM3" s="889">
        <v>75.597333333333296</v>
      </c>
      <c r="AN3" s="875">
        <f>AK3-AM3</f>
        <v>4.402666666666704</v>
      </c>
      <c r="AO3" s="878">
        <f t="shared" ref="AO3:AO28" si="11">AM3*1.1+3</f>
        <v>86.157066666666637</v>
      </c>
      <c r="AP3" s="879">
        <f t="shared" ref="AP3:AP28" si="12">MROUND(AO3,5)</f>
        <v>85</v>
      </c>
      <c r="AQ3" s="878">
        <f t="shared" ref="AQ3:AQ28" si="13">AK3-AP3</f>
        <v>-5</v>
      </c>
      <c r="AR3" s="880">
        <f t="shared" ref="AR3:AR28" si="14">AJ3+TIME(,AP3,)</f>
        <v>0.37847222222222221</v>
      </c>
      <c r="AS3" s="893">
        <v>0.375</v>
      </c>
      <c r="AT3" s="882">
        <f t="shared" ref="AT3:AT28" si="15">((AS3-AJ3)*86400)/60</f>
        <v>80.000000000000028</v>
      </c>
      <c r="AU3" s="883">
        <f t="shared" ref="AU3:AU28" si="16">AT3-AM3</f>
        <v>4.4026666666667325</v>
      </c>
      <c r="AV3" s="884">
        <f>AT3-AP3</f>
        <v>-4.9999999999999716</v>
      </c>
      <c r="AW3" s="885">
        <f t="shared" ref="AW3:AW28" si="17">AT3-AK3</f>
        <v>0</v>
      </c>
      <c r="AX3" s="880"/>
      <c r="AY3" s="873">
        <v>47</v>
      </c>
      <c r="AZ3" s="893" t="s">
        <v>1161</v>
      </c>
      <c r="BA3" s="888">
        <v>70</v>
      </c>
      <c r="BB3" s="876">
        <v>25</v>
      </c>
      <c r="BC3" s="889">
        <v>57.463999999999999</v>
      </c>
      <c r="BD3" s="875">
        <f>BA3-BC3</f>
        <v>12.536000000000001</v>
      </c>
      <c r="BE3" s="878">
        <f t="shared" ref="BE3:BE27" si="18">BC3*1.1+3</f>
        <v>66.210400000000007</v>
      </c>
      <c r="BF3" s="879">
        <f t="shared" ref="BF3:BF27" si="19">MROUND(BE3,5)</f>
        <v>65</v>
      </c>
      <c r="BG3" s="878">
        <f t="shared" ref="BG3:BG27" si="20">BA3-BF3</f>
        <v>5</v>
      </c>
      <c r="BH3" s="880">
        <f t="shared" ref="BH3:BH27" si="21">AZ3+TIME(,BF3,)</f>
        <v>0.31597222222222221</v>
      </c>
      <c r="BI3" s="874">
        <v>0.31944444444444442</v>
      </c>
      <c r="BJ3" s="882">
        <f t="shared" ref="BJ3:BJ27" si="22">((BI3-AZ3)*86400)/60</f>
        <v>69.999999999999986</v>
      </c>
      <c r="BK3" s="883">
        <f t="shared" ref="BK3:BK27" si="23">BJ3-BC3</f>
        <v>12.535999999999987</v>
      </c>
      <c r="BL3" s="884">
        <f>BJ3-BF3</f>
        <v>4.9999999999999858</v>
      </c>
      <c r="BM3" s="885">
        <f t="shared" ref="BM3:BM27" si="24">BJ3-BA3</f>
        <v>0</v>
      </c>
      <c r="BO3" s="892" t="s">
        <v>1162</v>
      </c>
    </row>
    <row r="4" spans="1:67" ht="18.75" x14ac:dyDescent="0.3">
      <c r="A4" s="873" t="s">
        <v>727</v>
      </c>
      <c r="B4" s="874">
        <v>0.23958333333333334</v>
      </c>
      <c r="C4" s="875">
        <v>60</v>
      </c>
      <c r="D4" s="876">
        <v>27</v>
      </c>
      <c r="E4" s="889">
        <v>57.253086419753103</v>
      </c>
      <c r="F4" s="875">
        <f>C4-E4</f>
        <v>2.7469135802468969</v>
      </c>
      <c r="G4" s="878">
        <f t="shared" si="0"/>
        <v>65.978395061728421</v>
      </c>
      <c r="H4" s="879">
        <f t="shared" si="1"/>
        <v>65</v>
      </c>
      <c r="I4" s="878">
        <f t="shared" si="2"/>
        <v>-5</v>
      </c>
      <c r="J4" s="880">
        <f t="shared" ref="J4:J66" si="25">B4+TIME(,H4,)</f>
        <v>0.28472222222222221</v>
      </c>
      <c r="K4" s="893">
        <v>0.29166666666666669</v>
      </c>
      <c r="L4" s="882">
        <f t="shared" ref="L4:L66" si="26">((K4-B4)*86400)/60</f>
        <v>75.000000000000014</v>
      </c>
      <c r="M4" s="883">
        <f t="shared" si="3"/>
        <v>17.746913580246911</v>
      </c>
      <c r="N4" s="884">
        <f>L4-H4</f>
        <v>10.000000000000014</v>
      </c>
      <c r="O4" s="885">
        <f t="shared" ref="O4:O66" si="27">L4-C4</f>
        <v>15.000000000000014</v>
      </c>
      <c r="P4" s="880"/>
      <c r="Q4" s="886" t="s">
        <v>727</v>
      </c>
      <c r="R4" s="887">
        <v>0.25</v>
      </c>
      <c r="S4" s="888">
        <v>80</v>
      </c>
      <c r="T4" s="876">
        <v>28</v>
      </c>
      <c r="U4" s="889">
        <v>62.406547619047601</v>
      </c>
      <c r="V4" s="879">
        <f t="shared" ref="V4:V67" si="28">S4-U4</f>
        <v>17.593452380952399</v>
      </c>
      <c r="W4" s="878">
        <f t="shared" si="4"/>
        <v>71.647202380952365</v>
      </c>
      <c r="X4" s="879">
        <f t="shared" si="5"/>
        <v>70</v>
      </c>
      <c r="Y4" s="878">
        <f t="shared" si="6"/>
        <v>10</v>
      </c>
      <c r="Z4" s="890">
        <f t="shared" si="7"/>
        <v>0.2986111111111111</v>
      </c>
      <c r="AA4" s="891">
        <v>0.30555555555555558</v>
      </c>
      <c r="AB4" s="883">
        <f t="shared" si="8"/>
        <v>80.000000000000028</v>
      </c>
      <c r="AC4" s="883">
        <f t="shared" si="9"/>
        <v>17.593452380952428</v>
      </c>
      <c r="AD4" s="884">
        <f t="shared" ref="AD4:AD67" si="29">AB4-X4</f>
        <v>10.000000000000028</v>
      </c>
      <c r="AE4" s="885">
        <f t="shared" si="10"/>
        <v>0</v>
      </c>
      <c r="AG4" s="894">
        <f>AE1+O1</f>
        <v>1123.00000000004</v>
      </c>
      <c r="AI4" s="873">
        <v>47</v>
      </c>
      <c r="AJ4" s="874" t="s">
        <v>1163</v>
      </c>
      <c r="AK4" s="875">
        <v>105</v>
      </c>
      <c r="AL4" s="876">
        <v>19</v>
      </c>
      <c r="AM4" s="889">
        <v>66.743859649122797</v>
      </c>
      <c r="AN4" s="875">
        <f>AK4-AM4</f>
        <v>38.256140350877203</v>
      </c>
      <c r="AO4" s="878">
        <f t="shared" si="11"/>
        <v>76.418245614035087</v>
      </c>
      <c r="AP4" s="879">
        <f t="shared" si="12"/>
        <v>75</v>
      </c>
      <c r="AQ4" s="878">
        <f t="shared" si="13"/>
        <v>30</v>
      </c>
      <c r="AR4" s="880">
        <f t="shared" si="14"/>
        <v>0.40625</v>
      </c>
      <c r="AS4" s="895">
        <v>0.41666666666666669</v>
      </c>
      <c r="AT4" s="882">
        <f t="shared" si="15"/>
        <v>90</v>
      </c>
      <c r="AU4" s="883">
        <f t="shared" si="16"/>
        <v>23.256140350877203</v>
      </c>
      <c r="AV4" s="884">
        <f>AT4-AP4</f>
        <v>15</v>
      </c>
      <c r="AW4" s="885">
        <f t="shared" si="17"/>
        <v>-15</v>
      </c>
      <c r="AX4" s="880"/>
      <c r="AY4" s="873">
        <v>47</v>
      </c>
      <c r="AZ4" s="893" t="s">
        <v>1164</v>
      </c>
      <c r="BA4" s="888">
        <v>90</v>
      </c>
      <c r="BB4" s="876">
        <v>28</v>
      </c>
      <c r="BC4" s="889">
        <v>65.945238095238096</v>
      </c>
      <c r="BD4" s="875">
        <f t="shared" ref="BD4:BD27" si="30">BA4-BC4</f>
        <v>24.054761904761904</v>
      </c>
      <c r="BE4" s="878">
        <f t="shared" si="18"/>
        <v>75.539761904761917</v>
      </c>
      <c r="BF4" s="879">
        <f t="shared" si="19"/>
        <v>75</v>
      </c>
      <c r="BG4" s="878">
        <f t="shared" si="20"/>
        <v>15</v>
      </c>
      <c r="BH4" s="880">
        <f t="shared" si="21"/>
        <v>0.34375</v>
      </c>
      <c r="BI4" s="874">
        <v>0.35416666666666669</v>
      </c>
      <c r="BJ4" s="882">
        <f t="shared" si="22"/>
        <v>90</v>
      </c>
      <c r="BK4" s="883">
        <f t="shared" si="23"/>
        <v>24.054761904761904</v>
      </c>
      <c r="BL4" s="884">
        <f t="shared" ref="BL4:BL27" si="31">BJ4-BF4</f>
        <v>15</v>
      </c>
      <c r="BM4" s="885">
        <f t="shared" si="24"/>
        <v>0</v>
      </c>
      <c r="BO4" s="894">
        <f>BM1+AW1</f>
        <v>295</v>
      </c>
    </row>
    <row r="5" spans="1:67" ht="18.75" x14ac:dyDescent="0.3">
      <c r="A5" s="873">
        <v>7</v>
      </c>
      <c r="B5" s="874">
        <v>0.25</v>
      </c>
      <c r="C5" s="875">
        <v>60</v>
      </c>
      <c r="D5" s="876">
        <v>30</v>
      </c>
      <c r="E5" s="889">
        <v>53.948333333333302</v>
      </c>
      <c r="F5" s="875">
        <f t="shared" ref="F5:F68" si="32">C5-E5</f>
        <v>6.0516666666666978</v>
      </c>
      <c r="G5" s="878">
        <f t="shared" si="0"/>
        <v>62.34316666666664</v>
      </c>
      <c r="H5" s="879">
        <f t="shared" si="1"/>
        <v>60</v>
      </c>
      <c r="I5" s="878">
        <f t="shared" si="2"/>
        <v>0</v>
      </c>
      <c r="J5" s="880">
        <f t="shared" si="25"/>
        <v>0.29166666666666669</v>
      </c>
      <c r="K5" s="881">
        <v>0.30208333333333331</v>
      </c>
      <c r="L5" s="882">
        <f t="shared" si="26"/>
        <v>74.999999999999972</v>
      </c>
      <c r="M5" s="883">
        <f t="shared" si="3"/>
        <v>21.051666666666669</v>
      </c>
      <c r="N5" s="884">
        <f t="shared" ref="N5:N68" si="33">L5-H5</f>
        <v>14.999999999999972</v>
      </c>
      <c r="O5" s="885">
        <f t="shared" si="27"/>
        <v>14.999999999999972</v>
      </c>
      <c r="P5" s="880"/>
      <c r="Q5" s="886">
        <v>7</v>
      </c>
      <c r="R5" s="896">
        <v>0.26041666666666669</v>
      </c>
      <c r="S5" s="888">
        <v>75</v>
      </c>
      <c r="T5" s="876">
        <v>29</v>
      </c>
      <c r="U5" s="889">
        <v>60.6758620689655</v>
      </c>
      <c r="V5" s="879">
        <f t="shared" si="28"/>
        <v>14.3241379310345</v>
      </c>
      <c r="W5" s="878">
        <f t="shared" si="4"/>
        <v>69.74344827586205</v>
      </c>
      <c r="X5" s="879">
        <f t="shared" si="5"/>
        <v>70</v>
      </c>
      <c r="Y5" s="878">
        <f t="shared" si="6"/>
        <v>5</v>
      </c>
      <c r="Z5" s="890">
        <f t="shared" si="7"/>
        <v>0.30902777777777779</v>
      </c>
      <c r="AA5" s="891">
        <v>0.3125</v>
      </c>
      <c r="AB5" s="883">
        <f t="shared" si="8"/>
        <v>74.999999999999972</v>
      </c>
      <c r="AC5" s="883">
        <f t="shared" si="9"/>
        <v>14.324137931034471</v>
      </c>
      <c r="AD5" s="884">
        <f t="shared" si="29"/>
        <v>4.9999999999999716</v>
      </c>
      <c r="AE5" s="885">
        <f t="shared" si="10"/>
        <v>0</v>
      </c>
      <c r="AG5" s="897">
        <f>AG4/60</f>
        <v>18.716666666667333</v>
      </c>
      <c r="AI5" s="873">
        <v>47</v>
      </c>
      <c r="AJ5" s="874" t="s">
        <v>1165</v>
      </c>
      <c r="AK5" s="875">
        <v>80</v>
      </c>
      <c r="AL5" s="876">
        <v>14</v>
      </c>
      <c r="AM5" s="889">
        <v>62.336904761904798</v>
      </c>
      <c r="AN5" s="875">
        <f t="shared" ref="AN5:AN20" si="34">AK5-AM5</f>
        <v>17.663095238095202</v>
      </c>
      <c r="AO5" s="878">
        <f t="shared" si="11"/>
        <v>71.570595238095279</v>
      </c>
      <c r="AP5" s="879">
        <f t="shared" si="12"/>
        <v>70</v>
      </c>
      <c r="AQ5" s="878">
        <f t="shared" si="13"/>
        <v>10</v>
      </c>
      <c r="AR5" s="880">
        <f t="shared" si="14"/>
        <v>0.43055555555555552</v>
      </c>
      <c r="AS5" s="893">
        <v>0.4375</v>
      </c>
      <c r="AT5" s="882">
        <f t="shared" si="15"/>
        <v>80.000000000000028</v>
      </c>
      <c r="AU5" s="883">
        <f t="shared" si="16"/>
        <v>17.663095238095231</v>
      </c>
      <c r="AV5" s="884">
        <f t="shared" ref="AV5:AV28" si="35">AT5-AP5</f>
        <v>10.000000000000028</v>
      </c>
      <c r="AW5" s="885">
        <f t="shared" si="17"/>
        <v>0</v>
      </c>
      <c r="AX5" s="880"/>
      <c r="AY5" s="873">
        <v>47</v>
      </c>
      <c r="AZ5" s="893" t="s">
        <v>1166</v>
      </c>
      <c r="BA5" s="888">
        <v>100</v>
      </c>
      <c r="BB5" s="876">
        <v>26</v>
      </c>
      <c r="BC5" s="889">
        <v>81.004487179487199</v>
      </c>
      <c r="BD5" s="875">
        <f t="shared" si="30"/>
        <v>18.995512820512801</v>
      </c>
      <c r="BE5" s="878">
        <f t="shared" si="18"/>
        <v>92.104935897435922</v>
      </c>
      <c r="BF5" s="879">
        <f t="shared" si="19"/>
        <v>90</v>
      </c>
      <c r="BG5" s="878">
        <f t="shared" si="20"/>
        <v>10</v>
      </c>
      <c r="BH5" s="880">
        <f t="shared" si="21"/>
        <v>0.375</v>
      </c>
      <c r="BI5" s="874">
        <v>0.38194444444444442</v>
      </c>
      <c r="BJ5" s="882">
        <f t="shared" si="22"/>
        <v>99.999999999999972</v>
      </c>
      <c r="BK5" s="883">
        <f t="shared" si="23"/>
        <v>18.995512820512772</v>
      </c>
      <c r="BL5" s="884">
        <f t="shared" si="31"/>
        <v>9.9999999999999716</v>
      </c>
      <c r="BM5" s="885">
        <f t="shared" si="24"/>
        <v>0</v>
      </c>
      <c r="BO5" s="897">
        <f>BO4/60</f>
        <v>4.916666666666667</v>
      </c>
    </row>
    <row r="6" spans="1:67" ht="18.75" x14ac:dyDescent="0.3">
      <c r="A6" s="873" t="s">
        <v>727</v>
      </c>
      <c r="B6" s="874">
        <v>0.26041666666666669</v>
      </c>
      <c r="C6" s="875">
        <v>60</v>
      </c>
      <c r="D6" s="876">
        <v>25</v>
      </c>
      <c r="E6" s="889">
        <v>57.002666666666698</v>
      </c>
      <c r="F6" s="875">
        <f t="shared" si="32"/>
        <v>2.9973333333333017</v>
      </c>
      <c r="G6" s="878">
        <f t="shared" si="0"/>
        <v>65.702933333333377</v>
      </c>
      <c r="H6" s="879">
        <f t="shared" si="1"/>
        <v>65</v>
      </c>
      <c r="I6" s="878">
        <f t="shared" si="2"/>
        <v>-5</v>
      </c>
      <c r="J6" s="880">
        <f t="shared" si="25"/>
        <v>0.30555555555555558</v>
      </c>
      <c r="K6" s="893">
        <v>0.3125</v>
      </c>
      <c r="L6" s="882">
        <f t="shared" si="26"/>
        <v>74.999999999999972</v>
      </c>
      <c r="M6" s="883">
        <f t="shared" si="3"/>
        <v>17.997333333333273</v>
      </c>
      <c r="N6" s="884">
        <f t="shared" si="33"/>
        <v>9.9999999999999716</v>
      </c>
      <c r="O6" s="885">
        <f t="shared" si="27"/>
        <v>14.999999999999972</v>
      </c>
      <c r="P6" s="880"/>
      <c r="Q6" s="886" t="s">
        <v>727</v>
      </c>
      <c r="R6" s="887">
        <v>0.27083333333333331</v>
      </c>
      <c r="S6" s="888">
        <v>75</v>
      </c>
      <c r="T6" s="876">
        <v>23</v>
      </c>
      <c r="U6" s="889">
        <v>68.517391304347797</v>
      </c>
      <c r="V6" s="879">
        <f t="shared" si="28"/>
        <v>6.4826086956522033</v>
      </c>
      <c r="W6" s="878">
        <f t="shared" si="4"/>
        <v>78.369130434782576</v>
      </c>
      <c r="X6" s="879">
        <f t="shared" si="5"/>
        <v>80</v>
      </c>
      <c r="Y6" s="878">
        <f t="shared" si="6"/>
        <v>-5</v>
      </c>
      <c r="Z6" s="890">
        <f t="shared" si="7"/>
        <v>0.32638888888888884</v>
      </c>
      <c r="AA6" s="891">
        <v>0.33333333333333331</v>
      </c>
      <c r="AB6" s="883">
        <f t="shared" si="8"/>
        <v>90</v>
      </c>
      <c r="AC6" s="883">
        <f t="shared" si="9"/>
        <v>21.482608695652203</v>
      </c>
      <c r="AD6" s="884">
        <f t="shared" si="29"/>
        <v>10</v>
      </c>
      <c r="AE6" s="885">
        <f t="shared" si="10"/>
        <v>15</v>
      </c>
      <c r="AI6" s="873">
        <v>47</v>
      </c>
      <c r="AJ6" s="874" t="s">
        <v>1167</v>
      </c>
      <c r="AK6" s="875">
        <v>75</v>
      </c>
      <c r="AL6" s="876">
        <v>12</v>
      </c>
      <c r="AM6" s="889">
        <v>61.363888888888901</v>
      </c>
      <c r="AN6" s="875">
        <f t="shared" si="34"/>
        <v>13.636111111111099</v>
      </c>
      <c r="AO6" s="878">
        <f t="shared" si="11"/>
        <v>70.500277777777796</v>
      </c>
      <c r="AP6" s="879">
        <f t="shared" si="12"/>
        <v>70</v>
      </c>
      <c r="AQ6" s="878">
        <f t="shared" si="13"/>
        <v>5</v>
      </c>
      <c r="AR6" s="880">
        <f t="shared" si="14"/>
        <v>0.47569444444444442</v>
      </c>
      <c r="AS6" s="898">
        <v>0.42708333333333331</v>
      </c>
      <c r="AT6" s="882">
        <f t="shared" si="15"/>
        <v>0</v>
      </c>
      <c r="AU6" s="883">
        <f t="shared" si="16"/>
        <v>-61.363888888888901</v>
      </c>
      <c r="AV6" s="884">
        <f t="shared" si="35"/>
        <v>-70</v>
      </c>
      <c r="AW6" s="885">
        <f t="shared" si="17"/>
        <v>-75</v>
      </c>
      <c r="AX6" s="880"/>
      <c r="AY6" s="873">
        <v>47</v>
      </c>
      <c r="AZ6" s="899" t="s">
        <v>1168</v>
      </c>
      <c r="BA6" s="888">
        <v>100</v>
      </c>
      <c r="BB6" s="876">
        <v>15</v>
      </c>
      <c r="BC6" s="889">
        <v>87.315555555555505</v>
      </c>
      <c r="BD6" s="875">
        <f t="shared" si="30"/>
        <v>12.684444444444495</v>
      </c>
      <c r="BE6" s="878">
        <f t="shared" si="18"/>
        <v>99.047111111111064</v>
      </c>
      <c r="BF6" s="879">
        <f t="shared" si="19"/>
        <v>100</v>
      </c>
      <c r="BG6" s="878">
        <f t="shared" si="20"/>
        <v>0</v>
      </c>
      <c r="BH6" s="880">
        <f t="shared" si="21"/>
        <v>0.38541666666666663</v>
      </c>
      <c r="BI6" s="895">
        <v>0.38541666666666669</v>
      </c>
      <c r="BJ6" s="882">
        <f t="shared" si="22"/>
        <v>100.00000000000004</v>
      </c>
      <c r="BK6" s="883">
        <f t="shared" si="23"/>
        <v>12.684444444444537</v>
      </c>
      <c r="BL6" s="884">
        <f t="shared" si="31"/>
        <v>0</v>
      </c>
      <c r="BM6" s="885">
        <f t="shared" si="24"/>
        <v>0</v>
      </c>
    </row>
    <row r="7" spans="1:67" ht="18.75" x14ac:dyDescent="0.3">
      <c r="A7" s="873">
        <v>7</v>
      </c>
      <c r="B7" s="874">
        <v>0.27083333333333331</v>
      </c>
      <c r="C7" s="875">
        <v>60</v>
      </c>
      <c r="D7" s="876">
        <v>26</v>
      </c>
      <c r="E7" s="889">
        <v>65.740384615384599</v>
      </c>
      <c r="F7" s="875">
        <f t="shared" si="32"/>
        <v>-5.740384615384599</v>
      </c>
      <c r="G7" s="878">
        <f t="shared" si="0"/>
        <v>75.314423076923063</v>
      </c>
      <c r="H7" s="879">
        <f t="shared" si="1"/>
        <v>75</v>
      </c>
      <c r="I7" s="878">
        <f t="shared" si="2"/>
        <v>-15</v>
      </c>
      <c r="J7" s="880">
        <f t="shared" si="25"/>
        <v>0.32291666666666663</v>
      </c>
      <c r="K7" s="881">
        <v>0.34375</v>
      </c>
      <c r="L7" s="882">
        <f t="shared" si="26"/>
        <v>105.00000000000003</v>
      </c>
      <c r="M7" s="883">
        <f t="shared" si="3"/>
        <v>39.259615384615429</v>
      </c>
      <c r="N7" s="884">
        <f t="shared" si="33"/>
        <v>30.000000000000028</v>
      </c>
      <c r="O7" s="885">
        <f t="shared" si="27"/>
        <v>45.000000000000028</v>
      </c>
      <c r="P7" s="880"/>
      <c r="Q7" s="886">
        <v>7</v>
      </c>
      <c r="R7" s="896">
        <v>0.28125</v>
      </c>
      <c r="S7" s="888">
        <v>75</v>
      </c>
      <c r="T7" s="876">
        <v>28</v>
      </c>
      <c r="U7" s="889">
        <v>72.407142857142901</v>
      </c>
      <c r="V7" s="879">
        <f t="shared" si="28"/>
        <v>2.592857142857099</v>
      </c>
      <c r="W7" s="878">
        <f t="shared" si="4"/>
        <v>82.647857142857191</v>
      </c>
      <c r="X7" s="879">
        <f t="shared" si="5"/>
        <v>85</v>
      </c>
      <c r="Y7" s="878">
        <f t="shared" si="6"/>
        <v>-10</v>
      </c>
      <c r="Z7" s="890">
        <f t="shared" si="7"/>
        <v>0.34027777777777779</v>
      </c>
      <c r="AA7" s="891">
        <v>0.34375</v>
      </c>
      <c r="AB7" s="883">
        <f t="shared" si="8"/>
        <v>90</v>
      </c>
      <c r="AC7" s="883">
        <f t="shared" si="9"/>
        <v>17.592857142857099</v>
      </c>
      <c r="AD7" s="884">
        <f t="shared" si="29"/>
        <v>5</v>
      </c>
      <c r="AE7" s="885">
        <f t="shared" si="10"/>
        <v>15</v>
      </c>
      <c r="AI7" s="873">
        <v>47</v>
      </c>
      <c r="AJ7" s="874">
        <v>0.4375</v>
      </c>
      <c r="AK7" s="875"/>
      <c r="AL7" s="876"/>
      <c r="AM7" s="877">
        <v>63</v>
      </c>
      <c r="AN7" s="875">
        <f t="shared" si="34"/>
        <v>-63</v>
      </c>
      <c r="AO7" s="878">
        <f t="shared" si="11"/>
        <v>72.300000000000011</v>
      </c>
      <c r="AP7" s="879">
        <f t="shared" si="12"/>
        <v>70</v>
      </c>
      <c r="AQ7" s="878">
        <f t="shared" si="13"/>
        <v>-70</v>
      </c>
      <c r="AR7" s="880">
        <f t="shared" si="14"/>
        <v>0.4861111111111111</v>
      </c>
      <c r="AS7" s="893">
        <v>0.5</v>
      </c>
      <c r="AT7" s="882">
        <f t="shared" si="15"/>
        <v>90</v>
      </c>
      <c r="AU7" s="883">
        <f t="shared" si="16"/>
        <v>27</v>
      </c>
      <c r="AV7" s="884">
        <f t="shared" si="35"/>
        <v>20</v>
      </c>
      <c r="AW7" s="885">
        <f t="shared" si="17"/>
        <v>90</v>
      </c>
      <c r="AX7" s="880"/>
      <c r="AY7" s="873">
        <v>47</v>
      </c>
      <c r="AZ7" s="893" t="s">
        <v>1169</v>
      </c>
      <c r="BA7" s="888">
        <v>95</v>
      </c>
      <c r="BB7" s="876">
        <v>18</v>
      </c>
      <c r="BC7" s="889">
        <v>82.485185185185202</v>
      </c>
      <c r="BD7" s="875">
        <f t="shared" si="30"/>
        <v>12.514814814814798</v>
      </c>
      <c r="BE7" s="878">
        <f t="shared" si="18"/>
        <v>93.733703703703725</v>
      </c>
      <c r="BF7" s="879">
        <f t="shared" si="19"/>
        <v>95</v>
      </c>
      <c r="BG7" s="878">
        <f t="shared" si="20"/>
        <v>0</v>
      </c>
      <c r="BH7" s="880">
        <f t="shared" si="21"/>
        <v>0.40277777777777779</v>
      </c>
      <c r="BI7" s="895">
        <v>0.40277777777777779</v>
      </c>
      <c r="BJ7" s="882">
        <f t="shared" si="22"/>
        <v>94.999999999999986</v>
      </c>
      <c r="BK7" s="883">
        <f t="shared" si="23"/>
        <v>12.514814814814784</v>
      </c>
      <c r="BL7" s="884">
        <f t="shared" si="31"/>
        <v>0</v>
      </c>
      <c r="BM7" s="885">
        <f t="shared" si="24"/>
        <v>0</v>
      </c>
    </row>
    <row r="8" spans="1:67" ht="18.75" x14ac:dyDescent="0.3">
      <c r="A8" s="873" t="s">
        <v>727</v>
      </c>
      <c r="B8" s="874">
        <v>0.28125</v>
      </c>
      <c r="C8" s="875">
        <v>90</v>
      </c>
      <c r="D8" s="876">
        <v>27</v>
      </c>
      <c r="E8" s="889">
        <v>69.682098765432102</v>
      </c>
      <c r="F8" s="875">
        <f t="shared" si="32"/>
        <v>20.317901234567898</v>
      </c>
      <c r="G8" s="878">
        <f t="shared" si="0"/>
        <v>79.650308641975315</v>
      </c>
      <c r="H8" s="879">
        <f t="shared" si="1"/>
        <v>80</v>
      </c>
      <c r="I8" s="878">
        <f t="shared" si="2"/>
        <v>10</v>
      </c>
      <c r="J8" s="880">
        <f t="shared" si="25"/>
        <v>0.33680555555555558</v>
      </c>
      <c r="K8" s="893">
        <v>0.35416666666666669</v>
      </c>
      <c r="L8" s="882">
        <f t="shared" si="26"/>
        <v>105.00000000000003</v>
      </c>
      <c r="M8" s="883">
        <f t="shared" si="3"/>
        <v>35.317901234567927</v>
      </c>
      <c r="N8" s="884">
        <f t="shared" si="33"/>
        <v>25.000000000000028</v>
      </c>
      <c r="O8" s="885">
        <f t="shared" si="27"/>
        <v>15.000000000000028</v>
      </c>
      <c r="P8" s="880"/>
      <c r="Q8" s="886" t="s">
        <v>727</v>
      </c>
      <c r="R8" s="887">
        <v>0.29166666666666669</v>
      </c>
      <c r="S8" s="888">
        <v>90</v>
      </c>
      <c r="T8" s="876">
        <v>27</v>
      </c>
      <c r="U8" s="889">
        <v>75.122222222222206</v>
      </c>
      <c r="V8" s="879">
        <f t="shared" si="28"/>
        <v>14.877777777777794</v>
      </c>
      <c r="W8" s="878">
        <f t="shared" si="4"/>
        <v>85.634444444444426</v>
      </c>
      <c r="X8" s="879">
        <f t="shared" si="5"/>
        <v>85</v>
      </c>
      <c r="Y8" s="878">
        <f t="shared" si="6"/>
        <v>5</v>
      </c>
      <c r="Z8" s="890">
        <f t="shared" si="7"/>
        <v>0.35069444444444448</v>
      </c>
      <c r="AA8" s="891">
        <v>0.36458333333333331</v>
      </c>
      <c r="AB8" s="883">
        <f t="shared" si="8"/>
        <v>104.99999999999994</v>
      </c>
      <c r="AC8" s="883">
        <f t="shared" si="9"/>
        <v>29.877777777777737</v>
      </c>
      <c r="AD8" s="884">
        <f t="shared" si="29"/>
        <v>19.999999999999943</v>
      </c>
      <c r="AE8" s="885">
        <f t="shared" si="10"/>
        <v>14.999999999999943</v>
      </c>
      <c r="AI8" s="873">
        <v>47</v>
      </c>
      <c r="AJ8" s="874" t="s">
        <v>1170</v>
      </c>
      <c r="AK8" s="875">
        <v>75</v>
      </c>
      <c r="AL8" s="876">
        <v>18</v>
      </c>
      <c r="AM8" s="889">
        <v>64.853703703703701</v>
      </c>
      <c r="AN8" s="875">
        <f t="shared" si="34"/>
        <v>10.146296296296299</v>
      </c>
      <c r="AO8" s="878">
        <f t="shared" si="11"/>
        <v>74.339074074074077</v>
      </c>
      <c r="AP8" s="879">
        <f t="shared" si="12"/>
        <v>75</v>
      </c>
      <c r="AQ8" s="878">
        <f t="shared" si="13"/>
        <v>0</v>
      </c>
      <c r="AR8" s="880">
        <f t="shared" si="14"/>
        <v>0.53125</v>
      </c>
      <c r="AS8" s="898">
        <v>0.47916666666666669</v>
      </c>
      <c r="AT8" s="882">
        <f t="shared" si="15"/>
        <v>0</v>
      </c>
      <c r="AU8" s="883">
        <f t="shared" si="16"/>
        <v>-64.853703703703701</v>
      </c>
      <c r="AV8" s="884">
        <f t="shared" si="35"/>
        <v>-75</v>
      </c>
      <c r="AW8" s="885">
        <f t="shared" si="17"/>
        <v>-75</v>
      </c>
      <c r="AX8" s="880"/>
      <c r="AY8" s="873">
        <v>47</v>
      </c>
      <c r="AZ8" s="893" t="s">
        <v>1171</v>
      </c>
      <c r="BA8" s="888">
        <v>75</v>
      </c>
      <c r="BB8" s="876">
        <v>17</v>
      </c>
      <c r="BC8" s="889">
        <v>60.590196078431397</v>
      </c>
      <c r="BD8" s="875">
        <f t="shared" si="30"/>
        <v>14.409803921568603</v>
      </c>
      <c r="BE8" s="878">
        <f t="shared" si="18"/>
        <v>69.649215686274545</v>
      </c>
      <c r="BF8" s="879">
        <f t="shared" si="19"/>
        <v>70</v>
      </c>
      <c r="BG8" s="878">
        <f t="shared" si="20"/>
        <v>5</v>
      </c>
      <c r="BH8" s="880">
        <f t="shared" si="21"/>
        <v>0.4236111111111111</v>
      </c>
      <c r="BI8" s="874">
        <v>0.4375</v>
      </c>
      <c r="BJ8" s="882">
        <f t="shared" si="22"/>
        <v>90</v>
      </c>
      <c r="BK8" s="883">
        <f t="shared" si="23"/>
        <v>29.409803921568603</v>
      </c>
      <c r="BL8" s="884">
        <f t="shared" si="31"/>
        <v>20</v>
      </c>
      <c r="BM8" s="885">
        <f t="shared" si="24"/>
        <v>15</v>
      </c>
    </row>
    <row r="9" spans="1:67" ht="18.75" x14ac:dyDescent="0.3">
      <c r="A9" s="873">
        <v>7</v>
      </c>
      <c r="B9" s="874">
        <v>0.29166666666666669</v>
      </c>
      <c r="C9" s="875">
        <v>90</v>
      </c>
      <c r="D9" s="876">
        <v>28</v>
      </c>
      <c r="E9" s="889">
        <v>75.924999999999997</v>
      </c>
      <c r="F9" s="875">
        <f t="shared" si="32"/>
        <v>14.075000000000003</v>
      </c>
      <c r="G9" s="878">
        <f t="shared" si="0"/>
        <v>86.517499999999998</v>
      </c>
      <c r="H9" s="879">
        <f t="shared" si="1"/>
        <v>85</v>
      </c>
      <c r="I9" s="878">
        <f t="shared" si="2"/>
        <v>5</v>
      </c>
      <c r="J9" s="880">
        <f t="shared" si="25"/>
        <v>0.35069444444444448</v>
      </c>
      <c r="K9" s="881">
        <v>0.35416666666666669</v>
      </c>
      <c r="L9" s="882">
        <f t="shared" si="26"/>
        <v>90</v>
      </c>
      <c r="M9" s="883">
        <f t="shared" si="3"/>
        <v>14.075000000000003</v>
      </c>
      <c r="N9" s="884">
        <f t="shared" si="33"/>
        <v>5</v>
      </c>
      <c r="O9" s="885">
        <f t="shared" si="27"/>
        <v>0</v>
      </c>
      <c r="P9" s="880"/>
      <c r="Q9" s="886">
        <v>7</v>
      </c>
      <c r="R9" s="896">
        <v>0.30208333333333298</v>
      </c>
      <c r="S9" s="888">
        <v>105</v>
      </c>
      <c r="T9" s="876">
        <v>27</v>
      </c>
      <c r="U9" s="889">
        <v>80.532098765432096</v>
      </c>
      <c r="V9" s="879">
        <f t="shared" si="28"/>
        <v>24.467901234567904</v>
      </c>
      <c r="W9" s="878">
        <f t="shared" si="4"/>
        <v>91.585308641975317</v>
      </c>
      <c r="X9" s="879">
        <f t="shared" si="5"/>
        <v>90</v>
      </c>
      <c r="Y9" s="878">
        <f t="shared" si="6"/>
        <v>15</v>
      </c>
      <c r="Z9" s="890">
        <f t="shared" si="7"/>
        <v>0.36458333333333298</v>
      </c>
      <c r="AA9" s="891">
        <v>0.375</v>
      </c>
      <c r="AB9" s="883">
        <f t="shared" si="8"/>
        <v>105.0000000000005</v>
      </c>
      <c r="AC9" s="883">
        <f t="shared" si="9"/>
        <v>24.467901234568401</v>
      </c>
      <c r="AD9" s="884">
        <f t="shared" si="29"/>
        <v>15.000000000000497</v>
      </c>
      <c r="AE9" s="885">
        <f t="shared" si="10"/>
        <v>4.9737991503207013E-13</v>
      </c>
      <c r="AI9" s="873">
        <v>47</v>
      </c>
      <c r="AJ9" s="874">
        <v>0.5</v>
      </c>
      <c r="AK9" s="875"/>
      <c r="AL9" s="876"/>
      <c r="AM9" s="877">
        <v>67</v>
      </c>
      <c r="AN9" s="875">
        <f t="shared" si="34"/>
        <v>-67</v>
      </c>
      <c r="AO9" s="878">
        <f t="shared" si="11"/>
        <v>76.7</v>
      </c>
      <c r="AP9" s="879">
        <f t="shared" si="12"/>
        <v>75</v>
      </c>
      <c r="AQ9" s="878">
        <f t="shared" si="13"/>
        <v>-75</v>
      </c>
      <c r="AR9" s="880">
        <f t="shared" si="14"/>
        <v>0.55208333333333337</v>
      </c>
      <c r="AS9" s="893">
        <v>0.5625</v>
      </c>
      <c r="AT9" s="882">
        <f t="shared" si="15"/>
        <v>90</v>
      </c>
      <c r="AU9" s="883">
        <f t="shared" si="16"/>
        <v>23</v>
      </c>
      <c r="AV9" s="884">
        <f t="shared" si="35"/>
        <v>15</v>
      </c>
      <c r="AW9" s="885">
        <f t="shared" si="17"/>
        <v>90</v>
      </c>
      <c r="AX9" s="880"/>
      <c r="AY9" s="873">
        <v>47</v>
      </c>
      <c r="AZ9" s="893" t="s">
        <v>1167</v>
      </c>
      <c r="BA9" s="888">
        <v>75</v>
      </c>
      <c r="BB9" s="876">
        <v>19</v>
      </c>
      <c r="BC9" s="889">
        <v>60.149122807017498</v>
      </c>
      <c r="BD9" s="875">
        <f t="shared" si="30"/>
        <v>14.850877192982502</v>
      </c>
      <c r="BE9" s="878">
        <f t="shared" si="18"/>
        <v>69.164035087719256</v>
      </c>
      <c r="BF9" s="879">
        <f t="shared" si="19"/>
        <v>70</v>
      </c>
      <c r="BG9" s="878">
        <f t="shared" si="20"/>
        <v>5</v>
      </c>
      <c r="BH9" s="880">
        <f t="shared" si="21"/>
        <v>0.47569444444444442</v>
      </c>
      <c r="BI9" s="898">
        <v>0.42708333333333331</v>
      </c>
      <c r="BJ9" s="882">
        <f t="shared" si="22"/>
        <v>0</v>
      </c>
      <c r="BK9" s="883">
        <f t="shared" si="23"/>
        <v>-60.149122807017498</v>
      </c>
      <c r="BL9" s="884">
        <f t="shared" si="31"/>
        <v>-70</v>
      </c>
      <c r="BM9" s="885">
        <f t="shared" si="24"/>
        <v>-75</v>
      </c>
    </row>
    <row r="10" spans="1:67" ht="18.75" x14ac:dyDescent="0.3">
      <c r="A10" s="873">
        <v>7</v>
      </c>
      <c r="B10" s="874">
        <v>0.2986111111111111</v>
      </c>
      <c r="C10" s="875">
        <v>80</v>
      </c>
      <c r="D10" s="876">
        <v>26</v>
      </c>
      <c r="E10" s="889">
        <v>77.715384615384593</v>
      </c>
      <c r="F10" s="875">
        <f t="shared" si="32"/>
        <v>2.2846153846154067</v>
      </c>
      <c r="G10" s="878">
        <f t="shared" si="0"/>
        <v>88.486923076923063</v>
      </c>
      <c r="H10" s="879">
        <f t="shared" si="1"/>
        <v>90</v>
      </c>
      <c r="I10" s="878">
        <f t="shared" si="2"/>
        <v>-10</v>
      </c>
      <c r="J10" s="880">
        <f t="shared" si="25"/>
        <v>0.3611111111111111</v>
      </c>
      <c r="K10" s="881">
        <v>0.36458333333333331</v>
      </c>
      <c r="L10" s="882">
        <f t="shared" si="26"/>
        <v>94.999999999999986</v>
      </c>
      <c r="M10" s="883">
        <f t="shared" si="3"/>
        <v>17.284615384615392</v>
      </c>
      <c r="N10" s="884">
        <f t="shared" si="33"/>
        <v>4.9999999999999858</v>
      </c>
      <c r="O10" s="885">
        <f t="shared" si="27"/>
        <v>14.999999999999986</v>
      </c>
      <c r="P10" s="880"/>
      <c r="Q10" s="886" t="s">
        <v>727</v>
      </c>
      <c r="R10" s="887">
        <v>0.3125</v>
      </c>
      <c r="S10" s="888">
        <v>105</v>
      </c>
      <c r="T10" s="876">
        <v>20</v>
      </c>
      <c r="U10" s="889">
        <v>92.775000000000006</v>
      </c>
      <c r="V10" s="879">
        <f t="shared" si="28"/>
        <v>12.224999999999994</v>
      </c>
      <c r="W10" s="878">
        <f t="shared" si="4"/>
        <v>105.05250000000001</v>
      </c>
      <c r="X10" s="879">
        <f t="shared" si="5"/>
        <v>105</v>
      </c>
      <c r="Y10" s="878">
        <f t="shared" si="6"/>
        <v>0</v>
      </c>
      <c r="Z10" s="890">
        <f t="shared" si="7"/>
        <v>0.38541666666666669</v>
      </c>
      <c r="AA10" s="900">
        <v>0.3888888888888889</v>
      </c>
      <c r="AB10" s="883">
        <f t="shared" si="8"/>
        <v>110.00000000000001</v>
      </c>
      <c r="AC10" s="883">
        <f t="shared" si="9"/>
        <v>17.225000000000009</v>
      </c>
      <c r="AD10" s="884">
        <f t="shared" si="29"/>
        <v>5.0000000000000142</v>
      </c>
      <c r="AE10" s="885">
        <f t="shared" si="10"/>
        <v>5.0000000000000142</v>
      </c>
      <c r="AI10" s="873">
        <v>47</v>
      </c>
      <c r="AJ10" s="874" t="s">
        <v>1172</v>
      </c>
      <c r="AK10" s="875">
        <v>75</v>
      </c>
      <c r="AL10" s="876">
        <v>12</v>
      </c>
      <c r="AM10" s="889">
        <v>69.127777777777794</v>
      </c>
      <c r="AN10" s="875">
        <f t="shared" si="34"/>
        <v>5.8722222222222058</v>
      </c>
      <c r="AO10" s="878">
        <f t="shared" si="11"/>
        <v>79.040555555555585</v>
      </c>
      <c r="AP10" s="879">
        <f t="shared" si="12"/>
        <v>80</v>
      </c>
      <c r="AQ10" s="878">
        <f t="shared" si="13"/>
        <v>-5</v>
      </c>
      <c r="AR10" s="880">
        <f t="shared" si="14"/>
        <v>0.58680555555555558</v>
      </c>
      <c r="AS10" s="898">
        <v>0.53125</v>
      </c>
      <c r="AT10" s="882">
        <f t="shared" si="15"/>
        <v>0</v>
      </c>
      <c r="AU10" s="883">
        <f t="shared" si="16"/>
        <v>-69.127777777777794</v>
      </c>
      <c r="AV10" s="884">
        <f t="shared" si="35"/>
        <v>-80</v>
      </c>
      <c r="AW10" s="885">
        <f t="shared" si="17"/>
        <v>-75</v>
      </c>
      <c r="AX10" s="880"/>
      <c r="AY10" s="873">
        <v>47</v>
      </c>
      <c r="AZ10" s="893">
        <v>0.4375</v>
      </c>
      <c r="BA10" s="888"/>
      <c r="BB10" s="876"/>
      <c r="BC10" s="877">
        <v>60.149122807017498</v>
      </c>
      <c r="BD10" s="875">
        <f t="shared" si="30"/>
        <v>-60.149122807017498</v>
      </c>
      <c r="BE10" s="878">
        <f t="shared" si="18"/>
        <v>69.164035087719256</v>
      </c>
      <c r="BF10" s="879">
        <f t="shared" si="19"/>
        <v>70</v>
      </c>
      <c r="BG10" s="878">
        <f t="shared" si="20"/>
        <v>-70</v>
      </c>
      <c r="BH10" s="880">
        <f t="shared" si="21"/>
        <v>0.4861111111111111</v>
      </c>
      <c r="BI10" s="874">
        <v>0.5</v>
      </c>
      <c r="BJ10" s="882">
        <f t="shared" si="22"/>
        <v>90</v>
      </c>
      <c r="BK10" s="883">
        <f t="shared" si="23"/>
        <v>29.850877192982502</v>
      </c>
      <c r="BL10" s="884">
        <f t="shared" si="31"/>
        <v>20</v>
      </c>
      <c r="BM10" s="885">
        <f t="shared" si="24"/>
        <v>90</v>
      </c>
    </row>
    <row r="11" spans="1:67" ht="18.75" x14ac:dyDescent="0.3">
      <c r="A11" s="873" t="s">
        <v>727</v>
      </c>
      <c r="B11" s="874">
        <v>0.30555555555555558</v>
      </c>
      <c r="C11" s="875">
        <v>85</v>
      </c>
      <c r="D11" s="876">
        <v>29</v>
      </c>
      <c r="E11" s="889">
        <v>76.966666666666697</v>
      </c>
      <c r="F11" s="875">
        <f t="shared" si="32"/>
        <v>8.033333333333303</v>
      </c>
      <c r="G11" s="878">
        <f t="shared" si="0"/>
        <v>87.66333333333337</v>
      </c>
      <c r="H11" s="879">
        <f t="shared" si="1"/>
        <v>90</v>
      </c>
      <c r="I11" s="878">
        <f t="shared" si="2"/>
        <v>-5</v>
      </c>
      <c r="J11" s="880">
        <f t="shared" si="25"/>
        <v>0.36805555555555558</v>
      </c>
      <c r="K11" s="893">
        <v>0.375</v>
      </c>
      <c r="L11" s="882">
        <f t="shared" si="26"/>
        <v>99.999999999999972</v>
      </c>
      <c r="M11" s="883">
        <f t="shared" si="3"/>
        <v>23.033333333333275</v>
      </c>
      <c r="N11" s="884">
        <f t="shared" si="33"/>
        <v>9.9999999999999716</v>
      </c>
      <c r="O11" s="885">
        <f t="shared" si="27"/>
        <v>14.999999999999972</v>
      </c>
      <c r="P11" s="880"/>
      <c r="Q11" s="886">
        <v>7</v>
      </c>
      <c r="R11" s="896">
        <v>0.32291666666666702</v>
      </c>
      <c r="S11" s="888">
        <v>105</v>
      </c>
      <c r="T11" s="876">
        <v>28</v>
      </c>
      <c r="U11" s="889">
        <v>95.917857142857102</v>
      </c>
      <c r="V11" s="879">
        <f t="shared" si="28"/>
        <v>9.0821428571428982</v>
      </c>
      <c r="W11" s="878">
        <f t="shared" si="4"/>
        <v>108.50964285714282</v>
      </c>
      <c r="X11" s="879">
        <f t="shared" si="5"/>
        <v>110</v>
      </c>
      <c r="Y11" s="878">
        <f t="shared" si="6"/>
        <v>-5</v>
      </c>
      <c r="Z11" s="890">
        <f t="shared" si="7"/>
        <v>0.39930555555555591</v>
      </c>
      <c r="AA11" s="891">
        <v>0.39583333333333331</v>
      </c>
      <c r="AB11" s="883">
        <f t="shared" si="8"/>
        <v>104.99999999999947</v>
      </c>
      <c r="AC11" s="883">
        <f t="shared" si="9"/>
        <v>9.0821428571423723</v>
      </c>
      <c r="AD11" s="884">
        <f t="shared" si="29"/>
        <v>-5.0000000000005258</v>
      </c>
      <c r="AE11" s="885">
        <f t="shared" si="10"/>
        <v>-5.2580162446247414E-13</v>
      </c>
      <c r="AI11" s="873">
        <v>47</v>
      </c>
      <c r="AJ11" s="874">
        <v>0.5625</v>
      </c>
      <c r="AK11" s="875"/>
      <c r="AL11" s="876"/>
      <c r="AM11" s="877">
        <v>69.127777777777794</v>
      </c>
      <c r="AN11" s="875">
        <f t="shared" si="34"/>
        <v>-69.127777777777794</v>
      </c>
      <c r="AO11" s="878">
        <f t="shared" si="11"/>
        <v>79.040555555555585</v>
      </c>
      <c r="AP11" s="879">
        <f t="shared" si="12"/>
        <v>80</v>
      </c>
      <c r="AQ11" s="878">
        <f t="shared" si="13"/>
        <v>-80</v>
      </c>
      <c r="AR11" s="880">
        <f t="shared" si="14"/>
        <v>0.61805555555555558</v>
      </c>
      <c r="AS11" s="893">
        <v>0.625</v>
      </c>
      <c r="AT11" s="882">
        <f t="shared" si="15"/>
        <v>90</v>
      </c>
      <c r="AU11" s="883">
        <f t="shared" si="16"/>
        <v>20.872222222222206</v>
      </c>
      <c r="AV11" s="884">
        <f t="shared" si="35"/>
        <v>10</v>
      </c>
      <c r="AW11" s="885">
        <f t="shared" si="17"/>
        <v>90</v>
      </c>
      <c r="AX11" s="880"/>
      <c r="AY11" s="873">
        <v>47</v>
      </c>
      <c r="AZ11" s="893" t="s">
        <v>1170</v>
      </c>
      <c r="BA11" s="888">
        <v>75</v>
      </c>
      <c r="BB11" s="876">
        <v>12</v>
      </c>
      <c r="BC11" s="889">
        <v>58.406944444444399</v>
      </c>
      <c r="BD11" s="875">
        <f t="shared" si="30"/>
        <v>16.593055555555601</v>
      </c>
      <c r="BE11" s="878">
        <f t="shared" si="18"/>
        <v>67.247638888888844</v>
      </c>
      <c r="BF11" s="879">
        <f t="shared" si="19"/>
        <v>65</v>
      </c>
      <c r="BG11" s="878">
        <f t="shared" si="20"/>
        <v>10</v>
      </c>
      <c r="BH11" s="880">
        <f t="shared" si="21"/>
        <v>0.52430555555555558</v>
      </c>
      <c r="BI11" s="898">
        <v>0.47916666666666669</v>
      </c>
      <c r="BJ11" s="882">
        <f t="shared" si="22"/>
        <v>0</v>
      </c>
      <c r="BK11" s="883">
        <f t="shared" si="23"/>
        <v>-58.406944444444399</v>
      </c>
      <c r="BL11" s="884">
        <f t="shared" si="31"/>
        <v>-65</v>
      </c>
      <c r="BM11" s="885">
        <f t="shared" si="24"/>
        <v>-75</v>
      </c>
    </row>
    <row r="12" spans="1:67" ht="18.75" x14ac:dyDescent="0.3">
      <c r="A12" s="873">
        <v>7</v>
      </c>
      <c r="B12" s="874">
        <v>0.3125</v>
      </c>
      <c r="C12" s="875">
        <v>90</v>
      </c>
      <c r="D12" s="876">
        <v>30</v>
      </c>
      <c r="E12" s="889">
        <v>91.374444444444407</v>
      </c>
      <c r="F12" s="875">
        <f t="shared" si="32"/>
        <v>-1.3744444444444071</v>
      </c>
      <c r="G12" s="878">
        <f t="shared" si="0"/>
        <v>103.51188888888886</v>
      </c>
      <c r="H12" s="879">
        <f t="shared" si="1"/>
        <v>105</v>
      </c>
      <c r="I12" s="878">
        <f t="shared" si="2"/>
        <v>-15</v>
      </c>
      <c r="J12" s="880">
        <f t="shared" si="25"/>
        <v>0.38541666666666669</v>
      </c>
      <c r="K12" s="881">
        <v>0.38541666666666669</v>
      </c>
      <c r="L12" s="882">
        <f t="shared" si="26"/>
        <v>105.00000000000003</v>
      </c>
      <c r="M12" s="883">
        <f t="shared" si="3"/>
        <v>13.625555555555621</v>
      </c>
      <c r="N12" s="884">
        <f t="shared" si="33"/>
        <v>0</v>
      </c>
      <c r="O12" s="885">
        <f t="shared" si="27"/>
        <v>15.000000000000028</v>
      </c>
      <c r="P12" s="880"/>
      <c r="Q12" s="886" t="s">
        <v>727</v>
      </c>
      <c r="R12" s="887">
        <v>0.33333333333333331</v>
      </c>
      <c r="S12" s="888">
        <v>105</v>
      </c>
      <c r="T12" s="876">
        <v>27</v>
      </c>
      <c r="U12" s="889">
        <v>95.319753086419794</v>
      </c>
      <c r="V12" s="879">
        <f t="shared" si="28"/>
        <v>9.6802469135802056</v>
      </c>
      <c r="W12" s="878">
        <f t="shared" si="4"/>
        <v>107.85172839506178</v>
      </c>
      <c r="X12" s="879">
        <f t="shared" si="5"/>
        <v>110</v>
      </c>
      <c r="Y12" s="878">
        <f t="shared" si="6"/>
        <v>-5</v>
      </c>
      <c r="Z12" s="890">
        <f t="shared" si="7"/>
        <v>0.40972222222222221</v>
      </c>
      <c r="AA12" s="891">
        <v>0.41666666666666669</v>
      </c>
      <c r="AB12" s="883">
        <f t="shared" si="8"/>
        <v>120.00000000000006</v>
      </c>
      <c r="AC12" s="883">
        <f t="shared" si="9"/>
        <v>24.680246913580262</v>
      </c>
      <c r="AD12" s="884">
        <f t="shared" si="29"/>
        <v>10.000000000000057</v>
      </c>
      <c r="AE12" s="885">
        <f t="shared" si="10"/>
        <v>15.000000000000057</v>
      </c>
      <c r="AI12" s="873">
        <v>47</v>
      </c>
      <c r="AJ12" s="874" t="s">
        <v>1173</v>
      </c>
      <c r="AK12" s="875">
        <v>70</v>
      </c>
      <c r="AL12" s="876">
        <v>14</v>
      </c>
      <c r="AM12" s="889">
        <v>68.979761904761901</v>
      </c>
      <c r="AN12" s="875">
        <f t="shared" si="34"/>
        <v>1.0202380952380992</v>
      </c>
      <c r="AO12" s="878">
        <f t="shared" si="11"/>
        <v>78.877738095238101</v>
      </c>
      <c r="AP12" s="879">
        <f t="shared" si="12"/>
        <v>80</v>
      </c>
      <c r="AQ12" s="878">
        <f t="shared" si="13"/>
        <v>-10</v>
      </c>
      <c r="AR12" s="880">
        <f t="shared" si="14"/>
        <v>0.63888888888888895</v>
      </c>
      <c r="AS12" s="898">
        <v>0.58333333333333337</v>
      </c>
      <c r="AT12" s="882">
        <f t="shared" si="15"/>
        <v>0</v>
      </c>
      <c r="AU12" s="883">
        <f t="shared" si="16"/>
        <v>-68.979761904761901</v>
      </c>
      <c r="AV12" s="884">
        <f t="shared" si="35"/>
        <v>-80</v>
      </c>
      <c r="AW12" s="885">
        <f t="shared" si="17"/>
        <v>-70</v>
      </c>
      <c r="AX12" s="880"/>
      <c r="AY12" s="873">
        <v>47</v>
      </c>
      <c r="AZ12" s="893">
        <v>0.5</v>
      </c>
      <c r="BA12" s="888"/>
      <c r="BB12" s="876"/>
      <c r="BC12" s="877">
        <v>60</v>
      </c>
      <c r="BD12" s="875">
        <f t="shared" si="30"/>
        <v>-60</v>
      </c>
      <c r="BE12" s="878">
        <f t="shared" si="18"/>
        <v>69</v>
      </c>
      <c r="BF12" s="879">
        <f t="shared" si="19"/>
        <v>70</v>
      </c>
      <c r="BG12" s="878">
        <f t="shared" si="20"/>
        <v>-70</v>
      </c>
      <c r="BH12" s="880">
        <f t="shared" si="21"/>
        <v>0.54861111111111116</v>
      </c>
      <c r="BI12" s="874">
        <v>0.5625</v>
      </c>
      <c r="BJ12" s="882">
        <f t="shared" si="22"/>
        <v>90</v>
      </c>
      <c r="BK12" s="883">
        <f t="shared" si="23"/>
        <v>30</v>
      </c>
      <c r="BL12" s="884">
        <f t="shared" si="31"/>
        <v>20</v>
      </c>
      <c r="BM12" s="885">
        <f t="shared" si="24"/>
        <v>90</v>
      </c>
    </row>
    <row r="13" spans="1:67" ht="18.75" x14ac:dyDescent="0.3">
      <c r="A13" s="873" t="s">
        <v>727</v>
      </c>
      <c r="B13" s="874">
        <v>0.32291666666666669</v>
      </c>
      <c r="C13" s="875">
        <v>90</v>
      </c>
      <c r="D13" s="876">
        <v>28</v>
      </c>
      <c r="E13" s="889">
        <v>86.279761904761898</v>
      </c>
      <c r="F13" s="875">
        <f t="shared" si="32"/>
        <v>3.720238095238102</v>
      </c>
      <c r="G13" s="878">
        <f t="shared" si="0"/>
        <v>97.907738095238102</v>
      </c>
      <c r="H13" s="879">
        <f t="shared" si="1"/>
        <v>100</v>
      </c>
      <c r="I13" s="878">
        <f t="shared" si="2"/>
        <v>-10</v>
      </c>
      <c r="J13" s="880">
        <f t="shared" si="25"/>
        <v>0.39236111111111116</v>
      </c>
      <c r="K13" s="893">
        <v>0.39583333333333331</v>
      </c>
      <c r="L13" s="882">
        <f t="shared" si="26"/>
        <v>104.99999999999994</v>
      </c>
      <c r="M13" s="883">
        <f t="shared" si="3"/>
        <v>18.720238095238045</v>
      </c>
      <c r="N13" s="884">
        <f t="shared" si="33"/>
        <v>4.9999999999999432</v>
      </c>
      <c r="O13" s="885">
        <f t="shared" si="27"/>
        <v>14.999999999999943</v>
      </c>
      <c r="P13" s="880"/>
      <c r="Q13" s="886">
        <v>7</v>
      </c>
      <c r="R13" s="896">
        <v>0.34375</v>
      </c>
      <c r="S13" s="888">
        <v>95</v>
      </c>
      <c r="T13" s="876">
        <v>29</v>
      </c>
      <c r="U13" s="889">
        <v>91.733333333333405</v>
      </c>
      <c r="V13" s="879">
        <f t="shared" si="28"/>
        <v>3.2666666666665947</v>
      </c>
      <c r="W13" s="878">
        <f t="shared" si="4"/>
        <v>103.90666666666675</v>
      </c>
      <c r="X13" s="879">
        <f t="shared" si="5"/>
        <v>105</v>
      </c>
      <c r="Y13" s="878">
        <f t="shared" si="6"/>
        <v>-10</v>
      </c>
      <c r="Z13" s="890">
        <f t="shared" si="7"/>
        <v>0.41666666666666669</v>
      </c>
      <c r="AA13" s="900">
        <v>0.4201388888888889</v>
      </c>
      <c r="AB13" s="883">
        <f t="shared" si="8"/>
        <v>110.00000000000001</v>
      </c>
      <c r="AC13" s="883">
        <f t="shared" si="9"/>
        <v>18.266666666666609</v>
      </c>
      <c r="AD13" s="884">
        <f t="shared" si="29"/>
        <v>5.0000000000000142</v>
      </c>
      <c r="AE13" s="885">
        <f t="shared" si="10"/>
        <v>15.000000000000014</v>
      </c>
      <c r="AI13" s="873">
        <v>47</v>
      </c>
      <c r="AJ13" s="874">
        <v>0.625</v>
      </c>
      <c r="AK13" s="875"/>
      <c r="AL13" s="876"/>
      <c r="AM13" s="877">
        <v>72</v>
      </c>
      <c r="AN13" s="875">
        <f t="shared" si="34"/>
        <v>-72</v>
      </c>
      <c r="AO13" s="878">
        <f t="shared" si="11"/>
        <v>82.2</v>
      </c>
      <c r="AP13" s="879">
        <f t="shared" si="12"/>
        <v>80</v>
      </c>
      <c r="AQ13" s="878">
        <f t="shared" si="13"/>
        <v>-80</v>
      </c>
      <c r="AR13" s="880">
        <f t="shared" si="14"/>
        <v>0.68055555555555558</v>
      </c>
      <c r="AS13" s="893">
        <v>0.6875</v>
      </c>
      <c r="AT13" s="882">
        <f t="shared" si="15"/>
        <v>90</v>
      </c>
      <c r="AU13" s="883">
        <f t="shared" si="16"/>
        <v>18</v>
      </c>
      <c r="AV13" s="884">
        <f t="shared" si="35"/>
        <v>10</v>
      </c>
      <c r="AW13" s="885">
        <f t="shared" si="17"/>
        <v>90</v>
      </c>
      <c r="AX13" s="880"/>
      <c r="AY13" s="873">
        <v>47</v>
      </c>
      <c r="AZ13" s="893" t="s">
        <v>1172</v>
      </c>
      <c r="BA13" s="888">
        <v>75</v>
      </c>
      <c r="BB13" s="876">
        <v>25</v>
      </c>
      <c r="BC13" s="889">
        <v>64.064666666666696</v>
      </c>
      <c r="BD13" s="875">
        <f t="shared" si="30"/>
        <v>10.935333333333304</v>
      </c>
      <c r="BE13" s="878">
        <f t="shared" si="18"/>
        <v>73.47113333333337</v>
      </c>
      <c r="BF13" s="879">
        <f t="shared" si="19"/>
        <v>75</v>
      </c>
      <c r="BG13" s="878">
        <f t="shared" si="20"/>
        <v>0</v>
      </c>
      <c r="BH13" s="880">
        <f t="shared" si="21"/>
        <v>0.58333333333333337</v>
      </c>
      <c r="BI13" s="898">
        <v>0.53125</v>
      </c>
      <c r="BJ13" s="882">
        <f t="shared" si="22"/>
        <v>0</v>
      </c>
      <c r="BK13" s="883">
        <f t="shared" si="23"/>
        <v>-64.064666666666696</v>
      </c>
      <c r="BL13" s="884">
        <f t="shared" si="31"/>
        <v>-75</v>
      </c>
      <c r="BM13" s="885">
        <f t="shared" si="24"/>
        <v>-75</v>
      </c>
    </row>
    <row r="14" spans="1:67" ht="18.75" x14ac:dyDescent="0.3">
      <c r="A14" s="873">
        <v>7</v>
      </c>
      <c r="B14" s="874">
        <v>0.33333333333333331</v>
      </c>
      <c r="C14" s="875">
        <v>90</v>
      </c>
      <c r="D14" s="876">
        <v>20</v>
      </c>
      <c r="E14" s="889">
        <v>84.594999999999999</v>
      </c>
      <c r="F14" s="875">
        <f t="shared" si="32"/>
        <v>5.4050000000000011</v>
      </c>
      <c r="G14" s="878">
        <f t="shared" si="0"/>
        <v>96.054500000000004</v>
      </c>
      <c r="H14" s="879">
        <f t="shared" si="1"/>
        <v>95</v>
      </c>
      <c r="I14" s="878">
        <f t="shared" si="2"/>
        <v>-5</v>
      </c>
      <c r="J14" s="880">
        <f t="shared" si="25"/>
        <v>0.39930555555555552</v>
      </c>
      <c r="K14" s="881">
        <v>0.40625</v>
      </c>
      <c r="L14" s="882">
        <f t="shared" si="26"/>
        <v>105.00000000000003</v>
      </c>
      <c r="M14" s="883">
        <f t="shared" si="3"/>
        <v>20.40500000000003</v>
      </c>
      <c r="N14" s="884">
        <f t="shared" si="33"/>
        <v>10.000000000000028</v>
      </c>
      <c r="O14" s="885">
        <f t="shared" si="27"/>
        <v>15.000000000000028</v>
      </c>
      <c r="P14" s="880"/>
      <c r="Q14" s="886">
        <v>7</v>
      </c>
      <c r="R14" s="896">
        <v>0.35416666666666669</v>
      </c>
      <c r="S14" s="888">
        <v>100</v>
      </c>
      <c r="T14" s="876">
        <v>22</v>
      </c>
      <c r="U14" s="889">
        <v>87.300757575757601</v>
      </c>
      <c r="V14" s="879">
        <f t="shared" si="28"/>
        <v>12.699242424242399</v>
      </c>
      <c r="W14" s="878">
        <f t="shared" si="4"/>
        <v>99.030833333333362</v>
      </c>
      <c r="X14" s="879">
        <f t="shared" si="5"/>
        <v>100</v>
      </c>
      <c r="Y14" s="878">
        <f t="shared" si="6"/>
        <v>0</v>
      </c>
      <c r="Z14" s="890">
        <f t="shared" si="7"/>
        <v>0.42361111111111116</v>
      </c>
      <c r="AA14" s="900">
        <v>0.42708333333333331</v>
      </c>
      <c r="AB14" s="883">
        <f t="shared" si="8"/>
        <v>104.99999999999994</v>
      </c>
      <c r="AC14" s="883">
        <f t="shared" si="9"/>
        <v>17.699242424242343</v>
      </c>
      <c r="AD14" s="884">
        <f t="shared" si="29"/>
        <v>4.9999999999999432</v>
      </c>
      <c r="AE14" s="885">
        <f t="shared" si="10"/>
        <v>4.9999999999999432</v>
      </c>
      <c r="AG14" s="892" t="s">
        <v>1174</v>
      </c>
      <c r="AI14" s="873">
        <v>47</v>
      </c>
      <c r="AJ14" s="874">
        <v>0.63541666666666663</v>
      </c>
      <c r="AK14" s="875">
        <v>75</v>
      </c>
      <c r="AL14" s="876">
        <v>11</v>
      </c>
      <c r="AM14" s="889">
        <v>74.281818181818196</v>
      </c>
      <c r="AN14" s="875">
        <f t="shared" si="34"/>
        <v>0.71818181818180449</v>
      </c>
      <c r="AO14" s="878">
        <f t="shared" si="11"/>
        <v>84.710000000000022</v>
      </c>
      <c r="AP14" s="879">
        <f t="shared" si="12"/>
        <v>85</v>
      </c>
      <c r="AQ14" s="878">
        <f t="shared" si="13"/>
        <v>-10</v>
      </c>
      <c r="AR14" s="880">
        <f t="shared" si="14"/>
        <v>0.69444444444444442</v>
      </c>
      <c r="AS14" s="898">
        <v>0.63541666666666663</v>
      </c>
      <c r="AT14" s="882">
        <f t="shared" si="15"/>
        <v>0</v>
      </c>
      <c r="AU14" s="883">
        <f t="shared" si="16"/>
        <v>-74.281818181818196</v>
      </c>
      <c r="AV14" s="884">
        <f t="shared" si="35"/>
        <v>-85</v>
      </c>
      <c r="AW14" s="885">
        <f t="shared" si="17"/>
        <v>-75</v>
      </c>
      <c r="AX14" s="880"/>
      <c r="AY14" s="873">
        <v>47</v>
      </c>
      <c r="AZ14" s="893">
        <v>0.5625</v>
      </c>
      <c r="BA14" s="888"/>
      <c r="BB14" s="876"/>
      <c r="BC14" s="877">
        <v>64.064666666666696</v>
      </c>
      <c r="BD14" s="875">
        <f t="shared" si="30"/>
        <v>-64.064666666666696</v>
      </c>
      <c r="BE14" s="878">
        <f t="shared" si="18"/>
        <v>73.47113333333337</v>
      </c>
      <c r="BF14" s="879">
        <f t="shared" si="19"/>
        <v>75</v>
      </c>
      <c r="BG14" s="878">
        <f t="shared" si="20"/>
        <v>-75</v>
      </c>
      <c r="BH14" s="880">
        <f t="shared" si="21"/>
        <v>0.61458333333333337</v>
      </c>
      <c r="BI14" s="874">
        <v>0.625</v>
      </c>
      <c r="BJ14" s="882">
        <f t="shared" si="22"/>
        <v>90</v>
      </c>
      <c r="BK14" s="883">
        <f t="shared" si="23"/>
        <v>25.935333333333304</v>
      </c>
      <c r="BL14" s="884">
        <f t="shared" si="31"/>
        <v>15</v>
      </c>
      <c r="BM14" s="885">
        <f t="shared" si="24"/>
        <v>90</v>
      </c>
    </row>
    <row r="15" spans="1:67" ht="18.75" x14ac:dyDescent="0.3">
      <c r="A15" s="873" t="s">
        <v>727</v>
      </c>
      <c r="B15" s="874">
        <v>0.34375</v>
      </c>
      <c r="C15" s="875">
        <v>90</v>
      </c>
      <c r="D15" s="876">
        <v>23</v>
      </c>
      <c r="E15" s="889">
        <v>80.731884057971001</v>
      </c>
      <c r="F15" s="875">
        <f t="shared" si="32"/>
        <v>9.2681159420289987</v>
      </c>
      <c r="G15" s="878">
        <f t="shared" si="0"/>
        <v>91.805072463768113</v>
      </c>
      <c r="H15" s="879">
        <f t="shared" si="1"/>
        <v>90</v>
      </c>
      <c r="I15" s="878">
        <f t="shared" si="2"/>
        <v>0</v>
      </c>
      <c r="J15" s="880">
        <f t="shared" si="25"/>
        <v>0.40625</v>
      </c>
      <c r="K15" s="893">
        <v>0.41666666666666669</v>
      </c>
      <c r="L15" s="882">
        <f t="shared" si="26"/>
        <v>105.00000000000003</v>
      </c>
      <c r="M15" s="883">
        <f t="shared" si="3"/>
        <v>24.268115942029027</v>
      </c>
      <c r="N15" s="884">
        <f t="shared" si="33"/>
        <v>15.000000000000028</v>
      </c>
      <c r="O15" s="885">
        <f t="shared" si="27"/>
        <v>15.000000000000028</v>
      </c>
      <c r="P15" s="880"/>
      <c r="Q15" s="886" t="s">
        <v>727</v>
      </c>
      <c r="R15" s="887">
        <v>0.35416666666666669</v>
      </c>
      <c r="S15" s="888">
        <v>105</v>
      </c>
      <c r="T15" s="876">
        <v>27</v>
      </c>
      <c r="U15" s="889">
        <v>92.339506172839506</v>
      </c>
      <c r="V15" s="879">
        <f t="shared" si="28"/>
        <v>12.660493827160494</v>
      </c>
      <c r="W15" s="878">
        <f t="shared" si="4"/>
        <v>104.57345679012346</v>
      </c>
      <c r="X15" s="879">
        <f t="shared" si="5"/>
        <v>105</v>
      </c>
      <c r="Y15" s="878">
        <f t="shared" si="6"/>
        <v>0</v>
      </c>
      <c r="Z15" s="890">
        <f t="shared" si="7"/>
        <v>0.42708333333333337</v>
      </c>
      <c r="AA15" s="891">
        <v>0.42708333333333331</v>
      </c>
      <c r="AB15" s="883">
        <f t="shared" si="8"/>
        <v>104.99999999999994</v>
      </c>
      <c r="AC15" s="883">
        <f t="shared" si="9"/>
        <v>12.660493827160437</v>
      </c>
      <c r="AD15" s="884">
        <f t="shared" si="29"/>
        <v>0</v>
      </c>
      <c r="AE15" s="885">
        <f t="shared" si="10"/>
        <v>0</v>
      </c>
      <c r="AG15" s="894">
        <f>AG4+AG85+BO4</f>
        <v>1485.00000000004</v>
      </c>
      <c r="AI15" s="873">
        <v>47</v>
      </c>
      <c r="AJ15" s="874">
        <v>0.64583333333333337</v>
      </c>
      <c r="AK15" s="875"/>
      <c r="AL15" s="876"/>
      <c r="AM15" s="877">
        <v>80</v>
      </c>
      <c r="AN15" s="875">
        <f t="shared" si="34"/>
        <v>-80</v>
      </c>
      <c r="AO15" s="878">
        <f t="shared" si="11"/>
        <v>91</v>
      </c>
      <c r="AP15" s="879">
        <f t="shared" si="12"/>
        <v>90</v>
      </c>
      <c r="AQ15" s="878">
        <f t="shared" si="13"/>
        <v>-90</v>
      </c>
      <c r="AR15" s="880">
        <f t="shared" si="14"/>
        <v>0.70833333333333337</v>
      </c>
      <c r="AS15" s="893">
        <v>0.71875</v>
      </c>
      <c r="AT15" s="882">
        <f t="shared" si="15"/>
        <v>104.99999999999994</v>
      </c>
      <c r="AU15" s="883">
        <f t="shared" si="16"/>
        <v>24.999999999999943</v>
      </c>
      <c r="AV15" s="884">
        <f t="shared" si="35"/>
        <v>14.999999999999943</v>
      </c>
      <c r="AW15" s="885">
        <f t="shared" si="17"/>
        <v>104.99999999999994</v>
      </c>
      <c r="AX15" s="880"/>
      <c r="AY15" s="873">
        <v>47</v>
      </c>
      <c r="AZ15" s="893" t="s">
        <v>1173</v>
      </c>
      <c r="BA15" s="888">
        <v>75</v>
      </c>
      <c r="BB15" s="876">
        <v>12</v>
      </c>
      <c r="BC15" s="889">
        <v>64.391666666666694</v>
      </c>
      <c r="BD15" s="875">
        <f t="shared" si="30"/>
        <v>10.608333333333306</v>
      </c>
      <c r="BE15" s="878">
        <f t="shared" si="18"/>
        <v>73.830833333333374</v>
      </c>
      <c r="BF15" s="879">
        <f t="shared" si="19"/>
        <v>75</v>
      </c>
      <c r="BG15" s="878">
        <f t="shared" si="20"/>
        <v>0</v>
      </c>
      <c r="BH15" s="880">
        <f t="shared" si="21"/>
        <v>0.63541666666666674</v>
      </c>
      <c r="BI15" s="898">
        <v>0.58333333333333337</v>
      </c>
      <c r="BJ15" s="882">
        <f t="shared" si="22"/>
        <v>0</v>
      </c>
      <c r="BK15" s="883">
        <f t="shared" si="23"/>
        <v>-64.391666666666694</v>
      </c>
      <c r="BL15" s="884">
        <f t="shared" si="31"/>
        <v>-75</v>
      </c>
      <c r="BM15" s="885">
        <f t="shared" si="24"/>
        <v>-75</v>
      </c>
    </row>
    <row r="16" spans="1:67" ht="18.75" x14ac:dyDescent="0.3">
      <c r="A16" s="873">
        <v>7</v>
      </c>
      <c r="B16" s="874">
        <v>0.35416666666666669</v>
      </c>
      <c r="C16" s="875">
        <v>90</v>
      </c>
      <c r="D16" s="876">
        <v>22</v>
      </c>
      <c r="E16" s="889">
        <v>82.888636363636394</v>
      </c>
      <c r="F16" s="875">
        <f t="shared" si="32"/>
        <v>7.1113636363636061</v>
      </c>
      <c r="G16" s="878">
        <f t="shared" si="0"/>
        <v>94.177500000000038</v>
      </c>
      <c r="H16" s="879">
        <f t="shared" si="1"/>
        <v>95</v>
      </c>
      <c r="I16" s="878">
        <f t="shared" si="2"/>
        <v>-5</v>
      </c>
      <c r="J16" s="880">
        <f t="shared" si="25"/>
        <v>0.4201388888888889</v>
      </c>
      <c r="K16" s="881">
        <v>0.42708333333333331</v>
      </c>
      <c r="L16" s="882">
        <f t="shared" si="26"/>
        <v>104.99999999999994</v>
      </c>
      <c r="M16" s="883">
        <f t="shared" si="3"/>
        <v>22.111363636363549</v>
      </c>
      <c r="N16" s="884">
        <f t="shared" si="33"/>
        <v>9.9999999999999432</v>
      </c>
      <c r="O16" s="885">
        <f t="shared" si="27"/>
        <v>14.999999999999943</v>
      </c>
      <c r="P16" s="880"/>
      <c r="Q16" s="886">
        <v>7</v>
      </c>
      <c r="R16" s="896">
        <v>0.36458333333333337</v>
      </c>
      <c r="S16" s="888">
        <v>100</v>
      </c>
      <c r="T16" s="876">
        <v>27</v>
      </c>
      <c r="U16" s="889">
        <v>84.314197530864206</v>
      </c>
      <c r="V16" s="879">
        <f t="shared" si="28"/>
        <v>15.685802469135794</v>
      </c>
      <c r="W16" s="878">
        <f t="shared" si="4"/>
        <v>95.745617283950637</v>
      </c>
      <c r="X16" s="879">
        <f t="shared" si="5"/>
        <v>95</v>
      </c>
      <c r="Y16" s="878">
        <f t="shared" si="6"/>
        <v>5</v>
      </c>
      <c r="Z16" s="890">
        <f t="shared" si="7"/>
        <v>0.43055555555555558</v>
      </c>
      <c r="AA16" s="891">
        <v>0.4375</v>
      </c>
      <c r="AB16" s="883">
        <f t="shared" si="8"/>
        <v>104.99999999999994</v>
      </c>
      <c r="AC16" s="883">
        <f t="shared" si="9"/>
        <v>20.685802469135737</v>
      </c>
      <c r="AD16" s="884">
        <f t="shared" si="29"/>
        <v>9.9999999999999432</v>
      </c>
      <c r="AE16" s="885">
        <f t="shared" si="10"/>
        <v>4.9999999999999432</v>
      </c>
      <c r="AG16" s="897">
        <f>AG15/60</f>
        <v>24.750000000000668</v>
      </c>
      <c r="AI16" s="873">
        <v>47</v>
      </c>
      <c r="AJ16" s="901" t="s">
        <v>1175</v>
      </c>
      <c r="AK16" s="875">
        <v>65</v>
      </c>
      <c r="AL16" s="876">
        <v>12</v>
      </c>
      <c r="AM16" s="889">
        <v>43.536111111111097</v>
      </c>
      <c r="AN16" s="875">
        <f t="shared" si="34"/>
        <v>21.463888888888903</v>
      </c>
      <c r="AO16" s="878">
        <f t="shared" si="11"/>
        <v>50.889722222222211</v>
      </c>
      <c r="AP16" s="879">
        <f t="shared" si="12"/>
        <v>50</v>
      </c>
      <c r="AQ16" s="878">
        <f t="shared" si="13"/>
        <v>15</v>
      </c>
      <c r="AR16" s="880">
        <f t="shared" si="14"/>
        <v>0.6875</v>
      </c>
      <c r="AS16" s="895">
        <v>0.69791666666666663</v>
      </c>
      <c r="AT16" s="882">
        <f t="shared" si="15"/>
        <v>64.999999999999929</v>
      </c>
      <c r="AU16" s="883">
        <f t="shared" si="16"/>
        <v>21.463888888888832</v>
      </c>
      <c r="AV16" s="884">
        <f t="shared" si="35"/>
        <v>14.999999999999929</v>
      </c>
      <c r="AW16" s="885">
        <f t="shared" si="17"/>
        <v>0</v>
      </c>
      <c r="AY16" s="873">
        <v>47</v>
      </c>
      <c r="AZ16" s="893">
        <v>0.625</v>
      </c>
      <c r="BA16" s="888"/>
      <c r="BB16" s="876"/>
      <c r="BC16" s="877">
        <v>65</v>
      </c>
      <c r="BD16" s="875">
        <f t="shared" si="30"/>
        <v>-65</v>
      </c>
      <c r="BE16" s="878">
        <f t="shared" si="18"/>
        <v>74.5</v>
      </c>
      <c r="BF16" s="879">
        <f t="shared" si="19"/>
        <v>75</v>
      </c>
      <c r="BG16" s="878">
        <f t="shared" si="20"/>
        <v>-75</v>
      </c>
      <c r="BH16" s="880">
        <f t="shared" si="21"/>
        <v>0.67708333333333337</v>
      </c>
      <c r="BI16" s="874">
        <v>0.6875</v>
      </c>
      <c r="BJ16" s="882">
        <f t="shared" si="22"/>
        <v>90</v>
      </c>
      <c r="BK16" s="883">
        <f t="shared" si="23"/>
        <v>25</v>
      </c>
      <c r="BL16" s="884">
        <f t="shared" si="31"/>
        <v>15</v>
      </c>
      <c r="BM16" s="885">
        <f t="shared" si="24"/>
        <v>90</v>
      </c>
    </row>
    <row r="17" spans="1:65" ht="18.75" x14ac:dyDescent="0.3">
      <c r="A17" s="873" t="s">
        <v>727</v>
      </c>
      <c r="B17" s="874">
        <v>0.36458333333333331</v>
      </c>
      <c r="C17" s="875">
        <v>90</v>
      </c>
      <c r="D17" s="876">
        <v>26</v>
      </c>
      <c r="E17" s="889">
        <v>78.572435897435895</v>
      </c>
      <c r="F17" s="875">
        <f t="shared" si="32"/>
        <v>11.427564102564105</v>
      </c>
      <c r="G17" s="878">
        <f t="shared" si="0"/>
        <v>89.429679487179484</v>
      </c>
      <c r="H17" s="879">
        <f t="shared" si="1"/>
        <v>90</v>
      </c>
      <c r="I17" s="878">
        <f t="shared" si="2"/>
        <v>0</v>
      </c>
      <c r="J17" s="880">
        <f t="shared" si="25"/>
        <v>0.42708333333333331</v>
      </c>
      <c r="K17" s="893">
        <v>0.4375</v>
      </c>
      <c r="L17" s="882">
        <f t="shared" si="26"/>
        <v>105.00000000000003</v>
      </c>
      <c r="M17" s="883">
        <f t="shared" si="3"/>
        <v>26.427564102564133</v>
      </c>
      <c r="N17" s="884">
        <f t="shared" si="33"/>
        <v>15.000000000000028</v>
      </c>
      <c r="O17" s="885">
        <f t="shared" si="27"/>
        <v>15.000000000000028</v>
      </c>
      <c r="P17" s="880"/>
      <c r="Q17" s="886" t="s">
        <v>727</v>
      </c>
      <c r="R17" s="887">
        <v>0.37500000000000006</v>
      </c>
      <c r="S17" s="888">
        <v>90</v>
      </c>
      <c r="T17" s="876">
        <v>21</v>
      </c>
      <c r="U17" s="889">
        <v>81.275396825396797</v>
      </c>
      <c r="V17" s="879">
        <f t="shared" si="28"/>
        <v>8.7246031746032031</v>
      </c>
      <c r="W17" s="878">
        <f t="shared" si="4"/>
        <v>92.402936507936488</v>
      </c>
      <c r="X17" s="879">
        <f t="shared" si="5"/>
        <v>90</v>
      </c>
      <c r="Y17" s="878">
        <f t="shared" si="6"/>
        <v>0</v>
      </c>
      <c r="Z17" s="890">
        <f t="shared" si="7"/>
        <v>0.43750000000000006</v>
      </c>
      <c r="AA17" s="891">
        <v>0.44791666666666669</v>
      </c>
      <c r="AB17" s="883">
        <f t="shared" si="8"/>
        <v>104.99999999999994</v>
      </c>
      <c r="AC17" s="883">
        <f t="shared" si="9"/>
        <v>23.724603174603146</v>
      </c>
      <c r="AD17" s="884">
        <f t="shared" si="29"/>
        <v>14.999999999999943</v>
      </c>
      <c r="AE17" s="885">
        <f t="shared" si="10"/>
        <v>14.999999999999943</v>
      </c>
      <c r="AI17" s="873">
        <v>47</v>
      </c>
      <c r="AJ17" s="874" t="s">
        <v>1176</v>
      </c>
      <c r="AK17" s="875">
        <v>75</v>
      </c>
      <c r="AL17" s="876">
        <v>21</v>
      </c>
      <c r="AM17" s="889">
        <v>96.973809523809507</v>
      </c>
      <c r="AN17" s="875">
        <f t="shared" si="34"/>
        <v>-21.973809523809507</v>
      </c>
      <c r="AO17" s="878">
        <f t="shared" si="11"/>
        <v>109.67119047619046</v>
      </c>
      <c r="AP17" s="879">
        <f t="shared" si="12"/>
        <v>110</v>
      </c>
      <c r="AQ17" s="878">
        <f t="shared" si="13"/>
        <v>-35</v>
      </c>
      <c r="AR17" s="880">
        <f t="shared" si="14"/>
        <v>0.74305555555555558</v>
      </c>
      <c r="AS17" s="893">
        <v>0.75</v>
      </c>
      <c r="AT17" s="882">
        <f t="shared" si="15"/>
        <v>120.00000000000006</v>
      </c>
      <c r="AU17" s="883">
        <f t="shared" si="16"/>
        <v>23.02619047619055</v>
      </c>
      <c r="AV17" s="884">
        <f t="shared" si="35"/>
        <v>10.000000000000057</v>
      </c>
      <c r="AW17" s="885">
        <f t="shared" si="17"/>
        <v>45.000000000000057</v>
      </c>
      <c r="AY17" s="873">
        <v>47</v>
      </c>
      <c r="AZ17" s="893" t="s">
        <v>1177</v>
      </c>
      <c r="BA17" s="888">
        <v>75</v>
      </c>
      <c r="BB17" s="876">
        <v>23</v>
      </c>
      <c r="BC17" s="889">
        <v>66.7731884057971</v>
      </c>
      <c r="BD17" s="875">
        <f t="shared" si="30"/>
        <v>8.2268115942028999</v>
      </c>
      <c r="BE17" s="878">
        <f t="shared" si="18"/>
        <v>76.450507246376816</v>
      </c>
      <c r="BF17" s="879">
        <f t="shared" si="19"/>
        <v>75</v>
      </c>
      <c r="BG17" s="878">
        <f t="shared" si="20"/>
        <v>0</v>
      </c>
      <c r="BH17" s="880">
        <f t="shared" si="21"/>
        <v>0.6875</v>
      </c>
      <c r="BI17" s="898">
        <v>0.63541666666666663</v>
      </c>
      <c r="BJ17" s="882">
        <f t="shared" si="22"/>
        <v>0</v>
      </c>
      <c r="BK17" s="883">
        <f t="shared" si="23"/>
        <v>-66.7731884057971</v>
      </c>
      <c r="BL17" s="884">
        <f t="shared" si="31"/>
        <v>-75</v>
      </c>
      <c r="BM17" s="885">
        <f t="shared" si="24"/>
        <v>-75</v>
      </c>
    </row>
    <row r="18" spans="1:65" ht="18.75" x14ac:dyDescent="0.3">
      <c r="A18" s="873">
        <v>7</v>
      </c>
      <c r="B18" s="874">
        <v>0.375</v>
      </c>
      <c r="C18" s="875">
        <v>90</v>
      </c>
      <c r="D18" s="876">
        <v>26</v>
      </c>
      <c r="E18" s="889">
        <v>78.869230769230796</v>
      </c>
      <c r="F18" s="875">
        <f t="shared" si="32"/>
        <v>11.130769230769204</v>
      </c>
      <c r="G18" s="878">
        <f t="shared" si="0"/>
        <v>89.756153846153879</v>
      </c>
      <c r="H18" s="879">
        <f t="shared" si="1"/>
        <v>90</v>
      </c>
      <c r="I18" s="878">
        <f t="shared" si="2"/>
        <v>0</v>
      </c>
      <c r="J18" s="880">
        <f t="shared" si="25"/>
        <v>0.4375</v>
      </c>
      <c r="K18" s="881">
        <v>0.44791666666666669</v>
      </c>
      <c r="L18" s="882">
        <f t="shared" si="26"/>
        <v>105.00000000000003</v>
      </c>
      <c r="M18" s="883">
        <f t="shared" si="3"/>
        <v>26.130769230769232</v>
      </c>
      <c r="N18" s="884">
        <f t="shared" si="33"/>
        <v>15.000000000000028</v>
      </c>
      <c r="O18" s="885">
        <f t="shared" si="27"/>
        <v>15.000000000000028</v>
      </c>
      <c r="P18" s="880"/>
      <c r="Q18" s="886">
        <v>7</v>
      </c>
      <c r="R18" s="896">
        <v>0.38541666666666674</v>
      </c>
      <c r="S18" s="888">
        <v>90</v>
      </c>
      <c r="T18" s="876">
        <v>22</v>
      </c>
      <c r="U18" s="889">
        <v>72.418181818181793</v>
      </c>
      <c r="V18" s="879">
        <f t="shared" si="28"/>
        <v>17.581818181818207</v>
      </c>
      <c r="W18" s="878">
        <f t="shared" si="4"/>
        <v>82.659999999999982</v>
      </c>
      <c r="X18" s="879">
        <f t="shared" si="5"/>
        <v>85</v>
      </c>
      <c r="Y18" s="878">
        <f t="shared" si="6"/>
        <v>5</v>
      </c>
      <c r="Z18" s="890">
        <f t="shared" si="7"/>
        <v>0.44444444444444453</v>
      </c>
      <c r="AA18" s="891">
        <v>0.45833333333333331</v>
      </c>
      <c r="AB18" s="883">
        <f t="shared" si="8"/>
        <v>104.99999999999986</v>
      </c>
      <c r="AC18" s="883">
        <f t="shared" si="9"/>
        <v>32.581818181818065</v>
      </c>
      <c r="AD18" s="884">
        <f t="shared" si="29"/>
        <v>19.999999999999858</v>
      </c>
      <c r="AE18" s="885">
        <f t="shared" si="10"/>
        <v>14.999999999999858</v>
      </c>
      <c r="AI18" s="873">
        <v>47</v>
      </c>
      <c r="AJ18" s="874" t="s">
        <v>1178</v>
      </c>
      <c r="AK18" s="875">
        <v>90</v>
      </c>
      <c r="AL18" s="876">
        <v>14</v>
      </c>
      <c r="AM18" s="889">
        <v>83.244047619047606</v>
      </c>
      <c r="AN18" s="875">
        <f t="shared" si="34"/>
        <v>6.7559523809523938</v>
      </c>
      <c r="AO18" s="878">
        <f t="shared" si="11"/>
        <v>94.56845238095238</v>
      </c>
      <c r="AP18" s="879">
        <f t="shared" si="12"/>
        <v>95</v>
      </c>
      <c r="AQ18" s="878">
        <f t="shared" si="13"/>
        <v>-5</v>
      </c>
      <c r="AR18" s="880">
        <f t="shared" si="14"/>
        <v>0.75347222222222221</v>
      </c>
      <c r="AS18" s="893">
        <v>0.77083333333333337</v>
      </c>
      <c r="AT18" s="882">
        <f t="shared" si="15"/>
        <v>120.00000000000006</v>
      </c>
      <c r="AU18" s="883">
        <f t="shared" si="16"/>
        <v>36.755952380952451</v>
      </c>
      <c r="AV18" s="884">
        <f t="shared" si="35"/>
        <v>25.000000000000057</v>
      </c>
      <c r="AW18" s="885">
        <f t="shared" si="17"/>
        <v>30.000000000000057</v>
      </c>
      <c r="AY18" s="873">
        <v>47</v>
      </c>
      <c r="AZ18" s="893">
        <v>0.64583333333333337</v>
      </c>
      <c r="BA18" s="888"/>
      <c r="BB18" s="876"/>
      <c r="BC18" s="877">
        <v>69</v>
      </c>
      <c r="BD18" s="875">
        <f t="shared" si="30"/>
        <v>-69</v>
      </c>
      <c r="BE18" s="878">
        <f t="shared" si="18"/>
        <v>78.900000000000006</v>
      </c>
      <c r="BF18" s="879">
        <f t="shared" si="19"/>
        <v>80</v>
      </c>
      <c r="BG18" s="878">
        <f t="shared" si="20"/>
        <v>-80</v>
      </c>
      <c r="BH18" s="880">
        <f t="shared" si="21"/>
        <v>0.70138888888888895</v>
      </c>
      <c r="BI18" s="874">
        <v>0.70833333333333337</v>
      </c>
      <c r="BJ18" s="882">
        <f t="shared" si="22"/>
        <v>90</v>
      </c>
      <c r="BK18" s="883">
        <f t="shared" si="23"/>
        <v>21</v>
      </c>
      <c r="BL18" s="884">
        <f t="shared" si="31"/>
        <v>10</v>
      </c>
      <c r="BM18" s="885">
        <f t="shared" si="24"/>
        <v>90</v>
      </c>
    </row>
    <row r="19" spans="1:65" ht="18.75" x14ac:dyDescent="0.3">
      <c r="A19" s="873" t="s">
        <v>727</v>
      </c>
      <c r="B19" s="874">
        <v>0.38541666666666669</v>
      </c>
      <c r="C19" s="875">
        <v>90</v>
      </c>
      <c r="D19" s="876">
        <v>21</v>
      </c>
      <c r="E19" s="889">
        <v>75.691269841269801</v>
      </c>
      <c r="F19" s="875">
        <f t="shared" si="32"/>
        <v>14.308730158730199</v>
      </c>
      <c r="G19" s="878">
        <f t="shared" si="0"/>
        <v>86.260396825396782</v>
      </c>
      <c r="H19" s="879">
        <f t="shared" si="1"/>
        <v>85</v>
      </c>
      <c r="I19" s="878">
        <f t="shared" si="2"/>
        <v>5</v>
      </c>
      <c r="J19" s="880">
        <f t="shared" si="25"/>
        <v>0.44444444444444448</v>
      </c>
      <c r="K19" s="893">
        <v>0.45833333333333331</v>
      </c>
      <c r="L19" s="882">
        <f t="shared" si="26"/>
        <v>104.99999999999994</v>
      </c>
      <c r="M19" s="883">
        <f t="shared" si="3"/>
        <v>29.308730158730143</v>
      </c>
      <c r="N19" s="884">
        <f t="shared" si="33"/>
        <v>19.999999999999943</v>
      </c>
      <c r="O19" s="885">
        <f t="shared" si="27"/>
        <v>14.999999999999943</v>
      </c>
      <c r="P19" s="880"/>
      <c r="Q19" s="886" t="s">
        <v>727</v>
      </c>
      <c r="R19" s="887">
        <v>0.39583333333333343</v>
      </c>
      <c r="S19" s="888">
        <v>85</v>
      </c>
      <c r="T19" s="876">
        <v>20</v>
      </c>
      <c r="U19" s="889">
        <v>82.813333333333404</v>
      </c>
      <c r="V19" s="879">
        <f t="shared" si="28"/>
        <v>2.1866666666665964</v>
      </c>
      <c r="W19" s="878">
        <f t="shared" si="4"/>
        <v>94.094666666666754</v>
      </c>
      <c r="X19" s="879">
        <f t="shared" si="5"/>
        <v>95</v>
      </c>
      <c r="Y19" s="878">
        <f t="shared" si="6"/>
        <v>-10</v>
      </c>
      <c r="Z19" s="890">
        <f t="shared" si="7"/>
        <v>0.46180555555555564</v>
      </c>
      <c r="AA19" s="891">
        <v>0.46875</v>
      </c>
      <c r="AB19" s="883">
        <f t="shared" si="8"/>
        <v>104.99999999999986</v>
      </c>
      <c r="AC19" s="883">
        <f t="shared" si="9"/>
        <v>22.186666666666454</v>
      </c>
      <c r="AD19" s="884">
        <f t="shared" si="29"/>
        <v>9.9999999999998579</v>
      </c>
      <c r="AE19" s="885">
        <f t="shared" si="10"/>
        <v>19.999999999999858</v>
      </c>
      <c r="AI19" s="873">
        <v>47</v>
      </c>
      <c r="AJ19" s="874" t="s">
        <v>1179</v>
      </c>
      <c r="AK19" s="875">
        <v>90</v>
      </c>
      <c r="AL19" s="876">
        <v>20</v>
      </c>
      <c r="AM19" s="889">
        <v>86.150833333333296</v>
      </c>
      <c r="AN19" s="875">
        <f t="shared" si="34"/>
        <v>3.8491666666667044</v>
      </c>
      <c r="AO19" s="878">
        <f t="shared" si="11"/>
        <v>97.765916666666627</v>
      </c>
      <c r="AP19" s="879">
        <f t="shared" si="12"/>
        <v>100</v>
      </c>
      <c r="AQ19" s="878">
        <f t="shared" si="13"/>
        <v>-10</v>
      </c>
      <c r="AR19" s="880">
        <f t="shared" si="14"/>
        <v>0.77777777777777779</v>
      </c>
      <c r="AS19" s="895">
        <v>0.78125</v>
      </c>
      <c r="AT19" s="882">
        <f t="shared" si="15"/>
        <v>104.99999999999994</v>
      </c>
      <c r="AU19" s="883">
        <f t="shared" si="16"/>
        <v>18.849166666666648</v>
      </c>
      <c r="AV19" s="884">
        <f t="shared" si="35"/>
        <v>4.9999999999999432</v>
      </c>
      <c r="AW19" s="885">
        <f t="shared" si="17"/>
        <v>14.999999999999943</v>
      </c>
      <c r="AY19" s="873">
        <v>47</v>
      </c>
      <c r="AZ19" s="893" t="s">
        <v>1178</v>
      </c>
      <c r="BA19" s="888">
        <v>90</v>
      </c>
      <c r="BB19" s="876">
        <v>9</v>
      </c>
      <c r="BC19" s="889">
        <v>71.059259259259306</v>
      </c>
      <c r="BD19" s="875">
        <f t="shared" si="30"/>
        <v>18.940740740740694</v>
      </c>
      <c r="BE19" s="878">
        <f t="shared" si="18"/>
        <v>81.165185185185237</v>
      </c>
      <c r="BF19" s="879">
        <f t="shared" si="19"/>
        <v>80</v>
      </c>
      <c r="BG19" s="878">
        <f t="shared" si="20"/>
        <v>10</v>
      </c>
      <c r="BH19" s="880">
        <f t="shared" si="21"/>
        <v>0.74305555555555558</v>
      </c>
      <c r="BI19" s="874">
        <v>0.75</v>
      </c>
      <c r="BJ19" s="882">
        <f t="shared" si="22"/>
        <v>90</v>
      </c>
      <c r="BK19" s="883">
        <f t="shared" si="23"/>
        <v>18.940740740740694</v>
      </c>
      <c r="BL19" s="884">
        <f t="shared" si="31"/>
        <v>10</v>
      </c>
      <c r="BM19" s="885">
        <f t="shared" si="24"/>
        <v>0</v>
      </c>
    </row>
    <row r="20" spans="1:65" ht="18.75" x14ac:dyDescent="0.3">
      <c r="A20" s="873">
        <v>7</v>
      </c>
      <c r="B20" s="874">
        <v>0.39583333333333331</v>
      </c>
      <c r="C20" s="875">
        <v>90</v>
      </c>
      <c r="D20" s="876">
        <v>27</v>
      </c>
      <c r="E20" s="889">
        <v>78.581481481481504</v>
      </c>
      <c r="F20" s="875">
        <f t="shared" si="32"/>
        <v>11.418518518518496</v>
      </c>
      <c r="G20" s="878">
        <f t="shared" si="0"/>
        <v>89.439629629629664</v>
      </c>
      <c r="H20" s="879">
        <f t="shared" si="1"/>
        <v>90</v>
      </c>
      <c r="I20" s="878">
        <f t="shared" si="2"/>
        <v>0</v>
      </c>
      <c r="J20" s="880">
        <f t="shared" si="25"/>
        <v>0.45833333333333331</v>
      </c>
      <c r="K20" s="881">
        <v>0.46875</v>
      </c>
      <c r="L20" s="882">
        <f t="shared" si="26"/>
        <v>105.00000000000003</v>
      </c>
      <c r="M20" s="883">
        <f t="shared" si="3"/>
        <v>26.418518518518525</v>
      </c>
      <c r="N20" s="884">
        <f t="shared" si="33"/>
        <v>15.000000000000028</v>
      </c>
      <c r="O20" s="885">
        <f t="shared" si="27"/>
        <v>15.000000000000028</v>
      </c>
      <c r="P20" s="880"/>
      <c r="Q20" s="886">
        <v>7</v>
      </c>
      <c r="R20" s="896">
        <v>0.40625000000000011</v>
      </c>
      <c r="S20" s="888">
        <v>90</v>
      </c>
      <c r="T20" s="876">
        <v>25</v>
      </c>
      <c r="U20" s="889">
        <v>73.963999999999999</v>
      </c>
      <c r="V20" s="879">
        <f t="shared" si="28"/>
        <v>16.036000000000001</v>
      </c>
      <c r="W20" s="878">
        <f t="shared" si="4"/>
        <v>84.360399999999998</v>
      </c>
      <c r="X20" s="879">
        <f t="shared" si="5"/>
        <v>85</v>
      </c>
      <c r="Y20" s="878">
        <f t="shared" si="6"/>
        <v>5</v>
      </c>
      <c r="Z20" s="890">
        <f t="shared" si="7"/>
        <v>0.4652777777777779</v>
      </c>
      <c r="AA20" s="891">
        <v>0.47916666666666669</v>
      </c>
      <c r="AB20" s="883">
        <f t="shared" si="8"/>
        <v>104.99999999999986</v>
      </c>
      <c r="AC20" s="883">
        <f t="shared" si="9"/>
        <v>31.035999999999859</v>
      </c>
      <c r="AD20" s="884">
        <f t="shared" si="29"/>
        <v>19.999999999999858</v>
      </c>
      <c r="AE20" s="885">
        <f t="shared" si="10"/>
        <v>14.999999999999858</v>
      </c>
      <c r="AI20" s="873">
        <v>47</v>
      </c>
      <c r="AJ20" s="874" t="s">
        <v>1180</v>
      </c>
      <c r="AK20" s="875">
        <v>90</v>
      </c>
      <c r="AL20" s="876">
        <v>17</v>
      </c>
      <c r="AM20" s="889">
        <v>79.993137254901995</v>
      </c>
      <c r="AN20" s="875">
        <f t="shared" si="34"/>
        <v>10.006862745098005</v>
      </c>
      <c r="AO20" s="878">
        <f t="shared" si="11"/>
        <v>90.992450980392206</v>
      </c>
      <c r="AP20" s="879">
        <f t="shared" si="12"/>
        <v>90</v>
      </c>
      <c r="AQ20" s="878">
        <f t="shared" si="13"/>
        <v>0</v>
      </c>
      <c r="AR20" s="880">
        <f t="shared" si="14"/>
        <v>0.79166666666666663</v>
      </c>
      <c r="AS20" s="895">
        <v>0.79166666666666663</v>
      </c>
      <c r="AT20" s="882">
        <f t="shared" si="15"/>
        <v>90</v>
      </c>
      <c r="AU20" s="883">
        <f t="shared" si="16"/>
        <v>10.006862745098005</v>
      </c>
      <c r="AV20" s="884">
        <f t="shared" si="35"/>
        <v>0</v>
      </c>
      <c r="AW20" s="885">
        <f t="shared" si="17"/>
        <v>0</v>
      </c>
      <c r="AY20" s="873">
        <v>47</v>
      </c>
      <c r="AZ20" s="893" t="s">
        <v>1181</v>
      </c>
      <c r="BA20" s="888">
        <v>75</v>
      </c>
      <c r="BB20" s="876">
        <v>6</v>
      </c>
      <c r="BC20" s="889">
        <v>67.827777777777797</v>
      </c>
      <c r="BD20" s="875">
        <f t="shared" si="30"/>
        <v>7.172222222222203</v>
      </c>
      <c r="BE20" s="878">
        <f t="shared" si="18"/>
        <v>77.610555555555578</v>
      </c>
      <c r="BF20" s="879">
        <f t="shared" si="19"/>
        <v>80</v>
      </c>
      <c r="BG20" s="878">
        <f t="shared" si="20"/>
        <v>-5</v>
      </c>
      <c r="BH20" s="880">
        <f t="shared" si="21"/>
        <v>0.77430555555555558</v>
      </c>
      <c r="BI20" s="874">
        <v>0.78125</v>
      </c>
      <c r="BJ20" s="882">
        <f t="shared" si="22"/>
        <v>90</v>
      </c>
      <c r="BK20" s="883">
        <f t="shared" si="23"/>
        <v>22.172222222222203</v>
      </c>
      <c r="BL20" s="884">
        <f t="shared" si="31"/>
        <v>10</v>
      </c>
      <c r="BM20" s="885">
        <f t="shared" si="24"/>
        <v>15</v>
      </c>
    </row>
    <row r="21" spans="1:65" ht="18.75" x14ac:dyDescent="0.3">
      <c r="A21" s="873" t="s">
        <v>727</v>
      </c>
      <c r="B21" s="874">
        <v>0.40625</v>
      </c>
      <c r="C21" s="875">
        <v>90</v>
      </c>
      <c r="D21" s="876">
        <v>27</v>
      </c>
      <c r="E21" s="889">
        <v>75.463580246913594</v>
      </c>
      <c r="F21" s="875">
        <f t="shared" si="32"/>
        <v>14.536419753086406</v>
      </c>
      <c r="G21" s="878">
        <f t="shared" si="0"/>
        <v>86.009938271604966</v>
      </c>
      <c r="H21" s="879">
        <f t="shared" si="1"/>
        <v>85</v>
      </c>
      <c r="I21" s="878">
        <f t="shared" si="2"/>
        <v>5</v>
      </c>
      <c r="J21" s="880">
        <f t="shared" si="25"/>
        <v>0.46527777777777779</v>
      </c>
      <c r="K21" s="893">
        <v>0.47916666666666669</v>
      </c>
      <c r="L21" s="882">
        <f t="shared" si="26"/>
        <v>105.00000000000003</v>
      </c>
      <c r="M21" s="883">
        <f t="shared" si="3"/>
        <v>29.536419753086435</v>
      </c>
      <c r="N21" s="884">
        <f t="shared" si="33"/>
        <v>20.000000000000028</v>
      </c>
      <c r="O21" s="885">
        <f t="shared" si="27"/>
        <v>15.000000000000028</v>
      </c>
      <c r="P21" s="880"/>
      <c r="Q21" s="886" t="s">
        <v>727</v>
      </c>
      <c r="R21" s="887">
        <v>0.4166666666666668</v>
      </c>
      <c r="S21" s="888">
        <v>90</v>
      </c>
      <c r="T21" s="876">
        <v>26</v>
      </c>
      <c r="U21" s="889">
        <v>81.201282051282007</v>
      </c>
      <c r="V21" s="879">
        <f t="shared" si="28"/>
        <v>8.798717948717993</v>
      </c>
      <c r="W21" s="878">
        <f t="shared" si="4"/>
        <v>92.321410256410218</v>
      </c>
      <c r="X21" s="879">
        <f t="shared" si="5"/>
        <v>90</v>
      </c>
      <c r="Y21" s="878">
        <f t="shared" si="6"/>
        <v>0</v>
      </c>
      <c r="Z21" s="890">
        <f t="shared" si="7"/>
        <v>0.4791666666666668</v>
      </c>
      <c r="AA21" s="891">
        <v>0.48958333333333331</v>
      </c>
      <c r="AB21" s="883">
        <f t="shared" si="8"/>
        <v>104.99999999999979</v>
      </c>
      <c r="AC21" s="883">
        <f t="shared" si="9"/>
        <v>23.79871794871778</v>
      </c>
      <c r="AD21" s="884">
        <f t="shared" si="29"/>
        <v>14.999999999999787</v>
      </c>
      <c r="AE21" s="885">
        <f t="shared" si="10"/>
        <v>14.999999999999787</v>
      </c>
      <c r="AI21" s="873">
        <v>47</v>
      </c>
      <c r="AJ21" s="874" t="s">
        <v>1182</v>
      </c>
      <c r="AK21" s="875">
        <v>90</v>
      </c>
      <c r="AL21" s="876">
        <v>8</v>
      </c>
      <c r="AM21" s="889">
        <v>67.102083333333297</v>
      </c>
      <c r="AN21" s="875">
        <f>AK21-AM21</f>
        <v>22.897916666666703</v>
      </c>
      <c r="AO21" s="878">
        <f t="shared" si="11"/>
        <v>76.812291666666638</v>
      </c>
      <c r="AP21" s="879">
        <f t="shared" si="12"/>
        <v>75</v>
      </c>
      <c r="AQ21" s="878">
        <f t="shared" si="13"/>
        <v>15</v>
      </c>
      <c r="AR21" s="880">
        <f t="shared" si="14"/>
        <v>0.80208333333333337</v>
      </c>
      <c r="AS21" s="893">
        <v>0.8125</v>
      </c>
      <c r="AT21" s="882">
        <f t="shared" si="15"/>
        <v>90</v>
      </c>
      <c r="AU21" s="883">
        <f t="shared" si="16"/>
        <v>22.897916666666703</v>
      </c>
      <c r="AV21" s="884">
        <f t="shared" si="35"/>
        <v>15</v>
      </c>
      <c r="AW21" s="885">
        <f t="shared" si="17"/>
        <v>0</v>
      </c>
      <c r="AY21" s="873">
        <v>47</v>
      </c>
      <c r="AZ21" s="893" t="s">
        <v>1182</v>
      </c>
      <c r="BA21" s="888">
        <v>90</v>
      </c>
      <c r="BB21" s="876">
        <v>14</v>
      </c>
      <c r="BC21" s="889">
        <v>64.345238095238102</v>
      </c>
      <c r="BD21" s="875">
        <f t="shared" si="30"/>
        <v>25.654761904761898</v>
      </c>
      <c r="BE21" s="878">
        <f t="shared" si="18"/>
        <v>73.779761904761912</v>
      </c>
      <c r="BF21" s="879">
        <f t="shared" si="19"/>
        <v>75</v>
      </c>
      <c r="BG21" s="878">
        <f t="shared" si="20"/>
        <v>15</v>
      </c>
      <c r="BH21" s="880">
        <f t="shared" si="21"/>
        <v>0.80208333333333337</v>
      </c>
      <c r="BI21" s="874">
        <v>0.8125</v>
      </c>
      <c r="BJ21" s="882">
        <f t="shared" si="22"/>
        <v>90</v>
      </c>
      <c r="BK21" s="883">
        <f t="shared" si="23"/>
        <v>25.654761904761898</v>
      </c>
      <c r="BL21" s="884">
        <f t="shared" si="31"/>
        <v>15</v>
      </c>
      <c r="BM21" s="885">
        <f t="shared" si="24"/>
        <v>0</v>
      </c>
    </row>
    <row r="22" spans="1:65" ht="18.75" x14ac:dyDescent="0.3">
      <c r="A22" s="873">
        <v>7</v>
      </c>
      <c r="B22" s="874">
        <v>0.41666666666666669</v>
      </c>
      <c r="C22" s="875">
        <v>90</v>
      </c>
      <c r="D22" s="876">
        <v>23</v>
      </c>
      <c r="E22" s="889">
        <v>76.834057971014502</v>
      </c>
      <c r="F22" s="875">
        <f t="shared" si="32"/>
        <v>13.165942028985498</v>
      </c>
      <c r="G22" s="878">
        <f t="shared" si="0"/>
        <v>87.51746376811596</v>
      </c>
      <c r="H22" s="879">
        <f t="shared" si="1"/>
        <v>90</v>
      </c>
      <c r="I22" s="878">
        <f t="shared" si="2"/>
        <v>0</v>
      </c>
      <c r="J22" s="880">
        <f t="shared" si="25"/>
        <v>0.47916666666666669</v>
      </c>
      <c r="K22" s="895">
        <v>0.4826388888888889</v>
      </c>
      <c r="L22" s="882">
        <f t="shared" si="26"/>
        <v>94.999999999999986</v>
      </c>
      <c r="M22" s="883">
        <f t="shared" si="3"/>
        <v>18.165942028985484</v>
      </c>
      <c r="N22" s="884">
        <f t="shared" si="33"/>
        <v>4.9999999999999858</v>
      </c>
      <c r="O22" s="885">
        <f t="shared" si="27"/>
        <v>4.9999999999999858</v>
      </c>
      <c r="P22" s="880"/>
      <c r="Q22" s="886">
        <v>7</v>
      </c>
      <c r="R22" s="896">
        <v>0.42708333333333348</v>
      </c>
      <c r="S22" s="888">
        <v>90</v>
      </c>
      <c r="T22" s="876">
        <v>25</v>
      </c>
      <c r="U22" s="889">
        <v>75.522666666666694</v>
      </c>
      <c r="V22" s="879">
        <f t="shared" si="28"/>
        <v>14.477333333333306</v>
      </c>
      <c r="W22" s="878">
        <f t="shared" si="4"/>
        <v>86.074933333333377</v>
      </c>
      <c r="X22" s="879">
        <f t="shared" si="5"/>
        <v>85</v>
      </c>
      <c r="Y22" s="878">
        <f t="shared" si="6"/>
        <v>5</v>
      </c>
      <c r="Z22" s="890">
        <f t="shared" si="7"/>
        <v>0.48611111111111127</v>
      </c>
      <c r="AA22" s="891">
        <v>0.5</v>
      </c>
      <c r="AB22" s="883">
        <f t="shared" si="8"/>
        <v>104.99999999999979</v>
      </c>
      <c r="AC22" s="883">
        <f t="shared" si="9"/>
        <v>29.477333333333092</v>
      </c>
      <c r="AD22" s="884">
        <f t="shared" si="29"/>
        <v>19.999999999999787</v>
      </c>
      <c r="AE22" s="885">
        <f t="shared" si="10"/>
        <v>14.999999999999787</v>
      </c>
      <c r="AI22" s="873">
        <v>47</v>
      </c>
      <c r="AJ22" s="874" t="s">
        <v>1183</v>
      </c>
      <c r="AK22" s="875">
        <v>90</v>
      </c>
      <c r="AL22" s="876">
        <v>7</v>
      </c>
      <c r="AM22" s="889">
        <v>61.069047619047602</v>
      </c>
      <c r="AN22" s="875">
        <f t="shared" ref="AN22:AN28" si="36">AK22-AM22</f>
        <v>28.930952380952398</v>
      </c>
      <c r="AO22" s="878">
        <f t="shared" si="11"/>
        <v>70.175952380952367</v>
      </c>
      <c r="AP22" s="879">
        <f t="shared" si="12"/>
        <v>70</v>
      </c>
      <c r="AQ22" s="878">
        <f t="shared" si="13"/>
        <v>20</v>
      </c>
      <c r="AR22" s="880">
        <f t="shared" si="14"/>
        <v>0.81944444444444453</v>
      </c>
      <c r="AS22" s="898">
        <v>0.77083333333333337</v>
      </c>
      <c r="AT22" s="882">
        <f t="shared" si="15"/>
        <v>0</v>
      </c>
      <c r="AU22" s="883">
        <f t="shared" si="16"/>
        <v>-61.069047619047602</v>
      </c>
      <c r="AV22" s="884">
        <f t="shared" si="35"/>
        <v>-70</v>
      </c>
      <c r="AW22" s="885">
        <f t="shared" si="17"/>
        <v>-90</v>
      </c>
      <c r="AY22" s="873">
        <v>47</v>
      </c>
      <c r="AZ22" s="893" t="s">
        <v>1183</v>
      </c>
      <c r="BA22" s="888">
        <v>60</v>
      </c>
      <c r="BB22" s="876">
        <v>18</v>
      </c>
      <c r="BC22" s="889">
        <v>58.720370370370397</v>
      </c>
      <c r="BD22" s="875">
        <f t="shared" si="30"/>
        <v>1.2796296296296035</v>
      </c>
      <c r="BE22" s="878">
        <f t="shared" si="18"/>
        <v>67.592407407407435</v>
      </c>
      <c r="BF22" s="879">
        <f t="shared" si="19"/>
        <v>70</v>
      </c>
      <c r="BG22" s="878">
        <f t="shared" si="20"/>
        <v>-10</v>
      </c>
      <c r="BH22" s="880">
        <f t="shared" si="21"/>
        <v>0.81944444444444453</v>
      </c>
      <c r="BI22" s="895">
        <v>0.81944444444444442</v>
      </c>
      <c r="BJ22" s="882">
        <f t="shared" si="22"/>
        <v>69.999999999999915</v>
      </c>
      <c r="BK22" s="883">
        <f t="shared" si="23"/>
        <v>11.279629629629518</v>
      </c>
      <c r="BL22" s="884">
        <f t="shared" si="31"/>
        <v>0</v>
      </c>
      <c r="BM22" s="885">
        <f t="shared" si="24"/>
        <v>9.9999999999999147</v>
      </c>
    </row>
    <row r="23" spans="1:65" ht="18.75" x14ac:dyDescent="0.3">
      <c r="A23" s="873" t="s">
        <v>727</v>
      </c>
      <c r="B23" s="874">
        <v>0.42708333333333331</v>
      </c>
      <c r="C23" s="875">
        <v>90</v>
      </c>
      <c r="D23" s="876">
        <v>24</v>
      </c>
      <c r="E23" s="889">
        <v>74.90625</v>
      </c>
      <c r="F23" s="875">
        <f t="shared" si="32"/>
        <v>15.09375</v>
      </c>
      <c r="G23" s="878">
        <f t="shared" si="0"/>
        <v>85.396875000000009</v>
      </c>
      <c r="H23" s="879">
        <f t="shared" si="1"/>
        <v>85</v>
      </c>
      <c r="I23" s="878">
        <f t="shared" si="2"/>
        <v>5</v>
      </c>
      <c r="J23" s="880">
        <f t="shared" si="25"/>
        <v>0.4861111111111111</v>
      </c>
      <c r="K23" s="893">
        <v>0.5</v>
      </c>
      <c r="L23" s="882">
        <f t="shared" si="26"/>
        <v>105.00000000000003</v>
      </c>
      <c r="M23" s="883">
        <f t="shared" si="3"/>
        <v>30.093750000000028</v>
      </c>
      <c r="N23" s="884">
        <f t="shared" si="33"/>
        <v>20.000000000000028</v>
      </c>
      <c r="O23" s="885">
        <f t="shared" si="27"/>
        <v>15.000000000000028</v>
      </c>
      <c r="P23" s="880"/>
      <c r="Q23" s="886" t="s">
        <v>727</v>
      </c>
      <c r="R23" s="887">
        <v>0.43750000000000017</v>
      </c>
      <c r="S23" s="888">
        <v>90</v>
      </c>
      <c r="T23" s="876">
        <v>24</v>
      </c>
      <c r="U23" s="889">
        <v>80.706944444444503</v>
      </c>
      <c r="V23" s="879">
        <f t="shared" si="28"/>
        <v>9.2930555555554974</v>
      </c>
      <c r="W23" s="878">
        <f t="shared" si="4"/>
        <v>91.777638888888958</v>
      </c>
      <c r="X23" s="879">
        <f t="shared" si="5"/>
        <v>90</v>
      </c>
      <c r="Y23" s="878">
        <f t="shared" si="6"/>
        <v>0</v>
      </c>
      <c r="Z23" s="890">
        <f t="shared" si="7"/>
        <v>0.50000000000000022</v>
      </c>
      <c r="AA23" s="891">
        <v>0.51041666666666663</v>
      </c>
      <c r="AB23" s="883">
        <f t="shared" si="8"/>
        <v>104.99999999999972</v>
      </c>
      <c r="AC23" s="883">
        <f t="shared" si="9"/>
        <v>24.293055555555213</v>
      </c>
      <c r="AD23" s="884">
        <f t="shared" si="29"/>
        <v>14.999999999999716</v>
      </c>
      <c r="AE23" s="885">
        <f t="shared" si="10"/>
        <v>14.999999999999716</v>
      </c>
      <c r="AI23" s="873">
        <v>47</v>
      </c>
      <c r="AJ23" s="874">
        <v>0.78125</v>
      </c>
      <c r="AK23" s="875"/>
      <c r="AL23" s="876"/>
      <c r="AM23" s="877">
        <v>61.069047619047602</v>
      </c>
      <c r="AN23" s="875">
        <f t="shared" si="36"/>
        <v>-61.069047619047602</v>
      </c>
      <c r="AO23" s="878">
        <f t="shared" si="11"/>
        <v>70.175952380952367</v>
      </c>
      <c r="AP23" s="879">
        <f t="shared" si="12"/>
        <v>70</v>
      </c>
      <c r="AQ23" s="878">
        <f t="shared" si="13"/>
        <v>-70</v>
      </c>
      <c r="AR23" s="880">
        <f t="shared" si="14"/>
        <v>0.82986111111111116</v>
      </c>
      <c r="AS23" s="893">
        <v>0.85416666666666663</v>
      </c>
      <c r="AT23" s="882">
        <f t="shared" si="15"/>
        <v>104.99999999999994</v>
      </c>
      <c r="AU23" s="883">
        <f t="shared" si="16"/>
        <v>43.930952380952341</v>
      </c>
      <c r="AV23" s="884">
        <f t="shared" si="35"/>
        <v>34.999999999999943</v>
      </c>
      <c r="AW23" s="885">
        <f t="shared" si="17"/>
        <v>104.99999999999994</v>
      </c>
      <c r="AY23" s="873">
        <v>47</v>
      </c>
      <c r="AZ23" s="893" t="s">
        <v>1184</v>
      </c>
      <c r="BA23" s="888">
        <v>60</v>
      </c>
      <c r="BB23" s="876">
        <v>20</v>
      </c>
      <c r="BC23" s="889">
        <v>51.912500000000001</v>
      </c>
      <c r="BD23" s="875">
        <f t="shared" si="30"/>
        <v>8.0874999999999986</v>
      </c>
      <c r="BE23" s="878">
        <f t="shared" si="18"/>
        <v>60.103750000000005</v>
      </c>
      <c r="BF23" s="879">
        <f t="shared" si="19"/>
        <v>60</v>
      </c>
      <c r="BG23" s="878">
        <f t="shared" si="20"/>
        <v>0</v>
      </c>
      <c r="BH23" s="880">
        <f t="shared" si="21"/>
        <v>0.85416666666666663</v>
      </c>
      <c r="BI23" s="874">
        <v>0.85416666666666663</v>
      </c>
      <c r="BJ23" s="882">
        <f t="shared" si="22"/>
        <v>59.99999999999995</v>
      </c>
      <c r="BK23" s="883">
        <f t="shared" si="23"/>
        <v>8.0874999999999488</v>
      </c>
      <c r="BL23" s="884">
        <f t="shared" si="31"/>
        <v>0</v>
      </c>
      <c r="BM23" s="885">
        <f t="shared" si="24"/>
        <v>0</v>
      </c>
    </row>
    <row r="24" spans="1:65" ht="18.75" x14ac:dyDescent="0.3">
      <c r="A24" s="873">
        <v>7</v>
      </c>
      <c r="B24" s="874">
        <v>0.4375</v>
      </c>
      <c r="C24" s="875">
        <v>90</v>
      </c>
      <c r="D24" s="876">
        <v>19</v>
      </c>
      <c r="E24" s="889">
        <v>78.091228070175404</v>
      </c>
      <c r="F24" s="875">
        <f t="shared" si="32"/>
        <v>11.908771929824596</v>
      </c>
      <c r="G24" s="878">
        <f t="shared" si="0"/>
        <v>88.900350877192949</v>
      </c>
      <c r="H24" s="879">
        <f t="shared" si="1"/>
        <v>90</v>
      </c>
      <c r="I24" s="878">
        <f t="shared" si="2"/>
        <v>0</v>
      </c>
      <c r="J24" s="880">
        <f t="shared" si="25"/>
        <v>0.5</v>
      </c>
      <c r="K24" s="881">
        <v>0.51041666666666663</v>
      </c>
      <c r="L24" s="882">
        <f t="shared" si="26"/>
        <v>104.99999999999994</v>
      </c>
      <c r="M24" s="883">
        <f t="shared" si="3"/>
        <v>26.908771929824539</v>
      </c>
      <c r="N24" s="884">
        <f t="shared" si="33"/>
        <v>14.999999999999943</v>
      </c>
      <c r="O24" s="885">
        <f t="shared" si="27"/>
        <v>14.999999999999943</v>
      </c>
      <c r="P24" s="880"/>
      <c r="Q24" s="886">
        <v>7</v>
      </c>
      <c r="R24" s="896">
        <v>0.44791666666666685</v>
      </c>
      <c r="S24" s="888">
        <v>90</v>
      </c>
      <c r="T24" s="876">
        <v>28</v>
      </c>
      <c r="U24" s="889">
        <v>73.171428571428606</v>
      </c>
      <c r="V24" s="879">
        <f t="shared" si="28"/>
        <v>16.828571428571394</v>
      </c>
      <c r="W24" s="878">
        <f t="shared" si="4"/>
        <v>83.488571428571476</v>
      </c>
      <c r="X24" s="879">
        <f t="shared" si="5"/>
        <v>85</v>
      </c>
      <c r="Y24" s="878">
        <f t="shared" si="6"/>
        <v>5</v>
      </c>
      <c r="Z24" s="890">
        <f t="shared" si="7"/>
        <v>0.50694444444444464</v>
      </c>
      <c r="AA24" s="891">
        <v>0.52083333333333337</v>
      </c>
      <c r="AB24" s="883">
        <f t="shared" si="8"/>
        <v>104.99999999999979</v>
      </c>
      <c r="AC24" s="883">
        <f t="shared" si="9"/>
        <v>31.82857142857118</v>
      </c>
      <c r="AD24" s="884">
        <f t="shared" si="29"/>
        <v>19.999999999999787</v>
      </c>
      <c r="AE24" s="885">
        <f t="shared" si="10"/>
        <v>14.999999999999787</v>
      </c>
      <c r="AI24" s="873">
        <v>47</v>
      </c>
      <c r="AJ24" s="874" t="s">
        <v>1184</v>
      </c>
      <c r="AK24" s="875">
        <v>60</v>
      </c>
      <c r="AL24" s="876">
        <v>15</v>
      </c>
      <c r="AM24" s="889">
        <v>58.028888888888901</v>
      </c>
      <c r="AN24" s="875">
        <f t="shared" si="36"/>
        <v>1.9711111111110995</v>
      </c>
      <c r="AO24" s="878">
        <f t="shared" si="11"/>
        <v>66.831777777777802</v>
      </c>
      <c r="AP24" s="879">
        <f t="shared" si="12"/>
        <v>65</v>
      </c>
      <c r="AQ24" s="878">
        <f t="shared" si="13"/>
        <v>-5</v>
      </c>
      <c r="AR24" s="880">
        <f t="shared" si="14"/>
        <v>0.85763888888888884</v>
      </c>
      <c r="AS24" s="895">
        <v>0.85763888888888884</v>
      </c>
      <c r="AT24" s="882">
        <f t="shared" si="15"/>
        <v>64.999999999999929</v>
      </c>
      <c r="AU24" s="883">
        <f t="shared" si="16"/>
        <v>6.9711111111110284</v>
      </c>
      <c r="AV24" s="884">
        <f t="shared" si="35"/>
        <v>0</v>
      </c>
      <c r="AW24" s="885">
        <f t="shared" si="17"/>
        <v>4.9999999999999289</v>
      </c>
      <c r="AY24" s="873">
        <v>47</v>
      </c>
      <c r="AZ24" s="893" t="s">
        <v>1185</v>
      </c>
      <c r="BA24" s="888">
        <v>60</v>
      </c>
      <c r="BB24" s="876">
        <v>26</v>
      </c>
      <c r="BC24" s="889">
        <v>46.437820512820501</v>
      </c>
      <c r="BD24" s="875">
        <f t="shared" si="30"/>
        <v>13.562179487179499</v>
      </c>
      <c r="BE24" s="878">
        <f t="shared" si="18"/>
        <v>54.081602564102553</v>
      </c>
      <c r="BF24" s="879">
        <f t="shared" si="19"/>
        <v>55</v>
      </c>
      <c r="BG24" s="878">
        <f t="shared" si="20"/>
        <v>5</v>
      </c>
      <c r="BH24" s="880">
        <f t="shared" si="21"/>
        <v>0.89236111111111105</v>
      </c>
      <c r="BI24" s="874">
        <v>0.89583333333333337</v>
      </c>
      <c r="BJ24" s="882">
        <f t="shared" si="22"/>
        <v>60.000000000000107</v>
      </c>
      <c r="BK24" s="883">
        <f t="shared" si="23"/>
        <v>13.562179487179606</v>
      </c>
      <c r="BL24" s="884">
        <f t="shared" si="31"/>
        <v>5.0000000000001066</v>
      </c>
      <c r="BM24" s="885">
        <f t="shared" si="24"/>
        <v>1.0658141036401503E-13</v>
      </c>
    </row>
    <row r="25" spans="1:65" ht="18.75" x14ac:dyDescent="0.3">
      <c r="A25" s="873" t="s">
        <v>727</v>
      </c>
      <c r="B25" s="874">
        <v>0.44791666666666669</v>
      </c>
      <c r="C25" s="875">
        <v>90</v>
      </c>
      <c r="D25" s="876">
        <v>19</v>
      </c>
      <c r="E25" s="889">
        <v>74.922807017543803</v>
      </c>
      <c r="F25" s="875">
        <f t="shared" si="32"/>
        <v>15.077192982456197</v>
      </c>
      <c r="G25" s="878">
        <f t="shared" si="0"/>
        <v>85.415087719298185</v>
      </c>
      <c r="H25" s="879">
        <f t="shared" si="1"/>
        <v>85</v>
      </c>
      <c r="I25" s="878">
        <f t="shared" si="2"/>
        <v>5</v>
      </c>
      <c r="J25" s="880">
        <f t="shared" si="25"/>
        <v>0.50694444444444442</v>
      </c>
      <c r="K25" s="893">
        <v>0.52083333333333337</v>
      </c>
      <c r="L25" s="882">
        <f t="shared" si="26"/>
        <v>105.00000000000003</v>
      </c>
      <c r="M25" s="883">
        <f t="shared" si="3"/>
        <v>30.077192982456225</v>
      </c>
      <c r="N25" s="884">
        <f t="shared" si="33"/>
        <v>20.000000000000028</v>
      </c>
      <c r="O25" s="885">
        <f t="shared" si="27"/>
        <v>15.000000000000028</v>
      </c>
      <c r="P25" s="880"/>
      <c r="Q25" s="886" t="s">
        <v>727</v>
      </c>
      <c r="R25" s="887">
        <v>0.45833333333333354</v>
      </c>
      <c r="S25" s="888">
        <v>90</v>
      </c>
      <c r="T25" s="876">
        <v>27</v>
      </c>
      <c r="U25" s="889">
        <v>80.7777777777778</v>
      </c>
      <c r="V25" s="879">
        <f t="shared" si="28"/>
        <v>9.2222222222222001</v>
      </c>
      <c r="W25" s="878">
        <f t="shared" si="4"/>
        <v>91.855555555555583</v>
      </c>
      <c r="X25" s="879">
        <f t="shared" si="5"/>
        <v>90</v>
      </c>
      <c r="Y25" s="878">
        <f t="shared" si="6"/>
        <v>0</v>
      </c>
      <c r="Z25" s="890">
        <f t="shared" si="7"/>
        <v>0.52083333333333348</v>
      </c>
      <c r="AA25" s="891">
        <v>0.53125</v>
      </c>
      <c r="AB25" s="883">
        <f t="shared" si="8"/>
        <v>104.99999999999972</v>
      </c>
      <c r="AC25" s="883">
        <f t="shared" si="9"/>
        <v>24.222222222221916</v>
      </c>
      <c r="AD25" s="884">
        <f t="shared" si="29"/>
        <v>14.999999999999716</v>
      </c>
      <c r="AE25" s="885">
        <f t="shared" si="10"/>
        <v>14.999999999999716</v>
      </c>
      <c r="AI25" s="873">
        <v>47</v>
      </c>
      <c r="AJ25" s="874" t="s">
        <v>1185</v>
      </c>
      <c r="AK25" s="875">
        <v>60</v>
      </c>
      <c r="AL25" s="876">
        <v>19</v>
      </c>
      <c r="AM25" s="889">
        <v>54.789473684210499</v>
      </c>
      <c r="AN25" s="875">
        <f t="shared" si="36"/>
        <v>5.210526315789501</v>
      </c>
      <c r="AO25" s="878">
        <f t="shared" si="11"/>
        <v>63.268421052631552</v>
      </c>
      <c r="AP25" s="879">
        <f t="shared" si="12"/>
        <v>65</v>
      </c>
      <c r="AQ25" s="878">
        <f t="shared" si="13"/>
        <v>-5</v>
      </c>
      <c r="AR25" s="880">
        <f t="shared" si="14"/>
        <v>0.89930555555555547</v>
      </c>
      <c r="AS25" s="893">
        <v>0.89583333333333337</v>
      </c>
      <c r="AT25" s="882">
        <f t="shared" si="15"/>
        <v>60.000000000000107</v>
      </c>
      <c r="AU25" s="883">
        <f t="shared" si="16"/>
        <v>5.2105263157896076</v>
      </c>
      <c r="AV25" s="884">
        <f t="shared" si="35"/>
        <v>-4.9999999999998934</v>
      </c>
      <c r="AW25" s="885">
        <f t="shared" si="17"/>
        <v>1.0658141036401503E-13</v>
      </c>
      <c r="AY25" s="873">
        <v>47</v>
      </c>
      <c r="AZ25" s="893" t="s">
        <v>1186</v>
      </c>
      <c r="BA25" s="888">
        <v>60</v>
      </c>
      <c r="BB25" s="876">
        <v>24</v>
      </c>
      <c r="BC25" s="889">
        <v>43.617361111111101</v>
      </c>
      <c r="BD25" s="875">
        <f t="shared" si="30"/>
        <v>16.382638888888899</v>
      </c>
      <c r="BE25" s="878">
        <f t="shared" si="18"/>
        <v>50.979097222222215</v>
      </c>
      <c r="BF25" s="879">
        <f t="shared" si="19"/>
        <v>50</v>
      </c>
      <c r="BG25" s="878">
        <f t="shared" si="20"/>
        <v>10</v>
      </c>
      <c r="BH25" s="880">
        <f t="shared" si="21"/>
        <v>0.93055555555555558</v>
      </c>
      <c r="BI25" s="874">
        <v>0.9375</v>
      </c>
      <c r="BJ25" s="882">
        <f t="shared" si="22"/>
        <v>59.99999999999995</v>
      </c>
      <c r="BK25" s="883">
        <f t="shared" si="23"/>
        <v>16.382638888888849</v>
      </c>
      <c r="BL25" s="884">
        <f t="shared" si="31"/>
        <v>9.9999999999999503</v>
      </c>
      <c r="BM25" s="885">
        <f t="shared" si="24"/>
        <v>0</v>
      </c>
    </row>
    <row r="26" spans="1:65" ht="18.75" x14ac:dyDescent="0.3">
      <c r="A26" s="873">
        <v>7</v>
      </c>
      <c r="B26" s="874">
        <v>0.45833333333333331</v>
      </c>
      <c r="C26" s="875">
        <v>90</v>
      </c>
      <c r="D26" s="876">
        <v>22</v>
      </c>
      <c r="E26" s="889">
        <v>77.998484848484907</v>
      </c>
      <c r="F26" s="875">
        <f t="shared" si="32"/>
        <v>12.001515151515093</v>
      </c>
      <c r="G26" s="878">
        <f t="shared" si="0"/>
        <v>88.798333333333403</v>
      </c>
      <c r="H26" s="879">
        <f t="shared" si="1"/>
        <v>90</v>
      </c>
      <c r="I26" s="878">
        <f t="shared" si="2"/>
        <v>0</v>
      </c>
      <c r="J26" s="880">
        <f t="shared" si="25"/>
        <v>0.52083333333333326</v>
      </c>
      <c r="K26" s="881">
        <v>0.53125</v>
      </c>
      <c r="L26" s="882">
        <f t="shared" si="26"/>
        <v>105.00000000000003</v>
      </c>
      <c r="M26" s="883">
        <f t="shared" si="3"/>
        <v>27.001515151515122</v>
      </c>
      <c r="N26" s="884">
        <f t="shared" si="33"/>
        <v>15.000000000000028</v>
      </c>
      <c r="O26" s="885">
        <f t="shared" si="27"/>
        <v>15.000000000000028</v>
      </c>
      <c r="P26" s="880"/>
      <c r="Q26" s="886">
        <v>7</v>
      </c>
      <c r="R26" s="896">
        <v>0.46875000000000022</v>
      </c>
      <c r="S26" s="888">
        <v>90</v>
      </c>
      <c r="T26" s="876">
        <v>29</v>
      </c>
      <c r="U26" s="889">
        <v>74.8764367816092</v>
      </c>
      <c r="V26" s="879">
        <f t="shared" si="28"/>
        <v>15.1235632183908</v>
      </c>
      <c r="W26" s="878">
        <f t="shared" si="4"/>
        <v>85.364080459770122</v>
      </c>
      <c r="X26" s="879">
        <f t="shared" si="5"/>
        <v>85</v>
      </c>
      <c r="Y26" s="878">
        <f t="shared" si="6"/>
        <v>5</v>
      </c>
      <c r="Z26" s="890">
        <f t="shared" si="7"/>
        <v>0.52777777777777801</v>
      </c>
      <c r="AA26" s="900">
        <v>0.53472222222222221</v>
      </c>
      <c r="AB26" s="883">
        <f t="shared" si="8"/>
        <v>94.999999999999673</v>
      </c>
      <c r="AC26" s="883">
        <f t="shared" si="9"/>
        <v>20.123563218390473</v>
      </c>
      <c r="AD26" s="884">
        <f t="shared" si="29"/>
        <v>9.9999999999996732</v>
      </c>
      <c r="AE26" s="885">
        <f t="shared" si="10"/>
        <v>4.9999999999996732</v>
      </c>
      <c r="AI26" s="873">
        <v>47</v>
      </c>
      <c r="AJ26" s="874" t="s">
        <v>1186</v>
      </c>
      <c r="AK26" s="875">
        <v>60</v>
      </c>
      <c r="AL26" s="876">
        <v>18</v>
      </c>
      <c r="AM26" s="889">
        <v>47.969444444444498</v>
      </c>
      <c r="AN26" s="875">
        <f t="shared" si="36"/>
        <v>12.030555555555502</v>
      </c>
      <c r="AO26" s="878">
        <f t="shared" si="11"/>
        <v>55.766388888888955</v>
      </c>
      <c r="AP26" s="879">
        <f t="shared" si="12"/>
        <v>55</v>
      </c>
      <c r="AQ26" s="878">
        <f t="shared" si="13"/>
        <v>5</v>
      </c>
      <c r="AR26" s="880">
        <f t="shared" si="14"/>
        <v>0.93402777777777779</v>
      </c>
      <c r="AS26" s="893">
        <v>0.9375</v>
      </c>
      <c r="AT26" s="882">
        <f t="shared" si="15"/>
        <v>59.99999999999995</v>
      </c>
      <c r="AU26" s="883">
        <f t="shared" si="16"/>
        <v>12.030555555555452</v>
      </c>
      <c r="AV26" s="884">
        <f t="shared" si="35"/>
        <v>4.9999999999999503</v>
      </c>
      <c r="AW26" s="885">
        <f t="shared" si="17"/>
        <v>0</v>
      </c>
      <c r="AY26" s="873">
        <v>47</v>
      </c>
      <c r="AZ26" s="893" t="s">
        <v>1187</v>
      </c>
      <c r="BA26" s="888">
        <v>60</v>
      </c>
      <c r="BB26" s="876">
        <v>27</v>
      </c>
      <c r="BC26" s="889">
        <v>41.235185185185202</v>
      </c>
      <c r="BD26" s="875">
        <f t="shared" si="30"/>
        <v>18.764814814814798</v>
      </c>
      <c r="BE26" s="878">
        <f t="shared" si="18"/>
        <v>48.358703703703725</v>
      </c>
      <c r="BF26" s="879">
        <f t="shared" si="19"/>
        <v>50</v>
      </c>
      <c r="BG26" s="878">
        <f t="shared" si="20"/>
        <v>10</v>
      </c>
      <c r="BH26" s="880">
        <f t="shared" si="21"/>
        <v>0.97222222222222221</v>
      </c>
      <c r="BI26" s="874">
        <v>0.97916666666666663</v>
      </c>
      <c r="BJ26" s="882">
        <f t="shared" si="22"/>
        <v>59.99999999999995</v>
      </c>
      <c r="BK26" s="883">
        <f t="shared" si="23"/>
        <v>18.764814814814748</v>
      </c>
      <c r="BL26" s="884">
        <f t="shared" si="31"/>
        <v>9.9999999999999503</v>
      </c>
      <c r="BM26" s="885">
        <f t="shared" si="24"/>
        <v>0</v>
      </c>
    </row>
    <row r="27" spans="1:65" ht="18.75" x14ac:dyDescent="0.3">
      <c r="A27" s="873" t="s">
        <v>727</v>
      </c>
      <c r="B27" s="874">
        <v>0.46875</v>
      </c>
      <c r="C27" s="875">
        <v>90</v>
      </c>
      <c r="D27" s="876">
        <v>22</v>
      </c>
      <c r="E27" s="889">
        <v>77.552272727272694</v>
      </c>
      <c r="F27" s="875">
        <f t="shared" si="32"/>
        <v>12.447727272727306</v>
      </c>
      <c r="G27" s="878">
        <f t="shared" si="0"/>
        <v>88.307499999999976</v>
      </c>
      <c r="H27" s="879">
        <f t="shared" si="1"/>
        <v>90</v>
      </c>
      <c r="I27" s="878">
        <f t="shared" si="2"/>
        <v>0</v>
      </c>
      <c r="J27" s="880">
        <f t="shared" si="25"/>
        <v>0.53125</v>
      </c>
      <c r="K27" s="893">
        <v>0.54166666666666663</v>
      </c>
      <c r="L27" s="882">
        <f t="shared" si="26"/>
        <v>104.99999999999994</v>
      </c>
      <c r="M27" s="883">
        <f t="shared" si="3"/>
        <v>27.447727272727249</v>
      </c>
      <c r="N27" s="884">
        <f t="shared" si="33"/>
        <v>14.999999999999943</v>
      </c>
      <c r="O27" s="885">
        <f t="shared" si="27"/>
        <v>14.999999999999943</v>
      </c>
      <c r="P27" s="890"/>
      <c r="Q27" s="886" t="s">
        <v>727</v>
      </c>
      <c r="R27" s="887">
        <v>0.47916666666666691</v>
      </c>
      <c r="S27" s="888">
        <v>87</v>
      </c>
      <c r="T27" s="876">
        <v>24</v>
      </c>
      <c r="U27" s="889">
        <v>81.360416666666694</v>
      </c>
      <c r="V27" s="879">
        <f t="shared" si="28"/>
        <v>5.6395833333333059</v>
      </c>
      <c r="W27" s="878">
        <f t="shared" si="4"/>
        <v>92.496458333333365</v>
      </c>
      <c r="X27" s="879">
        <f t="shared" si="5"/>
        <v>90</v>
      </c>
      <c r="Y27" s="878">
        <f t="shared" si="6"/>
        <v>-3</v>
      </c>
      <c r="Z27" s="890">
        <f t="shared" si="7"/>
        <v>0.54166666666666696</v>
      </c>
      <c r="AA27" s="891">
        <v>0.55208333333333337</v>
      </c>
      <c r="AB27" s="883">
        <f t="shared" si="8"/>
        <v>104.99999999999972</v>
      </c>
      <c r="AC27" s="883">
        <f t="shared" si="9"/>
        <v>23.639583333333022</v>
      </c>
      <c r="AD27" s="884">
        <f t="shared" si="29"/>
        <v>14.999999999999716</v>
      </c>
      <c r="AE27" s="885">
        <f t="shared" si="10"/>
        <v>17.999999999999716</v>
      </c>
      <c r="AI27" s="873">
        <v>47</v>
      </c>
      <c r="AJ27" s="874" t="s">
        <v>1187</v>
      </c>
      <c r="AK27" s="875">
        <v>60</v>
      </c>
      <c r="AL27" s="876">
        <v>24</v>
      </c>
      <c r="AM27" s="889">
        <v>48.397916666666703</v>
      </c>
      <c r="AN27" s="875">
        <f t="shared" si="36"/>
        <v>11.602083333333297</v>
      </c>
      <c r="AO27" s="878">
        <f t="shared" si="11"/>
        <v>56.23770833333338</v>
      </c>
      <c r="AP27" s="879">
        <f t="shared" si="12"/>
        <v>55</v>
      </c>
      <c r="AQ27" s="878">
        <f t="shared" si="13"/>
        <v>5</v>
      </c>
      <c r="AR27" s="880">
        <f t="shared" si="14"/>
        <v>0.97569444444444442</v>
      </c>
      <c r="AS27" s="893">
        <v>0.97916666666666663</v>
      </c>
      <c r="AT27" s="882">
        <f t="shared" si="15"/>
        <v>59.99999999999995</v>
      </c>
      <c r="AU27" s="883">
        <f t="shared" si="16"/>
        <v>11.602083333333248</v>
      </c>
      <c r="AV27" s="884">
        <f t="shared" si="35"/>
        <v>4.9999999999999503</v>
      </c>
      <c r="AW27" s="885">
        <f t="shared" si="17"/>
        <v>0</v>
      </c>
      <c r="AY27" s="873">
        <v>47</v>
      </c>
      <c r="AZ27" s="893" t="s">
        <v>1188</v>
      </c>
      <c r="BA27" s="888">
        <v>60</v>
      </c>
      <c r="BB27" s="876">
        <v>19</v>
      </c>
      <c r="BC27" s="889">
        <v>36.085087719298201</v>
      </c>
      <c r="BD27" s="875">
        <f t="shared" si="30"/>
        <v>23.914912280701799</v>
      </c>
      <c r="BE27" s="878">
        <f t="shared" si="18"/>
        <v>42.693596491228021</v>
      </c>
      <c r="BF27" s="879">
        <f t="shared" si="19"/>
        <v>45</v>
      </c>
      <c r="BG27" s="878">
        <f t="shared" si="20"/>
        <v>15</v>
      </c>
      <c r="BH27" s="880">
        <f t="shared" si="21"/>
        <v>1.0104166666666665</v>
      </c>
      <c r="BI27" s="895">
        <v>1.0138888888888888</v>
      </c>
      <c r="BJ27" s="882">
        <f t="shared" si="22"/>
        <v>49.999999999999986</v>
      </c>
      <c r="BK27" s="883">
        <f t="shared" si="23"/>
        <v>13.914912280701785</v>
      </c>
      <c r="BL27" s="884">
        <f t="shared" si="31"/>
        <v>4.9999999999999858</v>
      </c>
      <c r="BM27" s="885">
        <f t="shared" si="24"/>
        <v>-10.000000000000014</v>
      </c>
    </row>
    <row r="28" spans="1:65" ht="18.75" x14ac:dyDescent="0.3">
      <c r="A28" s="873">
        <v>7</v>
      </c>
      <c r="B28" s="874">
        <v>0.47916666666666669</v>
      </c>
      <c r="C28" s="879">
        <v>85</v>
      </c>
      <c r="D28" s="876">
        <v>25</v>
      </c>
      <c r="E28" s="889">
        <v>76.379333333333307</v>
      </c>
      <c r="F28" s="875">
        <f t="shared" si="32"/>
        <v>8.6206666666666933</v>
      </c>
      <c r="G28" s="878">
        <f t="shared" si="0"/>
        <v>87.017266666666643</v>
      </c>
      <c r="H28" s="879">
        <f t="shared" si="1"/>
        <v>85</v>
      </c>
      <c r="I28" s="878">
        <f t="shared" si="2"/>
        <v>0</v>
      </c>
      <c r="J28" s="890">
        <f t="shared" si="25"/>
        <v>0.53819444444444442</v>
      </c>
      <c r="K28" s="881">
        <v>0.55208333333333337</v>
      </c>
      <c r="L28" s="882">
        <f t="shared" si="26"/>
        <v>105.00000000000003</v>
      </c>
      <c r="M28" s="883">
        <f t="shared" si="3"/>
        <v>28.620666666666722</v>
      </c>
      <c r="N28" s="884">
        <f t="shared" si="33"/>
        <v>20.000000000000028</v>
      </c>
      <c r="O28" s="885">
        <f t="shared" si="27"/>
        <v>20.000000000000028</v>
      </c>
      <c r="P28" s="880"/>
      <c r="Q28" s="886">
        <v>7</v>
      </c>
      <c r="R28" s="896">
        <v>0.48958333333333359</v>
      </c>
      <c r="S28" s="888">
        <v>90</v>
      </c>
      <c r="T28" s="876">
        <v>26</v>
      </c>
      <c r="U28" s="889">
        <v>75.725641025640996</v>
      </c>
      <c r="V28" s="879">
        <f t="shared" si="28"/>
        <v>14.274358974359004</v>
      </c>
      <c r="W28" s="878">
        <f t="shared" si="4"/>
        <v>86.298205128205097</v>
      </c>
      <c r="X28" s="879">
        <f t="shared" si="5"/>
        <v>85</v>
      </c>
      <c r="Y28" s="878">
        <f t="shared" si="6"/>
        <v>5</v>
      </c>
      <c r="Z28" s="890">
        <f t="shared" si="7"/>
        <v>0.54861111111111138</v>
      </c>
      <c r="AA28" s="891">
        <v>0.5625</v>
      </c>
      <c r="AB28" s="883">
        <f t="shared" si="8"/>
        <v>104.99999999999962</v>
      </c>
      <c r="AC28" s="883">
        <f t="shared" si="9"/>
        <v>29.27435897435862</v>
      </c>
      <c r="AD28" s="884">
        <f t="shared" si="29"/>
        <v>19.999999999999616</v>
      </c>
      <c r="AE28" s="885">
        <f t="shared" si="10"/>
        <v>14.999999999999616</v>
      </c>
      <c r="AI28" s="873">
        <v>47</v>
      </c>
      <c r="AJ28" s="874" t="s">
        <v>1188</v>
      </c>
      <c r="AK28" s="875">
        <v>50</v>
      </c>
      <c r="AL28" s="876">
        <v>27</v>
      </c>
      <c r="AM28" s="889">
        <v>42.366049382716099</v>
      </c>
      <c r="AN28" s="875">
        <f t="shared" si="36"/>
        <v>7.6339506172839009</v>
      </c>
      <c r="AO28" s="878">
        <f t="shared" si="11"/>
        <v>49.60265432098771</v>
      </c>
      <c r="AP28" s="879">
        <f t="shared" si="12"/>
        <v>50</v>
      </c>
      <c r="AQ28" s="878">
        <f t="shared" si="13"/>
        <v>0</v>
      </c>
      <c r="AR28" s="880">
        <f t="shared" si="14"/>
        <v>1.0138888888888888</v>
      </c>
      <c r="AS28" s="895">
        <v>1.0138888888888888</v>
      </c>
      <c r="AT28" s="882">
        <f t="shared" si="15"/>
        <v>49.999999999999986</v>
      </c>
      <c r="AU28" s="883">
        <f t="shared" si="16"/>
        <v>7.6339506172838867</v>
      </c>
      <c r="AV28" s="884">
        <f t="shared" si="35"/>
        <v>0</v>
      </c>
      <c r="AW28" s="885">
        <f t="shared" si="17"/>
        <v>0</v>
      </c>
    </row>
    <row r="29" spans="1:65" ht="18.75" x14ac:dyDescent="0.3">
      <c r="A29" s="873" t="s">
        <v>727</v>
      </c>
      <c r="B29" s="874">
        <v>0.48958333333333331</v>
      </c>
      <c r="C29" s="875">
        <v>75</v>
      </c>
      <c r="D29" s="876">
        <v>20</v>
      </c>
      <c r="E29" s="889">
        <v>76.438333333333304</v>
      </c>
      <c r="F29" s="875">
        <f t="shared" si="32"/>
        <v>-1.4383333333333042</v>
      </c>
      <c r="G29" s="878">
        <f t="shared" si="0"/>
        <v>87.082166666666637</v>
      </c>
      <c r="H29" s="879">
        <f t="shared" si="1"/>
        <v>85</v>
      </c>
      <c r="I29" s="878">
        <f t="shared" si="2"/>
        <v>-10</v>
      </c>
      <c r="J29" s="880">
        <f t="shared" si="25"/>
        <v>0.54861111111111105</v>
      </c>
      <c r="K29" s="893">
        <v>0.5625</v>
      </c>
      <c r="L29" s="882">
        <f t="shared" si="26"/>
        <v>105.00000000000003</v>
      </c>
      <c r="M29" s="883">
        <f t="shared" si="3"/>
        <v>28.561666666666724</v>
      </c>
      <c r="N29" s="884">
        <f t="shared" si="33"/>
        <v>20.000000000000028</v>
      </c>
      <c r="O29" s="885">
        <f t="shared" si="27"/>
        <v>30.000000000000028</v>
      </c>
      <c r="P29" s="880"/>
      <c r="Q29" s="886" t="s">
        <v>727</v>
      </c>
      <c r="R29" s="887">
        <v>0.50000000000000022</v>
      </c>
      <c r="S29" s="888">
        <v>90</v>
      </c>
      <c r="T29" s="876">
        <v>25</v>
      </c>
      <c r="U29" s="889">
        <v>82.652000000000001</v>
      </c>
      <c r="V29" s="879">
        <f t="shared" si="28"/>
        <v>7.347999999999999</v>
      </c>
      <c r="W29" s="878">
        <f t="shared" si="4"/>
        <v>93.917200000000008</v>
      </c>
      <c r="X29" s="879">
        <f t="shared" si="5"/>
        <v>95</v>
      </c>
      <c r="Y29" s="878">
        <f t="shared" si="6"/>
        <v>-5</v>
      </c>
      <c r="Z29" s="890">
        <f t="shared" si="7"/>
        <v>0.56597222222222243</v>
      </c>
      <c r="AA29" s="891">
        <v>0.57291666666666663</v>
      </c>
      <c r="AB29" s="883">
        <f t="shared" si="8"/>
        <v>104.99999999999962</v>
      </c>
      <c r="AC29" s="883">
        <f t="shared" si="9"/>
        <v>22.347999999999615</v>
      </c>
      <c r="AD29" s="884">
        <f t="shared" si="29"/>
        <v>9.9999999999996163</v>
      </c>
      <c r="AE29" s="885">
        <f t="shared" si="10"/>
        <v>14.999999999999616</v>
      </c>
    </row>
    <row r="30" spans="1:65" ht="18.75" x14ac:dyDescent="0.3">
      <c r="A30" s="873">
        <v>7</v>
      </c>
      <c r="B30" s="874">
        <v>0.5</v>
      </c>
      <c r="C30" s="875">
        <v>90</v>
      </c>
      <c r="D30" s="876">
        <v>26</v>
      </c>
      <c r="E30" s="889">
        <v>79.869871794871798</v>
      </c>
      <c r="F30" s="875">
        <f t="shared" si="32"/>
        <v>10.130128205128202</v>
      </c>
      <c r="G30" s="878">
        <f t="shared" si="0"/>
        <v>90.856858974358985</v>
      </c>
      <c r="H30" s="879">
        <f t="shared" si="1"/>
        <v>90</v>
      </c>
      <c r="I30" s="878">
        <f t="shared" si="2"/>
        <v>0</v>
      </c>
      <c r="J30" s="880">
        <f t="shared" si="25"/>
        <v>0.5625</v>
      </c>
      <c r="K30" s="881">
        <v>0.57291666666666663</v>
      </c>
      <c r="L30" s="882">
        <f t="shared" si="26"/>
        <v>104.99999999999994</v>
      </c>
      <c r="M30" s="883">
        <f t="shared" si="3"/>
        <v>25.130128205128145</v>
      </c>
      <c r="N30" s="884">
        <f t="shared" si="33"/>
        <v>14.999999999999943</v>
      </c>
      <c r="O30" s="885">
        <f t="shared" si="27"/>
        <v>14.999999999999943</v>
      </c>
      <c r="P30" s="880"/>
      <c r="Q30" s="886">
        <v>7</v>
      </c>
      <c r="R30" s="896">
        <v>0.51041666666666685</v>
      </c>
      <c r="S30" s="888">
        <v>90</v>
      </c>
      <c r="T30" s="876">
        <v>27</v>
      </c>
      <c r="U30" s="889">
        <v>75.495679012345704</v>
      </c>
      <c r="V30" s="879">
        <f t="shared" si="28"/>
        <v>14.504320987654296</v>
      </c>
      <c r="W30" s="878">
        <f t="shared" si="4"/>
        <v>86.045246913580286</v>
      </c>
      <c r="X30" s="879">
        <f t="shared" si="5"/>
        <v>85</v>
      </c>
      <c r="Y30" s="878">
        <f t="shared" si="6"/>
        <v>5</v>
      </c>
      <c r="Z30" s="890">
        <f t="shared" si="7"/>
        <v>0.56944444444444464</v>
      </c>
      <c r="AA30" s="891">
        <v>0.58333333333333337</v>
      </c>
      <c r="AB30" s="883">
        <f t="shared" si="8"/>
        <v>104.99999999999979</v>
      </c>
      <c r="AC30" s="883">
        <f t="shared" si="9"/>
        <v>29.504320987654083</v>
      </c>
      <c r="AD30" s="884">
        <f t="shared" si="29"/>
        <v>19.999999999999787</v>
      </c>
      <c r="AE30" s="885">
        <f t="shared" si="10"/>
        <v>14.999999999999787</v>
      </c>
    </row>
    <row r="31" spans="1:65" ht="18.75" x14ac:dyDescent="0.3">
      <c r="A31" s="873" t="s">
        <v>727</v>
      </c>
      <c r="B31" s="874">
        <v>0.51041666666666663</v>
      </c>
      <c r="C31" s="875">
        <v>90</v>
      </c>
      <c r="D31" s="876">
        <v>27</v>
      </c>
      <c r="E31" s="889">
        <v>82.395061728395007</v>
      </c>
      <c r="F31" s="875">
        <f t="shared" si="32"/>
        <v>7.6049382716049934</v>
      </c>
      <c r="G31" s="878">
        <f t="shared" si="0"/>
        <v>93.634567901234519</v>
      </c>
      <c r="H31" s="879">
        <f t="shared" si="1"/>
        <v>95</v>
      </c>
      <c r="I31" s="878">
        <f t="shared" si="2"/>
        <v>-5</v>
      </c>
      <c r="J31" s="880">
        <f t="shared" si="25"/>
        <v>0.57638888888888884</v>
      </c>
      <c r="K31" s="895">
        <v>0.57986111111111116</v>
      </c>
      <c r="L31" s="882">
        <f t="shared" si="26"/>
        <v>100.00000000000013</v>
      </c>
      <c r="M31" s="883">
        <f t="shared" si="3"/>
        <v>17.604938271605121</v>
      </c>
      <c r="N31" s="884">
        <f t="shared" si="33"/>
        <v>5.0000000000001279</v>
      </c>
      <c r="O31" s="885">
        <f t="shared" si="27"/>
        <v>10.000000000000128</v>
      </c>
      <c r="P31" s="880"/>
      <c r="Q31" s="886" t="s">
        <v>727</v>
      </c>
      <c r="R31" s="887">
        <v>0.52083333333333348</v>
      </c>
      <c r="S31" s="888">
        <v>90</v>
      </c>
      <c r="T31" s="876">
        <v>27</v>
      </c>
      <c r="U31" s="889">
        <v>83.515432098765402</v>
      </c>
      <c r="V31" s="879">
        <f t="shared" si="28"/>
        <v>6.4845679012345983</v>
      </c>
      <c r="W31" s="878">
        <f t="shared" si="4"/>
        <v>94.866975308641955</v>
      </c>
      <c r="X31" s="879">
        <f t="shared" si="5"/>
        <v>95</v>
      </c>
      <c r="Y31" s="878">
        <f t="shared" si="6"/>
        <v>-5</v>
      </c>
      <c r="Z31" s="890">
        <f t="shared" si="7"/>
        <v>0.58680555555555569</v>
      </c>
      <c r="AA31" s="891">
        <v>0.59375</v>
      </c>
      <c r="AB31" s="883">
        <f t="shared" si="8"/>
        <v>104.99999999999979</v>
      </c>
      <c r="AC31" s="883">
        <f t="shared" si="9"/>
        <v>21.484567901234385</v>
      </c>
      <c r="AD31" s="884">
        <f t="shared" si="29"/>
        <v>9.9999999999997868</v>
      </c>
      <c r="AE31" s="885">
        <f t="shared" si="10"/>
        <v>14.999999999999787</v>
      </c>
    </row>
    <row r="32" spans="1:65" ht="18.75" x14ac:dyDescent="0.3">
      <c r="A32" s="873">
        <v>7</v>
      </c>
      <c r="B32" s="874">
        <v>0.52083333333333337</v>
      </c>
      <c r="C32" s="875">
        <v>90</v>
      </c>
      <c r="D32" s="876">
        <v>26</v>
      </c>
      <c r="E32" s="889">
        <v>84.846153846153896</v>
      </c>
      <c r="F32" s="875">
        <f t="shared" si="32"/>
        <v>5.1538461538461036</v>
      </c>
      <c r="G32" s="878">
        <f t="shared" si="0"/>
        <v>96.330769230769292</v>
      </c>
      <c r="H32" s="879">
        <f t="shared" si="1"/>
        <v>95</v>
      </c>
      <c r="I32" s="878">
        <f t="shared" si="2"/>
        <v>-5</v>
      </c>
      <c r="J32" s="880">
        <f t="shared" si="25"/>
        <v>0.58680555555555558</v>
      </c>
      <c r="K32" s="881">
        <v>0.59375</v>
      </c>
      <c r="L32" s="882">
        <f t="shared" si="26"/>
        <v>104.99999999999994</v>
      </c>
      <c r="M32" s="883">
        <f t="shared" si="3"/>
        <v>20.153846153846047</v>
      </c>
      <c r="N32" s="884">
        <f t="shared" si="33"/>
        <v>9.9999999999999432</v>
      </c>
      <c r="O32" s="885">
        <f t="shared" si="27"/>
        <v>14.999999999999943</v>
      </c>
      <c r="P32" s="880"/>
      <c r="Q32" s="886">
        <v>7</v>
      </c>
      <c r="R32" s="896">
        <v>0.53125000000000011</v>
      </c>
      <c r="S32" s="888">
        <v>90</v>
      </c>
      <c r="T32" s="876">
        <v>26</v>
      </c>
      <c r="U32" s="889">
        <v>75.769871794871804</v>
      </c>
      <c r="V32" s="879">
        <f t="shared" si="28"/>
        <v>14.230128205128196</v>
      </c>
      <c r="W32" s="878">
        <f t="shared" si="4"/>
        <v>86.346858974358994</v>
      </c>
      <c r="X32" s="879">
        <f t="shared" si="5"/>
        <v>85</v>
      </c>
      <c r="Y32" s="878">
        <f t="shared" si="6"/>
        <v>5</v>
      </c>
      <c r="Z32" s="890">
        <f t="shared" si="7"/>
        <v>0.5902777777777779</v>
      </c>
      <c r="AA32" s="891">
        <v>0.60416666666666663</v>
      </c>
      <c r="AB32" s="883">
        <f t="shared" si="8"/>
        <v>104.99999999999979</v>
      </c>
      <c r="AC32" s="883">
        <f t="shared" si="9"/>
        <v>29.230128205127983</v>
      </c>
      <c r="AD32" s="884">
        <f t="shared" si="29"/>
        <v>19.999999999999787</v>
      </c>
      <c r="AE32" s="885">
        <f t="shared" si="10"/>
        <v>14.999999999999787</v>
      </c>
    </row>
    <row r="33" spans="1:31" ht="18.75" x14ac:dyDescent="0.3">
      <c r="A33" s="873" t="s">
        <v>727</v>
      </c>
      <c r="B33" s="874">
        <v>0.53125</v>
      </c>
      <c r="C33" s="875">
        <v>90</v>
      </c>
      <c r="D33" s="876">
        <v>23</v>
      </c>
      <c r="E33" s="889">
        <v>82.102898550724603</v>
      </c>
      <c r="F33" s="875">
        <f t="shared" si="32"/>
        <v>7.8971014492753966</v>
      </c>
      <c r="G33" s="878">
        <f t="shared" si="0"/>
        <v>93.313188405797078</v>
      </c>
      <c r="H33" s="879">
        <f t="shared" si="1"/>
        <v>95</v>
      </c>
      <c r="I33" s="878">
        <f t="shared" si="2"/>
        <v>-5</v>
      </c>
      <c r="J33" s="880">
        <f t="shared" si="25"/>
        <v>0.59722222222222221</v>
      </c>
      <c r="K33" s="893">
        <v>0.60416666666666663</v>
      </c>
      <c r="L33" s="882">
        <f t="shared" si="26"/>
        <v>104.99999999999994</v>
      </c>
      <c r="M33" s="883">
        <f t="shared" si="3"/>
        <v>22.89710144927534</v>
      </c>
      <c r="N33" s="884">
        <f t="shared" si="33"/>
        <v>9.9999999999999432</v>
      </c>
      <c r="O33" s="885">
        <f t="shared" si="27"/>
        <v>14.999999999999943</v>
      </c>
      <c r="P33" s="904"/>
      <c r="Q33" s="886" t="s">
        <v>727</v>
      </c>
      <c r="R33" s="887">
        <v>0.54166666666666674</v>
      </c>
      <c r="S33" s="888">
        <v>90</v>
      </c>
      <c r="T33" s="876">
        <v>26</v>
      </c>
      <c r="U33" s="889">
        <v>85.535256410256395</v>
      </c>
      <c r="V33" s="879">
        <f t="shared" si="28"/>
        <v>4.4647435897436054</v>
      </c>
      <c r="W33" s="878">
        <f t="shared" si="4"/>
        <v>97.088782051282038</v>
      </c>
      <c r="X33" s="879">
        <f t="shared" si="5"/>
        <v>95</v>
      </c>
      <c r="Y33" s="878">
        <f t="shared" si="6"/>
        <v>-5</v>
      </c>
      <c r="Z33" s="890">
        <f t="shared" si="7"/>
        <v>0.60763888888888895</v>
      </c>
      <c r="AA33" s="891">
        <v>0.61458333333333337</v>
      </c>
      <c r="AB33" s="883">
        <f t="shared" si="8"/>
        <v>104.99999999999994</v>
      </c>
      <c r="AC33" s="883">
        <f t="shared" si="9"/>
        <v>19.464743589743549</v>
      </c>
      <c r="AD33" s="884">
        <f t="shared" si="29"/>
        <v>9.9999999999999432</v>
      </c>
      <c r="AE33" s="885">
        <f t="shared" si="10"/>
        <v>14.999999999999943</v>
      </c>
    </row>
    <row r="34" spans="1:31" ht="18.75" x14ac:dyDescent="0.3">
      <c r="A34" s="873">
        <v>7</v>
      </c>
      <c r="B34" s="874">
        <v>0.54166666666666663</v>
      </c>
      <c r="C34" s="875">
        <v>90</v>
      </c>
      <c r="D34" s="876">
        <v>27</v>
      </c>
      <c r="E34" s="889">
        <v>83.951851851851799</v>
      </c>
      <c r="F34" s="875">
        <f t="shared" si="32"/>
        <v>6.0481481481482007</v>
      </c>
      <c r="G34" s="878">
        <f t="shared" si="0"/>
        <v>95.347037037036984</v>
      </c>
      <c r="H34" s="879">
        <f t="shared" si="1"/>
        <v>95</v>
      </c>
      <c r="I34" s="878">
        <f t="shared" si="2"/>
        <v>-5</v>
      </c>
      <c r="J34" s="880">
        <f t="shared" si="25"/>
        <v>0.60763888888888884</v>
      </c>
      <c r="K34" s="881">
        <v>0.61458333333333337</v>
      </c>
      <c r="L34" s="882">
        <f t="shared" si="26"/>
        <v>105.0000000000001</v>
      </c>
      <c r="M34" s="883">
        <f t="shared" si="3"/>
        <v>21.0481481481483</v>
      </c>
      <c r="N34" s="884">
        <f t="shared" si="33"/>
        <v>10.000000000000099</v>
      </c>
      <c r="O34" s="885">
        <f t="shared" si="27"/>
        <v>15.000000000000099</v>
      </c>
      <c r="P34" s="880"/>
      <c r="Q34" s="886">
        <v>7</v>
      </c>
      <c r="R34" s="896">
        <v>0.55208333333333337</v>
      </c>
      <c r="S34" s="888">
        <v>90</v>
      </c>
      <c r="T34" s="876">
        <v>28</v>
      </c>
      <c r="U34" s="889">
        <v>76.621428571428595</v>
      </c>
      <c r="V34" s="879">
        <f t="shared" si="28"/>
        <v>13.378571428571405</v>
      </c>
      <c r="W34" s="878">
        <f t="shared" si="4"/>
        <v>87.283571428571463</v>
      </c>
      <c r="X34" s="879">
        <f t="shared" si="5"/>
        <v>85</v>
      </c>
      <c r="Y34" s="878">
        <f t="shared" si="6"/>
        <v>5</v>
      </c>
      <c r="Z34" s="890">
        <f t="shared" si="7"/>
        <v>0.61111111111111116</v>
      </c>
      <c r="AA34" s="891">
        <v>0.625</v>
      </c>
      <c r="AB34" s="883">
        <f t="shared" si="8"/>
        <v>104.99999999999994</v>
      </c>
      <c r="AC34" s="883">
        <f t="shared" si="9"/>
        <v>28.378571428571348</v>
      </c>
      <c r="AD34" s="884">
        <f t="shared" si="29"/>
        <v>19.999999999999943</v>
      </c>
      <c r="AE34" s="885">
        <f t="shared" si="10"/>
        <v>14.999999999999943</v>
      </c>
    </row>
    <row r="35" spans="1:31" ht="18.75" x14ac:dyDescent="0.3">
      <c r="A35" s="873" t="s">
        <v>727</v>
      </c>
      <c r="B35" s="874">
        <v>0.55208333333333337</v>
      </c>
      <c r="C35" s="875">
        <v>90</v>
      </c>
      <c r="D35" s="876">
        <v>20</v>
      </c>
      <c r="E35" s="889">
        <v>79.534999999999997</v>
      </c>
      <c r="F35" s="875">
        <f t="shared" si="32"/>
        <v>10.465000000000003</v>
      </c>
      <c r="G35" s="878">
        <f t="shared" si="0"/>
        <v>90.488500000000002</v>
      </c>
      <c r="H35" s="879">
        <f t="shared" si="1"/>
        <v>90</v>
      </c>
      <c r="I35" s="878">
        <f t="shared" si="2"/>
        <v>0</v>
      </c>
      <c r="J35" s="880">
        <f t="shared" si="25"/>
        <v>0.61458333333333337</v>
      </c>
      <c r="K35" s="893">
        <v>0.625</v>
      </c>
      <c r="L35" s="882">
        <f t="shared" si="26"/>
        <v>104.99999999999994</v>
      </c>
      <c r="M35" s="883">
        <f t="shared" si="3"/>
        <v>25.464999999999947</v>
      </c>
      <c r="N35" s="884">
        <f t="shared" si="33"/>
        <v>14.999999999999943</v>
      </c>
      <c r="O35" s="885">
        <f t="shared" si="27"/>
        <v>14.999999999999943</v>
      </c>
      <c r="P35" s="880"/>
      <c r="Q35" s="886" t="s">
        <v>727</v>
      </c>
      <c r="R35" s="887">
        <v>0.5625</v>
      </c>
      <c r="S35" s="888">
        <v>90</v>
      </c>
      <c r="T35" s="876">
        <v>28</v>
      </c>
      <c r="U35" s="889">
        <v>81.561309523809499</v>
      </c>
      <c r="V35" s="879">
        <f t="shared" si="28"/>
        <v>8.4386904761905015</v>
      </c>
      <c r="W35" s="878">
        <f t="shared" si="4"/>
        <v>92.717440476190461</v>
      </c>
      <c r="X35" s="879">
        <f t="shared" si="5"/>
        <v>95</v>
      </c>
      <c r="Y35" s="878">
        <f t="shared" si="6"/>
        <v>-5</v>
      </c>
      <c r="Z35" s="890">
        <f t="shared" si="7"/>
        <v>0.62847222222222221</v>
      </c>
      <c r="AA35" s="891">
        <v>0.63541666666666663</v>
      </c>
      <c r="AB35" s="883">
        <f t="shared" si="8"/>
        <v>104.99999999999994</v>
      </c>
      <c r="AC35" s="883">
        <f t="shared" si="9"/>
        <v>23.438690476190445</v>
      </c>
      <c r="AD35" s="884">
        <f t="shared" si="29"/>
        <v>9.9999999999999432</v>
      </c>
      <c r="AE35" s="885">
        <f t="shared" si="10"/>
        <v>14.999999999999943</v>
      </c>
    </row>
    <row r="36" spans="1:31" ht="18.75" x14ac:dyDescent="0.3">
      <c r="A36" s="873">
        <v>7</v>
      </c>
      <c r="B36" s="874">
        <v>0.5625</v>
      </c>
      <c r="C36" s="875">
        <v>90</v>
      </c>
      <c r="D36" s="876">
        <v>23</v>
      </c>
      <c r="E36" s="889">
        <v>88.360869565217399</v>
      </c>
      <c r="F36" s="875">
        <f t="shared" si="32"/>
        <v>1.6391304347826008</v>
      </c>
      <c r="G36" s="878">
        <f t="shared" si="0"/>
        <v>100.19695652173915</v>
      </c>
      <c r="H36" s="879">
        <f t="shared" si="1"/>
        <v>100</v>
      </c>
      <c r="I36" s="878">
        <f t="shared" si="2"/>
        <v>-10</v>
      </c>
      <c r="J36" s="880">
        <f t="shared" si="25"/>
        <v>0.63194444444444442</v>
      </c>
      <c r="K36" s="881">
        <v>0.63541666666666663</v>
      </c>
      <c r="L36" s="882">
        <f t="shared" si="26"/>
        <v>104.99999999999994</v>
      </c>
      <c r="M36" s="883">
        <f t="shared" si="3"/>
        <v>16.639130434782544</v>
      </c>
      <c r="N36" s="884">
        <f t="shared" si="33"/>
        <v>4.9999999999999432</v>
      </c>
      <c r="O36" s="885">
        <f t="shared" si="27"/>
        <v>14.999999999999943</v>
      </c>
      <c r="P36" s="880"/>
      <c r="Q36" s="886">
        <v>7</v>
      </c>
      <c r="R36" s="896">
        <v>0.57291666666666663</v>
      </c>
      <c r="S36" s="888">
        <v>90</v>
      </c>
      <c r="T36" s="876">
        <v>26</v>
      </c>
      <c r="U36" s="889">
        <v>77.082692307692298</v>
      </c>
      <c r="V36" s="879">
        <f t="shared" si="28"/>
        <v>12.917307692307702</v>
      </c>
      <c r="W36" s="878">
        <f t="shared" si="4"/>
        <v>87.790961538461531</v>
      </c>
      <c r="X36" s="879">
        <f t="shared" si="5"/>
        <v>90</v>
      </c>
      <c r="Y36" s="878">
        <f t="shared" si="6"/>
        <v>0</v>
      </c>
      <c r="Z36" s="890">
        <f t="shared" si="7"/>
        <v>0.63541666666666663</v>
      </c>
      <c r="AA36" s="891">
        <v>0.64583333333333337</v>
      </c>
      <c r="AB36" s="883">
        <f t="shared" si="8"/>
        <v>105.0000000000001</v>
      </c>
      <c r="AC36" s="883">
        <f t="shared" si="9"/>
        <v>27.917307692307801</v>
      </c>
      <c r="AD36" s="884">
        <f t="shared" si="29"/>
        <v>15.000000000000099</v>
      </c>
      <c r="AE36" s="885">
        <f t="shared" si="10"/>
        <v>15.000000000000099</v>
      </c>
    </row>
    <row r="37" spans="1:31" ht="18.75" x14ac:dyDescent="0.3">
      <c r="A37" s="873" t="s">
        <v>727</v>
      </c>
      <c r="B37" s="874">
        <v>0.57291666666666663</v>
      </c>
      <c r="C37" s="875">
        <v>90</v>
      </c>
      <c r="D37" s="876">
        <v>27</v>
      </c>
      <c r="E37" s="889">
        <v>85.056172839506203</v>
      </c>
      <c r="F37" s="875">
        <f t="shared" si="32"/>
        <v>4.9438271604937967</v>
      </c>
      <c r="G37" s="878">
        <f t="shared" si="0"/>
        <v>96.561790123456831</v>
      </c>
      <c r="H37" s="879">
        <f t="shared" si="1"/>
        <v>95</v>
      </c>
      <c r="I37" s="878">
        <f t="shared" si="2"/>
        <v>-5</v>
      </c>
      <c r="J37" s="880">
        <f t="shared" si="25"/>
        <v>0.63888888888888884</v>
      </c>
      <c r="K37" s="893">
        <v>0.64583333333333337</v>
      </c>
      <c r="L37" s="882">
        <f t="shared" si="26"/>
        <v>105.0000000000001</v>
      </c>
      <c r="M37" s="883">
        <f t="shared" si="3"/>
        <v>19.943827160493896</v>
      </c>
      <c r="N37" s="884">
        <f t="shared" si="33"/>
        <v>10.000000000000099</v>
      </c>
      <c r="O37" s="885">
        <f t="shared" si="27"/>
        <v>15.000000000000099</v>
      </c>
      <c r="P37" s="880"/>
      <c r="Q37" s="886" t="s">
        <v>727</v>
      </c>
      <c r="R37" s="887">
        <v>0.58333333333333326</v>
      </c>
      <c r="S37" s="888">
        <v>100</v>
      </c>
      <c r="T37" s="876">
        <v>24</v>
      </c>
      <c r="U37" s="889">
        <v>83.529166666666697</v>
      </c>
      <c r="V37" s="879">
        <f t="shared" si="28"/>
        <v>16.470833333333303</v>
      </c>
      <c r="W37" s="878">
        <f t="shared" si="4"/>
        <v>94.88208333333337</v>
      </c>
      <c r="X37" s="879">
        <f t="shared" si="5"/>
        <v>95</v>
      </c>
      <c r="Y37" s="878">
        <f t="shared" si="6"/>
        <v>5</v>
      </c>
      <c r="Z37" s="890">
        <f t="shared" si="7"/>
        <v>0.64930555555555547</v>
      </c>
      <c r="AA37" s="891">
        <v>0.65625</v>
      </c>
      <c r="AB37" s="883">
        <f t="shared" si="8"/>
        <v>105.0000000000001</v>
      </c>
      <c r="AC37" s="883">
        <f t="shared" si="9"/>
        <v>21.470833333333402</v>
      </c>
      <c r="AD37" s="884">
        <f t="shared" si="29"/>
        <v>10.000000000000099</v>
      </c>
      <c r="AE37" s="885">
        <f t="shared" si="10"/>
        <v>5.0000000000000995</v>
      </c>
    </row>
    <row r="38" spans="1:31" ht="18.75" x14ac:dyDescent="0.3">
      <c r="A38" s="873">
        <v>7</v>
      </c>
      <c r="B38" s="874">
        <v>0.58333333333333337</v>
      </c>
      <c r="C38" s="875">
        <v>90</v>
      </c>
      <c r="D38" s="876">
        <v>27</v>
      </c>
      <c r="E38" s="889">
        <v>83.101234567901201</v>
      </c>
      <c r="F38" s="875">
        <f t="shared" si="32"/>
        <v>6.8987654320987986</v>
      </c>
      <c r="G38" s="878">
        <f t="shared" si="0"/>
        <v>94.411358024691324</v>
      </c>
      <c r="H38" s="879">
        <f t="shared" si="1"/>
        <v>95</v>
      </c>
      <c r="I38" s="878">
        <f t="shared" si="2"/>
        <v>-5</v>
      </c>
      <c r="J38" s="880">
        <f t="shared" si="25"/>
        <v>0.64930555555555558</v>
      </c>
      <c r="K38" s="881">
        <v>0.65625</v>
      </c>
      <c r="L38" s="882">
        <f t="shared" si="26"/>
        <v>104.99999999999994</v>
      </c>
      <c r="M38" s="883">
        <f t="shared" si="3"/>
        <v>21.898765432098742</v>
      </c>
      <c r="N38" s="884">
        <f t="shared" si="33"/>
        <v>9.9999999999999432</v>
      </c>
      <c r="O38" s="885">
        <f t="shared" si="27"/>
        <v>14.999999999999943</v>
      </c>
      <c r="P38" s="880"/>
      <c r="Q38" s="886">
        <v>7</v>
      </c>
      <c r="R38" s="896">
        <v>0.59374999999999989</v>
      </c>
      <c r="S38" s="888">
        <v>95</v>
      </c>
      <c r="T38" s="876">
        <v>27</v>
      </c>
      <c r="U38" s="889">
        <v>78.573456790123402</v>
      </c>
      <c r="V38" s="879">
        <f t="shared" si="28"/>
        <v>16.426543209876598</v>
      </c>
      <c r="W38" s="878">
        <f t="shared" si="4"/>
        <v>89.430802469135742</v>
      </c>
      <c r="X38" s="879">
        <f t="shared" si="5"/>
        <v>90</v>
      </c>
      <c r="Y38" s="878">
        <f t="shared" si="6"/>
        <v>5</v>
      </c>
      <c r="Z38" s="890">
        <f t="shared" si="7"/>
        <v>0.65624999999999989</v>
      </c>
      <c r="AA38" s="891">
        <v>0.66666666666666663</v>
      </c>
      <c r="AB38" s="883">
        <f t="shared" si="8"/>
        <v>105.0000000000001</v>
      </c>
      <c r="AC38" s="883">
        <f t="shared" si="9"/>
        <v>26.426543209876698</v>
      </c>
      <c r="AD38" s="884">
        <f t="shared" si="29"/>
        <v>15.000000000000099</v>
      </c>
      <c r="AE38" s="885">
        <f t="shared" si="10"/>
        <v>10.000000000000099</v>
      </c>
    </row>
    <row r="39" spans="1:31" ht="18.75" x14ac:dyDescent="0.3">
      <c r="A39" s="873" t="s">
        <v>727</v>
      </c>
      <c r="B39" s="874">
        <v>0.59375</v>
      </c>
      <c r="C39" s="875">
        <v>90</v>
      </c>
      <c r="D39" s="876">
        <v>28</v>
      </c>
      <c r="E39" s="889">
        <v>81.038690476190496</v>
      </c>
      <c r="F39" s="875">
        <f t="shared" si="32"/>
        <v>8.9613095238095042</v>
      </c>
      <c r="G39" s="878">
        <f t="shared" si="0"/>
        <v>92.142559523809553</v>
      </c>
      <c r="H39" s="879">
        <f t="shared" si="1"/>
        <v>90</v>
      </c>
      <c r="I39" s="878">
        <f t="shared" si="2"/>
        <v>0</v>
      </c>
      <c r="J39" s="880">
        <f t="shared" si="25"/>
        <v>0.65625</v>
      </c>
      <c r="K39" s="893">
        <v>0.66666666666666663</v>
      </c>
      <c r="L39" s="882">
        <f t="shared" si="26"/>
        <v>104.99999999999994</v>
      </c>
      <c r="M39" s="883">
        <f t="shared" si="3"/>
        <v>23.961309523809447</v>
      </c>
      <c r="N39" s="884">
        <f t="shared" si="33"/>
        <v>14.999999999999943</v>
      </c>
      <c r="O39" s="885">
        <f t="shared" si="27"/>
        <v>14.999999999999943</v>
      </c>
      <c r="P39" s="880"/>
      <c r="Q39" s="886" t="s">
        <v>727</v>
      </c>
      <c r="R39" s="887">
        <v>0.60416666666666652</v>
      </c>
      <c r="S39" s="888">
        <v>90</v>
      </c>
      <c r="T39" s="876">
        <v>23</v>
      </c>
      <c r="U39" s="889">
        <v>83.964492753623205</v>
      </c>
      <c r="V39" s="879">
        <f t="shared" si="28"/>
        <v>6.0355072463767954</v>
      </c>
      <c r="W39" s="878">
        <f t="shared" si="4"/>
        <v>95.360942028985534</v>
      </c>
      <c r="X39" s="879">
        <f t="shared" si="5"/>
        <v>95</v>
      </c>
      <c r="Y39" s="878">
        <f t="shared" si="6"/>
        <v>-5</v>
      </c>
      <c r="Z39" s="890">
        <f t="shared" si="7"/>
        <v>0.67013888888888873</v>
      </c>
      <c r="AA39" s="891">
        <v>0.67708333333333337</v>
      </c>
      <c r="AB39" s="883">
        <f t="shared" si="8"/>
        <v>105.00000000000027</v>
      </c>
      <c r="AC39" s="883">
        <f t="shared" si="9"/>
        <v>21.035507246377065</v>
      </c>
      <c r="AD39" s="884">
        <f t="shared" si="29"/>
        <v>10.00000000000027</v>
      </c>
      <c r="AE39" s="885">
        <f t="shared" si="10"/>
        <v>15.00000000000027</v>
      </c>
    </row>
    <row r="40" spans="1:31" ht="18.75" x14ac:dyDescent="0.3">
      <c r="A40" s="873">
        <v>7</v>
      </c>
      <c r="B40" s="874">
        <v>0.60416666666666663</v>
      </c>
      <c r="C40" s="875">
        <v>90</v>
      </c>
      <c r="D40" s="876">
        <v>21</v>
      </c>
      <c r="E40" s="889">
        <v>85.650793650793602</v>
      </c>
      <c r="F40" s="875">
        <f t="shared" si="32"/>
        <v>4.3492063492063977</v>
      </c>
      <c r="G40" s="878">
        <f t="shared" si="0"/>
        <v>97.215873015872972</v>
      </c>
      <c r="H40" s="879">
        <f t="shared" si="1"/>
        <v>95</v>
      </c>
      <c r="I40" s="878">
        <f t="shared" si="2"/>
        <v>-5</v>
      </c>
      <c r="J40" s="880">
        <f t="shared" si="25"/>
        <v>0.67013888888888884</v>
      </c>
      <c r="K40" s="881">
        <v>0.67708333333333337</v>
      </c>
      <c r="L40" s="882">
        <f t="shared" si="26"/>
        <v>105.0000000000001</v>
      </c>
      <c r="M40" s="883">
        <f t="shared" si="3"/>
        <v>19.349206349206497</v>
      </c>
      <c r="N40" s="884">
        <f t="shared" si="33"/>
        <v>10.000000000000099</v>
      </c>
      <c r="O40" s="885">
        <f t="shared" si="27"/>
        <v>15.000000000000099</v>
      </c>
      <c r="P40" s="880"/>
      <c r="Q40" s="886">
        <v>7</v>
      </c>
      <c r="R40" s="896">
        <v>0.61458333333333315</v>
      </c>
      <c r="S40" s="888">
        <v>90</v>
      </c>
      <c r="T40" s="876">
        <v>27</v>
      </c>
      <c r="U40" s="889">
        <v>75.023456790123504</v>
      </c>
      <c r="V40" s="879">
        <f t="shared" si="28"/>
        <v>14.976543209876496</v>
      </c>
      <c r="W40" s="878">
        <f t="shared" si="4"/>
        <v>85.525802469135854</v>
      </c>
      <c r="X40" s="879">
        <f t="shared" si="5"/>
        <v>85</v>
      </c>
      <c r="Y40" s="878">
        <f t="shared" si="6"/>
        <v>5</v>
      </c>
      <c r="Z40" s="890">
        <f t="shared" si="7"/>
        <v>0.67361111111111094</v>
      </c>
      <c r="AA40" s="891">
        <v>0.6875</v>
      </c>
      <c r="AB40" s="883">
        <f t="shared" si="8"/>
        <v>105.00000000000027</v>
      </c>
      <c r="AC40" s="883">
        <f t="shared" si="9"/>
        <v>29.976543209876766</v>
      </c>
      <c r="AD40" s="884">
        <f t="shared" si="29"/>
        <v>20.00000000000027</v>
      </c>
      <c r="AE40" s="885">
        <f t="shared" si="10"/>
        <v>15.00000000000027</v>
      </c>
    </row>
    <row r="41" spans="1:31" ht="18.75" x14ac:dyDescent="0.3">
      <c r="A41" s="873" t="s">
        <v>727</v>
      </c>
      <c r="B41" s="874">
        <v>0.61458333333333337</v>
      </c>
      <c r="C41" s="875">
        <v>90</v>
      </c>
      <c r="D41" s="876">
        <v>24</v>
      </c>
      <c r="E41" s="889">
        <v>85.284027777777794</v>
      </c>
      <c r="F41" s="875">
        <f t="shared" si="32"/>
        <v>4.7159722222222058</v>
      </c>
      <c r="G41" s="878">
        <f t="shared" si="0"/>
        <v>96.812430555555579</v>
      </c>
      <c r="H41" s="879">
        <f t="shared" si="1"/>
        <v>95</v>
      </c>
      <c r="I41" s="878">
        <f t="shared" si="2"/>
        <v>-5</v>
      </c>
      <c r="J41" s="880">
        <f t="shared" si="25"/>
        <v>0.68055555555555558</v>
      </c>
      <c r="K41" s="893">
        <v>0.6875</v>
      </c>
      <c r="L41" s="882">
        <f t="shared" si="26"/>
        <v>104.99999999999994</v>
      </c>
      <c r="M41" s="883">
        <f t="shared" si="3"/>
        <v>19.715972222222149</v>
      </c>
      <c r="N41" s="884">
        <f t="shared" si="33"/>
        <v>9.9999999999999432</v>
      </c>
      <c r="O41" s="885">
        <f t="shared" si="27"/>
        <v>14.999999999999943</v>
      </c>
      <c r="P41" s="880"/>
      <c r="Q41" s="886" t="s">
        <v>727</v>
      </c>
      <c r="R41" s="887">
        <v>0.62499999999999978</v>
      </c>
      <c r="S41" s="888">
        <v>90</v>
      </c>
      <c r="T41" s="876">
        <v>22</v>
      </c>
      <c r="U41" s="889">
        <v>88.031818181818196</v>
      </c>
      <c r="V41" s="879">
        <f t="shared" si="28"/>
        <v>1.9681818181818045</v>
      </c>
      <c r="W41" s="878">
        <f t="shared" si="4"/>
        <v>99.835000000000022</v>
      </c>
      <c r="X41" s="879">
        <f t="shared" si="5"/>
        <v>100</v>
      </c>
      <c r="Y41" s="878">
        <f t="shared" si="6"/>
        <v>-10</v>
      </c>
      <c r="Z41" s="890">
        <f t="shared" si="7"/>
        <v>0.6944444444444442</v>
      </c>
      <c r="AA41" s="891">
        <v>0.69791666666666663</v>
      </c>
      <c r="AB41" s="883">
        <f t="shared" si="8"/>
        <v>105.00000000000027</v>
      </c>
      <c r="AC41" s="883">
        <f t="shared" si="9"/>
        <v>16.968181818182074</v>
      </c>
      <c r="AD41" s="884">
        <f t="shared" si="29"/>
        <v>5.00000000000027</v>
      </c>
      <c r="AE41" s="885">
        <f t="shared" si="10"/>
        <v>15.00000000000027</v>
      </c>
    </row>
    <row r="42" spans="1:31" ht="18.75" x14ac:dyDescent="0.3">
      <c r="A42" s="873">
        <v>7</v>
      </c>
      <c r="B42" s="874">
        <v>0.625</v>
      </c>
      <c r="C42" s="875">
        <v>90</v>
      </c>
      <c r="D42" s="876">
        <v>23</v>
      </c>
      <c r="E42" s="889">
        <v>88.623913043478197</v>
      </c>
      <c r="F42" s="875">
        <f t="shared" si="32"/>
        <v>1.376086956521803</v>
      </c>
      <c r="G42" s="878">
        <f t="shared" si="0"/>
        <v>100.48630434782602</v>
      </c>
      <c r="H42" s="879">
        <f t="shared" si="1"/>
        <v>100</v>
      </c>
      <c r="I42" s="878">
        <f t="shared" si="2"/>
        <v>-10</v>
      </c>
      <c r="J42" s="880">
        <f t="shared" si="25"/>
        <v>0.69444444444444442</v>
      </c>
      <c r="K42" s="881">
        <v>0.69791666666666663</v>
      </c>
      <c r="L42" s="882">
        <f t="shared" si="26"/>
        <v>104.99999999999994</v>
      </c>
      <c r="M42" s="883">
        <f t="shared" si="3"/>
        <v>16.376086956521746</v>
      </c>
      <c r="N42" s="884">
        <f t="shared" si="33"/>
        <v>4.9999999999999432</v>
      </c>
      <c r="O42" s="885">
        <f t="shared" si="27"/>
        <v>14.999999999999943</v>
      </c>
      <c r="P42" s="880"/>
      <c r="Q42" s="886">
        <v>7</v>
      </c>
      <c r="R42" s="896">
        <v>0.63541666666666641</v>
      </c>
      <c r="S42" s="888">
        <v>90</v>
      </c>
      <c r="T42" s="876">
        <v>26</v>
      </c>
      <c r="U42" s="889">
        <v>81.114743589743597</v>
      </c>
      <c r="V42" s="879">
        <f t="shared" si="28"/>
        <v>8.8852564102564031</v>
      </c>
      <c r="W42" s="878">
        <f t="shared" si="4"/>
        <v>92.226217948717959</v>
      </c>
      <c r="X42" s="879">
        <f t="shared" si="5"/>
        <v>90</v>
      </c>
      <c r="Y42" s="878">
        <f t="shared" si="6"/>
        <v>0</v>
      </c>
      <c r="Z42" s="890">
        <f t="shared" si="7"/>
        <v>0.69791666666666641</v>
      </c>
      <c r="AA42" s="891">
        <v>0.70833333333333337</v>
      </c>
      <c r="AB42" s="883">
        <f t="shared" si="8"/>
        <v>105.00000000000043</v>
      </c>
      <c r="AC42" s="883">
        <f t="shared" si="9"/>
        <v>23.885256410256829</v>
      </c>
      <c r="AD42" s="884">
        <f t="shared" si="29"/>
        <v>15.000000000000426</v>
      </c>
      <c r="AE42" s="885">
        <f t="shared" si="10"/>
        <v>15.000000000000426</v>
      </c>
    </row>
    <row r="43" spans="1:31" ht="18.75" x14ac:dyDescent="0.3">
      <c r="A43" s="873" t="s">
        <v>727</v>
      </c>
      <c r="B43" s="874">
        <v>0.63541666666666663</v>
      </c>
      <c r="C43" s="875">
        <v>90</v>
      </c>
      <c r="D43" s="876">
        <v>23</v>
      </c>
      <c r="E43" s="889">
        <v>88.676811594202903</v>
      </c>
      <c r="F43" s="875">
        <f t="shared" si="32"/>
        <v>1.3231884057970973</v>
      </c>
      <c r="G43" s="878">
        <f t="shared" si="0"/>
        <v>100.5444927536232</v>
      </c>
      <c r="H43" s="879">
        <f t="shared" si="1"/>
        <v>100</v>
      </c>
      <c r="I43" s="878">
        <f t="shared" si="2"/>
        <v>-10</v>
      </c>
      <c r="J43" s="880">
        <f t="shared" si="25"/>
        <v>0.70486111111111105</v>
      </c>
      <c r="K43" s="893">
        <v>0.70833333333333337</v>
      </c>
      <c r="L43" s="882">
        <f t="shared" si="26"/>
        <v>105.0000000000001</v>
      </c>
      <c r="M43" s="883">
        <f t="shared" si="3"/>
        <v>16.323188405797197</v>
      </c>
      <c r="N43" s="884">
        <f t="shared" si="33"/>
        <v>5.0000000000000995</v>
      </c>
      <c r="O43" s="885">
        <f t="shared" si="27"/>
        <v>15.000000000000099</v>
      </c>
      <c r="P43" s="880"/>
      <c r="Q43" s="886" t="s">
        <v>727</v>
      </c>
      <c r="R43" s="887">
        <v>0.64583333333333304</v>
      </c>
      <c r="S43" s="888">
        <v>100</v>
      </c>
      <c r="T43" s="876">
        <v>25</v>
      </c>
      <c r="U43" s="889">
        <v>92.397333333333293</v>
      </c>
      <c r="V43" s="879">
        <f t="shared" si="28"/>
        <v>7.6026666666667069</v>
      </c>
      <c r="W43" s="878">
        <f t="shared" si="4"/>
        <v>104.63706666666663</v>
      </c>
      <c r="X43" s="879">
        <f t="shared" si="5"/>
        <v>105</v>
      </c>
      <c r="Y43" s="878">
        <f t="shared" si="6"/>
        <v>-5</v>
      </c>
      <c r="Z43" s="890">
        <f t="shared" si="7"/>
        <v>0.71874999999999967</v>
      </c>
      <c r="AA43" s="891">
        <v>0.71875</v>
      </c>
      <c r="AB43" s="883">
        <f t="shared" si="8"/>
        <v>105.00000000000043</v>
      </c>
      <c r="AC43" s="883">
        <f t="shared" si="9"/>
        <v>12.602666666667133</v>
      </c>
      <c r="AD43" s="884">
        <f t="shared" si="29"/>
        <v>4.2632564145606011E-13</v>
      </c>
      <c r="AE43" s="885">
        <f t="shared" si="10"/>
        <v>5.0000000000004263</v>
      </c>
    </row>
    <row r="44" spans="1:31" ht="18.75" x14ac:dyDescent="0.3">
      <c r="A44" s="873">
        <v>7</v>
      </c>
      <c r="B44" s="874">
        <v>0.64236111111111116</v>
      </c>
      <c r="C44" s="875">
        <v>95</v>
      </c>
      <c r="D44" s="876">
        <v>23</v>
      </c>
      <c r="E44" s="889">
        <v>87.529710144927506</v>
      </c>
      <c r="F44" s="875">
        <f t="shared" si="32"/>
        <v>7.4702898550724939</v>
      </c>
      <c r="G44" s="878">
        <f t="shared" si="0"/>
        <v>99.282681159420264</v>
      </c>
      <c r="H44" s="879">
        <f t="shared" si="1"/>
        <v>100</v>
      </c>
      <c r="I44" s="878">
        <f t="shared" si="2"/>
        <v>-5</v>
      </c>
      <c r="J44" s="880">
        <f t="shared" si="25"/>
        <v>0.71180555555555558</v>
      </c>
      <c r="K44" s="898">
        <v>0.64236111111111116</v>
      </c>
      <c r="L44" s="882">
        <f t="shared" si="26"/>
        <v>0</v>
      </c>
      <c r="M44" s="883">
        <f t="shared" si="3"/>
        <v>-87.529710144927506</v>
      </c>
      <c r="N44" s="884">
        <f t="shared" si="33"/>
        <v>-100</v>
      </c>
      <c r="O44" s="885">
        <f t="shared" si="27"/>
        <v>-95</v>
      </c>
      <c r="P44" s="880"/>
      <c r="Q44" s="886">
        <v>7</v>
      </c>
      <c r="R44" s="896">
        <v>0.65624999999999967</v>
      </c>
      <c r="S44" s="888">
        <v>90</v>
      </c>
      <c r="T44" s="876">
        <v>29</v>
      </c>
      <c r="U44" s="889">
        <v>83.977011494252906</v>
      </c>
      <c r="V44" s="879">
        <f t="shared" si="28"/>
        <v>6.0229885057470938</v>
      </c>
      <c r="W44" s="878">
        <f t="shared" si="4"/>
        <v>95.374712643678208</v>
      </c>
      <c r="X44" s="879">
        <f t="shared" si="5"/>
        <v>95</v>
      </c>
      <c r="Y44" s="878">
        <f t="shared" si="6"/>
        <v>-5</v>
      </c>
      <c r="Z44" s="890">
        <f t="shared" si="7"/>
        <v>0.72222222222222188</v>
      </c>
      <c r="AA44" s="891">
        <v>0.72569444444444442</v>
      </c>
      <c r="AB44" s="883">
        <f t="shared" si="8"/>
        <v>100.00000000000044</v>
      </c>
      <c r="AC44" s="883">
        <f t="shared" si="9"/>
        <v>16.022988505747534</v>
      </c>
      <c r="AD44" s="884">
        <f t="shared" si="29"/>
        <v>5.0000000000004405</v>
      </c>
      <c r="AE44" s="885">
        <f t="shared" si="10"/>
        <v>10.000000000000441</v>
      </c>
    </row>
    <row r="45" spans="1:31" ht="18.75" x14ac:dyDescent="0.3">
      <c r="A45" s="873">
        <v>7</v>
      </c>
      <c r="B45" s="874">
        <v>0.64583333333333337</v>
      </c>
      <c r="C45" s="875"/>
      <c r="D45" s="876"/>
      <c r="E45" s="877">
        <v>91</v>
      </c>
      <c r="F45" s="875">
        <f t="shared" si="32"/>
        <v>-91</v>
      </c>
      <c r="G45" s="878">
        <f t="shared" si="0"/>
        <v>103.10000000000001</v>
      </c>
      <c r="H45" s="879">
        <f t="shared" si="1"/>
        <v>105</v>
      </c>
      <c r="I45" s="878">
        <f t="shared" si="2"/>
        <v>-105</v>
      </c>
      <c r="J45" s="880">
        <f t="shared" si="25"/>
        <v>0.71875</v>
      </c>
      <c r="K45" s="881">
        <v>0.71875</v>
      </c>
      <c r="L45" s="882">
        <f t="shared" si="26"/>
        <v>104.99999999999994</v>
      </c>
      <c r="M45" s="883">
        <f t="shared" si="3"/>
        <v>13.999999999999943</v>
      </c>
      <c r="N45" s="884">
        <f t="shared" si="33"/>
        <v>0</v>
      </c>
      <c r="O45" s="885">
        <f t="shared" si="27"/>
        <v>104.99999999999994</v>
      </c>
      <c r="P45" s="880"/>
      <c r="Q45" s="886" t="s">
        <v>727</v>
      </c>
      <c r="R45" s="887">
        <v>0.6666666666666663</v>
      </c>
      <c r="S45" s="888">
        <v>85</v>
      </c>
      <c r="T45" s="876">
        <v>18</v>
      </c>
      <c r="U45" s="889">
        <v>93.903703703703698</v>
      </c>
      <c r="V45" s="879">
        <f t="shared" si="28"/>
        <v>-8.9037037037036981</v>
      </c>
      <c r="W45" s="878">
        <f t="shared" si="4"/>
        <v>106.29407407407408</v>
      </c>
      <c r="X45" s="879">
        <f t="shared" si="5"/>
        <v>105</v>
      </c>
      <c r="Y45" s="878">
        <f t="shared" si="6"/>
        <v>-20</v>
      </c>
      <c r="Z45" s="890">
        <f t="shared" si="7"/>
        <v>0.73958333333333293</v>
      </c>
      <c r="AA45" s="891">
        <v>0.73958333333333337</v>
      </c>
      <c r="AB45" s="883">
        <f t="shared" si="8"/>
        <v>105.0000000000006</v>
      </c>
      <c r="AC45" s="883">
        <f t="shared" si="9"/>
        <v>11.096296296296899</v>
      </c>
      <c r="AD45" s="884">
        <f t="shared" si="29"/>
        <v>5.9685589803848416E-13</v>
      </c>
      <c r="AE45" s="885">
        <f t="shared" si="10"/>
        <v>20.000000000000597</v>
      </c>
    </row>
    <row r="46" spans="1:31" ht="18.75" x14ac:dyDescent="0.3">
      <c r="A46" s="873">
        <v>7</v>
      </c>
      <c r="B46" s="874">
        <v>0.65277777777777779</v>
      </c>
      <c r="C46" s="875">
        <v>95</v>
      </c>
      <c r="D46" s="876">
        <v>21</v>
      </c>
      <c r="E46" s="889">
        <v>93.691269841269801</v>
      </c>
      <c r="F46" s="875">
        <f t="shared" si="32"/>
        <v>1.3087301587301994</v>
      </c>
      <c r="G46" s="878">
        <f t="shared" si="0"/>
        <v>106.06039682539679</v>
      </c>
      <c r="H46" s="879">
        <f t="shared" si="1"/>
        <v>105</v>
      </c>
      <c r="I46" s="878">
        <f t="shared" si="2"/>
        <v>-10</v>
      </c>
      <c r="J46" s="880">
        <f t="shared" si="25"/>
        <v>0.72569444444444442</v>
      </c>
      <c r="K46" s="898">
        <v>0.65277777777777779</v>
      </c>
      <c r="L46" s="882">
        <f t="shared" si="26"/>
        <v>0</v>
      </c>
      <c r="M46" s="883">
        <f t="shared" si="3"/>
        <v>-93.691269841269801</v>
      </c>
      <c r="N46" s="884">
        <f t="shared" si="33"/>
        <v>-105</v>
      </c>
      <c r="O46" s="885">
        <f t="shared" si="27"/>
        <v>-95</v>
      </c>
      <c r="P46" s="880"/>
      <c r="Q46" s="886">
        <v>7</v>
      </c>
      <c r="R46" s="896">
        <v>0.67708333333333293</v>
      </c>
      <c r="S46" s="888">
        <v>90</v>
      </c>
      <c r="T46" s="876">
        <v>21</v>
      </c>
      <c r="U46" s="889">
        <v>83.085714285714303</v>
      </c>
      <c r="V46" s="879">
        <f t="shared" si="28"/>
        <v>6.9142857142856968</v>
      </c>
      <c r="W46" s="878">
        <f t="shared" si="4"/>
        <v>94.394285714285743</v>
      </c>
      <c r="X46" s="879">
        <f t="shared" si="5"/>
        <v>95</v>
      </c>
      <c r="Y46" s="878">
        <f t="shared" si="6"/>
        <v>-5</v>
      </c>
      <c r="Z46" s="890">
        <f t="shared" si="7"/>
        <v>0.74305555555555514</v>
      </c>
      <c r="AA46" s="891">
        <v>0.75</v>
      </c>
      <c r="AB46" s="883">
        <f t="shared" si="8"/>
        <v>105.0000000000006</v>
      </c>
      <c r="AC46" s="883">
        <f t="shared" si="9"/>
        <v>21.914285714286294</v>
      </c>
      <c r="AD46" s="884">
        <f t="shared" si="29"/>
        <v>10.000000000000597</v>
      </c>
      <c r="AE46" s="885">
        <f t="shared" si="10"/>
        <v>15.000000000000597</v>
      </c>
    </row>
    <row r="47" spans="1:31" ht="18.75" x14ac:dyDescent="0.3">
      <c r="A47" s="873" t="s">
        <v>727</v>
      </c>
      <c r="B47" s="874">
        <v>0.65625</v>
      </c>
      <c r="C47" s="875"/>
      <c r="D47" s="876"/>
      <c r="E47" s="877">
        <v>93</v>
      </c>
      <c r="F47" s="875">
        <f t="shared" si="32"/>
        <v>-93</v>
      </c>
      <c r="G47" s="878">
        <f t="shared" si="0"/>
        <v>105.30000000000001</v>
      </c>
      <c r="H47" s="879">
        <f t="shared" si="1"/>
        <v>105</v>
      </c>
      <c r="I47" s="878">
        <f t="shared" si="2"/>
        <v>-105</v>
      </c>
      <c r="J47" s="880">
        <f t="shared" si="25"/>
        <v>0.72916666666666663</v>
      </c>
      <c r="K47" s="893">
        <v>0.72916666666666663</v>
      </c>
      <c r="L47" s="882">
        <f t="shared" si="26"/>
        <v>104.99999999999994</v>
      </c>
      <c r="M47" s="883">
        <f t="shared" si="3"/>
        <v>11.999999999999943</v>
      </c>
      <c r="N47" s="884">
        <f t="shared" si="33"/>
        <v>0</v>
      </c>
      <c r="O47" s="885">
        <f t="shared" si="27"/>
        <v>104.99999999999994</v>
      </c>
      <c r="P47" s="880"/>
      <c r="Q47" s="886" t="s">
        <v>727</v>
      </c>
      <c r="R47" s="887">
        <v>0.68749999999999956</v>
      </c>
      <c r="S47" s="888">
        <v>90</v>
      </c>
      <c r="T47" s="876">
        <v>22</v>
      </c>
      <c r="U47" s="889">
        <v>89.026515151515099</v>
      </c>
      <c r="V47" s="879">
        <f t="shared" si="28"/>
        <v>0.97348484848490102</v>
      </c>
      <c r="W47" s="878">
        <f t="shared" si="4"/>
        <v>100.92916666666662</v>
      </c>
      <c r="X47" s="879">
        <f t="shared" si="5"/>
        <v>100</v>
      </c>
      <c r="Y47" s="878">
        <f t="shared" si="6"/>
        <v>-10</v>
      </c>
      <c r="Z47" s="890">
        <f t="shared" si="7"/>
        <v>0.75694444444444398</v>
      </c>
      <c r="AA47" s="891">
        <v>0.76041666666666663</v>
      </c>
      <c r="AB47" s="883">
        <f t="shared" si="8"/>
        <v>105.0000000000006</v>
      </c>
      <c r="AC47" s="883">
        <f t="shared" si="9"/>
        <v>15.973484848485498</v>
      </c>
      <c r="AD47" s="884">
        <f t="shared" si="29"/>
        <v>5.0000000000005969</v>
      </c>
      <c r="AE47" s="885">
        <f t="shared" si="10"/>
        <v>15.000000000000597</v>
      </c>
    </row>
    <row r="48" spans="1:31" ht="18.75" x14ac:dyDescent="0.3">
      <c r="A48" s="873" t="s">
        <v>727</v>
      </c>
      <c r="B48" s="874">
        <v>0.65972222222222221</v>
      </c>
      <c r="C48" s="875">
        <v>100</v>
      </c>
      <c r="D48" s="876">
        <v>21</v>
      </c>
      <c r="E48" s="889">
        <v>92.325396825396794</v>
      </c>
      <c r="F48" s="875">
        <f t="shared" si="32"/>
        <v>7.674603174603206</v>
      </c>
      <c r="G48" s="878">
        <f t="shared" si="0"/>
        <v>104.55793650793647</v>
      </c>
      <c r="H48" s="879">
        <f t="shared" si="1"/>
        <v>105</v>
      </c>
      <c r="I48" s="878">
        <f t="shared" si="2"/>
        <v>-5</v>
      </c>
      <c r="J48" s="880">
        <f t="shared" si="25"/>
        <v>0.73263888888888884</v>
      </c>
      <c r="K48" s="898">
        <v>0.65972222222222221</v>
      </c>
      <c r="L48" s="882">
        <f t="shared" si="26"/>
        <v>0</v>
      </c>
      <c r="M48" s="883">
        <f t="shared" si="3"/>
        <v>-92.325396825396794</v>
      </c>
      <c r="N48" s="884">
        <f t="shared" si="33"/>
        <v>-105</v>
      </c>
      <c r="O48" s="885">
        <f t="shared" si="27"/>
        <v>-100</v>
      </c>
      <c r="P48" s="880"/>
      <c r="Q48" s="886">
        <v>7</v>
      </c>
      <c r="R48" s="896">
        <v>0.69791666666666619</v>
      </c>
      <c r="S48" s="888">
        <v>90</v>
      </c>
      <c r="T48" s="876">
        <v>23</v>
      </c>
      <c r="U48" s="889">
        <v>84.423188405797106</v>
      </c>
      <c r="V48" s="879">
        <f t="shared" si="28"/>
        <v>5.5768115942028942</v>
      </c>
      <c r="W48" s="878">
        <f t="shared" si="4"/>
        <v>95.865507246376822</v>
      </c>
      <c r="X48" s="879">
        <f t="shared" si="5"/>
        <v>95</v>
      </c>
      <c r="Y48" s="878">
        <f t="shared" si="6"/>
        <v>-5</v>
      </c>
      <c r="Z48" s="890">
        <f t="shared" si="7"/>
        <v>0.7638888888888884</v>
      </c>
      <c r="AA48" s="891">
        <v>0.77083333333333337</v>
      </c>
      <c r="AB48" s="883">
        <f t="shared" si="8"/>
        <v>105.00000000000074</v>
      </c>
      <c r="AC48" s="883">
        <f t="shared" si="9"/>
        <v>20.576811594203633</v>
      </c>
      <c r="AD48" s="884">
        <f t="shared" si="29"/>
        <v>10.000000000000739</v>
      </c>
      <c r="AE48" s="885">
        <f t="shared" si="10"/>
        <v>15.000000000000739</v>
      </c>
    </row>
    <row r="49" spans="1:31" ht="18.75" x14ac:dyDescent="0.3">
      <c r="A49" s="873">
        <v>7</v>
      </c>
      <c r="B49" s="874">
        <v>0.66666666666666663</v>
      </c>
      <c r="C49" s="875">
        <v>105</v>
      </c>
      <c r="D49" s="876">
        <v>24</v>
      </c>
      <c r="E49" s="889">
        <v>89.942361111111097</v>
      </c>
      <c r="F49" s="875">
        <f t="shared" si="32"/>
        <v>15.057638888888903</v>
      </c>
      <c r="G49" s="878">
        <f t="shared" si="0"/>
        <v>101.93659722222222</v>
      </c>
      <c r="H49" s="879">
        <f t="shared" si="1"/>
        <v>100</v>
      </c>
      <c r="I49" s="878">
        <f t="shared" si="2"/>
        <v>5</v>
      </c>
      <c r="J49" s="880">
        <f t="shared" si="25"/>
        <v>0.73611111111111105</v>
      </c>
      <c r="K49" s="881">
        <v>0.73958333333333337</v>
      </c>
      <c r="L49" s="882">
        <f t="shared" si="26"/>
        <v>105.0000000000001</v>
      </c>
      <c r="M49" s="883">
        <f t="shared" si="3"/>
        <v>15.057638888889002</v>
      </c>
      <c r="N49" s="884">
        <f t="shared" si="33"/>
        <v>5.0000000000000995</v>
      </c>
      <c r="O49" s="885">
        <f t="shared" si="27"/>
        <v>0</v>
      </c>
      <c r="P49" s="880"/>
      <c r="Q49" s="886" t="s">
        <v>727</v>
      </c>
      <c r="R49" s="887">
        <v>0.70833333333333282</v>
      </c>
      <c r="S49" s="888">
        <v>90</v>
      </c>
      <c r="T49" s="876">
        <v>24</v>
      </c>
      <c r="U49" s="889">
        <v>87.222916666666706</v>
      </c>
      <c r="V49" s="879">
        <f t="shared" si="28"/>
        <v>2.7770833333332945</v>
      </c>
      <c r="W49" s="878">
        <f t="shared" si="4"/>
        <v>98.945208333333383</v>
      </c>
      <c r="X49" s="879">
        <f t="shared" si="5"/>
        <v>100</v>
      </c>
      <c r="Y49" s="878">
        <f t="shared" si="6"/>
        <v>-10</v>
      </c>
      <c r="Z49" s="890">
        <f t="shared" si="7"/>
        <v>0.77777777777777724</v>
      </c>
      <c r="AA49" s="891">
        <v>0.78125</v>
      </c>
      <c r="AB49" s="883">
        <f t="shared" si="8"/>
        <v>105.00000000000074</v>
      </c>
      <c r="AC49" s="883">
        <f t="shared" si="9"/>
        <v>17.777083333334033</v>
      </c>
      <c r="AD49" s="884">
        <f t="shared" si="29"/>
        <v>5.000000000000739</v>
      </c>
      <c r="AE49" s="885">
        <f t="shared" si="10"/>
        <v>15.000000000000739</v>
      </c>
    </row>
    <row r="50" spans="1:31" ht="18.75" x14ac:dyDescent="0.3">
      <c r="A50" s="873" t="s">
        <v>727</v>
      </c>
      <c r="B50" s="874">
        <v>0.67708333333333337</v>
      </c>
      <c r="C50" s="875">
        <v>105</v>
      </c>
      <c r="D50" s="876">
        <v>27</v>
      </c>
      <c r="E50" s="889">
        <v>92.565432098765399</v>
      </c>
      <c r="F50" s="875">
        <f t="shared" si="32"/>
        <v>12.434567901234601</v>
      </c>
      <c r="G50" s="878">
        <f t="shared" si="0"/>
        <v>104.82197530864195</v>
      </c>
      <c r="H50" s="879">
        <f t="shared" si="1"/>
        <v>105</v>
      </c>
      <c r="I50" s="878">
        <f t="shared" si="2"/>
        <v>0</v>
      </c>
      <c r="J50" s="880">
        <f t="shared" si="25"/>
        <v>0.75</v>
      </c>
      <c r="K50" s="893">
        <v>0.75</v>
      </c>
      <c r="L50" s="882">
        <f t="shared" si="26"/>
        <v>104.99999999999994</v>
      </c>
      <c r="M50" s="883">
        <f t="shared" si="3"/>
        <v>12.434567901234544</v>
      </c>
      <c r="N50" s="884">
        <f t="shared" si="33"/>
        <v>0</v>
      </c>
      <c r="O50" s="885">
        <f t="shared" si="27"/>
        <v>0</v>
      </c>
      <c r="P50" s="880"/>
      <c r="Q50" s="886">
        <v>7</v>
      </c>
      <c r="R50" s="896">
        <v>0.71874999999999944</v>
      </c>
      <c r="S50" s="888">
        <v>90</v>
      </c>
      <c r="T50" s="876">
        <v>19</v>
      </c>
      <c r="U50" s="889">
        <v>83.689473684210498</v>
      </c>
      <c r="V50" s="879">
        <f t="shared" si="28"/>
        <v>6.3105263157895024</v>
      </c>
      <c r="W50" s="878">
        <f t="shared" si="4"/>
        <v>95.058421052631559</v>
      </c>
      <c r="X50" s="879">
        <f t="shared" si="5"/>
        <v>95</v>
      </c>
      <c r="Y50" s="878">
        <f t="shared" si="6"/>
        <v>-5</v>
      </c>
      <c r="Z50" s="890">
        <f t="shared" si="7"/>
        <v>0.78472222222222165</v>
      </c>
      <c r="AA50" s="891">
        <v>0.79166666666666663</v>
      </c>
      <c r="AB50" s="883">
        <f t="shared" si="8"/>
        <v>105.00000000000074</v>
      </c>
      <c r="AC50" s="883">
        <f t="shared" si="9"/>
        <v>21.310526315790241</v>
      </c>
      <c r="AD50" s="884">
        <f t="shared" si="29"/>
        <v>10.000000000000739</v>
      </c>
      <c r="AE50" s="885">
        <f t="shared" si="10"/>
        <v>15.000000000000739</v>
      </c>
    </row>
    <row r="51" spans="1:31" ht="18.75" x14ac:dyDescent="0.3">
      <c r="A51" s="873">
        <v>7</v>
      </c>
      <c r="B51" s="874">
        <v>0.6875</v>
      </c>
      <c r="C51" s="875">
        <v>105</v>
      </c>
      <c r="D51" s="876">
        <v>25</v>
      </c>
      <c r="E51" s="889">
        <v>89.46</v>
      </c>
      <c r="F51" s="875">
        <f t="shared" si="32"/>
        <v>15.540000000000006</v>
      </c>
      <c r="G51" s="878">
        <f t="shared" si="0"/>
        <v>101.40600000000001</v>
      </c>
      <c r="H51" s="879">
        <f t="shared" si="1"/>
        <v>100</v>
      </c>
      <c r="I51" s="878">
        <f t="shared" si="2"/>
        <v>5</v>
      </c>
      <c r="J51" s="880">
        <f t="shared" si="25"/>
        <v>0.75694444444444442</v>
      </c>
      <c r="K51" s="881">
        <v>0.76041666666666663</v>
      </c>
      <c r="L51" s="882">
        <f t="shared" si="26"/>
        <v>104.99999999999994</v>
      </c>
      <c r="M51" s="883">
        <f t="shared" si="3"/>
        <v>15.539999999999949</v>
      </c>
      <c r="N51" s="884">
        <f t="shared" si="33"/>
        <v>4.9999999999999432</v>
      </c>
      <c r="O51" s="885">
        <f t="shared" si="27"/>
        <v>0</v>
      </c>
      <c r="P51" s="880"/>
      <c r="Q51" s="886" t="s">
        <v>727</v>
      </c>
      <c r="R51" s="887">
        <v>0.72916666666666607</v>
      </c>
      <c r="S51" s="888">
        <v>90</v>
      </c>
      <c r="T51" s="876">
        <v>8</v>
      </c>
      <c r="U51" s="889">
        <v>81.564583333333303</v>
      </c>
      <c r="V51" s="879">
        <f t="shared" si="28"/>
        <v>8.435416666666697</v>
      </c>
      <c r="W51" s="878">
        <f t="shared" si="4"/>
        <v>92.721041666666636</v>
      </c>
      <c r="X51" s="879">
        <f t="shared" si="5"/>
        <v>95</v>
      </c>
      <c r="Y51" s="878">
        <f t="shared" si="6"/>
        <v>-5</v>
      </c>
      <c r="Z51" s="890">
        <f t="shared" si="7"/>
        <v>0.79513888888888828</v>
      </c>
      <c r="AA51" s="900">
        <v>0.79166666666666663</v>
      </c>
      <c r="AB51" s="883">
        <f t="shared" si="8"/>
        <v>90.00000000000081</v>
      </c>
      <c r="AC51" s="883">
        <f t="shared" si="9"/>
        <v>8.435416666667507</v>
      </c>
      <c r="AD51" s="884">
        <f t="shared" si="29"/>
        <v>-4.99999999999919</v>
      </c>
      <c r="AE51" s="885">
        <f t="shared" si="10"/>
        <v>8.1001871876651421E-13</v>
      </c>
    </row>
    <row r="52" spans="1:31" ht="18.75" x14ac:dyDescent="0.3">
      <c r="A52" s="873" t="s">
        <v>727</v>
      </c>
      <c r="B52" s="874">
        <v>0.69791666666666663</v>
      </c>
      <c r="C52" s="875">
        <v>105</v>
      </c>
      <c r="D52" s="876">
        <v>28</v>
      </c>
      <c r="E52" s="889">
        <v>92.771428571428601</v>
      </c>
      <c r="F52" s="875">
        <f t="shared" si="32"/>
        <v>12.228571428571399</v>
      </c>
      <c r="G52" s="878">
        <f t="shared" si="0"/>
        <v>105.04857142857146</v>
      </c>
      <c r="H52" s="879">
        <f t="shared" si="1"/>
        <v>105</v>
      </c>
      <c r="I52" s="878">
        <f t="shared" si="2"/>
        <v>0</v>
      </c>
      <c r="J52" s="880">
        <f t="shared" si="25"/>
        <v>0.77083333333333326</v>
      </c>
      <c r="K52" s="893">
        <v>0.77083333333333337</v>
      </c>
      <c r="L52" s="882">
        <f t="shared" si="26"/>
        <v>105.0000000000001</v>
      </c>
      <c r="M52" s="883">
        <f t="shared" si="3"/>
        <v>12.228571428571499</v>
      </c>
      <c r="N52" s="884">
        <f t="shared" si="33"/>
        <v>0</v>
      </c>
      <c r="O52" s="885">
        <f t="shared" si="27"/>
        <v>0</v>
      </c>
      <c r="P52" s="880"/>
      <c r="Q52" s="886">
        <v>7</v>
      </c>
      <c r="R52" s="896">
        <v>0.7395833333333327</v>
      </c>
      <c r="S52" s="888">
        <v>90</v>
      </c>
      <c r="T52" s="876">
        <v>20</v>
      </c>
      <c r="U52" s="889">
        <v>77.768333333333302</v>
      </c>
      <c r="V52" s="879">
        <f t="shared" si="28"/>
        <v>12.231666666666698</v>
      </c>
      <c r="W52" s="878">
        <f t="shared" si="4"/>
        <v>88.545166666666645</v>
      </c>
      <c r="X52" s="879">
        <f t="shared" si="5"/>
        <v>90</v>
      </c>
      <c r="Y52" s="878">
        <f t="shared" si="6"/>
        <v>0</v>
      </c>
      <c r="Z52" s="890">
        <f t="shared" si="7"/>
        <v>0.8020833333333327</v>
      </c>
      <c r="AA52" s="891">
        <v>0.80208333333333337</v>
      </c>
      <c r="AB52" s="883">
        <f t="shared" si="8"/>
        <v>90.000000000000952</v>
      </c>
      <c r="AC52" s="883">
        <f t="shared" si="9"/>
        <v>12.23166666666765</v>
      </c>
      <c r="AD52" s="884">
        <f t="shared" si="29"/>
        <v>9.5212726591853425E-13</v>
      </c>
      <c r="AE52" s="885">
        <f t="shared" si="10"/>
        <v>9.5212726591853425E-13</v>
      </c>
    </row>
    <row r="53" spans="1:31" ht="18.75" x14ac:dyDescent="0.3">
      <c r="A53" s="873">
        <v>7</v>
      </c>
      <c r="B53" s="874">
        <v>0.70833333333333337</v>
      </c>
      <c r="C53" s="875">
        <v>105</v>
      </c>
      <c r="D53" s="876">
        <v>25</v>
      </c>
      <c r="E53" s="889">
        <v>91.878666666666703</v>
      </c>
      <c r="F53" s="875">
        <f t="shared" si="32"/>
        <v>13.121333333333297</v>
      </c>
      <c r="G53" s="878">
        <f t="shared" si="0"/>
        <v>104.06653333333338</v>
      </c>
      <c r="H53" s="879">
        <f t="shared" si="1"/>
        <v>105</v>
      </c>
      <c r="I53" s="878">
        <f t="shared" si="2"/>
        <v>0</v>
      </c>
      <c r="J53" s="880">
        <f t="shared" si="25"/>
        <v>0.78125</v>
      </c>
      <c r="K53" s="881">
        <v>0.78125</v>
      </c>
      <c r="L53" s="882">
        <f t="shared" si="26"/>
        <v>104.99999999999994</v>
      </c>
      <c r="M53" s="883">
        <f t="shared" si="3"/>
        <v>13.12133333333324</v>
      </c>
      <c r="N53" s="884">
        <f t="shared" si="33"/>
        <v>0</v>
      </c>
      <c r="O53" s="885">
        <f t="shared" si="27"/>
        <v>0</v>
      </c>
      <c r="P53" s="880"/>
      <c r="Q53" s="886" t="s">
        <v>727</v>
      </c>
      <c r="R53" s="887">
        <v>0.74999999999999933</v>
      </c>
      <c r="S53" s="888">
        <v>90</v>
      </c>
      <c r="T53" s="876">
        <v>29</v>
      </c>
      <c r="U53" s="889">
        <v>73.454022988505798</v>
      </c>
      <c r="V53" s="879">
        <f t="shared" si="28"/>
        <v>16.545977011494202</v>
      </c>
      <c r="W53" s="878">
        <f t="shared" si="4"/>
        <v>83.799425287356385</v>
      </c>
      <c r="X53" s="879">
        <f t="shared" si="5"/>
        <v>85</v>
      </c>
      <c r="Y53" s="878">
        <f t="shared" si="6"/>
        <v>5</v>
      </c>
      <c r="Z53" s="890">
        <f t="shared" si="7"/>
        <v>0.80902777777777712</v>
      </c>
      <c r="AA53" s="891">
        <v>0.8125</v>
      </c>
      <c r="AB53" s="883">
        <f t="shared" si="8"/>
        <v>90.000000000000952</v>
      </c>
      <c r="AC53" s="883">
        <f t="shared" si="9"/>
        <v>16.545977011495154</v>
      </c>
      <c r="AD53" s="884">
        <f t="shared" si="29"/>
        <v>5.0000000000009521</v>
      </c>
      <c r="AE53" s="885">
        <f t="shared" si="10"/>
        <v>9.5212726591853425E-13</v>
      </c>
    </row>
    <row r="54" spans="1:31" ht="18.75" x14ac:dyDescent="0.3">
      <c r="A54" s="873" t="s">
        <v>727</v>
      </c>
      <c r="B54" s="874">
        <v>0.71875</v>
      </c>
      <c r="C54" s="875">
        <v>105</v>
      </c>
      <c r="D54" s="876">
        <v>25</v>
      </c>
      <c r="E54" s="889">
        <v>87.9286666666667</v>
      </c>
      <c r="F54" s="875">
        <f t="shared" si="32"/>
        <v>17.0713333333333</v>
      </c>
      <c r="G54" s="878">
        <f t="shared" si="0"/>
        <v>99.721533333333383</v>
      </c>
      <c r="H54" s="879">
        <f t="shared" si="1"/>
        <v>100</v>
      </c>
      <c r="I54" s="878">
        <f t="shared" si="2"/>
        <v>5</v>
      </c>
      <c r="J54" s="880">
        <f t="shared" si="25"/>
        <v>0.78819444444444442</v>
      </c>
      <c r="K54" s="893">
        <v>0.79166666666666663</v>
      </c>
      <c r="L54" s="882">
        <f t="shared" si="26"/>
        <v>104.99999999999994</v>
      </c>
      <c r="M54" s="883">
        <f t="shared" si="3"/>
        <v>17.071333333333243</v>
      </c>
      <c r="N54" s="884">
        <f t="shared" si="33"/>
        <v>4.9999999999999432</v>
      </c>
      <c r="O54" s="885">
        <f t="shared" si="27"/>
        <v>0</v>
      </c>
      <c r="P54" s="880"/>
      <c r="Q54" s="886">
        <v>7</v>
      </c>
      <c r="R54" s="896">
        <v>0.76041666666666596</v>
      </c>
      <c r="S54" s="888">
        <v>105</v>
      </c>
      <c r="T54" s="876">
        <v>28</v>
      </c>
      <c r="U54" s="889">
        <v>66.305952380952405</v>
      </c>
      <c r="V54" s="879">
        <f t="shared" si="28"/>
        <v>38.694047619047595</v>
      </c>
      <c r="W54" s="878">
        <f t="shared" si="4"/>
        <v>75.936547619047658</v>
      </c>
      <c r="X54" s="879">
        <f t="shared" si="5"/>
        <v>75</v>
      </c>
      <c r="Y54" s="878">
        <f t="shared" si="6"/>
        <v>30</v>
      </c>
      <c r="Z54" s="890">
        <f t="shared" si="7"/>
        <v>0.81249999999999933</v>
      </c>
      <c r="AA54" s="891">
        <v>0.82291666666666663</v>
      </c>
      <c r="AB54" s="883">
        <f t="shared" si="8"/>
        <v>90.000000000000952</v>
      </c>
      <c r="AC54" s="883">
        <f t="shared" si="9"/>
        <v>23.694047619048547</v>
      </c>
      <c r="AD54" s="884">
        <f t="shared" si="29"/>
        <v>15.000000000000952</v>
      </c>
      <c r="AE54" s="885">
        <f t="shared" si="10"/>
        <v>-14.999999999999048</v>
      </c>
    </row>
    <row r="55" spans="1:31" ht="18.75" x14ac:dyDescent="0.3">
      <c r="A55" s="873">
        <v>7</v>
      </c>
      <c r="B55" s="874">
        <v>0.72569444444444442</v>
      </c>
      <c r="C55" s="875">
        <v>110</v>
      </c>
      <c r="D55" s="876">
        <v>24</v>
      </c>
      <c r="E55" s="889">
        <v>83.477777777777803</v>
      </c>
      <c r="F55" s="875">
        <f t="shared" si="32"/>
        <v>26.522222222222197</v>
      </c>
      <c r="G55" s="878">
        <f t="shared" si="0"/>
        <v>94.825555555555596</v>
      </c>
      <c r="H55" s="879">
        <f t="shared" si="1"/>
        <v>95</v>
      </c>
      <c r="I55" s="878">
        <f t="shared" si="2"/>
        <v>15</v>
      </c>
      <c r="J55" s="880">
        <f t="shared" si="25"/>
        <v>0.79166666666666663</v>
      </c>
      <c r="K55" s="881">
        <v>0.80208333333333337</v>
      </c>
      <c r="L55" s="882">
        <f t="shared" si="26"/>
        <v>110.00000000000009</v>
      </c>
      <c r="M55" s="883">
        <f t="shared" si="3"/>
        <v>26.522222222222283</v>
      </c>
      <c r="N55" s="884">
        <f t="shared" si="33"/>
        <v>15.000000000000085</v>
      </c>
      <c r="O55" s="885">
        <f t="shared" si="27"/>
        <v>0</v>
      </c>
      <c r="P55" s="880"/>
      <c r="Q55" s="886" t="s">
        <v>727</v>
      </c>
      <c r="R55" s="887">
        <v>0.77083333333333259</v>
      </c>
      <c r="S55" s="888">
        <v>75</v>
      </c>
      <c r="T55" s="876">
        <v>27</v>
      </c>
      <c r="U55" s="889">
        <v>71.359259259259204</v>
      </c>
      <c r="V55" s="879">
        <f t="shared" si="28"/>
        <v>3.6407407407407959</v>
      </c>
      <c r="W55" s="878">
        <f t="shared" si="4"/>
        <v>81.495185185185136</v>
      </c>
      <c r="X55" s="879">
        <f t="shared" si="5"/>
        <v>80</v>
      </c>
      <c r="Y55" s="878">
        <f t="shared" si="6"/>
        <v>-5</v>
      </c>
      <c r="Z55" s="890">
        <f t="shared" si="7"/>
        <v>0.82638888888888817</v>
      </c>
      <c r="AA55" s="891">
        <v>0.83333333333333337</v>
      </c>
      <c r="AB55" s="883">
        <f t="shared" si="8"/>
        <v>90.000000000001123</v>
      </c>
      <c r="AC55" s="883">
        <f t="shared" si="9"/>
        <v>18.640740740741919</v>
      </c>
      <c r="AD55" s="884">
        <f t="shared" si="29"/>
        <v>10.000000000001123</v>
      </c>
      <c r="AE55" s="885">
        <f t="shared" si="10"/>
        <v>15.000000000001123</v>
      </c>
    </row>
    <row r="56" spans="1:31" ht="18.75" x14ac:dyDescent="0.3">
      <c r="A56" s="873" t="s">
        <v>727</v>
      </c>
      <c r="B56" s="874">
        <v>0.73958333333333337</v>
      </c>
      <c r="C56" s="875">
        <v>105</v>
      </c>
      <c r="D56" s="876">
        <v>21</v>
      </c>
      <c r="E56" s="889">
        <v>86.279365079365107</v>
      </c>
      <c r="F56" s="875">
        <f t="shared" si="32"/>
        <v>18.720634920634893</v>
      </c>
      <c r="G56" s="878">
        <f t="shared" si="0"/>
        <v>97.907301587301632</v>
      </c>
      <c r="H56" s="879">
        <f t="shared" si="1"/>
        <v>100</v>
      </c>
      <c r="I56" s="878">
        <f t="shared" si="2"/>
        <v>5</v>
      </c>
      <c r="J56" s="880">
        <f t="shared" si="25"/>
        <v>0.80902777777777779</v>
      </c>
      <c r="K56" s="893">
        <v>0.8125</v>
      </c>
      <c r="L56" s="882">
        <f t="shared" si="26"/>
        <v>104.99999999999994</v>
      </c>
      <c r="M56" s="883">
        <f t="shared" si="3"/>
        <v>18.720634920634836</v>
      </c>
      <c r="N56" s="884">
        <f t="shared" si="33"/>
        <v>4.9999999999999432</v>
      </c>
      <c r="O56" s="885">
        <f t="shared" si="27"/>
        <v>0</v>
      </c>
      <c r="P56" s="880"/>
      <c r="Q56" s="886">
        <v>7</v>
      </c>
      <c r="R56" s="896">
        <v>0.78124999999999922</v>
      </c>
      <c r="S56" s="888">
        <v>90</v>
      </c>
      <c r="T56" s="876">
        <v>28</v>
      </c>
      <c r="U56" s="889">
        <v>63.298214285714302</v>
      </c>
      <c r="V56" s="879">
        <f t="shared" si="28"/>
        <v>26.701785714285698</v>
      </c>
      <c r="W56" s="878">
        <f t="shared" si="4"/>
        <v>72.628035714285744</v>
      </c>
      <c r="X56" s="879">
        <f t="shared" si="5"/>
        <v>75</v>
      </c>
      <c r="Y56" s="878">
        <f t="shared" si="6"/>
        <v>15</v>
      </c>
      <c r="Z56" s="890">
        <f t="shared" si="7"/>
        <v>0.83333333333333259</v>
      </c>
      <c r="AA56" s="900">
        <v>0.83333333333333337</v>
      </c>
      <c r="AB56" s="883">
        <f t="shared" si="8"/>
        <v>75.000000000001165</v>
      </c>
      <c r="AC56" s="883">
        <f t="shared" si="9"/>
        <v>11.701785714286864</v>
      </c>
      <c r="AD56" s="884">
        <f t="shared" si="29"/>
        <v>1.1652900866465643E-12</v>
      </c>
      <c r="AE56" s="885">
        <f t="shared" si="10"/>
        <v>-14.999999999998835</v>
      </c>
    </row>
    <row r="57" spans="1:31" ht="18.75" x14ac:dyDescent="0.3">
      <c r="A57" s="873">
        <v>7</v>
      </c>
      <c r="B57" s="874">
        <v>0.75</v>
      </c>
      <c r="C57" s="875">
        <v>105</v>
      </c>
      <c r="D57" s="876">
        <v>20</v>
      </c>
      <c r="E57" s="889">
        <v>82.528333333333407</v>
      </c>
      <c r="F57" s="875">
        <f t="shared" si="32"/>
        <v>22.471666666666593</v>
      </c>
      <c r="G57" s="878">
        <f t="shared" si="0"/>
        <v>93.781166666666749</v>
      </c>
      <c r="H57" s="879">
        <f t="shared" si="1"/>
        <v>95</v>
      </c>
      <c r="I57" s="878">
        <f t="shared" si="2"/>
        <v>10</v>
      </c>
      <c r="J57" s="880">
        <f t="shared" si="25"/>
        <v>0.81597222222222221</v>
      </c>
      <c r="K57" s="881">
        <v>0.82291666666666663</v>
      </c>
      <c r="L57" s="882">
        <f t="shared" si="26"/>
        <v>104.99999999999994</v>
      </c>
      <c r="M57" s="883">
        <f t="shared" si="3"/>
        <v>22.471666666666536</v>
      </c>
      <c r="N57" s="884">
        <f t="shared" si="33"/>
        <v>9.9999999999999432</v>
      </c>
      <c r="O57" s="885">
        <f t="shared" si="27"/>
        <v>0</v>
      </c>
      <c r="P57" s="880"/>
      <c r="Q57" s="886" t="s">
        <v>727</v>
      </c>
      <c r="R57" s="887">
        <v>0.79166666666666585</v>
      </c>
      <c r="S57" s="888">
        <v>90</v>
      </c>
      <c r="T57" s="876">
        <v>28</v>
      </c>
      <c r="U57" s="889">
        <v>65.597619047619006</v>
      </c>
      <c r="V57" s="879">
        <f t="shared" si="28"/>
        <v>24.402380952380994</v>
      </c>
      <c r="W57" s="878">
        <f t="shared" si="4"/>
        <v>75.157380952380919</v>
      </c>
      <c r="X57" s="879">
        <f t="shared" si="5"/>
        <v>75</v>
      </c>
      <c r="Y57" s="878">
        <f t="shared" si="6"/>
        <v>15</v>
      </c>
      <c r="Z57" s="890">
        <f t="shared" si="7"/>
        <v>0.84374999999999922</v>
      </c>
      <c r="AA57" s="891">
        <v>0.84375</v>
      </c>
      <c r="AB57" s="883">
        <f t="shared" si="8"/>
        <v>75.000000000001165</v>
      </c>
      <c r="AC57" s="883">
        <f t="shared" si="9"/>
        <v>9.4023809523821598</v>
      </c>
      <c r="AD57" s="884">
        <f t="shared" si="29"/>
        <v>1.1652900866465643E-12</v>
      </c>
      <c r="AE57" s="885">
        <f t="shared" si="10"/>
        <v>-14.999999999998835</v>
      </c>
    </row>
    <row r="58" spans="1:31" ht="18.75" x14ac:dyDescent="0.3">
      <c r="A58" s="873" t="s">
        <v>727</v>
      </c>
      <c r="B58" s="874">
        <v>0.76041666666666663</v>
      </c>
      <c r="C58" s="875">
        <v>105</v>
      </c>
      <c r="D58" s="876">
        <v>24</v>
      </c>
      <c r="E58" s="889">
        <v>81.781944444444406</v>
      </c>
      <c r="F58" s="875">
        <f t="shared" si="32"/>
        <v>23.218055555555594</v>
      </c>
      <c r="G58" s="878">
        <f t="shared" si="0"/>
        <v>92.960138888888849</v>
      </c>
      <c r="H58" s="879">
        <f t="shared" si="1"/>
        <v>95</v>
      </c>
      <c r="I58" s="878">
        <f t="shared" si="2"/>
        <v>10</v>
      </c>
      <c r="J58" s="880">
        <f t="shared" si="25"/>
        <v>0.82638888888888884</v>
      </c>
      <c r="K58" s="893">
        <v>0.83333333333333337</v>
      </c>
      <c r="L58" s="882">
        <f t="shared" si="26"/>
        <v>105.0000000000001</v>
      </c>
      <c r="M58" s="883">
        <f t="shared" si="3"/>
        <v>23.218055555555694</v>
      </c>
      <c r="N58" s="884">
        <f t="shared" si="33"/>
        <v>10.000000000000099</v>
      </c>
      <c r="O58" s="885">
        <f t="shared" si="27"/>
        <v>0</v>
      </c>
      <c r="P58" s="880"/>
      <c r="Q58" s="886">
        <v>7</v>
      </c>
      <c r="R58" s="896">
        <v>0.80208333333333248</v>
      </c>
      <c r="S58" s="888">
        <v>90</v>
      </c>
      <c r="T58" s="876">
        <v>28</v>
      </c>
      <c r="U58" s="889">
        <v>59.871428571428602</v>
      </c>
      <c r="V58" s="879">
        <f t="shared" si="28"/>
        <v>30.128571428571398</v>
      </c>
      <c r="W58" s="878">
        <f t="shared" si="4"/>
        <v>68.858571428571466</v>
      </c>
      <c r="X58" s="879">
        <f t="shared" si="5"/>
        <v>70</v>
      </c>
      <c r="Y58" s="878">
        <f t="shared" si="6"/>
        <v>20</v>
      </c>
      <c r="Z58" s="890">
        <f t="shared" si="7"/>
        <v>0.85069444444444364</v>
      </c>
      <c r="AA58" s="891">
        <v>0.85416666666666663</v>
      </c>
      <c r="AB58" s="883">
        <f t="shared" si="8"/>
        <v>75.000000000001165</v>
      </c>
      <c r="AC58" s="883">
        <f t="shared" si="9"/>
        <v>15.128571428572563</v>
      </c>
      <c r="AD58" s="884">
        <f t="shared" si="29"/>
        <v>5.0000000000011653</v>
      </c>
      <c r="AE58" s="885">
        <f t="shared" si="10"/>
        <v>-14.999999999998835</v>
      </c>
    </row>
    <row r="59" spans="1:31" ht="18.75" x14ac:dyDescent="0.3">
      <c r="A59" s="873">
        <v>7</v>
      </c>
      <c r="B59" s="874">
        <v>0.77083333333333337</v>
      </c>
      <c r="C59" s="875">
        <v>110</v>
      </c>
      <c r="D59" s="876">
        <v>21</v>
      </c>
      <c r="E59" s="889">
        <v>74.934920634920601</v>
      </c>
      <c r="F59" s="875">
        <f t="shared" si="32"/>
        <v>35.065079365079399</v>
      </c>
      <c r="G59" s="878">
        <f t="shared" si="0"/>
        <v>85.428412698412671</v>
      </c>
      <c r="H59" s="879">
        <f t="shared" si="1"/>
        <v>85</v>
      </c>
      <c r="I59" s="878">
        <f t="shared" si="2"/>
        <v>25</v>
      </c>
      <c r="J59" s="880">
        <f t="shared" si="25"/>
        <v>0.82986111111111116</v>
      </c>
      <c r="K59" s="881">
        <v>0.84375</v>
      </c>
      <c r="L59" s="882">
        <f t="shared" si="26"/>
        <v>104.99999999999994</v>
      </c>
      <c r="M59" s="883">
        <f t="shared" si="3"/>
        <v>30.065079365079342</v>
      </c>
      <c r="N59" s="884">
        <f t="shared" si="33"/>
        <v>19.999999999999943</v>
      </c>
      <c r="O59" s="885">
        <f t="shared" si="27"/>
        <v>-5.0000000000000568</v>
      </c>
      <c r="P59" s="880"/>
      <c r="Q59" s="886" t="s">
        <v>727</v>
      </c>
      <c r="R59" s="887">
        <v>0.81249999999999911</v>
      </c>
      <c r="S59" s="888">
        <v>90</v>
      </c>
      <c r="T59" s="876">
        <v>29</v>
      </c>
      <c r="U59" s="889">
        <v>63.316091954023001</v>
      </c>
      <c r="V59" s="879">
        <f t="shared" si="28"/>
        <v>26.683908045976999</v>
      </c>
      <c r="W59" s="878">
        <f t="shared" si="4"/>
        <v>72.647701149425302</v>
      </c>
      <c r="X59" s="879">
        <f t="shared" si="5"/>
        <v>75</v>
      </c>
      <c r="Y59" s="878">
        <f t="shared" si="6"/>
        <v>15</v>
      </c>
      <c r="Z59" s="890">
        <f t="shared" si="7"/>
        <v>0.86458333333333248</v>
      </c>
      <c r="AA59" s="891">
        <v>0.86458333333333337</v>
      </c>
      <c r="AB59" s="883">
        <f t="shared" si="8"/>
        <v>75.000000000001336</v>
      </c>
      <c r="AC59" s="883">
        <f t="shared" si="9"/>
        <v>11.683908045978335</v>
      </c>
      <c r="AD59" s="884">
        <f t="shared" si="29"/>
        <v>1.3358203432289883E-12</v>
      </c>
      <c r="AE59" s="885">
        <f t="shared" si="10"/>
        <v>-14.999999999998664</v>
      </c>
    </row>
    <row r="60" spans="1:31" ht="18.75" x14ac:dyDescent="0.3">
      <c r="A60" s="873" t="s">
        <v>727</v>
      </c>
      <c r="B60" s="874">
        <v>0.78125</v>
      </c>
      <c r="C60" s="875">
        <v>120</v>
      </c>
      <c r="D60" s="876">
        <v>11</v>
      </c>
      <c r="E60" s="889">
        <v>75.734848484848499</v>
      </c>
      <c r="F60" s="875">
        <f t="shared" si="32"/>
        <v>44.265151515151501</v>
      </c>
      <c r="G60" s="878">
        <f t="shared" si="0"/>
        <v>86.308333333333351</v>
      </c>
      <c r="H60" s="879">
        <f t="shared" si="1"/>
        <v>85</v>
      </c>
      <c r="I60" s="878">
        <f t="shared" si="2"/>
        <v>35</v>
      </c>
      <c r="J60" s="880">
        <f t="shared" si="25"/>
        <v>0.84027777777777779</v>
      </c>
      <c r="K60" s="893">
        <v>0.85416666666666663</v>
      </c>
      <c r="L60" s="882">
        <f t="shared" si="26"/>
        <v>104.99999999999994</v>
      </c>
      <c r="M60" s="883">
        <f t="shared" si="3"/>
        <v>29.265151515151445</v>
      </c>
      <c r="N60" s="884">
        <f t="shared" si="33"/>
        <v>19.999999999999943</v>
      </c>
      <c r="O60" s="885">
        <f t="shared" si="27"/>
        <v>-15.000000000000057</v>
      </c>
      <c r="P60" s="880"/>
      <c r="Q60" s="886">
        <v>7</v>
      </c>
      <c r="R60" s="896">
        <v>0.82291666666666574</v>
      </c>
      <c r="S60" s="888">
        <v>95</v>
      </c>
      <c r="T60" s="876">
        <v>28</v>
      </c>
      <c r="U60" s="889">
        <v>58.155952380952399</v>
      </c>
      <c r="V60" s="879">
        <f t="shared" si="28"/>
        <v>36.844047619047601</v>
      </c>
      <c r="W60" s="878">
        <f t="shared" si="4"/>
        <v>66.971547619047641</v>
      </c>
      <c r="X60" s="879">
        <f t="shared" si="5"/>
        <v>65</v>
      </c>
      <c r="Y60" s="878">
        <f t="shared" si="6"/>
        <v>30</v>
      </c>
      <c r="Z60" s="890">
        <f t="shared" si="7"/>
        <v>0.86805555555555458</v>
      </c>
      <c r="AA60" s="891">
        <v>0.875</v>
      </c>
      <c r="AB60" s="883">
        <f t="shared" si="8"/>
        <v>75.000000000001336</v>
      </c>
      <c r="AC60" s="883">
        <f t="shared" si="9"/>
        <v>16.844047619048936</v>
      </c>
      <c r="AD60" s="884">
        <f t="shared" si="29"/>
        <v>10.000000000001336</v>
      </c>
      <c r="AE60" s="885">
        <f t="shared" si="10"/>
        <v>-19.999999999998664</v>
      </c>
    </row>
    <row r="61" spans="1:31" ht="18.75" x14ac:dyDescent="0.3">
      <c r="A61" s="873">
        <v>7</v>
      </c>
      <c r="B61" s="874">
        <v>0.79166666666666663</v>
      </c>
      <c r="C61" s="875">
        <v>75</v>
      </c>
      <c r="D61" s="876">
        <v>7</v>
      </c>
      <c r="E61" s="889">
        <v>76.880952380952394</v>
      </c>
      <c r="F61" s="875">
        <f t="shared" si="32"/>
        <v>-1.8809523809523938</v>
      </c>
      <c r="G61" s="878">
        <f t="shared" si="0"/>
        <v>87.569047619047637</v>
      </c>
      <c r="H61" s="879">
        <f t="shared" si="1"/>
        <v>90</v>
      </c>
      <c r="I61" s="878">
        <f t="shared" si="2"/>
        <v>-15</v>
      </c>
      <c r="J61" s="880">
        <f t="shared" si="25"/>
        <v>0.85416666666666663</v>
      </c>
      <c r="K61" s="895">
        <v>0.85069444444444442</v>
      </c>
      <c r="L61" s="882">
        <f t="shared" si="26"/>
        <v>85.000000000000014</v>
      </c>
      <c r="M61" s="883">
        <f t="shared" si="3"/>
        <v>8.1190476190476204</v>
      </c>
      <c r="N61" s="884">
        <f t="shared" si="33"/>
        <v>-4.9999999999999858</v>
      </c>
      <c r="O61" s="885">
        <f t="shared" si="27"/>
        <v>10.000000000000014</v>
      </c>
      <c r="P61" s="880"/>
      <c r="Q61" s="886" t="s">
        <v>727</v>
      </c>
      <c r="R61" s="887">
        <v>0.83333333333333237</v>
      </c>
      <c r="S61" s="888">
        <v>75</v>
      </c>
      <c r="T61" s="876">
        <v>28</v>
      </c>
      <c r="U61" s="889">
        <v>60.5416666666667</v>
      </c>
      <c r="V61" s="879">
        <f t="shared" si="28"/>
        <v>14.4583333333333</v>
      </c>
      <c r="W61" s="878">
        <f t="shared" si="4"/>
        <v>69.595833333333374</v>
      </c>
      <c r="X61" s="879">
        <f t="shared" si="5"/>
        <v>70</v>
      </c>
      <c r="Y61" s="878">
        <f t="shared" si="6"/>
        <v>5</v>
      </c>
      <c r="Z61" s="890">
        <f t="shared" si="7"/>
        <v>0.88194444444444353</v>
      </c>
      <c r="AA61" s="891">
        <v>0.88541666666666663</v>
      </c>
      <c r="AB61" s="883">
        <f t="shared" si="8"/>
        <v>75.000000000001336</v>
      </c>
      <c r="AC61" s="883">
        <f t="shared" si="9"/>
        <v>14.458333333334636</v>
      </c>
      <c r="AD61" s="884">
        <f t="shared" si="29"/>
        <v>5.0000000000013358</v>
      </c>
      <c r="AE61" s="885">
        <f t="shared" si="10"/>
        <v>1.3358203432289883E-12</v>
      </c>
    </row>
    <row r="62" spans="1:31" ht="18.75" x14ac:dyDescent="0.3">
      <c r="A62" s="873" t="s">
        <v>727</v>
      </c>
      <c r="B62" s="874">
        <v>0.80208333333333337</v>
      </c>
      <c r="C62" s="875">
        <v>75</v>
      </c>
      <c r="D62" s="876">
        <v>4</v>
      </c>
      <c r="E62" s="889">
        <v>71.654166666666697</v>
      </c>
      <c r="F62" s="875">
        <f t="shared" si="32"/>
        <v>3.345833333333303</v>
      </c>
      <c r="G62" s="878">
        <f t="shared" si="0"/>
        <v>81.81958333333337</v>
      </c>
      <c r="H62" s="879">
        <f t="shared" si="1"/>
        <v>80</v>
      </c>
      <c r="I62" s="878">
        <f t="shared" si="2"/>
        <v>-5</v>
      </c>
      <c r="J62" s="880">
        <f t="shared" si="25"/>
        <v>0.85763888888888895</v>
      </c>
      <c r="K62" s="895">
        <v>0.86111111111111116</v>
      </c>
      <c r="L62" s="882">
        <f t="shared" si="26"/>
        <v>85.000000000000014</v>
      </c>
      <c r="M62" s="883">
        <f t="shared" si="3"/>
        <v>13.345833333333317</v>
      </c>
      <c r="N62" s="884">
        <f t="shared" si="33"/>
        <v>5.0000000000000142</v>
      </c>
      <c r="O62" s="885">
        <f t="shared" si="27"/>
        <v>10.000000000000014</v>
      </c>
      <c r="P62" s="880"/>
      <c r="Q62" s="886">
        <v>7</v>
      </c>
      <c r="R62" s="896">
        <v>0.843749999999999</v>
      </c>
      <c r="S62" s="888">
        <v>75</v>
      </c>
      <c r="T62" s="876">
        <v>23</v>
      </c>
      <c r="U62" s="889">
        <v>56.181159420289902</v>
      </c>
      <c r="V62" s="879">
        <f t="shared" si="28"/>
        <v>18.818840579710098</v>
      </c>
      <c r="W62" s="878">
        <f t="shared" si="4"/>
        <v>64.799275362318895</v>
      </c>
      <c r="X62" s="879">
        <f t="shared" si="5"/>
        <v>65</v>
      </c>
      <c r="Y62" s="878">
        <f t="shared" si="6"/>
        <v>10</v>
      </c>
      <c r="Z62" s="890">
        <f t="shared" si="7"/>
        <v>0.88888888888888784</v>
      </c>
      <c r="AA62" s="891">
        <v>0.89583333333333337</v>
      </c>
      <c r="AB62" s="883">
        <f t="shared" si="8"/>
        <v>75.000000000001492</v>
      </c>
      <c r="AC62" s="883">
        <f t="shared" si="9"/>
        <v>18.818840579711591</v>
      </c>
      <c r="AD62" s="884">
        <f t="shared" si="29"/>
        <v>10.000000000001492</v>
      </c>
      <c r="AE62" s="885">
        <f t="shared" si="10"/>
        <v>1.4921397450962104E-12</v>
      </c>
    </row>
    <row r="63" spans="1:31" ht="18.75" x14ac:dyDescent="0.3">
      <c r="A63" s="873">
        <v>7</v>
      </c>
      <c r="B63" s="874">
        <v>0.8125</v>
      </c>
      <c r="C63" s="875">
        <v>75</v>
      </c>
      <c r="D63" s="876">
        <v>10</v>
      </c>
      <c r="E63" s="889">
        <v>68.718333333333305</v>
      </c>
      <c r="F63" s="875">
        <f t="shared" si="32"/>
        <v>6.2816666666666947</v>
      </c>
      <c r="G63" s="878">
        <f t="shared" si="0"/>
        <v>78.590166666666647</v>
      </c>
      <c r="H63" s="879">
        <f t="shared" si="1"/>
        <v>80</v>
      </c>
      <c r="I63" s="878">
        <f t="shared" si="2"/>
        <v>-5</v>
      </c>
      <c r="J63" s="880">
        <f t="shared" si="25"/>
        <v>0.86805555555555558</v>
      </c>
      <c r="K63" s="881">
        <v>0.86458333333333337</v>
      </c>
      <c r="L63" s="882">
        <f t="shared" si="26"/>
        <v>75.000000000000057</v>
      </c>
      <c r="M63" s="883">
        <f t="shared" si="3"/>
        <v>6.2816666666667516</v>
      </c>
      <c r="N63" s="884">
        <f t="shared" si="33"/>
        <v>-4.9999999999999432</v>
      </c>
      <c r="O63" s="885">
        <f t="shared" si="27"/>
        <v>0</v>
      </c>
      <c r="P63" s="880"/>
      <c r="Q63" s="886" t="s">
        <v>727</v>
      </c>
      <c r="R63" s="887">
        <v>0.85416666666666563</v>
      </c>
      <c r="S63" s="888">
        <v>75</v>
      </c>
      <c r="T63" s="876">
        <v>24</v>
      </c>
      <c r="U63" s="889">
        <v>56.997222222222199</v>
      </c>
      <c r="V63" s="879">
        <f t="shared" si="28"/>
        <v>18.002777777777801</v>
      </c>
      <c r="W63" s="878">
        <f t="shared" si="4"/>
        <v>65.696944444444426</v>
      </c>
      <c r="X63" s="879">
        <f t="shared" si="5"/>
        <v>65</v>
      </c>
      <c r="Y63" s="878">
        <f t="shared" si="6"/>
        <v>10</v>
      </c>
      <c r="Z63" s="890">
        <f t="shared" si="7"/>
        <v>0.89930555555555447</v>
      </c>
      <c r="AA63" s="891">
        <v>0.90625</v>
      </c>
      <c r="AB63" s="883">
        <f t="shared" si="8"/>
        <v>75.000000000001492</v>
      </c>
      <c r="AC63" s="883">
        <f t="shared" si="9"/>
        <v>18.002777777779293</v>
      </c>
      <c r="AD63" s="884">
        <f t="shared" si="29"/>
        <v>10.000000000001492</v>
      </c>
      <c r="AE63" s="885">
        <f t="shared" si="10"/>
        <v>1.4921397450962104E-12</v>
      </c>
    </row>
    <row r="64" spans="1:31" ht="18.75" x14ac:dyDescent="0.3">
      <c r="A64" s="873" t="s">
        <v>727</v>
      </c>
      <c r="B64" s="874">
        <v>0.82291666666666663</v>
      </c>
      <c r="C64" s="875">
        <v>75</v>
      </c>
      <c r="D64" s="876">
        <v>2</v>
      </c>
      <c r="E64" s="889">
        <v>64.316666666666706</v>
      </c>
      <c r="F64" s="875">
        <f t="shared" si="32"/>
        <v>10.683333333333294</v>
      </c>
      <c r="G64" s="878">
        <f t="shared" si="0"/>
        <v>73.748333333333377</v>
      </c>
      <c r="H64" s="879">
        <f t="shared" si="1"/>
        <v>75</v>
      </c>
      <c r="I64" s="878">
        <f t="shared" si="2"/>
        <v>0</v>
      </c>
      <c r="J64" s="880">
        <f t="shared" si="25"/>
        <v>0.875</v>
      </c>
      <c r="K64" s="893">
        <v>0.875</v>
      </c>
      <c r="L64" s="882">
        <f t="shared" si="26"/>
        <v>75.000000000000057</v>
      </c>
      <c r="M64" s="883">
        <f t="shared" si="3"/>
        <v>10.683333333333351</v>
      </c>
      <c r="N64" s="884">
        <f t="shared" si="33"/>
        <v>0</v>
      </c>
      <c r="O64" s="885">
        <f t="shared" si="27"/>
        <v>0</v>
      </c>
      <c r="P64" s="880"/>
      <c r="Q64" s="886">
        <v>7</v>
      </c>
      <c r="R64" s="896">
        <v>0.86458333333333226</v>
      </c>
      <c r="S64" s="888">
        <v>75</v>
      </c>
      <c r="T64" s="876">
        <v>26</v>
      </c>
      <c r="U64" s="889">
        <v>48.641666666666602</v>
      </c>
      <c r="V64" s="879">
        <f t="shared" si="28"/>
        <v>26.358333333333398</v>
      </c>
      <c r="W64" s="878">
        <f t="shared" si="4"/>
        <v>56.505833333333264</v>
      </c>
      <c r="X64" s="879">
        <f t="shared" si="5"/>
        <v>55</v>
      </c>
      <c r="Y64" s="878">
        <f t="shared" si="6"/>
        <v>20</v>
      </c>
      <c r="Z64" s="890">
        <f t="shared" si="7"/>
        <v>0.90277777777777668</v>
      </c>
      <c r="AA64" s="891">
        <v>0.91666666666666663</v>
      </c>
      <c r="AB64" s="883">
        <f t="shared" si="8"/>
        <v>75.000000000001492</v>
      </c>
      <c r="AC64" s="883">
        <f t="shared" si="9"/>
        <v>26.35833333333489</v>
      </c>
      <c r="AD64" s="884">
        <f t="shared" si="29"/>
        <v>20.000000000001492</v>
      </c>
      <c r="AE64" s="885">
        <f t="shared" si="10"/>
        <v>1.4921397450962104E-12</v>
      </c>
    </row>
    <row r="65" spans="1:31" ht="18.75" x14ac:dyDescent="0.3">
      <c r="A65" s="873">
        <v>7</v>
      </c>
      <c r="B65" s="874">
        <v>0.83333333333333337</v>
      </c>
      <c r="C65" s="875">
        <v>75</v>
      </c>
      <c r="D65" s="876">
        <v>6</v>
      </c>
      <c r="E65" s="889">
        <v>67.644444444444403</v>
      </c>
      <c r="F65" s="875">
        <f t="shared" si="32"/>
        <v>7.3555555555555969</v>
      </c>
      <c r="G65" s="878">
        <f t="shared" si="0"/>
        <v>77.408888888888853</v>
      </c>
      <c r="H65" s="879">
        <f t="shared" si="1"/>
        <v>75</v>
      </c>
      <c r="I65" s="878">
        <f t="shared" si="2"/>
        <v>0</v>
      </c>
      <c r="J65" s="880">
        <f t="shared" si="25"/>
        <v>0.88541666666666674</v>
      </c>
      <c r="K65" s="895">
        <v>0.88541666666666663</v>
      </c>
      <c r="L65" s="882">
        <f t="shared" si="26"/>
        <v>74.999999999999901</v>
      </c>
      <c r="M65" s="883">
        <f t="shared" si="3"/>
        <v>7.3555555555554974</v>
      </c>
      <c r="N65" s="884">
        <f t="shared" si="33"/>
        <v>0</v>
      </c>
      <c r="O65" s="885">
        <f t="shared" si="27"/>
        <v>0</v>
      </c>
      <c r="P65" s="880"/>
      <c r="Q65" s="886" t="s">
        <v>727</v>
      </c>
      <c r="R65" s="887">
        <v>0.87499999999999889</v>
      </c>
      <c r="S65" s="888">
        <v>75</v>
      </c>
      <c r="T65" s="876">
        <v>24</v>
      </c>
      <c r="U65" s="889">
        <v>56.696527777777803</v>
      </c>
      <c r="V65" s="879">
        <f t="shared" si="28"/>
        <v>18.303472222222197</v>
      </c>
      <c r="W65" s="878">
        <f t="shared" si="4"/>
        <v>65.366180555555587</v>
      </c>
      <c r="X65" s="879">
        <f t="shared" si="5"/>
        <v>65</v>
      </c>
      <c r="Y65" s="878">
        <f t="shared" si="6"/>
        <v>10</v>
      </c>
      <c r="Z65" s="890">
        <f t="shared" si="7"/>
        <v>0.92013888888888773</v>
      </c>
      <c r="AA65" s="891">
        <v>0.92708333333333337</v>
      </c>
      <c r="AB65" s="883">
        <f t="shared" si="8"/>
        <v>75.000000000001648</v>
      </c>
      <c r="AC65" s="883">
        <f t="shared" si="9"/>
        <v>18.303472222223846</v>
      </c>
      <c r="AD65" s="884">
        <f t="shared" si="29"/>
        <v>10.000000000001648</v>
      </c>
      <c r="AE65" s="885">
        <f t="shared" si="10"/>
        <v>1.6484591469634324E-12</v>
      </c>
    </row>
    <row r="66" spans="1:31" ht="18.75" x14ac:dyDescent="0.3">
      <c r="A66" s="873" t="s">
        <v>727</v>
      </c>
      <c r="B66" s="874">
        <v>0.84375</v>
      </c>
      <c r="C66" s="875">
        <v>75</v>
      </c>
      <c r="D66" s="876">
        <v>8</v>
      </c>
      <c r="E66" s="889">
        <v>70.868750000000006</v>
      </c>
      <c r="F66" s="875">
        <f t="shared" si="32"/>
        <v>4.1312499999999943</v>
      </c>
      <c r="G66" s="878">
        <f t="shared" si="0"/>
        <v>80.955625000000012</v>
      </c>
      <c r="H66" s="879">
        <f t="shared" si="1"/>
        <v>80</v>
      </c>
      <c r="I66" s="878">
        <f t="shared" si="2"/>
        <v>-5</v>
      </c>
      <c r="J66" s="880">
        <f t="shared" si="25"/>
        <v>0.89930555555555558</v>
      </c>
      <c r="K66" s="893">
        <v>0.89583333333333337</v>
      </c>
      <c r="L66" s="882">
        <f t="shared" si="26"/>
        <v>75.000000000000057</v>
      </c>
      <c r="M66" s="883">
        <f t="shared" si="3"/>
        <v>4.1312500000000512</v>
      </c>
      <c r="N66" s="884">
        <f t="shared" si="33"/>
        <v>-4.9999999999999432</v>
      </c>
      <c r="O66" s="885">
        <f t="shared" si="27"/>
        <v>0</v>
      </c>
      <c r="P66" s="880"/>
      <c r="Q66" s="886">
        <v>7</v>
      </c>
      <c r="R66" s="896">
        <v>0.88541666666666552</v>
      </c>
      <c r="S66" s="888">
        <v>75</v>
      </c>
      <c r="T66" s="876">
        <v>28</v>
      </c>
      <c r="U66" s="889">
        <v>49.916071428571399</v>
      </c>
      <c r="V66" s="879">
        <f t="shared" si="28"/>
        <v>25.083928571428601</v>
      </c>
      <c r="W66" s="878">
        <f t="shared" si="4"/>
        <v>57.907678571428541</v>
      </c>
      <c r="X66" s="879">
        <f t="shared" si="5"/>
        <v>60</v>
      </c>
      <c r="Y66" s="878">
        <f t="shared" si="6"/>
        <v>15</v>
      </c>
      <c r="Z66" s="890">
        <f t="shared" si="7"/>
        <v>0.92708333333333215</v>
      </c>
      <c r="AA66" s="891">
        <v>0.9375</v>
      </c>
      <c r="AB66" s="883">
        <f t="shared" si="8"/>
        <v>75.000000000001648</v>
      </c>
      <c r="AC66" s="883">
        <f t="shared" si="9"/>
        <v>25.083928571430249</v>
      </c>
      <c r="AD66" s="884">
        <f t="shared" si="29"/>
        <v>15.000000000001648</v>
      </c>
      <c r="AE66" s="885">
        <f t="shared" si="10"/>
        <v>1.6484591469634324E-12</v>
      </c>
    </row>
    <row r="67" spans="1:31" ht="18.75" x14ac:dyDescent="0.3">
      <c r="A67" s="873">
        <v>7</v>
      </c>
      <c r="B67" s="874">
        <v>0.85416666666666663</v>
      </c>
      <c r="C67" s="875">
        <v>75</v>
      </c>
      <c r="D67" s="876">
        <v>3</v>
      </c>
      <c r="E67" s="889">
        <v>68.077777777777797</v>
      </c>
      <c r="F67" s="875">
        <f t="shared" si="32"/>
        <v>6.922222222222203</v>
      </c>
      <c r="G67" s="878">
        <f t="shared" ref="G67:G79" si="37">E67*1.1+3</f>
        <v>77.885555555555584</v>
      </c>
      <c r="H67" s="879">
        <f t="shared" ref="H67:H79" si="38">MROUND(G67,5)</f>
        <v>80</v>
      </c>
      <c r="I67" s="878">
        <f t="shared" ref="I67:I79" si="39">C67-H67</f>
        <v>-5</v>
      </c>
      <c r="J67" s="880">
        <f t="shared" ref="J67:J79" si="40">B67+TIME(,H67,)</f>
        <v>0.90972222222222221</v>
      </c>
      <c r="K67" s="895">
        <v>0.90972222222222221</v>
      </c>
      <c r="L67" s="882">
        <f t="shared" ref="L67:L79" si="41">((K67-B67)*86400)/60</f>
        <v>80.000000000000028</v>
      </c>
      <c r="M67" s="883">
        <f t="shared" ref="M67:M79" si="42">L67-E67</f>
        <v>11.922222222222231</v>
      </c>
      <c r="N67" s="884">
        <f t="shared" si="33"/>
        <v>0</v>
      </c>
      <c r="O67" s="885">
        <f t="shared" ref="O67:O79" si="43">L67-C67</f>
        <v>5.0000000000000284</v>
      </c>
      <c r="P67" s="880"/>
      <c r="Q67" s="886" t="s">
        <v>727</v>
      </c>
      <c r="R67" s="887">
        <v>0.89583333333333215</v>
      </c>
      <c r="S67" s="888">
        <v>75</v>
      </c>
      <c r="T67" s="876">
        <v>27</v>
      </c>
      <c r="U67" s="889">
        <v>55.460493827160498</v>
      </c>
      <c r="V67" s="879">
        <f t="shared" si="28"/>
        <v>19.539506172839502</v>
      </c>
      <c r="W67" s="878">
        <f t="shared" ref="W67:W75" si="44">U67*1.1+3</f>
        <v>64.006543209876554</v>
      </c>
      <c r="X67" s="879">
        <f t="shared" ref="X67:X75" si="45">MROUND(W67,5)</f>
        <v>65</v>
      </c>
      <c r="Y67" s="878">
        <f t="shared" ref="Y67:Y75" si="46">S67-X67</f>
        <v>10</v>
      </c>
      <c r="Z67" s="890">
        <f t="shared" ref="Z67:Z75" si="47">R67+TIME(,X67,)</f>
        <v>0.94097222222222099</v>
      </c>
      <c r="AA67" s="891">
        <v>0.94791666666666663</v>
      </c>
      <c r="AB67" s="883">
        <f t="shared" ref="AB67:AB75" si="48">((AA67-R67)*86400)/60</f>
        <v>75.000000000001648</v>
      </c>
      <c r="AC67" s="883">
        <f t="shared" ref="AC67:AC75" si="49">AB67-U67</f>
        <v>19.539506172841151</v>
      </c>
      <c r="AD67" s="884">
        <f t="shared" si="29"/>
        <v>10.000000000001648</v>
      </c>
      <c r="AE67" s="885">
        <f t="shared" ref="AE67:AE75" si="50">AB67-S67</f>
        <v>1.6484591469634324E-12</v>
      </c>
    </row>
    <row r="68" spans="1:31" ht="18.75" x14ac:dyDescent="0.3">
      <c r="A68" s="873" t="s">
        <v>727</v>
      </c>
      <c r="B68" s="874">
        <v>0.86458333333333337</v>
      </c>
      <c r="C68" s="875">
        <v>75</v>
      </c>
      <c r="D68" s="876">
        <v>3</v>
      </c>
      <c r="E68" s="889">
        <v>66.477777777777803</v>
      </c>
      <c r="F68" s="875">
        <f t="shared" si="32"/>
        <v>8.5222222222221973</v>
      </c>
      <c r="G68" s="878">
        <f t="shared" si="37"/>
        <v>76.125555555555593</v>
      </c>
      <c r="H68" s="879">
        <f t="shared" si="38"/>
        <v>75</v>
      </c>
      <c r="I68" s="878">
        <f t="shared" si="39"/>
        <v>0</v>
      </c>
      <c r="J68" s="880">
        <f t="shared" si="40"/>
        <v>0.91666666666666674</v>
      </c>
      <c r="K68" s="893">
        <v>0.91666666666666663</v>
      </c>
      <c r="L68" s="882">
        <f t="shared" si="41"/>
        <v>74.999999999999901</v>
      </c>
      <c r="M68" s="883">
        <f t="shared" si="42"/>
        <v>8.5222222222220978</v>
      </c>
      <c r="N68" s="884">
        <f t="shared" si="33"/>
        <v>0</v>
      </c>
      <c r="O68" s="885">
        <f t="shared" si="43"/>
        <v>0</v>
      </c>
      <c r="P68" s="880"/>
      <c r="Q68" s="886">
        <v>7</v>
      </c>
      <c r="R68" s="896">
        <v>0.90624999999999878</v>
      </c>
      <c r="S68" s="888">
        <v>75</v>
      </c>
      <c r="T68" s="876">
        <v>26</v>
      </c>
      <c r="U68" s="889">
        <v>47.811538461538497</v>
      </c>
      <c r="V68" s="879">
        <f t="shared" ref="V68:V75" si="51">S68-U68</f>
        <v>27.188461538461503</v>
      </c>
      <c r="W68" s="878">
        <f t="shared" si="44"/>
        <v>55.592692307692353</v>
      </c>
      <c r="X68" s="879">
        <f t="shared" si="45"/>
        <v>55</v>
      </c>
      <c r="Y68" s="878">
        <f t="shared" si="46"/>
        <v>20</v>
      </c>
      <c r="Z68" s="890">
        <f t="shared" si="47"/>
        <v>0.9444444444444432</v>
      </c>
      <c r="AA68" s="891">
        <v>0.95833333333333337</v>
      </c>
      <c r="AB68" s="883">
        <f t="shared" si="48"/>
        <v>75.000000000001819</v>
      </c>
      <c r="AC68" s="883">
        <f t="shared" si="49"/>
        <v>27.188461538463322</v>
      </c>
      <c r="AD68" s="884">
        <f t="shared" ref="AD68:AD75" si="52">AB68-X68</f>
        <v>20.000000000001819</v>
      </c>
      <c r="AE68" s="885">
        <f t="shared" si="50"/>
        <v>1.8189894035458565E-12</v>
      </c>
    </row>
    <row r="69" spans="1:31" ht="18.75" x14ac:dyDescent="0.3">
      <c r="A69" s="873">
        <v>7</v>
      </c>
      <c r="B69" s="874">
        <v>0.875</v>
      </c>
      <c r="C69" s="875">
        <v>75</v>
      </c>
      <c r="D69" s="876">
        <v>3</v>
      </c>
      <c r="E69" s="889">
        <v>60.016666666666701</v>
      </c>
      <c r="F69" s="875">
        <f t="shared" ref="F69:F79" si="53">C69-E69</f>
        <v>14.983333333333299</v>
      </c>
      <c r="G69" s="878">
        <f t="shared" si="37"/>
        <v>69.018333333333374</v>
      </c>
      <c r="H69" s="879">
        <f t="shared" si="38"/>
        <v>70</v>
      </c>
      <c r="I69" s="878">
        <f t="shared" si="39"/>
        <v>5</v>
      </c>
      <c r="J69" s="880">
        <f t="shared" si="40"/>
        <v>0.92361111111111116</v>
      </c>
      <c r="K69" s="881">
        <v>0.92708333333333337</v>
      </c>
      <c r="L69" s="882">
        <f t="shared" si="41"/>
        <v>75.000000000000057</v>
      </c>
      <c r="M69" s="883">
        <f t="shared" si="42"/>
        <v>14.983333333333356</v>
      </c>
      <c r="N69" s="884">
        <f t="shared" ref="N69:N77" si="54">L69-H69</f>
        <v>5.0000000000000568</v>
      </c>
      <c r="O69" s="885">
        <f t="shared" si="43"/>
        <v>0</v>
      </c>
      <c r="P69" s="880"/>
      <c r="Q69" s="886" t="s">
        <v>727</v>
      </c>
      <c r="R69" s="887">
        <v>0.91666666666666541</v>
      </c>
      <c r="S69" s="888">
        <v>75</v>
      </c>
      <c r="T69" s="876">
        <v>26</v>
      </c>
      <c r="U69" s="889">
        <v>54.230769230769198</v>
      </c>
      <c r="V69" s="879">
        <f t="shared" si="51"/>
        <v>20.769230769230802</v>
      </c>
      <c r="W69" s="878">
        <f t="shared" si="44"/>
        <v>62.653846153846125</v>
      </c>
      <c r="X69" s="879">
        <f t="shared" si="45"/>
        <v>65</v>
      </c>
      <c r="Y69" s="878">
        <f t="shared" si="46"/>
        <v>10</v>
      </c>
      <c r="Z69" s="890">
        <f t="shared" si="47"/>
        <v>0.96180555555555425</v>
      </c>
      <c r="AA69" s="891">
        <v>0.96875</v>
      </c>
      <c r="AB69" s="883">
        <f t="shared" si="48"/>
        <v>75.000000000001819</v>
      </c>
      <c r="AC69" s="883">
        <f t="shared" si="49"/>
        <v>20.769230769232621</v>
      </c>
      <c r="AD69" s="884">
        <f t="shared" si="52"/>
        <v>10.000000000001819</v>
      </c>
      <c r="AE69" s="885">
        <f t="shared" si="50"/>
        <v>1.8189894035458565E-12</v>
      </c>
    </row>
    <row r="70" spans="1:31" ht="18.75" x14ac:dyDescent="0.3">
      <c r="A70" s="873" t="s">
        <v>727</v>
      </c>
      <c r="B70" s="874">
        <v>0.88541666666666663</v>
      </c>
      <c r="C70" s="875">
        <v>75</v>
      </c>
      <c r="D70" s="876">
        <v>4</v>
      </c>
      <c r="E70" s="889">
        <v>64.220833333333303</v>
      </c>
      <c r="F70" s="875">
        <f t="shared" si="53"/>
        <v>10.779166666666697</v>
      </c>
      <c r="G70" s="878">
        <f t="shared" si="37"/>
        <v>73.642916666666636</v>
      </c>
      <c r="H70" s="879">
        <f t="shared" si="38"/>
        <v>75</v>
      </c>
      <c r="I70" s="878">
        <f t="shared" si="39"/>
        <v>0</v>
      </c>
      <c r="J70" s="880">
        <f t="shared" si="40"/>
        <v>0.9375</v>
      </c>
      <c r="K70" s="893">
        <v>0.9375</v>
      </c>
      <c r="L70" s="882">
        <f t="shared" si="41"/>
        <v>75.000000000000057</v>
      </c>
      <c r="M70" s="883">
        <f t="shared" si="42"/>
        <v>10.779166666666754</v>
      </c>
      <c r="N70" s="884">
        <f t="shared" si="54"/>
        <v>0</v>
      </c>
      <c r="O70" s="885">
        <f t="shared" si="43"/>
        <v>0</v>
      </c>
      <c r="P70" s="880"/>
      <c r="Q70" s="886">
        <v>7</v>
      </c>
      <c r="R70" s="896">
        <v>0.92708333333333204</v>
      </c>
      <c r="S70" s="888">
        <v>75</v>
      </c>
      <c r="T70" s="876">
        <v>30</v>
      </c>
      <c r="U70" s="889">
        <v>47.174999999999997</v>
      </c>
      <c r="V70" s="879">
        <f t="shared" si="51"/>
        <v>27.825000000000003</v>
      </c>
      <c r="W70" s="878">
        <f t="shared" si="44"/>
        <v>54.892499999999998</v>
      </c>
      <c r="X70" s="879">
        <f t="shared" si="45"/>
        <v>55</v>
      </c>
      <c r="Y70" s="878">
        <f t="shared" si="46"/>
        <v>20</v>
      </c>
      <c r="Z70" s="890">
        <f t="shared" si="47"/>
        <v>0.96527777777777646</v>
      </c>
      <c r="AA70" s="891">
        <v>0.97916666666666663</v>
      </c>
      <c r="AB70" s="883">
        <f t="shared" si="48"/>
        <v>75.000000000001819</v>
      </c>
      <c r="AC70" s="883">
        <f t="shared" si="49"/>
        <v>27.825000000001822</v>
      </c>
      <c r="AD70" s="884">
        <f t="shared" si="52"/>
        <v>20.000000000001819</v>
      </c>
      <c r="AE70" s="885">
        <f t="shared" si="50"/>
        <v>1.8189894035458565E-12</v>
      </c>
    </row>
    <row r="71" spans="1:31" ht="18.75" x14ac:dyDescent="0.3">
      <c r="A71" s="873">
        <v>7</v>
      </c>
      <c r="B71" s="874">
        <v>0.89583333333333337</v>
      </c>
      <c r="C71" s="875">
        <v>75</v>
      </c>
      <c r="D71" s="876">
        <v>3</v>
      </c>
      <c r="E71" s="889">
        <v>57.5</v>
      </c>
      <c r="F71" s="875">
        <f t="shared" si="53"/>
        <v>17.5</v>
      </c>
      <c r="G71" s="878">
        <f t="shared" si="37"/>
        <v>66.25</v>
      </c>
      <c r="H71" s="879">
        <f t="shared" si="38"/>
        <v>65</v>
      </c>
      <c r="I71" s="878">
        <f t="shared" si="39"/>
        <v>10</v>
      </c>
      <c r="J71" s="880">
        <f t="shared" si="40"/>
        <v>0.94097222222222221</v>
      </c>
      <c r="K71" s="881">
        <v>0.94791666666666663</v>
      </c>
      <c r="L71" s="882">
        <f t="shared" si="41"/>
        <v>74.999999999999901</v>
      </c>
      <c r="M71" s="883">
        <f t="shared" si="42"/>
        <v>17.499999999999901</v>
      </c>
      <c r="N71" s="884">
        <f t="shared" si="54"/>
        <v>9.9999999999999005</v>
      </c>
      <c r="O71" s="885">
        <f t="shared" si="43"/>
        <v>0</v>
      </c>
      <c r="P71" s="880"/>
      <c r="Q71" s="886" t="s">
        <v>727</v>
      </c>
      <c r="R71" s="887">
        <v>0.93749999999999867</v>
      </c>
      <c r="S71" s="888">
        <v>80</v>
      </c>
      <c r="T71" s="876">
        <v>28</v>
      </c>
      <c r="U71" s="889">
        <v>51.2130952380952</v>
      </c>
      <c r="V71" s="879">
        <f t="shared" si="51"/>
        <v>28.7869047619048</v>
      </c>
      <c r="W71" s="878">
        <f t="shared" si="44"/>
        <v>59.334404761904722</v>
      </c>
      <c r="X71" s="879">
        <f t="shared" si="45"/>
        <v>60</v>
      </c>
      <c r="Y71" s="878">
        <f t="shared" si="46"/>
        <v>20</v>
      </c>
      <c r="Z71" s="890">
        <f t="shared" si="47"/>
        <v>0.9791666666666653</v>
      </c>
      <c r="AA71" s="900">
        <v>0.98263888888888884</v>
      </c>
      <c r="AB71" s="883">
        <f t="shared" si="48"/>
        <v>65.000000000001847</v>
      </c>
      <c r="AC71" s="883">
        <f t="shared" si="49"/>
        <v>13.786904761906648</v>
      </c>
      <c r="AD71" s="884">
        <f t="shared" si="52"/>
        <v>5.0000000000018474</v>
      </c>
      <c r="AE71" s="885">
        <f t="shared" si="50"/>
        <v>-14.999999999998153</v>
      </c>
    </row>
    <row r="72" spans="1:31" ht="18.75" x14ac:dyDescent="0.3">
      <c r="A72" s="873" t="s">
        <v>727</v>
      </c>
      <c r="B72" s="874">
        <v>0.90625</v>
      </c>
      <c r="C72" s="875">
        <v>75</v>
      </c>
      <c r="D72" s="876">
        <v>1</v>
      </c>
      <c r="E72" s="889">
        <v>59.883333333333297</v>
      </c>
      <c r="F72" s="875">
        <f t="shared" si="53"/>
        <v>15.116666666666703</v>
      </c>
      <c r="G72" s="878">
        <f t="shared" si="37"/>
        <v>68.871666666666627</v>
      </c>
      <c r="H72" s="879">
        <f t="shared" si="38"/>
        <v>70</v>
      </c>
      <c r="I72" s="878">
        <f t="shared" si="39"/>
        <v>5</v>
      </c>
      <c r="J72" s="880">
        <f t="shared" si="40"/>
        <v>0.95486111111111116</v>
      </c>
      <c r="K72" s="893">
        <v>0.95833333333333337</v>
      </c>
      <c r="L72" s="882">
        <f t="shared" si="41"/>
        <v>75.000000000000057</v>
      </c>
      <c r="M72" s="883">
        <f t="shared" si="42"/>
        <v>15.11666666666676</v>
      </c>
      <c r="N72" s="884">
        <f t="shared" si="54"/>
        <v>5.0000000000000568</v>
      </c>
      <c r="O72" s="885">
        <f t="shared" si="43"/>
        <v>0</v>
      </c>
      <c r="P72" s="880"/>
      <c r="Q72" s="886">
        <v>7</v>
      </c>
      <c r="R72" s="896">
        <v>0.9479166666666653</v>
      </c>
      <c r="S72" s="888">
        <v>65</v>
      </c>
      <c r="T72" s="876">
        <v>27</v>
      </c>
      <c r="U72" s="889">
        <v>44.962962962962997</v>
      </c>
      <c r="V72" s="879">
        <f t="shared" si="51"/>
        <v>20.037037037037003</v>
      </c>
      <c r="W72" s="878">
        <f t="shared" si="44"/>
        <v>52.459259259259298</v>
      </c>
      <c r="X72" s="879">
        <f t="shared" si="45"/>
        <v>50</v>
      </c>
      <c r="Y72" s="878">
        <f t="shared" si="46"/>
        <v>15</v>
      </c>
      <c r="Z72" s="890">
        <f t="shared" si="47"/>
        <v>0.98263888888888751</v>
      </c>
      <c r="AA72" s="900">
        <v>0.98611111111111116</v>
      </c>
      <c r="AB72" s="883">
        <f t="shared" si="48"/>
        <v>55.000000000002046</v>
      </c>
      <c r="AC72" s="883">
        <f t="shared" si="49"/>
        <v>10.037037037039049</v>
      </c>
      <c r="AD72" s="884">
        <f t="shared" si="52"/>
        <v>5.0000000000020464</v>
      </c>
      <c r="AE72" s="885">
        <f t="shared" si="50"/>
        <v>-9.9999999999979536</v>
      </c>
    </row>
    <row r="73" spans="1:31" ht="18.75" x14ac:dyDescent="0.3">
      <c r="A73" s="873">
        <v>7</v>
      </c>
      <c r="B73" s="874">
        <v>0.91666666666666663</v>
      </c>
      <c r="C73" s="875">
        <v>75</v>
      </c>
      <c r="D73" s="876">
        <v>8</v>
      </c>
      <c r="E73" s="889">
        <v>54.793750000000003</v>
      </c>
      <c r="F73" s="875">
        <f t="shared" si="53"/>
        <v>20.206249999999997</v>
      </c>
      <c r="G73" s="878">
        <f t="shared" si="37"/>
        <v>63.273125000000007</v>
      </c>
      <c r="H73" s="879">
        <f t="shared" si="38"/>
        <v>65</v>
      </c>
      <c r="I73" s="878">
        <f t="shared" si="39"/>
        <v>10</v>
      </c>
      <c r="J73" s="880">
        <f t="shared" si="40"/>
        <v>0.96180555555555547</v>
      </c>
      <c r="K73" s="881">
        <v>0.96875</v>
      </c>
      <c r="L73" s="882">
        <f t="shared" si="41"/>
        <v>75.000000000000057</v>
      </c>
      <c r="M73" s="883">
        <f t="shared" si="42"/>
        <v>20.206250000000054</v>
      </c>
      <c r="N73" s="884">
        <f t="shared" si="54"/>
        <v>10.000000000000057</v>
      </c>
      <c r="O73" s="885">
        <f t="shared" si="43"/>
        <v>0</v>
      </c>
      <c r="P73" s="880"/>
      <c r="Q73" s="886" t="s">
        <v>727</v>
      </c>
      <c r="R73" s="887">
        <v>0.95833333333333193</v>
      </c>
      <c r="S73" s="888">
        <v>55</v>
      </c>
      <c r="T73" s="876">
        <v>27</v>
      </c>
      <c r="U73" s="889">
        <v>48.158024691358001</v>
      </c>
      <c r="V73" s="879">
        <f t="shared" si="51"/>
        <v>6.8419753086419988</v>
      </c>
      <c r="W73" s="878">
        <f t="shared" si="44"/>
        <v>55.973827160493805</v>
      </c>
      <c r="X73" s="879">
        <f t="shared" si="45"/>
        <v>55</v>
      </c>
      <c r="Y73" s="878">
        <f t="shared" si="46"/>
        <v>0</v>
      </c>
      <c r="Z73" s="890">
        <f t="shared" si="47"/>
        <v>0.99652777777777635</v>
      </c>
      <c r="AA73" s="900">
        <v>0.99652777777777779</v>
      </c>
      <c r="AB73" s="883">
        <f t="shared" si="48"/>
        <v>55.000000000002046</v>
      </c>
      <c r="AC73" s="883">
        <f t="shared" si="49"/>
        <v>6.8419753086440451</v>
      </c>
      <c r="AD73" s="884">
        <f t="shared" si="52"/>
        <v>2.0463630789890885E-12</v>
      </c>
      <c r="AE73" s="885">
        <f t="shared" si="50"/>
        <v>2.0463630789890885E-12</v>
      </c>
    </row>
    <row r="74" spans="1:31" ht="18.75" x14ac:dyDescent="0.3">
      <c r="A74" s="873" t="s">
        <v>727</v>
      </c>
      <c r="B74" s="874">
        <v>0.92708333333333337</v>
      </c>
      <c r="C74" s="875">
        <v>75</v>
      </c>
      <c r="D74" s="876">
        <v>3</v>
      </c>
      <c r="E74" s="889">
        <v>56.45</v>
      </c>
      <c r="F74" s="875">
        <f t="shared" si="53"/>
        <v>18.549999999999997</v>
      </c>
      <c r="G74" s="878">
        <f t="shared" si="37"/>
        <v>65.094999999999999</v>
      </c>
      <c r="H74" s="879">
        <f t="shared" si="38"/>
        <v>65</v>
      </c>
      <c r="I74" s="878">
        <f t="shared" si="39"/>
        <v>10</v>
      </c>
      <c r="J74" s="880">
        <f t="shared" si="40"/>
        <v>0.97222222222222221</v>
      </c>
      <c r="K74" s="893">
        <v>0.97916666666666663</v>
      </c>
      <c r="L74" s="882">
        <f t="shared" si="41"/>
        <v>74.999999999999901</v>
      </c>
      <c r="M74" s="883">
        <f t="shared" si="42"/>
        <v>18.549999999999898</v>
      </c>
      <c r="N74" s="884">
        <f t="shared" si="54"/>
        <v>9.9999999999999005</v>
      </c>
      <c r="O74" s="885">
        <f t="shared" si="43"/>
        <v>0</v>
      </c>
      <c r="P74" s="880"/>
      <c r="Q74" s="886">
        <v>7</v>
      </c>
      <c r="R74" s="896">
        <v>0.96874999999999856</v>
      </c>
      <c r="S74" s="888">
        <v>50</v>
      </c>
      <c r="T74" s="876">
        <v>24</v>
      </c>
      <c r="U74" s="889">
        <v>39.731250000000003</v>
      </c>
      <c r="V74" s="879">
        <f t="shared" si="51"/>
        <v>10.268749999999997</v>
      </c>
      <c r="W74" s="878">
        <f t="shared" si="44"/>
        <v>46.704375000000006</v>
      </c>
      <c r="X74" s="879">
        <f t="shared" si="45"/>
        <v>45</v>
      </c>
      <c r="Y74" s="878">
        <f t="shared" si="46"/>
        <v>5</v>
      </c>
      <c r="Z74" s="890">
        <f t="shared" si="47"/>
        <v>0.99999999999999856</v>
      </c>
      <c r="AA74" s="900">
        <v>1.0034722222222223</v>
      </c>
      <c r="AB74" s="883">
        <f t="shared" si="48"/>
        <v>50.000000000002224</v>
      </c>
      <c r="AC74" s="883">
        <f t="shared" si="49"/>
        <v>10.268750000002221</v>
      </c>
      <c r="AD74" s="884">
        <f t="shared" si="52"/>
        <v>5.000000000002224</v>
      </c>
      <c r="AE74" s="885">
        <f t="shared" si="50"/>
        <v>2.2239987629291136E-12</v>
      </c>
    </row>
    <row r="75" spans="1:31" ht="18.75" x14ac:dyDescent="0.3">
      <c r="A75" s="873">
        <v>7</v>
      </c>
      <c r="B75" s="874">
        <v>0.9375</v>
      </c>
      <c r="C75" s="875">
        <v>70</v>
      </c>
      <c r="D75" s="876">
        <v>8</v>
      </c>
      <c r="E75" s="889">
        <v>55.889583333333299</v>
      </c>
      <c r="F75" s="875">
        <f t="shared" si="53"/>
        <v>14.110416666666701</v>
      </c>
      <c r="G75" s="878">
        <f t="shared" si="37"/>
        <v>64.478541666666644</v>
      </c>
      <c r="H75" s="879">
        <f t="shared" si="38"/>
        <v>65</v>
      </c>
      <c r="I75" s="878">
        <f t="shared" si="39"/>
        <v>5</v>
      </c>
      <c r="J75" s="880">
        <f t="shared" si="40"/>
        <v>0.98263888888888884</v>
      </c>
      <c r="K75" s="895">
        <v>0.98611111111111116</v>
      </c>
      <c r="L75" s="882">
        <f t="shared" si="41"/>
        <v>70.000000000000071</v>
      </c>
      <c r="M75" s="883">
        <f t="shared" si="42"/>
        <v>14.110416666666772</v>
      </c>
      <c r="N75" s="884">
        <f t="shared" si="54"/>
        <v>5.0000000000000711</v>
      </c>
      <c r="O75" s="885">
        <f t="shared" si="43"/>
        <v>0</v>
      </c>
      <c r="P75" s="880"/>
      <c r="Q75" s="886" t="s">
        <v>727</v>
      </c>
      <c r="R75" s="887">
        <v>0.97916666666666519</v>
      </c>
      <c r="S75" s="888">
        <v>50</v>
      </c>
      <c r="T75" s="876">
        <v>29</v>
      </c>
      <c r="U75" s="889">
        <v>45.135632183908101</v>
      </c>
      <c r="V75" s="879">
        <f t="shared" si="51"/>
        <v>4.8643678160918995</v>
      </c>
      <c r="W75" s="878">
        <f t="shared" si="44"/>
        <v>52.649195402298915</v>
      </c>
      <c r="X75" s="879">
        <f t="shared" si="45"/>
        <v>55</v>
      </c>
      <c r="Y75" s="878">
        <f t="shared" si="46"/>
        <v>-5</v>
      </c>
      <c r="Z75" s="890">
        <f t="shared" si="47"/>
        <v>1.0173611111111096</v>
      </c>
      <c r="AA75" s="900">
        <v>1.0173611111111112</v>
      </c>
      <c r="AB75" s="883">
        <f t="shared" si="48"/>
        <v>55.000000000002203</v>
      </c>
      <c r="AC75" s="883">
        <f t="shared" si="49"/>
        <v>9.8643678160941022</v>
      </c>
      <c r="AD75" s="884">
        <f t="shared" si="52"/>
        <v>2.2026824808563106E-12</v>
      </c>
      <c r="AE75" s="885">
        <f t="shared" si="50"/>
        <v>5.0000000000022027</v>
      </c>
    </row>
    <row r="76" spans="1:31" ht="18.75" x14ac:dyDescent="0.3">
      <c r="A76" s="873" t="s">
        <v>727</v>
      </c>
      <c r="B76" s="874">
        <v>0.94791666666666663</v>
      </c>
      <c r="C76" s="875">
        <v>60</v>
      </c>
      <c r="D76" s="876">
        <v>3</v>
      </c>
      <c r="E76" s="889">
        <v>61.272222222222197</v>
      </c>
      <c r="F76" s="875">
        <f t="shared" si="53"/>
        <v>-1.2722222222221973</v>
      </c>
      <c r="G76" s="878">
        <f t="shared" si="37"/>
        <v>70.399444444444427</v>
      </c>
      <c r="H76" s="879">
        <f t="shared" si="38"/>
        <v>70</v>
      </c>
      <c r="I76" s="878">
        <f t="shared" si="39"/>
        <v>-10</v>
      </c>
      <c r="J76" s="880">
        <f t="shared" si="40"/>
        <v>0.99652777777777779</v>
      </c>
      <c r="K76" s="895">
        <v>0.99652777777777779</v>
      </c>
      <c r="L76" s="882">
        <f t="shared" si="41"/>
        <v>70.000000000000071</v>
      </c>
      <c r="M76" s="883">
        <f t="shared" si="42"/>
        <v>8.7277777777778738</v>
      </c>
      <c r="N76" s="884">
        <f t="shared" si="54"/>
        <v>0</v>
      </c>
      <c r="O76" s="885">
        <f t="shared" si="43"/>
        <v>10.000000000000071</v>
      </c>
      <c r="P76" s="880"/>
    </row>
    <row r="77" spans="1:31" ht="18.75" x14ac:dyDescent="0.3">
      <c r="A77" s="873">
        <v>7</v>
      </c>
      <c r="B77" s="874">
        <v>0.95833333333333337</v>
      </c>
      <c r="C77" s="875">
        <v>55</v>
      </c>
      <c r="D77" s="876">
        <v>2</v>
      </c>
      <c r="E77" s="889">
        <v>60.9166666666667</v>
      </c>
      <c r="F77" s="875">
        <f t="shared" si="53"/>
        <v>-5.9166666666666998</v>
      </c>
      <c r="G77" s="878">
        <f t="shared" si="37"/>
        <v>70.008333333333368</v>
      </c>
      <c r="H77" s="879">
        <f t="shared" si="38"/>
        <v>70</v>
      </c>
      <c r="I77" s="878">
        <f t="shared" si="39"/>
        <v>-15</v>
      </c>
      <c r="J77" s="880">
        <f t="shared" si="40"/>
        <v>1.0069444444444444</v>
      </c>
      <c r="K77" s="895">
        <v>1.0069444444444444</v>
      </c>
      <c r="L77" s="882">
        <f t="shared" si="41"/>
        <v>69.999999999999915</v>
      </c>
      <c r="M77" s="883">
        <f t="shared" si="42"/>
        <v>9.0833333333332149</v>
      </c>
      <c r="N77" s="884">
        <f t="shared" si="54"/>
        <v>0</v>
      </c>
      <c r="O77" s="885">
        <f t="shared" si="43"/>
        <v>14.999999999999915</v>
      </c>
      <c r="P77" s="880"/>
    </row>
    <row r="78" spans="1:31" ht="18.75" x14ac:dyDescent="0.3">
      <c r="A78" s="873" t="s">
        <v>727</v>
      </c>
      <c r="B78" s="874">
        <v>0.96875</v>
      </c>
      <c r="C78" s="875">
        <v>55</v>
      </c>
      <c r="D78" s="876">
        <v>5</v>
      </c>
      <c r="E78" s="889">
        <v>56.233333333333299</v>
      </c>
      <c r="F78" s="875">
        <f t="shared" si="53"/>
        <v>-1.2333333333332988</v>
      </c>
      <c r="G78" s="878">
        <f t="shared" si="37"/>
        <v>64.856666666666626</v>
      </c>
      <c r="H78" s="879">
        <f t="shared" si="38"/>
        <v>65</v>
      </c>
      <c r="I78" s="878">
        <f t="shared" si="39"/>
        <v>-10</v>
      </c>
      <c r="J78" s="880">
        <f t="shared" si="40"/>
        <v>1.0138888888888888</v>
      </c>
      <c r="K78" s="895">
        <v>1.0104166666666667</v>
      </c>
      <c r="L78" s="882">
        <f t="shared" si="41"/>
        <v>60.000000000000107</v>
      </c>
      <c r="M78" s="883">
        <f t="shared" si="42"/>
        <v>3.7666666666668078</v>
      </c>
      <c r="N78" s="884">
        <f>L78-H78</f>
        <v>-4.9999999999998934</v>
      </c>
      <c r="O78" s="885">
        <f t="shared" si="43"/>
        <v>5.0000000000001066</v>
      </c>
    </row>
    <row r="79" spans="1:31" ht="18.75" x14ac:dyDescent="0.3">
      <c r="A79" s="873">
        <v>7</v>
      </c>
      <c r="B79" s="874">
        <v>0.97916666666666663</v>
      </c>
      <c r="C79" s="875">
        <v>55</v>
      </c>
      <c r="D79" s="876">
        <v>5</v>
      </c>
      <c r="E79" s="889">
        <v>50.8066666666667</v>
      </c>
      <c r="F79" s="875">
        <f t="shared" si="53"/>
        <v>4.1933333333332996</v>
      </c>
      <c r="G79" s="878">
        <f t="shared" si="37"/>
        <v>58.887333333333373</v>
      </c>
      <c r="H79" s="879">
        <f t="shared" si="38"/>
        <v>60</v>
      </c>
      <c r="I79" s="878">
        <f t="shared" si="39"/>
        <v>-5</v>
      </c>
      <c r="J79" s="880">
        <f t="shared" si="40"/>
        <v>1.0208333333333333</v>
      </c>
      <c r="K79" s="895">
        <v>1.0173611111111112</v>
      </c>
      <c r="L79" s="882">
        <f t="shared" si="41"/>
        <v>55.000000000000121</v>
      </c>
      <c r="M79" s="883">
        <f t="shared" si="42"/>
        <v>4.1933333333334204</v>
      </c>
      <c r="N79" s="884">
        <f t="shared" ref="N79" si="55">L79-H79</f>
        <v>-4.9999999999998792</v>
      </c>
      <c r="O79" s="885">
        <f t="shared" si="43"/>
        <v>1.2079226507921703E-13</v>
      </c>
    </row>
    <row r="81" spans="1:33" ht="16.5" thickBot="1" x14ac:dyDescent="0.3"/>
    <row r="82" spans="1:33" ht="24" x14ac:dyDescent="0.4">
      <c r="A82" s="853" t="s">
        <v>1189</v>
      </c>
      <c r="B82" s="854"/>
      <c r="C82" s="854"/>
      <c r="D82" s="854"/>
      <c r="E82" s="854"/>
      <c r="F82" s="855" t="s">
        <v>1103</v>
      </c>
      <c r="G82" s="855"/>
      <c r="H82" s="855" t="s">
        <v>1140</v>
      </c>
      <c r="I82" s="856"/>
      <c r="J82" s="857" t="s">
        <v>1141</v>
      </c>
      <c r="K82" s="858"/>
      <c r="L82" s="859"/>
      <c r="M82" s="860"/>
      <c r="N82" s="861"/>
      <c r="O82" s="862">
        <f>SUM(O84:O167)</f>
        <v>19.999999999999986</v>
      </c>
      <c r="Q82" s="853" t="s">
        <v>1190</v>
      </c>
      <c r="R82" s="854"/>
      <c r="S82" s="854"/>
      <c r="T82" s="854"/>
      <c r="U82" s="854"/>
      <c r="V82" s="855" t="s">
        <v>1103</v>
      </c>
      <c r="W82" s="855"/>
      <c r="X82" s="855" t="s">
        <v>1140</v>
      </c>
      <c r="Y82" s="856"/>
      <c r="Z82" s="857" t="s">
        <v>1141</v>
      </c>
      <c r="AA82" s="858"/>
      <c r="AB82" s="859"/>
      <c r="AC82" s="860"/>
      <c r="AD82" s="861"/>
      <c r="AE82" s="862">
        <f>SUM(AE84:AE167)</f>
        <v>67.000000000000114</v>
      </c>
    </row>
    <row r="83" spans="1:33" ht="63.75" thickBot="1" x14ac:dyDescent="0.3">
      <c r="A83" s="868" t="s">
        <v>719</v>
      </c>
      <c r="B83" s="869" t="s">
        <v>1146</v>
      </c>
      <c r="C83" s="869" t="s">
        <v>1147</v>
      </c>
      <c r="D83" s="869" t="s">
        <v>1148</v>
      </c>
      <c r="E83" s="869" t="s">
        <v>1149</v>
      </c>
      <c r="F83" s="869" t="s">
        <v>1150</v>
      </c>
      <c r="G83" s="869" t="s">
        <v>1151</v>
      </c>
      <c r="H83" s="869" t="s">
        <v>1152</v>
      </c>
      <c r="I83" s="869" t="s">
        <v>1150</v>
      </c>
      <c r="J83" s="870" t="s">
        <v>1153</v>
      </c>
      <c r="K83" s="870" t="s">
        <v>1154</v>
      </c>
      <c r="L83" s="870" t="s">
        <v>1155</v>
      </c>
      <c r="M83" s="870" t="s">
        <v>1156</v>
      </c>
      <c r="N83" s="870" t="s">
        <v>1157</v>
      </c>
      <c r="O83" s="871" t="s">
        <v>1158</v>
      </c>
      <c r="Q83" s="868" t="s">
        <v>719</v>
      </c>
      <c r="R83" s="869" t="s">
        <v>1146</v>
      </c>
      <c r="S83" s="869" t="s">
        <v>1147</v>
      </c>
      <c r="T83" s="869" t="s">
        <v>1148</v>
      </c>
      <c r="U83" s="869" t="s">
        <v>1149</v>
      </c>
      <c r="V83" s="869" t="s">
        <v>1150</v>
      </c>
      <c r="W83" s="869" t="s">
        <v>1151</v>
      </c>
      <c r="X83" s="869" t="s">
        <v>1152</v>
      </c>
      <c r="Y83" s="869" t="s">
        <v>1150</v>
      </c>
      <c r="Z83" s="870" t="s">
        <v>1153</v>
      </c>
      <c r="AA83" s="870" t="s">
        <v>1154</v>
      </c>
      <c r="AB83" s="870" t="s">
        <v>1155</v>
      </c>
      <c r="AC83" s="870" t="s">
        <v>1156</v>
      </c>
      <c r="AD83" s="870" t="s">
        <v>1157</v>
      </c>
      <c r="AE83" s="871" t="s">
        <v>1158</v>
      </c>
    </row>
    <row r="84" spans="1:33" ht="18.75" x14ac:dyDescent="0.3">
      <c r="A84" s="873" t="s">
        <v>787</v>
      </c>
      <c r="B84" s="874">
        <v>0.71527777777777779</v>
      </c>
      <c r="C84" s="875">
        <v>90</v>
      </c>
      <c r="D84" s="876">
        <v>20</v>
      </c>
      <c r="E84" s="889">
        <v>84.332499999999996</v>
      </c>
      <c r="F84" s="875">
        <f>C84-E84</f>
        <v>5.667500000000004</v>
      </c>
      <c r="G84" s="878">
        <f>E84*1.1+3</f>
        <v>95.765749999999997</v>
      </c>
      <c r="H84" s="879">
        <f>MROUND(G84,5)</f>
        <v>95</v>
      </c>
      <c r="I84" s="878">
        <f>C84-H84</f>
        <v>-5</v>
      </c>
      <c r="J84" s="880">
        <f>B84+TIME(,H84,)</f>
        <v>0.78125</v>
      </c>
      <c r="K84" s="895">
        <v>0.78125</v>
      </c>
      <c r="L84" s="882">
        <f>((K84-B84)*86400)/60</f>
        <v>94.999999999999986</v>
      </c>
      <c r="M84" s="883">
        <f>L84-E84</f>
        <v>10.66749999999999</v>
      </c>
      <c r="N84" s="884">
        <f>L84-H84</f>
        <v>0</v>
      </c>
      <c r="O84" s="885">
        <f>L84-C84</f>
        <v>4.9999999999999858</v>
      </c>
      <c r="Q84" s="873" t="s">
        <v>787</v>
      </c>
      <c r="R84" s="893" t="s">
        <v>1191</v>
      </c>
      <c r="S84" s="875">
        <v>85</v>
      </c>
      <c r="T84" s="876">
        <v>20</v>
      </c>
      <c r="U84" s="889">
        <v>80.709166666666704</v>
      </c>
      <c r="V84" s="875">
        <f>S84-U84</f>
        <v>4.2908333333332962</v>
      </c>
      <c r="W84" s="878">
        <f t="shared" ref="W84:W89" si="56">U84*1.1+3</f>
        <v>91.78008333333338</v>
      </c>
      <c r="X84" s="879">
        <f t="shared" ref="X84:X89" si="57">MROUND(W84,5)</f>
        <v>90</v>
      </c>
      <c r="Y84" s="878">
        <f t="shared" ref="Y84:Y89" si="58">S84-X84</f>
        <v>-5</v>
      </c>
      <c r="Z84" s="880">
        <f t="shared" ref="Z84:Z89" si="59">R84+TIME(,X84,)</f>
        <v>0.34722222222222221</v>
      </c>
      <c r="AA84" s="874">
        <v>0.35416666666666669</v>
      </c>
      <c r="AB84" s="882">
        <f t="shared" ref="AB84:AB89" si="60">((AA84-R84)*86400)/60</f>
        <v>100.00000000000004</v>
      </c>
      <c r="AC84" s="883">
        <f t="shared" ref="AC84:AC89" si="61">AB84-U84</f>
        <v>19.290833333333339</v>
      </c>
      <c r="AD84" s="884">
        <f>AB84-X84</f>
        <v>10.000000000000043</v>
      </c>
      <c r="AE84" s="885">
        <f t="shared" ref="AE84:AE89" si="62">AB84-S84</f>
        <v>15.000000000000043</v>
      </c>
      <c r="AG84" s="892" t="s">
        <v>1192</v>
      </c>
    </row>
    <row r="85" spans="1:33" ht="18.75" x14ac:dyDescent="0.3">
      <c r="A85" s="873" t="s">
        <v>787</v>
      </c>
      <c r="B85" s="874">
        <v>0.72222222222222221</v>
      </c>
      <c r="C85" s="875">
        <v>85</v>
      </c>
      <c r="D85" s="876">
        <v>22</v>
      </c>
      <c r="E85" s="889">
        <v>82.7825757575757</v>
      </c>
      <c r="F85" s="875">
        <f>C85-E85</f>
        <v>2.2174242424243005</v>
      </c>
      <c r="G85" s="878">
        <f>E85*1.1+3</f>
        <v>94.060833333333278</v>
      </c>
      <c r="H85" s="879">
        <f>MROUND(G85,5)</f>
        <v>95</v>
      </c>
      <c r="I85" s="878">
        <f>C85-H85</f>
        <v>-10</v>
      </c>
      <c r="J85" s="880">
        <f>B85+TIME(,H85,)</f>
        <v>0.78819444444444442</v>
      </c>
      <c r="K85" s="895">
        <v>0.78819444444444442</v>
      </c>
      <c r="L85" s="882">
        <f>((K85-B85)*86400)/60</f>
        <v>94.999999999999986</v>
      </c>
      <c r="M85" s="883">
        <f>L85-E85</f>
        <v>12.217424242424286</v>
      </c>
      <c r="N85" s="884">
        <f>L85-H85</f>
        <v>0</v>
      </c>
      <c r="O85" s="885">
        <f>L85-C85</f>
        <v>9.9999999999999858</v>
      </c>
      <c r="Q85" s="873" t="s">
        <v>787</v>
      </c>
      <c r="R85" s="893" t="s">
        <v>1193</v>
      </c>
      <c r="S85" s="875">
        <v>105</v>
      </c>
      <c r="T85" s="876">
        <v>29</v>
      </c>
      <c r="U85" s="889">
        <v>92.1264367816092</v>
      </c>
      <c r="V85" s="875">
        <f>S85-U85</f>
        <v>12.8735632183908</v>
      </c>
      <c r="W85" s="878">
        <f t="shared" si="56"/>
        <v>104.33908045977013</v>
      </c>
      <c r="X85" s="879">
        <f t="shared" si="57"/>
        <v>105</v>
      </c>
      <c r="Y85" s="878">
        <f t="shared" si="58"/>
        <v>0</v>
      </c>
      <c r="Z85" s="880">
        <f t="shared" si="59"/>
        <v>0.375</v>
      </c>
      <c r="AA85" s="874">
        <v>0.38541666666666669</v>
      </c>
      <c r="AB85" s="882">
        <f t="shared" si="60"/>
        <v>120.00000000000006</v>
      </c>
      <c r="AC85" s="883">
        <f t="shared" si="61"/>
        <v>27.873563218390856</v>
      </c>
      <c r="AD85" s="884">
        <f>AB85-X85</f>
        <v>15.000000000000057</v>
      </c>
      <c r="AE85" s="885">
        <f t="shared" si="62"/>
        <v>15.000000000000057</v>
      </c>
      <c r="AG85" s="894">
        <f>AE82+O81</f>
        <v>67.000000000000114</v>
      </c>
    </row>
    <row r="86" spans="1:33" ht="18.75" x14ac:dyDescent="0.3">
      <c r="A86" s="873" t="s">
        <v>787</v>
      </c>
      <c r="B86" s="874">
        <v>0.72916666666666663</v>
      </c>
      <c r="C86" s="875">
        <v>90</v>
      </c>
      <c r="D86" s="876">
        <v>24</v>
      </c>
      <c r="E86" s="889">
        <v>80.380555555555503</v>
      </c>
      <c r="F86" s="875">
        <f t="shared" ref="F86:F88" si="63">C86-E86</f>
        <v>9.6194444444444969</v>
      </c>
      <c r="G86" s="878">
        <f>E86*1.1+3</f>
        <v>91.418611111111062</v>
      </c>
      <c r="H86" s="879">
        <f>MROUND(G86,5)</f>
        <v>90</v>
      </c>
      <c r="I86" s="878">
        <f>C86-H86</f>
        <v>0</v>
      </c>
      <c r="J86" s="880">
        <f>B86+TIME(,H86,)</f>
        <v>0.79166666666666663</v>
      </c>
      <c r="K86" s="895">
        <v>0.79166666666666663</v>
      </c>
      <c r="L86" s="882">
        <f>((K86-B86)*86400)/60</f>
        <v>90</v>
      </c>
      <c r="M86" s="883">
        <f>L86-E86</f>
        <v>9.6194444444444969</v>
      </c>
      <c r="N86" s="884">
        <f t="shared" ref="N86:N88" si="64">L86-H86</f>
        <v>0</v>
      </c>
      <c r="O86" s="885">
        <f>L86-C86</f>
        <v>0</v>
      </c>
      <c r="Q86" s="873" t="s">
        <v>787</v>
      </c>
      <c r="R86" s="893" t="s">
        <v>1166</v>
      </c>
      <c r="S86" s="875">
        <v>105</v>
      </c>
      <c r="T86" s="876">
        <v>24</v>
      </c>
      <c r="U86" s="889">
        <v>98.901388888888903</v>
      </c>
      <c r="V86" s="875">
        <f t="shared" ref="V86:V89" si="65">S86-U86</f>
        <v>6.0986111111110972</v>
      </c>
      <c r="W86" s="878">
        <f t="shared" si="56"/>
        <v>111.7915277777778</v>
      </c>
      <c r="X86" s="879">
        <f t="shared" si="57"/>
        <v>110</v>
      </c>
      <c r="Y86" s="878">
        <f t="shared" si="58"/>
        <v>-5</v>
      </c>
      <c r="Z86" s="880">
        <f t="shared" si="59"/>
        <v>0.3888888888888889</v>
      </c>
      <c r="AA86" s="895">
        <v>0.3888888888888889</v>
      </c>
      <c r="AB86" s="882">
        <f t="shared" si="60"/>
        <v>110.00000000000001</v>
      </c>
      <c r="AC86" s="883">
        <f t="shared" si="61"/>
        <v>11.098611111111111</v>
      </c>
      <c r="AD86" s="884">
        <f t="shared" ref="AD86:AD89" si="66">AB86-X86</f>
        <v>0</v>
      </c>
      <c r="AE86" s="885">
        <f t="shared" si="62"/>
        <v>5.0000000000000142</v>
      </c>
      <c r="AG86" s="897">
        <f>AG85/60</f>
        <v>1.1166666666666685</v>
      </c>
    </row>
    <row r="87" spans="1:33" ht="18.75" x14ac:dyDescent="0.3">
      <c r="A87" s="873" t="s">
        <v>787</v>
      </c>
      <c r="B87" s="874">
        <v>0.73611111111111116</v>
      </c>
      <c r="C87" s="875">
        <v>90</v>
      </c>
      <c r="D87" s="876">
        <v>22</v>
      </c>
      <c r="E87" s="889">
        <v>77.875</v>
      </c>
      <c r="F87" s="875">
        <f t="shared" si="63"/>
        <v>12.125</v>
      </c>
      <c r="G87" s="878">
        <f>E87*1.1+3</f>
        <v>88.662500000000009</v>
      </c>
      <c r="H87" s="879">
        <f>MROUND(G87,5)</f>
        <v>90</v>
      </c>
      <c r="I87" s="878">
        <f>C87-H87</f>
        <v>0</v>
      </c>
      <c r="J87" s="880">
        <f>B87+TIME(,H87,)</f>
        <v>0.79861111111111116</v>
      </c>
      <c r="K87" s="895">
        <v>0.79861111111111116</v>
      </c>
      <c r="L87" s="882">
        <f>((K87-B87)*86400)/60</f>
        <v>90</v>
      </c>
      <c r="M87" s="883">
        <f>L87-E87</f>
        <v>12.125</v>
      </c>
      <c r="N87" s="884">
        <f t="shared" si="64"/>
        <v>0</v>
      </c>
      <c r="O87" s="885">
        <f>L87-C87</f>
        <v>0</v>
      </c>
      <c r="Q87" s="873" t="s">
        <v>787</v>
      </c>
      <c r="R87" s="893" t="s">
        <v>1194</v>
      </c>
      <c r="S87" s="875">
        <v>105</v>
      </c>
      <c r="T87" s="876">
        <v>28</v>
      </c>
      <c r="U87" s="889">
        <v>106.354166666667</v>
      </c>
      <c r="V87" s="875">
        <f t="shared" si="65"/>
        <v>-1.3541666666669983</v>
      </c>
      <c r="W87" s="878">
        <f t="shared" si="56"/>
        <v>119.98958333333371</v>
      </c>
      <c r="X87" s="879">
        <f t="shared" si="57"/>
        <v>120</v>
      </c>
      <c r="Y87" s="878">
        <f t="shared" si="58"/>
        <v>-15</v>
      </c>
      <c r="Z87" s="880">
        <f t="shared" si="59"/>
        <v>0.40625</v>
      </c>
      <c r="AA87" s="874">
        <v>0.40625</v>
      </c>
      <c r="AB87" s="882">
        <f t="shared" si="60"/>
        <v>119.99999999999997</v>
      </c>
      <c r="AC87" s="883">
        <f t="shared" si="61"/>
        <v>13.645833333332973</v>
      </c>
      <c r="AD87" s="884">
        <f t="shared" si="66"/>
        <v>0</v>
      </c>
      <c r="AE87" s="885">
        <f t="shared" si="62"/>
        <v>14.999999999999972</v>
      </c>
    </row>
    <row r="88" spans="1:33" ht="18.75" x14ac:dyDescent="0.3">
      <c r="A88" s="873" t="s">
        <v>817</v>
      </c>
      <c r="B88" s="874">
        <v>0.73263888888888884</v>
      </c>
      <c r="C88" s="875">
        <v>80</v>
      </c>
      <c r="D88" s="876">
        <v>17</v>
      </c>
      <c r="E88" s="889">
        <v>76.331372549019605</v>
      </c>
      <c r="F88" s="875">
        <f t="shared" si="63"/>
        <v>3.6686274509803951</v>
      </c>
      <c r="G88" s="878">
        <f>E88*1.1+3</f>
        <v>86.964509803921572</v>
      </c>
      <c r="H88" s="879">
        <f>MROUND(G88,5)</f>
        <v>85</v>
      </c>
      <c r="I88" s="878">
        <f>C88-H88</f>
        <v>-5</v>
      </c>
      <c r="J88" s="880">
        <f>B88+TIME(,H88,)</f>
        <v>0.79166666666666663</v>
      </c>
      <c r="K88" s="895">
        <v>0.79166666666666663</v>
      </c>
      <c r="L88" s="882">
        <f>((K88-B88)*86400)/60</f>
        <v>85.000000000000014</v>
      </c>
      <c r="M88" s="883">
        <f>L88-E88</f>
        <v>8.6686274509804093</v>
      </c>
      <c r="N88" s="884">
        <f t="shared" si="64"/>
        <v>0</v>
      </c>
      <c r="O88" s="885">
        <f>L88-C88</f>
        <v>5.0000000000000142</v>
      </c>
      <c r="Q88" s="873" t="s">
        <v>787</v>
      </c>
      <c r="R88" s="893" t="s">
        <v>1195</v>
      </c>
      <c r="S88" s="875">
        <v>110</v>
      </c>
      <c r="T88" s="876">
        <v>24</v>
      </c>
      <c r="U88" s="889">
        <v>99.058333333333294</v>
      </c>
      <c r="V88" s="875">
        <f t="shared" si="65"/>
        <v>10.941666666666706</v>
      </c>
      <c r="W88" s="878">
        <f t="shared" si="56"/>
        <v>111.96416666666663</v>
      </c>
      <c r="X88" s="879">
        <f t="shared" si="57"/>
        <v>110</v>
      </c>
      <c r="Y88" s="878">
        <f t="shared" si="58"/>
        <v>0</v>
      </c>
      <c r="Z88" s="880">
        <f t="shared" si="59"/>
        <v>0.41666666666666669</v>
      </c>
      <c r="AA88" s="895">
        <v>0.41805555555555557</v>
      </c>
      <c r="AB88" s="882">
        <f t="shared" si="60"/>
        <v>112</v>
      </c>
      <c r="AC88" s="883">
        <f t="shared" si="61"/>
        <v>12.941666666666706</v>
      </c>
      <c r="AD88" s="884">
        <f t="shared" si="66"/>
        <v>2</v>
      </c>
      <c r="AE88" s="885">
        <f t="shared" si="62"/>
        <v>2</v>
      </c>
    </row>
    <row r="89" spans="1:33" ht="18.75" x14ac:dyDescent="0.3">
      <c r="Q89" s="873" t="s">
        <v>817</v>
      </c>
      <c r="R89" s="893" t="s">
        <v>1193</v>
      </c>
      <c r="S89" s="875">
        <v>90</v>
      </c>
      <c r="T89" s="876">
        <v>24</v>
      </c>
      <c r="U89" s="889">
        <v>86.045833333333306</v>
      </c>
      <c r="V89" s="875">
        <f t="shared" si="65"/>
        <v>3.9541666666666941</v>
      </c>
      <c r="W89" s="878">
        <f t="shared" si="56"/>
        <v>97.650416666666644</v>
      </c>
      <c r="X89" s="879">
        <f t="shared" si="57"/>
        <v>100</v>
      </c>
      <c r="Y89" s="878">
        <f t="shared" si="58"/>
        <v>-10</v>
      </c>
      <c r="Z89" s="880">
        <f t="shared" si="59"/>
        <v>0.37152777777777779</v>
      </c>
      <c r="AA89" s="895">
        <v>0.375</v>
      </c>
      <c r="AB89" s="882">
        <f t="shared" si="60"/>
        <v>105.00000000000003</v>
      </c>
      <c r="AC89" s="883">
        <f t="shared" si="61"/>
        <v>18.954166666666723</v>
      </c>
      <c r="AD89" s="884">
        <f t="shared" si="66"/>
        <v>5.0000000000000284</v>
      </c>
      <c r="AE89" s="885">
        <f t="shared" si="62"/>
        <v>15.000000000000028</v>
      </c>
    </row>
  </sheetData>
  <autoFilter ref="A2:BO79" xr:uid="{076F6A4C-38F1-46AE-967F-DC754012B192}"/>
  <conditionalFormatting sqref="C3:C88 F3:G88 I3:I88 N3:O88">
    <cfRule type="cellIs" dxfId="9" priority="3" operator="lessThan">
      <formula>0</formula>
    </cfRule>
  </conditionalFormatting>
  <conditionalFormatting sqref="S82:S89 V82:W89 Y82:Y89 AD82:AE89">
    <cfRule type="cellIs" dxfId="8" priority="2" operator="lessThan">
      <formula>0</formula>
    </cfRule>
  </conditionalFormatting>
  <conditionalFormatting sqref="V3:W75 Y3:Y75 AD3:AE75 A75:A79 C76:E79">
    <cfRule type="cellIs" dxfId="7" priority="4" operator="lessThan">
      <formula>0</formula>
    </cfRule>
  </conditionalFormatting>
  <conditionalFormatting sqref="BD3:BE27 BG3:BG27 BL3:BM27 AK3:AK28 AN3:AO28 AQ3:AQ28 AV3:AW28">
    <cfRule type="cellIs" dxfId="6" priority="1" operator="less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3568-3927-4B9B-A185-89855AFA3D17}">
  <dimension ref="A1:BO70"/>
  <sheetViews>
    <sheetView zoomScale="60" zoomScaleNormal="60" workbookViewId="0">
      <selection activeCell="C84" activeCellId="1" sqref="S84:S88 C84:C87"/>
    </sheetView>
    <sheetView workbookViewId="1"/>
  </sheetViews>
  <sheetFormatPr defaultColWidth="9.140625" defaultRowHeight="15.75" x14ac:dyDescent="0.25"/>
  <cols>
    <col min="1" max="1" width="9.140625" style="867"/>
    <col min="2" max="2" width="10.140625" style="867" bestFit="1" customWidth="1"/>
    <col min="3" max="16384" width="9.140625" style="867"/>
  </cols>
  <sheetData>
    <row r="1" spans="1:67" ht="24" x14ac:dyDescent="0.4">
      <c r="A1" s="853" t="s">
        <v>1139</v>
      </c>
      <c r="B1" s="854"/>
      <c r="C1" s="854"/>
      <c r="D1" s="854"/>
      <c r="E1" s="854"/>
      <c r="F1" s="855" t="s">
        <v>1051</v>
      </c>
      <c r="G1" s="855"/>
      <c r="H1" s="855" t="s">
        <v>1140</v>
      </c>
      <c r="I1" s="856"/>
      <c r="J1" s="857" t="s">
        <v>1141</v>
      </c>
      <c r="K1" s="858"/>
      <c r="L1" s="859"/>
      <c r="M1" s="860"/>
      <c r="N1" s="861"/>
      <c r="O1" s="862">
        <f>SUM(O3:O70)</f>
        <v>340.00000000000011</v>
      </c>
      <c r="P1" s="863"/>
      <c r="Q1" s="853" t="s">
        <v>1142</v>
      </c>
      <c r="R1" s="854"/>
      <c r="S1" s="854"/>
      <c r="T1" s="854"/>
      <c r="U1" s="854"/>
      <c r="V1" s="855" t="s">
        <v>1051</v>
      </c>
      <c r="W1" s="855"/>
      <c r="X1" s="855" t="s">
        <v>1143</v>
      </c>
      <c r="Y1" s="856"/>
      <c r="Z1" s="857" t="s">
        <v>1141</v>
      </c>
      <c r="AA1" s="858"/>
      <c r="AB1" s="859"/>
      <c r="AC1" s="860"/>
      <c r="AD1" s="861"/>
      <c r="AE1" s="862">
        <f>SUM(AE3:AE70)</f>
        <v>322.99999999999949</v>
      </c>
      <c r="AI1" s="853" t="s">
        <v>1144</v>
      </c>
      <c r="AJ1" s="854"/>
      <c r="AK1" s="854"/>
      <c r="AL1" s="854"/>
      <c r="AM1" s="854"/>
      <c r="AN1" s="855" t="s">
        <v>1103</v>
      </c>
      <c r="AO1" s="855"/>
      <c r="AP1" s="855" t="s">
        <v>1140</v>
      </c>
      <c r="AQ1" s="856"/>
      <c r="AR1" s="857" t="s">
        <v>1141</v>
      </c>
      <c r="AS1" s="858"/>
      <c r="AT1" s="859"/>
      <c r="AU1" s="860"/>
      <c r="AV1" s="861"/>
      <c r="AW1" s="862">
        <f>SUM(AW3:AW25)</f>
        <v>-29.999999999999787</v>
      </c>
      <c r="AX1" s="863"/>
      <c r="AY1" s="853" t="s">
        <v>1145</v>
      </c>
      <c r="AZ1" s="854"/>
      <c r="BA1" s="854"/>
      <c r="BB1" s="854"/>
      <c r="BC1" s="854"/>
      <c r="BD1" s="855" t="s">
        <v>1103</v>
      </c>
      <c r="BE1" s="855"/>
      <c r="BF1" s="855" t="s">
        <v>1143</v>
      </c>
      <c r="BG1" s="856"/>
      <c r="BH1" s="857" t="s">
        <v>1141</v>
      </c>
      <c r="BI1" s="858"/>
      <c r="BJ1" s="859"/>
      <c r="BK1" s="860"/>
      <c r="BL1" s="861"/>
      <c r="BM1" s="862">
        <f>SUM(BM3:BM60)</f>
        <v>-44.999999999999716</v>
      </c>
    </row>
    <row r="2" spans="1:67" ht="63.75" thickBot="1" x14ac:dyDescent="0.3">
      <c r="A2" s="868" t="s">
        <v>719</v>
      </c>
      <c r="B2" s="869" t="s">
        <v>1146</v>
      </c>
      <c r="C2" s="869" t="s">
        <v>1147</v>
      </c>
      <c r="D2" s="869" t="s">
        <v>1148</v>
      </c>
      <c r="E2" s="869" t="s">
        <v>1149</v>
      </c>
      <c r="F2" s="869" t="s">
        <v>1150</v>
      </c>
      <c r="G2" s="869" t="s">
        <v>1151</v>
      </c>
      <c r="H2" s="869" t="s">
        <v>1152</v>
      </c>
      <c r="I2" s="869" t="s">
        <v>1150</v>
      </c>
      <c r="J2" s="870" t="s">
        <v>1153</v>
      </c>
      <c r="K2" s="870" t="s">
        <v>1154</v>
      </c>
      <c r="L2" s="870" t="s">
        <v>1155</v>
      </c>
      <c r="M2" s="870" t="s">
        <v>1156</v>
      </c>
      <c r="N2" s="870" t="s">
        <v>1157</v>
      </c>
      <c r="O2" s="871" t="s">
        <v>1158</v>
      </c>
      <c r="P2" s="872"/>
      <c r="Q2" s="868" t="s">
        <v>719</v>
      </c>
      <c r="R2" s="869" t="s">
        <v>1146</v>
      </c>
      <c r="S2" s="869" t="s">
        <v>1147</v>
      </c>
      <c r="T2" s="869" t="s">
        <v>1148</v>
      </c>
      <c r="U2" s="869" t="s">
        <v>1149</v>
      </c>
      <c r="V2" s="869" t="s">
        <v>1150</v>
      </c>
      <c r="W2" s="869" t="s">
        <v>1151</v>
      </c>
      <c r="X2" s="869" t="s">
        <v>1152</v>
      </c>
      <c r="Y2" s="869" t="s">
        <v>1150</v>
      </c>
      <c r="Z2" s="870" t="s">
        <v>1153</v>
      </c>
      <c r="AA2" s="870" t="s">
        <v>1154</v>
      </c>
      <c r="AB2" s="870" t="s">
        <v>1155</v>
      </c>
      <c r="AC2" s="870" t="s">
        <v>1156</v>
      </c>
      <c r="AD2" s="870" t="s">
        <v>1157</v>
      </c>
      <c r="AE2" s="871" t="s">
        <v>1158</v>
      </c>
      <c r="AI2" s="868" t="s">
        <v>719</v>
      </c>
      <c r="AJ2" s="869" t="s">
        <v>1146</v>
      </c>
      <c r="AK2" s="869" t="s">
        <v>1147</v>
      </c>
      <c r="AL2" s="869" t="s">
        <v>1148</v>
      </c>
      <c r="AM2" s="869" t="s">
        <v>1149</v>
      </c>
      <c r="AN2" s="869" t="s">
        <v>1150</v>
      </c>
      <c r="AO2" s="869" t="s">
        <v>1151</v>
      </c>
      <c r="AP2" s="869" t="s">
        <v>1152</v>
      </c>
      <c r="AQ2" s="869" t="s">
        <v>1150</v>
      </c>
      <c r="AR2" s="870" t="s">
        <v>1153</v>
      </c>
      <c r="AS2" s="870" t="s">
        <v>1154</v>
      </c>
      <c r="AT2" s="870" t="s">
        <v>1155</v>
      </c>
      <c r="AU2" s="870" t="s">
        <v>1156</v>
      </c>
      <c r="AV2" s="870" t="s">
        <v>1157</v>
      </c>
      <c r="AW2" s="871" t="s">
        <v>1158</v>
      </c>
      <c r="AX2" s="872"/>
      <c r="AY2" s="868" t="s">
        <v>719</v>
      </c>
      <c r="AZ2" s="869" t="s">
        <v>1146</v>
      </c>
      <c r="BA2" s="869" t="s">
        <v>1147</v>
      </c>
      <c r="BB2" s="869" t="s">
        <v>1148</v>
      </c>
      <c r="BC2" s="869" t="s">
        <v>1149</v>
      </c>
      <c r="BD2" s="869" t="s">
        <v>1150</v>
      </c>
      <c r="BE2" s="869" t="s">
        <v>1151</v>
      </c>
      <c r="BF2" s="869" t="s">
        <v>1152</v>
      </c>
      <c r="BG2" s="869" t="s">
        <v>1150</v>
      </c>
      <c r="BH2" s="870" t="s">
        <v>1153</v>
      </c>
      <c r="BI2" s="870" t="s">
        <v>1154</v>
      </c>
      <c r="BJ2" s="870" t="s">
        <v>1155</v>
      </c>
      <c r="BK2" s="870" t="s">
        <v>1156</v>
      </c>
      <c r="BL2" s="870" t="s">
        <v>1157</v>
      </c>
      <c r="BM2" s="871" t="s">
        <v>1158</v>
      </c>
    </row>
    <row r="3" spans="1:67" ht="18.75" x14ac:dyDescent="0.3">
      <c r="A3" s="873" t="s">
        <v>727</v>
      </c>
      <c r="B3" s="874">
        <v>0.26041666666666669</v>
      </c>
      <c r="C3" s="875">
        <v>60</v>
      </c>
      <c r="D3" s="876">
        <v>6</v>
      </c>
      <c r="E3" s="889">
        <v>54.975000000000001</v>
      </c>
      <c r="F3" s="875">
        <f>C3-E3</f>
        <v>5.0249999999999986</v>
      </c>
      <c r="G3" s="878">
        <f t="shared" ref="G3:G66" si="0">E3*1.1+3</f>
        <v>63.472500000000004</v>
      </c>
      <c r="H3" s="879">
        <f t="shared" ref="H3:H66" si="1">MROUND(G3,5)</f>
        <v>65</v>
      </c>
      <c r="I3" s="878">
        <f t="shared" ref="I3:I66" si="2">C3-H3</f>
        <v>-5</v>
      </c>
      <c r="J3" s="880">
        <f t="shared" ref="J3:J66" si="3">B3+TIME(,H3,)</f>
        <v>0.30555555555555558</v>
      </c>
      <c r="K3" s="893">
        <v>0.32291666666666669</v>
      </c>
      <c r="L3" s="882">
        <f t="shared" ref="L3:L66" si="4">((K3-B3)*86400)/60</f>
        <v>90</v>
      </c>
      <c r="M3" s="883">
        <f t="shared" ref="M3:M66" si="5">L3-E3</f>
        <v>35.024999999999999</v>
      </c>
      <c r="N3" s="884">
        <f>L3-H3</f>
        <v>25</v>
      </c>
      <c r="O3" s="885">
        <f t="shared" ref="O3:O66" si="6">L3-C3</f>
        <v>30</v>
      </c>
      <c r="P3" s="880"/>
      <c r="Q3" s="873" t="s">
        <v>729</v>
      </c>
      <c r="R3" s="893">
        <v>0.23958333333333334</v>
      </c>
      <c r="S3" s="888">
        <v>60</v>
      </c>
      <c r="T3" s="876">
        <v>6</v>
      </c>
      <c r="U3" s="889">
        <v>76.191666666666706</v>
      </c>
      <c r="V3" s="875">
        <f>S3-U3</f>
        <v>-16.191666666666706</v>
      </c>
      <c r="W3" s="878">
        <f t="shared" ref="W3:W66" si="7">U3*1.1+3</f>
        <v>86.810833333333377</v>
      </c>
      <c r="X3" s="879">
        <f t="shared" ref="X3:X66" si="8">MROUND(W3,5)</f>
        <v>85</v>
      </c>
      <c r="Y3" s="878">
        <f t="shared" ref="Y3:Y66" si="9">S3-X3</f>
        <v>-25</v>
      </c>
      <c r="Z3" s="880">
        <f t="shared" ref="Z3:Z66" si="10">R3+TIME(,X3,)</f>
        <v>0.2986111111111111</v>
      </c>
      <c r="AA3" s="874">
        <v>0.30208333333333331</v>
      </c>
      <c r="AB3" s="882">
        <f t="shared" ref="AB3:AB66" si="11">((AA3-R3)*86400)/60</f>
        <v>89.999999999999957</v>
      </c>
      <c r="AC3" s="883">
        <f t="shared" ref="AC3:AC66" si="12">AB3-U3</f>
        <v>13.808333333333252</v>
      </c>
      <c r="AD3" s="884">
        <f>AB3-X3</f>
        <v>4.9999999999999574</v>
      </c>
      <c r="AE3" s="885">
        <f t="shared" ref="AE3:AE66" si="13">AB3-S3</f>
        <v>29.999999999999957</v>
      </c>
      <c r="AG3" s="892" t="s">
        <v>1159</v>
      </c>
      <c r="AI3" s="873">
        <v>47</v>
      </c>
      <c r="AJ3" s="874">
        <v>0.3125</v>
      </c>
      <c r="AK3" s="875">
        <v>60</v>
      </c>
      <c r="AL3" s="876">
        <v>5</v>
      </c>
      <c r="AM3" s="889">
        <v>47.66</v>
      </c>
      <c r="AN3" s="875">
        <f>AK3-AM3</f>
        <v>12.340000000000003</v>
      </c>
      <c r="AO3" s="878">
        <f t="shared" ref="AO3:AO25" si="14">AM3*1.1+3</f>
        <v>55.426000000000002</v>
      </c>
      <c r="AP3" s="879">
        <f t="shared" ref="AP3:AP25" si="15">MROUND(AO3,5)</f>
        <v>55</v>
      </c>
      <c r="AQ3" s="878">
        <f t="shared" ref="AQ3:AQ25" si="16">AK3-AP3</f>
        <v>5</v>
      </c>
      <c r="AR3" s="880">
        <f t="shared" ref="AR3:AR25" si="17">AJ3+TIME(,AP3,)</f>
        <v>0.35069444444444442</v>
      </c>
      <c r="AS3" s="893">
        <v>0.35416666666666669</v>
      </c>
      <c r="AT3" s="882">
        <f t="shared" ref="AT3:AT25" si="18">((AS3-AJ3)*86400)/60</f>
        <v>60.000000000000028</v>
      </c>
      <c r="AU3" s="883">
        <f>AT3-AM3</f>
        <v>12.340000000000032</v>
      </c>
      <c r="AV3" s="884">
        <f>AT3-AP3</f>
        <v>5.0000000000000284</v>
      </c>
      <c r="AW3" s="885">
        <f t="shared" ref="AW3:AW25" si="19">AT3-AK3</f>
        <v>0</v>
      </c>
      <c r="AX3" s="880"/>
      <c r="AY3" s="873">
        <v>47</v>
      </c>
      <c r="AZ3" s="893">
        <v>0.3125</v>
      </c>
      <c r="BA3" s="888">
        <v>60</v>
      </c>
      <c r="BB3" s="876">
        <v>6</v>
      </c>
      <c r="BC3" s="889">
        <v>44.7638888888889</v>
      </c>
      <c r="BD3" s="875">
        <f>BA3-BC3</f>
        <v>15.2361111111111</v>
      </c>
      <c r="BE3" s="878">
        <f t="shared" ref="BE3:BE25" si="20">BC3*1.1+3</f>
        <v>52.240277777777791</v>
      </c>
      <c r="BF3" s="879">
        <f t="shared" ref="BF3:BF25" si="21">MROUND(BE3,5)</f>
        <v>50</v>
      </c>
      <c r="BG3" s="878">
        <f t="shared" ref="BG3:BG25" si="22">BA3-BF3</f>
        <v>10</v>
      </c>
      <c r="BH3" s="880">
        <f t="shared" ref="BH3:BH25" si="23">AZ3+TIME(,BF3,)</f>
        <v>0.34722222222222221</v>
      </c>
      <c r="BI3" s="874">
        <v>0.35416666666666669</v>
      </c>
      <c r="BJ3" s="882">
        <f t="shared" ref="BJ3:BJ25" si="24">((BI3-AZ3)*86400)/60</f>
        <v>60.000000000000028</v>
      </c>
      <c r="BK3" s="883">
        <f t="shared" ref="BK3:BK25" si="25">BJ3-BC3</f>
        <v>15.236111111111128</v>
      </c>
      <c r="BL3" s="884">
        <f>BJ3-BF3</f>
        <v>10.000000000000028</v>
      </c>
      <c r="BM3" s="885">
        <f t="shared" ref="BM3:BM25" si="26">BJ3-BA3</f>
        <v>0</v>
      </c>
      <c r="BO3" s="892" t="s">
        <v>1162</v>
      </c>
    </row>
    <row r="4" spans="1:67" ht="18.75" x14ac:dyDescent="0.3">
      <c r="A4" s="873">
        <v>7</v>
      </c>
      <c r="B4" s="874">
        <v>0.27083333333333331</v>
      </c>
      <c r="C4" s="875">
        <v>60</v>
      </c>
      <c r="D4" s="876">
        <v>5</v>
      </c>
      <c r="E4" s="889">
        <v>52.706666666666699</v>
      </c>
      <c r="F4" s="875">
        <f>C4-E4</f>
        <v>7.293333333333301</v>
      </c>
      <c r="G4" s="878">
        <f t="shared" si="0"/>
        <v>60.977333333333377</v>
      </c>
      <c r="H4" s="879">
        <f t="shared" si="1"/>
        <v>60</v>
      </c>
      <c r="I4" s="878">
        <f t="shared" si="2"/>
        <v>0</v>
      </c>
      <c r="J4" s="880">
        <f t="shared" si="3"/>
        <v>0.3125</v>
      </c>
      <c r="K4" s="881">
        <v>0.3125</v>
      </c>
      <c r="L4" s="882">
        <f t="shared" si="4"/>
        <v>60.000000000000028</v>
      </c>
      <c r="M4" s="883">
        <f t="shared" si="5"/>
        <v>7.2933333333333294</v>
      </c>
      <c r="N4" s="884">
        <f>L4-H4</f>
        <v>0</v>
      </c>
      <c r="O4" s="885">
        <f t="shared" si="6"/>
        <v>0</v>
      </c>
      <c r="P4" s="880"/>
      <c r="Q4" s="873" t="s">
        <v>727</v>
      </c>
      <c r="R4" s="893">
        <v>0.26041666666666669</v>
      </c>
      <c r="S4" s="888">
        <v>60</v>
      </c>
      <c r="T4" s="876">
        <v>6</v>
      </c>
      <c r="U4" s="889">
        <v>53.969444444444399</v>
      </c>
      <c r="V4" s="875">
        <f t="shared" ref="V4:V67" si="27">S4-U4</f>
        <v>6.0305555555556012</v>
      </c>
      <c r="W4" s="878">
        <f t="shared" si="7"/>
        <v>62.366388888888842</v>
      </c>
      <c r="X4" s="879">
        <f t="shared" si="8"/>
        <v>60</v>
      </c>
      <c r="Y4" s="878">
        <f t="shared" si="9"/>
        <v>0</v>
      </c>
      <c r="Z4" s="880">
        <f t="shared" si="10"/>
        <v>0.30208333333333337</v>
      </c>
      <c r="AA4" s="874">
        <v>0.3125</v>
      </c>
      <c r="AB4" s="882">
        <f t="shared" si="11"/>
        <v>74.999999999999972</v>
      </c>
      <c r="AC4" s="883">
        <f t="shared" si="12"/>
        <v>21.030555555555573</v>
      </c>
      <c r="AD4" s="884">
        <f t="shared" ref="AD4:AD67" si="28">AB4-X4</f>
        <v>14.999999999999972</v>
      </c>
      <c r="AE4" s="885">
        <f t="shared" si="13"/>
        <v>14.999999999999972</v>
      </c>
      <c r="AG4" s="894">
        <f>AE1+O1</f>
        <v>662.99999999999955</v>
      </c>
      <c r="AI4" s="873">
        <v>47</v>
      </c>
      <c r="AJ4" s="874">
        <v>0.35416666666666669</v>
      </c>
      <c r="AK4" s="875">
        <v>60</v>
      </c>
      <c r="AL4" s="876">
        <v>4</v>
      </c>
      <c r="AM4" s="889">
        <v>48.3958333333333</v>
      </c>
      <c r="AN4" s="875">
        <f>AK4-AM4</f>
        <v>11.6041666666667</v>
      </c>
      <c r="AO4" s="878">
        <f t="shared" si="14"/>
        <v>56.235416666666637</v>
      </c>
      <c r="AP4" s="879">
        <f t="shared" si="15"/>
        <v>55</v>
      </c>
      <c r="AQ4" s="878">
        <f t="shared" si="16"/>
        <v>5</v>
      </c>
      <c r="AR4" s="880">
        <f t="shared" si="17"/>
        <v>0.39236111111111116</v>
      </c>
      <c r="AS4" s="893">
        <v>0.39583333333333331</v>
      </c>
      <c r="AT4" s="882">
        <f t="shared" si="18"/>
        <v>59.99999999999995</v>
      </c>
      <c r="AU4" s="883">
        <f t="shared" ref="AU4:AU25" si="29">AT4-AM4</f>
        <v>11.60416666666665</v>
      </c>
      <c r="AV4" s="884">
        <f>AT4-AP4</f>
        <v>4.9999999999999503</v>
      </c>
      <c r="AW4" s="885">
        <f t="shared" si="19"/>
        <v>0</v>
      </c>
      <c r="AX4" s="880"/>
      <c r="AY4" s="873">
        <v>47</v>
      </c>
      <c r="AZ4" s="893">
        <v>0.35416666666666669</v>
      </c>
      <c r="BA4" s="888">
        <v>60</v>
      </c>
      <c r="BB4" s="876">
        <v>6</v>
      </c>
      <c r="BC4" s="889">
        <v>49.905555555555601</v>
      </c>
      <c r="BD4" s="875">
        <f t="shared" ref="BD4:BD25" si="30">BA4-BC4</f>
        <v>10.094444444444399</v>
      </c>
      <c r="BE4" s="878">
        <f t="shared" si="20"/>
        <v>57.896111111111168</v>
      </c>
      <c r="BF4" s="879">
        <f t="shared" si="21"/>
        <v>60</v>
      </c>
      <c r="BG4" s="878">
        <f t="shared" si="22"/>
        <v>0</v>
      </c>
      <c r="BH4" s="880">
        <f t="shared" si="23"/>
        <v>0.39583333333333337</v>
      </c>
      <c r="BI4" s="874">
        <v>0.39583333333333331</v>
      </c>
      <c r="BJ4" s="882">
        <f t="shared" si="24"/>
        <v>59.99999999999995</v>
      </c>
      <c r="BK4" s="883">
        <f t="shared" si="25"/>
        <v>10.094444444444349</v>
      </c>
      <c r="BL4" s="884">
        <f t="shared" ref="BL4:BL25" si="31">BJ4-BF4</f>
        <v>0</v>
      </c>
      <c r="BM4" s="885">
        <f t="shared" si="26"/>
        <v>0</v>
      </c>
      <c r="BO4" s="894">
        <f>BM1+AW1</f>
        <v>-74.999999999999503</v>
      </c>
    </row>
    <row r="5" spans="1:67" ht="18.75" x14ac:dyDescent="0.3">
      <c r="A5" s="873" t="s">
        <v>727</v>
      </c>
      <c r="B5" s="874">
        <v>0.28125</v>
      </c>
      <c r="C5" s="875">
        <v>60</v>
      </c>
      <c r="D5" s="876">
        <v>1</v>
      </c>
      <c r="E5" s="889">
        <v>57.883333333333297</v>
      </c>
      <c r="F5" s="875">
        <f t="shared" ref="F5:F68" si="32">C5-E5</f>
        <v>2.1166666666667027</v>
      </c>
      <c r="G5" s="878">
        <f t="shared" si="0"/>
        <v>66.671666666666624</v>
      </c>
      <c r="H5" s="879">
        <f t="shared" si="1"/>
        <v>65</v>
      </c>
      <c r="I5" s="878">
        <f t="shared" si="2"/>
        <v>-5</v>
      </c>
      <c r="J5" s="880">
        <f t="shared" si="3"/>
        <v>0.3263888888888889</v>
      </c>
      <c r="K5" s="893">
        <v>0.34375</v>
      </c>
      <c r="L5" s="882">
        <f t="shared" si="4"/>
        <v>90</v>
      </c>
      <c r="M5" s="883">
        <f t="shared" si="5"/>
        <v>32.116666666666703</v>
      </c>
      <c r="N5" s="884">
        <f t="shared" ref="N5:N68" si="33">L5-H5</f>
        <v>25</v>
      </c>
      <c r="O5" s="885">
        <f t="shared" si="6"/>
        <v>30</v>
      </c>
      <c r="P5" s="880"/>
      <c r="Q5" s="873">
        <v>7</v>
      </c>
      <c r="R5" s="881">
        <v>0.27083333333333331</v>
      </c>
      <c r="S5" s="888">
        <v>75</v>
      </c>
      <c r="T5" s="876">
        <v>5</v>
      </c>
      <c r="U5" s="889">
        <v>54.756666666666703</v>
      </c>
      <c r="V5" s="875">
        <f t="shared" si="27"/>
        <v>20.243333333333297</v>
      </c>
      <c r="W5" s="878">
        <f t="shared" si="7"/>
        <v>63.232333333333379</v>
      </c>
      <c r="X5" s="879">
        <f t="shared" si="8"/>
        <v>65</v>
      </c>
      <c r="Y5" s="878">
        <f t="shared" si="9"/>
        <v>10</v>
      </c>
      <c r="Z5" s="880">
        <f t="shared" si="10"/>
        <v>0.31597222222222221</v>
      </c>
      <c r="AA5" s="874">
        <v>0.32291666666666669</v>
      </c>
      <c r="AB5" s="882">
        <f t="shared" si="11"/>
        <v>75.000000000000057</v>
      </c>
      <c r="AC5" s="883">
        <f t="shared" si="12"/>
        <v>20.243333333333354</v>
      </c>
      <c r="AD5" s="884">
        <f t="shared" si="28"/>
        <v>10.000000000000057</v>
      </c>
      <c r="AE5" s="885">
        <f t="shared" si="13"/>
        <v>0</v>
      </c>
      <c r="AG5" s="897">
        <f>AG4/60</f>
        <v>11.049999999999992</v>
      </c>
      <c r="AI5" s="873">
        <v>47</v>
      </c>
      <c r="AJ5" s="874">
        <v>0.39583333333333331</v>
      </c>
      <c r="AK5" s="875">
        <v>60</v>
      </c>
      <c r="AL5" s="876">
        <v>6</v>
      </c>
      <c r="AM5" s="889">
        <v>52.830555555555499</v>
      </c>
      <c r="AN5" s="875">
        <f t="shared" ref="AN5:AN25" si="34">AK5-AM5</f>
        <v>7.1694444444445011</v>
      </c>
      <c r="AO5" s="878">
        <f t="shared" si="14"/>
        <v>61.113611111111055</v>
      </c>
      <c r="AP5" s="879">
        <f t="shared" si="15"/>
        <v>60</v>
      </c>
      <c r="AQ5" s="878">
        <f t="shared" si="16"/>
        <v>0</v>
      </c>
      <c r="AR5" s="880">
        <f t="shared" si="17"/>
        <v>0.4375</v>
      </c>
      <c r="AS5" s="893">
        <v>0.44791666666666669</v>
      </c>
      <c r="AT5" s="882">
        <f t="shared" si="18"/>
        <v>75.000000000000057</v>
      </c>
      <c r="AU5" s="883">
        <f t="shared" si="29"/>
        <v>22.169444444444558</v>
      </c>
      <c r="AV5" s="884">
        <f t="shared" ref="AV5:AV25" si="35">AT5-AP5</f>
        <v>15.000000000000057</v>
      </c>
      <c r="AW5" s="885">
        <f t="shared" si="19"/>
        <v>15.000000000000057</v>
      </c>
      <c r="AX5" s="880"/>
      <c r="AY5" s="873">
        <v>47</v>
      </c>
      <c r="AZ5" s="893">
        <v>0.39583333333333331</v>
      </c>
      <c r="BA5" s="888">
        <v>60</v>
      </c>
      <c r="BB5" s="876">
        <v>5</v>
      </c>
      <c r="BC5" s="889">
        <v>56.636666666666699</v>
      </c>
      <c r="BD5" s="875">
        <f t="shared" si="30"/>
        <v>3.3633333333333013</v>
      </c>
      <c r="BE5" s="878">
        <f t="shared" si="20"/>
        <v>65.300333333333384</v>
      </c>
      <c r="BF5" s="879">
        <f t="shared" si="21"/>
        <v>65</v>
      </c>
      <c r="BG5" s="878">
        <f t="shared" si="22"/>
        <v>-5</v>
      </c>
      <c r="BH5" s="880">
        <f t="shared" si="23"/>
        <v>0.44097222222222221</v>
      </c>
      <c r="BI5" s="874">
        <v>0.44791666666666669</v>
      </c>
      <c r="BJ5" s="882">
        <f t="shared" si="24"/>
        <v>75.000000000000057</v>
      </c>
      <c r="BK5" s="883">
        <f t="shared" si="25"/>
        <v>18.363333333333358</v>
      </c>
      <c r="BL5" s="884">
        <f t="shared" si="31"/>
        <v>10.000000000000057</v>
      </c>
      <c r="BM5" s="885">
        <f t="shared" si="26"/>
        <v>15.000000000000057</v>
      </c>
      <c r="BO5" s="897">
        <f>BO4/60</f>
        <v>-1.2499999999999918</v>
      </c>
    </row>
    <row r="6" spans="1:67" ht="18.75" x14ac:dyDescent="0.3">
      <c r="A6" s="873">
        <v>7</v>
      </c>
      <c r="B6" s="874">
        <v>0.29166666666666669</v>
      </c>
      <c r="C6" s="875">
        <v>60</v>
      </c>
      <c r="D6" s="876">
        <v>5</v>
      </c>
      <c r="E6" s="889">
        <v>54.5</v>
      </c>
      <c r="F6" s="875">
        <f t="shared" si="32"/>
        <v>5.5</v>
      </c>
      <c r="G6" s="878">
        <f t="shared" si="0"/>
        <v>62.95</v>
      </c>
      <c r="H6" s="879">
        <f t="shared" si="1"/>
        <v>65</v>
      </c>
      <c r="I6" s="878">
        <f t="shared" si="2"/>
        <v>-5</v>
      </c>
      <c r="J6" s="880">
        <f t="shared" si="3"/>
        <v>0.33680555555555558</v>
      </c>
      <c r="K6" s="881">
        <v>0.33333333333333331</v>
      </c>
      <c r="L6" s="882">
        <f t="shared" si="4"/>
        <v>59.99999999999995</v>
      </c>
      <c r="M6" s="883">
        <f t="shared" si="5"/>
        <v>5.4999999999999503</v>
      </c>
      <c r="N6" s="884">
        <f t="shared" si="33"/>
        <v>-5.0000000000000497</v>
      </c>
      <c r="O6" s="885">
        <f t="shared" si="6"/>
        <v>0</v>
      </c>
      <c r="P6" s="880"/>
      <c r="Q6" s="873" t="s">
        <v>727</v>
      </c>
      <c r="R6" s="893">
        <v>0.28125</v>
      </c>
      <c r="S6" s="888">
        <v>75</v>
      </c>
      <c r="T6" s="876">
        <v>5</v>
      </c>
      <c r="U6" s="889">
        <v>56.023333333333298</v>
      </c>
      <c r="V6" s="875">
        <f t="shared" si="27"/>
        <v>18.976666666666702</v>
      </c>
      <c r="W6" s="878">
        <f t="shared" si="7"/>
        <v>64.625666666666632</v>
      </c>
      <c r="X6" s="879">
        <f t="shared" si="8"/>
        <v>65</v>
      </c>
      <c r="Y6" s="878">
        <f t="shared" si="9"/>
        <v>10</v>
      </c>
      <c r="Z6" s="880">
        <f t="shared" si="10"/>
        <v>0.3263888888888889</v>
      </c>
      <c r="AA6" s="874">
        <v>0.33333333333333331</v>
      </c>
      <c r="AB6" s="882">
        <f t="shared" si="11"/>
        <v>74.999999999999972</v>
      </c>
      <c r="AC6" s="883">
        <f t="shared" si="12"/>
        <v>18.976666666666674</v>
      </c>
      <c r="AD6" s="884">
        <f t="shared" si="28"/>
        <v>9.9999999999999716</v>
      </c>
      <c r="AE6" s="885">
        <f t="shared" si="13"/>
        <v>0</v>
      </c>
      <c r="AI6" s="873">
        <v>47</v>
      </c>
      <c r="AJ6" s="874">
        <v>0.4375</v>
      </c>
      <c r="AK6" s="875">
        <v>70</v>
      </c>
      <c r="AL6" s="876">
        <v>4</v>
      </c>
      <c r="AM6" s="889">
        <v>59.220833333333303</v>
      </c>
      <c r="AN6" s="875">
        <f t="shared" si="34"/>
        <v>10.779166666666697</v>
      </c>
      <c r="AO6" s="878">
        <f t="shared" si="14"/>
        <v>68.142916666666636</v>
      </c>
      <c r="AP6" s="879">
        <f t="shared" si="15"/>
        <v>70</v>
      </c>
      <c r="AQ6" s="878">
        <f t="shared" si="16"/>
        <v>0</v>
      </c>
      <c r="AR6" s="880">
        <f t="shared" si="17"/>
        <v>0.4861111111111111</v>
      </c>
      <c r="AS6" s="898">
        <v>0.4375</v>
      </c>
      <c r="AT6" s="882">
        <f t="shared" si="18"/>
        <v>0</v>
      </c>
      <c r="AU6" s="883">
        <f t="shared" si="29"/>
        <v>-59.220833333333303</v>
      </c>
      <c r="AV6" s="884">
        <f t="shared" si="35"/>
        <v>-70</v>
      </c>
      <c r="AW6" s="885">
        <f t="shared" si="19"/>
        <v>-70</v>
      </c>
      <c r="AX6" s="880"/>
      <c r="AY6" s="873">
        <v>47</v>
      </c>
      <c r="AZ6" s="893">
        <v>0.4375</v>
      </c>
      <c r="BA6" s="888">
        <v>60</v>
      </c>
      <c r="BB6" s="876">
        <v>6</v>
      </c>
      <c r="BC6" s="889">
        <v>60.636111111111099</v>
      </c>
      <c r="BD6" s="875">
        <f t="shared" si="30"/>
        <v>-0.63611111111109864</v>
      </c>
      <c r="BE6" s="878">
        <f t="shared" si="20"/>
        <v>69.699722222222221</v>
      </c>
      <c r="BF6" s="879">
        <f t="shared" si="21"/>
        <v>70</v>
      </c>
      <c r="BG6" s="878">
        <f t="shared" si="22"/>
        <v>-10</v>
      </c>
      <c r="BH6" s="880">
        <f t="shared" si="23"/>
        <v>0.4861111111111111</v>
      </c>
      <c r="BI6" s="898">
        <v>0.4375</v>
      </c>
      <c r="BJ6" s="882">
        <f t="shared" si="24"/>
        <v>0</v>
      </c>
      <c r="BK6" s="883">
        <f t="shared" si="25"/>
        <v>-60.636111111111099</v>
      </c>
      <c r="BL6" s="884">
        <f t="shared" si="31"/>
        <v>-70</v>
      </c>
      <c r="BM6" s="885">
        <f t="shared" si="26"/>
        <v>-60</v>
      </c>
    </row>
    <row r="7" spans="1:67" ht="18.75" x14ac:dyDescent="0.3">
      <c r="A7" s="873" t="s">
        <v>727</v>
      </c>
      <c r="B7" s="874">
        <v>0.30208333333333331</v>
      </c>
      <c r="C7" s="875">
        <v>60</v>
      </c>
      <c r="D7" s="876">
        <v>6</v>
      </c>
      <c r="E7" s="889">
        <v>59.505555555555603</v>
      </c>
      <c r="F7" s="875">
        <f t="shared" si="32"/>
        <v>0.49444444444439739</v>
      </c>
      <c r="G7" s="878">
        <f t="shared" si="0"/>
        <v>68.45611111111117</v>
      </c>
      <c r="H7" s="879">
        <f t="shared" si="1"/>
        <v>70</v>
      </c>
      <c r="I7" s="878">
        <f t="shared" si="2"/>
        <v>-10</v>
      </c>
      <c r="J7" s="880">
        <f t="shared" si="3"/>
        <v>0.35069444444444442</v>
      </c>
      <c r="K7" s="893">
        <v>0.36458333333333331</v>
      </c>
      <c r="L7" s="882">
        <f t="shared" si="4"/>
        <v>90</v>
      </c>
      <c r="M7" s="883">
        <f t="shared" si="5"/>
        <v>30.494444444444397</v>
      </c>
      <c r="N7" s="884">
        <f t="shared" si="33"/>
        <v>20</v>
      </c>
      <c r="O7" s="885">
        <f t="shared" si="6"/>
        <v>30</v>
      </c>
      <c r="P7" s="880"/>
      <c r="Q7" s="873">
        <v>7</v>
      </c>
      <c r="R7" s="881">
        <v>0.29166666666666669</v>
      </c>
      <c r="S7" s="888">
        <v>70</v>
      </c>
      <c r="T7" s="876">
        <v>4</v>
      </c>
      <c r="U7" s="889">
        <v>52.7291666666667</v>
      </c>
      <c r="V7" s="875">
        <f t="shared" si="27"/>
        <v>17.2708333333333</v>
      </c>
      <c r="W7" s="878">
        <f t="shared" si="7"/>
        <v>61.002083333333374</v>
      </c>
      <c r="X7" s="879">
        <f t="shared" si="8"/>
        <v>60</v>
      </c>
      <c r="Y7" s="878">
        <f t="shared" si="9"/>
        <v>10</v>
      </c>
      <c r="Z7" s="880">
        <f t="shared" si="10"/>
        <v>0.33333333333333337</v>
      </c>
      <c r="AA7" s="874">
        <v>0.34027777777777779</v>
      </c>
      <c r="AB7" s="882">
        <f t="shared" si="11"/>
        <v>69.999999999999986</v>
      </c>
      <c r="AC7" s="883">
        <f t="shared" si="12"/>
        <v>17.270833333333286</v>
      </c>
      <c r="AD7" s="884">
        <f t="shared" si="28"/>
        <v>9.9999999999999858</v>
      </c>
      <c r="AE7" s="885">
        <f t="shared" si="13"/>
        <v>0</v>
      </c>
      <c r="AI7" s="873">
        <v>47</v>
      </c>
      <c r="AJ7" s="874">
        <v>0.44791666666666669</v>
      </c>
      <c r="AK7" s="875"/>
      <c r="AL7" s="876"/>
      <c r="AM7" s="877">
        <v>62</v>
      </c>
      <c r="AN7" s="875">
        <f t="shared" si="34"/>
        <v>-62</v>
      </c>
      <c r="AO7" s="878">
        <f t="shared" si="14"/>
        <v>71.2</v>
      </c>
      <c r="AP7" s="879">
        <f t="shared" si="15"/>
        <v>70</v>
      </c>
      <c r="AQ7" s="878">
        <f t="shared" si="16"/>
        <v>-70</v>
      </c>
      <c r="AR7" s="880">
        <f t="shared" si="17"/>
        <v>0.49652777777777779</v>
      </c>
      <c r="AS7" s="893">
        <v>0.5</v>
      </c>
      <c r="AT7" s="882">
        <f t="shared" si="18"/>
        <v>74.999999999999972</v>
      </c>
      <c r="AU7" s="883">
        <f t="shared" si="29"/>
        <v>12.999999999999972</v>
      </c>
      <c r="AV7" s="884">
        <f t="shared" si="35"/>
        <v>4.9999999999999716</v>
      </c>
      <c r="AW7" s="885">
        <f t="shared" si="19"/>
        <v>74.999999999999972</v>
      </c>
      <c r="AX7" s="880"/>
      <c r="AY7" s="873">
        <v>47</v>
      </c>
      <c r="AZ7" s="893">
        <v>0.44791666666666669</v>
      </c>
      <c r="BA7" s="888"/>
      <c r="BB7" s="876"/>
      <c r="BC7" s="877">
        <v>60.636111111111099</v>
      </c>
      <c r="BD7" s="875">
        <f t="shared" si="30"/>
        <v>-60.636111111111099</v>
      </c>
      <c r="BE7" s="878">
        <f t="shared" si="20"/>
        <v>69.699722222222221</v>
      </c>
      <c r="BF7" s="879">
        <f t="shared" si="21"/>
        <v>70</v>
      </c>
      <c r="BG7" s="878">
        <f t="shared" si="22"/>
        <v>-70</v>
      </c>
      <c r="BH7" s="880">
        <f t="shared" si="23"/>
        <v>0.49652777777777779</v>
      </c>
      <c r="BI7" s="874">
        <v>0.5</v>
      </c>
      <c r="BJ7" s="882">
        <f t="shared" si="24"/>
        <v>74.999999999999972</v>
      </c>
      <c r="BK7" s="883">
        <f t="shared" si="25"/>
        <v>14.363888888888873</v>
      </c>
      <c r="BL7" s="884">
        <f t="shared" si="31"/>
        <v>4.9999999999999716</v>
      </c>
      <c r="BM7" s="885">
        <f t="shared" si="26"/>
        <v>74.999999999999972</v>
      </c>
    </row>
    <row r="8" spans="1:67" ht="18.75" x14ac:dyDescent="0.3">
      <c r="A8" s="873">
        <v>7</v>
      </c>
      <c r="B8" s="874">
        <v>0.3125</v>
      </c>
      <c r="C8" s="875">
        <v>60</v>
      </c>
      <c r="D8" s="876">
        <v>6</v>
      </c>
      <c r="E8" s="889">
        <v>55.933333333333302</v>
      </c>
      <c r="F8" s="875">
        <f t="shared" si="32"/>
        <v>4.0666666666666984</v>
      </c>
      <c r="G8" s="878">
        <f t="shared" si="0"/>
        <v>64.526666666666642</v>
      </c>
      <c r="H8" s="879">
        <f t="shared" si="1"/>
        <v>65</v>
      </c>
      <c r="I8" s="878">
        <f t="shared" si="2"/>
        <v>-5</v>
      </c>
      <c r="J8" s="880">
        <f t="shared" si="3"/>
        <v>0.3576388888888889</v>
      </c>
      <c r="K8" s="881">
        <v>0.35416666666666669</v>
      </c>
      <c r="L8" s="882">
        <f t="shared" si="4"/>
        <v>60.000000000000028</v>
      </c>
      <c r="M8" s="883">
        <f t="shared" si="5"/>
        <v>4.0666666666667268</v>
      </c>
      <c r="N8" s="884">
        <f t="shared" si="33"/>
        <v>-4.9999999999999716</v>
      </c>
      <c r="O8" s="885">
        <f t="shared" si="6"/>
        <v>0</v>
      </c>
      <c r="P8" s="880"/>
      <c r="Q8" s="873" t="s">
        <v>727</v>
      </c>
      <c r="R8" s="893">
        <v>0.30208333333333331</v>
      </c>
      <c r="S8" s="888">
        <v>75</v>
      </c>
      <c r="T8" s="876">
        <v>5</v>
      </c>
      <c r="U8" s="889">
        <v>62.156666666666702</v>
      </c>
      <c r="V8" s="875">
        <f t="shared" si="27"/>
        <v>12.843333333333298</v>
      </c>
      <c r="W8" s="878">
        <f t="shared" si="7"/>
        <v>71.372333333333373</v>
      </c>
      <c r="X8" s="879">
        <f t="shared" si="8"/>
        <v>70</v>
      </c>
      <c r="Y8" s="878">
        <f t="shared" si="9"/>
        <v>5</v>
      </c>
      <c r="Z8" s="880">
        <f t="shared" si="10"/>
        <v>0.35069444444444442</v>
      </c>
      <c r="AA8" s="874">
        <v>0.35416666666666669</v>
      </c>
      <c r="AB8" s="882">
        <f t="shared" si="11"/>
        <v>75.000000000000057</v>
      </c>
      <c r="AC8" s="883">
        <f t="shared" si="12"/>
        <v>12.843333333333355</v>
      </c>
      <c r="AD8" s="884">
        <f t="shared" si="28"/>
        <v>5.0000000000000568</v>
      </c>
      <c r="AE8" s="885">
        <f t="shared" si="13"/>
        <v>0</v>
      </c>
      <c r="AI8" s="873">
        <v>47</v>
      </c>
      <c r="AJ8" s="874">
        <v>0.47916666666666669</v>
      </c>
      <c r="AK8" s="875">
        <v>60</v>
      </c>
      <c r="AL8" s="876">
        <v>5</v>
      </c>
      <c r="AM8" s="889">
        <v>65.16</v>
      </c>
      <c r="AN8" s="875">
        <f t="shared" si="34"/>
        <v>-5.1599999999999966</v>
      </c>
      <c r="AO8" s="878">
        <f t="shared" si="14"/>
        <v>74.676000000000002</v>
      </c>
      <c r="AP8" s="879">
        <f t="shared" si="15"/>
        <v>75</v>
      </c>
      <c r="AQ8" s="878">
        <f t="shared" si="16"/>
        <v>-15</v>
      </c>
      <c r="AR8" s="880">
        <f t="shared" si="17"/>
        <v>0.53125</v>
      </c>
      <c r="AS8" s="898">
        <v>0.47916666666666669</v>
      </c>
      <c r="AT8" s="882">
        <f t="shared" si="18"/>
        <v>0</v>
      </c>
      <c r="AU8" s="883">
        <f t="shared" si="29"/>
        <v>-65.16</v>
      </c>
      <c r="AV8" s="884">
        <f t="shared" si="35"/>
        <v>-75</v>
      </c>
      <c r="AW8" s="885">
        <f t="shared" si="19"/>
        <v>-60</v>
      </c>
      <c r="AX8" s="880"/>
      <c r="AY8" s="873">
        <v>47</v>
      </c>
      <c r="AZ8" s="893">
        <v>0.47916666666666669</v>
      </c>
      <c r="BA8" s="888">
        <v>70</v>
      </c>
      <c r="BB8" s="876">
        <v>5</v>
      </c>
      <c r="BC8" s="889">
        <v>61.8</v>
      </c>
      <c r="BD8" s="875">
        <f t="shared" si="30"/>
        <v>8.2000000000000028</v>
      </c>
      <c r="BE8" s="878">
        <f t="shared" si="20"/>
        <v>70.98</v>
      </c>
      <c r="BF8" s="879">
        <f t="shared" si="21"/>
        <v>70</v>
      </c>
      <c r="BG8" s="878">
        <f t="shared" si="22"/>
        <v>0</v>
      </c>
      <c r="BH8" s="880">
        <f t="shared" si="23"/>
        <v>0.52777777777777779</v>
      </c>
      <c r="BI8" s="898">
        <v>0.47916666666666669</v>
      </c>
      <c r="BJ8" s="882">
        <f t="shared" si="24"/>
        <v>0</v>
      </c>
      <c r="BK8" s="883">
        <f t="shared" si="25"/>
        <v>-61.8</v>
      </c>
      <c r="BL8" s="884">
        <f t="shared" si="31"/>
        <v>-70</v>
      </c>
      <c r="BM8" s="885">
        <f t="shared" si="26"/>
        <v>-70</v>
      </c>
    </row>
    <row r="9" spans="1:67" ht="18.75" x14ac:dyDescent="0.3">
      <c r="A9" s="873" t="s">
        <v>727</v>
      </c>
      <c r="B9" s="874">
        <v>0.32291666666666669</v>
      </c>
      <c r="C9" s="875">
        <v>60</v>
      </c>
      <c r="D9" s="876">
        <v>5</v>
      </c>
      <c r="E9" s="889">
        <v>62.453333333333298</v>
      </c>
      <c r="F9" s="875">
        <f t="shared" si="32"/>
        <v>-2.4533333333332976</v>
      </c>
      <c r="G9" s="878">
        <f t="shared" si="0"/>
        <v>71.698666666666639</v>
      </c>
      <c r="H9" s="879">
        <f t="shared" si="1"/>
        <v>70</v>
      </c>
      <c r="I9" s="878">
        <f t="shared" si="2"/>
        <v>-10</v>
      </c>
      <c r="J9" s="880">
        <f t="shared" si="3"/>
        <v>0.37152777777777779</v>
      </c>
      <c r="K9" s="895">
        <v>0.37152777777777779</v>
      </c>
      <c r="L9" s="882">
        <f t="shared" si="4"/>
        <v>69.999999999999986</v>
      </c>
      <c r="M9" s="883">
        <f t="shared" si="5"/>
        <v>7.5466666666666882</v>
      </c>
      <c r="N9" s="884">
        <f t="shared" si="33"/>
        <v>0</v>
      </c>
      <c r="O9" s="885">
        <f t="shared" si="6"/>
        <v>9.9999999999999858</v>
      </c>
      <c r="P9" s="880"/>
      <c r="Q9" s="873">
        <v>7</v>
      </c>
      <c r="R9" s="881">
        <v>0.3125</v>
      </c>
      <c r="S9" s="888">
        <v>75</v>
      </c>
      <c r="T9" s="876">
        <v>6</v>
      </c>
      <c r="U9" s="889">
        <v>58.1527777777778</v>
      </c>
      <c r="V9" s="875">
        <f t="shared" si="27"/>
        <v>16.8472222222222</v>
      </c>
      <c r="W9" s="878">
        <f t="shared" si="7"/>
        <v>66.968055555555594</v>
      </c>
      <c r="X9" s="879">
        <f t="shared" si="8"/>
        <v>65</v>
      </c>
      <c r="Y9" s="878">
        <f t="shared" si="9"/>
        <v>10</v>
      </c>
      <c r="Z9" s="880">
        <f t="shared" si="10"/>
        <v>0.3576388888888889</v>
      </c>
      <c r="AA9" s="895">
        <v>0.3576388888888889</v>
      </c>
      <c r="AB9" s="882">
        <f t="shared" si="11"/>
        <v>65.000000000000014</v>
      </c>
      <c r="AC9" s="883">
        <f t="shared" si="12"/>
        <v>6.8472222222222143</v>
      </c>
      <c r="AD9" s="884">
        <f t="shared" si="28"/>
        <v>0</v>
      </c>
      <c r="AE9" s="885">
        <f t="shared" si="13"/>
        <v>-9.9999999999999858</v>
      </c>
      <c r="AI9" s="873">
        <v>47</v>
      </c>
      <c r="AJ9" s="874">
        <v>0.5</v>
      </c>
      <c r="AK9" s="875"/>
      <c r="AL9" s="876"/>
      <c r="AM9" s="877">
        <v>66.1527777777778</v>
      </c>
      <c r="AN9" s="875">
        <f t="shared" si="34"/>
        <v>-66.1527777777778</v>
      </c>
      <c r="AO9" s="878">
        <f t="shared" si="14"/>
        <v>75.768055555555591</v>
      </c>
      <c r="AP9" s="879">
        <f t="shared" si="15"/>
        <v>75</v>
      </c>
      <c r="AQ9" s="878">
        <f t="shared" si="16"/>
        <v>-75</v>
      </c>
      <c r="AR9" s="880">
        <f t="shared" si="17"/>
        <v>0.55208333333333337</v>
      </c>
      <c r="AS9" s="893">
        <v>0.55208333333333337</v>
      </c>
      <c r="AT9" s="882">
        <f t="shared" si="18"/>
        <v>75.000000000000057</v>
      </c>
      <c r="AU9" s="883">
        <f t="shared" si="29"/>
        <v>8.847222222222257</v>
      </c>
      <c r="AV9" s="884">
        <f t="shared" si="35"/>
        <v>0</v>
      </c>
      <c r="AW9" s="885">
        <f t="shared" si="19"/>
        <v>75.000000000000057</v>
      </c>
      <c r="AX9" s="880"/>
      <c r="AY9" s="873">
        <v>47</v>
      </c>
      <c r="AZ9" s="893">
        <v>0.5</v>
      </c>
      <c r="BA9" s="888"/>
      <c r="BB9" s="876"/>
      <c r="BC9" s="877">
        <v>61.8</v>
      </c>
      <c r="BD9" s="875">
        <f t="shared" si="30"/>
        <v>-61.8</v>
      </c>
      <c r="BE9" s="878">
        <f t="shared" si="20"/>
        <v>70.98</v>
      </c>
      <c r="BF9" s="879">
        <f t="shared" si="21"/>
        <v>70</v>
      </c>
      <c r="BG9" s="878">
        <f t="shared" si="22"/>
        <v>-70</v>
      </c>
      <c r="BH9" s="880">
        <f t="shared" si="23"/>
        <v>0.54861111111111116</v>
      </c>
      <c r="BI9" s="874">
        <v>0.55208333333333337</v>
      </c>
      <c r="BJ9" s="882">
        <f t="shared" si="24"/>
        <v>75.000000000000057</v>
      </c>
      <c r="BK9" s="883">
        <f t="shared" si="25"/>
        <v>13.20000000000006</v>
      </c>
      <c r="BL9" s="884">
        <f t="shared" si="31"/>
        <v>5.0000000000000568</v>
      </c>
      <c r="BM9" s="885">
        <f t="shared" si="26"/>
        <v>75.000000000000057</v>
      </c>
    </row>
    <row r="10" spans="1:67" ht="18.75" x14ac:dyDescent="0.3">
      <c r="A10" s="873">
        <v>7</v>
      </c>
      <c r="B10" s="874">
        <v>0.33333333333333331</v>
      </c>
      <c r="C10" s="875">
        <v>60</v>
      </c>
      <c r="D10" s="876">
        <v>6</v>
      </c>
      <c r="E10" s="889">
        <v>59.088888888888903</v>
      </c>
      <c r="F10" s="875">
        <f t="shared" si="32"/>
        <v>0.91111111111109722</v>
      </c>
      <c r="G10" s="878">
        <f t="shared" si="0"/>
        <v>67.997777777777799</v>
      </c>
      <c r="H10" s="879">
        <f t="shared" si="1"/>
        <v>70</v>
      </c>
      <c r="I10" s="878">
        <f t="shared" si="2"/>
        <v>-10</v>
      </c>
      <c r="J10" s="880">
        <f t="shared" si="3"/>
        <v>0.38194444444444442</v>
      </c>
      <c r="K10" s="895">
        <v>0.38194444444444442</v>
      </c>
      <c r="L10" s="882">
        <f t="shared" si="4"/>
        <v>69.999999999999986</v>
      </c>
      <c r="M10" s="883">
        <f t="shared" si="5"/>
        <v>10.911111111111083</v>
      </c>
      <c r="N10" s="884">
        <f t="shared" si="33"/>
        <v>0</v>
      </c>
      <c r="O10" s="885">
        <f t="shared" si="6"/>
        <v>9.9999999999999858</v>
      </c>
      <c r="P10" s="880"/>
      <c r="Q10" s="873" t="s">
        <v>727</v>
      </c>
      <c r="R10" s="893">
        <v>0.32291666666666669</v>
      </c>
      <c r="S10" s="888">
        <v>75</v>
      </c>
      <c r="T10" s="876">
        <v>2</v>
      </c>
      <c r="U10" s="889">
        <v>58.383333333333297</v>
      </c>
      <c r="V10" s="875">
        <f t="shared" si="27"/>
        <v>16.616666666666703</v>
      </c>
      <c r="W10" s="878">
        <f t="shared" si="7"/>
        <v>67.221666666666636</v>
      </c>
      <c r="X10" s="879">
        <f t="shared" si="8"/>
        <v>65</v>
      </c>
      <c r="Y10" s="878">
        <f t="shared" si="9"/>
        <v>10</v>
      </c>
      <c r="Z10" s="880">
        <f t="shared" si="10"/>
        <v>0.36805555555555558</v>
      </c>
      <c r="AA10" s="874">
        <v>0.375</v>
      </c>
      <c r="AB10" s="882">
        <f t="shared" si="11"/>
        <v>74.999999999999972</v>
      </c>
      <c r="AC10" s="883">
        <f t="shared" si="12"/>
        <v>16.616666666666674</v>
      </c>
      <c r="AD10" s="884">
        <f t="shared" si="28"/>
        <v>9.9999999999999716</v>
      </c>
      <c r="AE10" s="885">
        <f t="shared" si="13"/>
        <v>0</v>
      </c>
      <c r="AI10" s="873">
        <v>47</v>
      </c>
      <c r="AJ10" s="874">
        <v>0.52083333333333337</v>
      </c>
      <c r="AK10" s="875">
        <v>70</v>
      </c>
      <c r="AL10" s="876">
        <v>6</v>
      </c>
      <c r="AM10" s="889">
        <v>66.1527777777778</v>
      </c>
      <c r="AN10" s="875">
        <f t="shared" si="34"/>
        <v>3.8472222222222001</v>
      </c>
      <c r="AO10" s="878">
        <f t="shared" si="14"/>
        <v>75.768055555555591</v>
      </c>
      <c r="AP10" s="879">
        <f t="shared" si="15"/>
        <v>75</v>
      </c>
      <c r="AQ10" s="878">
        <f t="shared" si="16"/>
        <v>-5</v>
      </c>
      <c r="AR10" s="880">
        <f t="shared" si="17"/>
        <v>0.57291666666666674</v>
      </c>
      <c r="AS10" s="898">
        <v>0.52083333333333337</v>
      </c>
      <c r="AT10" s="882">
        <f t="shared" si="18"/>
        <v>0</v>
      </c>
      <c r="AU10" s="883">
        <f t="shared" si="29"/>
        <v>-66.1527777777778</v>
      </c>
      <c r="AV10" s="884">
        <f t="shared" si="35"/>
        <v>-75</v>
      </c>
      <c r="AW10" s="885">
        <f t="shared" si="19"/>
        <v>-70</v>
      </c>
      <c r="AX10" s="880"/>
      <c r="AY10" s="873">
        <v>47</v>
      </c>
      <c r="AZ10" s="893">
        <v>0.52083333333333337</v>
      </c>
      <c r="BA10" s="888">
        <v>60</v>
      </c>
      <c r="BB10" s="876">
        <v>2</v>
      </c>
      <c r="BC10" s="889">
        <v>60.116666666666703</v>
      </c>
      <c r="BD10" s="875">
        <f t="shared" si="30"/>
        <v>-0.11666666666670267</v>
      </c>
      <c r="BE10" s="878">
        <f t="shared" si="20"/>
        <v>69.128333333333373</v>
      </c>
      <c r="BF10" s="879">
        <f t="shared" si="21"/>
        <v>70</v>
      </c>
      <c r="BG10" s="878">
        <f t="shared" si="22"/>
        <v>-10</v>
      </c>
      <c r="BH10" s="880">
        <f t="shared" si="23"/>
        <v>0.56944444444444453</v>
      </c>
      <c r="BI10" s="898">
        <v>0.52083333333333337</v>
      </c>
      <c r="BJ10" s="882">
        <f t="shared" si="24"/>
        <v>0</v>
      </c>
      <c r="BK10" s="883">
        <f t="shared" si="25"/>
        <v>-60.116666666666703</v>
      </c>
      <c r="BL10" s="884">
        <f t="shared" si="31"/>
        <v>-70</v>
      </c>
      <c r="BM10" s="885">
        <f t="shared" si="26"/>
        <v>-60</v>
      </c>
    </row>
    <row r="11" spans="1:67" ht="18.75" x14ac:dyDescent="0.3">
      <c r="A11" s="873" t="s">
        <v>727</v>
      </c>
      <c r="B11" s="874">
        <v>0.34027777777777779</v>
      </c>
      <c r="C11" s="875">
        <v>65</v>
      </c>
      <c r="D11" s="876">
        <v>4</v>
      </c>
      <c r="E11" s="889">
        <v>62.804166666666703</v>
      </c>
      <c r="F11" s="875">
        <f t="shared" si="32"/>
        <v>2.1958333333332973</v>
      </c>
      <c r="G11" s="878">
        <f t="shared" si="0"/>
        <v>72.084583333333384</v>
      </c>
      <c r="H11" s="879">
        <f t="shared" si="1"/>
        <v>70</v>
      </c>
      <c r="I11" s="878">
        <f t="shared" si="2"/>
        <v>-5</v>
      </c>
      <c r="J11" s="880">
        <f t="shared" si="3"/>
        <v>0.3888888888888889</v>
      </c>
      <c r="K11" s="893">
        <v>0.38541666666666669</v>
      </c>
      <c r="L11" s="882">
        <f t="shared" si="4"/>
        <v>65.000000000000014</v>
      </c>
      <c r="M11" s="883">
        <f t="shared" si="5"/>
        <v>2.1958333333333115</v>
      </c>
      <c r="N11" s="884">
        <f t="shared" si="33"/>
        <v>-4.9999999999999858</v>
      </c>
      <c r="O11" s="885">
        <f t="shared" si="6"/>
        <v>0</v>
      </c>
      <c r="P11" s="880"/>
      <c r="Q11" s="873">
        <v>7</v>
      </c>
      <c r="R11" s="881">
        <v>0.33333333333333331</v>
      </c>
      <c r="S11" s="888">
        <v>75</v>
      </c>
      <c r="T11" s="876">
        <v>5</v>
      </c>
      <c r="U11" s="889">
        <v>54.6</v>
      </c>
      <c r="V11" s="875">
        <f t="shared" si="27"/>
        <v>20.399999999999999</v>
      </c>
      <c r="W11" s="878">
        <f t="shared" si="7"/>
        <v>63.060000000000009</v>
      </c>
      <c r="X11" s="879">
        <f t="shared" si="8"/>
        <v>65</v>
      </c>
      <c r="Y11" s="878">
        <f t="shared" si="9"/>
        <v>10</v>
      </c>
      <c r="Z11" s="880">
        <f t="shared" si="10"/>
        <v>0.37847222222222221</v>
      </c>
      <c r="AA11" s="874">
        <v>0.38541666666666669</v>
      </c>
      <c r="AB11" s="882">
        <f t="shared" si="11"/>
        <v>75.000000000000057</v>
      </c>
      <c r="AC11" s="883">
        <f t="shared" si="12"/>
        <v>20.400000000000055</v>
      </c>
      <c r="AD11" s="884">
        <f t="shared" si="28"/>
        <v>10.000000000000057</v>
      </c>
      <c r="AE11" s="885">
        <f t="shared" si="13"/>
        <v>0</v>
      </c>
      <c r="AI11" s="873">
        <v>47</v>
      </c>
      <c r="AJ11" s="874">
        <v>0.55208333333333337</v>
      </c>
      <c r="AK11" s="875"/>
      <c r="AL11" s="876"/>
      <c r="AM11" s="877">
        <v>63</v>
      </c>
      <c r="AN11" s="875">
        <f t="shared" si="34"/>
        <v>-63</v>
      </c>
      <c r="AO11" s="878">
        <f t="shared" si="14"/>
        <v>72.300000000000011</v>
      </c>
      <c r="AP11" s="879">
        <f t="shared" si="15"/>
        <v>70</v>
      </c>
      <c r="AQ11" s="878">
        <f t="shared" si="16"/>
        <v>-70</v>
      </c>
      <c r="AR11" s="880">
        <f t="shared" si="17"/>
        <v>0.60069444444444453</v>
      </c>
      <c r="AS11" s="893">
        <v>0.60416666666666663</v>
      </c>
      <c r="AT11" s="882">
        <f t="shared" si="18"/>
        <v>74.999999999999901</v>
      </c>
      <c r="AU11" s="883">
        <f t="shared" si="29"/>
        <v>11.999999999999901</v>
      </c>
      <c r="AV11" s="884">
        <f t="shared" si="35"/>
        <v>4.9999999999999005</v>
      </c>
      <c r="AW11" s="885">
        <f t="shared" si="19"/>
        <v>74.999999999999901</v>
      </c>
      <c r="AX11" s="880"/>
      <c r="AY11" s="873">
        <v>47</v>
      </c>
      <c r="AZ11" s="893">
        <v>0.55208333333333337</v>
      </c>
      <c r="BA11" s="888"/>
      <c r="BB11" s="876"/>
      <c r="BC11" s="877">
        <v>65</v>
      </c>
      <c r="BD11" s="875">
        <f t="shared" si="30"/>
        <v>-65</v>
      </c>
      <c r="BE11" s="878">
        <f t="shared" si="20"/>
        <v>74.5</v>
      </c>
      <c r="BF11" s="879">
        <f t="shared" si="21"/>
        <v>75</v>
      </c>
      <c r="BG11" s="878">
        <f t="shared" si="22"/>
        <v>-75</v>
      </c>
      <c r="BH11" s="880">
        <f t="shared" si="23"/>
        <v>0.60416666666666674</v>
      </c>
      <c r="BI11" s="874">
        <v>0.60416666666666663</v>
      </c>
      <c r="BJ11" s="882">
        <f t="shared" si="24"/>
        <v>74.999999999999901</v>
      </c>
      <c r="BK11" s="883">
        <f t="shared" si="25"/>
        <v>9.9999999999999005</v>
      </c>
      <c r="BL11" s="884">
        <f t="shared" si="31"/>
        <v>0</v>
      </c>
      <c r="BM11" s="885">
        <f t="shared" si="26"/>
        <v>74.999999999999901</v>
      </c>
    </row>
    <row r="12" spans="1:67" ht="18.75" x14ac:dyDescent="0.3">
      <c r="A12" s="873">
        <v>7</v>
      </c>
      <c r="B12" s="874">
        <v>0.34722222222222227</v>
      </c>
      <c r="C12" s="875">
        <v>70</v>
      </c>
      <c r="D12" s="876">
        <v>6</v>
      </c>
      <c r="E12" s="889">
        <v>63.2222222222222</v>
      </c>
      <c r="F12" s="875">
        <f t="shared" si="32"/>
        <v>6.7777777777777999</v>
      </c>
      <c r="G12" s="878">
        <f t="shared" si="0"/>
        <v>72.544444444444423</v>
      </c>
      <c r="H12" s="879">
        <f t="shared" si="1"/>
        <v>75</v>
      </c>
      <c r="I12" s="878">
        <f t="shared" si="2"/>
        <v>-5</v>
      </c>
      <c r="J12" s="880">
        <f t="shared" si="3"/>
        <v>0.39930555555555558</v>
      </c>
      <c r="K12" s="881">
        <v>0.39583333333333331</v>
      </c>
      <c r="L12" s="882">
        <f t="shared" si="4"/>
        <v>69.999999999999915</v>
      </c>
      <c r="M12" s="883">
        <f t="shared" si="5"/>
        <v>6.7777777777777146</v>
      </c>
      <c r="N12" s="884">
        <f t="shared" si="33"/>
        <v>-5.0000000000000853</v>
      </c>
      <c r="O12" s="885">
        <f t="shared" si="6"/>
        <v>0</v>
      </c>
      <c r="P12" s="880"/>
      <c r="Q12" s="873" t="s">
        <v>727</v>
      </c>
      <c r="R12" s="893">
        <v>0.34375</v>
      </c>
      <c r="S12" s="888">
        <v>75</v>
      </c>
      <c r="T12" s="876">
        <v>4</v>
      </c>
      <c r="U12" s="889">
        <v>66.108333333333306</v>
      </c>
      <c r="V12" s="875">
        <f t="shared" si="27"/>
        <v>8.8916666666666941</v>
      </c>
      <c r="W12" s="878">
        <f t="shared" si="7"/>
        <v>75.719166666666638</v>
      </c>
      <c r="X12" s="879">
        <f t="shared" si="8"/>
        <v>75</v>
      </c>
      <c r="Y12" s="878">
        <f t="shared" si="9"/>
        <v>0</v>
      </c>
      <c r="Z12" s="880">
        <f t="shared" si="10"/>
        <v>0.39583333333333331</v>
      </c>
      <c r="AA12" s="874">
        <v>0.39583333333333331</v>
      </c>
      <c r="AB12" s="882">
        <f t="shared" si="11"/>
        <v>74.999999999999972</v>
      </c>
      <c r="AC12" s="883">
        <f t="shared" si="12"/>
        <v>8.8916666666666657</v>
      </c>
      <c r="AD12" s="884">
        <f t="shared" si="28"/>
        <v>0</v>
      </c>
      <c r="AE12" s="885">
        <f t="shared" si="13"/>
        <v>0</v>
      </c>
      <c r="AI12" s="873">
        <v>47</v>
      </c>
      <c r="AJ12" s="874">
        <v>0.5625</v>
      </c>
      <c r="AK12" s="875">
        <v>60</v>
      </c>
      <c r="AL12" s="876">
        <v>2</v>
      </c>
      <c r="AM12" s="889">
        <v>59.391666666666701</v>
      </c>
      <c r="AN12" s="875">
        <f t="shared" si="34"/>
        <v>0.60833333333329875</v>
      </c>
      <c r="AO12" s="878">
        <f t="shared" si="14"/>
        <v>68.330833333333374</v>
      </c>
      <c r="AP12" s="879">
        <f t="shared" si="15"/>
        <v>70</v>
      </c>
      <c r="AQ12" s="878">
        <f t="shared" si="16"/>
        <v>-10</v>
      </c>
      <c r="AR12" s="880">
        <f t="shared" si="17"/>
        <v>0.61111111111111116</v>
      </c>
      <c r="AS12" s="898">
        <v>0.5625</v>
      </c>
      <c r="AT12" s="882">
        <f t="shared" si="18"/>
        <v>0</v>
      </c>
      <c r="AU12" s="883">
        <f t="shared" si="29"/>
        <v>-59.391666666666701</v>
      </c>
      <c r="AV12" s="884">
        <f t="shared" si="35"/>
        <v>-70</v>
      </c>
      <c r="AW12" s="885">
        <f t="shared" si="19"/>
        <v>-60</v>
      </c>
      <c r="AX12" s="880"/>
      <c r="AY12" s="873">
        <v>47</v>
      </c>
      <c r="AZ12" s="893">
        <v>0.5625</v>
      </c>
      <c r="BA12" s="888">
        <v>70</v>
      </c>
      <c r="BB12" s="876">
        <v>4</v>
      </c>
      <c r="BC12" s="889">
        <v>70.279166666666697</v>
      </c>
      <c r="BD12" s="875">
        <f t="shared" si="30"/>
        <v>-0.27916666666669698</v>
      </c>
      <c r="BE12" s="878">
        <f t="shared" si="20"/>
        <v>80.307083333333367</v>
      </c>
      <c r="BF12" s="879">
        <f t="shared" si="21"/>
        <v>80</v>
      </c>
      <c r="BG12" s="878">
        <f t="shared" si="22"/>
        <v>-10</v>
      </c>
      <c r="BH12" s="880">
        <f t="shared" si="23"/>
        <v>0.61805555555555558</v>
      </c>
      <c r="BI12" s="898">
        <v>0.5625</v>
      </c>
      <c r="BJ12" s="882">
        <f t="shared" si="24"/>
        <v>0</v>
      </c>
      <c r="BK12" s="883">
        <f t="shared" si="25"/>
        <v>-70.279166666666697</v>
      </c>
      <c r="BL12" s="884">
        <f t="shared" si="31"/>
        <v>-80</v>
      </c>
      <c r="BM12" s="885">
        <f t="shared" si="26"/>
        <v>-70</v>
      </c>
    </row>
    <row r="13" spans="1:67" ht="18.75" x14ac:dyDescent="0.3">
      <c r="A13" s="873" t="s">
        <v>727</v>
      </c>
      <c r="B13" s="874">
        <v>0.35416666666666669</v>
      </c>
      <c r="C13" s="875">
        <v>75</v>
      </c>
      <c r="D13" s="876">
        <v>5</v>
      </c>
      <c r="E13" s="889">
        <v>61.923333333333296</v>
      </c>
      <c r="F13" s="875">
        <f t="shared" si="32"/>
        <v>13.076666666666704</v>
      </c>
      <c r="G13" s="878">
        <f t="shared" si="0"/>
        <v>71.115666666666627</v>
      </c>
      <c r="H13" s="879">
        <f t="shared" si="1"/>
        <v>70</v>
      </c>
      <c r="I13" s="878">
        <f t="shared" si="2"/>
        <v>5</v>
      </c>
      <c r="J13" s="880">
        <f t="shared" si="3"/>
        <v>0.40277777777777779</v>
      </c>
      <c r="K13" s="893">
        <v>0.40625</v>
      </c>
      <c r="L13" s="882">
        <f t="shared" si="4"/>
        <v>74.999999999999972</v>
      </c>
      <c r="M13" s="883">
        <f t="shared" si="5"/>
        <v>13.076666666666675</v>
      </c>
      <c r="N13" s="884">
        <f t="shared" si="33"/>
        <v>4.9999999999999716</v>
      </c>
      <c r="O13" s="885">
        <f t="shared" si="6"/>
        <v>0</v>
      </c>
      <c r="P13" s="880"/>
      <c r="Q13" s="873">
        <v>7</v>
      </c>
      <c r="R13" s="881">
        <v>0.35416666666666669</v>
      </c>
      <c r="S13" s="888">
        <v>70</v>
      </c>
      <c r="T13" s="876">
        <v>5</v>
      </c>
      <c r="U13" s="889">
        <v>61.2366666666667</v>
      </c>
      <c r="V13" s="875">
        <f t="shared" si="27"/>
        <v>8.7633333333332999</v>
      </c>
      <c r="W13" s="878">
        <f t="shared" si="7"/>
        <v>70.360333333333372</v>
      </c>
      <c r="X13" s="879">
        <f t="shared" si="8"/>
        <v>70</v>
      </c>
      <c r="Y13" s="878">
        <f t="shared" si="9"/>
        <v>0</v>
      </c>
      <c r="Z13" s="880">
        <f t="shared" si="10"/>
        <v>0.40277777777777779</v>
      </c>
      <c r="AA13" s="874">
        <v>0.40277777777777779</v>
      </c>
      <c r="AB13" s="882">
        <f t="shared" si="11"/>
        <v>69.999999999999986</v>
      </c>
      <c r="AC13" s="883">
        <f t="shared" si="12"/>
        <v>8.7633333333332857</v>
      </c>
      <c r="AD13" s="884">
        <f t="shared" si="28"/>
        <v>0</v>
      </c>
      <c r="AE13" s="885">
        <f t="shared" si="13"/>
        <v>0</v>
      </c>
      <c r="AI13" s="873">
        <v>47</v>
      </c>
      <c r="AJ13" s="874">
        <v>0.60416666666666663</v>
      </c>
      <c r="AK13" s="875">
        <v>70</v>
      </c>
      <c r="AL13" s="876">
        <v>4</v>
      </c>
      <c r="AM13" s="889">
        <v>66.483333333333306</v>
      </c>
      <c r="AN13" s="875">
        <f t="shared" si="34"/>
        <v>3.5166666666666941</v>
      </c>
      <c r="AO13" s="878">
        <f t="shared" si="14"/>
        <v>76.131666666666646</v>
      </c>
      <c r="AP13" s="879">
        <f t="shared" si="15"/>
        <v>75</v>
      </c>
      <c r="AQ13" s="878">
        <f t="shared" si="16"/>
        <v>-5</v>
      </c>
      <c r="AR13" s="880">
        <f t="shared" si="17"/>
        <v>0.65625</v>
      </c>
      <c r="AS13" s="893">
        <v>0.65625</v>
      </c>
      <c r="AT13" s="882">
        <f t="shared" si="18"/>
        <v>75.000000000000057</v>
      </c>
      <c r="AU13" s="883">
        <f t="shared" si="29"/>
        <v>8.516666666666751</v>
      </c>
      <c r="AV13" s="884">
        <f t="shared" si="35"/>
        <v>0</v>
      </c>
      <c r="AW13" s="885">
        <f t="shared" si="19"/>
        <v>5.0000000000000568</v>
      </c>
      <c r="AX13" s="880"/>
      <c r="AY13" s="873">
        <v>47</v>
      </c>
      <c r="AZ13" s="893">
        <v>0.60416666666666663</v>
      </c>
      <c r="BA13" s="888">
        <v>70</v>
      </c>
      <c r="BB13" s="876">
        <v>2</v>
      </c>
      <c r="BC13" s="889">
        <v>56.2916666666667</v>
      </c>
      <c r="BD13" s="875">
        <f t="shared" si="30"/>
        <v>13.7083333333333</v>
      </c>
      <c r="BE13" s="878">
        <f t="shared" si="20"/>
        <v>64.920833333333377</v>
      </c>
      <c r="BF13" s="879">
        <f t="shared" si="21"/>
        <v>65</v>
      </c>
      <c r="BG13" s="878">
        <f t="shared" si="22"/>
        <v>5</v>
      </c>
      <c r="BH13" s="880">
        <f t="shared" si="23"/>
        <v>0.64930555555555547</v>
      </c>
      <c r="BI13" s="874">
        <v>0.65625</v>
      </c>
      <c r="BJ13" s="882">
        <f t="shared" si="24"/>
        <v>75.000000000000057</v>
      </c>
      <c r="BK13" s="883">
        <f t="shared" si="25"/>
        <v>18.708333333333357</v>
      </c>
      <c r="BL13" s="884">
        <f t="shared" si="31"/>
        <v>10.000000000000057</v>
      </c>
      <c r="BM13" s="885">
        <f t="shared" si="26"/>
        <v>5.0000000000000568</v>
      </c>
    </row>
    <row r="14" spans="1:67" ht="18.75" x14ac:dyDescent="0.3">
      <c r="A14" s="873">
        <v>7</v>
      </c>
      <c r="B14" s="874">
        <v>0.36458333333333331</v>
      </c>
      <c r="C14" s="875">
        <v>75</v>
      </c>
      <c r="D14" s="876">
        <v>6</v>
      </c>
      <c r="E14" s="889">
        <v>63.7</v>
      </c>
      <c r="F14" s="875">
        <f t="shared" si="32"/>
        <v>11.299999999999997</v>
      </c>
      <c r="G14" s="878">
        <f t="shared" si="0"/>
        <v>73.070000000000007</v>
      </c>
      <c r="H14" s="879">
        <f t="shared" si="1"/>
        <v>75</v>
      </c>
      <c r="I14" s="878">
        <f t="shared" si="2"/>
        <v>0</v>
      </c>
      <c r="J14" s="880">
        <f t="shared" si="3"/>
        <v>0.41666666666666663</v>
      </c>
      <c r="K14" s="881">
        <v>0.41666666666666669</v>
      </c>
      <c r="L14" s="882">
        <f t="shared" si="4"/>
        <v>75.000000000000057</v>
      </c>
      <c r="M14" s="883">
        <f t="shared" si="5"/>
        <v>11.300000000000054</v>
      </c>
      <c r="N14" s="884">
        <f t="shared" si="33"/>
        <v>0</v>
      </c>
      <c r="O14" s="885">
        <f t="shared" si="6"/>
        <v>0</v>
      </c>
      <c r="P14" s="880"/>
      <c r="Q14" s="873" t="s">
        <v>727</v>
      </c>
      <c r="R14" s="893">
        <v>0.36458333333333331</v>
      </c>
      <c r="S14" s="888">
        <v>75</v>
      </c>
      <c r="T14" s="876">
        <v>5</v>
      </c>
      <c r="U14" s="889">
        <v>68.033333333333303</v>
      </c>
      <c r="V14" s="875">
        <f t="shared" si="27"/>
        <v>6.966666666666697</v>
      </c>
      <c r="W14" s="878">
        <f t="shared" si="7"/>
        <v>77.836666666666645</v>
      </c>
      <c r="X14" s="879">
        <f t="shared" si="8"/>
        <v>80</v>
      </c>
      <c r="Y14" s="878">
        <f t="shared" si="9"/>
        <v>-5</v>
      </c>
      <c r="Z14" s="880">
        <f t="shared" si="10"/>
        <v>0.42013888888888884</v>
      </c>
      <c r="AA14" s="874">
        <v>0.41666666666666669</v>
      </c>
      <c r="AB14" s="882">
        <f t="shared" si="11"/>
        <v>75.000000000000057</v>
      </c>
      <c r="AC14" s="883">
        <f t="shared" si="12"/>
        <v>6.9666666666667538</v>
      </c>
      <c r="AD14" s="884">
        <f t="shared" si="28"/>
        <v>-4.9999999999999432</v>
      </c>
      <c r="AE14" s="885">
        <f t="shared" si="13"/>
        <v>0</v>
      </c>
      <c r="AG14" s="892" t="s">
        <v>1174</v>
      </c>
      <c r="AI14" s="873">
        <v>47</v>
      </c>
      <c r="AJ14" s="874">
        <v>0.64583333333333337</v>
      </c>
      <c r="AK14" s="875">
        <v>60</v>
      </c>
      <c r="AL14" s="876">
        <v>4</v>
      </c>
      <c r="AM14" s="889">
        <v>64.620833333333294</v>
      </c>
      <c r="AN14" s="875">
        <f t="shared" si="34"/>
        <v>-4.6208333333332945</v>
      </c>
      <c r="AO14" s="878">
        <f t="shared" si="14"/>
        <v>74.082916666666634</v>
      </c>
      <c r="AP14" s="879">
        <f t="shared" si="15"/>
        <v>75</v>
      </c>
      <c r="AQ14" s="878">
        <f t="shared" si="16"/>
        <v>-15</v>
      </c>
      <c r="AR14" s="880">
        <f t="shared" si="17"/>
        <v>0.69791666666666674</v>
      </c>
      <c r="AS14" s="898">
        <v>0.64583333333333337</v>
      </c>
      <c r="AT14" s="882">
        <f t="shared" si="18"/>
        <v>0</v>
      </c>
      <c r="AU14" s="883">
        <f t="shared" si="29"/>
        <v>-64.620833333333294</v>
      </c>
      <c r="AV14" s="884">
        <f t="shared" si="35"/>
        <v>-75</v>
      </c>
      <c r="AW14" s="885">
        <f t="shared" si="19"/>
        <v>-60</v>
      </c>
      <c r="AX14" s="880"/>
      <c r="AY14" s="873">
        <v>47</v>
      </c>
      <c r="AZ14" s="893">
        <v>0.64583333333333337</v>
      </c>
      <c r="BA14" s="888">
        <v>70</v>
      </c>
      <c r="BB14" s="876">
        <v>2</v>
      </c>
      <c r="BC14" s="889">
        <v>70.108333333333306</v>
      </c>
      <c r="BD14" s="875">
        <f t="shared" si="30"/>
        <v>-0.10833333333330586</v>
      </c>
      <c r="BE14" s="878">
        <f t="shared" si="20"/>
        <v>80.119166666666644</v>
      </c>
      <c r="BF14" s="879">
        <f t="shared" si="21"/>
        <v>80</v>
      </c>
      <c r="BG14" s="878">
        <f t="shared" si="22"/>
        <v>-10</v>
      </c>
      <c r="BH14" s="880">
        <f t="shared" si="23"/>
        <v>0.70138888888888895</v>
      </c>
      <c r="BI14" s="898">
        <v>0.64583333333333337</v>
      </c>
      <c r="BJ14" s="882">
        <f t="shared" si="24"/>
        <v>0</v>
      </c>
      <c r="BK14" s="883">
        <f t="shared" si="25"/>
        <v>-70.108333333333306</v>
      </c>
      <c r="BL14" s="884">
        <f t="shared" si="31"/>
        <v>-80</v>
      </c>
      <c r="BM14" s="885">
        <f t="shared" si="26"/>
        <v>-70</v>
      </c>
    </row>
    <row r="15" spans="1:67" ht="18.75" x14ac:dyDescent="0.3">
      <c r="A15" s="873" t="s">
        <v>727</v>
      </c>
      <c r="B15" s="874">
        <v>0.375</v>
      </c>
      <c r="C15" s="875">
        <v>75</v>
      </c>
      <c r="D15" s="876">
        <v>6</v>
      </c>
      <c r="E15" s="889">
        <v>65.047222222222203</v>
      </c>
      <c r="F15" s="875">
        <f t="shared" si="32"/>
        <v>9.952777777777797</v>
      </c>
      <c r="G15" s="878">
        <f t="shared" si="0"/>
        <v>74.55194444444443</v>
      </c>
      <c r="H15" s="879">
        <f t="shared" si="1"/>
        <v>75</v>
      </c>
      <c r="I15" s="878">
        <f t="shared" si="2"/>
        <v>0</v>
      </c>
      <c r="J15" s="880">
        <f t="shared" si="3"/>
        <v>0.42708333333333331</v>
      </c>
      <c r="K15" s="893">
        <v>0.42708333333333331</v>
      </c>
      <c r="L15" s="882">
        <f t="shared" si="4"/>
        <v>74.999999999999972</v>
      </c>
      <c r="M15" s="883">
        <f t="shared" si="5"/>
        <v>9.9527777777777686</v>
      </c>
      <c r="N15" s="884">
        <f t="shared" si="33"/>
        <v>0</v>
      </c>
      <c r="O15" s="885">
        <f t="shared" si="6"/>
        <v>0</v>
      </c>
      <c r="P15" s="880"/>
      <c r="Q15" s="873">
        <v>7</v>
      </c>
      <c r="R15" s="881">
        <v>0.375</v>
      </c>
      <c r="S15" s="888">
        <v>75</v>
      </c>
      <c r="T15" s="876">
        <v>5</v>
      </c>
      <c r="U15" s="889">
        <v>61.886666666666699</v>
      </c>
      <c r="V15" s="875">
        <f t="shared" si="27"/>
        <v>13.113333333333301</v>
      </c>
      <c r="W15" s="878">
        <f t="shared" si="7"/>
        <v>71.075333333333376</v>
      </c>
      <c r="X15" s="879">
        <f t="shared" si="8"/>
        <v>70</v>
      </c>
      <c r="Y15" s="878">
        <f t="shared" si="9"/>
        <v>5</v>
      </c>
      <c r="Z15" s="880">
        <f t="shared" si="10"/>
        <v>0.4236111111111111</v>
      </c>
      <c r="AA15" s="874">
        <v>0.42708333333333331</v>
      </c>
      <c r="AB15" s="882">
        <f t="shared" si="11"/>
        <v>74.999999999999972</v>
      </c>
      <c r="AC15" s="883">
        <f t="shared" si="12"/>
        <v>13.113333333333273</v>
      </c>
      <c r="AD15" s="884">
        <f t="shared" si="28"/>
        <v>4.9999999999999716</v>
      </c>
      <c r="AE15" s="885">
        <f t="shared" si="13"/>
        <v>0</v>
      </c>
      <c r="AG15" s="894">
        <f>AG4+AG85+BO4</f>
        <v>588</v>
      </c>
      <c r="AI15" s="873">
        <v>47</v>
      </c>
      <c r="AJ15" s="874">
        <v>0.65625</v>
      </c>
      <c r="AK15" s="875"/>
      <c r="AL15" s="876"/>
      <c r="AM15" s="877">
        <v>64.620833333333294</v>
      </c>
      <c r="AN15" s="875">
        <f t="shared" si="34"/>
        <v>-64.620833333333294</v>
      </c>
      <c r="AO15" s="878">
        <f t="shared" si="14"/>
        <v>74.082916666666634</v>
      </c>
      <c r="AP15" s="879">
        <f t="shared" si="15"/>
        <v>75</v>
      </c>
      <c r="AQ15" s="878">
        <f t="shared" si="16"/>
        <v>-75</v>
      </c>
      <c r="AR15" s="880">
        <f t="shared" si="17"/>
        <v>0.70833333333333337</v>
      </c>
      <c r="AS15" s="893">
        <v>0.70833333333333337</v>
      </c>
      <c r="AT15" s="882">
        <f t="shared" si="18"/>
        <v>75.000000000000057</v>
      </c>
      <c r="AU15" s="883">
        <f t="shared" si="29"/>
        <v>10.379166666666762</v>
      </c>
      <c r="AV15" s="884">
        <f t="shared" si="35"/>
        <v>0</v>
      </c>
      <c r="AW15" s="885">
        <f t="shared" si="19"/>
        <v>75.000000000000057</v>
      </c>
      <c r="AX15" s="880"/>
      <c r="AY15" s="873">
        <v>47</v>
      </c>
      <c r="AZ15" s="893">
        <v>0.65625</v>
      </c>
      <c r="BA15" s="888"/>
      <c r="BB15" s="876"/>
      <c r="BC15" s="877">
        <v>70.108333333333306</v>
      </c>
      <c r="BD15" s="875">
        <f t="shared" si="30"/>
        <v>-70.108333333333306</v>
      </c>
      <c r="BE15" s="878">
        <f t="shared" si="20"/>
        <v>80.119166666666644</v>
      </c>
      <c r="BF15" s="879">
        <f t="shared" si="21"/>
        <v>80</v>
      </c>
      <c r="BG15" s="878">
        <f t="shared" si="22"/>
        <v>-80</v>
      </c>
      <c r="BH15" s="880">
        <f t="shared" si="23"/>
        <v>0.71180555555555558</v>
      </c>
      <c r="BI15" s="874">
        <v>0.70833333333333337</v>
      </c>
      <c r="BJ15" s="882">
        <f t="shared" si="24"/>
        <v>75.000000000000057</v>
      </c>
      <c r="BK15" s="883">
        <f t="shared" si="25"/>
        <v>4.891666666666751</v>
      </c>
      <c r="BL15" s="884">
        <f t="shared" si="31"/>
        <v>-4.9999999999999432</v>
      </c>
      <c r="BM15" s="885">
        <f t="shared" si="26"/>
        <v>75.000000000000057</v>
      </c>
    </row>
    <row r="16" spans="1:67" ht="18.75" x14ac:dyDescent="0.3">
      <c r="A16" s="873">
        <v>7</v>
      </c>
      <c r="B16" s="874">
        <v>0.38541666666666669</v>
      </c>
      <c r="C16" s="875">
        <v>75</v>
      </c>
      <c r="D16" s="876">
        <v>6</v>
      </c>
      <c r="E16" s="889">
        <v>67.108333333333306</v>
      </c>
      <c r="F16" s="875">
        <f t="shared" si="32"/>
        <v>7.8916666666666941</v>
      </c>
      <c r="G16" s="878">
        <f t="shared" si="0"/>
        <v>76.819166666666646</v>
      </c>
      <c r="H16" s="879">
        <f t="shared" si="1"/>
        <v>75</v>
      </c>
      <c r="I16" s="878">
        <f t="shared" si="2"/>
        <v>0</v>
      </c>
      <c r="J16" s="880">
        <f t="shared" si="3"/>
        <v>0.4375</v>
      </c>
      <c r="K16" s="881">
        <v>0.4375</v>
      </c>
      <c r="L16" s="882">
        <f t="shared" si="4"/>
        <v>74.999999999999972</v>
      </c>
      <c r="M16" s="883">
        <f t="shared" si="5"/>
        <v>7.8916666666666657</v>
      </c>
      <c r="N16" s="884">
        <f t="shared" si="33"/>
        <v>0</v>
      </c>
      <c r="O16" s="885">
        <f t="shared" si="6"/>
        <v>0</v>
      </c>
      <c r="P16" s="880"/>
      <c r="Q16" s="873" t="s">
        <v>727</v>
      </c>
      <c r="R16" s="893">
        <v>0.38541666666666669</v>
      </c>
      <c r="S16" s="888">
        <v>75</v>
      </c>
      <c r="T16" s="876">
        <v>5</v>
      </c>
      <c r="U16" s="889">
        <v>73.5566666666667</v>
      </c>
      <c r="V16" s="875">
        <f t="shared" si="27"/>
        <v>1.4433333333332996</v>
      </c>
      <c r="W16" s="878">
        <f t="shared" si="7"/>
        <v>83.912333333333379</v>
      </c>
      <c r="X16" s="879">
        <f t="shared" si="8"/>
        <v>85</v>
      </c>
      <c r="Y16" s="878">
        <f t="shared" si="9"/>
        <v>-10</v>
      </c>
      <c r="Z16" s="880">
        <f t="shared" si="10"/>
        <v>0.44444444444444448</v>
      </c>
      <c r="AA16" s="874">
        <v>0.44791666666666669</v>
      </c>
      <c r="AB16" s="882">
        <f t="shared" si="11"/>
        <v>90</v>
      </c>
      <c r="AC16" s="883">
        <f t="shared" si="12"/>
        <v>16.4433333333333</v>
      </c>
      <c r="AD16" s="884">
        <f t="shared" si="28"/>
        <v>5</v>
      </c>
      <c r="AE16" s="885">
        <f t="shared" si="13"/>
        <v>15</v>
      </c>
      <c r="AG16" s="897">
        <f>AG15/60</f>
        <v>9.8000000000000007</v>
      </c>
      <c r="AI16" s="873">
        <v>47</v>
      </c>
      <c r="AJ16" s="874">
        <v>0.6875</v>
      </c>
      <c r="AK16" s="875">
        <v>60</v>
      </c>
      <c r="AL16" s="876">
        <v>5</v>
      </c>
      <c r="AM16" s="889">
        <v>62.456666666666699</v>
      </c>
      <c r="AN16" s="875">
        <f t="shared" si="34"/>
        <v>-2.456666666666699</v>
      </c>
      <c r="AO16" s="878">
        <f t="shared" si="14"/>
        <v>71.702333333333371</v>
      </c>
      <c r="AP16" s="879">
        <f t="shared" si="15"/>
        <v>70</v>
      </c>
      <c r="AQ16" s="878">
        <f t="shared" si="16"/>
        <v>-10</v>
      </c>
      <c r="AR16" s="880">
        <f t="shared" si="17"/>
        <v>0.73611111111111116</v>
      </c>
      <c r="AS16" s="898">
        <v>0.6875</v>
      </c>
      <c r="AT16" s="882">
        <f t="shared" si="18"/>
        <v>0</v>
      </c>
      <c r="AU16" s="883">
        <f t="shared" si="29"/>
        <v>-62.456666666666699</v>
      </c>
      <c r="AV16" s="884">
        <f t="shared" si="35"/>
        <v>-70</v>
      </c>
      <c r="AW16" s="885">
        <f t="shared" si="19"/>
        <v>-60</v>
      </c>
      <c r="AY16" s="873">
        <v>47</v>
      </c>
      <c r="AZ16" s="893">
        <v>0.6875</v>
      </c>
      <c r="BA16" s="888">
        <v>60</v>
      </c>
      <c r="BB16" s="876">
        <v>5</v>
      </c>
      <c r="BC16" s="889">
        <v>56.373333333333299</v>
      </c>
      <c r="BD16" s="875">
        <f t="shared" si="30"/>
        <v>3.6266666666667007</v>
      </c>
      <c r="BE16" s="878">
        <f t="shared" si="20"/>
        <v>65.010666666666637</v>
      </c>
      <c r="BF16" s="879">
        <f t="shared" si="21"/>
        <v>65</v>
      </c>
      <c r="BG16" s="878">
        <f t="shared" si="22"/>
        <v>-5</v>
      </c>
      <c r="BH16" s="880">
        <f t="shared" si="23"/>
        <v>0.73263888888888884</v>
      </c>
      <c r="BI16" s="898">
        <v>0.6875</v>
      </c>
      <c r="BJ16" s="882">
        <f t="shared" si="24"/>
        <v>0</v>
      </c>
      <c r="BK16" s="883">
        <f t="shared" si="25"/>
        <v>-56.373333333333299</v>
      </c>
      <c r="BL16" s="884">
        <f t="shared" si="31"/>
        <v>-65</v>
      </c>
      <c r="BM16" s="885">
        <f t="shared" si="26"/>
        <v>-60</v>
      </c>
    </row>
    <row r="17" spans="1:65" ht="18.75" x14ac:dyDescent="0.3">
      <c r="A17" s="873" t="s">
        <v>727</v>
      </c>
      <c r="B17" s="874">
        <v>0.39583333333333331</v>
      </c>
      <c r="C17" s="875">
        <v>75</v>
      </c>
      <c r="D17" s="876">
        <v>3</v>
      </c>
      <c r="E17" s="889">
        <v>67.966666666666697</v>
      </c>
      <c r="F17" s="875">
        <f t="shared" si="32"/>
        <v>7.033333333333303</v>
      </c>
      <c r="G17" s="878">
        <f t="shared" si="0"/>
        <v>77.763333333333378</v>
      </c>
      <c r="H17" s="879">
        <f t="shared" si="1"/>
        <v>80</v>
      </c>
      <c r="I17" s="878">
        <f t="shared" si="2"/>
        <v>-5</v>
      </c>
      <c r="J17" s="880">
        <f t="shared" si="3"/>
        <v>0.45138888888888884</v>
      </c>
      <c r="K17" s="893">
        <v>0.44791666666666669</v>
      </c>
      <c r="L17" s="882">
        <f t="shared" si="4"/>
        <v>75.000000000000057</v>
      </c>
      <c r="M17" s="883">
        <f t="shared" si="5"/>
        <v>7.0333333333333599</v>
      </c>
      <c r="N17" s="884">
        <f t="shared" si="33"/>
        <v>-4.9999999999999432</v>
      </c>
      <c r="O17" s="885">
        <f t="shared" si="6"/>
        <v>0</v>
      </c>
      <c r="P17" s="880"/>
      <c r="Q17" s="873">
        <v>7</v>
      </c>
      <c r="R17" s="881">
        <v>0.39583333333333331</v>
      </c>
      <c r="S17" s="888">
        <v>75</v>
      </c>
      <c r="T17" s="876">
        <v>6</v>
      </c>
      <c r="U17" s="889">
        <v>71.1944444444444</v>
      </c>
      <c r="V17" s="875">
        <f t="shared" si="27"/>
        <v>3.8055555555555998</v>
      </c>
      <c r="W17" s="878">
        <f t="shared" si="7"/>
        <v>81.31388888888884</v>
      </c>
      <c r="X17" s="879">
        <f t="shared" si="8"/>
        <v>80</v>
      </c>
      <c r="Y17" s="878">
        <f t="shared" si="9"/>
        <v>-5</v>
      </c>
      <c r="Z17" s="880">
        <f t="shared" si="10"/>
        <v>0.45138888888888884</v>
      </c>
      <c r="AA17" s="874">
        <v>0.45833333333333331</v>
      </c>
      <c r="AB17" s="882">
        <f t="shared" si="11"/>
        <v>90</v>
      </c>
      <c r="AC17" s="883">
        <f t="shared" si="12"/>
        <v>18.8055555555556</v>
      </c>
      <c r="AD17" s="884">
        <f t="shared" si="28"/>
        <v>10</v>
      </c>
      <c r="AE17" s="885">
        <f t="shared" si="13"/>
        <v>15</v>
      </c>
      <c r="AI17" s="873">
        <v>47</v>
      </c>
      <c r="AJ17" s="874">
        <v>0.70833333333333337</v>
      </c>
      <c r="AK17" s="875"/>
      <c r="AL17" s="876"/>
      <c r="AM17" s="877">
        <v>60</v>
      </c>
      <c r="AN17" s="875">
        <f t="shared" si="34"/>
        <v>-60</v>
      </c>
      <c r="AO17" s="878">
        <f t="shared" si="14"/>
        <v>69</v>
      </c>
      <c r="AP17" s="879">
        <f t="shared" si="15"/>
        <v>70</v>
      </c>
      <c r="AQ17" s="878">
        <f t="shared" si="16"/>
        <v>-70</v>
      </c>
      <c r="AR17" s="880">
        <f t="shared" si="17"/>
        <v>0.75694444444444453</v>
      </c>
      <c r="AS17" s="893">
        <v>0.76041666666666663</v>
      </c>
      <c r="AT17" s="882">
        <f t="shared" si="18"/>
        <v>74.999999999999901</v>
      </c>
      <c r="AU17" s="883">
        <f t="shared" si="29"/>
        <v>14.999999999999901</v>
      </c>
      <c r="AV17" s="884">
        <f t="shared" si="35"/>
        <v>4.9999999999999005</v>
      </c>
      <c r="AW17" s="885">
        <f t="shared" si="19"/>
        <v>74.999999999999901</v>
      </c>
      <c r="AY17" s="873">
        <v>47</v>
      </c>
      <c r="AZ17" s="893">
        <v>0.70833333333333337</v>
      </c>
      <c r="BA17" s="888"/>
      <c r="BB17" s="876"/>
      <c r="BC17" s="877">
        <v>57</v>
      </c>
      <c r="BD17" s="875">
        <f t="shared" si="30"/>
        <v>-57</v>
      </c>
      <c r="BE17" s="878">
        <f t="shared" si="20"/>
        <v>65.7</v>
      </c>
      <c r="BF17" s="879">
        <f t="shared" si="21"/>
        <v>65</v>
      </c>
      <c r="BG17" s="878">
        <f t="shared" si="22"/>
        <v>-65</v>
      </c>
      <c r="BH17" s="880">
        <f t="shared" si="23"/>
        <v>0.75347222222222221</v>
      </c>
      <c r="BI17" s="874">
        <v>0.76041666666666663</v>
      </c>
      <c r="BJ17" s="882">
        <f t="shared" si="24"/>
        <v>74.999999999999901</v>
      </c>
      <c r="BK17" s="883">
        <f t="shared" si="25"/>
        <v>17.999999999999901</v>
      </c>
      <c r="BL17" s="884">
        <f t="shared" si="31"/>
        <v>9.9999999999999005</v>
      </c>
      <c r="BM17" s="885">
        <f t="shared" si="26"/>
        <v>74.999999999999901</v>
      </c>
    </row>
    <row r="18" spans="1:65" ht="18.75" x14ac:dyDescent="0.3">
      <c r="A18" s="873">
        <v>7</v>
      </c>
      <c r="B18" s="874">
        <v>0.40277777777777773</v>
      </c>
      <c r="C18" s="875">
        <v>80</v>
      </c>
      <c r="D18" s="876">
        <v>3</v>
      </c>
      <c r="E18" s="889">
        <v>64.349999999999994</v>
      </c>
      <c r="F18" s="875">
        <f t="shared" si="32"/>
        <v>15.650000000000006</v>
      </c>
      <c r="G18" s="878">
        <f t="shared" si="0"/>
        <v>73.784999999999997</v>
      </c>
      <c r="H18" s="879">
        <f t="shared" si="1"/>
        <v>75</v>
      </c>
      <c r="I18" s="878">
        <f t="shared" si="2"/>
        <v>5</v>
      </c>
      <c r="J18" s="880">
        <f t="shared" si="3"/>
        <v>0.45486111111111105</v>
      </c>
      <c r="K18" s="881">
        <v>0.45833333333333331</v>
      </c>
      <c r="L18" s="882">
        <f t="shared" si="4"/>
        <v>80.000000000000028</v>
      </c>
      <c r="M18" s="883">
        <f t="shared" si="5"/>
        <v>15.650000000000034</v>
      </c>
      <c r="N18" s="884">
        <f t="shared" si="33"/>
        <v>5.0000000000000284</v>
      </c>
      <c r="O18" s="885">
        <f t="shared" si="6"/>
        <v>0</v>
      </c>
      <c r="P18" s="880"/>
      <c r="Q18" s="873" t="s">
        <v>727</v>
      </c>
      <c r="R18" s="893">
        <v>0.40625</v>
      </c>
      <c r="S18" s="888">
        <v>90</v>
      </c>
      <c r="T18" s="876">
        <v>5</v>
      </c>
      <c r="U18" s="889">
        <v>78.97</v>
      </c>
      <c r="V18" s="875">
        <f t="shared" si="27"/>
        <v>11.030000000000001</v>
      </c>
      <c r="W18" s="878">
        <f t="shared" si="7"/>
        <v>89.867000000000004</v>
      </c>
      <c r="X18" s="879">
        <f t="shared" si="8"/>
        <v>90</v>
      </c>
      <c r="Y18" s="878">
        <f t="shared" si="9"/>
        <v>0</v>
      </c>
      <c r="Z18" s="890">
        <f t="shared" si="10"/>
        <v>0.46875</v>
      </c>
      <c r="AA18" s="874">
        <v>0.46875</v>
      </c>
      <c r="AB18" s="883">
        <f t="shared" si="11"/>
        <v>90</v>
      </c>
      <c r="AC18" s="883">
        <f t="shared" si="12"/>
        <v>11.030000000000001</v>
      </c>
      <c r="AD18" s="884">
        <f t="shared" si="28"/>
        <v>0</v>
      </c>
      <c r="AE18" s="885">
        <f t="shared" si="13"/>
        <v>0</v>
      </c>
      <c r="AI18" s="873">
        <v>47</v>
      </c>
      <c r="AJ18" s="874">
        <v>0.72916666666666663</v>
      </c>
      <c r="AK18" s="875">
        <v>60</v>
      </c>
      <c r="AL18" s="876">
        <v>2</v>
      </c>
      <c r="AM18" s="889">
        <v>56.358333333333299</v>
      </c>
      <c r="AN18" s="875">
        <f t="shared" si="34"/>
        <v>3.6416666666667012</v>
      </c>
      <c r="AO18" s="878">
        <f t="shared" si="14"/>
        <v>64.994166666666644</v>
      </c>
      <c r="AP18" s="879">
        <f t="shared" si="15"/>
        <v>65</v>
      </c>
      <c r="AQ18" s="878">
        <f t="shared" si="16"/>
        <v>-5</v>
      </c>
      <c r="AR18" s="880">
        <f t="shared" si="17"/>
        <v>0.77430555555555547</v>
      </c>
      <c r="AS18" s="898">
        <v>0.72916666666666663</v>
      </c>
      <c r="AT18" s="882">
        <f t="shared" si="18"/>
        <v>0</v>
      </c>
      <c r="AU18" s="883">
        <f t="shared" si="29"/>
        <v>-56.358333333333299</v>
      </c>
      <c r="AV18" s="884">
        <f t="shared" si="35"/>
        <v>-65</v>
      </c>
      <c r="AW18" s="885">
        <f t="shared" si="19"/>
        <v>-60</v>
      </c>
      <c r="AY18" s="873">
        <v>47</v>
      </c>
      <c r="AZ18" s="893">
        <v>0.72916666666666663</v>
      </c>
      <c r="BA18" s="888">
        <v>60</v>
      </c>
      <c r="BB18" s="876">
        <v>6</v>
      </c>
      <c r="BC18" s="889">
        <v>58.488888888888901</v>
      </c>
      <c r="BD18" s="875">
        <f t="shared" si="30"/>
        <v>1.5111111111110986</v>
      </c>
      <c r="BE18" s="878">
        <f t="shared" si="20"/>
        <v>67.337777777777802</v>
      </c>
      <c r="BF18" s="879">
        <f t="shared" si="21"/>
        <v>65</v>
      </c>
      <c r="BG18" s="878">
        <f t="shared" si="22"/>
        <v>-5</v>
      </c>
      <c r="BH18" s="880">
        <f t="shared" si="23"/>
        <v>0.77430555555555547</v>
      </c>
      <c r="BI18" s="898">
        <v>0.72916666666666663</v>
      </c>
      <c r="BJ18" s="882">
        <f t="shared" si="24"/>
        <v>0</v>
      </c>
      <c r="BK18" s="883">
        <f t="shared" si="25"/>
        <v>-58.488888888888901</v>
      </c>
      <c r="BL18" s="884">
        <f t="shared" si="31"/>
        <v>-65</v>
      </c>
      <c r="BM18" s="885">
        <f t="shared" si="26"/>
        <v>-60</v>
      </c>
    </row>
    <row r="19" spans="1:65" ht="18.75" x14ac:dyDescent="0.3">
      <c r="A19" s="873" t="s">
        <v>727</v>
      </c>
      <c r="B19" s="874">
        <v>0.40972222222222221</v>
      </c>
      <c r="C19" s="875">
        <v>85</v>
      </c>
      <c r="D19" s="876">
        <v>6</v>
      </c>
      <c r="E19" s="889">
        <v>72.011111111111106</v>
      </c>
      <c r="F19" s="875">
        <f t="shared" si="32"/>
        <v>12.988888888888894</v>
      </c>
      <c r="G19" s="878">
        <f t="shared" si="0"/>
        <v>82.212222222222223</v>
      </c>
      <c r="H19" s="879">
        <f t="shared" si="1"/>
        <v>80</v>
      </c>
      <c r="I19" s="878">
        <f t="shared" si="2"/>
        <v>5</v>
      </c>
      <c r="J19" s="880">
        <f t="shared" si="3"/>
        <v>0.46527777777777779</v>
      </c>
      <c r="K19" s="893">
        <v>0.46875</v>
      </c>
      <c r="L19" s="882">
        <f t="shared" si="4"/>
        <v>85.000000000000014</v>
      </c>
      <c r="M19" s="883">
        <f t="shared" si="5"/>
        <v>12.988888888888908</v>
      </c>
      <c r="N19" s="884">
        <f t="shared" si="33"/>
        <v>5.0000000000000142</v>
      </c>
      <c r="O19" s="885">
        <f t="shared" si="6"/>
        <v>0</v>
      </c>
      <c r="P19" s="880"/>
      <c r="Q19" s="873">
        <v>7</v>
      </c>
      <c r="R19" s="881">
        <v>0.41666666666666669</v>
      </c>
      <c r="S19" s="888">
        <v>90</v>
      </c>
      <c r="T19" s="876">
        <v>6</v>
      </c>
      <c r="U19" s="889">
        <v>72.0416666666667</v>
      </c>
      <c r="V19" s="875">
        <f t="shared" si="27"/>
        <v>17.9583333333333</v>
      </c>
      <c r="W19" s="878">
        <f t="shared" si="7"/>
        <v>82.24583333333338</v>
      </c>
      <c r="X19" s="879">
        <f t="shared" si="8"/>
        <v>80</v>
      </c>
      <c r="Y19" s="878">
        <f t="shared" si="9"/>
        <v>10</v>
      </c>
      <c r="Z19" s="880">
        <f t="shared" si="10"/>
        <v>0.47222222222222221</v>
      </c>
      <c r="AA19" s="874">
        <v>0.47916666666666669</v>
      </c>
      <c r="AB19" s="882">
        <f t="shared" si="11"/>
        <v>90</v>
      </c>
      <c r="AC19" s="883">
        <f t="shared" si="12"/>
        <v>17.9583333333333</v>
      </c>
      <c r="AD19" s="884">
        <f t="shared" si="28"/>
        <v>10</v>
      </c>
      <c r="AE19" s="885">
        <f t="shared" si="13"/>
        <v>0</v>
      </c>
      <c r="AI19" s="873">
        <v>47</v>
      </c>
      <c r="AJ19" s="874">
        <v>0.76041666666666663</v>
      </c>
      <c r="AK19" s="875"/>
      <c r="AL19" s="876"/>
      <c r="AM19" s="877">
        <v>57</v>
      </c>
      <c r="AN19" s="875">
        <f t="shared" si="34"/>
        <v>-57</v>
      </c>
      <c r="AO19" s="878">
        <f t="shared" si="14"/>
        <v>65.7</v>
      </c>
      <c r="AP19" s="879">
        <f t="shared" si="15"/>
        <v>65</v>
      </c>
      <c r="AQ19" s="878">
        <f t="shared" si="16"/>
        <v>-65</v>
      </c>
      <c r="AR19" s="880">
        <f t="shared" si="17"/>
        <v>0.80555555555555547</v>
      </c>
      <c r="AS19" s="893">
        <v>0.8125</v>
      </c>
      <c r="AT19" s="882">
        <f t="shared" si="18"/>
        <v>75.000000000000057</v>
      </c>
      <c r="AU19" s="883">
        <f t="shared" si="29"/>
        <v>18.000000000000057</v>
      </c>
      <c r="AV19" s="884">
        <f t="shared" si="35"/>
        <v>10.000000000000057</v>
      </c>
      <c r="AW19" s="885">
        <f t="shared" si="19"/>
        <v>75.000000000000057</v>
      </c>
      <c r="AY19" s="873">
        <v>47</v>
      </c>
      <c r="AZ19" s="893">
        <v>0.76041666666666663</v>
      </c>
      <c r="BA19" s="888"/>
      <c r="BB19" s="876"/>
      <c r="BC19" s="877">
        <v>58.488888888888901</v>
      </c>
      <c r="BD19" s="875">
        <f t="shared" si="30"/>
        <v>-58.488888888888901</v>
      </c>
      <c r="BE19" s="878">
        <f t="shared" si="20"/>
        <v>67.337777777777802</v>
      </c>
      <c r="BF19" s="879">
        <f t="shared" si="21"/>
        <v>65</v>
      </c>
      <c r="BG19" s="878">
        <f t="shared" si="22"/>
        <v>-65</v>
      </c>
      <c r="BH19" s="880">
        <f t="shared" si="23"/>
        <v>0.80555555555555547</v>
      </c>
      <c r="BI19" s="874">
        <v>0.8125</v>
      </c>
      <c r="BJ19" s="882">
        <f t="shared" si="24"/>
        <v>75.000000000000057</v>
      </c>
      <c r="BK19" s="883">
        <f t="shared" si="25"/>
        <v>16.511111111111155</v>
      </c>
      <c r="BL19" s="884">
        <f t="shared" si="31"/>
        <v>10.000000000000057</v>
      </c>
      <c r="BM19" s="885">
        <f t="shared" si="26"/>
        <v>75.000000000000057</v>
      </c>
    </row>
    <row r="20" spans="1:65" ht="18.75" x14ac:dyDescent="0.3">
      <c r="A20" s="873">
        <v>7</v>
      </c>
      <c r="B20" s="874">
        <v>0.41666666666666669</v>
      </c>
      <c r="C20" s="875">
        <v>90</v>
      </c>
      <c r="D20" s="876">
        <v>4</v>
      </c>
      <c r="E20" s="889">
        <v>69.025000000000006</v>
      </c>
      <c r="F20" s="875">
        <f t="shared" si="32"/>
        <v>20.974999999999994</v>
      </c>
      <c r="G20" s="878">
        <f t="shared" si="0"/>
        <v>78.927500000000009</v>
      </c>
      <c r="H20" s="879">
        <f t="shared" si="1"/>
        <v>80</v>
      </c>
      <c r="I20" s="878">
        <f t="shared" si="2"/>
        <v>10</v>
      </c>
      <c r="J20" s="880">
        <f t="shared" si="3"/>
        <v>0.47222222222222221</v>
      </c>
      <c r="K20" s="881">
        <v>0.47916666666666669</v>
      </c>
      <c r="L20" s="882">
        <f t="shared" si="4"/>
        <v>90</v>
      </c>
      <c r="M20" s="883">
        <f t="shared" si="5"/>
        <v>20.974999999999994</v>
      </c>
      <c r="N20" s="884">
        <f t="shared" si="33"/>
        <v>10</v>
      </c>
      <c r="O20" s="885">
        <f t="shared" si="6"/>
        <v>0</v>
      </c>
      <c r="P20" s="880"/>
      <c r="Q20" s="873" t="s">
        <v>727</v>
      </c>
      <c r="R20" s="893">
        <v>0.42708333333333331</v>
      </c>
      <c r="S20" s="888">
        <v>90</v>
      </c>
      <c r="T20" s="876">
        <v>6</v>
      </c>
      <c r="U20" s="889">
        <v>81.233333333333306</v>
      </c>
      <c r="V20" s="875">
        <f t="shared" si="27"/>
        <v>8.7666666666666941</v>
      </c>
      <c r="W20" s="878">
        <f t="shared" si="7"/>
        <v>92.356666666666641</v>
      </c>
      <c r="X20" s="879">
        <f t="shared" si="8"/>
        <v>90</v>
      </c>
      <c r="Y20" s="878">
        <f t="shared" si="9"/>
        <v>0</v>
      </c>
      <c r="Z20" s="880">
        <f t="shared" si="10"/>
        <v>0.48958333333333331</v>
      </c>
      <c r="AA20" s="874">
        <v>0.5</v>
      </c>
      <c r="AB20" s="882">
        <f t="shared" si="11"/>
        <v>105.00000000000003</v>
      </c>
      <c r="AC20" s="883">
        <f t="shared" si="12"/>
        <v>23.766666666666723</v>
      </c>
      <c r="AD20" s="884">
        <f t="shared" si="28"/>
        <v>15.000000000000028</v>
      </c>
      <c r="AE20" s="885">
        <f t="shared" si="13"/>
        <v>15.000000000000028</v>
      </c>
      <c r="AI20" s="873">
        <v>47</v>
      </c>
      <c r="AJ20" s="874">
        <v>0.77083333333333337</v>
      </c>
      <c r="AK20" s="875">
        <v>60</v>
      </c>
      <c r="AL20" s="876">
        <v>0</v>
      </c>
      <c r="AM20" s="889" t="s">
        <v>1196</v>
      </c>
      <c r="AN20" s="875" t="e">
        <f t="shared" si="34"/>
        <v>#VALUE!</v>
      </c>
      <c r="AO20" s="878" t="e">
        <f t="shared" si="14"/>
        <v>#VALUE!</v>
      </c>
      <c r="AP20" s="879" t="e">
        <f t="shared" si="15"/>
        <v>#VALUE!</v>
      </c>
      <c r="AQ20" s="878" t="e">
        <f t="shared" si="16"/>
        <v>#VALUE!</v>
      </c>
      <c r="AR20" s="880" t="e">
        <f t="shared" si="17"/>
        <v>#VALUE!</v>
      </c>
      <c r="AS20" s="898">
        <v>0.77083333333333337</v>
      </c>
      <c r="AT20" s="882">
        <f t="shared" si="18"/>
        <v>0</v>
      </c>
      <c r="AU20" s="883" t="e">
        <f t="shared" si="29"/>
        <v>#VALUE!</v>
      </c>
      <c r="AV20" s="884" t="e">
        <f t="shared" si="35"/>
        <v>#VALUE!</v>
      </c>
      <c r="AW20" s="885">
        <f t="shared" si="19"/>
        <v>-60</v>
      </c>
      <c r="AY20" s="873">
        <v>47</v>
      </c>
      <c r="AZ20" s="893">
        <v>0.77083333333333337</v>
      </c>
      <c r="BA20" s="888">
        <v>60</v>
      </c>
      <c r="BB20" s="876">
        <v>3</v>
      </c>
      <c r="BC20" s="889">
        <v>54.938888888888897</v>
      </c>
      <c r="BD20" s="875">
        <f t="shared" si="30"/>
        <v>5.0611111111111029</v>
      </c>
      <c r="BE20" s="878">
        <f t="shared" si="20"/>
        <v>63.432777777777794</v>
      </c>
      <c r="BF20" s="879">
        <f t="shared" si="21"/>
        <v>65</v>
      </c>
      <c r="BG20" s="878">
        <f t="shared" si="22"/>
        <v>-5</v>
      </c>
      <c r="BH20" s="880">
        <f t="shared" si="23"/>
        <v>0.81597222222222221</v>
      </c>
      <c r="BI20" s="898">
        <v>0.77083333333333337</v>
      </c>
      <c r="BJ20" s="882">
        <f t="shared" si="24"/>
        <v>0</v>
      </c>
      <c r="BK20" s="883">
        <f t="shared" si="25"/>
        <v>-54.938888888888897</v>
      </c>
      <c r="BL20" s="884">
        <f t="shared" si="31"/>
        <v>-65</v>
      </c>
      <c r="BM20" s="885">
        <f t="shared" si="26"/>
        <v>-60</v>
      </c>
    </row>
    <row r="21" spans="1:65" ht="18.75" x14ac:dyDescent="0.3">
      <c r="A21" s="873" t="s">
        <v>727</v>
      </c>
      <c r="B21" s="874">
        <v>0.42708333333333331</v>
      </c>
      <c r="C21" s="875">
        <v>90</v>
      </c>
      <c r="D21" s="876">
        <v>5</v>
      </c>
      <c r="E21" s="889">
        <v>73.736666666666693</v>
      </c>
      <c r="F21" s="875">
        <f t="shared" si="32"/>
        <v>16.263333333333307</v>
      </c>
      <c r="G21" s="878">
        <f t="shared" si="0"/>
        <v>84.110333333333372</v>
      </c>
      <c r="H21" s="879">
        <f t="shared" si="1"/>
        <v>85</v>
      </c>
      <c r="I21" s="878">
        <f t="shared" si="2"/>
        <v>5</v>
      </c>
      <c r="J21" s="880">
        <f t="shared" si="3"/>
        <v>0.4861111111111111</v>
      </c>
      <c r="K21" s="893">
        <v>0.48958333333333331</v>
      </c>
      <c r="L21" s="882">
        <f t="shared" si="4"/>
        <v>90</v>
      </c>
      <c r="M21" s="883">
        <f t="shared" si="5"/>
        <v>16.263333333333307</v>
      </c>
      <c r="N21" s="884">
        <f t="shared" si="33"/>
        <v>5</v>
      </c>
      <c r="O21" s="885">
        <f t="shared" si="6"/>
        <v>0</v>
      </c>
      <c r="P21" s="880"/>
      <c r="Q21" s="873">
        <v>7</v>
      </c>
      <c r="R21" s="881">
        <v>0.4375</v>
      </c>
      <c r="S21" s="888">
        <v>90</v>
      </c>
      <c r="T21" s="876">
        <v>5</v>
      </c>
      <c r="U21" s="889">
        <v>74.576666666666696</v>
      </c>
      <c r="V21" s="875">
        <f t="shared" si="27"/>
        <v>15.423333333333304</v>
      </c>
      <c r="W21" s="878">
        <f t="shared" si="7"/>
        <v>85.034333333333379</v>
      </c>
      <c r="X21" s="879">
        <f t="shared" si="8"/>
        <v>85</v>
      </c>
      <c r="Y21" s="878">
        <f t="shared" si="9"/>
        <v>5</v>
      </c>
      <c r="Z21" s="880">
        <f t="shared" si="10"/>
        <v>0.49652777777777779</v>
      </c>
      <c r="AA21" s="874">
        <v>0.51041666666666663</v>
      </c>
      <c r="AB21" s="882">
        <f t="shared" si="11"/>
        <v>104.99999999999994</v>
      </c>
      <c r="AC21" s="883">
        <f t="shared" si="12"/>
        <v>30.423333333333247</v>
      </c>
      <c r="AD21" s="884">
        <f t="shared" si="28"/>
        <v>19.999999999999943</v>
      </c>
      <c r="AE21" s="885">
        <f t="shared" si="13"/>
        <v>14.999999999999943</v>
      </c>
      <c r="AI21" s="873">
        <v>47</v>
      </c>
      <c r="AJ21" s="874">
        <v>0.8125</v>
      </c>
      <c r="AK21" s="875">
        <v>60</v>
      </c>
      <c r="AL21" s="876">
        <v>2</v>
      </c>
      <c r="AM21" s="889">
        <v>57.65</v>
      </c>
      <c r="AN21" s="875">
        <f t="shared" si="34"/>
        <v>2.3500000000000014</v>
      </c>
      <c r="AO21" s="878">
        <f t="shared" si="14"/>
        <v>66.415000000000006</v>
      </c>
      <c r="AP21" s="879">
        <f t="shared" si="15"/>
        <v>65</v>
      </c>
      <c r="AQ21" s="878">
        <f t="shared" si="16"/>
        <v>-5</v>
      </c>
      <c r="AR21" s="880">
        <f t="shared" si="17"/>
        <v>0.85763888888888884</v>
      </c>
      <c r="AS21" s="895">
        <v>0.85763888888888884</v>
      </c>
      <c r="AT21" s="882">
        <f t="shared" si="18"/>
        <v>64.999999999999929</v>
      </c>
      <c r="AU21" s="883">
        <f t="shared" si="29"/>
        <v>7.3499999999999304</v>
      </c>
      <c r="AV21" s="884">
        <f t="shared" si="35"/>
        <v>0</v>
      </c>
      <c r="AW21" s="885">
        <f t="shared" si="19"/>
        <v>4.9999999999999289</v>
      </c>
      <c r="AY21" s="873">
        <v>47</v>
      </c>
      <c r="AZ21" s="893">
        <v>0.8125</v>
      </c>
      <c r="BA21" s="888">
        <v>60</v>
      </c>
      <c r="BB21" s="876">
        <v>2</v>
      </c>
      <c r="BC21" s="889">
        <v>49.274999999999999</v>
      </c>
      <c r="BD21" s="875">
        <f t="shared" si="30"/>
        <v>10.725000000000001</v>
      </c>
      <c r="BE21" s="878">
        <f t="shared" si="20"/>
        <v>57.202500000000001</v>
      </c>
      <c r="BF21" s="879">
        <f t="shared" si="21"/>
        <v>55</v>
      </c>
      <c r="BG21" s="878">
        <f t="shared" si="22"/>
        <v>5</v>
      </c>
      <c r="BH21" s="880">
        <f t="shared" si="23"/>
        <v>0.85069444444444442</v>
      </c>
      <c r="BI21" s="874">
        <v>0.85416666666666663</v>
      </c>
      <c r="BJ21" s="882">
        <f t="shared" si="24"/>
        <v>59.99999999999995</v>
      </c>
      <c r="BK21" s="883">
        <f t="shared" si="25"/>
        <v>10.724999999999952</v>
      </c>
      <c r="BL21" s="884">
        <f t="shared" si="31"/>
        <v>4.9999999999999503</v>
      </c>
      <c r="BM21" s="885">
        <f t="shared" si="26"/>
        <v>0</v>
      </c>
    </row>
    <row r="22" spans="1:65" ht="18.75" x14ac:dyDescent="0.3">
      <c r="A22" s="873">
        <v>7</v>
      </c>
      <c r="B22" s="874">
        <v>0.4375</v>
      </c>
      <c r="C22" s="875">
        <v>90</v>
      </c>
      <c r="D22" s="876">
        <v>5</v>
      </c>
      <c r="E22" s="889">
        <v>73.643333333333302</v>
      </c>
      <c r="F22" s="875">
        <f t="shared" si="32"/>
        <v>16.356666666666698</v>
      </c>
      <c r="G22" s="878">
        <f t="shared" si="0"/>
        <v>84.007666666666637</v>
      </c>
      <c r="H22" s="879">
        <f t="shared" si="1"/>
        <v>85</v>
      </c>
      <c r="I22" s="878">
        <f t="shared" si="2"/>
        <v>5</v>
      </c>
      <c r="J22" s="880">
        <f t="shared" si="3"/>
        <v>0.49652777777777779</v>
      </c>
      <c r="K22" s="881">
        <v>0.5</v>
      </c>
      <c r="L22" s="882">
        <f t="shared" si="4"/>
        <v>90</v>
      </c>
      <c r="M22" s="883">
        <f t="shared" si="5"/>
        <v>16.356666666666698</v>
      </c>
      <c r="N22" s="884">
        <f t="shared" si="33"/>
        <v>5</v>
      </c>
      <c r="O22" s="885">
        <f t="shared" si="6"/>
        <v>0</v>
      </c>
      <c r="P22" s="880"/>
      <c r="Q22" s="873" t="s">
        <v>727</v>
      </c>
      <c r="R22" s="893">
        <v>0.44791666666666669</v>
      </c>
      <c r="S22" s="888">
        <v>90</v>
      </c>
      <c r="T22" s="876">
        <v>5</v>
      </c>
      <c r="U22" s="889">
        <v>83.326666666666696</v>
      </c>
      <c r="V22" s="875">
        <f t="shared" si="27"/>
        <v>6.6733333333333036</v>
      </c>
      <c r="W22" s="878">
        <f t="shared" si="7"/>
        <v>94.659333333333379</v>
      </c>
      <c r="X22" s="879">
        <f t="shared" si="8"/>
        <v>95</v>
      </c>
      <c r="Y22" s="878">
        <f t="shared" si="9"/>
        <v>-5</v>
      </c>
      <c r="Z22" s="880">
        <f t="shared" si="10"/>
        <v>0.51388888888888895</v>
      </c>
      <c r="AA22" s="874">
        <v>0.52083333333333337</v>
      </c>
      <c r="AB22" s="882">
        <f t="shared" si="11"/>
        <v>105.00000000000003</v>
      </c>
      <c r="AC22" s="883">
        <f t="shared" si="12"/>
        <v>21.673333333333332</v>
      </c>
      <c r="AD22" s="884">
        <f t="shared" si="28"/>
        <v>10.000000000000028</v>
      </c>
      <c r="AE22" s="885">
        <f t="shared" si="13"/>
        <v>15.000000000000028</v>
      </c>
      <c r="AI22" s="873">
        <v>47</v>
      </c>
      <c r="AJ22" s="874">
        <v>0.85416666666666663</v>
      </c>
      <c r="AK22" s="875">
        <v>60</v>
      </c>
      <c r="AL22" s="876">
        <v>1</v>
      </c>
      <c r="AM22" s="889">
        <v>44.6</v>
      </c>
      <c r="AN22" s="875">
        <f t="shared" si="34"/>
        <v>15.399999999999999</v>
      </c>
      <c r="AO22" s="878">
        <f t="shared" si="14"/>
        <v>52.06</v>
      </c>
      <c r="AP22" s="879">
        <f t="shared" si="15"/>
        <v>50</v>
      </c>
      <c r="AQ22" s="878">
        <f t="shared" si="16"/>
        <v>10</v>
      </c>
      <c r="AR22" s="880">
        <f t="shared" si="17"/>
        <v>0.88888888888888884</v>
      </c>
      <c r="AS22" s="893">
        <v>0.89583333333333337</v>
      </c>
      <c r="AT22" s="882">
        <f t="shared" si="18"/>
        <v>60.000000000000107</v>
      </c>
      <c r="AU22" s="883">
        <f t="shared" si="29"/>
        <v>15.400000000000105</v>
      </c>
      <c r="AV22" s="884">
        <f t="shared" si="35"/>
        <v>10.000000000000107</v>
      </c>
      <c r="AW22" s="885">
        <f t="shared" si="19"/>
        <v>1.0658141036401503E-13</v>
      </c>
      <c r="AY22" s="873">
        <v>47</v>
      </c>
      <c r="AZ22" s="893">
        <v>0.85416666666666663</v>
      </c>
      <c r="BA22" s="888">
        <v>60</v>
      </c>
      <c r="BB22" s="876">
        <v>3</v>
      </c>
      <c r="BC22" s="889">
        <v>43.961111111111101</v>
      </c>
      <c r="BD22" s="875">
        <f t="shared" si="30"/>
        <v>16.038888888888899</v>
      </c>
      <c r="BE22" s="878">
        <f t="shared" si="20"/>
        <v>51.357222222222212</v>
      </c>
      <c r="BF22" s="879">
        <f t="shared" si="21"/>
        <v>50</v>
      </c>
      <c r="BG22" s="878">
        <f t="shared" si="22"/>
        <v>10</v>
      </c>
      <c r="BH22" s="880">
        <f t="shared" si="23"/>
        <v>0.88888888888888884</v>
      </c>
      <c r="BI22" s="874">
        <v>0.89583333333333337</v>
      </c>
      <c r="BJ22" s="882">
        <f t="shared" si="24"/>
        <v>60.000000000000107</v>
      </c>
      <c r="BK22" s="883">
        <f t="shared" si="25"/>
        <v>16.038888888889005</v>
      </c>
      <c r="BL22" s="884">
        <f t="shared" si="31"/>
        <v>10.000000000000107</v>
      </c>
      <c r="BM22" s="885">
        <f t="shared" si="26"/>
        <v>1.0658141036401503E-13</v>
      </c>
    </row>
    <row r="23" spans="1:65" ht="18.75" x14ac:dyDescent="0.3">
      <c r="A23" s="873" t="s">
        <v>727</v>
      </c>
      <c r="B23" s="874">
        <v>0.44791666666666669</v>
      </c>
      <c r="C23" s="875">
        <v>90</v>
      </c>
      <c r="D23" s="876">
        <v>5</v>
      </c>
      <c r="E23" s="889">
        <v>78.010000000000005</v>
      </c>
      <c r="F23" s="875">
        <f t="shared" si="32"/>
        <v>11.989999999999995</v>
      </c>
      <c r="G23" s="878">
        <f t="shared" si="0"/>
        <v>88.811000000000007</v>
      </c>
      <c r="H23" s="879">
        <f t="shared" si="1"/>
        <v>90</v>
      </c>
      <c r="I23" s="878">
        <f t="shared" si="2"/>
        <v>0</v>
      </c>
      <c r="J23" s="880">
        <f t="shared" si="3"/>
        <v>0.51041666666666674</v>
      </c>
      <c r="K23" s="893">
        <v>0.51041666666666663</v>
      </c>
      <c r="L23" s="882">
        <f t="shared" si="4"/>
        <v>89.999999999999929</v>
      </c>
      <c r="M23" s="883">
        <f t="shared" si="5"/>
        <v>11.989999999999924</v>
      </c>
      <c r="N23" s="884">
        <f t="shared" si="33"/>
        <v>0</v>
      </c>
      <c r="O23" s="885">
        <f t="shared" si="6"/>
        <v>0</v>
      </c>
      <c r="P23" s="880"/>
      <c r="Q23" s="873">
        <v>7</v>
      </c>
      <c r="R23" s="881">
        <v>0.45833333333333331</v>
      </c>
      <c r="S23" s="888">
        <v>90</v>
      </c>
      <c r="T23" s="876">
        <v>5</v>
      </c>
      <c r="U23" s="889">
        <v>72.260000000000005</v>
      </c>
      <c r="V23" s="875">
        <f t="shared" si="27"/>
        <v>17.739999999999995</v>
      </c>
      <c r="W23" s="878">
        <f t="shared" si="7"/>
        <v>82.486000000000018</v>
      </c>
      <c r="X23" s="879">
        <f t="shared" si="8"/>
        <v>80</v>
      </c>
      <c r="Y23" s="878">
        <f t="shared" si="9"/>
        <v>10</v>
      </c>
      <c r="Z23" s="880">
        <f t="shared" si="10"/>
        <v>0.51388888888888884</v>
      </c>
      <c r="AA23" s="874">
        <v>0.53125</v>
      </c>
      <c r="AB23" s="882">
        <f t="shared" si="11"/>
        <v>105.00000000000003</v>
      </c>
      <c r="AC23" s="883">
        <f t="shared" si="12"/>
        <v>32.740000000000023</v>
      </c>
      <c r="AD23" s="884">
        <f t="shared" si="28"/>
        <v>25.000000000000028</v>
      </c>
      <c r="AE23" s="885">
        <f t="shared" si="13"/>
        <v>15.000000000000028</v>
      </c>
      <c r="AI23" s="873">
        <v>47</v>
      </c>
      <c r="AJ23" s="874">
        <v>0.89583333333333337</v>
      </c>
      <c r="AK23" s="875">
        <v>60</v>
      </c>
      <c r="AL23" s="876">
        <v>2</v>
      </c>
      <c r="AM23" s="889">
        <v>48.366666666666703</v>
      </c>
      <c r="AN23" s="875">
        <f t="shared" si="34"/>
        <v>11.633333333333297</v>
      </c>
      <c r="AO23" s="878">
        <f t="shared" si="14"/>
        <v>56.203333333333376</v>
      </c>
      <c r="AP23" s="879">
        <f t="shared" si="15"/>
        <v>55</v>
      </c>
      <c r="AQ23" s="878">
        <f t="shared" si="16"/>
        <v>5</v>
      </c>
      <c r="AR23" s="880">
        <f t="shared" si="17"/>
        <v>0.93402777777777779</v>
      </c>
      <c r="AS23" s="893">
        <v>0.9375</v>
      </c>
      <c r="AT23" s="882">
        <f t="shared" si="18"/>
        <v>59.99999999999995</v>
      </c>
      <c r="AU23" s="883">
        <f t="shared" si="29"/>
        <v>11.633333333333248</v>
      </c>
      <c r="AV23" s="884">
        <f t="shared" si="35"/>
        <v>4.9999999999999503</v>
      </c>
      <c r="AW23" s="885">
        <f t="shared" si="19"/>
        <v>0</v>
      </c>
      <c r="AY23" s="873">
        <v>47</v>
      </c>
      <c r="AZ23" s="893">
        <v>0.89583333333333337</v>
      </c>
      <c r="BA23" s="888">
        <v>60</v>
      </c>
      <c r="BB23" s="876">
        <v>6</v>
      </c>
      <c r="BC23" s="889">
        <v>42.844444444444399</v>
      </c>
      <c r="BD23" s="875">
        <f t="shared" si="30"/>
        <v>17.155555555555601</v>
      </c>
      <c r="BE23" s="878">
        <f t="shared" si="20"/>
        <v>50.128888888888845</v>
      </c>
      <c r="BF23" s="879">
        <f t="shared" si="21"/>
        <v>50</v>
      </c>
      <c r="BG23" s="878">
        <f t="shared" si="22"/>
        <v>10</v>
      </c>
      <c r="BH23" s="880">
        <f t="shared" si="23"/>
        <v>0.93055555555555558</v>
      </c>
      <c r="BI23" s="874">
        <v>0.9375</v>
      </c>
      <c r="BJ23" s="882">
        <f t="shared" si="24"/>
        <v>59.99999999999995</v>
      </c>
      <c r="BK23" s="883">
        <f t="shared" si="25"/>
        <v>17.155555555555551</v>
      </c>
      <c r="BL23" s="884">
        <f t="shared" si="31"/>
        <v>9.9999999999999503</v>
      </c>
      <c r="BM23" s="885">
        <f t="shared" si="26"/>
        <v>0</v>
      </c>
    </row>
    <row r="24" spans="1:65" ht="18.75" x14ac:dyDescent="0.3">
      <c r="A24" s="873">
        <v>7</v>
      </c>
      <c r="B24" s="874">
        <v>0.45833333333333331</v>
      </c>
      <c r="C24" s="875">
        <v>90</v>
      </c>
      <c r="D24" s="876">
        <v>6</v>
      </c>
      <c r="E24" s="889">
        <v>72.3</v>
      </c>
      <c r="F24" s="875">
        <f t="shared" si="32"/>
        <v>17.700000000000003</v>
      </c>
      <c r="G24" s="878">
        <f t="shared" si="0"/>
        <v>82.53</v>
      </c>
      <c r="H24" s="879">
        <f t="shared" si="1"/>
        <v>85</v>
      </c>
      <c r="I24" s="878">
        <f t="shared" si="2"/>
        <v>5</v>
      </c>
      <c r="J24" s="880">
        <f t="shared" si="3"/>
        <v>0.51736111111111105</v>
      </c>
      <c r="K24" s="895">
        <v>0.52083333333333337</v>
      </c>
      <c r="L24" s="882">
        <f t="shared" si="4"/>
        <v>90.000000000000071</v>
      </c>
      <c r="M24" s="883">
        <f t="shared" si="5"/>
        <v>17.700000000000074</v>
      </c>
      <c r="N24" s="884">
        <f t="shared" si="33"/>
        <v>5.0000000000000711</v>
      </c>
      <c r="O24" s="885">
        <f t="shared" si="6"/>
        <v>0</v>
      </c>
      <c r="P24" s="880"/>
      <c r="Q24" s="873" t="s">
        <v>727</v>
      </c>
      <c r="R24" s="893">
        <v>0.46875</v>
      </c>
      <c r="S24" s="888">
        <v>90</v>
      </c>
      <c r="T24" s="876">
        <v>6</v>
      </c>
      <c r="U24" s="889">
        <v>85.963888888888903</v>
      </c>
      <c r="V24" s="875">
        <f t="shared" si="27"/>
        <v>4.0361111111110972</v>
      </c>
      <c r="W24" s="878">
        <f t="shared" si="7"/>
        <v>97.560277777777799</v>
      </c>
      <c r="X24" s="879">
        <f t="shared" si="8"/>
        <v>100</v>
      </c>
      <c r="Y24" s="878">
        <f t="shared" si="9"/>
        <v>-10</v>
      </c>
      <c r="Z24" s="880">
        <f t="shared" si="10"/>
        <v>0.53819444444444442</v>
      </c>
      <c r="AA24" s="874">
        <v>0.54166666666666663</v>
      </c>
      <c r="AB24" s="883">
        <f t="shared" si="11"/>
        <v>104.99999999999994</v>
      </c>
      <c r="AC24" s="883">
        <f t="shared" si="12"/>
        <v>19.03611111111104</v>
      </c>
      <c r="AD24" s="884">
        <f t="shared" si="28"/>
        <v>4.9999999999999432</v>
      </c>
      <c r="AE24" s="885">
        <f t="shared" si="13"/>
        <v>14.999999999999943</v>
      </c>
      <c r="AI24" s="873">
        <v>47</v>
      </c>
      <c r="AJ24" s="874">
        <v>0.9375</v>
      </c>
      <c r="AK24" s="875">
        <v>60</v>
      </c>
      <c r="AL24" s="876">
        <v>3</v>
      </c>
      <c r="AM24" s="889">
        <v>48.261111111111099</v>
      </c>
      <c r="AN24" s="875">
        <f t="shared" si="34"/>
        <v>11.738888888888901</v>
      </c>
      <c r="AO24" s="878">
        <f t="shared" si="14"/>
        <v>56.087222222222216</v>
      </c>
      <c r="AP24" s="879">
        <f t="shared" si="15"/>
        <v>55</v>
      </c>
      <c r="AQ24" s="878">
        <f t="shared" si="16"/>
        <v>5</v>
      </c>
      <c r="AR24" s="880">
        <f t="shared" si="17"/>
        <v>0.97569444444444442</v>
      </c>
      <c r="AS24" s="893">
        <v>0.97916666666666663</v>
      </c>
      <c r="AT24" s="882">
        <f t="shared" si="18"/>
        <v>59.99999999999995</v>
      </c>
      <c r="AU24" s="883">
        <f t="shared" si="29"/>
        <v>11.738888888888852</v>
      </c>
      <c r="AV24" s="884">
        <f t="shared" si="35"/>
        <v>4.9999999999999503</v>
      </c>
      <c r="AW24" s="885">
        <f t="shared" si="19"/>
        <v>0</v>
      </c>
      <c r="AY24" s="873">
        <v>47</v>
      </c>
      <c r="AZ24" s="893">
        <v>0.9375</v>
      </c>
      <c r="BA24" s="888">
        <v>60</v>
      </c>
      <c r="BB24" s="876">
        <v>5</v>
      </c>
      <c r="BC24" s="889">
        <v>44.53</v>
      </c>
      <c r="BD24" s="875">
        <f t="shared" si="30"/>
        <v>15.469999999999999</v>
      </c>
      <c r="BE24" s="878">
        <f t="shared" si="20"/>
        <v>51.983000000000004</v>
      </c>
      <c r="BF24" s="879">
        <f t="shared" si="21"/>
        <v>50</v>
      </c>
      <c r="BG24" s="878">
        <f t="shared" si="22"/>
        <v>10</v>
      </c>
      <c r="BH24" s="880">
        <f t="shared" si="23"/>
        <v>0.97222222222222221</v>
      </c>
      <c r="BI24" s="874">
        <v>0.97916666666666663</v>
      </c>
      <c r="BJ24" s="882">
        <f t="shared" si="24"/>
        <v>59.99999999999995</v>
      </c>
      <c r="BK24" s="883">
        <f t="shared" si="25"/>
        <v>15.469999999999949</v>
      </c>
      <c r="BL24" s="884">
        <f t="shared" si="31"/>
        <v>9.9999999999999503</v>
      </c>
      <c r="BM24" s="885">
        <f t="shared" si="26"/>
        <v>0</v>
      </c>
    </row>
    <row r="25" spans="1:65" ht="18.75" x14ac:dyDescent="0.3">
      <c r="A25" s="873" t="s">
        <v>727</v>
      </c>
      <c r="B25" s="874">
        <v>0.46875</v>
      </c>
      <c r="C25" s="875">
        <v>85</v>
      </c>
      <c r="D25" s="876">
        <v>6</v>
      </c>
      <c r="E25" s="889">
        <v>79.663888888888906</v>
      </c>
      <c r="F25" s="875">
        <f t="shared" si="32"/>
        <v>5.3361111111110944</v>
      </c>
      <c r="G25" s="878">
        <f t="shared" si="0"/>
        <v>90.630277777777806</v>
      </c>
      <c r="H25" s="879">
        <f t="shared" si="1"/>
        <v>90</v>
      </c>
      <c r="I25" s="878">
        <f t="shared" si="2"/>
        <v>-5</v>
      </c>
      <c r="J25" s="880">
        <f t="shared" si="3"/>
        <v>0.53125</v>
      </c>
      <c r="K25" s="895">
        <v>0.53472222222222221</v>
      </c>
      <c r="L25" s="882">
        <f t="shared" si="4"/>
        <v>94.999999999999986</v>
      </c>
      <c r="M25" s="883">
        <f t="shared" si="5"/>
        <v>15.33611111111108</v>
      </c>
      <c r="N25" s="884">
        <f t="shared" si="33"/>
        <v>4.9999999999999858</v>
      </c>
      <c r="O25" s="885">
        <f t="shared" si="6"/>
        <v>9.9999999999999858</v>
      </c>
      <c r="P25" s="880"/>
      <c r="Q25" s="873">
        <v>7</v>
      </c>
      <c r="R25" s="881">
        <v>0.47916666666666669</v>
      </c>
      <c r="S25" s="888">
        <v>87</v>
      </c>
      <c r="T25" s="876">
        <v>5</v>
      </c>
      <c r="U25" s="889">
        <v>73.386666666666699</v>
      </c>
      <c r="V25" s="875">
        <f t="shared" si="27"/>
        <v>13.613333333333301</v>
      </c>
      <c r="W25" s="878">
        <f t="shared" si="7"/>
        <v>83.725333333333381</v>
      </c>
      <c r="X25" s="879">
        <f t="shared" si="8"/>
        <v>85</v>
      </c>
      <c r="Y25" s="878">
        <f t="shared" si="9"/>
        <v>2</v>
      </c>
      <c r="Z25" s="880">
        <f t="shared" si="10"/>
        <v>0.53819444444444442</v>
      </c>
      <c r="AA25" s="874">
        <v>0.55208333333333337</v>
      </c>
      <c r="AB25" s="882">
        <f t="shared" si="11"/>
        <v>105.00000000000003</v>
      </c>
      <c r="AC25" s="883">
        <f t="shared" si="12"/>
        <v>31.61333333333333</v>
      </c>
      <c r="AD25" s="884">
        <f t="shared" si="28"/>
        <v>20.000000000000028</v>
      </c>
      <c r="AE25" s="885">
        <f t="shared" si="13"/>
        <v>18.000000000000028</v>
      </c>
      <c r="AI25" s="873">
        <v>47</v>
      </c>
      <c r="AJ25" s="874">
        <v>0.97916666666666663</v>
      </c>
      <c r="AK25" s="875">
        <v>60</v>
      </c>
      <c r="AL25" s="876">
        <v>4</v>
      </c>
      <c r="AM25" s="889">
        <v>44.345833333333303</v>
      </c>
      <c r="AN25" s="875">
        <f t="shared" si="34"/>
        <v>15.654166666666697</v>
      </c>
      <c r="AO25" s="878">
        <f t="shared" si="14"/>
        <v>51.780416666666639</v>
      </c>
      <c r="AP25" s="879">
        <f t="shared" si="15"/>
        <v>50</v>
      </c>
      <c r="AQ25" s="878">
        <f t="shared" si="16"/>
        <v>10</v>
      </c>
      <c r="AR25" s="880">
        <f t="shared" si="17"/>
        <v>1.0138888888888888</v>
      </c>
      <c r="AS25" s="895">
        <v>1.0173611111111112</v>
      </c>
      <c r="AT25" s="882">
        <f t="shared" si="18"/>
        <v>55.000000000000121</v>
      </c>
      <c r="AU25" s="883">
        <f t="shared" si="29"/>
        <v>10.654166666666818</v>
      </c>
      <c r="AV25" s="884">
        <f t="shared" si="35"/>
        <v>5.0000000000001208</v>
      </c>
      <c r="AW25" s="885">
        <f t="shared" si="19"/>
        <v>-4.9999999999998792</v>
      </c>
      <c r="AY25" s="873">
        <v>47</v>
      </c>
      <c r="AZ25" s="893">
        <v>0.97916666666666663</v>
      </c>
      <c r="BA25" s="888">
        <v>60</v>
      </c>
      <c r="BB25" s="876">
        <v>5</v>
      </c>
      <c r="BC25" s="889">
        <v>39.803333333333299</v>
      </c>
      <c r="BD25" s="875">
        <f t="shared" si="30"/>
        <v>20.196666666666701</v>
      </c>
      <c r="BE25" s="878">
        <f t="shared" si="20"/>
        <v>46.783666666666633</v>
      </c>
      <c r="BF25" s="879">
        <f t="shared" si="21"/>
        <v>45</v>
      </c>
      <c r="BG25" s="878">
        <f t="shared" si="22"/>
        <v>15</v>
      </c>
      <c r="BH25" s="880">
        <f t="shared" si="23"/>
        <v>1.0104166666666665</v>
      </c>
      <c r="BI25" s="895">
        <v>1.0173611111111112</v>
      </c>
      <c r="BJ25" s="882">
        <f t="shared" si="24"/>
        <v>55.000000000000121</v>
      </c>
      <c r="BK25" s="883">
        <f t="shared" si="25"/>
        <v>15.196666666666822</v>
      </c>
      <c r="BL25" s="884">
        <f t="shared" si="31"/>
        <v>10.000000000000121</v>
      </c>
      <c r="BM25" s="885">
        <f t="shared" si="26"/>
        <v>-4.9999999999998792</v>
      </c>
    </row>
    <row r="26" spans="1:65" ht="18.75" x14ac:dyDescent="0.3">
      <c r="A26" s="873">
        <v>7</v>
      </c>
      <c r="B26" s="874">
        <v>0.47916666666666669</v>
      </c>
      <c r="C26" s="875">
        <v>90</v>
      </c>
      <c r="D26" s="876">
        <v>5</v>
      </c>
      <c r="E26" s="889">
        <v>77.183333333333294</v>
      </c>
      <c r="F26" s="875">
        <f t="shared" si="32"/>
        <v>12.816666666666706</v>
      </c>
      <c r="G26" s="878">
        <f t="shared" si="0"/>
        <v>87.901666666666628</v>
      </c>
      <c r="H26" s="879">
        <f t="shared" si="1"/>
        <v>90</v>
      </c>
      <c r="I26" s="878">
        <f t="shared" si="2"/>
        <v>0</v>
      </c>
      <c r="J26" s="880">
        <f t="shared" si="3"/>
        <v>0.54166666666666674</v>
      </c>
      <c r="K26" s="881">
        <v>0.54166666666666663</v>
      </c>
      <c r="L26" s="882">
        <f t="shared" si="4"/>
        <v>89.999999999999929</v>
      </c>
      <c r="M26" s="883">
        <f t="shared" si="5"/>
        <v>12.816666666666634</v>
      </c>
      <c r="N26" s="884">
        <f t="shared" si="33"/>
        <v>0</v>
      </c>
      <c r="O26" s="885">
        <f t="shared" si="6"/>
        <v>0</v>
      </c>
      <c r="P26" s="880"/>
      <c r="Q26" s="873" t="s">
        <v>727</v>
      </c>
      <c r="R26" s="893">
        <v>0.48958333333333331</v>
      </c>
      <c r="S26" s="888">
        <v>90</v>
      </c>
      <c r="T26" s="876">
        <v>6</v>
      </c>
      <c r="U26" s="889">
        <v>88.411111111111097</v>
      </c>
      <c r="V26" s="875">
        <f t="shared" si="27"/>
        <v>1.5888888888889028</v>
      </c>
      <c r="W26" s="878">
        <f t="shared" si="7"/>
        <v>100.25222222222222</v>
      </c>
      <c r="X26" s="879">
        <f t="shared" si="8"/>
        <v>100</v>
      </c>
      <c r="Y26" s="878">
        <f t="shared" si="9"/>
        <v>-10</v>
      </c>
      <c r="Z26" s="880">
        <f t="shared" si="10"/>
        <v>0.55902777777777779</v>
      </c>
      <c r="AA26" s="874">
        <v>0.5625</v>
      </c>
      <c r="AB26" s="882">
        <f t="shared" si="11"/>
        <v>105.00000000000003</v>
      </c>
      <c r="AC26" s="883">
        <f t="shared" si="12"/>
        <v>16.588888888888931</v>
      </c>
      <c r="AD26" s="884">
        <f t="shared" si="28"/>
        <v>5.0000000000000284</v>
      </c>
      <c r="AE26" s="885">
        <f t="shared" si="13"/>
        <v>15.000000000000028</v>
      </c>
    </row>
    <row r="27" spans="1:65" ht="18.75" x14ac:dyDescent="0.3">
      <c r="A27" s="873" t="s">
        <v>727</v>
      </c>
      <c r="B27" s="874">
        <v>0.48958333333333331</v>
      </c>
      <c r="C27" s="875">
        <v>90</v>
      </c>
      <c r="D27" s="876">
        <v>5</v>
      </c>
      <c r="E27" s="889">
        <v>85.993333333333297</v>
      </c>
      <c r="F27" s="875">
        <f t="shared" si="32"/>
        <v>4.0066666666667032</v>
      </c>
      <c r="G27" s="878">
        <f t="shared" si="0"/>
        <v>97.592666666666631</v>
      </c>
      <c r="H27" s="879">
        <f t="shared" si="1"/>
        <v>100</v>
      </c>
      <c r="I27" s="878">
        <f t="shared" si="2"/>
        <v>-10</v>
      </c>
      <c r="J27" s="880">
        <f t="shared" si="3"/>
        <v>0.55902777777777779</v>
      </c>
      <c r="K27" s="893">
        <v>0.57291666666666663</v>
      </c>
      <c r="L27" s="882">
        <f t="shared" si="4"/>
        <v>119.99999999999997</v>
      </c>
      <c r="M27" s="883">
        <f t="shared" si="5"/>
        <v>34.006666666666675</v>
      </c>
      <c r="N27" s="884">
        <f t="shared" si="33"/>
        <v>19.999999999999972</v>
      </c>
      <c r="O27" s="885">
        <f t="shared" si="6"/>
        <v>29.999999999999972</v>
      </c>
      <c r="P27" s="890"/>
      <c r="Q27" s="873">
        <v>7</v>
      </c>
      <c r="R27" s="881">
        <v>0.5</v>
      </c>
      <c r="S27" s="888">
        <v>90</v>
      </c>
      <c r="T27" s="876">
        <v>6</v>
      </c>
      <c r="U27" s="889">
        <v>84.677777777777806</v>
      </c>
      <c r="V27" s="875">
        <f t="shared" si="27"/>
        <v>5.3222222222221944</v>
      </c>
      <c r="W27" s="878">
        <f t="shared" si="7"/>
        <v>96.145555555555589</v>
      </c>
      <c r="X27" s="879">
        <f t="shared" si="8"/>
        <v>95</v>
      </c>
      <c r="Y27" s="878">
        <f t="shared" si="9"/>
        <v>-5</v>
      </c>
      <c r="Z27" s="880">
        <f t="shared" si="10"/>
        <v>0.56597222222222221</v>
      </c>
      <c r="AA27" s="874">
        <v>0.57291666666666663</v>
      </c>
      <c r="AB27" s="882">
        <f t="shared" si="11"/>
        <v>104.99999999999994</v>
      </c>
      <c r="AC27" s="883">
        <f t="shared" si="12"/>
        <v>20.322222222222138</v>
      </c>
      <c r="AD27" s="884">
        <f t="shared" si="28"/>
        <v>9.9999999999999432</v>
      </c>
      <c r="AE27" s="885">
        <f t="shared" si="13"/>
        <v>14.999999999999943</v>
      </c>
    </row>
    <row r="28" spans="1:65" ht="18.75" x14ac:dyDescent="0.3">
      <c r="A28" s="873">
        <v>7</v>
      </c>
      <c r="B28" s="874">
        <v>0.5</v>
      </c>
      <c r="C28" s="875">
        <v>90</v>
      </c>
      <c r="D28" s="876">
        <v>6</v>
      </c>
      <c r="E28" s="889">
        <v>79.636111111111106</v>
      </c>
      <c r="F28" s="875">
        <f t="shared" si="32"/>
        <v>10.363888888888894</v>
      </c>
      <c r="G28" s="878">
        <f t="shared" si="0"/>
        <v>90.599722222222226</v>
      </c>
      <c r="H28" s="879">
        <f t="shared" si="1"/>
        <v>90</v>
      </c>
      <c r="I28" s="878">
        <f t="shared" si="2"/>
        <v>0</v>
      </c>
      <c r="J28" s="890">
        <f t="shared" si="3"/>
        <v>0.5625</v>
      </c>
      <c r="K28" s="881">
        <v>0.5625</v>
      </c>
      <c r="L28" s="882">
        <f t="shared" si="4"/>
        <v>90</v>
      </c>
      <c r="M28" s="883">
        <f t="shared" si="5"/>
        <v>10.363888888888894</v>
      </c>
      <c r="N28" s="884">
        <f t="shared" si="33"/>
        <v>0</v>
      </c>
      <c r="O28" s="885">
        <f t="shared" si="6"/>
        <v>0</v>
      </c>
      <c r="P28" s="880"/>
      <c r="Q28" s="873" t="s">
        <v>727</v>
      </c>
      <c r="R28" s="893">
        <v>0.51041666666666663</v>
      </c>
      <c r="S28" s="888">
        <v>90</v>
      </c>
      <c r="T28" s="876">
        <v>4</v>
      </c>
      <c r="U28" s="889">
        <v>88.920833333333306</v>
      </c>
      <c r="V28" s="875">
        <f t="shared" si="27"/>
        <v>1.0791666666666941</v>
      </c>
      <c r="W28" s="878">
        <f t="shared" si="7"/>
        <v>100.81291666666664</v>
      </c>
      <c r="X28" s="879">
        <f t="shared" si="8"/>
        <v>100</v>
      </c>
      <c r="Y28" s="878">
        <f t="shared" si="9"/>
        <v>-10</v>
      </c>
      <c r="Z28" s="880">
        <f t="shared" si="10"/>
        <v>0.57986111111111105</v>
      </c>
      <c r="AA28" s="874">
        <v>0.58333333333333337</v>
      </c>
      <c r="AB28" s="882">
        <f t="shared" si="11"/>
        <v>105.0000000000001</v>
      </c>
      <c r="AC28" s="883">
        <f t="shared" si="12"/>
        <v>16.079166666666794</v>
      </c>
      <c r="AD28" s="884">
        <f t="shared" si="28"/>
        <v>5.0000000000000995</v>
      </c>
      <c r="AE28" s="885">
        <f t="shared" si="13"/>
        <v>15.000000000000099</v>
      </c>
    </row>
    <row r="29" spans="1:65" ht="18.75" x14ac:dyDescent="0.3">
      <c r="A29" s="873" t="s">
        <v>727</v>
      </c>
      <c r="B29" s="874">
        <v>0.51041666666666663</v>
      </c>
      <c r="C29" s="875">
        <v>90</v>
      </c>
      <c r="D29" s="876">
        <v>6</v>
      </c>
      <c r="E29" s="889">
        <v>85.113888888888894</v>
      </c>
      <c r="F29" s="875">
        <f t="shared" si="32"/>
        <v>4.8861111111111057</v>
      </c>
      <c r="G29" s="878">
        <f t="shared" si="0"/>
        <v>96.625277777777796</v>
      </c>
      <c r="H29" s="879">
        <f t="shared" si="1"/>
        <v>95</v>
      </c>
      <c r="I29" s="878">
        <f t="shared" si="2"/>
        <v>-5</v>
      </c>
      <c r="J29" s="880">
        <f t="shared" si="3"/>
        <v>0.57638888888888884</v>
      </c>
      <c r="K29" s="895">
        <v>0.57638888888888884</v>
      </c>
      <c r="L29" s="882">
        <f t="shared" si="4"/>
        <v>94.999999999999986</v>
      </c>
      <c r="M29" s="883">
        <f t="shared" si="5"/>
        <v>9.8861111111110915</v>
      </c>
      <c r="N29" s="884">
        <f t="shared" si="33"/>
        <v>0</v>
      </c>
      <c r="O29" s="885">
        <f t="shared" si="6"/>
        <v>4.9999999999999858</v>
      </c>
      <c r="P29" s="880"/>
      <c r="Q29" s="873">
        <v>7</v>
      </c>
      <c r="R29" s="881">
        <v>0.52083333333333337</v>
      </c>
      <c r="S29" s="888">
        <v>90</v>
      </c>
      <c r="T29" s="876">
        <v>5</v>
      </c>
      <c r="U29" s="889">
        <v>80.283333333333303</v>
      </c>
      <c r="V29" s="875">
        <f t="shared" si="27"/>
        <v>9.716666666666697</v>
      </c>
      <c r="W29" s="878">
        <f t="shared" si="7"/>
        <v>91.311666666666639</v>
      </c>
      <c r="X29" s="879">
        <f t="shared" si="8"/>
        <v>90</v>
      </c>
      <c r="Y29" s="878">
        <f t="shared" si="9"/>
        <v>0</v>
      </c>
      <c r="Z29" s="880">
        <f t="shared" si="10"/>
        <v>0.58333333333333337</v>
      </c>
      <c r="AA29" s="874">
        <v>0.59375</v>
      </c>
      <c r="AB29" s="882">
        <f t="shared" si="11"/>
        <v>104.99999999999994</v>
      </c>
      <c r="AC29" s="883">
        <f t="shared" si="12"/>
        <v>24.71666666666664</v>
      </c>
      <c r="AD29" s="884">
        <f t="shared" si="28"/>
        <v>14.999999999999943</v>
      </c>
      <c r="AE29" s="885">
        <f t="shared" si="13"/>
        <v>14.999999999999943</v>
      </c>
    </row>
    <row r="30" spans="1:65" ht="18.75" x14ac:dyDescent="0.3">
      <c r="A30" s="873">
        <v>7</v>
      </c>
      <c r="B30" s="874">
        <v>0.52083333333333337</v>
      </c>
      <c r="C30" s="875">
        <v>90</v>
      </c>
      <c r="D30" s="876">
        <v>4</v>
      </c>
      <c r="E30" s="889">
        <v>85.775000000000006</v>
      </c>
      <c r="F30" s="875">
        <f t="shared" si="32"/>
        <v>4.2249999999999943</v>
      </c>
      <c r="G30" s="878">
        <f t="shared" si="0"/>
        <v>97.35250000000002</v>
      </c>
      <c r="H30" s="879">
        <f t="shared" si="1"/>
        <v>95</v>
      </c>
      <c r="I30" s="878">
        <f t="shared" si="2"/>
        <v>-5</v>
      </c>
      <c r="J30" s="880">
        <f t="shared" si="3"/>
        <v>0.58680555555555558</v>
      </c>
      <c r="K30" s="881">
        <v>0.60416666666666663</v>
      </c>
      <c r="L30" s="882">
        <f t="shared" si="4"/>
        <v>119.9999999999999</v>
      </c>
      <c r="M30" s="883">
        <f t="shared" si="5"/>
        <v>34.224999999999895</v>
      </c>
      <c r="N30" s="884">
        <f t="shared" si="33"/>
        <v>24.999999999999901</v>
      </c>
      <c r="O30" s="885">
        <f t="shared" si="6"/>
        <v>29.999999999999901</v>
      </c>
      <c r="P30" s="880"/>
      <c r="Q30" s="873" t="s">
        <v>727</v>
      </c>
      <c r="R30" s="893">
        <v>0.53125</v>
      </c>
      <c r="S30" s="888">
        <v>90</v>
      </c>
      <c r="T30" s="876">
        <v>6</v>
      </c>
      <c r="U30" s="889">
        <v>87.711111111111094</v>
      </c>
      <c r="V30" s="875">
        <f t="shared" si="27"/>
        <v>2.2888888888889056</v>
      </c>
      <c r="W30" s="878">
        <f t="shared" si="7"/>
        <v>99.482222222222205</v>
      </c>
      <c r="X30" s="879">
        <f t="shared" si="8"/>
        <v>100</v>
      </c>
      <c r="Y30" s="878">
        <f t="shared" si="9"/>
        <v>-10</v>
      </c>
      <c r="Z30" s="880">
        <f t="shared" si="10"/>
        <v>0.60069444444444442</v>
      </c>
      <c r="AA30" s="895">
        <v>0.60069444444444442</v>
      </c>
      <c r="AB30" s="882">
        <f t="shared" si="11"/>
        <v>99.999999999999972</v>
      </c>
      <c r="AC30" s="883">
        <f t="shared" si="12"/>
        <v>12.288888888888877</v>
      </c>
      <c r="AD30" s="884">
        <f t="shared" si="28"/>
        <v>0</v>
      </c>
      <c r="AE30" s="885">
        <f t="shared" si="13"/>
        <v>9.9999999999999716</v>
      </c>
    </row>
    <row r="31" spans="1:65" ht="18.75" x14ac:dyDescent="0.3">
      <c r="A31" s="873" t="s">
        <v>727</v>
      </c>
      <c r="B31" s="874">
        <v>0.53125</v>
      </c>
      <c r="C31" s="875">
        <v>90</v>
      </c>
      <c r="D31" s="876">
        <v>5</v>
      </c>
      <c r="E31" s="889">
        <v>84.25</v>
      </c>
      <c r="F31" s="875">
        <f t="shared" si="32"/>
        <v>5.75</v>
      </c>
      <c r="G31" s="878">
        <f t="shared" si="0"/>
        <v>95.675000000000011</v>
      </c>
      <c r="H31" s="879">
        <f t="shared" si="1"/>
        <v>95</v>
      </c>
      <c r="I31" s="878">
        <f t="shared" si="2"/>
        <v>-5</v>
      </c>
      <c r="J31" s="880">
        <f t="shared" si="3"/>
        <v>0.59722222222222221</v>
      </c>
      <c r="K31" s="893">
        <v>0.59375</v>
      </c>
      <c r="L31" s="882">
        <f t="shared" si="4"/>
        <v>90</v>
      </c>
      <c r="M31" s="883">
        <f t="shared" si="5"/>
        <v>5.75</v>
      </c>
      <c r="N31" s="884">
        <f t="shared" si="33"/>
        <v>-5</v>
      </c>
      <c r="O31" s="885">
        <f t="shared" si="6"/>
        <v>0</v>
      </c>
      <c r="P31" s="880"/>
      <c r="Q31" s="873">
        <v>7</v>
      </c>
      <c r="R31" s="881">
        <v>0.54166666666666663</v>
      </c>
      <c r="S31" s="888">
        <v>90</v>
      </c>
      <c r="T31" s="876">
        <v>5</v>
      </c>
      <c r="U31" s="889">
        <v>77.44</v>
      </c>
      <c r="V31" s="875">
        <f t="shared" si="27"/>
        <v>12.560000000000002</v>
      </c>
      <c r="W31" s="878">
        <f t="shared" si="7"/>
        <v>88.183999999999997</v>
      </c>
      <c r="X31" s="879">
        <f t="shared" si="8"/>
        <v>90</v>
      </c>
      <c r="Y31" s="878">
        <f t="shared" si="9"/>
        <v>0</v>
      </c>
      <c r="Z31" s="880">
        <f t="shared" si="10"/>
        <v>0.60416666666666663</v>
      </c>
      <c r="AA31" s="874">
        <v>0.60416666666666663</v>
      </c>
      <c r="AB31" s="882">
        <f t="shared" si="11"/>
        <v>90</v>
      </c>
      <c r="AC31" s="883">
        <f t="shared" si="12"/>
        <v>12.560000000000002</v>
      </c>
      <c r="AD31" s="884">
        <f t="shared" si="28"/>
        <v>0</v>
      </c>
      <c r="AE31" s="885">
        <f t="shared" si="13"/>
        <v>0</v>
      </c>
    </row>
    <row r="32" spans="1:65" ht="18.75" x14ac:dyDescent="0.3">
      <c r="A32" s="873">
        <v>7</v>
      </c>
      <c r="B32" s="874">
        <v>0.54166666666666663</v>
      </c>
      <c r="C32" s="875">
        <v>90</v>
      </c>
      <c r="D32" s="876">
        <v>5</v>
      </c>
      <c r="E32" s="889">
        <v>81.603333333333296</v>
      </c>
      <c r="F32" s="875">
        <f t="shared" si="32"/>
        <v>8.3966666666667038</v>
      </c>
      <c r="G32" s="878">
        <f t="shared" si="0"/>
        <v>92.763666666666637</v>
      </c>
      <c r="H32" s="879">
        <f t="shared" si="1"/>
        <v>95</v>
      </c>
      <c r="I32" s="878">
        <f t="shared" si="2"/>
        <v>-5</v>
      </c>
      <c r="J32" s="880">
        <f t="shared" si="3"/>
        <v>0.60763888888888884</v>
      </c>
      <c r="K32" s="895">
        <v>0.60763888888888884</v>
      </c>
      <c r="L32" s="882">
        <f t="shared" si="4"/>
        <v>94.999999999999986</v>
      </c>
      <c r="M32" s="883">
        <f t="shared" si="5"/>
        <v>13.39666666666669</v>
      </c>
      <c r="N32" s="884">
        <f t="shared" si="33"/>
        <v>0</v>
      </c>
      <c r="O32" s="885">
        <f t="shared" si="6"/>
        <v>4.9999999999999858</v>
      </c>
      <c r="P32" s="880"/>
      <c r="Q32" s="873" t="s">
        <v>727</v>
      </c>
      <c r="R32" s="893">
        <v>0.55208333333333337</v>
      </c>
      <c r="S32" s="888">
        <v>95</v>
      </c>
      <c r="T32" s="876">
        <v>4</v>
      </c>
      <c r="U32" s="889">
        <v>90.1041666666667</v>
      </c>
      <c r="V32" s="875">
        <f t="shared" si="27"/>
        <v>4.8958333333333002</v>
      </c>
      <c r="W32" s="878">
        <f t="shared" si="7"/>
        <v>102.11458333333337</v>
      </c>
      <c r="X32" s="879">
        <f t="shared" si="8"/>
        <v>100</v>
      </c>
      <c r="Y32" s="878">
        <f t="shared" si="9"/>
        <v>-5</v>
      </c>
      <c r="Z32" s="880">
        <f t="shared" si="10"/>
        <v>0.62152777777777779</v>
      </c>
      <c r="AA32" s="874">
        <v>0.625</v>
      </c>
      <c r="AB32" s="882">
        <f t="shared" si="11"/>
        <v>104.99999999999994</v>
      </c>
      <c r="AC32" s="883">
        <f t="shared" si="12"/>
        <v>14.895833333333243</v>
      </c>
      <c r="AD32" s="884">
        <f t="shared" si="28"/>
        <v>4.9999999999999432</v>
      </c>
      <c r="AE32" s="885">
        <f t="shared" si="13"/>
        <v>9.9999999999999432</v>
      </c>
    </row>
    <row r="33" spans="1:31" ht="18.75" x14ac:dyDescent="0.3">
      <c r="A33" s="873" t="s">
        <v>727</v>
      </c>
      <c r="B33" s="874">
        <v>0.55208333333333337</v>
      </c>
      <c r="C33" s="875">
        <v>90</v>
      </c>
      <c r="D33" s="876">
        <v>4</v>
      </c>
      <c r="E33" s="889">
        <v>85.362499999999997</v>
      </c>
      <c r="F33" s="875">
        <f t="shared" si="32"/>
        <v>4.6375000000000028</v>
      </c>
      <c r="G33" s="878">
        <f t="shared" si="0"/>
        <v>96.898750000000007</v>
      </c>
      <c r="H33" s="879">
        <f t="shared" si="1"/>
        <v>95</v>
      </c>
      <c r="I33" s="878">
        <f t="shared" si="2"/>
        <v>-5</v>
      </c>
      <c r="J33" s="880">
        <f t="shared" si="3"/>
        <v>0.61805555555555558</v>
      </c>
      <c r="K33" s="893">
        <v>0.61458333333333337</v>
      </c>
      <c r="L33" s="882">
        <f t="shared" si="4"/>
        <v>90</v>
      </c>
      <c r="M33" s="883">
        <f t="shared" si="5"/>
        <v>4.6375000000000028</v>
      </c>
      <c r="N33" s="884">
        <f t="shared" si="33"/>
        <v>-5</v>
      </c>
      <c r="O33" s="885">
        <f t="shared" si="6"/>
        <v>0</v>
      </c>
      <c r="P33" s="904"/>
      <c r="Q33" s="873">
        <v>7</v>
      </c>
      <c r="R33" s="881">
        <v>0.5625</v>
      </c>
      <c r="S33" s="888">
        <v>90</v>
      </c>
      <c r="T33" s="876">
        <v>5</v>
      </c>
      <c r="U33" s="889">
        <v>81.886666666666699</v>
      </c>
      <c r="V33" s="875">
        <f t="shared" si="27"/>
        <v>8.1133333333333013</v>
      </c>
      <c r="W33" s="878">
        <f t="shared" si="7"/>
        <v>93.075333333333376</v>
      </c>
      <c r="X33" s="879">
        <f t="shared" si="8"/>
        <v>95</v>
      </c>
      <c r="Y33" s="878">
        <f t="shared" si="9"/>
        <v>-5</v>
      </c>
      <c r="Z33" s="880">
        <f t="shared" si="10"/>
        <v>0.62847222222222221</v>
      </c>
      <c r="AA33" s="874">
        <v>0.63541666666666663</v>
      </c>
      <c r="AB33" s="882">
        <f t="shared" si="11"/>
        <v>104.99999999999994</v>
      </c>
      <c r="AC33" s="883">
        <f t="shared" si="12"/>
        <v>23.113333333333244</v>
      </c>
      <c r="AD33" s="884">
        <f t="shared" si="28"/>
        <v>9.9999999999999432</v>
      </c>
      <c r="AE33" s="885">
        <f t="shared" si="13"/>
        <v>14.999999999999943</v>
      </c>
    </row>
    <row r="34" spans="1:31" ht="18.75" x14ac:dyDescent="0.3">
      <c r="A34" s="873">
        <v>7</v>
      </c>
      <c r="B34" s="874">
        <v>0.5625</v>
      </c>
      <c r="C34" s="875">
        <v>90</v>
      </c>
      <c r="D34" s="876">
        <v>4</v>
      </c>
      <c r="E34" s="889">
        <v>79.262500000000003</v>
      </c>
      <c r="F34" s="875">
        <f t="shared" si="32"/>
        <v>10.737499999999997</v>
      </c>
      <c r="G34" s="878">
        <f t="shared" si="0"/>
        <v>90.188750000000013</v>
      </c>
      <c r="H34" s="879">
        <f t="shared" si="1"/>
        <v>90</v>
      </c>
      <c r="I34" s="878">
        <f t="shared" si="2"/>
        <v>0</v>
      </c>
      <c r="J34" s="880">
        <f t="shared" si="3"/>
        <v>0.625</v>
      </c>
      <c r="K34" s="881">
        <v>0.625</v>
      </c>
      <c r="L34" s="882">
        <f t="shared" si="4"/>
        <v>90</v>
      </c>
      <c r="M34" s="883">
        <f t="shared" si="5"/>
        <v>10.737499999999997</v>
      </c>
      <c r="N34" s="884">
        <f t="shared" si="33"/>
        <v>0</v>
      </c>
      <c r="O34" s="885">
        <f t="shared" si="6"/>
        <v>0</v>
      </c>
      <c r="P34" s="880"/>
      <c r="Q34" s="873" t="s">
        <v>727</v>
      </c>
      <c r="R34" s="893">
        <v>0.57291666666666663</v>
      </c>
      <c r="S34" s="888">
        <v>90</v>
      </c>
      <c r="T34" s="876">
        <v>5</v>
      </c>
      <c r="U34" s="889">
        <v>87.646666666666704</v>
      </c>
      <c r="V34" s="875">
        <f t="shared" si="27"/>
        <v>2.3533333333332962</v>
      </c>
      <c r="W34" s="878">
        <f t="shared" si="7"/>
        <v>99.411333333333388</v>
      </c>
      <c r="X34" s="879">
        <f t="shared" si="8"/>
        <v>100</v>
      </c>
      <c r="Y34" s="878">
        <f t="shared" si="9"/>
        <v>-10</v>
      </c>
      <c r="Z34" s="880">
        <f t="shared" si="10"/>
        <v>0.64236111111111105</v>
      </c>
      <c r="AA34" s="874">
        <v>0.64583333333333337</v>
      </c>
      <c r="AB34" s="882">
        <f t="shared" si="11"/>
        <v>105.0000000000001</v>
      </c>
      <c r="AC34" s="883">
        <f t="shared" si="12"/>
        <v>17.353333333333396</v>
      </c>
      <c r="AD34" s="884">
        <f t="shared" si="28"/>
        <v>5.0000000000000995</v>
      </c>
      <c r="AE34" s="885">
        <f t="shared" si="13"/>
        <v>15.000000000000099</v>
      </c>
    </row>
    <row r="35" spans="1:31" ht="18.75" x14ac:dyDescent="0.3">
      <c r="A35" s="873" t="s">
        <v>727</v>
      </c>
      <c r="B35" s="874">
        <v>0.57291666666666663</v>
      </c>
      <c r="C35" s="875">
        <v>90</v>
      </c>
      <c r="D35" s="876">
        <v>3</v>
      </c>
      <c r="E35" s="889">
        <v>87.9</v>
      </c>
      <c r="F35" s="875">
        <f t="shared" si="32"/>
        <v>2.0999999999999943</v>
      </c>
      <c r="G35" s="878">
        <f t="shared" si="0"/>
        <v>99.690000000000012</v>
      </c>
      <c r="H35" s="879">
        <f t="shared" si="1"/>
        <v>100</v>
      </c>
      <c r="I35" s="878">
        <f t="shared" si="2"/>
        <v>-10</v>
      </c>
      <c r="J35" s="880">
        <f t="shared" si="3"/>
        <v>0.64236111111111105</v>
      </c>
      <c r="K35" s="895">
        <v>0.64236111111111116</v>
      </c>
      <c r="L35" s="882">
        <f t="shared" si="4"/>
        <v>100.00000000000013</v>
      </c>
      <c r="M35" s="883">
        <f t="shared" si="5"/>
        <v>12.100000000000122</v>
      </c>
      <c r="N35" s="884">
        <f t="shared" si="33"/>
        <v>1.2789769243681803E-13</v>
      </c>
      <c r="O35" s="885">
        <f t="shared" si="6"/>
        <v>10.000000000000128</v>
      </c>
      <c r="P35" s="880"/>
      <c r="Q35" s="873">
        <v>7</v>
      </c>
      <c r="R35" s="881">
        <v>0.58333333333333337</v>
      </c>
      <c r="S35" s="888">
        <v>90</v>
      </c>
      <c r="T35" s="876">
        <v>3</v>
      </c>
      <c r="U35" s="889">
        <v>76.016666666666694</v>
      </c>
      <c r="V35" s="875">
        <f t="shared" si="27"/>
        <v>13.983333333333306</v>
      </c>
      <c r="W35" s="878">
        <f t="shared" si="7"/>
        <v>86.618333333333368</v>
      </c>
      <c r="X35" s="879">
        <f t="shared" si="8"/>
        <v>85</v>
      </c>
      <c r="Y35" s="878">
        <f t="shared" si="9"/>
        <v>5</v>
      </c>
      <c r="Z35" s="880">
        <f t="shared" si="10"/>
        <v>0.64236111111111116</v>
      </c>
      <c r="AA35" s="874">
        <v>0.65625</v>
      </c>
      <c r="AB35" s="882">
        <f t="shared" si="11"/>
        <v>104.99999999999994</v>
      </c>
      <c r="AC35" s="883">
        <f t="shared" si="12"/>
        <v>28.983333333333249</v>
      </c>
      <c r="AD35" s="884">
        <f t="shared" si="28"/>
        <v>19.999999999999943</v>
      </c>
      <c r="AE35" s="885">
        <f t="shared" si="13"/>
        <v>14.999999999999943</v>
      </c>
    </row>
    <row r="36" spans="1:31" ht="18.75" x14ac:dyDescent="0.3">
      <c r="A36" s="873">
        <v>7</v>
      </c>
      <c r="B36" s="874">
        <v>0.58333333333333337</v>
      </c>
      <c r="C36" s="875">
        <v>90</v>
      </c>
      <c r="D36" s="876">
        <v>4</v>
      </c>
      <c r="E36" s="889">
        <v>75.237499999999997</v>
      </c>
      <c r="F36" s="875">
        <f t="shared" si="32"/>
        <v>14.762500000000003</v>
      </c>
      <c r="G36" s="878">
        <f t="shared" si="0"/>
        <v>85.761250000000004</v>
      </c>
      <c r="H36" s="879">
        <f t="shared" si="1"/>
        <v>85</v>
      </c>
      <c r="I36" s="878">
        <f t="shared" si="2"/>
        <v>5</v>
      </c>
      <c r="J36" s="880">
        <f t="shared" si="3"/>
        <v>0.64236111111111116</v>
      </c>
      <c r="K36" s="881">
        <v>0.64583333333333337</v>
      </c>
      <c r="L36" s="882">
        <f t="shared" si="4"/>
        <v>90</v>
      </c>
      <c r="M36" s="883">
        <f t="shared" si="5"/>
        <v>14.762500000000003</v>
      </c>
      <c r="N36" s="884">
        <f t="shared" si="33"/>
        <v>5</v>
      </c>
      <c r="O36" s="885">
        <f t="shared" si="6"/>
        <v>0</v>
      </c>
      <c r="P36" s="880"/>
      <c r="Q36" s="873" t="s">
        <v>727</v>
      </c>
      <c r="R36" s="893">
        <v>0.59375</v>
      </c>
      <c r="S36" s="888">
        <v>90</v>
      </c>
      <c r="T36" s="876">
        <v>3</v>
      </c>
      <c r="U36" s="889">
        <v>83.244444444444497</v>
      </c>
      <c r="V36" s="875">
        <f t="shared" si="27"/>
        <v>6.7555555555555031</v>
      </c>
      <c r="W36" s="878">
        <f t="shared" si="7"/>
        <v>94.568888888888949</v>
      </c>
      <c r="X36" s="879">
        <f t="shared" si="8"/>
        <v>95</v>
      </c>
      <c r="Y36" s="878">
        <f t="shared" si="9"/>
        <v>-5</v>
      </c>
      <c r="Z36" s="880">
        <f t="shared" si="10"/>
        <v>0.65972222222222221</v>
      </c>
      <c r="AA36" s="895">
        <v>0.65972222222222221</v>
      </c>
      <c r="AB36" s="882">
        <f t="shared" si="11"/>
        <v>94.999999999999986</v>
      </c>
      <c r="AC36" s="883">
        <f t="shared" si="12"/>
        <v>11.755555555555489</v>
      </c>
      <c r="AD36" s="884">
        <f t="shared" si="28"/>
        <v>0</v>
      </c>
      <c r="AE36" s="885">
        <f t="shared" si="13"/>
        <v>4.9999999999999858</v>
      </c>
    </row>
    <row r="37" spans="1:31" ht="18.75" x14ac:dyDescent="0.3">
      <c r="A37" s="873" t="s">
        <v>727</v>
      </c>
      <c r="B37" s="874">
        <v>0.59375</v>
      </c>
      <c r="C37" s="875">
        <v>90</v>
      </c>
      <c r="D37" s="876">
        <v>3</v>
      </c>
      <c r="E37" s="889">
        <v>75.788888888888906</v>
      </c>
      <c r="F37" s="875">
        <f t="shared" si="32"/>
        <v>14.211111111111094</v>
      </c>
      <c r="G37" s="878">
        <f t="shared" si="0"/>
        <v>86.367777777777803</v>
      </c>
      <c r="H37" s="879">
        <f t="shared" si="1"/>
        <v>85</v>
      </c>
      <c r="I37" s="878">
        <f t="shared" si="2"/>
        <v>5</v>
      </c>
      <c r="J37" s="880">
        <f t="shared" si="3"/>
        <v>0.65277777777777779</v>
      </c>
      <c r="K37" s="893">
        <v>0.65625</v>
      </c>
      <c r="L37" s="882">
        <f t="shared" si="4"/>
        <v>90</v>
      </c>
      <c r="M37" s="883">
        <f t="shared" si="5"/>
        <v>14.211111111111094</v>
      </c>
      <c r="N37" s="884">
        <f t="shared" si="33"/>
        <v>5</v>
      </c>
      <c r="O37" s="885">
        <f t="shared" si="6"/>
        <v>0</v>
      </c>
      <c r="P37" s="880"/>
      <c r="Q37" s="873">
        <v>7</v>
      </c>
      <c r="R37" s="881">
        <v>0.60416666666666663</v>
      </c>
      <c r="S37" s="888">
        <v>105</v>
      </c>
      <c r="T37" s="876">
        <v>4</v>
      </c>
      <c r="U37" s="889">
        <v>79.4583333333333</v>
      </c>
      <c r="V37" s="875">
        <f t="shared" si="27"/>
        <v>25.5416666666667</v>
      </c>
      <c r="W37" s="878">
        <f t="shared" si="7"/>
        <v>90.40416666666664</v>
      </c>
      <c r="X37" s="879">
        <f t="shared" si="8"/>
        <v>90</v>
      </c>
      <c r="Y37" s="878">
        <f t="shared" si="9"/>
        <v>15</v>
      </c>
      <c r="Z37" s="880">
        <f t="shared" si="10"/>
        <v>0.66666666666666663</v>
      </c>
      <c r="AA37" s="874">
        <v>0.66666666666666663</v>
      </c>
      <c r="AB37" s="882">
        <f t="shared" si="11"/>
        <v>90</v>
      </c>
      <c r="AC37" s="883">
        <f t="shared" si="12"/>
        <v>10.5416666666667</v>
      </c>
      <c r="AD37" s="884">
        <f t="shared" si="28"/>
        <v>0</v>
      </c>
      <c r="AE37" s="885">
        <f t="shared" si="13"/>
        <v>-15</v>
      </c>
    </row>
    <row r="38" spans="1:31" ht="18.75" x14ac:dyDescent="0.3">
      <c r="A38" s="873">
        <v>7</v>
      </c>
      <c r="B38" s="874">
        <v>0.60416666666666663</v>
      </c>
      <c r="C38" s="875">
        <v>90</v>
      </c>
      <c r="D38" s="876">
        <v>4</v>
      </c>
      <c r="E38" s="889">
        <v>83.929166666666703</v>
      </c>
      <c r="F38" s="875">
        <f t="shared" si="32"/>
        <v>6.0708333333332973</v>
      </c>
      <c r="G38" s="878">
        <f t="shared" si="0"/>
        <v>95.322083333333381</v>
      </c>
      <c r="H38" s="879">
        <f t="shared" si="1"/>
        <v>95</v>
      </c>
      <c r="I38" s="878">
        <f t="shared" si="2"/>
        <v>-5</v>
      </c>
      <c r="J38" s="880">
        <f t="shared" si="3"/>
        <v>0.67013888888888884</v>
      </c>
      <c r="K38" s="895">
        <v>0.67013888888888884</v>
      </c>
      <c r="L38" s="882">
        <f t="shared" si="4"/>
        <v>94.999999999999986</v>
      </c>
      <c r="M38" s="883">
        <f t="shared" si="5"/>
        <v>11.070833333333283</v>
      </c>
      <c r="N38" s="884">
        <f t="shared" si="33"/>
        <v>0</v>
      </c>
      <c r="O38" s="885">
        <f t="shared" si="6"/>
        <v>4.9999999999999858</v>
      </c>
      <c r="P38" s="880"/>
      <c r="Q38" s="873" t="s">
        <v>727</v>
      </c>
      <c r="R38" s="893">
        <v>0.61458333333333337</v>
      </c>
      <c r="S38" s="888">
        <v>105</v>
      </c>
      <c r="T38" s="876">
        <v>4</v>
      </c>
      <c r="U38" s="889">
        <v>80.266666666666694</v>
      </c>
      <c r="V38" s="875">
        <f t="shared" si="27"/>
        <v>24.733333333333306</v>
      </c>
      <c r="W38" s="878">
        <f t="shared" si="7"/>
        <v>91.293333333333365</v>
      </c>
      <c r="X38" s="879">
        <f t="shared" si="8"/>
        <v>90</v>
      </c>
      <c r="Y38" s="878">
        <f t="shared" si="9"/>
        <v>15</v>
      </c>
      <c r="Z38" s="880">
        <f t="shared" si="10"/>
        <v>0.67708333333333337</v>
      </c>
      <c r="AA38" s="874">
        <v>0.67708333333333337</v>
      </c>
      <c r="AB38" s="882">
        <f t="shared" si="11"/>
        <v>90</v>
      </c>
      <c r="AC38" s="883">
        <f t="shared" si="12"/>
        <v>9.7333333333333059</v>
      </c>
      <c r="AD38" s="884">
        <f t="shared" si="28"/>
        <v>0</v>
      </c>
      <c r="AE38" s="885">
        <f t="shared" si="13"/>
        <v>-15</v>
      </c>
    </row>
    <row r="39" spans="1:31" ht="18.75" x14ac:dyDescent="0.3">
      <c r="A39" s="873" t="s">
        <v>727</v>
      </c>
      <c r="B39" s="874">
        <v>0.61111111111111116</v>
      </c>
      <c r="C39" s="875">
        <v>95</v>
      </c>
      <c r="D39" s="876">
        <v>3</v>
      </c>
      <c r="E39" s="889">
        <v>82.366666666666703</v>
      </c>
      <c r="F39" s="875">
        <f t="shared" si="32"/>
        <v>12.633333333333297</v>
      </c>
      <c r="G39" s="878">
        <f t="shared" si="0"/>
        <v>93.603333333333381</v>
      </c>
      <c r="H39" s="879">
        <f t="shared" si="1"/>
        <v>95</v>
      </c>
      <c r="I39" s="878">
        <f t="shared" si="2"/>
        <v>0</v>
      </c>
      <c r="J39" s="880">
        <f t="shared" si="3"/>
        <v>0.67708333333333337</v>
      </c>
      <c r="K39" s="893">
        <v>0.67708333333333337</v>
      </c>
      <c r="L39" s="882">
        <f t="shared" si="4"/>
        <v>94.999999999999986</v>
      </c>
      <c r="M39" s="883">
        <f t="shared" si="5"/>
        <v>12.633333333333283</v>
      </c>
      <c r="N39" s="884">
        <f t="shared" si="33"/>
        <v>0</v>
      </c>
      <c r="O39" s="885">
        <f t="shared" si="6"/>
        <v>0</v>
      </c>
      <c r="P39" s="880"/>
      <c r="Q39" s="873">
        <v>7</v>
      </c>
      <c r="R39" s="881">
        <v>0.625</v>
      </c>
      <c r="S39" s="888">
        <v>105</v>
      </c>
      <c r="T39" s="876">
        <v>5</v>
      </c>
      <c r="U39" s="889">
        <v>74.233333333333306</v>
      </c>
      <c r="V39" s="875">
        <f t="shared" si="27"/>
        <v>30.766666666666694</v>
      </c>
      <c r="W39" s="878">
        <f t="shared" si="7"/>
        <v>84.656666666666638</v>
      </c>
      <c r="X39" s="879">
        <f t="shared" si="8"/>
        <v>85</v>
      </c>
      <c r="Y39" s="878">
        <f t="shared" si="9"/>
        <v>20</v>
      </c>
      <c r="Z39" s="880">
        <f t="shared" si="10"/>
        <v>0.68402777777777779</v>
      </c>
      <c r="AA39" s="874">
        <v>0.6875</v>
      </c>
      <c r="AB39" s="882">
        <f t="shared" si="11"/>
        <v>90</v>
      </c>
      <c r="AC39" s="883">
        <f t="shared" si="12"/>
        <v>15.766666666666694</v>
      </c>
      <c r="AD39" s="884">
        <f t="shared" si="28"/>
        <v>5</v>
      </c>
      <c r="AE39" s="885">
        <f t="shared" si="13"/>
        <v>-15</v>
      </c>
    </row>
    <row r="40" spans="1:31" ht="18.75" x14ac:dyDescent="0.3">
      <c r="A40" s="873">
        <v>7</v>
      </c>
      <c r="B40" s="874">
        <v>0.61805555555555558</v>
      </c>
      <c r="C40" s="875">
        <v>100</v>
      </c>
      <c r="D40" s="876">
        <v>3</v>
      </c>
      <c r="E40" s="889">
        <v>80.3888888888889</v>
      </c>
      <c r="F40" s="875">
        <f t="shared" si="32"/>
        <v>19.6111111111111</v>
      </c>
      <c r="G40" s="878">
        <f t="shared" si="0"/>
        <v>91.427777777777791</v>
      </c>
      <c r="H40" s="879">
        <f t="shared" si="1"/>
        <v>90</v>
      </c>
      <c r="I40" s="878">
        <f t="shared" si="2"/>
        <v>10</v>
      </c>
      <c r="J40" s="880">
        <f t="shared" si="3"/>
        <v>0.68055555555555558</v>
      </c>
      <c r="K40" s="881">
        <v>0.6875</v>
      </c>
      <c r="L40" s="882">
        <f t="shared" si="4"/>
        <v>99.999999999999972</v>
      </c>
      <c r="M40" s="883">
        <f t="shared" si="5"/>
        <v>19.611111111111072</v>
      </c>
      <c r="N40" s="884">
        <f t="shared" si="33"/>
        <v>9.9999999999999716</v>
      </c>
      <c r="O40" s="885">
        <f t="shared" si="6"/>
        <v>0</v>
      </c>
      <c r="P40" s="880"/>
      <c r="Q40" s="873" t="s">
        <v>727</v>
      </c>
      <c r="R40" s="893">
        <v>0.63541666666666663</v>
      </c>
      <c r="S40" s="888">
        <v>90</v>
      </c>
      <c r="T40" s="876">
        <v>5</v>
      </c>
      <c r="U40" s="889">
        <v>82.383333333333297</v>
      </c>
      <c r="V40" s="875">
        <f t="shared" si="27"/>
        <v>7.6166666666667027</v>
      </c>
      <c r="W40" s="878">
        <f t="shared" si="7"/>
        <v>93.621666666666641</v>
      </c>
      <c r="X40" s="879">
        <f t="shared" si="8"/>
        <v>95</v>
      </c>
      <c r="Y40" s="878">
        <f t="shared" si="9"/>
        <v>-5</v>
      </c>
      <c r="Z40" s="880">
        <f t="shared" si="10"/>
        <v>0.70138888888888884</v>
      </c>
      <c r="AA40" s="874">
        <v>0.69791666666666663</v>
      </c>
      <c r="AB40" s="882">
        <f t="shared" si="11"/>
        <v>90</v>
      </c>
      <c r="AC40" s="883">
        <f t="shared" si="12"/>
        <v>7.6166666666667027</v>
      </c>
      <c r="AD40" s="884">
        <f t="shared" si="28"/>
        <v>-5</v>
      </c>
      <c r="AE40" s="885">
        <f t="shared" si="13"/>
        <v>0</v>
      </c>
    </row>
    <row r="41" spans="1:31" ht="18.75" x14ac:dyDescent="0.3">
      <c r="A41" s="873" t="s">
        <v>727</v>
      </c>
      <c r="B41" s="874">
        <v>0.625</v>
      </c>
      <c r="C41" s="875">
        <v>105</v>
      </c>
      <c r="D41" s="876">
        <v>4</v>
      </c>
      <c r="E41" s="889">
        <v>80.1666666666667</v>
      </c>
      <c r="F41" s="875">
        <f t="shared" si="32"/>
        <v>24.8333333333333</v>
      </c>
      <c r="G41" s="878">
        <f t="shared" si="0"/>
        <v>91.18333333333338</v>
      </c>
      <c r="H41" s="879">
        <f t="shared" si="1"/>
        <v>90</v>
      </c>
      <c r="I41" s="878">
        <f t="shared" si="2"/>
        <v>15</v>
      </c>
      <c r="J41" s="880">
        <f t="shared" si="3"/>
        <v>0.6875</v>
      </c>
      <c r="K41" s="893">
        <v>0.69791666666666663</v>
      </c>
      <c r="L41" s="882">
        <f t="shared" si="4"/>
        <v>104.99999999999994</v>
      </c>
      <c r="M41" s="883">
        <f t="shared" si="5"/>
        <v>24.833333333333243</v>
      </c>
      <c r="N41" s="884">
        <f t="shared" si="33"/>
        <v>14.999999999999943</v>
      </c>
      <c r="O41" s="885">
        <f t="shared" si="6"/>
        <v>0</v>
      </c>
      <c r="P41" s="880"/>
      <c r="Q41" s="873">
        <v>7</v>
      </c>
      <c r="R41" s="881">
        <v>0.64583333333333337</v>
      </c>
      <c r="S41" s="888">
        <v>90</v>
      </c>
      <c r="T41" s="876">
        <v>5</v>
      </c>
      <c r="U41" s="889">
        <v>76.39</v>
      </c>
      <c r="V41" s="875">
        <f t="shared" si="27"/>
        <v>13.61</v>
      </c>
      <c r="W41" s="878">
        <f t="shared" si="7"/>
        <v>87.029000000000011</v>
      </c>
      <c r="X41" s="879">
        <f t="shared" si="8"/>
        <v>85</v>
      </c>
      <c r="Y41" s="878">
        <f t="shared" si="9"/>
        <v>5</v>
      </c>
      <c r="Z41" s="880">
        <f t="shared" si="10"/>
        <v>0.70486111111111116</v>
      </c>
      <c r="AA41" s="874">
        <v>0.70833333333333337</v>
      </c>
      <c r="AB41" s="882">
        <f t="shared" si="11"/>
        <v>90</v>
      </c>
      <c r="AC41" s="883">
        <f t="shared" si="12"/>
        <v>13.61</v>
      </c>
      <c r="AD41" s="884">
        <f t="shared" si="28"/>
        <v>5</v>
      </c>
      <c r="AE41" s="885">
        <f t="shared" si="13"/>
        <v>0</v>
      </c>
    </row>
    <row r="42" spans="1:31" ht="18.75" x14ac:dyDescent="0.3">
      <c r="A42" s="873">
        <v>7</v>
      </c>
      <c r="B42" s="874">
        <v>0.63541666666666663</v>
      </c>
      <c r="C42" s="875">
        <v>105</v>
      </c>
      <c r="D42" s="876">
        <v>3</v>
      </c>
      <c r="E42" s="889">
        <v>89.8055555555556</v>
      </c>
      <c r="F42" s="875">
        <f t="shared" si="32"/>
        <v>15.1944444444444</v>
      </c>
      <c r="G42" s="878">
        <f t="shared" si="0"/>
        <v>101.78611111111117</v>
      </c>
      <c r="H42" s="879">
        <f t="shared" si="1"/>
        <v>100</v>
      </c>
      <c r="I42" s="878">
        <f t="shared" si="2"/>
        <v>5</v>
      </c>
      <c r="J42" s="880">
        <f t="shared" si="3"/>
        <v>0.70486111111111105</v>
      </c>
      <c r="K42" s="881">
        <v>0.70833333333333337</v>
      </c>
      <c r="L42" s="882">
        <f t="shared" si="4"/>
        <v>105.0000000000001</v>
      </c>
      <c r="M42" s="883">
        <f t="shared" si="5"/>
        <v>15.1944444444445</v>
      </c>
      <c r="N42" s="884">
        <f t="shared" si="33"/>
        <v>5.0000000000000995</v>
      </c>
      <c r="O42" s="885">
        <f t="shared" si="6"/>
        <v>0</v>
      </c>
      <c r="P42" s="880"/>
      <c r="Q42" s="873" t="s">
        <v>727</v>
      </c>
      <c r="R42" s="893">
        <v>0.65625</v>
      </c>
      <c r="S42" s="888">
        <v>90</v>
      </c>
      <c r="T42" s="876">
        <v>6</v>
      </c>
      <c r="U42" s="889">
        <v>84.15</v>
      </c>
      <c r="V42" s="875">
        <f t="shared" si="27"/>
        <v>5.8499999999999943</v>
      </c>
      <c r="W42" s="878">
        <f t="shared" si="7"/>
        <v>95.565000000000012</v>
      </c>
      <c r="X42" s="879">
        <f t="shared" si="8"/>
        <v>95</v>
      </c>
      <c r="Y42" s="878">
        <f t="shared" si="9"/>
        <v>-5</v>
      </c>
      <c r="Z42" s="880">
        <f t="shared" si="10"/>
        <v>0.72222222222222221</v>
      </c>
      <c r="AA42" s="874">
        <v>0.71875</v>
      </c>
      <c r="AB42" s="882">
        <f t="shared" si="11"/>
        <v>90</v>
      </c>
      <c r="AC42" s="883">
        <f t="shared" si="12"/>
        <v>5.8499999999999943</v>
      </c>
      <c r="AD42" s="884">
        <f t="shared" si="28"/>
        <v>-5</v>
      </c>
      <c r="AE42" s="885">
        <f t="shared" si="13"/>
        <v>0</v>
      </c>
    </row>
    <row r="43" spans="1:31" ht="18.75" x14ac:dyDescent="0.3">
      <c r="A43" s="873" t="s">
        <v>727</v>
      </c>
      <c r="B43" s="874">
        <v>0.64583333333333337</v>
      </c>
      <c r="C43" s="875">
        <v>105</v>
      </c>
      <c r="D43" s="876">
        <v>5</v>
      </c>
      <c r="E43" s="889">
        <v>85.733333333333306</v>
      </c>
      <c r="F43" s="875">
        <f t="shared" si="32"/>
        <v>19.266666666666694</v>
      </c>
      <c r="G43" s="878">
        <f t="shared" si="0"/>
        <v>97.306666666666644</v>
      </c>
      <c r="H43" s="879">
        <f t="shared" si="1"/>
        <v>95</v>
      </c>
      <c r="I43" s="878">
        <f t="shared" si="2"/>
        <v>10</v>
      </c>
      <c r="J43" s="880">
        <f t="shared" si="3"/>
        <v>0.71180555555555558</v>
      </c>
      <c r="K43" s="893">
        <v>0.71875</v>
      </c>
      <c r="L43" s="882">
        <f t="shared" si="4"/>
        <v>104.99999999999994</v>
      </c>
      <c r="M43" s="883">
        <f t="shared" si="5"/>
        <v>19.266666666666637</v>
      </c>
      <c r="N43" s="884">
        <f t="shared" si="33"/>
        <v>9.9999999999999432</v>
      </c>
      <c r="O43" s="885">
        <f t="shared" si="6"/>
        <v>0</v>
      </c>
      <c r="P43" s="880"/>
      <c r="Q43" s="873">
        <v>7</v>
      </c>
      <c r="R43" s="881">
        <v>0.66666666666666663</v>
      </c>
      <c r="S43" s="888">
        <v>90</v>
      </c>
      <c r="T43" s="876">
        <v>4</v>
      </c>
      <c r="U43" s="889">
        <v>77.429166666666703</v>
      </c>
      <c r="V43" s="875">
        <f t="shared" si="27"/>
        <v>12.570833333333297</v>
      </c>
      <c r="W43" s="878">
        <f t="shared" si="7"/>
        <v>88.172083333333376</v>
      </c>
      <c r="X43" s="879">
        <f t="shared" si="8"/>
        <v>90</v>
      </c>
      <c r="Y43" s="878">
        <f t="shared" si="9"/>
        <v>0</v>
      </c>
      <c r="Z43" s="880">
        <f t="shared" si="10"/>
        <v>0.72916666666666663</v>
      </c>
      <c r="AA43" s="874">
        <v>0.72916666666666663</v>
      </c>
      <c r="AB43" s="882">
        <f t="shared" si="11"/>
        <v>90</v>
      </c>
      <c r="AC43" s="883">
        <f t="shared" si="12"/>
        <v>12.570833333333297</v>
      </c>
      <c r="AD43" s="884">
        <f t="shared" si="28"/>
        <v>0</v>
      </c>
      <c r="AE43" s="885">
        <f t="shared" si="13"/>
        <v>0</v>
      </c>
    </row>
    <row r="44" spans="1:31" ht="18.75" x14ac:dyDescent="0.3">
      <c r="A44" s="873">
        <v>7</v>
      </c>
      <c r="B44" s="874">
        <v>0.65625</v>
      </c>
      <c r="C44" s="875">
        <v>105</v>
      </c>
      <c r="D44" s="876">
        <v>4</v>
      </c>
      <c r="E44" s="889">
        <v>83.191666666666706</v>
      </c>
      <c r="F44" s="875">
        <f t="shared" si="32"/>
        <v>21.808333333333294</v>
      </c>
      <c r="G44" s="878">
        <f t="shared" si="0"/>
        <v>94.51083333333338</v>
      </c>
      <c r="H44" s="879">
        <f t="shared" si="1"/>
        <v>95</v>
      </c>
      <c r="I44" s="878">
        <f t="shared" si="2"/>
        <v>10</v>
      </c>
      <c r="J44" s="880">
        <f t="shared" si="3"/>
        <v>0.72222222222222221</v>
      </c>
      <c r="K44" s="881">
        <v>0.72916666666666663</v>
      </c>
      <c r="L44" s="882">
        <f t="shared" si="4"/>
        <v>104.99999999999994</v>
      </c>
      <c r="M44" s="883">
        <f t="shared" si="5"/>
        <v>21.808333333333238</v>
      </c>
      <c r="N44" s="884">
        <f t="shared" si="33"/>
        <v>9.9999999999999432</v>
      </c>
      <c r="O44" s="885">
        <f t="shared" si="6"/>
        <v>0</v>
      </c>
      <c r="P44" s="880"/>
      <c r="Q44" s="873" t="s">
        <v>727</v>
      </c>
      <c r="R44" s="893">
        <v>0.67708333333333337</v>
      </c>
      <c r="S44" s="888">
        <v>90</v>
      </c>
      <c r="T44" s="876">
        <v>5</v>
      </c>
      <c r="U44" s="889">
        <v>81.776666666666699</v>
      </c>
      <c r="V44" s="875">
        <f t="shared" si="27"/>
        <v>8.2233333333333007</v>
      </c>
      <c r="W44" s="878">
        <f t="shared" si="7"/>
        <v>92.954333333333381</v>
      </c>
      <c r="X44" s="879">
        <f t="shared" si="8"/>
        <v>95</v>
      </c>
      <c r="Y44" s="878">
        <f t="shared" si="9"/>
        <v>-5</v>
      </c>
      <c r="Z44" s="880">
        <f t="shared" si="10"/>
        <v>0.74305555555555558</v>
      </c>
      <c r="AA44" s="874">
        <v>0.73958333333333337</v>
      </c>
      <c r="AB44" s="882">
        <f t="shared" si="11"/>
        <v>90</v>
      </c>
      <c r="AC44" s="883">
        <f t="shared" si="12"/>
        <v>8.2233333333333007</v>
      </c>
      <c r="AD44" s="884">
        <f t="shared" si="28"/>
        <v>-5</v>
      </c>
      <c r="AE44" s="885">
        <f t="shared" si="13"/>
        <v>0</v>
      </c>
    </row>
    <row r="45" spans="1:31" ht="18.75" x14ac:dyDescent="0.3">
      <c r="A45" s="873" t="s">
        <v>727</v>
      </c>
      <c r="B45" s="874">
        <v>0.66666666666666663</v>
      </c>
      <c r="C45" s="875">
        <v>105</v>
      </c>
      <c r="D45" s="876">
        <v>3</v>
      </c>
      <c r="E45" s="889">
        <v>81.183333333333294</v>
      </c>
      <c r="F45" s="875">
        <f t="shared" si="32"/>
        <v>23.816666666666706</v>
      </c>
      <c r="G45" s="878">
        <f t="shared" si="0"/>
        <v>92.301666666666634</v>
      </c>
      <c r="H45" s="879">
        <f t="shared" si="1"/>
        <v>90</v>
      </c>
      <c r="I45" s="878">
        <f t="shared" si="2"/>
        <v>15</v>
      </c>
      <c r="J45" s="880">
        <f t="shared" si="3"/>
        <v>0.72916666666666663</v>
      </c>
      <c r="K45" s="893">
        <v>0.73958333333333337</v>
      </c>
      <c r="L45" s="882">
        <f t="shared" si="4"/>
        <v>105.0000000000001</v>
      </c>
      <c r="M45" s="883">
        <f t="shared" si="5"/>
        <v>23.816666666666805</v>
      </c>
      <c r="N45" s="884">
        <f t="shared" si="33"/>
        <v>15.000000000000099</v>
      </c>
      <c r="O45" s="885">
        <f t="shared" si="6"/>
        <v>0</v>
      </c>
      <c r="P45" s="880"/>
      <c r="Q45" s="873">
        <v>7</v>
      </c>
      <c r="R45" s="881">
        <v>0.6875</v>
      </c>
      <c r="S45" s="888">
        <v>90</v>
      </c>
      <c r="T45" s="876">
        <v>6</v>
      </c>
      <c r="U45" s="889">
        <v>82.455555555555605</v>
      </c>
      <c r="V45" s="875">
        <f t="shared" si="27"/>
        <v>7.5444444444443945</v>
      </c>
      <c r="W45" s="878">
        <f t="shared" si="7"/>
        <v>93.701111111111175</v>
      </c>
      <c r="X45" s="879">
        <f t="shared" si="8"/>
        <v>95</v>
      </c>
      <c r="Y45" s="878">
        <f t="shared" si="9"/>
        <v>-5</v>
      </c>
      <c r="Z45" s="880">
        <f t="shared" si="10"/>
        <v>0.75347222222222221</v>
      </c>
      <c r="AA45" s="874">
        <v>0.75</v>
      </c>
      <c r="AB45" s="882">
        <f t="shared" si="11"/>
        <v>90</v>
      </c>
      <c r="AC45" s="883">
        <f t="shared" si="12"/>
        <v>7.5444444444443945</v>
      </c>
      <c r="AD45" s="884">
        <f t="shared" si="28"/>
        <v>-5</v>
      </c>
      <c r="AE45" s="885">
        <f t="shared" si="13"/>
        <v>0</v>
      </c>
    </row>
    <row r="46" spans="1:31" ht="18.75" x14ac:dyDescent="0.3">
      <c r="A46" s="873">
        <v>7</v>
      </c>
      <c r="B46" s="874">
        <v>0.67708333333333337</v>
      </c>
      <c r="C46" s="875">
        <v>105</v>
      </c>
      <c r="D46" s="876">
        <v>4</v>
      </c>
      <c r="E46" s="889">
        <v>80.545833333333306</v>
      </c>
      <c r="F46" s="875">
        <f t="shared" si="32"/>
        <v>24.454166666666694</v>
      </c>
      <c r="G46" s="878">
        <f t="shared" si="0"/>
        <v>91.600416666666646</v>
      </c>
      <c r="H46" s="879">
        <f t="shared" si="1"/>
        <v>90</v>
      </c>
      <c r="I46" s="878">
        <f t="shared" si="2"/>
        <v>15</v>
      </c>
      <c r="J46" s="880">
        <f t="shared" si="3"/>
        <v>0.73958333333333337</v>
      </c>
      <c r="K46" s="881">
        <v>0.75</v>
      </c>
      <c r="L46" s="882">
        <f t="shared" si="4"/>
        <v>104.99999999999994</v>
      </c>
      <c r="M46" s="883">
        <f t="shared" si="5"/>
        <v>24.454166666666637</v>
      </c>
      <c r="N46" s="884">
        <f t="shared" si="33"/>
        <v>14.999999999999943</v>
      </c>
      <c r="O46" s="885">
        <f t="shared" si="6"/>
        <v>0</v>
      </c>
      <c r="P46" s="880"/>
      <c r="Q46" s="873" t="s">
        <v>727</v>
      </c>
      <c r="R46" s="893">
        <v>0.69791666666666663</v>
      </c>
      <c r="S46" s="888">
        <v>90</v>
      </c>
      <c r="T46" s="876">
        <v>4</v>
      </c>
      <c r="U46" s="889">
        <v>84.183333333333294</v>
      </c>
      <c r="V46" s="875">
        <f t="shared" si="27"/>
        <v>5.8166666666667055</v>
      </c>
      <c r="W46" s="878">
        <f t="shared" si="7"/>
        <v>95.601666666666631</v>
      </c>
      <c r="X46" s="879">
        <f t="shared" si="8"/>
        <v>95</v>
      </c>
      <c r="Y46" s="878">
        <f t="shared" si="9"/>
        <v>-5</v>
      </c>
      <c r="Z46" s="880">
        <f t="shared" si="10"/>
        <v>0.76388888888888884</v>
      </c>
      <c r="AA46" s="874">
        <v>0.76041666666666663</v>
      </c>
      <c r="AB46" s="882">
        <f t="shared" si="11"/>
        <v>90</v>
      </c>
      <c r="AC46" s="883">
        <f t="shared" si="12"/>
        <v>5.8166666666667055</v>
      </c>
      <c r="AD46" s="884">
        <f t="shared" si="28"/>
        <v>-5</v>
      </c>
      <c r="AE46" s="885">
        <f t="shared" si="13"/>
        <v>0</v>
      </c>
    </row>
    <row r="47" spans="1:31" ht="18.75" x14ac:dyDescent="0.3">
      <c r="A47" s="873" t="s">
        <v>727</v>
      </c>
      <c r="B47" s="874">
        <v>0.6875</v>
      </c>
      <c r="C47" s="875">
        <v>105</v>
      </c>
      <c r="D47" s="876">
        <v>5</v>
      </c>
      <c r="E47" s="889">
        <v>83.676666666666705</v>
      </c>
      <c r="F47" s="875">
        <f t="shared" si="32"/>
        <v>21.323333333333295</v>
      </c>
      <c r="G47" s="878">
        <f t="shared" si="0"/>
        <v>95.044333333333384</v>
      </c>
      <c r="H47" s="879">
        <f t="shared" si="1"/>
        <v>95</v>
      </c>
      <c r="I47" s="878">
        <f t="shared" si="2"/>
        <v>10</v>
      </c>
      <c r="J47" s="880">
        <f t="shared" si="3"/>
        <v>0.75347222222222221</v>
      </c>
      <c r="K47" s="893">
        <v>0.76041666666666663</v>
      </c>
      <c r="L47" s="882">
        <f t="shared" si="4"/>
        <v>104.99999999999994</v>
      </c>
      <c r="M47" s="883">
        <f t="shared" si="5"/>
        <v>21.323333333333238</v>
      </c>
      <c r="N47" s="884">
        <f t="shared" si="33"/>
        <v>9.9999999999999432</v>
      </c>
      <c r="O47" s="885">
        <f t="shared" si="6"/>
        <v>0</v>
      </c>
      <c r="P47" s="880"/>
      <c r="Q47" s="873">
        <v>7</v>
      </c>
      <c r="R47" s="881">
        <v>0.70833333333333337</v>
      </c>
      <c r="S47" s="888">
        <v>90</v>
      </c>
      <c r="T47" s="876">
        <v>6</v>
      </c>
      <c r="U47" s="889">
        <v>79.511111111111106</v>
      </c>
      <c r="V47" s="875">
        <f t="shared" si="27"/>
        <v>10.488888888888894</v>
      </c>
      <c r="W47" s="878">
        <f t="shared" si="7"/>
        <v>90.462222222222223</v>
      </c>
      <c r="X47" s="879">
        <f t="shared" si="8"/>
        <v>90</v>
      </c>
      <c r="Y47" s="878">
        <f t="shared" si="9"/>
        <v>0</v>
      </c>
      <c r="Z47" s="880">
        <f t="shared" si="10"/>
        <v>0.77083333333333337</v>
      </c>
      <c r="AA47" s="874">
        <v>0.77083333333333337</v>
      </c>
      <c r="AB47" s="882">
        <f t="shared" si="11"/>
        <v>90</v>
      </c>
      <c r="AC47" s="883">
        <f t="shared" si="12"/>
        <v>10.488888888888894</v>
      </c>
      <c r="AD47" s="884">
        <f t="shared" si="28"/>
        <v>0</v>
      </c>
      <c r="AE47" s="885">
        <f t="shared" si="13"/>
        <v>0</v>
      </c>
    </row>
    <row r="48" spans="1:31" ht="18.75" x14ac:dyDescent="0.3">
      <c r="A48" s="873">
        <v>7</v>
      </c>
      <c r="B48" s="874">
        <v>0.69791666666666663</v>
      </c>
      <c r="C48" s="875">
        <v>105</v>
      </c>
      <c r="D48" s="876">
        <v>6</v>
      </c>
      <c r="E48" s="889">
        <v>78.494444444444397</v>
      </c>
      <c r="F48" s="875">
        <f t="shared" si="32"/>
        <v>26.505555555555603</v>
      </c>
      <c r="G48" s="878">
        <f t="shared" si="0"/>
        <v>89.343888888888841</v>
      </c>
      <c r="H48" s="879">
        <f t="shared" si="1"/>
        <v>90</v>
      </c>
      <c r="I48" s="878">
        <f t="shared" si="2"/>
        <v>15</v>
      </c>
      <c r="J48" s="880">
        <f t="shared" si="3"/>
        <v>0.76041666666666663</v>
      </c>
      <c r="K48" s="881">
        <v>0.77083333333333337</v>
      </c>
      <c r="L48" s="882">
        <f t="shared" si="4"/>
        <v>105.0000000000001</v>
      </c>
      <c r="M48" s="883">
        <f t="shared" si="5"/>
        <v>26.505555555555702</v>
      </c>
      <c r="N48" s="884">
        <f t="shared" si="33"/>
        <v>15.000000000000099</v>
      </c>
      <c r="O48" s="885">
        <f t="shared" si="6"/>
        <v>0</v>
      </c>
      <c r="P48" s="880"/>
      <c r="Q48" s="873" t="s">
        <v>727</v>
      </c>
      <c r="R48" s="893">
        <v>0.71875</v>
      </c>
      <c r="S48" s="888">
        <v>75</v>
      </c>
      <c r="T48" s="876">
        <v>6</v>
      </c>
      <c r="U48" s="889">
        <v>83.897222222222197</v>
      </c>
      <c r="V48" s="875">
        <f t="shared" si="27"/>
        <v>-8.8972222222221973</v>
      </c>
      <c r="W48" s="878">
        <f t="shared" si="7"/>
        <v>95.28694444444443</v>
      </c>
      <c r="X48" s="879">
        <f t="shared" si="8"/>
        <v>95</v>
      </c>
      <c r="Y48" s="878">
        <f t="shared" si="9"/>
        <v>-20</v>
      </c>
      <c r="Z48" s="880">
        <f t="shared" si="10"/>
        <v>0.78472222222222221</v>
      </c>
      <c r="AA48" s="874">
        <v>0.78472222222222221</v>
      </c>
      <c r="AB48" s="882">
        <f t="shared" si="11"/>
        <v>94.999999999999986</v>
      </c>
      <c r="AC48" s="883">
        <f t="shared" si="12"/>
        <v>11.102777777777789</v>
      </c>
      <c r="AD48" s="884">
        <f t="shared" si="28"/>
        <v>0</v>
      </c>
      <c r="AE48" s="885">
        <f t="shared" si="13"/>
        <v>19.999999999999986</v>
      </c>
    </row>
    <row r="49" spans="1:31" ht="18.75" x14ac:dyDescent="0.3">
      <c r="A49" s="873" t="s">
        <v>727</v>
      </c>
      <c r="B49" s="874">
        <v>0.70833333333333337</v>
      </c>
      <c r="C49" s="875">
        <v>105</v>
      </c>
      <c r="D49" s="876">
        <v>5</v>
      </c>
      <c r="E49" s="889">
        <v>78.593333333333305</v>
      </c>
      <c r="F49" s="875">
        <f t="shared" si="32"/>
        <v>26.406666666666695</v>
      </c>
      <c r="G49" s="878">
        <f t="shared" si="0"/>
        <v>89.452666666666644</v>
      </c>
      <c r="H49" s="879">
        <f t="shared" si="1"/>
        <v>90</v>
      </c>
      <c r="I49" s="878">
        <f t="shared" si="2"/>
        <v>15</v>
      </c>
      <c r="J49" s="880">
        <f t="shared" si="3"/>
        <v>0.77083333333333337</v>
      </c>
      <c r="K49" s="893">
        <v>0.78125</v>
      </c>
      <c r="L49" s="882">
        <f t="shared" si="4"/>
        <v>104.99999999999994</v>
      </c>
      <c r="M49" s="883">
        <f t="shared" si="5"/>
        <v>26.406666666666638</v>
      </c>
      <c r="N49" s="884">
        <f t="shared" si="33"/>
        <v>14.999999999999943</v>
      </c>
      <c r="O49" s="885">
        <f t="shared" si="6"/>
        <v>0</v>
      </c>
      <c r="P49" s="880"/>
      <c r="Q49" s="873">
        <v>7</v>
      </c>
      <c r="R49" s="881">
        <v>0.72916666666666663</v>
      </c>
      <c r="S49" s="888">
        <v>80</v>
      </c>
      <c r="T49" s="876">
        <v>6</v>
      </c>
      <c r="U49" s="889">
        <v>74.608333333333306</v>
      </c>
      <c r="V49" s="875">
        <f t="shared" si="27"/>
        <v>5.3916666666666941</v>
      </c>
      <c r="W49" s="878">
        <f t="shared" si="7"/>
        <v>85.069166666666646</v>
      </c>
      <c r="X49" s="879">
        <f t="shared" si="8"/>
        <v>85</v>
      </c>
      <c r="Y49" s="878">
        <f t="shared" si="9"/>
        <v>-5</v>
      </c>
      <c r="Z49" s="880">
        <f t="shared" si="10"/>
        <v>0.78819444444444442</v>
      </c>
      <c r="AA49" s="895">
        <v>0.78472222222222221</v>
      </c>
      <c r="AB49" s="882">
        <f t="shared" si="11"/>
        <v>80.000000000000028</v>
      </c>
      <c r="AC49" s="883">
        <f t="shared" si="12"/>
        <v>5.3916666666667226</v>
      </c>
      <c r="AD49" s="884">
        <f t="shared" si="28"/>
        <v>-4.9999999999999716</v>
      </c>
      <c r="AE49" s="885">
        <f t="shared" si="13"/>
        <v>0</v>
      </c>
    </row>
    <row r="50" spans="1:31" ht="18.75" x14ac:dyDescent="0.3">
      <c r="A50" s="873">
        <v>7</v>
      </c>
      <c r="B50" s="874">
        <v>0.71875</v>
      </c>
      <c r="C50" s="875">
        <v>105</v>
      </c>
      <c r="D50" s="876">
        <v>4</v>
      </c>
      <c r="E50" s="889">
        <v>76.616666666666703</v>
      </c>
      <c r="F50" s="875">
        <f t="shared" si="32"/>
        <v>28.383333333333297</v>
      </c>
      <c r="G50" s="878">
        <f t="shared" si="0"/>
        <v>87.278333333333379</v>
      </c>
      <c r="H50" s="879">
        <f t="shared" si="1"/>
        <v>85</v>
      </c>
      <c r="I50" s="878">
        <f t="shared" si="2"/>
        <v>20</v>
      </c>
      <c r="J50" s="880">
        <f t="shared" si="3"/>
        <v>0.77777777777777779</v>
      </c>
      <c r="K50" s="881">
        <v>0.79166666666666663</v>
      </c>
      <c r="L50" s="882">
        <f t="shared" si="4"/>
        <v>104.99999999999994</v>
      </c>
      <c r="M50" s="883">
        <f t="shared" si="5"/>
        <v>28.38333333333324</v>
      </c>
      <c r="N50" s="884">
        <f t="shared" si="33"/>
        <v>19.999999999999943</v>
      </c>
      <c r="O50" s="885">
        <f t="shared" si="6"/>
        <v>0</v>
      </c>
      <c r="P50" s="880"/>
      <c r="Q50" s="873" t="s">
        <v>727</v>
      </c>
      <c r="R50" s="893">
        <v>0.73958333333333337</v>
      </c>
      <c r="S50" s="888">
        <v>105</v>
      </c>
      <c r="T50" s="876">
        <v>6</v>
      </c>
      <c r="U50" s="889">
        <v>69.561111111111103</v>
      </c>
      <c r="V50" s="875">
        <f t="shared" si="27"/>
        <v>35.438888888888897</v>
      </c>
      <c r="W50" s="878">
        <f t="shared" si="7"/>
        <v>79.517222222222216</v>
      </c>
      <c r="X50" s="879">
        <f t="shared" si="8"/>
        <v>80</v>
      </c>
      <c r="Y50" s="878">
        <f t="shared" si="9"/>
        <v>25</v>
      </c>
      <c r="Z50" s="880">
        <f t="shared" si="10"/>
        <v>0.79513888888888895</v>
      </c>
      <c r="AA50" s="874">
        <v>0.79861111111111116</v>
      </c>
      <c r="AB50" s="882">
        <f t="shared" si="11"/>
        <v>85.000000000000014</v>
      </c>
      <c r="AC50" s="883">
        <f t="shared" si="12"/>
        <v>15.438888888888911</v>
      </c>
      <c r="AD50" s="884">
        <f t="shared" si="28"/>
        <v>5.0000000000000142</v>
      </c>
      <c r="AE50" s="885">
        <f t="shared" si="13"/>
        <v>-19.999999999999986</v>
      </c>
    </row>
    <row r="51" spans="1:31" ht="18.75" x14ac:dyDescent="0.3">
      <c r="A51" s="873" t="s">
        <v>727</v>
      </c>
      <c r="B51" s="874">
        <v>0.72916666666666663</v>
      </c>
      <c r="C51" s="875">
        <v>105</v>
      </c>
      <c r="D51" s="876">
        <v>2</v>
      </c>
      <c r="E51" s="889">
        <v>91.941666666666706</v>
      </c>
      <c r="F51" s="875">
        <f t="shared" si="32"/>
        <v>13.058333333333294</v>
      </c>
      <c r="G51" s="878">
        <f t="shared" si="0"/>
        <v>104.13583333333338</v>
      </c>
      <c r="H51" s="879">
        <f t="shared" si="1"/>
        <v>105</v>
      </c>
      <c r="I51" s="878">
        <f t="shared" si="2"/>
        <v>0</v>
      </c>
      <c r="J51" s="880">
        <f t="shared" si="3"/>
        <v>0.80208333333333326</v>
      </c>
      <c r="K51" s="893">
        <v>0.80208333333333337</v>
      </c>
      <c r="L51" s="882">
        <f t="shared" si="4"/>
        <v>105.0000000000001</v>
      </c>
      <c r="M51" s="883">
        <f t="shared" si="5"/>
        <v>13.058333333333394</v>
      </c>
      <c r="N51" s="884">
        <f t="shared" si="33"/>
        <v>0</v>
      </c>
      <c r="O51" s="885">
        <f t="shared" si="6"/>
        <v>0</v>
      </c>
      <c r="P51" s="880"/>
      <c r="Q51" s="873">
        <v>7</v>
      </c>
      <c r="R51" s="881">
        <v>0.75</v>
      </c>
      <c r="S51" s="888">
        <v>70</v>
      </c>
      <c r="T51" s="876">
        <v>6</v>
      </c>
      <c r="U51" s="889">
        <v>65.411111111111097</v>
      </c>
      <c r="V51" s="875">
        <f t="shared" si="27"/>
        <v>4.5888888888889028</v>
      </c>
      <c r="W51" s="878">
        <f t="shared" si="7"/>
        <v>74.952222222222218</v>
      </c>
      <c r="X51" s="879">
        <f t="shared" si="8"/>
        <v>75</v>
      </c>
      <c r="Y51" s="878">
        <f t="shared" si="9"/>
        <v>-5</v>
      </c>
      <c r="Z51" s="880">
        <f t="shared" si="10"/>
        <v>0.80208333333333337</v>
      </c>
      <c r="AA51" s="874">
        <v>0.8125</v>
      </c>
      <c r="AB51" s="882">
        <f t="shared" si="11"/>
        <v>90</v>
      </c>
      <c r="AC51" s="883">
        <f t="shared" si="12"/>
        <v>24.588888888888903</v>
      </c>
      <c r="AD51" s="884">
        <f t="shared" si="28"/>
        <v>15</v>
      </c>
      <c r="AE51" s="885">
        <f t="shared" si="13"/>
        <v>20</v>
      </c>
    </row>
    <row r="52" spans="1:31" ht="18.75" x14ac:dyDescent="0.3">
      <c r="A52" s="873">
        <v>7</v>
      </c>
      <c r="B52" s="874">
        <v>0.73958333333333337</v>
      </c>
      <c r="C52" s="875">
        <v>105</v>
      </c>
      <c r="D52" s="876">
        <v>5</v>
      </c>
      <c r="E52" s="889">
        <v>74.343333333333305</v>
      </c>
      <c r="F52" s="875">
        <f t="shared" si="32"/>
        <v>30.656666666666695</v>
      </c>
      <c r="G52" s="878">
        <f t="shared" si="0"/>
        <v>84.777666666666647</v>
      </c>
      <c r="H52" s="879">
        <f t="shared" si="1"/>
        <v>85</v>
      </c>
      <c r="I52" s="878">
        <f t="shared" si="2"/>
        <v>20</v>
      </c>
      <c r="J52" s="880">
        <f t="shared" si="3"/>
        <v>0.79861111111111116</v>
      </c>
      <c r="K52" s="881">
        <v>0.8125</v>
      </c>
      <c r="L52" s="882">
        <f t="shared" si="4"/>
        <v>104.99999999999994</v>
      </c>
      <c r="M52" s="883">
        <f t="shared" si="5"/>
        <v>30.656666666666638</v>
      </c>
      <c r="N52" s="884">
        <f t="shared" si="33"/>
        <v>19.999999999999943</v>
      </c>
      <c r="O52" s="885">
        <f t="shared" si="6"/>
        <v>0</v>
      </c>
      <c r="P52" s="880"/>
      <c r="Q52" s="873" t="s">
        <v>727</v>
      </c>
      <c r="R52" s="893">
        <v>0.76041666666666663</v>
      </c>
      <c r="S52" s="888">
        <v>75</v>
      </c>
      <c r="T52" s="876">
        <v>6</v>
      </c>
      <c r="U52" s="889">
        <v>73.994444444444397</v>
      </c>
      <c r="V52" s="875">
        <f t="shared" si="27"/>
        <v>1.0055555555556026</v>
      </c>
      <c r="W52" s="878">
        <f t="shared" si="7"/>
        <v>84.393888888888839</v>
      </c>
      <c r="X52" s="879">
        <f t="shared" si="8"/>
        <v>85</v>
      </c>
      <c r="Y52" s="878">
        <f t="shared" si="9"/>
        <v>-10</v>
      </c>
      <c r="Z52" s="880">
        <f t="shared" si="10"/>
        <v>0.81944444444444442</v>
      </c>
      <c r="AA52" s="895">
        <v>0.82291666666666663</v>
      </c>
      <c r="AB52" s="882">
        <f t="shared" si="11"/>
        <v>90</v>
      </c>
      <c r="AC52" s="883">
        <f t="shared" si="12"/>
        <v>16.005555555555603</v>
      </c>
      <c r="AD52" s="884">
        <f t="shared" si="28"/>
        <v>5</v>
      </c>
      <c r="AE52" s="885">
        <f t="shared" si="13"/>
        <v>15</v>
      </c>
    </row>
    <row r="53" spans="1:31" ht="18.75" x14ac:dyDescent="0.3">
      <c r="A53" s="873" t="s">
        <v>727</v>
      </c>
      <c r="B53" s="874">
        <v>0.75</v>
      </c>
      <c r="C53" s="875">
        <v>105</v>
      </c>
      <c r="D53" s="876">
        <v>5</v>
      </c>
      <c r="E53" s="889">
        <v>76.153333333333293</v>
      </c>
      <c r="F53" s="875">
        <f t="shared" si="32"/>
        <v>28.846666666666707</v>
      </c>
      <c r="G53" s="878">
        <f t="shared" si="0"/>
        <v>86.768666666666633</v>
      </c>
      <c r="H53" s="879">
        <f t="shared" si="1"/>
        <v>85</v>
      </c>
      <c r="I53" s="878">
        <f t="shared" si="2"/>
        <v>20</v>
      </c>
      <c r="J53" s="880">
        <f t="shared" si="3"/>
        <v>0.80902777777777779</v>
      </c>
      <c r="K53" s="893">
        <v>0.82291666666666663</v>
      </c>
      <c r="L53" s="882">
        <f t="shared" si="4"/>
        <v>104.99999999999994</v>
      </c>
      <c r="M53" s="883">
        <f t="shared" si="5"/>
        <v>28.84666666666665</v>
      </c>
      <c r="N53" s="884">
        <f t="shared" si="33"/>
        <v>19.999999999999943</v>
      </c>
      <c r="O53" s="885">
        <f t="shared" si="6"/>
        <v>0</v>
      </c>
      <c r="P53" s="880"/>
      <c r="Q53" s="873">
        <v>7</v>
      </c>
      <c r="R53" s="881">
        <v>0.77083333333333337</v>
      </c>
      <c r="S53" s="888">
        <v>80</v>
      </c>
      <c r="T53" s="876">
        <v>6</v>
      </c>
      <c r="U53" s="889">
        <v>63.8055555555556</v>
      </c>
      <c r="V53" s="875">
        <f t="shared" si="27"/>
        <v>16.1944444444444</v>
      </c>
      <c r="W53" s="878">
        <f t="shared" si="7"/>
        <v>73.18611111111116</v>
      </c>
      <c r="X53" s="879">
        <f t="shared" si="8"/>
        <v>75</v>
      </c>
      <c r="Y53" s="878">
        <f t="shared" si="9"/>
        <v>5</v>
      </c>
      <c r="Z53" s="880">
        <f t="shared" si="10"/>
        <v>0.82291666666666674</v>
      </c>
      <c r="AA53" s="874">
        <v>0.82638888888888884</v>
      </c>
      <c r="AB53" s="882">
        <f t="shared" si="11"/>
        <v>79.999999999999872</v>
      </c>
      <c r="AC53" s="883">
        <f t="shared" si="12"/>
        <v>16.194444444444272</v>
      </c>
      <c r="AD53" s="884">
        <f t="shared" si="28"/>
        <v>4.9999999999998721</v>
      </c>
      <c r="AE53" s="885">
        <f t="shared" si="13"/>
        <v>-1.2789769243681803E-13</v>
      </c>
    </row>
    <row r="54" spans="1:31" ht="18.75" x14ac:dyDescent="0.3">
      <c r="A54" s="873">
        <v>7</v>
      </c>
      <c r="B54" s="874">
        <v>0.76041666666666663</v>
      </c>
      <c r="C54" s="875">
        <v>105</v>
      </c>
      <c r="D54" s="876">
        <v>5</v>
      </c>
      <c r="E54" s="889">
        <v>75.393333333333302</v>
      </c>
      <c r="F54" s="875">
        <f t="shared" si="32"/>
        <v>29.606666666666698</v>
      </c>
      <c r="G54" s="878">
        <f t="shared" si="0"/>
        <v>85.932666666666634</v>
      </c>
      <c r="H54" s="879">
        <f t="shared" si="1"/>
        <v>85</v>
      </c>
      <c r="I54" s="878">
        <f t="shared" si="2"/>
        <v>20</v>
      </c>
      <c r="J54" s="880">
        <f t="shared" si="3"/>
        <v>0.81944444444444442</v>
      </c>
      <c r="K54" s="881">
        <v>0.83333333333333337</v>
      </c>
      <c r="L54" s="882">
        <f t="shared" si="4"/>
        <v>105.0000000000001</v>
      </c>
      <c r="M54" s="883">
        <f t="shared" si="5"/>
        <v>29.606666666666797</v>
      </c>
      <c r="N54" s="884">
        <f t="shared" si="33"/>
        <v>20.000000000000099</v>
      </c>
      <c r="O54" s="885">
        <f t="shared" si="6"/>
        <v>0</v>
      </c>
      <c r="P54" s="880"/>
      <c r="Q54" s="873" t="s">
        <v>727</v>
      </c>
      <c r="R54" s="893">
        <v>0.78125</v>
      </c>
      <c r="S54" s="888">
        <v>85</v>
      </c>
      <c r="T54" s="876">
        <v>5</v>
      </c>
      <c r="U54" s="889">
        <v>66.953333333333305</v>
      </c>
      <c r="V54" s="875">
        <f t="shared" si="27"/>
        <v>18.046666666666695</v>
      </c>
      <c r="W54" s="878">
        <f t="shared" si="7"/>
        <v>76.648666666666642</v>
      </c>
      <c r="X54" s="879">
        <f t="shared" si="8"/>
        <v>75</v>
      </c>
      <c r="Y54" s="878">
        <f t="shared" si="9"/>
        <v>10</v>
      </c>
      <c r="Z54" s="880">
        <f t="shared" si="10"/>
        <v>0.83333333333333337</v>
      </c>
      <c r="AA54" s="874">
        <v>0.84027777777777779</v>
      </c>
      <c r="AB54" s="882">
        <f t="shared" si="11"/>
        <v>85.000000000000014</v>
      </c>
      <c r="AC54" s="883">
        <f t="shared" si="12"/>
        <v>18.046666666666709</v>
      </c>
      <c r="AD54" s="884">
        <f t="shared" si="28"/>
        <v>10.000000000000014</v>
      </c>
      <c r="AE54" s="885">
        <f t="shared" si="13"/>
        <v>0</v>
      </c>
    </row>
    <row r="55" spans="1:31" ht="18.75" x14ac:dyDescent="0.3">
      <c r="A55" s="873" t="s">
        <v>727</v>
      </c>
      <c r="B55" s="874">
        <v>0.77083333333333337</v>
      </c>
      <c r="C55" s="875">
        <v>110</v>
      </c>
      <c r="D55" s="876">
        <v>3</v>
      </c>
      <c r="E55" s="889">
        <v>76.727777777777803</v>
      </c>
      <c r="F55" s="875">
        <f t="shared" si="32"/>
        <v>33.272222222222197</v>
      </c>
      <c r="G55" s="878">
        <f t="shared" si="0"/>
        <v>87.400555555555584</v>
      </c>
      <c r="H55" s="879">
        <f t="shared" si="1"/>
        <v>85</v>
      </c>
      <c r="I55" s="878">
        <f t="shared" si="2"/>
        <v>25</v>
      </c>
      <c r="J55" s="880">
        <f t="shared" si="3"/>
        <v>0.82986111111111116</v>
      </c>
      <c r="K55" s="893">
        <v>0.84722222222222221</v>
      </c>
      <c r="L55" s="882">
        <f t="shared" si="4"/>
        <v>109.99999999999993</v>
      </c>
      <c r="M55" s="883">
        <f t="shared" si="5"/>
        <v>33.272222222222126</v>
      </c>
      <c r="N55" s="884">
        <f t="shared" si="33"/>
        <v>24.999999999999929</v>
      </c>
      <c r="O55" s="885">
        <f t="shared" si="6"/>
        <v>0</v>
      </c>
      <c r="P55" s="880"/>
      <c r="Q55" s="873">
        <v>7</v>
      </c>
      <c r="R55" s="881">
        <v>0.79166666666666663</v>
      </c>
      <c r="S55" s="888">
        <v>70</v>
      </c>
      <c r="T55" s="876">
        <v>4</v>
      </c>
      <c r="U55" s="889">
        <v>58.5625</v>
      </c>
      <c r="V55" s="875">
        <f t="shared" si="27"/>
        <v>11.4375</v>
      </c>
      <c r="W55" s="878">
        <f t="shared" si="7"/>
        <v>67.418750000000003</v>
      </c>
      <c r="X55" s="879">
        <f t="shared" si="8"/>
        <v>65</v>
      </c>
      <c r="Y55" s="878">
        <f t="shared" si="9"/>
        <v>5</v>
      </c>
      <c r="Z55" s="880">
        <f t="shared" si="10"/>
        <v>0.83680555555555547</v>
      </c>
      <c r="AA55" s="874">
        <v>0.85416666666666663</v>
      </c>
      <c r="AB55" s="882">
        <f t="shared" si="11"/>
        <v>90</v>
      </c>
      <c r="AC55" s="883">
        <f t="shared" si="12"/>
        <v>31.4375</v>
      </c>
      <c r="AD55" s="884">
        <f t="shared" si="28"/>
        <v>25</v>
      </c>
      <c r="AE55" s="885">
        <f t="shared" si="13"/>
        <v>20</v>
      </c>
    </row>
    <row r="56" spans="1:31" ht="18.75" x14ac:dyDescent="0.3">
      <c r="A56" s="873">
        <v>7</v>
      </c>
      <c r="B56" s="874">
        <v>0.78472222222222221</v>
      </c>
      <c r="C56" s="875">
        <v>90</v>
      </c>
      <c r="D56" s="876">
        <v>2</v>
      </c>
      <c r="E56" s="889">
        <v>80.433333333333294</v>
      </c>
      <c r="F56" s="875">
        <f t="shared" si="32"/>
        <v>9.5666666666667055</v>
      </c>
      <c r="G56" s="878">
        <f t="shared" si="0"/>
        <v>91.476666666666631</v>
      </c>
      <c r="H56" s="879">
        <f t="shared" si="1"/>
        <v>90</v>
      </c>
      <c r="I56" s="878">
        <f t="shared" si="2"/>
        <v>0</v>
      </c>
      <c r="J56" s="880">
        <f t="shared" si="3"/>
        <v>0.84722222222222221</v>
      </c>
      <c r="K56" s="881">
        <v>0.86111111111111116</v>
      </c>
      <c r="L56" s="882">
        <f t="shared" si="4"/>
        <v>110.00000000000009</v>
      </c>
      <c r="M56" s="883">
        <f t="shared" si="5"/>
        <v>29.566666666666791</v>
      </c>
      <c r="N56" s="884">
        <f t="shared" si="33"/>
        <v>20.000000000000085</v>
      </c>
      <c r="O56" s="885">
        <f t="shared" si="6"/>
        <v>20.000000000000085</v>
      </c>
      <c r="P56" s="880"/>
      <c r="Q56" s="873" t="s">
        <v>727</v>
      </c>
      <c r="R56" s="893">
        <v>0.80208333333333337</v>
      </c>
      <c r="S56" s="888">
        <v>75</v>
      </c>
      <c r="T56" s="876">
        <v>4</v>
      </c>
      <c r="U56" s="889">
        <v>67.9583333333333</v>
      </c>
      <c r="V56" s="875">
        <f t="shared" si="27"/>
        <v>7.0416666666666998</v>
      </c>
      <c r="W56" s="878">
        <f t="shared" si="7"/>
        <v>77.754166666666634</v>
      </c>
      <c r="X56" s="879">
        <f t="shared" si="8"/>
        <v>80</v>
      </c>
      <c r="Y56" s="878">
        <f t="shared" si="9"/>
        <v>-5</v>
      </c>
      <c r="Z56" s="880">
        <f t="shared" si="10"/>
        <v>0.85763888888888895</v>
      </c>
      <c r="AA56" s="895">
        <v>0.85763888888888884</v>
      </c>
      <c r="AB56" s="882">
        <f t="shared" si="11"/>
        <v>79.999999999999872</v>
      </c>
      <c r="AC56" s="883">
        <f t="shared" si="12"/>
        <v>12.041666666666572</v>
      </c>
      <c r="AD56" s="884">
        <f t="shared" si="28"/>
        <v>-1.2789769243681803E-13</v>
      </c>
      <c r="AE56" s="885">
        <f t="shared" si="13"/>
        <v>4.9999999999998721</v>
      </c>
    </row>
    <row r="57" spans="1:31" ht="18.75" x14ac:dyDescent="0.3">
      <c r="A57" s="873" t="s">
        <v>727</v>
      </c>
      <c r="B57" s="874">
        <v>0.79861111111111116</v>
      </c>
      <c r="C57" s="875">
        <v>80</v>
      </c>
      <c r="D57" s="876"/>
      <c r="E57" s="877">
        <v>80</v>
      </c>
      <c r="F57" s="875">
        <f t="shared" si="32"/>
        <v>0</v>
      </c>
      <c r="G57" s="878">
        <f t="shared" si="0"/>
        <v>91</v>
      </c>
      <c r="H57" s="879">
        <f t="shared" si="1"/>
        <v>90</v>
      </c>
      <c r="I57" s="878">
        <f t="shared" si="2"/>
        <v>-10</v>
      </c>
      <c r="J57" s="880">
        <f t="shared" si="3"/>
        <v>0.86111111111111116</v>
      </c>
      <c r="K57" s="893">
        <v>0.875</v>
      </c>
      <c r="L57" s="882">
        <f t="shared" si="4"/>
        <v>109.99999999999993</v>
      </c>
      <c r="M57" s="883">
        <f t="shared" si="5"/>
        <v>29.999999999999929</v>
      </c>
      <c r="N57" s="884">
        <f t="shared" si="33"/>
        <v>19.999999999999929</v>
      </c>
      <c r="O57" s="885">
        <f t="shared" si="6"/>
        <v>29.999999999999929</v>
      </c>
      <c r="P57" s="880"/>
      <c r="Q57" s="873">
        <v>7</v>
      </c>
      <c r="R57" s="881">
        <v>0.8125</v>
      </c>
      <c r="S57" s="888">
        <v>80</v>
      </c>
      <c r="T57" s="876">
        <v>5</v>
      </c>
      <c r="U57" s="889">
        <v>56.24</v>
      </c>
      <c r="V57" s="875">
        <f t="shared" si="27"/>
        <v>23.759999999999998</v>
      </c>
      <c r="W57" s="878">
        <f t="shared" si="7"/>
        <v>64.864000000000004</v>
      </c>
      <c r="X57" s="879">
        <f t="shared" si="8"/>
        <v>65</v>
      </c>
      <c r="Y57" s="878">
        <f t="shared" si="9"/>
        <v>15</v>
      </c>
      <c r="Z57" s="880">
        <f t="shared" si="10"/>
        <v>0.85763888888888884</v>
      </c>
      <c r="AA57" s="874">
        <v>0.86805555555555558</v>
      </c>
      <c r="AB57" s="882">
        <f t="shared" si="11"/>
        <v>80.000000000000028</v>
      </c>
      <c r="AC57" s="883">
        <f t="shared" si="12"/>
        <v>23.760000000000026</v>
      </c>
      <c r="AD57" s="884">
        <f t="shared" si="28"/>
        <v>15.000000000000028</v>
      </c>
      <c r="AE57" s="885">
        <f t="shared" si="13"/>
        <v>0</v>
      </c>
    </row>
    <row r="58" spans="1:31" ht="18.75" x14ac:dyDescent="0.3">
      <c r="A58" s="902">
        <v>7</v>
      </c>
      <c r="B58" s="903">
        <v>0.8125</v>
      </c>
      <c r="C58" s="875">
        <v>70</v>
      </c>
      <c r="D58" s="876"/>
      <c r="E58" s="877">
        <v>80</v>
      </c>
      <c r="F58" s="875">
        <f t="shared" si="32"/>
        <v>-10</v>
      </c>
      <c r="G58" s="878">
        <f t="shared" si="0"/>
        <v>91</v>
      </c>
      <c r="H58" s="879">
        <f t="shared" si="1"/>
        <v>90</v>
      </c>
      <c r="I58" s="878">
        <f t="shared" si="2"/>
        <v>-20</v>
      </c>
      <c r="J58" s="880">
        <f t="shared" si="3"/>
        <v>0.875</v>
      </c>
      <c r="K58" s="881">
        <v>0.88888888888888884</v>
      </c>
      <c r="L58" s="882">
        <f t="shared" si="4"/>
        <v>109.99999999999993</v>
      </c>
      <c r="M58" s="883">
        <f t="shared" si="5"/>
        <v>29.999999999999929</v>
      </c>
      <c r="N58" s="884">
        <f t="shared" si="33"/>
        <v>19.999999999999929</v>
      </c>
      <c r="O58" s="885">
        <f t="shared" si="6"/>
        <v>39.999999999999929</v>
      </c>
      <c r="P58" s="880"/>
      <c r="Q58" s="873" t="s">
        <v>727</v>
      </c>
      <c r="R58" s="893">
        <v>0.82291666666666663</v>
      </c>
      <c r="S58" s="888">
        <v>65</v>
      </c>
      <c r="T58" s="876">
        <v>5</v>
      </c>
      <c r="U58" s="889">
        <v>59.0833333333333</v>
      </c>
      <c r="V58" s="875">
        <f t="shared" si="27"/>
        <v>5.9166666666666998</v>
      </c>
      <c r="W58" s="878">
        <f t="shared" si="7"/>
        <v>67.991666666666632</v>
      </c>
      <c r="X58" s="879">
        <f t="shared" si="8"/>
        <v>70</v>
      </c>
      <c r="Y58" s="878">
        <f t="shared" si="9"/>
        <v>-5</v>
      </c>
      <c r="Z58" s="880">
        <f t="shared" si="10"/>
        <v>0.87152777777777779</v>
      </c>
      <c r="AA58" s="895">
        <v>0.87152777777777779</v>
      </c>
      <c r="AB58" s="882">
        <f t="shared" si="11"/>
        <v>70.000000000000071</v>
      </c>
      <c r="AC58" s="883">
        <f t="shared" si="12"/>
        <v>10.916666666666771</v>
      </c>
      <c r="AD58" s="884">
        <f t="shared" si="28"/>
        <v>0</v>
      </c>
      <c r="AE58" s="885">
        <f t="shared" si="13"/>
        <v>5.0000000000000711</v>
      </c>
    </row>
    <row r="59" spans="1:31" ht="18.75" x14ac:dyDescent="0.3">
      <c r="A59" s="873" t="s">
        <v>727</v>
      </c>
      <c r="B59" s="874">
        <v>0.82638888888888884</v>
      </c>
      <c r="C59" s="875">
        <v>70</v>
      </c>
      <c r="D59" s="876">
        <v>1</v>
      </c>
      <c r="E59" s="889">
        <v>77.4166666666667</v>
      </c>
      <c r="F59" s="875">
        <f t="shared" si="32"/>
        <v>-7.4166666666666998</v>
      </c>
      <c r="G59" s="878">
        <f t="shared" si="0"/>
        <v>88.158333333333374</v>
      </c>
      <c r="H59" s="879">
        <f t="shared" si="1"/>
        <v>90</v>
      </c>
      <c r="I59" s="878">
        <f t="shared" si="2"/>
        <v>-20</v>
      </c>
      <c r="J59" s="880">
        <f t="shared" si="3"/>
        <v>0.88888888888888884</v>
      </c>
      <c r="K59" s="895">
        <v>0.88888888888888884</v>
      </c>
      <c r="L59" s="882">
        <f t="shared" si="4"/>
        <v>90</v>
      </c>
      <c r="M59" s="883">
        <f t="shared" si="5"/>
        <v>12.5833333333333</v>
      </c>
      <c r="N59" s="884">
        <f t="shared" si="33"/>
        <v>0</v>
      </c>
      <c r="O59" s="885">
        <f t="shared" si="6"/>
        <v>20</v>
      </c>
      <c r="P59" s="880"/>
      <c r="Q59" s="873">
        <v>7</v>
      </c>
      <c r="R59" s="881">
        <v>0.83333333333333337</v>
      </c>
      <c r="S59" s="888">
        <v>70</v>
      </c>
      <c r="T59" s="876">
        <v>6</v>
      </c>
      <c r="U59" s="889">
        <v>58.4861111111111</v>
      </c>
      <c r="V59" s="875">
        <f t="shared" si="27"/>
        <v>11.5138888888889</v>
      </c>
      <c r="W59" s="878">
        <f t="shared" si="7"/>
        <v>67.334722222222211</v>
      </c>
      <c r="X59" s="879">
        <f t="shared" si="8"/>
        <v>65</v>
      </c>
      <c r="Y59" s="878">
        <f t="shared" si="9"/>
        <v>5</v>
      </c>
      <c r="Z59" s="880">
        <f t="shared" si="10"/>
        <v>0.87847222222222221</v>
      </c>
      <c r="AA59" s="874">
        <v>0.88194444444444442</v>
      </c>
      <c r="AB59" s="882">
        <f t="shared" si="11"/>
        <v>69.999999999999915</v>
      </c>
      <c r="AC59" s="883">
        <f t="shared" si="12"/>
        <v>11.513888888888815</v>
      </c>
      <c r="AD59" s="884">
        <f t="shared" si="28"/>
        <v>4.9999999999999147</v>
      </c>
      <c r="AE59" s="885">
        <f t="shared" si="13"/>
        <v>0</v>
      </c>
    </row>
    <row r="60" spans="1:31" ht="18.75" x14ac:dyDescent="0.3">
      <c r="A60" s="902">
        <v>7</v>
      </c>
      <c r="B60" s="903">
        <v>0.84027777777777779</v>
      </c>
      <c r="C60" s="875">
        <v>70</v>
      </c>
      <c r="D60" s="876"/>
      <c r="E60" s="877">
        <v>75</v>
      </c>
      <c r="F60" s="875">
        <f t="shared" si="32"/>
        <v>-5</v>
      </c>
      <c r="G60" s="878">
        <f t="shared" si="0"/>
        <v>85.5</v>
      </c>
      <c r="H60" s="879">
        <f t="shared" si="1"/>
        <v>85</v>
      </c>
      <c r="I60" s="878">
        <f t="shared" si="2"/>
        <v>-15</v>
      </c>
      <c r="J60" s="880">
        <f t="shared" si="3"/>
        <v>0.89930555555555558</v>
      </c>
      <c r="K60" s="895">
        <v>0.89930555555555558</v>
      </c>
      <c r="L60" s="882">
        <f t="shared" si="4"/>
        <v>85.000000000000014</v>
      </c>
      <c r="M60" s="883">
        <f t="shared" si="5"/>
        <v>10.000000000000014</v>
      </c>
      <c r="N60" s="884">
        <f t="shared" si="33"/>
        <v>0</v>
      </c>
      <c r="O60" s="885">
        <f t="shared" si="6"/>
        <v>15.000000000000014</v>
      </c>
      <c r="P60" s="880"/>
      <c r="Q60" s="873" t="s">
        <v>727</v>
      </c>
      <c r="R60" s="893">
        <v>0.84722222222222221</v>
      </c>
      <c r="S60" s="888">
        <v>70</v>
      </c>
      <c r="T60" s="876">
        <v>6</v>
      </c>
      <c r="U60" s="889">
        <v>54.205555555555499</v>
      </c>
      <c r="V60" s="875">
        <f t="shared" si="27"/>
        <v>15.794444444444501</v>
      </c>
      <c r="W60" s="878">
        <f t="shared" si="7"/>
        <v>62.626111111111051</v>
      </c>
      <c r="X60" s="879">
        <f t="shared" si="8"/>
        <v>65</v>
      </c>
      <c r="Y60" s="878">
        <f t="shared" si="9"/>
        <v>5</v>
      </c>
      <c r="Z60" s="880">
        <f t="shared" si="10"/>
        <v>0.89236111111111105</v>
      </c>
      <c r="AA60" s="874">
        <v>0.89583333333333337</v>
      </c>
      <c r="AB60" s="882">
        <f t="shared" si="11"/>
        <v>70.000000000000071</v>
      </c>
      <c r="AC60" s="883">
        <f t="shared" si="12"/>
        <v>15.794444444444572</v>
      </c>
      <c r="AD60" s="884">
        <f t="shared" si="28"/>
        <v>5.0000000000000711</v>
      </c>
      <c r="AE60" s="885">
        <f t="shared" si="13"/>
        <v>0</v>
      </c>
    </row>
    <row r="61" spans="1:31" ht="18.75" x14ac:dyDescent="0.3">
      <c r="A61" s="873" t="s">
        <v>727</v>
      </c>
      <c r="B61" s="874">
        <v>0.85416666666666663</v>
      </c>
      <c r="C61" s="875">
        <v>70</v>
      </c>
      <c r="D61" s="876">
        <v>1</v>
      </c>
      <c r="E61" s="889">
        <v>59.216666666666697</v>
      </c>
      <c r="F61" s="875">
        <f t="shared" si="32"/>
        <v>10.783333333333303</v>
      </c>
      <c r="G61" s="878">
        <f t="shared" si="0"/>
        <v>68.138333333333378</v>
      </c>
      <c r="H61" s="879">
        <f t="shared" si="1"/>
        <v>70</v>
      </c>
      <c r="I61" s="878">
        <f t="shared" si="2"/>
        <v>0</v>
      </c>
      <c r="J61" s="880">
        <f t="shared" si="3"/>
        <v>0.90277777777777779</v>
      </c>
      <c r="K61" s="893">
        <v>0.90277777777777779</v>
      </c>
      <c r="L61" s="882">
        <f t="shared" si="4"/>
        <v>70.000000000000071</v>
      </c>
      <c r="M61" s="883">
        <f t="shared" si="5"/>
        <v>10.783333333333374</v>
      </c>
      <c r="N61" s="884">
        <f t="shared" si="33"/>
        <v>0</v>
      </c>
      <c r="O61" s="885">
        <f t="shared" si="6"/>
        <v>0</v>
      </c>
      <c r="P61" s="880"/>
      <c r="Q61" s="873">
        <v>7</v>
      </c>
      <c r="R61" s="881">
        <v>0.86111111111111116</v>
      </c>
      <c r="S61" s="888">
        <v>70</v>
      </c>
      <c r="T61" s="876">
        <v>6</v>
      </c>
      <c r="U61" s="889">
        <v>52.061111111111103</v>
      </c>
      <c r="V61" s="875">
        <f t="shared" si="27"/>
        <v>17.938888888888897</v>
      </c>
      <c r="W61" s="878">
        <f t="shared" si="7"/>
        <v>60.267222222222216</v>
      </c>
      <c r="X61" s="879">
        <f t="shared" si="8"/>
        <v>60</v>
      </c>
      <c r="Y61" s="878">
        <f t="shared" si="9"/>
        <v>10</v>
      </c>
      <c r="Z61" s="880">
        <f t="shared" si="10"/>
        <v>0.90277777777777779</v>
      </c>
      <c r="AA61" s="874">
        <v>0.90972222222222221</v>
      </c>
      <c r="AB61" s="882">
        <f t="shared" si="11"/>
        <v>69.999999999999915</v>
      </c>
      <c r="AC61" s="883">
        <f t="shared" si="12"/>
        <v>17.938888888888812</v>
      </c>
      <c r="AD61" s="884">
        <f t="shared" si="28"/>
        <v>9.9999999999999147</v>
      </c>
      <c r="AE61" s="885">
        <f t="shared" si="13"/>
        <v>0</v>
      </c>
    </row>
    <row r="62" spans="1:31" ht="18.75" x14ac:dyDescent="0.3">
      <c r="A62" s="873">
        <v>7</v>
      </c>
      <c r="B62" s="874">
        <v>0.86805555555555558</v>
      </c>
      <c r="C62" s="875">
        <v>70</v>
      </c>
      <c r="D62" s="876">
        <v>1</v>
      </c>
      <c r="E62" s="889">
        <v>66.133333333333297</v>
      </c>
      <c r="F62" s="875">
        <f t="shared" si="32"/>
        <v>3.8666666666667027</v>
      </c>
      <c r="G62" s="878">
        <f t="shared" si="0"/>
        <v>75.746666666666627</v>
      </c>
      <c r="H62" s="879">
        <f t="shared" si="1"/>
        <v>75</v>
      </c>
      <c r="I62" s="878">
        <f t="shared" si="2"/>
        <v>-5</v>
      </c>
      <c r="J62" s="880">
        <f t="shared" si="3"/>
        <v>0.92013888888888895</v>
      </c>
      <c r="K62" s="881">
        <v>0.91666666666666663</v>
      </c>
      <c r="L62" s="882">
        <f t="shared" si="4"/>
        <v>69.999999999999915</v>
      </c>
      <c r="M62" s="883">
        <f t="shared" si="5"/>
        <v>3.8666666666666174</v>
      </c>
      <c r="N62" s="884">
        <f t="shared" si="33"/>
        <v>-5.0000000000000853</v>
      </c>
      <c r="O62" s="885">
        <f t="shared" si="6"/>
        <v>0</v>
      </c>
      <c r="P62" s="880"/>
      <c r="Q62" s="873" t="s">
        <v>727</v>
      </c>
      <c r="R62" s="893">
        <v>0.875</v>
      </c>
      <c r="S62" s="888">
        <v>70</v>
      </c>
      <c r="T62" s="876">
        <v>6</v>
      </c>
      <c r="U62" s="889">
        <v>54.711111111111101</v>
      </c>
      <c r="V62" s="875">
        <f t="shared" si="27"/>
        <v>15.288888888888899</v>
      </c>
      <c r="W62" s="878">
        <f t="shared" si="7"/>
        <v>63.182222222222215</v>
      </c>
      <c r="X62" s="879">
        <f t="shared" si="8"/>
        <v>65</v>
      </c>
      <c r="Y62" s="878">
        <f t="shared" si="9"/>
        <v>5</v>
      </c>
      <c r="Z62" s="880">
        <f t="shared" si="10"/>
        <v>0.92013888888888884</v>
      </c>
      <c r="AA62" s="895">
        <v>0.92361111111111116</v>
      </c>
      <c r="AB62" s="882">
        <f t="shared" si="11"/>
        <v>70.000000000000071</v>
      </c>
      <c r="AC62" s="883">
        <f t="shared" si="12"/>
        <v>15.28888888888897</v>
      </c>
      <c r="AD62" s="884">
        <f t="shared" si="28"/>
        <v>5.0000000000000711</v>
      </c>
      <c r="AE62" s="885">
        <f t="shared" si="13"/>
        <v>0</v>
      </c>
    </row>
    <row r="63" spans="1:31" ht="18.75" x14ac:dyDescent="0.3">
      <c r="A63" s="873" t="s">
        <v>727</v>
      </c>
      <c r="B63" s="874">
        <v>0.88194444444444442</v>
      </c>
      <c r="C63" s="875">
        <v>70</v>
      </c>
      <c r="D63" s="876">
        <v>1</v>
      </c>
      <c r="E63" s="889">
        <v>60.4</v>
      </c>
      <c r="F63" s="875">
        <f t="shared" si="32"/>
        <v>9.6000000000000014</v>
      </c>
      <c r="G63" s="878">
        <f t="shared" si="0"/>
        <v>69.44</v>
      </c>
      <c r="H63" s="879">
        <f t="shared" si="1"/>
        <v>70</v>
      </c>
      <c r="I63" s="878">
        <f t="shared" si="2"/>
        <v>0</v>
      </c>
      <c r="J63" s="880">
        <f t="shared" si="3"/>
        <v>0.93055555555555558</v>
      </c>
      <c r="K63" s="893">
        <v>0.93055555555555558</v>
      </c>
      <c r="L63" s="882">
        <f t="shared" si="4"/>
        <v>70.000000000000071</v>
      </c>
      <c r="M63" s="883">
        <f t="shared" si="5"/>
        <v>9.6000000000000725</v>
      </c>
      <c r="N63" s="884">
        <f t="shared" si="33"/>
        <v>0</v>
      </c>
      <c r="O63" s="885">
        <f t="shared" si="6"/>
        <v>0</v>
      </c>
      <c r="P63" s="880"/>
      <c r="Q63" s="873">
        <v>7</v>
      </c>
      <c r="R63" s="881">
        <v>0.88888888888888884</v>
      </c>
      <c r="S63" s="888">
        <v>70</v>
      </c>
      <c r="T63" s="876">
        <v>4</v>
      </c>
      <c r="U63" s="889">
        <v>49.504166666666698</v>
      </c>
      <c r="V63" s="875">
        <f t="shared" si="27"/>
        <v>20.495833333333302</v>
      </c>
      <c r="W63" s="878">
        <f t="shared" si="7"/>
        <v>57.454583333333375</v>
      </c>
      <c r="X63" s="879">
        <f t="shared" si="8"/>
        <v>55</v>
      </c>
      <c r="Y63" s="878">
        <f t="shared" si="9"/>
        <v>15</v>
      </c>
      <c r="Z63" s="880">
        <f t="shared" si="10"/>
        <v>0.92708333333333326</v>
      </c>
      <c r="AA63" s="874">
        <v>0.9375</v>
      </c>
      <c r="AB63" s="882">
        <f t="shared" si="11"/>
        <v>70.000000000000071</v>
      </c>
      <c r="AC63" s="883">
        <f t="shared" si="12"/>
        <v>20.495833333333373</v>
      </c>
      <c r="AD63" s="884">
        <f t="shared" si="28"/>
        <v>15.000000000000071</v>
      </c>
      <c r="AE63" s="885">
        <f t="shared" si="13"/>
        <v>0</v>
      </c>
    </row>
    <row r="64" spans="1:31" ht="18.75" x14ac:dyDescent="0.3">
      <c r="A64" s="873">
        <v>7</v>
      </c>
      <c r="B64" s="874">
        <v>0.89583333333333337</v>
      </c>
      <c r="C64" s="875">
        <v>70</v>
      </c>
      <c r="D64" s="876"/>
      <c r="E64" s="877">
        <v>60</v>
      </c>
      <c r="F64" s="875">
        <f t="shared" si="32"/>
        <v>10</v>
      </c>
      <c r="G64" s="878">
        <f t="shared" si="0"/>
        <v>69</v>
      </c>
      <c r="H64" s="879">
        <f t="shared" si="1"/>
        <v>70</v>
      </c>
      <c r="I64" s="878">
        <f t="shared" si="2"/>
        <v>0</v>
      </c>
      <c r="J64" s="880">
        <f t="shared" si="3"/>
        <v>0.94444444444444453</v>
      </c>
      <c r="K64" s="881">
        <v>0.94444444444444442</v>
      </c>
      <c r="L64" s="882">
        <f t="shared" si="4"/>
        <v>69.999999999999915</v>
      </c>
      <c r="M64" s="883">
        <f t="shared" si="5"/>
        <v>9.9999999999999147</v>
      </c>
      <c r="N64" s="884">
        <f t="shared" si="33"/>
        <v>0</v>
      </c>
      <c r="O64" s="885">
        <f t="shared" si="6"/>
        <v>0</v>
      </c>
      <c r="P64" s="880"/>
      <c r="Q64" s="873" t="s">
        <v>727</v>
      </c>
      <c r="R64" s="893">
        <v>0.90277777777777779</v>
      </c>
      <c r="S64" s="888">
        <v>70</v>
      </c>
      <c r="T64" s="876">
        <v>6</v>
      </c>
      <c r="U64" s="889">
        <v>53.622222222222199</v>
      </c>
      <c r="V64" s="875">
        <f t="shared" si="27"/>
        <v>16.377777777777801</v>
      </c>
      <c r="W64" s="878">
        <f t="shared" si="7"/>
        <v>61.984444444444421</v>
      </c>
      <c r="X64" s="879">
        <f t="shared" si="8"/>
        <v>60</v>
      </c>
      <c r="Y64" s="878">
        <f t="shared" si="9"/>
        <v>10</v>
      </c>
      <c r="Z64" s="880">
        <f t="shared" si="10"/>
        <v>0.94444444444444442</v>
      </c>
      <c r="AA64" s="874">
        <v>0.95138888888888884</v>
      </c>
      <c r="AB64" s="882">
        <f t="shared" si="11"/>
        <v>69.999999999999915</v>
      </c>
      <c r="AC64" s="883">
        <f t="shared" si="12"/>
        <v>16.377777777777716</v>
      </c>
      <c r="AD64" s="884">
        <f t="shared" si="28"/>
        <v>9.9999999999999147</v>
      </c>
      <c r="AE64" s="885">
        <f t="shared" si="13"/>
        <v>0</v>
      </c>
    </row>
    <row r="65" spans="1:31" ht="18.75" x14ac:dyDescent="0.3">
      <c r="A65" s="873" t="s">
        <v>727</v>
      </c>
      <c r="B65" s="874">
        <v>0.90972222222222221</v>
      </c>
      <c r="C65" s="875">
        <v>70</v>
      </c>
      <c r="D65" s="876"/>
      <c r="E65" s="877">
        <v>60</v>
      </c>
      <c r="F65" s="875">
        <f t="shared" si="32"/>
        <v>10</v>
      </c>
      <c r="G65" s="878">
        <f t="shared" si="0"/>
        <v>69</v>
      </c>
      <c r="H65" s="879">
        <f t="shared" si="1"/>
        <v>70</v>
      </c>
      <c r="I65" s="878">
        <f t="shared" si="2"/>
        <v>0</v>
      </c>
      <c r="J65" s="880">
        <f t="shared" si="3"/>
        <v>0.95833333333333337</v>
      </c>
      <c r="K65" s="893">
        <v>0.95833333333333337</v>
      </c>
      <c r="L65" s="882">
        <f t="shared" si="4"/>
        <v>70.000000000000071</v>
      </c>
      <c r="M65" s="883">
        <f t="shared" si="5"/>
        <v>10.000000000000071</v>
      </c>
      <c r="N65" s="884">
        <f t="shared" si="33"/>
        <v>0</v>
      </c>
      <c r="O65" s="885">
        <f t="shared" si="6"/>
        <v>0</v>
      </c>
      <c r="P65" s="880"/>
      <c r="Q65" s="873">
        <v>7</v>
      </c>
      <c r="R65" s="881">
        <v>0.91666666666666663</v>
      </c>
      <c r="S65" s="888">
        <v>70</v>
      </c>
      <c r="T65" s="876">
        <v>6</v>
      </c>
      <c r="U65" s="889">
        <v>50.938888888888897</v>
      </c>
      <c r="V65" s="875">
        <f t="shared" si="27"/>
        <v>19.061111111111103</v>
      </c>
      <c r="W65" s="878">
        <f t="shared" si="7"/>
        <v>59.032777777777788</v>
      </c>
      <c r="X65" s="879">
        <f t="shared" si="8"/>
        <v>60</v>
      </c>
      <c r="Y65" s="878">
        <f t="shared" si="9"/>
        <v>10</v>
      </c>
      <c r="Z65" s="880">
        <f t="shared" si="10"/>
        <v>0.95833333333333326</v>
      </c>
      <c r="AA65" s="874">
        <v>0.96527777777777779</v>
      </c>
      <c r="AB65" s="882">
        <f t="shared" si="11"/>
        <v>70.000000000000071</v>
      </c>
      <c r="AC65" s="883">
        <f t="shared" si="12"/>
        <v>19.061111111111174</v>
      </c>
      <c r="AD65" s="884">
        <f t="shared" si="28"/>
        <v>10.000000000000071</v>
      </c>
      <c r="AE65" s="885">
        <f t="shared" si="13"/>
        <v>0</v>
      </c>
    </row>
    <row r="66" spans="1:31" ht="18.75" x14ac:dyDescent="0.3">
      <c r="A66" s="873">
        <v>7</v>
      </c>
      <c r="B66" s="874">
        <v>0.92361111111111116</v>
      </c>
      <c r="C66" s="875">
        <v>65</v>
      </c>
      <c r="D66" s="876">
        <v>1</v>
      </c>
      <c r="E66" s="889">
        <v>55.1</v>
      </c>
      <c r="F66" s="875">
        <f t="shared" si="32"/>
        <v>9.8999999999999986</v>
      </c>
      <c r="G66" s="878">
        <f t="shared" si="0"/>
        <v>63.610000000000007</v>
      </c>
      <c r="H66" s="879">
        <f t="shared" si="1"/>
        <v>65</v>
      </c>
      <c r="I66" s="878">
        <f t="shared" si="2"/>
        <v>0</v>
      </c>
      <c r="J66" s="880">
        <f t="shared" si="3"/>
        <v>0.96875</v>
      </c>
      <c r="K66" s="881">
        <v>0.96875</v>
      </c>
      <c r="L66" s="882">
        <f t="shared" si="4"/>
        <v>64.999999999999929</v>
      </c>
      <c r="M66" s="883">
        <f t="shared" si="5"/>
        <v>9.8999999999999275</v>
      </c>
      <c r="N66" s="884">
        <f t="shared" si="33"/>
        <v>0</v>
      </c>
      <c r="O66" s="885">
        <f t="shared" si="6"/>
        <v>0</v>
      </c>
      <c r="P66" s="880"/>
      <c r="Q66" s="873" t="s">
        <v>727</v>
      </c>
      <c r="R66" s="893">
        <v>0.93055555555555558</v>
      </c>
      <c r="S66" s="888">
        <v>70</v>
      </c>
      <c r="T66" s="876">
        <v>4</v>
      </c>
      <c r="U66" s="889">
        <v>56.620833333333302</v>
      </c>
      <c r="V66" s="875">
        <f t="shared" si="27"/>
        <v>13.379166666666698</v>
      </c>
      <c r="W66" s="878">
        <f t="shared" si="7"/>
        <v>65.282916666666637</v>
      </c>
      <c r="X66" s="879">
        <f t="shared" si="8"/>
        <v>65</v>
      </c>
      <c r="Y66" s="878">
        <f t="shared" si="9"/>
        <v>5</v>
      </c>
      <c r="Z66" s="880">
        <f t="shared" si="10"/>
        <v>0.97569444444444442</v>
      </c>
      <c r="AA66" s="874">
        <v>0.97916666666666663</v>
      </c>
      <c r="AB66" s="882">
        <f t="shared" si="11"/>
        <v>69.999999999999915</v>
      </c>
      <c r="AC66" s="883">
        <f t="shared" si="12"/>
        <v>13.379166666666613</v>
      </c>
      <c r="AD66" s="884">
        <f t="shared" si="28"/>
        <v>4.9999999999999147</v>
      </c>
      <c r="AE66" s="885">
        <f t="shared" si="13"/>
        <v>0</v>
      </c>
    </row>
    <row r="67" spans="1:31" ht="18.75" x14ac:dyDescent="0.3">
      <c r="A67" s="873" t="s">
        <v>727</v>
      </c>
      <c r="B67" s="874">
        <v>0.9375</v>
      </c>
      <c r="C67" s="875">
        <v>60</v>
      </c>
      <c r="D67" s="876"/>
      <c r="E67" s="877">
        <v>56</v>
      </c>
      <c r="F67" s="875">
        <f t="shared" si="32"/>
        <v>4</v>
      </c>
      <c r="G67" s="878">
        <f t="shared" ref="G67:G70" si="36">E67*1.1+3</f>
        <v>64.600000000000009</v>
      </c>
      <c r="H67" s="879">
        <f t="shared" ref="H67:H70" si="37">MROUND(G67,5)</f>
        <v>65</v>
      </c>
      <c r="I67" s="878">
        <f t="shared" ref="I67:I70" si="38">C67-H67</f>
        <v>-5</v>
      </c>
      <c r="J67" s="880">
        <f t="shared" ref="J67:J70" si="39">B67+TIME(,H67,)</f>
        <v>0.98263888888888884</v>
      </c>
      <c r="K67" s="893">
        <v>0.97916666666666663</v>
      </c>
      <c r="L67" s="882">
        <f t="shared" ref="L67:L70" si="40">((K67-B67)*86400)/60</f>
        <v>59.99999999999995</v>
      </c>
      <c r="M67" s="883">
        <f t="shared" ref="M67:M70" si="41">L67-E67</f>
        <v>3.9999999999999503</v>
      </c>
      <c r="N67" s="884">
        <f t="shared" si="33"/>
        <v>-5.0000000000000497</v>
      </c>
      <c r="O67" s="885">
        <f t="shared" ref="O67:O70" si="42">L67-C67</f>
        <v>0</v>
      </c>
      <c r="P67" s="880"/>
      <c r="Q67" s="873">
        <v>7</v>
      </c>
      <c r="R67" s="881">
        <v>0.94444444444444453</v>
      </c>
      <c r="S67" s="888">
        <v>50</v>
      </c>
      <c r="T67" s="876">
        <v>5</v>
      </c>
      <c r="U67" s="889">
        <v>44.61</v>
      </c>
      <c r="V67" s="875">
        <f t="shared" si="27"/>
        <v>5.3900000000000006</v>
      </c>
      <c r="W67" s="878">
        <f t="shared" ref="W67:W70" si="43">U67*1.1+3</f>
        <v>52.071000000000005</v>
      </c>
      <c r="X67" s="879">
        <f t="shared" ref="X67:X70" si="44">MROUND(W67,5)</f>
        <v>50</v>
      </c>
      <c r="Y67" s="878">
        <f t="shared" ref="Y67:Y70" si="45">S67-X67</f>
        <v>0</v>
      </c>
      <c r="Z67" s="880">
        <f t="shared" ref="Z67:Z70" si="46">R67+TIME(,X67,)</f>
        <v>0.97916666666666674</v>
      </c>
      <c r="AA67" s="895">
        <v>0.97916666666666663</v>
      </c>
      <c r="AB67" s="882">
        <f t="shared" ref="AB67:AB70" si="47">((AA67-R67)*86400)/60</f>
        <v>49.999999999999822</v>
      </c>
      <c r="AC67" s="883">
        <f t="shared" ref="AC67:AC70" si="48">AB67-U67</f>
        <v>5.3899999999998229</v>
      </c>
      <c r="AD67" s="884">
        <f t="shared" si="28"/>
        <v>-1.7763568394002505E-13</v>
      </c>
      <c r="AE67" s="885">
        <f t="shared" ref="AE67:AE70" si="49">AB67-S67</f>
        <v>-1.7763568394002505E-13</v>
      </c>
    </row>
    <row r="68" spans="1:31" ht="18.75" x14ac:dyDescent="0.3">
      <c r="A68" s="873">
        <v>7</v>
      </c>
      <c r="B68" s="874">
        <v>0.95138888888888884</v>
      </c>
      <c r="C68" s="875">
        <v>60</v>
      </c>
      <c r="D68" s="876">
        <v>2</v>
      </c>
      <c r="E68" s="889">
        <v>57.191666666666599</v>
      </c>
      <c r="F68" s="875">
        <f t="shared" si="32"/>
        <v>2.8083333333334011</v>
      </c>
      <c r="G68" s="878">
        <f t="shared" si="36"/>
        <v>65.910833333333272</v>
      </c>
      <c r="H68" s="879">
        <f t="shared" si="37"/>
        <v>65</v>
      </c>
      <c r="I68" s="878">
        <f t="shared" si="38"/>
        <v>-5</v>
      </c>
      <c r="J68" s="880">
        <f t="shared" si="39"/>
        <v>0.99652777777777768</v>
      </c>
      <c r="K68" s="895">
        <v>0.99652777777777779</v>
      </c>
      <c r="L68" s="882">
        <f t="shared" si="40"/>
        <v>65.000000000000085</v>
      </c>
      <c r="M68" s="883">
        <f t="shared" si="41"/>
        <v>7.8083333333334863</v>
      </c>
      <c r="N68" s="884">
        <f t="shared" si="33"/>
        <v>0</v>
      </c>
      <c r="O68" s="885">
        <f t="shared" si="42"/>
        <v>5.0000000000000853</v>
      </c>
      <c r="P68" s="880"/>
      <c r="Q68" s="873" t="s">
        <v>727</v>
      </c>
      <c r="R68" s="893">
        <v>0.95833333333333337</v>
      </c>
      <c r="S68" s="888">
        <v>55</v>
      </c>
      <c r="T68" s="876">
        <v>6</v>
      </c>
      <c r="U68" s="889">
        <v>53.733333333333299</v>
      </c>
      <c r="V68" s="875">
        <f t="shared" ref="V68:V70" si="50">S68-U68</f>
        <v>1.2666666666667012</v>
      </c>
      <c r="W68" s="878">
        <f t="shared" si="43"/>
        <v>62.106666666666634</v>
      </c>
      <c r="X68" s="879">
        <f t="shared" si="44"/>
        <v>60</v>
      </c>
      <c r="Y68" s="878">
        <f t="shared" si="45"/>
        <v>-5</v>
      </c>
      <c r="Z68" s="880">
        <f t="shared" si="46"/>
        <v>1</v>
      </c>
      <c r="AA68" s="895">
        <v>1</v>
      </c>
      <c r="AB68" s="882">
        <f t="shared" si="47"/>
        <v>59.99999999999995</v>
      </c>
      <c r="AC68" s="883">
        <f t="shared" si="48"/>
        <v>6.2666666666666515</v>
      </c>
      <c r="AD68" s="884">
        <f t="shared" ref="AD68:AD70" si="51">AB68-X68</f>
        <v>0</v>
      </c>
      <c r="AE68" s="885">
        <f t="shared" si="49"/>
        <v>4.9999999999999503</v>
      </c>
    </row>
    <row r="69" spans="1:31" ht="18.75" x14ac:dyDescent="0.3">
      <c r="A69" s="873" t="s">
        <v>727</v>
      </c>
      <c r="B69" s="874">
        <v>0.96527777777777779</v>
      </c>
      <c r="C69" s="875">
        <v>70</v>
      </c>
      <c r="D69" s="876">
        <v>2</v>
      </c>
      <c r="E69" s="889">
        <v>61.35</v>
      </c>
      <c r="F69" s="875">
        <f t="shared" ref="F69:F70" si="52">C69-E69</f>
        <v>8.6499999999999986</v>
      </c>
      <c r="G69" s="878">
        <f t="shared" si="36"/>
        <v>70.485000000000014</v>
      </c>
      <c r="H69" s="879">
        <f t="shared" si="37"/>
        <v>70</v>
      </c>
      <c r="I69" s="878">
        <f t="shared" si="38"/>
        <v>0</v>
      </c>
      <c r="J69" s="880">
        <f t="shared" si="39"/>
        <v>1.0138888888888888</v>
      </c>
      <c r="K69" s="895">
        <v>1.0138888888888888</v>
      </c>
      <c r="L69" s="882">
        <f t="shared" si="40"/>
        <v>69.999999999999915</v>
      </c>
      <c r="M69" s="883">
        <f t="shared" si="41"/>
        <v>8.6499999999999133</v>
      </c>
      <c r="N69" s="884">
        <f t="shared" ref="N69:N70" si="53">L69-H69</f>
        <v>0</v>
      </c>
      <c r="O69" s="885">
        <f t="shared" si="42"/>
        <v>0</v>
      </c>
      <c r="P69" s="880"/>
      <c r="Q69" s="873">
        <v>7</v>
      </c>
      <c r="R69" s="881">
        <v>0.96875</v>
      </c>
      <c r="S69" s="888">
        <v>50</v>
      </c>
      <c r="T69" s="876">
        <v>6</v>
      </c>
      <c r="U69" s="889">
        <v>43.8472222222222</v>
      </c>
      <c r="V69" s="875">
        <f t="shared" si="50"/>
        <v>6.1527777777777999</v>
      </c>
      <c r="W69" s="878">
        <f t="shared" si="43"/>
        <v>51.231944444444423</v>
      </c>
      <c r="X69" s="879">
        <f t="shared" si="44"/>
        <v>50</v>
      </c>
      <c r="Y69" s="878">
        <f t="shared" si="45"/>
        <v>0</v>
      </c>
      <c r="Z69" s="880">
        <f t="shared" si="46"/>
        <v>1.0034722222222223</v>
      </c>
      <c r="AA69" s="895">
        <v>1.0069444444444444</v>
      </c>
      <c r="AB69" s="882">
        <f t="shared" si="47"/>
        <v>54.999999999999964</v>
      </c>
      <c r="AC69" s="883">
        <f t="shared" si="48"/>
        <v>11.152777777777764</v>
      </c>
      <c r="AD69" s="884">
        <f t="shared" si="51"/>
        <v>4.9999999999999645</v>
      </c>
      <c r="AE69" s="885">
        <f t="shared" si="49"/>
        <v>4.9999999999999645</v>
      </c>
    </row>
    <row r="70" spans="1:31" ht="18.75" x14ac:dyDescent="0.3">
      <c r="A70" s="873">
        <v>7</v>
      </c>
      <c r="B70" s="874">
        <v>0.97916666666666663</v>
      </c>
      <c r="C70" s="875">
        <v>60</v>
      </c>
      <c r="D70" s="876"/>
      <c r="E70" s="877">
        <v>60</v>
      </c>
      <c r="F70" s="875">
        <f t="shared" si="52"/>
        <v>0</v>
      </c>
      <c r="G70" s="878">
        <f t="shared" si="36"/>
        <v>69</v>
      </c>
      <c r="H70" s="879">
        <f t="shared" si="37"/>
        <v>70</v>
      </c>
      <c r="I70" s="878">
        <f t="shared" si="38"/>
        <v>-10</v>
      </c>
      <c r="J70" s="880">
        <f t="shared" si="39"/>
        <v>1.0277777777777777</v>
      </c>
      <c r="K70" s="895">
        <v>1.0243055555555556</v>
      </c>
      <c r="L70" s="882">
        <f t="shared" si="40"/>
        <v>65.000000000000085</v>
      </c>
      <c r="M70" s="883">
        <f t="shared" si="41"/>
        <v>5.0000000000000853</v>
      </c>
      <c r="N70" s="884">
        <f t="shared" si="53"/>
        <v>-4.9999999999999147</v>
      </c>
      <c r="O70" s="885">
        <f t="shared" si="42"/>
        <v>5.0000000000000853</v>
      </c>
      <c r="P70" s="880"/>
      <c r="Q70" s="873" t="s">
        <v>727</v>
      </c>
      <c r="R70" s="893">
        <v>0.97916666666666663</v>
      </c>
      <c r="S70" s="888">
        <v>50</v>
      </c>
      <c r="T70" s="876">
        <v>6</v>
      </c>
      <c r="U70" s="889">
        <v>47.7361111111111</v>
      </c>
      <c r="V70" s="875">
        <f t="shared" si="50"/>
        <v>2.2638888888888999</v>
      </c>
      <c r="W70" s="878">
        <f t="shared" si="43"/>
        <v>55.509722222222216</v>
      </c>
      <c r="X70" s="879">
        <f t="shared" si="44"/>
        <v>55</v>
      </c>
      <c r="Y70" s="878">
        <f t="shared" si="45"/>
        <v>-5</v>
      </c>
      <c r="Z70" s="880">
        <f t="shared" si="46"/>
        <v>1.0173611111111112</v>
      </c>
      <c r="AA70" s="895">
        <v>1.0173611111111112</v>
      </c>
      <c r="AB70" s="882">
        <f t="shared" si="47"/>
        <v>55.000000000000121</v>
      </c>
      <c r="AC70" s="883">
        <f t="shared" si="48"/>
        <v>7.2638888888890207</v>
      </c>
      <c r="AD70" s="884">
        <f t="shared" si="51"/>
        <v>1.2079226507921703E-13</v>
      </c>
      <c r="AE70" s="885">
        <f t="shared" si="49"/>
        <v>5.0000000000001208</v>
      </c>
    </row>
  </sheetData>
  <autoFilter ref="A2:BO70" xr:uid="{99D53568-3927-4B9B-A185-89855AFA3D17}"/>
  <conditionalFormatting sqref="C3:C71 F3:G71 I3:I71 N3:O71">
    <cfRule type="cellIs" dxfId="5" priority="2" operator="lessThan">
      <formula>0</formula>
    </cfRule>
  </conditionalFormatting>
  <conditionalFormatting sqref="V3:W70 Y3:Y70 AD3:AE70">
    <cfRule type="cellIs" dxfId="4" priority="3" operator="lessThan">
      <formula>0</formula>
    </cfRule>
  </conditionalFormatting>
  <conditionalFormatting sqref="AK3:AK25 AN3:AO25 AQ3:AQ25 AV3:AW25 BD3:BE25 BG3:BG25 BL3:BM25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6A09-3F06-4307-B28F-688B89EE53D9}">
  <dimension ref="A1:BO70"/>
  <sheetViews>
    <sheetView topLeftCell="A2" zoomScale="60" zoomScaleNormal="60" workbookViewId="0">
      <selection activeCell="C84" activeCellId="1" sqref="S84:S88 C84:C87"/>
    </sheetView>
    <sheetView workbookViewId="1"/>
  </sheetViews>
  <sheetFormatPr defaultColWidth="9.140625" defaultRowHeight="15.75" x14ac:dyDescent="0.25"/>
  <cols>
    <col min="1" max="1" width="9.140625" style="867"/>
    <col min="2" max="2" width="10.140625" style="867" bestFit="1" customWidth="1"/>
    <col min="3" max="16384" width="9.140625" style="867"/>
  </cols>
  <sheetData>
    <row r="1" spans="1:67" ht="24" x14ac:dyDescent="0.4">
      <c r="A1" s="853" t="s">
        <v>1139</v>
      </c>
      <c r="B1" s="854"/>
      <c r="C1" s="854"/>
      <c r="D1" s="854"/>
      <c r="E1" s="854"/>
      <c r="F1" s="855" t="s">
        <v>1104</v>
      </c>
      <c r="G1" s="855"/>
      <c r="H1" s="855" t="s">
        <v>1140</v>
      </c>
      <c r="I1" s="856"/>
      <c r="J1" s="857" t="s">
        <v>1141</v>
      </c>
      <c r="K1" s="858"/>
      <c r="L1" s="859"/>
      <c r="M1" s="860"/>
      <c r="N1" s="861"/>
      <c r="O1" s="862">
        <f>SUM(O3:O70)</f>
        <v>398.00000000000063</v>
      </c>
      <c r="P1" s="863"/>
      <c r="Q1" s="853" t="s">
        <v>1142</v>
      </c>
      <c r="R1" s="854"/>
      <c r="S1" s="854"/>
      <c r="T1" s="854"/>
      <c r="U1" s="854"/>
      <c r="V1" s="855" t="s">
        <v>1104</v>
      </c>
      <c r="W1" s="855"/>
      <c r="X1" s="855" t="s">
        <v>1143</v>
      </c>
      <c r="Y1" s="856"/>
      <c r="Z1" s="857" t="s">
        <v>1141</v>
      </c>
      <c r="AA1" s="858"/>
      <c r="AB1" s="859"/>
      <c r="AC1" s="860"/>
      <c r="AD1" s="861"/>
      <c r="AE1" s="862">
        <f>SUM(AE3:AE70)</f>
        <v>254.00000000000057</v>
      </c>
      <c r="AI1" s="853" t="s">
        <v>1144</v>
      </c>
      <c r="AJ1" s="854"/>
      <c r="AK1" s="854"/>
      <c r="AL1" s="854"/>
      <c r="AM1" s="854"/>
      <c r="AN1" s="855" t="s">
        <v>1051</v>
      </c>
      <c r="AO1" s="855"/>
      <c r="AP1" s="855" t="s">
        <v>1140</v>
      </c>
      <c r="AQ1" s="856"/>
      <c r="AR1" s="857" t="s">
        <v>1141</v>
      </c>
      <c r="AS1" s="858"/>
      <c r="AT1" s="859"/>
      <c r="AU1" s="860"/>
      <c r="AV1" s="861"/>
      <c r="AW1" s="862">
        <f>SUM(AW3:AW25)</f>
        <v>305.00000000000142</v>
      </c>
      <c r="AX1" s="863"/>
      <c r="AY1" s="853" t="s">
        <v>1145</v>
      </c>
      <c r="AZ1" s="854"/>
      <c r="BA1" s="854"/>
      <c r="BB1" s="854"/>
      <c r="BC1" s="854"/>
      <c r="BD1" s="855" t="s">
        <v>1103</v>
      </c>
      <c r="BE1" s="855"/>
      <c r="BF1" s="855" t="s">
        <v>1143</v>
      </c>
      <c r="BG1" s="856"/>
      <c r="BH1" s="857" t="s">
        <v>1141</v>
      </c>
      <c r="BI1" s="858"/>
      <c r="BJ1" s="859"/>
      <c r="BK1" s="860"/>
      <c r="BL1" s="861"/>
      <c r="BM1" s="862">
        <f>SUM(BM3:BM60)</f>
        <v>355.00000000000188</v>
      </c>
    </row>
    <row r="2" spans="1:67" ht="63.75" thickBot="1" x14ac:dyDescent="0.3">
      <c r="A2" s="868" t="s">
        <v>719</v>
      </c>
      <c r="B2" s="869" t="s">
        <v>1146</v>
      </c>
      <c r="C2" s="869" t="s">
        <v>1147</v>
      </c>
      <c r="D2" s="869" t="s">
        <v>1148</v>
      </c>
      <c r="E2" s="869" t="s">
        <v>1149</v>
      </c>
      <c r="F2" s="869" t="s">
        <v>1150</v>
      </c>
      <c r="G2" s="869" t="s">
        <v>1151</v>
      </c>
      <c r="H2" s="869" t="s">
        <v>1152</v>
      </c>
      <c r="I2" s="869" t="s">
        <v>1150</v>
      </c>
      <c r="J2" s="870" t="s">
        <v>1153</v>
      </c>
      <c r="K2" s="870" t="s">
        <v>1154</v>
      </c>
      <c r="L2" s="870" t="s">
        <v>1155</v>
      </c>
      <c r="M2" s="870" t="s">
        <v>1156</v>
      </c>
      <c r="N2" s="870" t="s">
        <v>1157</v>
      </c>
      <c r="O2" s="871" t="s">
        <v>1158</v>
      </c>
      <c r="P2" s="872"/>
      <c r="Q2" s="868" t="s">
        <v>719</v>
      </c>
      <c r="R2" s="869" t="s">
        <v>1146</v>
      </c>
      <c r="S2" s="869" t="s">
        <v>1147</v>
      </c>
      <c r="T2" s="869" t="s">
        <v>1148</v>
      </c>
      <c r="U2" s="869" t="s">
        <v>1149</v>
      </c>
      <c r="V2" s="869" t="s">
        <v>1150</v>
      </c>
      <c r="W2" s="869" t="s">
        <v>1151</v>
      </c>
      <c r="X2" s="869" t="s">
        <v>1152</v>
      </c>
      <c r="Y2" s="869" t="s">
        <v>1150</v>
      </c>
      <c r="Z2" s="870" t="s">
        <v>1153</v>
      </c>
      <c r="AA2" s="870" t="s">
        <v>1154</v>
      </c>
      <c r="AB2" s="870" t="s">
        <v>1155</v>
      </c>
      <c r="AC2" s="870" t="s">
        <v>1156</v>
      </c>
      <c r="AD2" s="870" t="s">
        <v>1157</v>
      </c>
      <c r="AE2" s="871" t="s">
        <v>1158</v>
      </c>
      <c r="AI2" s="868" t="s">
        <v>719</v>
      </c>
      <c r="AJ2" s="869" t="s">
        <v>1146</v>
      </c>
      <c r="AK2" s="869" t="s">
        <v>1147</v>
      </c>
      <c r="AL2" s="869" t="s">
        <v>1148</v>
      </c>
      <c r="AM2" s="869" t="s">
        <v>1149</v>
      </c>
      <c r="AN2" s="869" t="s">
        <v>1150</v>
      </c>
      <c r="AO2" s="869" t="s">
        <v>1151</v>
      </c>
      <c r="AP2" s="869" t="s">
        <v>1152</v>
      </c>
      <c r="AQ2" s="869" t="s">
        <v>1150</v>
      </c>
      <c r="AR2" s="870" t="s">
        <v>1153</v>
      </c>
      <c r="AS2" s="870" t="s">
        <v>1154</v>
      </c>
      <c r="AT2" s="870" t="s">
        <v>1155</v>
      </c>
      <c r="AU2" s="870" t="s">
        <v>1156</v>
      </c>
      <c r="AV2" s="870" t="s">
        <v>1157</v>
      </c>
      <c r="AW2" s="871" t="s">
        <v>1158</v>
      </c>
      <c r="AX2" s="872"/>
      <c r="AY2" s="868" t="s">
        <v>719</v>
      </c>
      <c r="AZ2" s="869" t="s">
        <v>1146</v>
      </c>
      <c r="BA2" s="869" t="s">
        <v>1147</v>
      </c>
      <c r="BB2" s="869" t="s">
        <v>1148</v>
      </c>
      <c r="BC2" s="869" t="s">
        <v>1149</v>
      </c>
      <c r="BD2" s="869" t="s">
        <v>1150</v>
      </c>
      <c r="BE2" s="869" t="s">
        <v>1151</v>
      </c>
      <c r="BF2" s="869" t="s">
        <v>1152</v>
      </c>
      <c r="BG2" s="869" t="s">
        <v>1150</v>
      </c>
      <c r="BH2" s="870" t="s">
        <v>1153</v>
      </c>
      <c r="BI2" s="870" t="s">
        <v>1154</v>
      </c>
      <c r="BJ2" s="870" t="s">
        <v>1155</v>
      </c>
      <c r="BK2" s="870" t="s">
        <v>1156</v>
      </c>
      <c r="BL2" s="870" t="s">
        <v>1157</v>
      </c>
      <c r="BM2" s="871" t="s">
        <v>1158</v>
      </c>
    </row>
    <row r="3" spans="1:67" ht="18.75" x14ac:dyDescent="0.3">
      <c r="A3" s="873">
        <v>7</v>
      </c>
      <c r="B3" s="874">
        <v>0.3263888888888889</v>
      </c>
      <c r="C3" s="875">
        <v>70</v>
      </c>
      <c r="D3" s="876">
        <v>5</v>
      </c>
      <c r="E3" s="889">
        <v>64.459999999999994</v>
      </c>
      <c r="F3" s="875">
        <f>C3-E3</f>
        <v>5.5400000000000063</v>
      </c>
      <c r="G3" s="878">
        <f t="shared" ref="G3:G54" si="0">E3*1.1+3</f>
        <v>73.906000000000006</v>
      </c>
      <c r="H3" s="879">
        <f t="shared" ref="H3:H54" si="1">MROUND(G3,5)</f>
        <v>75</v>
      </c>
      <c r="I3" s="878">
        <f t="shared" ref="I3:I54" si="2">C3-H3</f>
        <v>-5</v>
      </c>
      <c r="J3" s="880">
        <f t="shared" ref="J3:J54" si="3">B3+TIME(,H3,)</f>
        <v>0.37847222222222221</v>
      </c>
      <c r="K3" s="881">
        <v>0.375</v>
      </c>
      <c r="L3" s="882">
        <f t="shared" ref="L3:L54" si="4">((K3-B3)*86400)/60</f>
        <v>69.999999999999986</v>
      </c>
      <c r="M3" s="883">
        <f t="shared" ref="M3:M54" si="5">L3-E3</f>
        <v>5.539999999999992</v>
      </c>
      <c r="N3" s="884">
        <f>L3-H3</f>
        <v>-5.0000000000000142</v>
      </c>
      <c r="O3" s="885">
        <f t="shared" ref="O3:O54" si="6">L3-C3</f>
        <v>0</v>
      </c>
      <c r="P3" s="880"/>
      <c r="Q3" s="873" t="s">
        <v>727</v>
      </c>
      <c r="R3" s="893">
        <v>0.33333333333333331</v>
      </c>
      <c r="S3" s="888">
        <v>70</v>
      </c>
      <c r="T3" s="876">
        <v>5</v>
      </c>
      <c r="U3" s="889">
        <v>67.8</v>
      </c>
      <c r="V3" s="875">
        <f>S3-U3</f>
        <v>2.2000000000000028</v>
      </c>
      <c r="W3" s="878">
        <f t="shared" ref="W3:W49" si="7">U3*1.1+3</f>
        <v>77.58</v>
      </c>
      <c r="X3" s="879">
        <f t="shared" ref="X3:X49" si="8">MROUND(W3,5)</f>
        <v>80</v>
      </c>
      <c r="Y3" s="878">
        <f t="shared" ref="Y3:Y49" si="9">S3-X3</f>
        <v>-10</v>
      </c>
      <c r="Z3" s="880">
        <f t="shared" ref="Z3:Z49" si="10">R3+TIME(,X3,)</f>
        <v>0.38888888888888884</v>
      </c>
      <c r="AA3" s="874">
        <v>0.39583333333333331</v>
      </c>
      <c r="AB3" s="882">
        <f t="shared" ref="AB3:AB49" si="11">((AA3-R3)*86400)/60</f>
        <v>90</v>
      </c>
      <c r="AC3" s="883">
        <f t="shared" ref="AC3:AC49" si="12">AB3-U3</f>
        <v>22.200000000000003</v>
      </c>
      <c r="AD3" s="884">
        <f>AB3-X3</f>
        <v>10</v>
      </c>
      <c r="AE3" s="885">
        <f t="shared" ref="AE3:AE49" si="13">AB3-S3</f>
        <v>20</v>
      </c>
      <c r="AG3" s="892" t="s">
        <v>1159</v>
      </c>
      <c r="AI3" s="873">
        <v>47</v>
      </c>
      <c r="AJ3" s="874">
        <v>0.39583333333333331</v>
      </c>
      <c r="AK3" s="875">
        <v>60</v>
      </c>
      <c r="AL3" s="876">
        <v>3</v>
      </c>
      <c r="AM3" s="889">
        <v>53.477777777777803</v>
      </c>
      <c r="AN3" s="875">
        <f>AK3-AM3</f>
        <v>6.5222222222221973</v>
      </c>
      <c r="AO3" s="878">
        <f t="shared" ref="AO3:AO6" si="14">AM3*1.1+3</f>
        <v>61.825555555555589</v>
      </c>
      <c r="AP3" s="879">
        <f t="shared" ref="AP3:AP6" si="15">MROUND(AO3,5)</f>
        <v>60</v>
      </c>
      <c r="AQ3" s="878">
        <f t="shared" ref="AQ3:AQ6" si="16">AK3-AP3</f>
        <v>0</v>
      </c>
      <c r="AR3" s="880">
        <f t="shared" ref="AR3:AR6" si="17">AJ3+TIME(,AP3,)</f>
        <v>0.4375</v>
      </c>
      <c r="AS3" s="893">
        <v>0.45833333333333331</v>
      </c>
      <c r="AT3" s="882">
        <f t="shared" ref="AT3:AT6" si="18">((AS3-AJ3)*86400)/60</f>
        <v>90</v>
      </c>
      <c r="AU3" s="883">
        <f t="shared" ref="AU3:AU6" si="19">AT3-AM3</f>
        <v>36.522222222222197</v>
      </c>
      <c r="AV3" s="884">
        <f>AT3-AP3</f>
        <v>30</v>
      </c>
      <c r="AW3" s="885">
        <f t="shared" ref="AW3:AW6" si="20">AT3-AK3</f>
        <v>30</v>
      </c>
      <c r="AX3" s="880"/>
      <c r="AY3" s="873">
        <v>47</v>
      </c>
      <c r="AZ3" s="893">
        <v>0.375</v>
      </c>
      <c r="BA3" s="888"/>
      <c r="BB3" s="876"/>
      <c r="BC3" s="877">
        <v>50.476666666666702</v>
      </c>
      <c r="BD3" s="875">
        <f>BA3-BC3</f>
        <v>-50.476666666666702</v>
      </c>
      <c r="BE3" s="878">
        <f t="shared" ref="BE3" si="21">BC3*1.1+3</f>
        <v>58.524333333333374</v>
      </c>
      <c r="BF3" s="879">
        <f t="shared" ref="BF3" si="22">MROUND(BE3,5)</f>
        <v>60</v>
      </c>
      <c r="BG3" s="878">
        <f t="shared" ref="BG3" si="23">BA3-BF3</f>
        <v>-60</v>
      </c>
      <c r="BH3" s="880">
        <f t="shared" ref="BH3" si="24">AZ3+TIME(,BF3,)</f>
        <v>0.41666666666666669</v>
      </c>
      <c r="BI3" s="874">
        <v>0.4375</v>
      </c>
      <c r="BJ3" s="882">
        <f t="shared" ref="BJ3" si="25">((BI3-AZ3)*86400)/60</f>
        <v>90</v>
      </c>
      <c r="BK3" s="883">
        <f t="shared" ref="BK3" si="26">BJ3-BC3</f>
        <v>39.523333333333298</v>
      </c>
      <c r="BL3" s="884">
        <f>BJ3-BF3</f>
        <v>30</v>
      </c>
      <c r="BM3" s="885">
        <f t="shared" ref="BM3" si="27">BJ3-BA3</f>
        <v>90</v>
      </c>
      <c r="BO3" s="892" t="s">
        <v>1162</v>
      </c>
    </row>
    <row r="4" spans="1:67" ht="18.75" x14ac:dyDescent="0.3">
      <c r="A4" s="873" t="s">
        <v>727</v>
      </c>
      <c r="B4" s="874">
        <v>0.34027777777777779</v>
      </c>
      <c r="C4" s="875">
        <v>70</v>
      </c>
      <c r="D4" s="876">
        <v>3</v>
      </c>
      <c r="E4" s="889">
        <v>62.455555555555598</v>
      </c>
      <c r="F4" s="875">
        <f>C4-E4</f>
        <v>7.5444444444444017</v>
      </c>
      <c r="G4" s="878">
        <f t="shared" si="0"/>
        <v>71.70111111111116</v>
      </c>
      <c r="H4" s="879">
        <f t="shared" si="1"/>
        <v>70</v>
      </c>
      <c r="I4" s="878">
        <f t="shared" si="2"/>
        <v>0</v>
      </c>
      <c r="J4" s="880">
        <f t="shared" si="3"/>
        <v>0.3888888888888889</v>
      </c>
      <c r="K4" s="893">
        <v>0.3888888888888889</v>
      </c>
      <c r="L4" s="882">
        <f t="shared" si="4"/>
        <v>69.999999999999986</v>
      </c>
      <c r="M4" s="883">
        <f t="shared" si="5"/>
        <v>7.5444444444443874</v>
      </c>
      <c r="N4" s="884">
        <f>L4-H4</f>
        <v>0</v>
      </c>
      <c r="O4" s="885">
        <f t="shared" si="6"/>
        <v>0</v>
      </c>
      <c r="P4" s="880"/>
      <c r="Q4" s="873">
        <v>7</v>
      </c>
      <c r="R4" s="881">
        <v>0.34722222222222227</v>
      </c>
      <c r="S4" s="888">
        <v>70</v>
      </c>
      <c r="T4" s="876">
        <v>5</v>
      </c>
      <c r="U4" s="889">
        <v>57.483333333333299</v>
      </c>
      <c r="V4" s="875">
        <f t="shared" ref="V4:V49" si="28">S4-U4</f>
        <v>12.516666666666701</v>
      </c>
      <c r="W4" s="878">
        <f t="shared" si="7"/>
        <v>66.231666666666626</v>
      </c>
      <c r="X4" s="879">
        <f t="shared" si="8"/>
        <v>65</v>
      </c>
      <c r="Y4" s="878">
        <f t="shared" si="9"/>
        <v>5</v>
      </c>
      <c r="Z4" s="880">
        <f t="shared" si="10"/>
        <v>0.39236111111111116</v>
      </c>
      <c r="AA4" s="874">
        <v>0.40972222222222221</v>
      </c>
      <c r="AB4" s="882">
        <f t="shared" si="11"/>
        <v>89.999999999999929</v>
      </c>
      <c r="AC4" s="883">
        <f t="shared" si="12"/>
        <v>32.51666666666663</v>
      </c>
      <c r="AD4" s="884">
        <f t="shared" ref="AD4:AD49" si="29">AB4-X4</f>
        <v>24.999999999999929</v>
      </c>
      <c r="AE4" s="885">
        <f t="shared" si="13"/>
        <v>19.999999999999929</v>
      </c>
      <c r="AG4" s="894">
        <f>AE1+O1</f>
        <v>652.00000000000114</v>
      </c>
      <c r="AI4" s="873">
        <v>47</v>
      </c>
      <c r="AJ4" s="874">
        <v>0.4375</v>
      </c>
      <c r="AK4" s="875">
        <v>60</v>
      </c>
      <c r="AL4" s="876">
        <v>4</v>
      </c>
      <c r="AM4" s="889">
        <v>51.537500000000001</v>
      </c>
      <c r="AN4" s="875">
        <f>AK4-AM4</f>
        <v>8.4624999999999986</v>
      </c>
      <c r="AO4" s="878">
        <f t="shared" si="14"/>
        <v>59.691250000000004</v>
      </c>
      <c r="AP4" s="879">
        <f t="shared" si="15"/>
        <v>60</v>
      </c>
      <c r="AQ4" s="878">
        <f t="shared" si="16"/>
        <v>0</v>
      </c>
      <c r="AR4" s="880">
        <f t="shared" si="17"/>
        <v>0.47916666666666669</v>
      </c>
      <c r="AS4" s="893">
        <v>0.5</v>
      </c>
      <c r="AT4" s="882">
        <f t="shared" si="18"/>
        <v>90</v>
      </c>
      <c r="AU4" s="883">
        <f t="shared" si="19"/>
        <v>38.462499999999999</v>
      </c>
      <c r="AV4" s="884">
        <f>AT4-AP4</f>
        <v>30</v>
      </c>
      <c r="AW4" s="885">
        <f t="shared" si="20"/>
        <v>30</v>
      </c>
      <c r="AX4" s="880"/>
      <c r="AY4" s="873">
        <v>47</v>
      </c>
      <c r="AZ4" s="893">
        <v>0.39583333333333331</v>
      </c>
      <c r="BA4" s="888">
        <v>60</v>
      </c>
      <c r="BB4" s="876">
        <v>5</v>
      </c>
      <c r="BC4" s="889">
        <v>50.476666666666702</v>
      </c>
      <c r="BD4" s="875">
        <f>BA4-BC4</f>
        <v>9.5233333333332979</v>
      </c>
      <c r="BE4" s="878">
        <f t="shared" ref="BE4:BE5" si="30">BC4*1.1+3</f>
        <v>58.524333333333374</v>
      </c>
      <c r="BF4" s="879">
        <f t="shared" ref="BF4:BF5" si="31">MROUND(BE4,5)</f>
        <v>60</v>
      </c>
      <c r="BG4" s="878">
        <f t="shared" ref="BG4:BG5" si="32">BA4-BF4</f>
        <v>0</v>
      </c>
      <c r="BH4" s="880">
        <f t="shared" ref="BH4:BH5" si="33">AZ4+TIME(,BF4,)</f>
        <v>0.4375</v>
      </c>
      <c r="BI4" s="898">
        <v>0.39583333333333331</v>
      </c>
      <c r="BJ4" s="882">
        <f t="shared" ref="BJ4:BJ5" si="34">((BI4-AZ4)*86400)/60</f>
        <v>0</v>
      </c>
      <c r="BK4" s="883">
        <f t="shared" ref="BK4:BK5" si="35">BJ4-BC4</f>
        <v>-50.476666666666702</v>
      </c>
      <c r="BL4" s="884">
        <f>BJ4-BF4</f>
        <v>-60</v>
      </c>
      <c r="BM4" s="885">
        <f t="shared" ref="BM4:BM5" si="36">BJ4-BA4</f>
        <v>-60</v>
      </c>
      <c r="BO4" s="894">
        <f>BM1+AW1</f>
        <v>660.0000000000033</v>
      </c>
    </row>
    <row r="5" spans="1:67" ht="18.75" x14ac:dyDescent="0.3">
      <c r="A5" s="873">
        <v>7</v>
      </c>
      <c r="B5" s="874">
        <v>0.35416666666666669</v>
      </c>
      <c r="C5" s="875">
        <v>70</v>
      </c>
      <c r="D5" s="876">
        <v>5</v>
      </c>
      <c r="E5" s="889">
        <v>59.45</v>
      </c>
      <c r="F5" s="875">
        <f t="shared" ref="F5:F54" si="37">C5-E5</f>
        <v>10.549999999999997</v>
      </c>
      <c r="G5" s="878">
        <f t="shared" si="0"/>
        <v>68.39500000000001</v>
      </c>
      <c r="H5" s="879">
        <f t="shared" si="1"/>
        <v>70</v>
      </c>
      <c r="I5" s="878">
        <f t="shared" si="2"/>
        <v>0</v>
      </c>
      <c r="J5" s="880">
        <f t="shared" si="3"/>
        <v>0.40277777777777779</v>
      </c>
      <c r="K5" s="881">
        <v>0.40277777777777779</v>
      </c>
      <c r="L5" s="882">
        <f t="shared" si="4"/>
        <v>69.999999999999986</v>
      </c>
      <c r="M5" s="883">
        <f t="shared" si="5"/>
        <v>10.549999999999983</v>
      </c>
      <c r="N5" s="884">
        <f t="shared" ref="N5:N54" si="38">L5-H5</f>
        <v>0</v>
      </c>
      <c r="O5" s="885">
        <f t="shared" si="6"/>
        <v>0</v>
      </c>
      <c r="P5" s="880"/>
      <c r="Q5" s="873" t="s">
        <v>727</v>
      </c>
      <c r="R5" s="893">
        <v>0.3611111111111111</v>
      </c>
      <c r="S5" s="888">
        <v>70</v>
      </c>
      <c r="T5" s="876">
        <v>4</v>
      </c>
      <c r="U5" s="889">
        <v>66.4791666666667</v>
      </c>
      <c r="V5" s="875">
        <f t="shared" si="28"/>
        <v>3.5208333333333002</v>
      </c>
      <c r="W5" s="878">
        <f t="shared" si="7"/>
        <v>76.127083333333374</v>
      </c>
      <c r="X5" s="879">
        <f t="shared" si="8"/>
        <v>75</v>
      </c>
      <c r="Y5" s="878">
        <f t="shared" si="9"/>
        <v>-5</v>
      </c>
      <c r="Z5" s="880">
        <f t="shared" si="10"/>
        <v>0.41319444444444442</v>
      </c>
      <c r="AA5" s="874">
        <v>0.4236111111111111</v>
      </c>
      <c r="AB5" s="882">
        <f t="shared" si="11"/>
        <v>90</v>
      </c>
      <c r="AC5" s="883">
        <f t="shared" si="12"/>
        <v>23.5208333333333</v>
      </c>
      <c r="AD5" s="884">
        <f t="shared" si="29"/>
        <v>15</v>
      </c>
      <c r="AE5" s="885">
        <f t="shared" si="13"/>
        <v>20</v>
      </c>
      <c r="AG5" s="897">
        <f>AG4/60</f>
        <v>10.866666666666685</v>
      </c>
      <c r="AI5" s="873">
        <v>47</v>
      </c>
      <c r="AJ5" s="874">
        <v>0.47916666666666669</v>
      </c>
      <c r="AK5" s="875">
        <v>60</v>
      </c>
      <c r="AL5" s="876">
        <v>5</v>
      </c>
      <c r="AM5" s="889">
        <v>53.56</v>
      </c>
      <c r="AN5" s="875">
        <f t="shared" ref="AN5:AN6" si="39">AK5-AM5</f>
        <v>6.4399999999999977</v>
      </c>
      <c r="AO5" s="878">
        <f t="shared" si="14"/>
        <v>61.916000000000004</v>
      </c>
      <c r="AP5" s="879">
        <f t="shared" si="15"/>
        <v>60</v>
      </c>
      <c r="AQ5" s="878">
        <f t="shared" si="16"/>
        <v>0</v>
      </c>
      <c r="AR5" s="880">
        <f t="shared" si="17"/>
        <v>0.52083333333333337</v>
      </c>
      <c r="AS5" s="893">
        <v>0.54166666666666663</v>
      </c>
      <c r="AT5" s="882">
        <f t="shared" si="18"/>
        <v>89.999999999999929</v>
      </c>
      <c r="AU5" s="883">
        <f t="shared" si="19"/>
        <v>36.439999999999927</v>
      </c>
      <c r="AV5" s="884">
        <f t="shared" ref="AV5:AV6" si="40">AT5-AP5</f>
        <v>29.999999999999929</v>
      </c>
      <c r="AW5" s="885">
        <f t="shared" si="20"/>
        <v>29.999999999999929</v>
      </c>
      <c r="AX5" s="880"/>
      <c r="AY5" s="873">
        <v>47</v>
      </c>
      <c r="AZ5" s="893">
        <v>0.41666666666666669</v>
      </c>
      <c r="BA5" s="888"/>
      <c r="BB5" s="876"/>
      <c r="BC5" s="877">
        <v>53.506666666666703</v>
      </c>
      <c r="BD5" s="875">
        <f t="shared" ref="BD5" si="41">BA5-BC5</f>
        <v>-53.506666666666703</v>
      </c>
      <c r="BE5" s="878">
        <f t="shared" si="30"/>
        <v>61.857333333333379</v>
      </c>
      <c r="BF5" s="879">
        <f t="shared" si="31"/>
        <v>60</v>
      </c>
      <c r="BG5" s="878">
        <f t="shared" si="32"/>
        <v>-60</v>
      </c>
      <c r="BH5" s="880">
        <f t="shared" si="33"/>
        <v>0.45833333333333337</v>
      </c>
      <c r="BI5" s="874">
        <v>0.47916666666666669</v>
      </c>
      <c r="BJ5" s="882">
        <f t="shared" si="34"/>
        <v>90</v>
      </c>
      <c r="BK5" s="883">
        <f t="shared" si="35"/>
        <v>36.493333333333297</v>
      </c>
      <c r="BL5" s="884">
        <f t="shared" ref="BL5" si="42">BJ5-BF5</f>
        <v>30</v>
      </c>
      <c r="BM5" s="885">
        <f t="shared" si="36"/>
        <v>90</v>
      </c>
      <c r="BO5" s="897">
        <v>0</v>
      </c>
    </row>
    <row r="6" spans="1:67" ht="18.75" x14ac:dyDescent="0.3">
      <c r="A6" s="873" t="s">
        <v>727</v>
      </c>
      <c r="B6" s="874">
        <v>0.36805555555555558</v>
      </c>
      <c r="C6" s="875">
        <v>70</v>
      </c>
      <c r="D6" s="876">
        <v>5</v>
      </c>
      <c r="E6" s="889">
        <v>61.473333333333301</v>
      </c>
      <c r="F6" s="875">
        <f t="shared" si="37"/>
        <v>8.5266666666666993</v>
      </c>
      <c r="G6" s="878">
        <f t="shared" si="0"/>
        <v>70.620666666666637</v>
      </c>
      <c r="H6" s="879">
        <f t="shared" si="1"/>
        <v>70</v>
      </c>
      <c r="I6" s="878">
        <f t="shared" si="2"/>
        <v>0</v>
      </c>
      <c r="J6" s="880">
        <f t="shared" si="3"/>
        <v>0.41666666666666669</v>
      </c>
      <c r="K6" s="893">
        <v>0.41666666666666669</v>
      </c>
      <c r="L6" s="882">
        <f t="shared" si="4"/>
        <v>69.999999999999986</v>
      </c>
      <c r="M6" s="883">
        <f t="shared" si="5"/>
        <v>8.526666666666685</v>
      </c>
      <c r="N6" s="884">
        <f t="shared" si="38"/>
        <v>0</v>
      </c>
      <c r="O6" s="885">
        <f t="shared" si="6"/>
        <v>0</v>
      </c>
      <c r="P6" s="880"/>
      <c r="Q6" s="873">
        <v>7</v>
      </c>
      <c r="R6" s="881">
        <v>0.375</v>
      </c>
      <c r="S6" s="888">
        <v>70</v>
      </c>
      <c r="T6" s="876">
        <v>5</v>
      </c>
      <c r="U6" s="889">
        <v>59.926666666666698</v>
      </c>
      <c r="V6" s="875">
        <f t="shared" si="28"/>
        <v>10.073333333333302</v>
      </c>
      <c r="W6" s="878">
        <f t="shared" si="7"/>
        <v>68.91933333333337</v>
      </c>
      <c r="X6" s="879">
        <f t="shared" si="8"/>
        <v>70</v>
      </c>
      <c r="Y6" s="878">
        <f t="shared" si="9"/>
        <v>0</v>
      </c>
      <c r="Z6" s="880">
        <f t="shared" si="10"/>
        <v>0.4236111111111111</v>
      </c>
      <c r="AA6" s="874">
        <v>0.4375</v>
      </c>
      <c r="AB6" s="882">
        <f t="shared" si="11"/>
        <v>90</v>
      </c>
      <c r="AC6" s="883">
        <f t="shared" si="12"/>
        <v>30.073333333333302</v>
      </c>
      <c r="AD6" s="884">
        <f t="shared" si="29"/>
        <v>20</v>
      </c>
      <c r="AE6" s="885">
        <f t="shared" si="13"/>
        <v>20</v>
      </c>
      <c r="AI6" s="873">
        <v>47</v>
      </c>
      <c r="AJ6" s="874">
        <v>0.52083333333333337</v>
      </c>
      <c r="AK6" s="875">
        <v>60</v>
      </c>
      <c r="AL6" s="876">
        <v>4</v>
      </c>
      <c r="AM6" s="889">
        <v>57.329166666666701</v>
      </c>
      <c r="AN6" s="875">
        <f t="shared" si="39"/>
        <v>2.6708333333332988</v>
      </c>
      <c r="AO6" s="878">
        <f t="shared" si="14"/>
        <v>66.062083333333376</v>
      </c>
      <c r="AP6" s="879">
        <f t="shared" si="15"/>
        <v>65</v>
      </c>
      <c r="AQ6" s="878">
        <f t="shared" si="16"/>
        <v>-5</v>
      </c>
      <c r="AR6" s="880">
        <f t="shared" si="17"/>
        <v>0.56597222222222221</v>
      </c>
      <c r="AS6" s="895">
        <v>0.57291666666666663</v>
      </c>
      <c r="AT6" s="882">
        <f t="shared" si="18"/>
        <v>74.999999999999901</v>
      </c>
      <c r="AU6" s="883">
        <f t="shared" si="19"/>
        <v>17.670833333333199</v>
      </c>
      <c r="AV6" s="884">
        <f t="shared" si="40"/>
        <v>9.9999999999999005</v>
      </c>
      <c r="AW6" s="885">
        <f t="shared" si="20"/>
        <v>14.999999999999901</v>
      </c>
      <c r="AX6" s="880"/>
      <c r="AY6" s="873">
        <v>47</v>
      </c>
      <c r="AZ6" s="893">
        <v>0.4375</v>
      </c>
      <c r="BA6" s="888">
        <v>60</v>
      </c>
      <c r="BB6" s="876">
        <v>5</v>
      </c>
      <c r="BC6" s="889">
        <v>53.506666666666703</v>
      </c>
      <c r="BD6" s="875">
        <f t="shared" ref="BD6:BD7" si="43">BA6-BC6</f>
        <v>6.4933333333332968</v>
      </c>
      <c r="BE6" s="878">
        <f t="shared" ref="BE6:BE7" si="44">BC6*1.1+3</f>
        <v>61.857333333333379</v>
      </c>
      <c r="BF6" s="879">
        <f t="shared" ref="BF6:BF7" si="45">MROUND(BE6,5)</f>
        <v>60</v>
      </c>
      <c r="BG6" s="878">
        <f t="shared" ref="BG6:BG7" si="46">BA6-BF6</f>
        <v>0</v>
      </c>
      <c r="BH6" s="880">
        <f t="shared" ref="BH6:BH7" si="47">AZ6+TIME(,BF6,)</f>
        <v>0.47916666666666669</v>
      </c>
      <c r="BI6" s="898">
        <v>0.4375</v>
      </c>
      <c r="BJ6" s="882">
        <f t="shared" ref="BJ6:BJ7" si="48">((BI6-AZ6)*86400)/60</f>
        <v>0</v>
      </c>
      <c r="BK6" s="883">
        <f t="shared" ref="BK6:BK7" si="49">BJ6-BC6</f>
        <v>-53.506666666666703</v>
      </c>
      <c r="BL6" s="884">
        <f t="shared" ref="BL6:BL7" si="50">BJ6-BF6</f>
        <v>-60</v>
      </c>
      <c r="BM6" s="885">
        <f t="shared" ref="BM6:BM7" si="51">BJ6-BA6</f>
        <v>-60</v>
      </c>
    </row>
    <row r="7" spans="1:67" ht="18.75" x14ac:dyDescent="0.3">
      <c r="A7" s="873">
        <v>7</v>
      </c>
      <c r="B7" s="874">
        <v>0.38194444444444442</v>
      </c>
      <c r="C7" s="875">
        <v>70</v>
      </c>
      <c r="D7" s="876">
        <v>5</v>
      </c>
      <c r="E7" s="889">
        <v>63.5966666666667</v>
      </c>
      <c r="F7" s="875">
        <f t="shared" si="37"/>
        <v>6.4033333333333005</v>
      </c>
      <c r="G7" s="878">
        <f t="shared" si="0"/>
        <v>72.956333333333376</v>
      </c>
      <c r="H7" s="879">
        <f t="shared" si="1"/>
        <v>75</v>
      </c>
      <c r="I7" s="878">
        <f t="shared" si="2"/>
        <v>-5</v>
      </c>
      <c r="J7" s="880">
        <f t="shared" si="3"/>
        <v>0.43402777777777773</v>
      </c>
      <c r="K7" s="881">
        <v>0.43055555555555558</v>
      </c>
      <c r="L7" s="882">
        <f t="shared" si="4"/>
        <v>70.000000000000071</v>
      </c>
      <c r="M7" s="883">
        <f t="shared" si="5"/>
        <v>6.4033333333333715</v>
      </c>
      <c r="N7" s="884">
        <f t="shared" si="38"/>
        <v>-4.9999999999999289</v>
      </c>
      <c r="O7" s="885">
        <f t="shared" si="6"/>
        <v>0</v>
      </c>
      <c r="P7" s="880"/>
      <c r="Q7" s="873" t="s">
        <v>727</v>
      </c>
      <c r="R7" s="893">
        <v>0.3888888888888889</v>
      </c>
      <c r="S7" s="888">
        <v>70</v>
      </c>
      <c r="T7" s="876">
        <v>3</v>
      </c>
      <c r="U7" s="889">
        <v>67.6388888888889</v>
      </c>
      <c r="V7" s="875">
        <f t="shared" si="28"/>
        <v>2.3611111111111001</v>
      </c>
      <c r="W7" s="878">
        <f t="shared" si="7"/>
        <v>77.4027777777778</v>
      </c>
      <c r="X7" s="879">
        <f t="shared" si="8"/>
        <v>75</v>
      </c>
      <c r="Y7" s="878">
        <f t="shared" si="9"/>
        <v>-5</v>
      </c>
      <c r="Z7" s="880">
        <f t="shared" si="10"/>
        <v>0.44097222222222221</v>
      </c>
      <c r="AA7" s="874">
        <v>0.4513888888888889</v>
      </c>
      <c r="AB7" s="882">
        <f t="shared" si="11"/>
        <v>90</v>
      </c>
      <c r="AC7" s="883">
        <f t="shared" si="12"/>
        <v>22.3611111111111</v>
      </c>
      <c r="AD7" s="884">
        <f t="shared" si="29"/>
        <v>15</v>
      </c>
      <c r="AE7" s="885">
        <f t="shared" si="13"/>
        <v>20</v>
      </c>
      <c r="AI7" s="873">
        <v>47</v>
      </c>
      <c r="AJ7" s="874">
        <v>0.5625</v>
      </c>
      <c r="AK7" s="875">
        <v>60</v>
      </c>
      <c r="AL7" s="876">
        <v>5</v>
      </c>
      <c r="AM7" s="889">
        <v>53.2366666666667</v>
      </c>
      <c r="AN7" s="875">
        <f t="shared" ref="AN7" si="52">AK7-AM7</f>
        <v>6.7633333333332999</v>
      </c>
      <c r="AO7" s="878">
        <f t="shared" ref="AO7" si="53">AM7*1.1+3</f>
        <v>61.560333333333375</v>
      </c>
      <c r="AP7" s="879">
        <f t="shared" ref="AP7" si="54">MROUND(AO7,5)</f>
        <v>60</v>
      </c>
      <c r="AQ7" s="878">
        <f t="shared" ref="AQ7" si="55">AK7-AP7</f>
        <v>0</v>
      </c>
      <c r="AR7" s="880">
        <f t="shared" ref="AR7" si="56">AJ7+TIME(,AP7,)</f>
        <v>0.60416666666666663</v>
      </c>
      <c r="AS7" s="893">
        <v>0.625</v>
      </c>
      <c r="AT7" s="882">
        <f t="shared" ref="AT7" si="57">((AS7-AJ7)*86400)/60</f>
        <v>90</v>
      </c>
      <c r="AU7" s="883">
        <f t="shared" ref="AU7" si="58">AT7-AM7</f>
        <v>36.7633333333333</v>
      </c>
      <c r="AV7" s="884">
        <f t="shared" ref="AV7" si="59">AT7-AP7</f>
        <v>30</v>
      </c>
      <c r="AW7" s="885">
        <f t="shared" ref="AW7" si="60">AT7-AK7</f>
        <v>30</v>
      </c>
      <c r="AX7" s="880"/>
      <c r="AY7" s="873">
        <v>47</v>
      </c>
      <c r="AZ7" s="893">
        <v>0.45833333333333331</v>
      </c>
      <c r="BA7" s="888"/>
      <c r="BB7" s="876"/>
      <c r="BC7" s="877">
        <v>53.813333333333297</v>
      </c>
      <c r="BD7" s="875">
        <f t="shared" si="43"/>
        <v>-53.813333333333297</v>
      </c>
      <c r="BE7" s="878">
        <f t="shared" si="44"/>
        <v>62.194666666666635</v>
      </c>
      <c r="BF7" s="879">
        <f t="shared" si="45"/>
        <v>60</v>
      </c>
      <c r="BG7" s="878">
        <f t="shared" si="46"/>
        <v>-60</v>
      </c>
      <c r="BH7" s="880">
        <f t="shared" si="47"/>
        <v>0.5</v>
      </c>
      <c r="BI7" s="874">
        <v>0.52083333333333337</v>
      </c>
      <c r="BJ7" s="882">
        <f t="shared" si="48"/>
        <v>90.000000000000071</v>
      </c>
      <c r="BK7" s="883">
        <f t="shared" si="49"/>
        <v>36.186666666666774</v>
      </c>
      <c r="BL7" s="884">
        <f t="shared" si="50"/>
        <v>30.000000000000071</v>
      </c>
      <c r="BM7" s="885">
        <f t="shared" si="51"/>
        <v>90.000000000000071</v>
      </c>
    </row>
    <row r="8" spans="1:67" ht="18.75" x14ac:dyDescent="0.3">
      <c r="A8" s="873" t="s">
        <v>727</v>
      </c>
      <c r="B8" s="874">
        <v>0.39583333333333331</v>
      </c>
      <c r="C8" s="875">
        <v>70</v>
      </c>
      <c r="D8" s="876">
        <v>5</v>
      </c>
      <c r="E8" s="889">
        <v>66.093333333333305</v>
      </c>
      <c r="F8" s="875">
        <f t="shared" si="37"/>
        <v>3.9066666666666947</v>
      </c>
      <c r="G8" s="878">
        <f t="shared" si="0"/>
        <v>75.702666666666644</v>
      </c>
      <c r="H8" s="879">
        <f t="shared" si="1"/>
        <v>75</v>
      </c>
      <c r="I8" s="878">
        <f t="shared" si="2"/>
        <v>-5</v>
      </c>
      <c r="J8" s="880">
        <f t="shared" si="3"/>
        <v>0.44791666666666663</v>
      </c>
      <c r="K8" s="893">
        <v>0.44444444444444442</v>
      </c>
      <c r="L8" s="882">
        <f t="shared" si="4"/>
        <v>69.999999999999986</v>
      </c>
      <c r="M8" s="883">
        <f t="shared" si="5"/>
        <v>3.9066666666666805</v>
      </c>
      <c r="N8" s="884">
        <f t="shared" si="38"/>
        <v>-5.0000000000000142</v>
      </c>
      <c r="O8" s="885">
        <f t="shared" si="6"/>
        <v>0</v>
      </c>
      <c r="P8" s="880"/>
      <c r="Q8" s="873">
        <v>7</v>
      </c>
      <c r="R8" s="881">
        <v>0.40277777777777773</v>
      </c>
      <c r="S8" s="888">
        <v>70</v>
      </c>
      <c r="T8" s="876">
        <v>5</v>
      </c>
      <c r="U8" s="889">
        <v>67.88</v>
      </c>
      <c r="V8" s="875">
        <f t="shared" si="28"/>
        <v>2.1200000000000045</v>
      </c>
      <c r="W8" s="878">
        <f t="shared" si="7"/>
        <v>77.668000000000006</v>
      </c>
      <c r="X8" s="879">
        <f t="shared" si="8"/>
        <v>80</v>
      </c>
      <c r="Y8" s="878">
        <f t="shared" si="9"/>
        <v>-10</v>
      </c>
      <c r="Z8" s="880">
        <f t="shared" si="10"/>
        <v>0.45833333333333326</v>
      </c>
      <c r="AA8" s="874">
        <v>0.46527777777777779</v>
      </c>
      <c r="AB8" s="882">
        <f t="shared" si="11"/>
        <v>90.000000000000071</v>
      </c>
      <c r="AC8" s="883">
        <f t="shared" si="12"/>
        <v>22.120000000000076</v>
      </c>
      <c r="AD8" s="884">
        <f t="shared" si="29"/>
        <v>10.000000000000071</v>
      </c>
      <c r="AE8" s="885">
        <f t="shared" si="13"/>
        <v>20.000000000000071</v>
      </c>
      <c r="AI8" s="873">
        <v>47</v>
      </c>
      <c r="AJ8" s="874">
        <v>0.60416666666666663</v>
      </c>
      <c r="AK8" s="875">
        <v>60</v>
      </c>
      <c r="AL8" s="876">
        <v>4</v>
      </c>
      <c r="AM8" s="889">
        <v>54.4583333333333</v>
      </c>
      <c r="AN8" s="875">
        <f t="shared" ref="AN8" si="61">AK8-AM8</f>
        <v>5.5416666666666998</v>
      </c>
      <c r="AO8" s="878">
        <f t="shared" ref="AO8" si="62">AM8*1.1+3</f>
        <v>62.904166666666633</v>
      </c>
      <c r="AP8" s="879">
        <f t="shared" ref="AP8" si="63">MROUND(AO8,5)</f>
        <v>65</v>
      </c>
      <c r="AQ8" s="878">
        <f t="shared" ref="AQ8" si="64">AK8-AP8</f>
        <v>-5</v>
      </c>
      <c r="AR8" s="880">
        <f t="shared" ref="AR8" si="65">AJ8+TIME(,AP8,)</f>
        <v>0.64930555555555547</v>
      </c>
      <c r="AS8" s="893">
        <v>0.66666666666666663</v>
      </c>
      <c r="AT8" s="882">
        <f t="shared" ref="AT8" si="66">((AS8-AJ8)*86400)/60</f>
        <v>90</v>
      </c>
      <c r="AU8" s="883">
        <f t="shared" ref="AU8" si="67">AT8-AM8</f>
        <v>35.5416666666667</v>
      </c>
      <c r="AV8" s="884">
        <f t="shared" ref="AV8" si="68">AT8-AP8</f>
        <v>25</v>
      </c>
      <c r="AW8" s="885">
        <f t="shared" ref="AW8" si="69">AT8-AK8</f>
        <v>30</v>
      </c>
      <c r="AX8" s="880"/>
      <c r="AY8" s="873">
        <v>47</v>
      </c>
      <c r="AZ8" s="893">
        <v>0.47916666666666669</v>
      </c>
      <c r="BA8" s="888">
        <v>60</v>
      </c>
      <c r="BB8" s="876">
        <v>5</v>
      </c>
      <c r="BC8" s="889">
        <v>53.813333333333297</v>
      </c>
      <c r="BD8" s="875">
        <f t="shared" ref="BD8:BD9" si="70">BA8-BC8</f>
        <v>6.186666666666703</v>
      </c>
      <c r="BE8" s="878">
        <f t="shared" ref="BE8:BE9" si="71">BC8*1.1+3</f>
        <v>62.194666666666635</v>
      </c>
      <c r="BF8" s="879">
        <f t="shared" ref="BF8:BF9" si="72">MROUND(BE8,5)</f>
        <v>60</v>
      </c>
      <c r="BG8" s="878">
        <f t="shared" ref="BG8:BG9" si="73">BA8-BF8</f>
        <v>0</v>
      </c>
      <c r="BH8" s="880">
        <f t="shared" ref="BH8:BH9" si="74">AZ8+TIME(,BF8,)</f>
        <v>0.52083333333333337</v>
      </c>
      <c r="BI8" s="898">
        <v>0.47916666666666669</v>
      </c>
      <c r="BJ8" s="882">
        <f t="shared" ref="BJ8:BJ9" si="75">((BI8-AZ8)*86400)/60</f>
        <v>0</v>
      </c>
      <c r="BK8" s="883">
        <f t="shared" ref="BK8:BK9" si="76">BJ8-BC8</f>
        <v>-53.813333333333297</v>
      </c>
      <c r="BL8" s="884">
        <f t="shared" ref="BL8:BL9" si="77">BJ8-BF8</f>
        <v>-60</v>
      </c>
      <c r="BM8" s="885">
        <f t="shared" ref="BM8:BM9" si="78">BJ8-BA8</f>
        <v>-60</v>
      </c>
    </row>
    <row r="9" spans="1:67" ht="18.75" x14ac:dyDescent="0.3">
      <c r="A9" s="873">
        <v>7</v>
      </c>
      <c r="B9" s="874">
        <v>0.40972222222222227</v>
      </c>
      <c r="C9" s="875">
        <v>70</v>
      </c>
      <c r="D9" s="876">
        <v>3</v>
      </c>
      <c r="E9" s="889">
        <v>72.3888888888889</v>
      </c>
      <c r="F9" s="875">
        <f t="shared" si="37"/>
        <v>-2.3888888888888999</v>
      </c>
      <c r="G9" s="878">
        <f t="shared" si="0"/>
        <v>82.627777777777794</v>
      </c>
      <c r="H9" s="879">
        <f t="shared" si="1"/>
        <v>85</v>
      </c>
      <c r="I9" s="878">
        <f t="shared" si="2"/>
        <v>-15</v>
      </c>
      <c r="J9" s="880">
        <f t="shared" si="3"/>
        <v>0.46875000000000006</v>
      </c>
      <c r="K9" s="881">
        <v>0.4861111111111111</v>
      </c>
      <c r="L9" s="882">
        <f t="shared" si="4"/>
        <v>109.99999999999993</v>
      </c>
      <c r="M9" s="883">
        <f t="shared" si="5"/>
        <v>37.611111111111029</v>
      </c>
      <c r="N9" s="884">
        <f t="shared" si="38"/>
        <v>24.999999999999929</v>
      </c>
      <c r="O9" s="885">
        <f t="shared" si="6"/>
        <v>39.999999999999929</v>
      </c>
      <c r="P9" s="880"/>
      <c r="Q9" s="873" t="s">
        <v>727</v>
      </c>
      <c r="R9" s="893">
        <v>0.41666666666666669</v>
      </c>
      <c r="S9" s="888">
        <v>70</v>
      </c>
      <c r="T9" s="876">
        <v>5</v>
      </c>
      <c r="U9" s="889">
        <v>73.986666666666693</v>
      </c>
      <c r="V9" s="875">
        <f t="shared" si="28"/>
        <v>-3.986666666666693</v>
      </c>
      <c r="W9" s="878">
        <f t="shared" si="7"/>
        <v>84.385333333333364</v>
      </c>
      <c r="X9" s="879">
        <f t="shared" si="8"/>
        <v>85</v>
      </c>
      <c r="Y9" s="878">
        <f t="shared" si="9"/>
        <v>-15</v>
      </c>
      <c r="Z9" s="880">
        <f t="shared" si="10"/>
        <v>0.47569444444444448</v>
      </c>
      <c r="AA9" s="874">
        <v>0.47569444444444442</v>
      </c>
      <c r="AB9" s="882">
        <f t="shared" si="11"/>
        <v>84.999999999999943</v>
      </c>
      <c r="AC9" s="883">
        <f t="shared" si="12"/>
        <v>11.01333333333325</v>
      </c>
      <c r="AD9" s="884">
        <f t="shared" si="29"/>
        <v>0</v>
      </c>
      <c r="AE9" s="885">
        <f t="shared" si="13"/>
        <v>14.999999999999943</v>
      </c>
      <c r="AI9" s="873">
        <v>47</v>
      </c>
      <c r="AJ9" s="874">
        <v>0.64583333333333337</v>
      </c>
      <c r="AK9" s="875">
        <v>60</v>
      </c>
      <c r="AL9" s="876">
        <v>5</v>
      </c>
      <c r="AM9" s="889">
        <v>57.1933333333333</v>
      </c>
      <c r="AN9" s="875">
        <f t="shared" ref="AN9:AN11" si="79">AK9-AM9</f>
        <v>2.8066666666667004</v>
      </c>
      <c r="AO9" s="878">
        <f t="shared" ref="AO9:AO11" si="80">AM9*1.1+3</f>
        <v>65.912666666666638</v>
      </c>
      <c r="AP9" s="879">
        <f t="shared" ref="AP9:AP11" si="81">MROUND(AO9,5)</f>
        <v>65</v>
      </c>
      <c r="AQ9" s="878">
        <f t="shared" ref="AQ9:AQ11" si="82">AK9-AP9</f>
        <v>-5</v>
      </c>
      <c r="AR9" s="880">
        <f t="shared" ref="AR9:AR11" si="83">AJ9+TIME(,AP9,)</f>
        <v>0.69097222222222221</v>
      </c>
      <c r="AS9" s="895">
        <v>0.69791666666666663</v>
      </c>
      <c r="AT9" s="882">
        <f t="shared" ref="AT9:AT11" si="84">((AS9-AJ9)*86400)/60</f>
        <v>74.999999999999901</v>
      </c>
      <c r="AU9" s="883">
        <f t="shared" ref="AU9:AU11" si="85">AT9-AM9</f>
        <v>17.806666666666601</v>
      </c>
      <c r="AV9" s="884">
        <f t="shared" ref="AV9:AV11" si="86">AT9-AP9</f>
        <v>9.9999999999999005</v>
      </c>
      <c r="AW9" s="885">
        <f t="shared" ref="AW9:AW11" si="87">AT9-AK9</f>
        <v>14.999999999999901</v>
      </c>
      <c r="AX9" s="880"/>
      <c r="AY9" s="873">
        <v>47</v>
      </c>
      <c r="AZ9" s="893">
        <v>0.5</v>
      </c>
      <c r="BA9" s="888"/>
      <c r="BB9" s="876"/>
      <c r="BC9" s="877">
        <v>53.836666666666702</v>
      </c>
      <c r="BD9" s="875">
        <f t="shared" si="70"/>
        <v>-53.836666666666702</v>
      </c>
      <c r="BE9" s="878">
        <f t="shared" si="71"/>
        <v>62.220333333333379</v>
      </c>
      <c r="BF9" s="879">
        <f t="shared" si="72"/>
        <v>60</v>
      </c>
      <c r="BG9" s="878">
        <f t="shared" si="73"/>
        <v>-60</v>
      </c>
      <c r="BH9" s="880">
        <f t="shared" si="74"/>
        <v>0.54166666666666663</v>
      </c>
      <c r="BI9" s="874">
        <v>0.5625</v>
      </c>
      <c r="BJ9" s="882">
        <f t="shared" si="75"/>
        <v>90</v>
      </c>
      <c r="BK9" s="883">
        <f t="shared" si="76"/>
        <v>36.163333333333298</v>
      </c>
      <c r="BL9" s="884">
        <f t="shared" si="77"/>
        <v>30</v>
      </c>
      <c r="BM9" s="885">
        <f t="shared" si="78"/>
        <v>90</v>
      </c>
    </row>
    <row r="10" spans="1:67" ht="18.75" x14ac:dyDescent="0.3">
      <c r="A10" s="873" t="s">
        <v>727</v>
      </c>
      <c r="B10" s="874">
        <v>0.4236111111111111</v>
      </c>
      <c r="C10" s="875">
        <v>70</v>
      </c>
      <c r="D10" s="876">
        <v>4</v>
      </c>
      <c r="E10" s="889">
        <v>67.920833333333306</v>
      </c>
      <c r="F10" s="875">
        <f t="shared" si="37"/>
        <v>2.0791666666666941</v>
      </c>
      <c r="G10" s="878">
        <f t="shared" si="0"/>
        <v>77.712916666666644</v>
      </c>
      <c r="H10" s="879">
        <f t="shared" si="1"/>
        <v>80</v>
      </c>
      <c r="I10" s="878">
        <f t="shared" si="2"/>
        <v>-10</v>
      </c>
      <c r="J10" s="880">
        <f t="shared" si="3"/>
        <v>0.47916666666666663</v>
      </c>
      <c r="K10" s="893">
        <v>0.5</v>
      </c>
      <c r="L10" s="882">
        <f t="shared" si="4"/>
        <v>110.00000000000001</v>
      </c>
      <c r="M10" s="883">
        <f t="shared" si="5"/>
        <v>42.079166666666708</v>
      </c>
      <c r="N10" s="884">
        <f t="shared" si="38"/>
        <v>30.000000000000014</v>
      </c>
      <c r="O10" s="885">
        <f t="shared" si="6"/>
        <v>40.000000000000014</v>
      </c>
      <c r="P10" s="880"/>
      <c r="Q10" s="873">
        <v>7</v>
      </c>
      <c r="R10" s="881">
        <v>0.43055555555555558</v>
      </c>
      <c r="S10" s="888">
        <v>80</v>
      </c>
      <c r="T10" s="876">
        <v>5</v>
      </c>
      <c r="U10" s="889">
        <v>71.093333333333305</v>
      </c>
      <c r="V10" s="875">
        <f t="shared" si="28"/>
        <v>8.9066666666666947</v>
      </c>
      <c r="W10" s="878">
        <f t="shared" si="7"/>
        <v>81.202666666666644</v>
      </c>
      <c r="X10" s="879">
        <f t="shared" si="8"/>
        <v>80</v>
      </c>
      <c r="Y10" s="878">
        <f t="shared" si="9"/>
        <v>0</v>
      </c>
      <c r="Z10" s="880">
        <f t="shared" si="10"/>
        <v>0.48611111111111116</v>
      </c>
      <c r="AA10" s="874">
        <v>0.4861111111111111</v>
      </c>
      <c r="AB10" s="882">
        <f t="shared" si="11"/>
        <v>79.999999999999957</v>
      </c>
      <c r="AC10" s="883">
        <f t="shared" si="12"/>
        <v>8.9066666666666521</v>
      </c>
      <c r="AD10" s="884">
        <f t="shared" si="29"/>
        <v>0</v>
      </c>
      <c r="AE10" s="885">
        <f t="shared" si="13"/>
        <v>0</v>
      </c>
      <c r="AI10" s="873">
        <v>47</v>
      </c>
      <c r="AJ10" s="874">
        <v>0.6875</v>
      </c>
      <c r="AK10" s="875">
        <v>60</v>
      </c>
      <c r="AL10" s="876">
        <v>4</v>
      </c>
      <c r="AM10" s="889">
        <v>54.233333333333299</v>
      </c>
      <c r="AN10" s="875">
        <f t="shared" si="79"/>
        <v>5.7666666666667012</v>
      </c>
      <c r="AO10" s="878">
        <f t="shared" si="80"/>
        <v>62.656666666666631</v>
      </c>
      <c r="AP10" s="879">
        <f t="shared" si="81"/>
        <v>65</v>
      </c>
      <c r="AQ10" s="878">
        <f t="shared" si="82"/>
        <v>-5</v>
      </c>
      <c r="AR10" s="880">
        <f t="shared" si="83"/>
        <v>0.73263888888888884</v>
      </c>
      <c r="AS10" s="893">
        <v>0.75</v>
      </c>
      <c r="AT10" s="882">
        <f t="shared" si="84"/>
        <v>90</v>
      </c>
      <c r="AU10" s="883">
        <f t="shared" si="85"/>
        <v>35.766666666666701</v>
      </c>
      <c r="AV10" s="884">
        <f t="shared" si="86"/>
        <v>25</v>
      </c>
      <c r="AW10" s="885">
        <f t="shared" si="87"/>
        <v>30</v>
      </c>
      <c r="AX10" s="880"/>
      <c r="AY10" s="873">
        <v>47</v>
      </c>
      <c r="AZ10" s="893">
        <v>0.52083333333333337</v>
      </c>
      <c r="BA10" s="888">
        <v>60</v>
      </c>
      <c r="BB10" s="876">
        <v>5</v>
      </c>
      <c r="BC10" s="889">
        <v>53.836666666666702</v>
      </c>
      <c r="BD10" s="875">
        <f t="shared" ref="BD10:BD11" si="88">BA10-BC10</f>
        <v>6.1633333333332985</v>
      </c>
      <c r="BE10" s="878">
        <f t="shared" ref="BE10:BE11" si="89">BC10*1.1+3</f>
        <v>62.220333333333379</v>
      </c>
      <c r="BF10" s="879">
        <f t="shared" ref="BF10:BF11" si="90">MROUND(BE10,5)</f>
        <v>60</v>
      </c>
      <c r="BG10" s="878">
        <f t="shared" ref="BG10:BG11" si="91">BA10-BF10</f>
        <v>0</v>
      </c>
      <c r="BH10" s="880">
        <f t="shared" ref="BH10:BH11" si="92">AZ10+TIME(,BF10,)</f>
        <v>0.5625</v>
      </c>
      <c r="BI10" s="898">
        <v>0.52083333333333337</v>
      </c>
      <c r="BJ10" s="882">
        <f t="shared" ref="BJ10:BJ11" si="93">((BI10-AZ10)*86400)/60</f>
        <v>0</v>
      </c>
      <c r="BK10" s="883">
        <f t="shared" ref="BK10:BK11" si="94">BJ10-BC10</f>
        <v>-53.836666666666702</v>
      </c>
      <c r="BL10" s="884">
        <f t="shared" ref="BL10:BL11" si="95">BJ10-BF10</f>
        <v>-60</v>
      </c>
      <c r="BM10" s="885">
        <f t="shared" ref="BM10:BM11" si="96">BJ10-BA10</f>
        <v>-60</v>
      </c>
    </row>
    <row r="11" spans="1:67" ht="18.75" x14ac:dyDescent="0.3">
      <c r="A11" s="873">
        <v>7</v>
      </c>
      <c r="B11" s="874">
        <v>0.4375</v>
      </c>
      <c r="C11" s="875">
        <v>70</v>
      </c>
      <c r="D11" s="876">
        <v>4</v>
      </c>
      <c r="E11" s="889">
        <v>66.9375</v>
      </c>
      <c r="F11" s="875">
        <f t="shared" si="37"/>
        <v>3.0625</v>
      </c>
      <c r="G11" s="878">
        <f t="shared" si="0"/>
        <v>76.631250000000009</v>
      </c>
      <c r="H11" s="879">
        <f t="shared" si="1"/>
        <v>75</v>
      </c>
      <c r="I11" s="878">
        <f t="shared" si="2"/>
        <v>-5</v>
      </c>
      <c r="J11" s="880">
        <f t="shared" si="3"/>
        <v>0.48958333333333331</v>
      </c>
      <c r="K11" s="881">
        <v>0.51388888888888884</v>
      </c>
      <c r="L11" s="882">
        <f t="shared" si="4"/>
        <v>109.99999999999993</v>
      </c>
      <c r="M11" s="883">
        <f t="shared" si="5"/>
        <v>43.062499999999929</v>
      </c>
      <c r="N11" s="884">
        <f t="shared" si="38"/>
        <v>34.999999999999929</v>
      </c>
      <c r="O11" s="885">
        <f t="shared" si="6"/>
        <v>39.999999999999929</v>
      </c>
      <c r="P11" s="880"/>
      <c r="Q11" s="873" t="s">
        <v>727</v>
      </c>
      <c r="R11" s="893">
        <v>0.44444444444444442</v>
      </c>
      <c r="S11" s="888">
        <v>80</v>
      </c>
      <c r="T11" s="876">
        <v>5</v>
      </c>
      <c r="U11" s="889">
        <v>76.996666666666698</v>
      </c>
      <c r="V11" s="875">
        <f t="shared" si="28"/>
        <v>3.0033333333333019</v>
      </c>
      <c r="W11" s="878">
        <f t="shared" si="7"/>
        <v>87.696333333333371</v>
      </c>
      <c r="X11" s="879">
        <f t="shared" si="8"/>
        <v>90</v>
      </c>
      <c r="Y11" s="878">
        <f t="shared" si="9"/>
        <v>-10</v>
      </c>
      <c r="Z11" s="880">
        <f t="shared" si="10"/>
        <v>0.50694444444444442</v>
      </c>
      <c r="AA11" s="874">
        <v>0.51041666666666663</v>
      </c>
      <c r="AB11" s="882">
        <f t="shared" si="11"/>
        <v>94.999999999999986</v>
      </c>
      <c r="AC11" s="883">
        <f t="shared" si="12"/>
        <v>18.003333333333288</v>
      </c>
      <c r="AD11" s="884">
        <f t="shared" si="29"/>
        <v>4.9999999999999858</v>
      </c>
      <c r="AE11" s="885">
        <f t="shared" si="13"/>
        <v>14.999999999999986</v>
      </c>
      <c r="AI11" s="873">
        <v>47</v>
      </c>
      <c r="AJ11" s="874">
        <v>0.72916666666666663</v>
      </c>
      <c r="AK11" s="875">
        <v>60</v>
      </c>
      <c r="AL11" s="876">
        <v>3</v>
      </c>
      <c r="AM11" s="889">
        <v>57.8333333333333</v>
      </c>
      <c r="AN11" s="875">
        <f t="shared" si="79"/>
        <v>2.1666666666666998</v>
      </c>
      <c r="AO11" s="878">
        <f t="shared" si="80"/>
        <v>66.616666666666646</v>
      </c>
      <c r="AP11" s="879">
        <f t="shared" si="81"/>
        <v>65</v>
      </c>
      <c r="AQ11" s="878">
        <f t="shared" si="82"/>
        <v>-5</v>
      </c>
      <c r="AR11" s="880">
        <f t="shared" si="83"/>
        <v>0.77430555555555547</v>
      </c>
      <c r="AS11" s="893">
        <v>0.79166666666666663</v>
      </c>
      <c r="AT11" s="882">
        <f t="shared" si="84"/>
        <v>90</v>
      </c>
      <c r="AU11" s="883">
        <f t="shared" si="85"/>
        <v>32.1666666666667</v>
      </c>
      <c r="AV11" s="884">
        <f t="shared" si="86"/>
        <v>25</v>
      </c>
      <c r="AW11" s="885">
        <f t="shared" si="87"/>
        <v>30</v>
      </c>
      <c r="AX11" s="880"/>
      <c r="AY11" s="873">
        <v>47</v>
      </c>
      <c r="AZ11" s="893">
        <v>0.54166666666666663</v>
      </c>
      <c r="BA11" s="888"/>
      <c r="BB11" s="876"/>
      <c r="BC11" s="877">
        <v>53.641666666666701</v>
      </c>
      <c r="BD11" s="875">
        <f t="shared" si="88"/>
        <v>-53.641666666666701</v>
      </c>
      <c r="BE11" s="878">
        <f t="shared" si="89"/>
        <v>62.005833333333378</v>
      </c>
      <c r="BF11" s="879">
        <f t="shared" si="90"/>
        <v>60</v>
      </c>
      <c r="BG11" s="878">
        <f t="shared" si="91"/>
        <v>-60</v>
      </c>
      <c r="BH11" s="880">
        <f t="shared" si="92"/>
        <v>0.58333333333333326</v>
      </c>
      <c r="BI11" s="874">
        <v>0.60416666666666663</v>
      </c>
      <c r="BJ11" s="882">
        <f t="shared" si="93"/>
        <v>90</v>
      </c>
      <c r="BK11" s="883">
        <f t="shared" si="94"/>
        <v>36.358333333333299</v>
      </c>
      <c r="BL11" s="884">
        <f t="shared" si="95"/>
        <v>30</v>
      </c>
      <c r="BM11" s="885">
        <f t="shared" si="96"/>
        <v>90</v>
      </c>
    </row>
    <row r="12" spans="1:67" ht="18.75" x14ac:dyDescent="0.3">
      <c r="A12" s="873" t="s">
        <v>727</v>
      </c>
      <c r="B12" s="874">
        <v>0.4513888888888889</v>
      </c>
      <c r="C12" s="875">
        <v>70</v>
      </c>
      <c r="D12" s="876">
        <v>5</v>
      </c>
      <c r="E12" s="889">
        <v>71.16</v>
      </c>
      <c r="F12" s="875">
        <f t="shared" si="37"/>
        <v>-1.1599999999999966</v>
      </c>
      <c r="G12" s="878">
        <f t="shared" si="0"/>
        <v>81.275999999999996</v>
      </c>
      <c r="H12" s="879">
        <f t="shared" si="1"/>
        <v>80</v>
      </c>
      <c r="I12" s="878">
        <f t="shared" si="2"/>
        <v>-10</v>
      </c>
      <c r="J12" s="880">
        <f t="shared" si="3"/>
        <v>0.50694444444444442</v>
      </c>
      <c r="K12" s="893">
        <v>0.52777777777777779</v>
      </c>
      <c r="L12" s="882">
        <f t="shared" si="4"/>
        <v>110.00000000000001</v>
      </c>
      <c r="M12" s="883">
        <f t="shared" si="5"/>
        <v>38.840000000000018</v>
      </c>
      <c r="N12" s="884">
        <f t="shared" si="38"/>
        <v>30.000000000000014</v>
      </c>
      <c r="O12" s="885">
        <f t="shared" si="6"/>
        <v>40.000000000000014</v>
      </c>
      <c r="P12" s="880"/>
      <c r="Q12" s="873">
        <v>7</v>
      </c>
      <c r="R12" s="881">
        <v>0.45833333333333331</v>
      </c>
      <c r="S12" s="888">
        <v>90</v>
      </c>
      <c r="T12" s="876">
        <v>4</v>
      </c>
      <c r="U12" s="889">
        <v>71.0625</v>
      </c>
      <c r="V12" s="875">
        <f t="shared" si="28"/>
        <v>18.9375</v>
      </c>
      <c r="W12" s="878">
        <f t="shared" si="7"/>
        <v>81.168750000000003</v>
      </c>
      <c r="X12" s="879">
        <f t="shared" si="8"/>
        <v>80</v>
      </c>
      <c r="Y12" s="878">
        <f t="shared" si="9"/>
        <v>10</v>
      </c>
      <c r="Z12" s="880">
        <f t="shared" si="10"/>
        <v>0.51388888888888884</v>
      </c>
      <c r="AA12" s="874">
        <v>0.52083333333333337</v>
      </c>
      <c r="AB12" s="882">
        <f t="shared" si="11"/>
        <v>90.000000000000071</v>
      </c>
      <c r="AC12" s="883">
        <f t="shared" si="12"/>
        <v>18.937500000000071</v>
      </c>
      <c r="AD12" s="884">
        <f t="shared" si="29"/>
        <v>10.000000000000071</v>
      </c>
      <c r="AE12" s="885">
        <f t="shared" si="13"/>
        <v>0</v>
      </c>
      <c r="AI12" s="873">
        <v>47</v>
      </c>
      <c r="AJ12" s="874">
        <v>0.77083333333333337</v>
      </c>
      <c r="AK12" s="875">
        <v>60</v>
      </c>
      <c r="AL12" s="876">
        <v>2</v>
      </c>
      <c r="AM12" s="889">
        <v>55.9166666666667</v>
      </c>
      <c r="AN12" s="875">
        <f t="shared" ref="AN12" si="97">AK12-AM12</f>
        <v>4.0833333333333002</v>
      </c>
      <c r="AO12" s="878">
        <f t="shared" ref="AO12" si="98">AM12*1.1+3</f>
        <v>64.508333333333383</v>
      </c>
      <c r="AP12" s="879">
        <f t="shared" ref="AP12" si="99">MROUND(AO12,5)</f>
        <v>65</v>
      </c>
      <c r="AQ12" s="878">
        <f t="shared" ref="AQ12" si="100">AK12-AP12</f>
        <v>-5</v>
      </c>
      <c r="AR12" s="880">
        <f t="shared" ref="AR12" si="101">AJ12+TIME(,AP12,)</f>
        <v>0.81597222222222221</v>
      </c>
      <c r="AS12" s="893">
        <v>0.84375</v>
      </c>
      <c r="AT12" s="882">
        <f t="shared" ref="AT12" si="102">((AS12-AJ12)*86400)/60</f>
        <v>104.99999999999994</v>
      </c>
      <c r="AU12" s="883">
        <f t="shared" ref="AU12" si="103">AT12-AM12</f>
        <v>49.083333333333243</v>
      </c>
      <c r="AV12" s="884">
        <f t="shared" ref="AV12" si="104">AT12-AP12</f>
        <v>39.999999999999943</v>
      </c>
      <c r="AW12" s="885">
        <f t="shared" ref="AW12" si="105">AT12-AK12</f>
        <v>44.999999999999943</v>
      </c>
      <c r="AX12" s="880"/>
      <c r="AY12" s="873">
        <v>47</v>
      </c>
      <c r="AZ12" s="893">
        <v>0.5625</v>
      </c>
      <c r="BA12" s="888">
        <v>60</v>
      </c>
      <c r="BB12" s="876">
        <v>4</v>
      </c>
      <c r="BC12" s="889">
        <v>53.641666666666701</v>
      </c>
      <c r="BD12" s="875">
        <f t="shared" ref="BD12:BD13" si="106">BA12-BC12</f>
        <v>6.3583333333332988</v>
      </c>
      <c r="BE12" s="878">
        <f t="shared" ref="BE12:BE13" si="107">BC12*1.1+3</f>
        <v>62.005833333333378</v>
      </c>
      <c r="BF12" s="879">
        <f t="shared" ref="BF12:BF13" si="108">MROUND(BE12,5)</f>
        <v>60</v>
      </c>
      <c r="BG12" s="878">
        <f t="shared" ref="BG12:BG13" si="109">BA12-BF12</f>
        <v>0</v>
      </c>
      <c r="BH12" s="880">
        <f t="shared" ref="BH12:BH13" si="110">AZ12+TIME(,BF12,)</f>
        <v>0.60416666666666663</v>
      </c>
      <c r="BI12" s="898">
        <v>0.5625</v>
      </c>
      <c r="BJ12" s="882">
        <f t="shared" ref="BJ12:BJ13" si="111">((BI12-AZ12)*86400)/60</f>
        <v>0</v>
      </c>
      <c r="BK12" s="883">
        <f t="shared" ref="BK12:BK13" si="112">BJ12-BC12</f>
        <v>-53.641666666666701</v>
      </c>
      <c r="BL12" s="884">
        <f t="shared" ref="BL12:BL13" si="113">BJ12-BF12</f>
        <v>-60</v>
      </c>
      <c r="BM12" s="885">
        <f t="shared" ref="BM12:BM13" si="114">BJ12-BA12</f>
        <v>-60</v>
      </c>
    </row>
    <row r="13" spans="1:67" ht="18.75" x14ac:dyDescent="0.3">
      <c r="A13" s="873">
        <v>7</v>
      </c>
      <c r="B13" s="874">
        <v>0.46527777777777773</v>
      </c>
      <c r="C13" s="875">
        <v>70</v>
      </c>
      <c r="D13" s="876">
        <v>1</v>
      </c>
      <c r="E13" s="889">
        <v>84.5833333333333</v>
      </c>
      <c r="F13" s="875">
        <f t="shared" si="37"/>
        <v>-14.5833333333333</v>
      </c>
      <c r="G13" s="878">
        <f t="shared" si="0"/>
        <v>96.041666666666643</v>
      </c>
      <c r="H13" s="879">
        <f t="shared" si="1"/>
        <v>95</v>
      </c>
      <c r="I13" s="878">
        <f t="shared" si="2"/>
        <v>-25</v>
      </c>
      <c r="J13" s="880">
        <f t="shared" si="3"/>
        <v>0.53125</v>
      </c>
      <c r="K13" s="881">
        <v>0.54166666666666663</v>
      </c>
      <c r="L13" s="882">
        <f t="shared" si="4"/>
        <v>110.00000000000001</v>
      </c>
      <c r="M13" s="883">
        <f t="shared" si="5"/>
        <v>25.416666666666714</v>
      </c>
      <c r="N13" s="884">
        <f t="shared" si="38"/>
        <v>15.000000000000014</v>
      </c>
      <c r="O13" s="885">
        <f t="shared" si="6"/>
        <v>40.000000000000014</v>
      </c>
      <c r="P13" s="880"/>
      <c r="Q13" s="873" t="s">
        <v>727</v>
      </c>
      <c r="R13" s="893">
        <v>0.47222222222222221</v>
      </c>
      <c r="S13" s="888">
        <v>80</v>
      </c>
      <c r="T13" s="876">
        <v>4</v>
      </c>
      <c r="U13" s="889">
        <v>75.866666666666603</v>
      </c>
      <c r="V13" s="875">
        <f t="shared" si="28"/>
        <v>4.1333333333333968</v>
      </c>
      <c r="W13" s="878">
        <f t="shared" si="7"/>
        <v>86.453333333333276</v>
      </c>
      <c r="X13" s="879">
        <f t="shared" si="8"/>
        <v>85</v>
      </c>
      <c r="Y13" s="878">
        <f t="shared" si="9"/>
        <v>-5</v>
      </c>
      <c r="Z13" s="880">
        <f t="shared" si="10"/>
        <v>0.53125</v>
      </c>
      <c r="AA13" s="874">
        <v>0.52777777777777779</v>
      </c>
      <c r="AB13" s="882">
        <f t="shared" si="11"/>
        <v>80.000000000000028</v>
      </c>
      <c r="AC13" s="883">
        <f t="shared" si="12"/>
        <v>4.1333333333334252</v>
      </c>
      <c r="AD13" s="884">
        <f t="shared" si="29"/>
        <v>-4.9999999999999716</v>
      </c>
      <c r="AE13" s="885">
        <f t="shared" si="13"/>
        <v>0</v>
      </c>
      <c r="AI13" s="873">
        <v>47</v>
      </c>
      <c r="AJ13" s="874">
        <v>0.8125</v>
      </c>
      <c r="AK13" s="875">
        <v>60</v>
      </c>
      <c r="AL13" s="876">
        <v>3</v>
      </c>
      <c r="AM13" s="889">
        <v>48.65</v>
      </c>
      <c r="AN13" s="875">
        <f t="shared" ref="AN13" si="115">AK13-AM13</f>
        <v>11.350000000000001</v>
      </c>
      <c r="AO13" s="878">
        <f t="shared" ref="AO13" si="116">AM13*1.1+3</f>
        <v>56.515000000000001</v>
      </c>
      <c r="AP13" s="879">
        <f t="shared" ref="AP13" si="117">MROUND(AO13,5)</f>
        <v>55</v>
      </c>
      <c r="AQ13" s="878">
        <f t="shared" ref="AQ13" si="118">AK13-AP13</f>
        <v>5</v>
      </c>
      <c r="AR13" s="880">
        <f t="shared" ref="AR13" si="119">AJ13+TIME(,AP13,)</f>
        <v>0.85069444444444442</v>
      </c>
      <c r="AS13" s="895">
        <v>0.85763888888888884</v>
      </c>
      <c r="AT13" s="882">
        <f t="shared" ref="AT13" si="120">((AS13-AJ13)*86400)/60</f>
        <v>64.999999999999929</v>
      </c>
      <c r="AU13" s="883">
        <f t="shared" ref="AU13" si="121">AT13-AM13</f>
        <v>16.34999999999993</v>
      </c>
      <c r="AV13" s="884">
        <f t="shared" ref="AV13" si="122">AT13-AP13</f>
        <v>9.9999999999999289</v>
      </c>
      <c r="AW13" s="885">
        <f t="shared" ref="AW13" si="123">AT13-AK13</f>
        <v>4.9999999999999289</v>
      </c>
      <c r="AX13" s="880"/>
      <c r="AY13" s="873">
        <v>47</v>
      </c>
      <c r="AZ13" s="893">
        <v>0.58333333333333337</v>
      </c>
      <c r="BA13" s="888"/>
      <c r="BB13" s="876"/>
      <c r="BC13" s="877">
        <v>53</v>
      </c>
      <c r="BD13" s="875">
        <f t="shared" si="106"/>
        <v>-53</v>
      </c>
      <c r="BE13" s="878">
        <f t="shared" si="107"/>
        <v>61.300000000000004</v>
      </c>
      <c r="BF13" s="879">
        <f t="shared" si="108"/>
        <v>60</v>
      </c>
      <c r="BG13" s="878">
        <f t="shared" si="109"/>
        <v>-60</v>
      </c>
      <c r="BH13" s="880">
        <f t="shared" si="110"/>
        <v>0.625</v>
      </c>
      <c r="BI13" s="874">
        <v>0.64583333333333337</v>
      </c>
      <c r="BJ13" s="882">
        <f t="shared" si="111"/>
        <v>90</v>
      </c>
      <c r="BK13" s="883">
        <f t="shared" si="112"/>
        <v>37</v>
      </c>
      <c r="BL13" s="884">
        <f t="shared" si="113"/>
        <v>30</v>
      </c>
      <c r="BM13" s="885">
        <f t="shared" si="114"/>
        <v>90</v>
      </c>
    </row>
    <row r="14" spans="1:67" ht="18.75" x14ac:dyDescent="0.3">
      <c r="A14" s="873" t="s">
        <v>727</v>
      </c>
      <c r="B14" s="874">
        <v>0.47569444444444442</v>
      </c>
      <c r="C14" s="875">
        <v>75</v>
      </c>
      <c r="D14" s="876">
        <v>4</v>
      </c>
      <c r="E14" s="889">
        <v>80.654166666666697</v>
      </c>
      <c r="F14" s="875">
        <f t="shared" si="37"/>
        <v>-5.654166666666697</v>
      </c>
      <c r="G14" s="878">
        <f t="shared" si="0"/>
        <v>91.719583333333375</v>
      </c>
      <c r="H14" s="879">
        <f t="shared" si="1"/>
        <v>90</v>
      </c>
      <c r="I14" s="878">
        <f t="shared" si="2"/>
        <v>-15</v>
      </c>
      <c r="J14" s="880">
        <f t="shared" si="3"/>
        <v>0.53819444444444442</v>
      </c>
      <c r="K14" s="895">
        <v>0.53472222222222221</v>
      </c>
      <c r="L14" s="882">
        <f t="shared" si="4"/>
        <v>85.000000000000014</v>
      </c>
      <c r="M14" s="883">
        <f t="shared" si="5"/>
        <v>4.3458333333333172</v>
      </c>
      <c r="N14" s="884">
        <f t="shared" si="38"/>
        <v>-4.9999999999999858</v>
      </c>
      <c r="O14" s="885">
        <f t="shared" si="6"/>
        <v>10.000000000000014</v>
      </c>
      <c r="P14" s="880"/>
      <c r="Q14" s="873">
        <v>7</v>
      </c>
      <c r="R14" s="881">
        <v>0.4861111111111111</v>
      </c>
      <c r="S14" s="888">
        <v>80</v>
      </c>
      <c r="T14" s="876">
        <v>4</v>
      </c>
      <c r="U14" s="889">
        <v>73.037499999999994</v>
      </c>
      <c r="V14" s="875">
        <f t="shared" si="28"/>
        <v>6.9625000000000057</v>
      </c>
      <c r="W14" s="878">
        <f t="shared" si="7"/>
        <v>83.341250000000002</v>
      </c>
      <c r="X14" s="879">
        <f t="shared" si="8"/>
        <v>85</v>
      </c>
      <c r="Y14" s="878">
        <f t="shared" si="9"/>
        <v>-5</v>
      </c>
      <c r="Z14" s="880">
        <f t="shared" si="10"/>
        <v>0.54513888888888884</v>
      </c>
      <c r="AA14" s="874">
        <v>0.54166666666666663</v>
      </c>
      <c r="AB14" s="882">
        <f t="shared" si="11"/>
        <v>79.999999999999957</v>
      </c>
      <c r="AC14" s="883">
        <f t="shared" si="12"/>
        <v>6.9624999999999631</v>
      </c>
      <c r="AD14" s="884">
        <f t="shared" si="29"/>
        <v>-5.0000000000000426</v>
      </c>
      <c r="AE14" s="885">
        <f t="shared" si="13"/>
        <v>0</v>
      </c>
      <c r="AG14" s="892" t="s">
        <v>1174</v>
      </c>
      <c r="AI14" s="873">
        <v>47</v>
      </c>
      <c r="AJ14" s="874">
        <v>0.85416666666666663</v>
      </c>
      <c r="AK14" s="875">
        <v>60</v>
      </c>
      <c r="AL14" s="876">
        <v>2</v>
      </c>
      <c r="AM14" s="889">
        <v>46.825000000000003</v>
      </c>
      <c r="AN14" s="875">
        <f t="shared" ref="AN14:AN17" si="124">AK14-AM14</f>
        <v>13.174999999999997</v>
      </c>
      <c r="AO14" s="878">
        <f t="shared" ref="AO14:AO17" si="125">AM14*1.1+3</f>
        <v>54.507500000000007</v>
      </c>
      <c r="AP14" s="879">
        <f t="shared" ref="AP14:AP17" si="126">MROUND(AO14,5)</f>
        <v>55</v>
      </c>
      <c r="AQ14" s="878">
        <f t="shared" ref="AQ14:AQ17" si="127">AK14-AP14</f>
        <v>5</v>
      </c>
      <c r="AR14" s="880">
        <f t="shared" ref="AR14:AR17" si="128">AJ14+TIME(,AP14,)</f>
        <v>0.89236111111111105</v>
      </c>
      <c r="AS14" s="893">
        <v>0.89583333333333337</v>
      </c>
      <c r="AT14" s="882">
        <f t="shared" ref="AT14:AT17" si="129">((AS14-AJ14)*86400)/60</f>
        <v>60.000000000000107</v>
      </c>
      <c r="AU14" s="883">
        <f t="shared" ref="AU14:AU17" si="130">AT14-AM14</f>
        <v>13.175000000000104</v>
      </c>
      <c r="AV14" s="884">
        <f t="shared" ref="AV14:AV17" si="131">AT14-AP14</f>
        <v>5.0000000000001066</v>
      </c>
      <c r="AW14" s="885">
        <f t="shared" ref="AW14:AW17" si="132">AT14-AK14</f>
        <v>1.0658141036401503E-13</v>
      </c>
      <c r="AX14" s="880"/>
      <c r="AY14" s="873">
        <v>47</v>
      </c>
      <c r="AZ14" s="893">
        <v>0.60416666666666663</v>
      </c>
      <c r="BA14" s="888">
        <v>60</v>
      </c>
      <c r="BB14" s="876">
        <v>5</v>
      </c>
      <c r="BC14" s="889">
        <v>51.53</v>
      </c>
      <c r="BD14" s="875">
        <f t="shared" ref="BD14:BD15" si="133">BA14-BC14</f>
        <v>8.4699999999999989</v>
      </c>
      <c r="BE14" s="878">
        <f t="shared" ref="BE14:BE15" si="134">BC14*1.1+3</f>
        <v>59.683000000000007</v>
      </c>
      <c r="BF14" s="879">
        <f t="shared" ref="BF14:BF15" si="135">MROUND(BE14,5)</f>
        <v>60</v>
      </c>
      <c r="BG14" s="878">
        <f t="shared" ref="BG14:BG15" si="136">BA14-BF14</f>
        <v>0</v>
      </c>
      <c r="BH14" s="880">
        <f t="shared" ref="BH14:BH15" si="137">AZ14+TIME(,BF14,)</f>
        <v>0.64583333333333326</v>
      </c>
      <c r="BI14" s="898">
        <v>0.60416666666666663</v>
      </c>
      <c r="BJ14" s="882">
        <f t="shared" ref="BJ14:BJ15" si="138">((BI14-AZ14)*86400)/60</f>
        <v>0</v>
      </c>
      <c r="BK14" s="883">
        <f t="shared" ref="BK14:BK15" si="139">BJ14-BC14</f>
        <v>-51.53</v>
      </c>
      <c r="BL14" s="884">
        <f t="shared" ref="BL14:BL15" si="140">BJ14-BF14</f>
        <v>-60</v>
      </c>
      <c r="BM14" s="885">
        <f t="shared" ref="BM14:BM15" si="141">BJ14-BA14</f>
        <v>-60</v>
      </c>
    </row>
    <row r="15" spans="1:67" ht="18.75" x14ac:dyDescent="0.3">
      <c r="A15" s="873">
        <v>7</v>
      </c>
      <c r="B15" s="874">
        <v>0.4861111111111111</v>
      </c>
      <c r="C15" s="875">
        <v>80</v>
      </c>
      <c r="D15" s="876">
        <v>5</v>
      </c>
      <c r="E15" s="889">
        <v>73.95</v>
      </c>
      <c r="F15" s="875">
        <f t="shared" si="37"/>
        <v>6.0499999999999972</v>
      </c>
      <c r="G15" s="878">
        <f t="shared" si="0"/>
        <v>84.345000000000013</v>
      </c>
      <c r="H15" s="879">
        <f t="shared" si="1"/>
        <v>85</v>
      </c>
      <c r="I15" s="878">
        <f t="shared" si="2"/>
        <v>-5</v>
      </c>
      <c r="J15" s="880">
        <f t="shared" si="3"/>
        <v>0.54513888888888884</v>
      </c>
      <c r="K15" s="895">
        <v>0.54513888888888884</v>
      </c>
      <c r="L15" s="882">
        <f t="shared" si="4"/>
        <v>84.999999999999943</v>
      </c>
      <c r="M15" s="883">
        <f t="shared" si="5"/>
        <v>11.04999999999994</v>
      </c>
      <c r="N15" s="884">
        <f t="shared" si="38"/>
        <v>0</v>
      </c>
      <c r="O15" s="885">
        <f t="shared" si="6"/>
        <v>4.9999999999999432</v>
      </c>
      <c r="P15" s="880"/>
      <c r="Q15" s="873" t="s">
        <v>727</v>
      </c>
      <c r="R15" s="893">
        <v>0.5</v>
      </c>
      <c r="S15" s="888">
        <v>80</v>
      </c>
      <c r="T15" s="876">
        <v>2</v>
      </c>
      <c r="U15" s="889">
        <v>77.191666666666706</v>
      </c>
      <c r="V15" s="875">
        <f t="shared" si="28"/>
        <v>2.8083333333332945</v>
      </c>
      <c r="W15" s="878">
        <f t="shared" si="7"/>
        <v>87.910833333333386</v>
      </c>
      <c r="X15" s="879">
        <f t="shared" si="8"/>
        <v>90</v>
      </c>
      <c r="Y15" s="878">
        <f t="shared" si="9"/>
        <v>-10</v>
      </c>
      <c r="Z15" s="880">
        <f t="shared" si="10"/>
        <v>0.5625</v>
      </c>
      <c r="AA15" s="874">
        <v>0.56944444444444442</v>
      </c>
      <c r="AB15" s="882">
        <f t="shared" si="11"/>
        <v>99.999999999999972</v>
      </c>
      <c r="AC15" s="883">
        <f t="shared" si="12"/>
        <v>22.808333333333266</v>
      </c>
      <c r="AD15" s="884">
        <f t="shared" si="29"/>
        <v>9.9999999999999716</v>
      </c>
      <c r="AE15" s="885">
        <f t="shared" si="13"/>
        <v>19.999999999999972</v>
      </c>
      <c r="AG15" s="894">
        <f>AG4+AG85+BO4</f>
        <v>1312.0000000000045</v>
      </c>
      <c r="AI15" s="873">
        <v>47</v>
      </c>
      <c r="AJ15" s="874">
        <v>0.89583333333333337</v>
      </c>
      <c r="AK15" s="875">
        <v>60</v>
      </c>
      <c r="AL15" s="876">
        <v>3</v>
      </c>
      <c r="AM15" s="889">
        <v>42.155555555555601</v>
      </c>
      <c r="AN15" s="875">
        <f t="shared" si="124"/>
        <v>17.844444444444399</v>
      </c>
      <c r="AO15" s="878">
        <f t="shared" si="125"/>
        <v>49.371111111111162</v>
      </c>
      <c r="AP15" s="879">
        <f t="shared" si="126"/>
        <v>50</v>
      </c>
      <c r="AQ15" s="878">
        <f t="shared" si="127"/>
        <v>10</v>
      </c>
      <c r="AR15" s="880">
        <f t="shared" si="128"/>
        <v>0.93055555555555558</v>
      </c>
      <c r="AS15" s="893">
        <v>0.937500000000001</v>
      </c>
      <c r="AT15" s="882">
        <f t="shared" si="129"/>
        <v>60.000000000001386</v>
      </c>
      <c r="AU15" s="883">
        <f t="shared" si="130"/>
        <v>17.844444444445784</v>
      </c>
      <c r="AV15" s="884">
        <f t="shared" si="131"/>
        <v>10.000000000001386</v>
      </c>
      <c r="AW15" s="885">
        <f t="shared" si="132"/>
        <v>1.3855583347321954E-12</v>
      </c>
      <c r="AX15" s="880"/>
      <c r="AY15" s="873">
        <v>47</v>
      </c>
      <c r="AZ15" s="893">
        <v>0.625</v>
      </c>
      <c r="BA15" s="888"/>
      <c r="BB15" s="876"/>
      <c r="BC15" s="877">
        <v>52.494444444444397</v>
      </c>
      <c r="BD15" s="875">
        <f t="shared" si="133"/>
        <v>-52.494444444444397</v>
      </c>
      <c r="BE15" s="878">
        <f t="shared" si="134"/>
        <v>60.74388888888884</v>
      </c>
      <c r="BF15" s="879">
        <f t="shared" si="135"/>
        <v>60</v>
      </c>
      <c r="BG15" s="878">
        <f t="shared" si="136"/>
        <v>-60</v>
      </c>
      <c r="BH15" s="880">
        <f t="shared" si="137"/>
        <v>0.66666666666666663</v>
      </c>
      <c r="BI15" s="874">
        <v>0.6875</v>
      </c>
      <c r="BJ15" s="882">
        <f t="shared" si="138"/>
        <v>90</v>
      </c>
      <c r="BK15" s="883">
        <f t="shared" si="139"/>
        <v>37.505555555555603</v>
      </c>
      <c r="BL15" s="884">
        <f t="shared" si="140"/>
        <v>30</v>
      </c>
      <c r="BM15" s="885">
        <f t="shared" si="141"/>
        <v>90</v>
      </c>
    </row>
    <row r="16" spans="1:67" ht="18.75" x14ac:dyDescent="0.3">
      <c r="A16" s="873" t="s">
        <v>727</v>
      </c>
      <c r="B16" s="874">
        <v>0.5</v>
      </c>
      <c r="C16" s="875">
        <v>80</v>
      </c>
      <c r="D16" s="876">
        <v>4</v>
      </c>
      <c r="E16" s="889">
        <v>83.787499999999994</v>
      </c>
      <c r="F16" s="875">
        <f t="shared" si="37"/>
        <v>-3.7874999999999943</v>
      </c>
      <c r="G16" s="878">
        <f t="shared" si="0"/>
        <v>95.166250000000005</v>
      </c>
      <c r="H16" s="879">
        <f t="shared" si="1"/>
        <v>95</v>
      </c>
      <c r="I16" s="878">
        <f t="shared" si="2"/>
        <v>-15</v>
      </c>
      <c r="J16" s="880">
        <f t="shared" si="3"/>
        <v>0.56597222222222221</v>
      </c>
      <c r="K16" s="893">
        <v>0.58333333333333337</v>
      </c>
      <c r="L16" s="882">
        <f t="shared" si="4"/>
        <v>120.00000000000006</v>
      </c>
      <c r="M16" s="883">
        <f t="shared" si="5"/>
        <v>36.212500000000063</v>
      </c>
      <c r="N16" s="884">
        <f t="shared" si="38"/>
        <v>25.000000000000057</v>
      </c>
      <c r="O16" s="885">
        <f t="shared" si="6"/>
        <v>40.000000000000057</v>
      </c>
      <c r="P16" s="880"/>
      <c r="Q16" s="873">
        <v>7</v>
      </c>
      <c r="R16" s="881">
        <v>0.51388888888888895</v>
      </c>
      <c r="S16" s="888">
        <v>100</v>
      </c>
      <c r="T16" s="876">
        <v>2</v>
      </c>
      <c r="U16" s="889">
        <v>74.2083333333333</v>
      </c>
      <c r="V16" s="875">
        <f t="shared" si="28"/>
        <v>25.7916666666667</v>
      </c>
      <c r="W16" s="878">
        <f t="shared" si="7"/>
        <v>84.629166666666634</v>
      </c>
      <c r="X16" s="879">
        <f t="shared" si="8"/>
        <v>85</v>
      </c>
      <c r="Y16" s="878">
        <f t="shared" si="9"/>
        <v>15</v>
      </c>
      <c r="Z16" s="880">
        <f t="shared" si="10"/>
        <v>0.57291666666666674</v>
      </c>
      <c r="AA16" s="874">
        <v>0.58333333333333337</v>
      </c>
      <c r="AB16" s="882">
        <f t="shared" si="11"/>
        <v>99.999999999999972</v>
      </c>
      <c r="AC16" s="883">
        <f t="shared" si="12"/>
        <v>25.791666666666671</v>
      </c>
      <c r="AD16" s="884">
        <f t="shared" si="29"/>
        <v>14.999999999999972</v>
      </c>
      <c r="AE16" s="885">
        <f t="shared" si="13"/>
        <v>0</v>
      </c>
      <c r="AG16" s="897">
        <f>AG15/60</f>
        <v>21.866666666666742</v>
      </c>
      <c r="AI16" s="873">
        <v>47</v>
      </c>
      <c r="AJ16" s="874">
        <v>0.9375</v>
      </c>
      <c r="AK16" s="875">
        <v>60</v>
      </c>
      <c r="AL16" s="876">
        <v>4</v>
      </c>
      <c r="AM16" s="889">
        <v>43.554166666666703</v>
      </c>
      <c r="AN16" s="875">
        <f t="shared" si="124"/>
        <v>16.445833333333297</v>
      </c>
      <c r="AO16" s="878">
        <f t="shared" si="125"/>
        <v>50.90958333333338</v>
      </c>
      <c r="AP16" s="879">
        <f t="shared" si="126"/>
        <v>50</v>
      </c>
      <c r="AQ16" s="878">
        <f t="shared" si="127"/>
        <v>10</v>
      </c>
      <c r="AR16" s="880">
        <f t="shared" si="128"/>
        <v>0.97222222222222221</v>
      </c>
      <c r="AS16" s="893">
        <v>0.97916666666666696</v>
      </c>
      <c r="AT16" s="882">
        <f t="shared" si="129"/>
        <v>60.000000000000426</v>
      </c>
      <c r="AU16" s="883">
        <f t="shared" si="130"/>
        <v>16.445833333333724</v>
      </c>
      <c r="AV16" s="884">
        <f t="shared" si="131"/>
        <v>10.000000000000426</v>
      </c>
      <c r="AW16" s="885">
        <f t="shared" si="132"/>
        <v>4.2632564145606011E-13</v>
      </c>
      <c r="AY16" s="873">
        <v>47</v>
      </c>
      <c r="AZ16" s="893">
        <v>0.64583333333333337</v>
      </c>
      <c r="BA16" s="888">
        <v>60</v>
      </c>
      <c r="BB16" s="876">
        <v>3</v>
      </c>
      <c r="BC16" s="889">
        <v>52.494444444444397</v>
      </c>
      <c r="BD16" s="875">
        <f t="shared" ref="BD16:BD17" si="142">BA16-BC16</f>
        <v>7.5055555555556026</v>
      </c>
      <c r="BE16" s="878">
        <f t="shared" ref="BE16:BE17" si="143">BC16*1.1+3</f>
        <v>60.74388888888884</v>
      </c>
      <c r="BF16" s="879">
        <f t="shared" ref="BF16:BF17" si="144">MROUND(BE16,5)</f>
        <v>60</v>
      </c>
      <c r="BG16" s="878">
        <f t="shared" ref="BG16:BG17" si="145">BA16-BF16</f>
        <v>0</v>
      </c>
      <c r="BH16" s="880">
        <f t="shared" ref="BH16:BH17" si="146">AZ16+TIME(,BF16,)</f>
        <v>0.6875</v>
      </c>
      <c r="BI16" s="898">
        <v>0.64583333333333337</v>
      </c>
      <c r="BJ16" s="882">
        <f t="shared" ref="BJ16:BJ17" si="147">((BI16-AZ16)*86400)/60</f>
        <v>0</v>
      </c>
      <c r="BK16" s="883">
        <f t="shared" ref="BK16:BK17" si="148">BJ16-BC16</f>
        <v>-52.494444444444397</v>
      </c>
      <c r="BL16" s="884">
        <f t="shared" ref="BL16:BL17" si="149">BJ16-BF16</f>
        <v>-60</v>
      </c>
      <c r="BM16" s="885">
        <f t="shared" ref="BM16:BM17" si="150">BJ16-BA16</f>
        <v>-60</v>
      </c>
    </row>
    <row r="17" spans="1:65" ht="18.75" x14ac:dyDescent="0.3">
      <c r="A17" s="873">
        <v>7</v>
      </c>
      <c r="B17" s="874">
        <v>0.51041666666666663</v>
      </c>
      <c r="C17" s="875">
        <v>85</v>
      </c>
      <c r="D17" s="876">
        <v>2</v>
      </c>
      <c r="E17" s="889">
        <v>73.483333333333306</v>
      </c>
      <c r="F17" s="875">
        <f t="shared" si="37"/>
        <v>11.516666666666694</v>
      </c>
      <c r="G17" s="878">
        <f t="shared" si="0"/>
        <v>83.831666666666649</v>
      </c>
      <c r="H17" s="879">
        <f t="shared" si="1"/>
        <v>85</v>
      </c>
      <c r="I17" s="878">
        <f t="shared" si="2"/>
        <v>0</v>
      </c>
      <c r="J17" s="880">
        <f t="shared" si="3"/>
        <v>0.56944444444444442</v>
      </c>
      <c r="K17" s="881">
        <v>0.56944444444444442</v>
      </c>
      <c r="L17" s="882">
        <f t="shared" si="4"/>
        <v>85.000000000000014</v>
      </c>
      <c r="M17" s="883">
        <f t="shared" si="5"/>
        <v>11.516666666666708</v>
      </c>
      <c r="N17" s="884">
        <f t="shared" si="38"/>
        <v>0</v>
      </c>
      <c r="O17" s="885">
        <f t="shared" si="6"/>
        <v>0</v>
      </c>
      <c r="P17" s="880"/>
      <c r="Q17" s="873" t="s">
        <v>727</v>
      </c>
      <c r="R17" s="893">
        <v>0.52777777777777779</v>
      </c>
      <c r="S17" s="888">
        <v>100</v>
      </c>
      <c r="T17" s="876">
        <v>3</v>
      </c>
      <c r="U17" s="889">
        <v>80.5</v>
      </c>
      <c r="V17" s="875">
        <f t="shared" si="28"/>
        <v>19.5</v>
      </c>
      <c r="W17" s="878">
        <f t="shared" si="7"/>
        <v>91.550000000000011</v>
      </c>
      <c r="X17" s="879">
        <f t="shared" si="8"/>
        <v>90</v>
      </c>
      <c r="Y17" s="878">
        <f t="shared" si="9"/>
        <v>10</v>
      </c>
      <c r="Z17" s="880">
        <f t="shared" si="10"/>
        <v>0.59027777777777779</v>
      </c>
      <c r="AA17" s="874">
        <v>0.59722222222222221</v>
      </c>
      <c r="AB17" s="882">
        <f t="shared" si="11"/>
        <v>99.999999999999972</v>
      </c>
      <c r="AC17" s="883">
        <f t="shared" si="12"/>
        <v>19.499999999999972</v>
      </c>
      <c r="AD17" s="884">
        <f t="shared" si="29"/>
        <v>9.9999999999999716</v>
      </c>
      <c r="AE17" s="885">
        <f t="shared" si="13"/>
        <v>0</v>
      </c>
      <c r="AI17" s="873">
        <v>47</v>
      </c>
      <c r="AJ17" s="874">
        <v>0.97916666666666663</v>
      </c>
      <c r="AK17" s="875">
        <v>45</v>
      </c>
      <c r="AL17" s="876">
        <v>4</v>
      </c>
      <c r="AM17" s="889">
        <v>36.4583333333333</v>
      </c>
      <c r="AN17" s="875">
        <f t="shared" si="124"/>
        <v>8.5416666666666998</v>
      </c>
      <c r="AO17" s="878">
        <f t="shared" si="125"/>
        <v>43.104166666666636</v>
      </c>
      <c r="AP17" s="879">
        <f t="shared" si="126"/>
        <v>45</v>
      </c>
      <c r="AQ17" s="878">
        <f t="shared" si="127"/>
        <v>0</v>
      </c>
      <c r="AR17" s="880">
        <f t="shared" si="128"/>
        <v>1.0104166666666665</v>
      </c>
      <c r="AS17" s="895">
        <v>1.0208333333333333</v>
      </c>
      <c r="AT17" s="882">
        <f t="shared" si="129"/>
        <v>59.99999999999995</v>
      </c>
      <c r="AU17" s="883">
        <f t="shared" si="130"/>
        <v>23.54166666666665</v>
      </c>
      <c r="AV17" s="884">
        <f t="shared" si="131"/>
        <v>14.99999999999995</v>
      </c>
      <c r="AW17" s="885">
        <f t="shared" si="132"/>
        <v>14.99999999999995</v>
      </c>
      <c r="AY17" s="873">
        <v>47</v>
      </c>
      <c r="AZ17" s="893">
        <v>0.66666666666666663</v>
      </c>
      <c r="BA17" s="888"/>
      <c r="BB17" s="876"/>
      <c r="BC17" s="877">
        <v>54.9</v>
      </c>
      <c r="BD17" s="875">
        <f t="shared" si="142"/>
        <v>-54.9</v>
      </c>
      <c r="BE17" s="878">
        <f t="shared" si="143"/>
        <v>63.39</v>
      </c>
      <c r="BF17" s="879">
        <f t="shared" si="144"/>
        <v>65</v>
      </c>
      <c r="BG17" s="878">
        <f t="shared" si="145"/>
        <v>-65</v>
      </c>
      <c r="BH17" s="880">
        <f t="shared" si="146"/>
        <v>0.71180555555555547</v>
      </c>
      <c r="BI17" s="874">
        <v>0.72916666666666663</v>
      </c>
      <c r="BJ17" s="882">
        <f t="shared" si="147"/>
        <v>90</v>
      </c>
      <c r="BK17" s="883">
        <f t="shared" si="148"/>
        <v>35.1</v>
      </c>
      <c r="BL17" s="884">
        <f t="shared" si="149"/>
        <v>25</v>
      </c>
      <c r="BM17" s="885">
        <f t="shared" si="150"/>
        <v>90</v>
      </c>
    </row>
    <row r="18" spans="1:65" ht="18.75" x14ac:dyDescent="0.3">
      <c r="A18" s="873" t="s">
        <v>727</v>
      </c>
      <c r="B18" s="874">
        <v>0.52083333333333337</v>
      </c>
      <c r="C18" s="875">
        <v>90</v>
      </c>
      <c r="D18" s="876">
        <v>4</v>
      </c>
      <c r="E18" s="889">
        <v>84.762500000000003</v>
      </c>
      <c r="F18" s="875">
        <f t="shared" si="37"/>
        <v>5.2374999999999972</v>
      </c>
      <c r="G18" s="878">
        <f t="shared" si="0"/>
        <v>96.23875000000001</v>
      </c>
      <c r="H18" s="879">
        <f t="shared" si="1"/>
        <v>95</v>
      </c>
      <c r="I18" s="878">
        <f t="shared" si="2"/>
        <v>-5</v>
      </c>
      <c r="J18" s="880">
        <f t="shared" si="3"/>
        <v>0.58680555555555558</v>
      </c>
      <c r="K18" s="895">
        <v>0.58680555555555558</v>
      </c>
      <c r="L18" s="882">
        <f t="shared" si="4"/>
        <v>94.999999999999986</v>
      </c>
      <c r="M18" s="883">
        <f t="shared" si="5"/>
        <v>10.237499999999983</v>
      </c>
      <c r="N18" s="884">
        <f t="shared" si="38"/>
        <v>0</v>
      </c>
      <c r="O18" s="885">
        <f t="shared" si="6"/>
        <v>4.9999999999999858</v>
      </c>
      <c r="P18" s="880"/>
      <c r="Q18" s="873">
        <v>7</v>
      </c>
      <c r="R18" s="881">
        <v>0.54166666666666663</v>
      </c>
      <c r="S18" s="888">
        <v>100</v>
      </c>
      <c r="T18" s="876">
        <v>4</v>
      </c>
      <c r="U18" s="889">
        <v>81.970833333333303</v>
      </c>
      <c r="V18" s="875">
        <f t="shared" si="28"/>
        <v>18.029166666666697</v>
      </c>
      <c r="W18" s="878">
        <f t="shared" si="7"/>
        <v>93.167916666666642</v>
      </c>
      <c r="X18" s="879">
        <f t="shared" si="8"/>
        <v>95</v>
      </c>
      <c r="Y18" s="878">
        <f t="shared" si="9"/>
        <v>5</v>
      </c>
      <c r="Z18" s="890">
        <f t="shared" si="10"/>
        <v>0.60763888888888884</v>
      </c>
      <c r="AA18" s="874">
        <v>0.61111111111111116</v>
      </c>
      <c r="AB18" s="883">
        <f t="shared" si="11"/>
        <v>100.00000000000013</v>
      </c>
      <c r="AC18" s="883">
        <f t="shared" si="12"/>
        <v>18.029166666666825</v>
      </c>
      <c r="AD18" s="884">
        <f t="shared" si="29"/>
        <v>5.0000000000001279</v>
      </c>
      <c r="AE18" s="885">
        <f t="shared" si="13"/>
        <v>1.2789769243681803E-13</v>
      </c>
      <c r="AY18" s="873">
        <v>47</v>
      </c>
      <c r="AZ18" s="893">
        <v>0.6875</v>
      </c>
      <c r="BA18" s="888">
        <v>60</v>
      </c>
      <c r="BB18" s="876">
        <v>4</v>
      </c>
      <c r="BC18" s="889">
        <v>54.9</v>
      </c>
      <c r="BD18" s="875">
        <f t="shared" ref="BD18:BD19" si="151">BA18-BC18</f>
        <v>5.1000000000000014</v>
      </c>
      <c r="BE18" s="878">
        <f t="shared" ref="BE18:BE19" si="152">BC18*1.1+3</f>
        <v>63.39</v>
      </c>
      <c r="BF18" s="879">
        <f t="shared" ref="BF18:BF19" si="153">MROUND(BE18,5)</f>
        <v>65</v>
      </c>
      <c r="BG18" s="878">
        <f t="shared" ref="BG18:BG19" si="154">BA18-BF18</f>
        <v>-5</v>
      </c>
      <c r="BH18" s="880">
        <f t="shared" ref="BH18:BH19" si="155">AZ18+TIME(,BF18,)</f>
        <v>0.73263888888888884</v>
      </c>
      <c r="BI18" s="898">
        <v>0.6875</v>
      </c>
      <c r="BJ18" s="882">
        <f t="shared" ref="BJ18:BJ19" si="156">((BI18-AZ18)*86400)/60</f>
        <v>0</v>
      </c>
      <c r="BK18" s="883">
        <f t="shared" ref="BK18:BK19" si="157">BJ18-BC18</f>
        <v>-54.9</v>
      </c>
      <c r="BL18" s="884">
        <f t="shared" ref="BL18:BL19" si="158">BJ18-BF18</f>
        <v>-65</v>
      </c>
      <c r="BM18" s="885">
        <f t="shared" ref="BM18:BM19" si="159">BJ18-BA18</f>
        <v>-60</v>
      </c>
    </row>
    <row r="19" spans="1:65" ht="18.75" x14ac:dyDescent="0.3">
      <c r="A19" s="873">
        <v>7</v>
      </c>
      <c r="B19" s="874">
        <v>0.52777777777777779</v>
      </c>
      <c r="C19" s="875">
        <v>100</v>
      </c>
      <c r="D19" s="876">
        <v>4</v>
      </c>
      <c r="E19" s="889">
        <v>73.591666666666697</v>
      </c>
      <c r="F19" s="875">
        <f t="shared" si="37"/>
        <v>26.408333333333303</v>
      </c>
      <c r="G19" s="878">
        <f t="shared" si="0"/>
        <v>83.950833333333378</v>
      </c>
      <c r="H19" s="879">
        <f t="shared" si="1"/>
        <v>85</v>
      </c>
      <c r="I19" s="878">
        <f t="shared" si="2"/>
        <v>15</v>
      </c>
      <c r="J19" s="880">
        <f t="shared" si="3"/>
        <v>0.58680555555555558</v>
      </c>
      <c r="K19" s="881">
        <v>0.59722222222222221</v>
      </c>
      <c r="L19" s="882">
        <f t="shared" si="4"/>
        <v>99.999999999999972</v>
      </c>
      <c r="M19" s="883">
        <f t="shared" si="5"/>
        <v>26.408333333333275</v>
      </c>
      <c r="N19" s="884">
        <f t="shared" si="38"/>
        <v>14.999999999999972</v>
      </c>
      <c r="O19" s="885">
        <f t="shared" si="6"/>
        <v>0</v>
      </c>
      <c r="P19" s="880"/>
      <c r="Q19" s="873" t="s">
        <v>727</v>
      </c>
      <c r="R19" s="893">
        <v>0.55555555555555558</v>
      </c>
      <c r="S19" s="888">
        <v>100</v>
      </c>
      <c r="T19" s="876">
        <v>3</v>
      </c>
      <c r="U19" s="889">
        <v>83.383333333333297</v>
      </c>
      <c r="V19" s="875">
        <f t="shared" si="28"/>
        <v>16.616666666666703</v>
      </c>
      <c r="W19" s="878">
        <f t="shared" si="7"/>
        <v>94.721666666666636</v>
      </c>
      <c r="X19" s="879">
        <f t="shared" si="8"/>
        <v>95</v>
      </c>
      <c r="Y19" s="878">
        <f t="shared" si="9"/>
        <v>5</v>
      </c>
      <c r="Z19" s="880">
        <f t="shared" si="10"/>
        <v>0.62152777777777779</v>
      </c>
      <c r="AA19" s="874">
        <v>0.625</v>
      </c>
      <c r="AB19" s="882">
        <f t="shared" si="11"/>
        <v>99.999999999999972</v>
      </c>
      <c r="AC19" s="883">
        <f t="shared" si="12"/>
        <v>16.616666666666674</v>
      </c>
      <c r="AD19" s="884">
        <f t="shared" si="29"/>
        <v>4.9999999999999716</v>
      </c>
      <c r="AE19" s="885">
        <f t="shared" si="13"/>
        <v>0</v>
      </c>
      <c r="AY19" s="873">
        <v>47</v>
      </c>
      <c r="AZ19" s="893">
        <v>0.70833333333333337</v>
      </c>
      <c r="BA19" s="888"/>
      <c r="BB19" s="876"/>
      <c r="BC19" s="877">
        <v>60</v>
      </c>
      <c r="BD19" s="875">
        <f t="shared" si="151"/>
        <v>-60</v>
      </c>
      <c r="BE19" s="878">
        <f t="shared" si="152"/>
        <v>69</v>
      </c>
      <c r="BF19" s="879">
        <f t="shared" si="153"/>
        <v>70</v>
      </c>
      <c r="BG19" s="878">
        <f t="shared" si="154"/>
        <v>-70</v>
      </c>
      <c r="BH19" s="880">
        <f t="shared" si="155"/>
        <v>0.75694444444444453</v>
      </c>
      <c r="BI19" s="874">
        <v>0.77083333333333337</v>
      </c>
      <c r="BJ19" s="882">
        <f t="shared" si="156"/>
        <v>90</v>
      </c>
      <c r="BK19" s="883">
        <f t="shared" si="157"/>
        <v>30</v>
      </c>
      <c r="BL19" s="884">
        <f t="shared" si="158"/>
        <v>20</v>
      </c>
      <c r="BM19" s="885">
        <f t="shared" si="159"/>
        <v>90</v>
      </c>
    </row>
    <row r="20" spans="1:65" ht="18.75" x14ac:dyDescent="0.3">
      <c r="A20" s="873" t="s">
        <v>727</v>
      </c>
      <c r="B20" s="874">
        <v>0.54166666666666663</v>
      </c>
      <c r="C20" s="875">
        <v>100</v>
      </c>
      <c r="D20" s="876">
        <v>4</v>
      </c>
      <c r="E20" s="889">
        <v>76.762500000000003</v>
      </c>
      <c r="F20" s="875">
        <f t="shared" si="37"/>
        <v>23.237499999999997</v>
      </c>
      <c r="G20" s="878">
        <f t="shared" si="0"/>
        <v>87.438750000000013</v>
      </c>
      <c r="H20" s="879">
        <f t="shared" si="1"/>
        <v>85</v>
      </c>
      <c r="I20" s="878">
        <f t="shared" si="2"/>
        <v>15</v>
      </c>
      <c r="J20" s="880">
        <f t="shared" si="3"/>
        <v>0.60069444444444442</v>
      </c>
      <c r="K20" s="893">
        <v>0.61111111111111116</v>
      </c>
      <c r="L20" s="882">
        <f t="shared" si="4"/>
        <v>100.00000000000013</v>
      </c>
      <c r="M20" s="883">
        <f t="shared" si="5"/>
        <v>23.237500000000125</v>
      </c>
      <c r="N20" s="884">
        <f t="shared" si="38"/>
        <v>15.000000000000128</v>
      </c>
      <c r="O20" s="885">
        <f t="shared" si="6"/>
        <v>1.2789769243681803E-13</v>
      </c>
      <c r="P20" s="880"/>
      <c r="Q20" s="873">
        <v>7</v>
      </c>
      <c r="R20" s="881">
        <v>0.56944444444444442</v>
      </c>
      <c r="S20" s="888">
        <v>100</v>
      </c>
      <c r="T20" s="876">
        <v>4</v>
      </c>
      <c r="U20" s="889">
        <v>81.962500000000006</v>
      </c>
      <c r="V20" s="875">
        <f t="shared" si="28"/>
        <v>18.037499999999994</v>
      </c>
      <c r="W20" s="878">
        <f t="shared" si="7"/>
        <v>93.158750000000012</v>
      </c>
      <c r="X20" s="879">
        <f t="shared" si="8"/>
        <v>95</v>
      </c>
      <c r="Y20" s="878">
        <f t="shared" si="9"/>
        <v>5</v>
      </c>
      <c r="Z20" s="880">
        <f t="shared" si="10"/>
        <v>0.63541666666666663</v>
      </c>
      <c r="AA20" s="874">
        <v>0.63888888888888884</v>
      </c>
      <c r="AB20" s="882">
        <f t="shared" si="11"/>
        <v>99.999999999999972</v>
      </c>
      <c r="AC20" s="883">
        <f t="shared" si="12"/>
        <v>18.037499999999966</v>
      </c>
      <c r="AD20" s="884">
        <f t="shared" si="29"/>
        <v>4.9999999999999716</v>
      </c>
      <c r="AE20" s="885">
        <f t="shared" si="13"/>
        <v>0</v>
      </c>
      <c r="AY20" s="873">
        <v>47</v>
      </c>
      <c r="AZ20" s="893">
        <v>0.72916666666666663</v>
      </c>
      <c r="BA20" s="888">
        <v>60</v>
      </c>
      <c r="BB20" s="876">
        <v>3</v>
      </c>
      <c r="BC20" s="889">
        <v>64.738888888888894</v>
      </c>
      <c r="BD20" s="875">
        <f t="shared" ref="BD20:BD21" si="160">BA20-BC20</f>
        <v>-4.7388888888888943</v>
      </c>
      <c r="BE20" s="878">
        <f t="shared" ref="BE20:BE21" si="161">BC20*1.1+3</f>
        <v>74.212777777777788</v>
      </c>
      <c r="BF20" s="879">
        <f t="shared" ref="BF20:BF21" si="162">MROUND(BE20,5)</f>
        <v>75</v>
      </c>
      <c r="BG20" s="878">
        <f t="shared" ref="BG20:BG21" si="163">BA20-BF20</f>
        <v>-15</v>
      </c>
      <c r="BH20" s="880">
        <f t="shared" ref="BH20:BH21" si="164">AZ20+TIME(,BF20,)</f>
        <v>0.78125</v>
      </c>
      <c r="BI20" s="898">
        <v>0.72916666666666663</v>
      </c>
      <c r="BJ20" s="882">
        <f t="shared" ref="BJ20:BJ21" si="165">((BI20-AZ20)*86400)/60</f>
        <v>0</v>
      </c>
      <c r="BK20" s="883">
        <f t="shared" ref="BK20:BK21" si="166">BJ20-BC20</f>
        <v>-64.738888888888894</v>
      </c>
      <c r="BL20" s="884">
        <f t="shared" ref="BL20:BL21" si="167">BJ20-BF20</f>
        <v>-75</v>
      </c>
      <c r="BM20" s="885">
        <f t="shared" ref="BM20:BM21" si="168">BJ20-BA20</f>
        <v>-60</v>
      </c>
    </row>
    <row r="21" spans="1:65" ht="18.75" x14ac:dyDescent="0.3">
      <c r="A21" s="873">
        <v>7</v>
      </c>
      <c r="B21" s="874">
        <v>0.55555555555555558</v>
      </c>
      <c r="C21" s="875">
        <v>100</v>
      </c>
      <c r="D21" s="876">
        <v>2</v>
      </c>
      <c r="E21" s="889">
        <v>81.4166666666667</v>
      </c>
      <c r="F21" s="875">
        <f t="shared" si="37"/>
        <v>18.5833333333333</v>
      </c>
      <c r="G21" s="878">
        <f t="shared" si="0"/>
        <v>92.55833333333338</v>
      </c>
      <c r="H21" s="879">
        <f t="shared" si="1"/>
        <v>95</v>
      </c>
      <c r="I21" s="878">
        <f t="shared" si="2"/>
        <v>5</v>
      </c>
      <c r="J21" s="880">
        <f t="shared" si="3"/>
        <v>0.62152777777777779</v>
      </c>
      <c r="K21" s="881">
        <v>0.625</v>
      </c>
      <c r="L21" s="882">
        <f t="shared" si="4"/>
        <v>99.999999999999972</v>
      </c>
      <c r="M21" s="883">
        <f t="shared" si="5"/>
        <v>18.583333333333272</v>
      </c>
      <c r="N21" s="884">
        <f t="shared" si="38"/>
        <v>4.9999999999999716</v>
      </c>
      <c r="O21" s="885">
        <f t="shared" si="6"/>
        <v>0</v>
      </c>
      <c r="P21" s="880"/>
      <c r="Q21" s="873" t="s">
        <v>727</v>
      </c>
      <c r="R21" s="893">
        <v>0.58333333333333337</v>
      </c>
      <c r="S21" s="888">
        <v>100</v>
      </c>
      <c r="T21" s="876">
        <v>4</v>
      </c>
      <c r="U21" s="889">
        <v>86.491666666666703</v>
      </c>
      <c r="V21" s="875">
        <f t="shared" si="28"/>
        <v>13.508333333333297</v>
      </c>
      <c r="W21" s="878">
        <f t="shared" si="7"/>
        <v>98.140833333333376</v>
      </c>
      <c r="X21" s="879">
        <f t="shared" si="8"/>
        <v>100</v>
      </c>
      <c r="Y21" s="878">
        <f t="shared" si="9"/>
        <v>0</v>
      </c>
      <c r="Z21" s="880">
        <f t="shared" si="10"/>
        <v>0.65277777777777779</v>
      </c>
      <c r="AA21" s="874">
        <v>0.65277777777777779</v>
      </c>
      <c r="AB21" s="882">
        <f t="shared" si="11"/>
        <v>99.999999999999972</v>
      </c>
      <c r="AC21" s="883">
        <f t="shared" si="12"/>
        <v>13.508333333333269</v>
      </c>
      <c r="AD21" s="884">
        <f t="shared" si="29"/>
        <v>0</v>
      </c>
      <c r="AE21" s="885">
        <f t="shared" si="13"/>
        <v>0</v>
      </c>
      <c r="AY21" s="873">
        <v>47</v>
      </c>
      <c r="AZ21" s="893">
        <v>0.75</v>
      </c>
      <c r="BA21" s="888"/>
      <c r="BB21" s="876"/>
      <c r="BC21" s="877">
        <v>57</v>
      </c>
      <c r="BD21" s="875">
        <f t="shared" si="160"/>
        <v>-57</v>
      </c>
      <c r="BE21" s="878">
        <f t="shared" si="161"/>
        <v>65.7</v>
      </c>
      <c r="BF21" s="879">
        <f t="shared" si="162"/>
        <v>65</v>
      </c>
      <c r="BG21" s="878">
        <f t="shared" si="163"/>
        <v>-65</v>
      </c>
      <c r="BH21" s="880">
        <f t="shared" si="164"/>
        <v>0.79513888888888884</v>
      </c>
      <c r="BI21" s="874">
        <v>0.8125</v>
      </c>
      <c r="BJ21" s="882">
        <f t="shared" si="165"/>
        <v>90</v>
      </c>
      <c r="BK21" s="883">
        <f t="shared" si="166"/>
        <v>33</v>
      </c>
      <c r="BL21" s="884">
        <f t="shared" si="167"/>
        <v>25</v>
      </c>
      <c r="BM21" s="885">
        <f t="shared" si="168"/>
        <v>90</v>
      </c>
    </row>
    <row r="22" spans="1:65" ht="18.75" x14ac:dyDescent="0.3">
      <c r="A22" s="873" t="s">
        <v>727</v>
      </c>
      <c r="B22" s="874">
        <v>0.56944444444444442</v>
      </c>
      <c r="C22" s="875">
        <v>100</v>
      </c>
      <c r="D22" s="876">
        <v>4</v>
      </c>
      <c r="E22" s="889">
        <v>89.137500000000003</v>
      </c>
      <c r="F22" s="875">
        <f t="shared" si="37"/>
        <v>10.862499999999997</v>
      </c>
      <c r="G22" s="878">
        <f t="shared" si="0"/>
        <v>101.05125000000001</v>
      </c>
      <c r="H22" s="879">
        <f t="shared" si="1"/>
        <v>100</v>
      </c>
      <c r="I22" s="878">
        <f t="shared" si="2"/>
        <v>0</v>
      </c>
      <c r="J22" s="880">
        <f t="shared" si="3"/>
        <v>0.63888888888888884</v>
      </c>
      <c r="K22" s="893">
        <v>0.63888888888888884</v>
      </c>
      <c r="L22" s="882">
        <f t="shared" si="4"/>
        <v>99.999999999999972</v>
      </c>
      <c r="M22" s="883">
        <f t="shared" si="5"/>
        <v>10.862499999999969</v>
      </c>
      <c r="N22" s="884">
        <f t="shared" si="38"/>
        <v>0</v>
      </c>
      <c r="O22" s="885">
        <f t="shared" si="6"/>
        <v>0</v>
      </c>
      <c r="P22" s="880"/>
      <c r="Q22" s="873">
        <v>7</v>
      </c>
      <c r="R22" s="881">
        <v>0.59722222222222221</v>
      </c>
      <c r="S22" s="888">
        <v>100</v>
      </c>
      <c r="T22" s="876">
        <v>5</v>
      </c>
      <c r="U22" s="889">
        <v>75.9433333333333</v>
      </c>
      <c r="V22" s="875">
        <f t="shared" si="28"/>
        <v>24.0566666666667</v>
      </c>
      <c r="W22" s="878">
        <f t="shared" si="7"/>
        <v>86.537666666666638</v>
      </c>
      <c r="X22" s="879">
        <f t="shared" si="8"/>
        <v>85</v>
      </c>
      <c r="Y22" s="878">
        <f t="shared" si="9"/>
        <v>15</v>
      </c>
      <c r="Z22" s="880">
        <f t="shared" si="10"/>
        <v>0.65625</v>
      </c>
      <c r="AA22" s="874">
        <v>0.66666666666666663</v>
      </c>
      <c r="AB22" s="882">
        <f t="shared" si="11"/>
        <v>99.999999999999972</v>
      </c>
      <c r="AC22" s="883">
        <f t="shared" si="12"/>
        <v>24.056666666666672</v>
      </c>
      <c r="AD22" s="884">
        <f t="shared" si="29"/>
        <v>14.999999999999972</v>
      </c>
      <c r="AE22" s="885">
        <f t="shared" si="13"/>
        <v>0</v>
      </c>
      <c r="AY22" s="873">
        <v>47</v>
      </c>
      <c r="AZ22" s="893">
        <v>0.77083333333333337</v>
      </c>
      <c r="BA22" s="888">
        <v>60</v>
      </c>
      <c r="BB22" s="876">
        <v>3</v>
      </c>
      <c r="BC22" s="889">
        <v>51.827777777777797</v>
      </c>
      <c r="BD22" s="875">
        <f t="shared" ref="BD22:BD23" si="169">BA22-BC22</f>
        <v>8.172222222222203</v>
      </c>
      <c r="BE22" s="878">
        <f t="shared" ref="BE22:BE23" si="170">BC22*1.1+3</f>
        <v>60.010555555555584</v>
      </c>
      <c r="BF22" s="879">
        <f t="shared" ref="BF22:BF23" si="171">MROUND(BE22,5)</f>
        <v>60</v>
      </c>
      <c r="BG22" s="878">
        <f t="shared" ref="BG22:BG23" si="172">BA22-BF22</f>
        <v>0</v>
      </c>
      <c r="BH22" s="880">
        <f t="shared" ref="BH22:BH23" si="173">AZ22+TIME(,BF22,)</f>
        <v>0.8125</v>
      </c>
      <c r="BI22" s="898">
        <v>0.77083333333333337</v>
      </c>
      <c r="BJ22" s="882">
        <f t="shared" ref="BJ22:BJ23" si="174">((BI22-AZ22)*86400)/60</f>
        <v>0</v>
      </c>
      <c r="BK22" s="883">
        <f t="shared" ref="BK22:BK23" si="175">BJ22-BC22</f>
        <v>-51.827777777777797</v>
      </c>
      <c r="BL22" s="884">
        <f t="shared" ref="BL22:BL23" si="176">BJ22-BF22</f>
        <v>-60</v>
      </c>
      <c r="BM22" s="885">
        <f t="shared" ref="BM22:BM23" si="177">BJ22-BA22</f>
        <v>-60</v>
      </c>
    </row>
    <row r="23" spans="1:65" ht="18.75" x14ac:dyDescent="0.3">
      <c r="A23" s="873">
        <v>7</v>
      </c>
      <c r="B23" s="874">
        <v>0.58333333333333337</v>
      </c>
      <c r="C23" s="875">
        <v>100</v>
      </c>
      <c r="D23" s="876">
        <v>5</v>
      </c>
      <c r="E23" s="889">
        <v>76.196666666666701</v>
      </c>
      <c r="F23" s="875">
        <f t="shared" si="37"/>
        <v>23.803333333333299</v>
      </c>
      <c r="G23" s="878">
        <f t="shared" si="0"/>
        <v>86.816333333333375</v>
      </c>
      <c r="H23" s="879">
        <f t="shared" si="1"/>
        <v>85</v>
      </c>
      <c r="I23" s="878">
        <f t="shared" si="2"/>
        <v>15</v>
      </c>
      <c r="J23" s="880">
        <f t="shared" si="3"/>
        <v>0.64236111111111116</v>
      </c>
      <c r="K23" s="881">
        <v>0.65277777777777779</v>
      </c>
      <c r="L23" s="882">
        <f t="shared" si="4"/>
        <v>99.999999999999972</v>
      </c>
      <c r="M23" s="883">
        <f t="shared" si="5"/>
        <v>23.803333333333271</v>
      </c>
      <c r="N23" s="884">
        <f t="shared" si="38"/>
        <v>14.999999999999972</v>
      </c>
      <c r="O23" s="885">
        <f t="shared" si="6"/>
        <v>0</v>
      </c>
      <c r="P23" s="880"/>
      <c r="Q23" s="873" t="s">
        <v>727</v>
      </c>
      <c r="R23" s="893">
        <v>0.61111111111111116</v>
      </c>
      <c r="S23" s="888">
        <v>100</v>
      </c>
      <c r="T23" s="876">
        <v>4</v>
      </c>
      <c r="U23" s="889">
        <v>83.912499999999994</v>
      </c>
      <c r="V23" s="875">
        <f t="shared" si="28"/>
        <v>16.087500000000006</v>
      </c>
      <c r="W23" s="878">
        <f t="shared" si="7"/>
        <v>95.303750000000008</v>
      </c>
      <c r="X23" s="879">
        <f t="shared" si="8"/>
        <v>95</v>
      </c>
      <c r="Y23" s="878">
        <f t="shared" si="9"/>
        <v>5</v>
      </c>
      <c r="Z23" s="880">
        <f t="shared" si="10"/>
        <v>0.67708333333333337</v>
      </c>
      <c r="AA23" s="874">
        <v>0.68055555555555558</v>
      </c>
      <c r="AB23" s="882">
        <f t="shared" si="11"/>
        <v>99.999999999999972</v>
      </c>
      <c r="AC23" s="883">
        <f t="shared" si="12"/>
        <v>16.087499999999977</v>
      </c>
      <c r="AD23" s="884">
        <f t="shared" si="29"/>
        <v>4.9999999999999716</v>
      </c>
      <c r="AE23" s="885">
        <f t="shared" si="13"/>
        <v>0</v>
      </c>
      <c r="AY23" s="873">
        <v>47</v>
      </c>
      <c r="AZ23" s="893">
        <v>0.79166666666666663</v>
      </c>
      <c r="BA23" s="888"/>
      <c r="BB23" s="876"/>
      <c r="BC23" s="877">
        <v>50</v>
      </c>
      <c r="BD23" s="875">
        <f t="shared" si="169"/>
        <v>-50</v>
      </c>
      <c r="BE23" s="878">
        <f t="shared" si="170"/>
        <v>58.000000000000007</v>
      </c>
      <c r="BF23" s="879">
        <f t="shared" si="171"/>
        <v>60</v>
      </c>
      <c r="BG23" s="878">
        <f t="shared" si="172"/>
        <v>-60</v>
      </c>
      <c r="BH23" s="880">
        <f t="shared" si="173"/>
        <v>0.83333333333333326</v>
      </c>
      <c r="BI23" s="874">
        <v>0.85416666666666663</v>
      </c>
      <c r="BJ23" s="882">
        <f t="shared" si="174"/>
        <v>90</v>
      </c>
      <c r="BK23" s="883">
        <f t="shared" si="175"/>
        <v>40</v>
      </c>
      <c r="BL23" s="884">
        <f t="shared" si="176"/>
        <v>30</v>
      </c>
      <c r="BM23" s="885">
        <f t="shared" si="177"/>
        <v>90</v>
      </c>
    </row>
    <row r="24" spans="1:65" ht="18.75" x14ac:dyDescent="0.3">
      <c r="A24" s="873" t="s">
        <v>727</v>
      </c>
      <c r="B24" s="874">
        <v>0.59722222222222221</v>
      </c>
      <c r="C24" s="875">
        <v>100</v>
      </c>
      <c r="D24" s="876">
        <v>4</v>
      </c>
      <c r="E24" s="889">
        <v>76.612499999999997</v>
      </c>
      <c r="F24" s="875">
        <f t="shared" si="37"/>
        <v>23.387500000000003</v>
      </c>
      <c r="G24" s="878">
        <f t="shared" si="0"/>
        <v>87.273750000000007</v>
      </c>
      <c r="H24" s="879">
        <f t="shared" si="1"/>
        <v>85</v>
      </c>
      <c r="I24" s="878">
        <f t="shared" si="2"/>
        <v>15</v>
      </c>
      <c r="J24" s="880">
        <f t="shared" si="3"/>
        <v>0.65625</v>
      </c>
      <c r="K24" s="893">
        <v>0.66666666666666663</v>
      </c>
      <c r="L24" s="882">
        <f t="shared" si="4"/>
        <v>99.999999999999972</v>
      </c>
      <c r="M24" s="883">
        <f t="shared" si="5"/>
        <v>23.387499999999974</v>
      </c>
      <c r="N24" s="884">
        <f t="shared" si="38"/>
        <v>14.999999999999972</v>
      </c>
      <c r="O24" s="885">
        <f t="shared" si="6"/>
        <v>0</v>
      </c>
      <c r="P24" s="880"/>
      <c r="Q24" s="873">
        <v>7</v>
      </c>
      <c r="R24" s="881">
        <v>0.625</v>
      </c>
      <c r="S24" s="888">
        <v>95</v>
      </c>
      <c r="T24" s="876">
        <v>2</v>
      </c>
      <c r="U24" s="889">
        <v>71.1666666666667</v>
      </c>
      <c r="V24" s="875">
        <f t="shared" si="28"/>
        <v>23.8333333333333</v>
      </c>
      <c r="W24" s="878">
        <f t="shared" si="7"/>
        <v>81.283333333333374</v>
      </c>
      <c r="X24" s="879">
        <f t="shared" si="8"/>
        <v>80</v>
      </c>
      <c r="Y24" s="878">
        <f t="shared" si="9"/>
        <v>15</v>
      </c>
      <c r="Z24" s="880">
        <f t="shared" si="10"/>
        <v>0.68055555555555558</v>
      </c>
      <c r="AA24" s="874">
        <v>0.69097222222222221</v>
      </c>
      <c r="AB24" s="883">
        <f t="shared" si="11"/>
        <v>94.999999999999986</v>
      </c>
      <c r="AC24" s="883">
        <f t="shared" si="12"/>
        <v>23.833333333333286</v>
      </c>
      <c r="AD24" s="884">
        <f t="shared" si="29"/>
        <v>14.999999999999986</v>
      </c>
      <c r="AE24" s="885">
        <f t="shared" si="13"/>
        <v>0</v>
      </c>
      <c r="AY24" s="873">
        <v>47</v>
      </c>
      <c r="AZ24" s="893">
        <v>0.8125</v>
      </c>
      <c r="BA24" s="888">
        <v>60</v>
      </c>
      <c r="BB24" s="876">
        <v>1</v>
      </c>
      <c r="BC24" s="889">
        <v>44.5</v>
      </c>
      <c r="BD24" s="875">
        <f t="shared" ref="BD24:BD25" si="178">BA24-BC24</f>
        <v>15.5</v>
      </c>
      <c r="BE24" s="878">
        <f t="shared" ref="BE24:BE25" si="179">BC24*1.1+3</f>
        <v>51.95</v>
      </c>
      <c r="BF24" s="879">
        <f t="shared" ref="BF24:BF25" si="180">MROUND(BE24,5)</f>
        <v>50</v>
      </c>
      <c r="BG24" s="878">
        <f t="shared" ref="BG24:BG25" si="181">BA24-BF24</f>
        <v>10</v>
      </c>
      <c r="BH24" s="880">
        <f t="shared" ref="BH24:BH25" si="182">AZ24+TIME(,BF24,)</f>
        <v>0.84722222222222221</v>
      </c>
      <c r="BI24" s="898">
        <v>0.8125</v>
      </c>
      <c r="BJ24" s="882">
        <f t="shared" ref="BJ24:BJ25" si="183">((BI24-AZ24)*86400)/60</f>
        <v>0</v>
      </c>
      <c r="BK24" s="883">
        <f t="shared" ref="BK24:BK25" si="184">BJ24-BC24</f>
        <v>-44.5</v>
      </c>
      <c r="BL24" s="884">
        <f t="shared" ref="BL24:BL25" si="185">BJ24-BF24</f>
        <v>-50</v>
      </c>
      <c r="BM24" s="885">
        <f t="shared" ref="BM24:BM25" si="186">BJ24-BA24</f>
        <v>-60</v>
      </c>
    </row>
    <row r="25" spans="1:65" ht="18.75" x14ac:dyDescent="0.3">
      <c r="A25" s="873">
        <v>7</v>
      </c>
      <c r="B25" s="874">
        <v>0.61111111111111116</v>
      </c>
      <c r="C25" s="875">
        <v>100</v>
      </c>
      <c r="D25" s="876">
        <v>5</v>
      </c>
      <c r="E25" s="889">
        <v>78.849999999999994</v>
      </c>
      <c r="F25" s="875">
        <f t="shared" si="37"/>
        <v>21.150000000000006</v>
      </c>
      <c r="G25" s="878">
        <f t="shared" si="0"/>
        <v>89.734999999999999</v>
      </c>
      <c r="H25" s="879">
        <f t="shared" si="1"/>
        <v>90</v>
      </c>
      <c r="I25" s="878">
        <f t="shared" si="2"/>
        <v>10</v>
      </c>
      <c r="J25" s="880">
        <f t="shared" si="3"/>
        <v>0.67361111111111116</v>
      </c>
      <c r="K25" s="881">
        <v>0.68055555555555558</v>
      </c>
      <c r="L25" s="882">
        <f t="shared" si="4"/>
        <v>99.999999999999972</v>
      </c>
      <c r="M25" s="883">
        <f t="shared" si="5"/>
        <v>21.149999999999977</v>
      </c>
      <c r="N25" s="884">
        <f t="shared" si="38"/>
        <v>9.9999999999999716</v>
      </c>
      <c r="O25" s="885">
        <f t="shared" si="6"/>
        <v>0</v>
      </c>
      <c r="P25" s="880"/>
      <c r="Q25" s="873" t="s">
        <v>727</v>
      </c>
      <c r="R25" s="893">
        <v>0.63888888888888884</v>
      </c>
      <c r="S25" s="888">
        <v>90</v>
      </c>
      <c r="T25" s="876">
        <v>5</v>
      </c>
      <c r="U25" s="889">
        <v>84.546666666666695</v>
      </c>
      <c r="V25" s="875">
        <f t="shared" si="28"/>
        <v>5.4533333333333047</v>
      </c>
      <c r="W25" s="878">
        <f t="shared" si="7"/>
        <v>96.001333333333378</v>
      </c>
      <c r="X25" s="879">
        <f t="shared" si="8"/>
        <v>95</v>
      </c>
      <c r="Y25" s="878">
        <f t="shared" si="9"/>
        <v>-5</v>
      </c>
      <c r="Z25" s="880">
        <f t="shared" si="10"/>
        <v>0.70486111111111105</v>
      </c>
      <c r="AA25" s="874">
        <v>0.71180555555555558</v>
      </c>
      <c r="AB25" s="882">
        <f t="shared" si="11"/>
        <v>105.0000000000001</v>
      </c>
      <c r="AC25" s="883">
        <f t="shared" si="12"/>
        <v>20.453333333333404</v>
      </c>
      <c r="AD25" s="884">
        <f t="shared" si="29"/>
        <v>10.000000000000099</v>
      </c>
      <c r="AE25" s="885">
        <f t="shared" si="13"/>
        <v>15.000000000000099</v>
      </c>
      <c r="AY25" s="873">
        <v>47</v>
      </c>
      <c r="AZ25" s="893">
        <v>0.84375</v>
      </c>
      <c r="BA25" s="888"/>
      <c r="BB25" s="876"/>
      <c r="BC25" s="877">
        <v>44</v>
      </c>
      <c r="BD25" s="875">
        <f t="shared" si="178"/>
        <v>-44</v>
      </c>
      <c r="BE25" s="878">
        <f t="shared" si="179"/>
        <v>51.400000000000006</v>
      </c>
      <c r="BF25" s="879">
        <f t="shared" si="180"/>
        <v>50</v>
      </c>
      <c r="BG25" s="878">
        <f t="shared" si="181"/>
        <v>-50</v>
      </c>
      <c r="BH25" s="880">
        <f t="shared" si="182"/>
        <v>0.87847222222222221</v>
      </c>
      <c r="BI25" s="874">
        <v>0.89583333333333337</v>
      </c>
      <c r="BJ25" s="882">
        <f t="shared" si="183"/>
        <v>75.000000000000057</v>
      </c>
      <c r="BK25" s="883">
        <f t="shared" si="184"/>
        <v>31.000000000000057</v>
      </c>
      <c r="BL25" s="884">
        <f t="shared" si="185"/>
        <v>25.000000000000057</v>
      </c>
      <c r="BM25" s="885">
        <f t="shared" si="186"/>
        <v>75.000000000000057</v>
      </c>
    </row>
    <row r="26" spans="1:65" ht="18.75" x14ac:dyDescent="0.3">
      <c r="A26" s="873" t="s">
        <v>727</v>
      </c>
      <c r="B26" s="874">
        <v>0.625</v>
      </c>
      <c r="C26" s="875">
        <v>100</v>
      </c>
      <c r="D26" s="876">
        <v>4</v>
      </c>
      <c r="E26" s="889">
        <v>75.1041666666667</v>
      </c>
      <c r="F26" s="875">
        <f t="shared" si="37"/>
        <v>24.8958333333333</v>
      </c>
      <c r="G26" s="878">
        <f t="shared" si="0"/>
        <v>85.614583333333371</v>
      </c>
      <c r="H26" s="879">
        <f t="shared" si="1"/>
        <v>85</v>
      </c>
      <c r="I26" s="878">
        <f t="shared" si="2"/>
        <v>15</v>
      </c>
      <c r="J26" s="880">
        <f t="shared" si="3"/>
        <v>0.68402777777777779</v>
      </c>
      <c r="K26" s="893">
        <v>0.69444444444444442</v>
      </c>
      <c r="L26" s="882">
        <f t="shared" si="4"/>
        <v>99.999999999999972</v>
      </c>
      <c r="M26" s="883">
        <f t="shared" si="5"/>
        <v>24.895833333333272</v>
      </c>
      <c r="N26" s="884">
        <f t="shared" si="38"/>
        <v>14.999999999999972</v>
      </c>
      <c r="O26" s="885">
        <f t="shared" si="6"/>
        <v>0</v>
      </c>
      <c r="P26" s="880"/>
      <c r="Q26" s="873">
        <v>7</v>
      </c>
      <c r="R26" s="881">
        <v>0.65277777777777779</v>
      </c>
      <c r="S26" s="888">
        <v>85</v>
      </c>
      <c r="T26" s="876">
        <v>5</v>
      </c>
      <c r="U26" s="889">
        <v>73.476666666666702</v>
      </c>
      <c r="V26" s="875">
        <f t="shared" si="28"/>
        <v>11.523333333333298</v>
      </c>
      <c r="W26" s="878">
        <f t="shared" si="7"/>
        <v>83.824333333333385</v>
      </c>
      <c r="X26" s="879">
        <f t="shared" si="8"/>
        <v>85</v>
      </c>
      <c r="Y26" s="878">
        <f t="shared" si="9"/>
        <v>0</v>
      </c>
      <c r="Z26" s="880">
        <f t="shared" si="10"/>
        <v>0.71180555555555558</v>
      </c>
      <c r="AA26" s="874">
        <v>0.72222222222222221</v>
      </c>
      <c r="AB26" s="882">
        <f t="shared" si="11"/>
        <v>99.999999999999972</v>
      </c>
      <c r="AC26" s="883">
        <f t="shared" si="12"/>
        <v>26.523333333333269</v>
      </c>
      <c r="AD26" s="884">
        <f t="shared" si="29"/>
        <v>14.999999999999972</v>
      </c>
      <c r="AE26" s="885">
        <f t="shared" si="13"/>
        <v>14.999999999999972</v>
      </c>
      <c r="AY26" s="873">
        <v>47</v>
      </c>
      <c r="AZ26" s="893">
        <v>0.85416666666666663</v>
      </c>
      <c r="BA26" s="888">
        <v>60</v>
      </c>
      <c r="BB26" s="876">
        <v>4</v>
      </c>
      <c r="BC26" s="889">
        <v>42.191666666666698</v>
      </c>
      <c r="BD26" s="875">
        <f t="shared" ref="BD26:BD29" si="187">BA26-BC26</f>
        <v>17.808333333333302</v>
      </c>
      <c r="BE26" s="878">
        <f t="shared" ref="BE26:BE29" si="188">BC26*1.1+3</f>
        <v>49.410833333333372</v>
      </c>
      <c r="BF26" s="879">
        <f t="shared" ref="BF26:BF29" si="189">MROUND(BE26,5)</f>
        <v>50</v>
      </c>
      <c r="BG26" s="878">
        <f t="shared" ref="BG26:BG29" si="190">BA26-BF26</f>
        <v>10</v>
      </c>
      <c r="BH26" s="880">
        <f t="shared" ref="BH26:BH29" si="191">AZ26+TIME(,BF26,)</f>
        <v>0.88888888888888884</v>
      </c>
      <c r="BI26" s="898">
        <v>0.85416666666666663</v>
      </c>
      <c r="BJ26" s="882">
        <f t="shared" ref="BJ26:BJ29" si="192">((BI26-AZ26)*86400)/60</f>
        <v>0</v>
      </c>
      <c r="BK26" s="883">
        <f t="shared" ref="BK26:BK29" si="193">BJ26-BC26</f>
        <v>-42.191666666666698</v>
      </c>
      <c r="BL26" s="884">
        <f t="shared" ref="BL26:BL29" si="194">BJ26-BF26</f>
        <v>-50</v>
      </c>
      <c r="BM26" s="885">
        <f t="shared" ref="BM26:BM29" si="195">BJ26-BA26</f>
        <v>-60</v>
      </c>
    </row>
    <row r="27" spans="1:65" ht="18.75" x14ac:dyDescent="0.3">
      <c r="A27" s="873">
        <v>7</v>
      </c>
      <c r="B27" s="874">
        <v>0.63888888888888884</v>
      </c>
      <c r="C27" s="875">
        <v>100</v>
      </c>
      <c r="D27" s="876">
        <v>5</v>
      </c>
      <c r="E27" s="889">
        <v>77.176666666666705</v>
      </c>
      <c r="F27" s="875">
        <f t="shared" si="37"/>
        <v>22.823333333333295</v>
      </c>
      <c r="G27" s="878">
        <f t="shared" si="0"/>
        <v>87.894333333333378</v>
      </c>
      <c r="H27" s="879">
        <f t="shared" si="1"/>
        <v>90</v>
      </c>
      <c r="I27" s="878">
        <f t="shared" si="2"/>
        <v>10</v>
      </c>
      <c r="J27" s="880">
        <f t="shared" si="3"/>
        <v>0.70138888888888884</v>
      </c>
      <c r="K27" s="881">
        <v>0.70833333333333337</v>
      </c>
      <c r="L27" s="882">
        <f t="shared" si="4"/>
        <v>100.00000000000013</v>
      </c>
      <c r="M27" s="883">
        <f t="shared" si="5"/>
        <v>22.823333333333423</v>
      </c>
      <c r="N27" s="884">
        <f t="shared" si="38"/>
        <v>10.000000000000128</v>
      </c>
      <c r="O27" s="885">
        <f t="shared" si="6"/>
        <v>1.2789769243681803E-13</v>
      </c>
      <c r="P27" s="890"/>
      <c r="Q27" s="873" t="s">
        <v>727</v>
      </c>
      <c r="R27" s="893">
        <v>0.66666666666666663</v>
      </c>
      <c r="S27" s="888">
        <v>80</v>
      </c>
      <c r="T27" s="876">
        <v>5</v>
      </c>
      <c r="U27" s="889">
        <v>74.52</v>
      </c>
      <c r="V27" s="875">
        <f t="shared" si="28"/>
        <v>5.480000000000004</v>
      </c>
      <c r="W27" s="878">
        <f t="shared" si="7"/>
        <v>84.972000000000008</v>
      </c>
      <c r="X27" s="879">
        <f t="shared" si="8"/>
        <v>85</v>
      </c>
      <c r="Y27" s="878">
        <f t="shared" si="9"/>
        <v>-5</v>
      </c>
      <c r="Z27" s="880">
        <f t="shared" si="10"/>
        <v>0.72569444444444442</v>
      </c>
      <c r="AA27" s="874">
        <v>0.73611111111111116</v>
      </c>
      <c r="AB27" s="882">
        <f t="shared" si="11"/>
        <v>100.00000000000013</v>
      </c>
      <c r="AC27" s="883">
        <f t="shared" si="12"/>
        <v>25.480000000000132</v>
      </c>
      <c r="AD27" s="884">
        <f t="shared" si="29"/>
        <v>15.000000000000128</v>
      </c>
      <c r="AE27" s="885">
        <f t="shared" si="13"/>
        <v>20.000000000000128</v>
      </c>
      <c r="AY27" s="873">
        <v>47</v>
      </c>
      <c r="AZ27" s="893">
        <v>0.89583333333333337</v>
      </c>
      <c r="BA27" s="888">
        <v>60</v>
      </c>
      <c r="BB27" s="876">
        <v>5</v>
      </c>
      <c r="BC27" s="889">
        <v>44.073333333333302</v>
      </c>
      <c r="BD27" s="875">
        <f t="shared" si="187"/>
        <v>15.926666666666698</v>
      </c>
      <c r="BE27" s="878">
        <f t="shared" si="188"/>
        <v>51.480666666666636</v>
      </c>
      <c r="BF27" s="879">
        <f t="shared" si="189"/>
        <v>50</v>
      </c>
      <c r="BG27" s="878">
        <f t="shared" si="190"/>
        <v>10</v>
      </c>
      <c r="BH27" s="880">
        <f t="shared" si="191"/>
        <v>0.93055555555555558</v>
      </c>
      <c r="BI27" s="874">
        <v>0.937500000000001</v>
      </c>
      <c r="BJ27" s="882">
        <f t="shared" si="192"/>
        <v>60.000000000001386</v>
      </c>
      <c r="BK27" s="883">
        <f t="shared" si="193"/>
        <v>15.926666666668083</v>
      </c>
      <c r="BL27" s="884">
        <f t="shared" si="194"/>
        <v>10.000000000001386</v>
      </c>
      <c r="BM27" s="885">
        <f t="shared" si="195"/>
        <v>1.3855583347321954E-12</v>
      </c>
    </row>
    <row r="28" spans="1:65" ht="18.75" x14ac:dyDescent="0.3">
      <c r="A28" s="873" t="s">
        <v>727</v>
      </c>
      <c r="B28" s="874">
        <v>0.65277777777777779</v>
      </c>
      <c r="C28" s="875">
        <v>100</v>
      </c>
      <c r="D28" s="876">
        <v>4</v>
      </c>
      <c r="E28" s="889">
        <v>84.3125</v>
      </c>
      <c r="F28" s="875">
        <f t="shared" si="37"/>
        <v>15.6875</v>
      </c>
      <c r="G28" s="878">
        <f t="shared" si="0"/>
        <v>95.743750000000006</v>
      </c>
      <c r="H28" s="879">
        <f t="shared" si="1"/>
        <v>95</v>
      </c>
      <c r="I28" s="878">
        <f t="shared" si="2"/>
        <v>5</v>
      </c>
      <c r="J28" s="890">
        <f t="shared" si="3"/>
        <v>0.71875</v>
      </c>
      <c r="K28" s="893">
        <v>0.72222222222222221</v>
      </c>
      <c r="L28" s="882">
        <f t="shared" si="4"/>
        <v>99.999999999999972</v>
      </c>
      <c r="M28" s="883">
        <f t="shared" si="5"/>
        <v>15.687499999999972</v>
      </c>
      <c r="N28" s="884">
        <f t="shared" si="38"/>
        <v>4.9999999999999716</v>
      </c>
      <c r="O28" s="885">
        <f t="shared" si="6"/>
        <v>0</v>
      </c>
      <c r="P28" s="880"/>
      <c r="Q28" s="873">
        <v>7</v>
      </c>
      <c r="R28" s="881">
        <v>0.68055555555555547</v>
      </c>
      <c r="S28" s="888">
        <v>80</v>
      </c>
      <c r="T28" s="876">
        <v>4</v>
      </c>
      <c r="U28" s="889">
        <v>71.129166666666606</v>
      </c>
      <c r="V28" s="875">
        <f t="shared" si="28"/>
        <v>8.870833333333394</v>
      </c>
      <c r="W28" s="878">
        <f t="shared" si="7"/>
        <v>81.242083333333269</v>
      </c>
      <c r="X28" s="879">
        <f t="shared" si="8"/>
        <v>80</v>
      </c>
      <c r="Y28" s="878">
        <f t="shared" si="9"/>
        <v>0</v>
      </c>
      <c r="Z28" s="880">
        <f t="shared" si="10"/>
        <v>0.73611111111111105</v>
      </c>
      <c r="AA28" s="874">
        <v>0.75</v>
      </c>
      <c r="AB28" s="882">
        <f t="shared" si="11"/>
        <v>100.00000000000013</v>
      </c>
      <c r="AC28" s="883">
        <f t="shared" si="12"/>
        <v>28.870833333333522</v>
      </c>
      <c r="AD28" s="884">
        <f t="shared" si="29"/>
        <v>20.000000000000128</v>
      </c>
      <c r="AE28" s="885">
        <f t="shared" si="13"/>
        <v>20.000000000000128</v>
      </c>
      <c r="AY28" s="873">
        <v>47</v>
      </c>
      <c r="AZ28" s="893">
        <v>0.9375</v>
      </c>
      <c r="BA28" s="888">
        <v>60</v>
      </c>
      <c r="BB28" s="876">
        <v>5</v>
      </c>
      <c r="BC28" s="889">
        <v>39.1666666666667</v>
      </c>
      <c r="BD28" s="875">
        <f t="shared" si="187"/>
        <v>20.8333333333333</v>
      </c>
      <c r="BE28" s="878">
        <f t="shared" si="188"/>
        <v>46.083333333333371</v>
      </c>
      <c r="BF28" s="879">
        <f t="shared" si="189"/>
        <v>45</v>
      </c>
      <c r="BG28" s="878">
        <f t="shared" si="190"/>
        <v>15</v>
      </c>
      <c r="BH28" s="880">
        <f t="shared" si="191"/>
        <v>0.96875</v>
      </c>
      <c r="BI28" s="874">
        <v>0.97916666666666696</v>
      </c>
      <c r="BJ28" s="882">
        <f t="shared" si="192"/>
        <v>60.000000000000426</v>
      </c>
      <c r="BK28" s="883">
        <f t="shared" si="193"/>
        <v>20.833333333333727</v>
      </c>
      <c r="BL28" s="884">
        <f t="shared" si="194"/>
        <v>15.000000000000426</v>
      </c>
      <c r="BM28" s="885">
        <f t="shared" si="195"/>
        <v>4.2632564145606011E-13</v>
      </c>
    </row>
    <row r="29" spans="1:65" ht="18.75" x14ac:dyDescent="0.3">
      <c r="A29" s="873">
        <v>7</v>
      </c>
      <c r="B29" s="874">
        <v>0.66666666666666663</v>
      </c>
      <c r="C29" s="875">
        <v>100</v>
      </c>
      <c r="D29" s="876">
        <v>4</v>
      </c>
      <c r="E29" s="889">
        <v>74.6875</v>
      </c>
      <c r="F29" s="875">
        <f t="shared" si="37"/>
        <v>25.3125</v>
      </c>
      <c r="G29" s="878">
        <f t="shared" si="0"/>
        <v>85.15625</v>
      </c>
      <c r="H29" s="879">
        <f t="shared" si="1"/>
        <v>85</v>
      </c>
      <c r="I29" s="878">
        <f t="shared" si="2"/>
        <v>15</v>
      </c>
      <c r="J29" s="880">
        <f t="shared" si="3"/>
        <v>0.72569444444444442</v>
      </c>
      <c r="K29" s="881">
        <v>0.73611111111111116</v>
      </c>
      <c r="L29" s="882">
        <f t="shared" si="4"/>
        <v>100.00000000000013</v>
      </c>
      <c r="M29" s="883">
        <f t="shared" si="5"/>
        <v>25.312500000000128</v>
      </c>
      <c r="N29" s="884">
        <f t="shared" si="38"/>
        <v>15.000000000000128</v>
      </c>
      <c r="O29" s="885">
        <f t="shared" si="6"/>
        <v>1.2789769243681803E-13</v>
      </c>
      <c r="P29" s="880"/>
      <c r="Q29" s="873" t="s">
        <v>727</v>
      </c>
      <c r="R29" s="893">
        <v>0.69444444444444442</v>
      </c>
      <c r="S29" s="888">
        <v>80</v>
      </c>
      <c r="T29" s="876">
        <v>4</v>
      </c>
      <c r="U29" s="889">
        <v>89.6875</v>
      </c>
      <c r="V29" s="875">
        <f t="shared" si="28"/>
        <v>-9.6875</v>
      </c>
      <c r="W29" s="878">
        <f t="shared" si="7"/>
        <v>101.65625000000001</v>
      </c>
      <c r="X29" s="879">
        <f t="shared" si="8"/>
        <v>100</v>
      </c>
      <c r="Y29" s="878">
        <f t="shared" si="9"/>
        <v>-20</v>
      </c>
      <c r="Z29" s="880">
        <f t="shared" si="10"/>
        <v>0.76388888888888884</v>
      </c>
      <c r="AA29" s="874">
        <v>0.76388888888888884</v>
      </c>
      <c r="AB29" s="882">
        <f t="shared" si="11"/>
        <v>99.999999999999972</v>
      </c>
      <c r="AC29" s="883">
        <f t="shared" si="12"/>
        <v>10.312499999999972</v>
      </c>
      <c r="AD29" s="884">
        <f t="shared" si="29"/>
        <v>0</v>
      </c>
      <c r="AE29" s="885">
        <f t="shared" si="13"/>
        <v>19.999999999999972</v>
      </c>
      <c r="AY29" s="873">
        <v>47</v>
      </c>
      <c r="AZ29" s="893">
        <v>0.97916666666666663</v>
      </c>
      <c r="BA29" s="888">
        <v>50</v>
      </c>
      <c r="BB29" s="876">
        <v>5</v>
      </c>
      <c r="BC29" s="889">
        <v>35.590000000000003</v>
      </c>
      <c r="BD29" s="875">
        <f t="shared" si="187"/>
        <v>14.409999999999997</v>
      </c>
      <c r="BE29" s="878">
        <f t="shared" si="188"/>
        <v>42.149000000000008</v>
      </c>
      <c r="BF29" s="879">
        <f t="shared" si="189"/>
        <v>40</v>
      </c>
      <c r="BG29" s="878">
        <f t="shared" si="190"/>
        <v>10</v>
      </c>
      <c r="BH29" s="880">
        <f t="shared" si="191"/>
        <v>1.0069444444444444</v>
      </c>
      <c r="BI29" s="895">
        <v>1.0208333333333333</v>
      </c>
      <c r="BJ29" s="882">
        <f t="shared" si="192"/>
        <v>59.99999999999995</v>
      </c>
      <c r="BK29" s="883">
        <f t="shared" si="193"/>
        <v>24.409999999999947</v>
      </c>
      <c r="BL29" s="884">
        <f t="shared" si="194"/>
        <v>19.99999999999995</v>
      </c>
      <c r="BM29" s="885">
        <f t="shared" si="195"/>
        <v>9.9999999999999503</v>
      </c>
    </row>
    <row r="30" spans="1:65" ht="18.75" x14ac:dyDescent="0.3">
      <c r="A30" s="873" t="s">
        <v>727</v>
      </c>
      <c r="B30" s="874">
        <v>0.68055555555555558</v>
      </c>
      <c r="C30" s="875">
        <v>100</v>
      </c>
      <c r="D30" s="876">
        <v>2</v>
      </c>
      <c r="E30" s="889">
        <v>72.258333333333297</v>
      </c>
      <c r="F30" s="875">
        <f t="shared" si="37"/>
        <v>27.741666666666703</v>
      </c>
      <c r="G30" s="878">
        <f t="shared" si="0"/>
        <v>82.484166666666638</v>
      </c>
      <c r="H30" s="879">
        <f t="shared" si="1"/>
        <v>80</v>
      </c>
      <c r="I30" s="878">
        <f t="shared" si="2"/>
        <v>20</v>
      </c>
      <c r="J30" s="880">
        <f t="shared" si="3"/>
        <v>0.73611111111111116</v>
      </c>
      <c r="K30" s="893">
        <v>0.75</v>
      </c>
      <c r="L30" s="882">
        <f t="shared" si="4"/>
        <v>99.999999999999972</v>
      </c>
      <c r="M30" s="883">
        <f t="shared" si="5"/>
        <v>27.741666666666674</v>
      </c>
      <c r="N30" s="884">
        <f t="shared" si="38"/>
        <v>19.999999999999972</v>
      </c>
      <c r="O30" s="885">
        <f t="shared" si="6"/>
        <v>0</v>
      </c>
      <c r="P30" s="880"/>
      <c r="Q30" s="873">
        <v>7</v>
      </c>
      <c r="R30" s="881">
        <v>0.70833333333333337</v>
      </c>
      <c r="S30" s="888">
        <v>80</v>
      </c>
      <c r="T30" s="876">
        <v>4</v>
      </c>
      <c r="U30" s="889">
        <v>70.974999999999994</v>
      </c>
      <c r="V30" s="875">
        <f t="shared" si="28"/>
        <v>9.0250000000000057</v>
      </c>
      <c r="W30" s="878">
        <f t="shared" si="7"/>
        <v>81.072500000000005</v>
      </c>
      <c r="X30" s="879">
        <f t="shared" si="8"/>
        <v>80</v>
      </c>
      <c r="Y30" s="878">
        <f t="shared" si="9"/>
        <v>0</v>
      </c>
      <c r="Z30" s="880">
        <f t="shared" si="10"/>
        <v>0.76388888888888895</v>
      </c>
      <c r="AA30" s="895">
        <v>0.7631944444444444</v>
      </c>
      <c r="AB30" s="882">
        <f t="shared" si="11"/>
        <v>78.999999999999872</v>
      </c>
      <c r="AC30" s="883">
        <f t="shared" si="12"/>
        <v>8.0249999999998778</v>
      </c>
      <c r="AD30" s="884">
        <f t="shared" si="29"/>
        <v>-1.0000000000001279</v>
      </c>
      <c r="AE30" s="885">
        <f t="shared" si="13"/>
        <v>-1.0000000000001279</v>
      </c>
    </row>
    <row r="31" spans="1:65" ht="18.75" x14ac:dyDescent="0.3">
      <c r="A31" s="873">
        <v>7</v>
      </c>
      <c r="B31" s="874">
        <v>0.69097222222222221</v>
      </c>
      <c r="C31" s="875">
        <v>105</v>
      </c>
      <c r="D31" s="876">
        <v>3</v>
      </c>
      <c r="E31" s="889">
        <v>75.966666666666697</v>
      </c>
      <c r="F31" s="875">
        <f t="shared" si="37"/>
        <v>29.033333333333303</v>
      </c>
      <c r="G31" s="878">
        <f t="shared" si="0"/>
        <v>86.563333333333375</v>
      </c>
      <c r="H31" s="879">
        <f t="shared" si="1"/>
        <v>85</v>
      </c>
      <c r="I31" s="878">
        <f t="shared" si="2"/>
        <v>20</v>
      </c>
      <c r="J31" s="880">
        <f t="shared" si="3"/>
        <v>0.75</v>
      </c>
      <c r="K31" s="881">
        <v>0.76388888888888884</v>
      </c>
      <c r="L31" s="882">
        <f t="shared" si="4"/>
        <v>104.99999999999994</v>
      </c>
      <c r="M31" s="883">
        <f t="shared" si="5"/>
        <v>29.033333333333246</v>
      </c>
      <c r="N31" s="884">
        <f t="shared" si="38"/>
        <v>19.999999999999943</v>
      </c>
      <c r="O31" s="885">
        <f t="shared" si="6"/>
        <v>0</v>
      </c>
      <c r="P31" s="880"/>
      <c r="Q31" s="873" t="s">
        <v>727</v>
      </c>
      <c r="R31" s="893">
        <v>0.72222222222222221</v>
      </c>
      <c r="S31" s="888">
        <v>80</v>
      </c>
      <c r="T31" s="876">
        <v>4</v>
      </c>
      <c r="U31" s="889">
        <v>75.1041666666667</v>
      </c>
      <c r="V31" s="875">
        <f t="shared" si="28"/>
        <v>4.8958333333333002</v>
      </c>
      <c r="W31" s="878">
        <f t="shared" si="7"/>
        <v>85.614583333333371</v>
      </c>
      <c r="X31" s="879">
        <f t="shared" si="8"/>
        <v>85</v>
      </c>
      <c r="Y31" s="878">
        <f t="shared" si="9"/>
        <v>-5</v>
      </c>
      <c r="Z31" s="880">
        <f t="shared" si="10"/>
        <v>0.78125</v>
      </c>
      <c r="AA31" s="874">
        <v>0.77777777777777779</v>
      </c>
      <c r="AB31" s="882">
        <f t="shared" si="11"/>
        <v>80.000000000000028</v>
      </c>
      <c r="AC31" s="883">
        <f t="shared" si="12"/>
        <v>4.8958333333333286</v>
      </c>
      <c r="AD31" s="884">
        <f t="shared" si="29"/>
        <v>-4.9999999999999716</v>
      </c>
      <c r="AE31" s="885">
        <f t="shared" si="13"/>
        <v>0</v>
      </c>
    </row>
    <row r="32" spans="1:65" ht="18.75" x14ac:dyDescent="0.3">
      <c r="A32" s="873" t="s">
        <v>727</v>
      </c>
      <c r="B32" s="874">
        <v>0.70138888888888884</v>
      </c>
      <c r="C32" s="875">
        <v>85</v>
      </c>
      <c r="D32" s="876">
        <v>5</v>
      </c>
      <c r="E32" s="889">
        <v>74.253333333333302</v>
      </c>
      <c r="F32" s="875">
        <f t="shared" si="37"/>
        <v>10.746666666666698</v>
      </c>
      <c r="G32" s="878">
        <f t="shared" si="0"/>
        <v>84.678666666666643</v>
      </c>
      <c r="H32" s="879">
        <f t="shared" si="1"/>
        <v>85</v>
      </c>
      <c r="I32" s="878">
        <f t="shared" si="2"/>
        <v>0</v>
      </c>
      <c r="J32" s="880">
        <f t="shared" si="3"/>
        <v>0.76041666666666663</v>
      </c>
      <c r="K32" s="893">
        <v>0.77777777777777779</v>
      </c>
      <c r="L32" s="882">
        <f t="shared" si="4"/>
        <v>110.00000000000009</v>
      </c>
      <c r="M32" s="883">
        <f t="shared" si="5"/>
        <v>35.746666666666783</v>
      </c>
      <c r="N32" s="884">
        <f t="shared" si="38"/>
        <v>25.000000000000085</v>
      </c>
      <c r="O32" s="885">
        <f t="shared" si="6"/>
        <v>25.000000000000085</v>
      </c>
      <c r="P32" s="880"/>
      <c r="Q32" s="873">
        <v>7</v>
      </c>
      <c r="R32" s="881">
        <v>0.73611111111111116</v>
      </c>
      <c r="S32" s="888">
        <v>80</v>
      </c>
      <c r="T32" s="876">
        <v>2</v>
      </c>
      <c r="U32" s="889">
        <v>67.525000000000006</v>
      </c>
      <c r="V32" s="875">
        <f t="shared" si="28"/>
        <v>12.474999999999994</v>
      </c>
      <c r="W32" s="878">
        <f t="shared" si="7"/>
        <v>77.277500000000018</v>
      </c>
      <c r="X32" s="879">
        <f t="shared" si="8"/>
        <v>75</v>
      </c>
      <c r="Y32" s="878">
        <f t="shared" si="9"/>
        <v>5</v>
      </c>
      <c r="Z32" s="880">
        <f t="shared" si="10"/>
        <v>0.78819444444444453</v>
      </c>
      <c r="AA32" s="874">
        <v>0.79166666666666663</v>
      </c>
      <c r="AB32" s="882">
        <f t="shared" si="11"/>
        <v>79.999999999999872</v>
      </c>
      <c r="AC32" s="883">
        <f t="shared" si="12"/>
        <v>12.474999999999866</v>
      </c>
      <c r="AD32" s="884">
        <f t="shared" si="29"/>
        <v>4.9999999999998721</v>
      </c>
      <c r="AE32" s="885">
        <f t="shared" si="13"/>
        <v>-1.2789769243681803E-13</v>
      </c>
    </row>
    <row r="33" spans="1:31" ht="18.75" x14ac:dyDescent="0.3">
      <c r="A33" s="873">
        <v>7</v>
      </c>
      <c r="B33" s="874">
        <v>0.71180555555555547</v>
      </c>
      <c r="C33" s="875">
        <v>90</v>
      </c>
      <c r="D33" s="876">
        <v>5</v>
      </c>
      <c r="E33" s="889">
        <v>72.363333333333301</v>
      </c>
      <c r="F33" s="875">
        <f t="shared" si="37"/>
        <v>17.636666666666699</v>
      </c>
      <c r="G33" s="878">
        <f t="shared" si="0"/>
        <v>82.599666666666636</v>
      </c>
      <c r="H33" s="879">
        <f t="shared" si="1"/>
        <v>85</v>
      </c>
      <c r="I33" s="878">
        <f t="shared" si="2"/>
        <v>5</v>
      </c>
      <c r="J33" s="880">
        <f t="shared" si="3"/>
        <v>0.77083333333333326</v>
      </c>
      <c r="K33" s="895">
        <v>0.76666666666666672</v>
      </c>
      <c r="L33" s="882">
        <f t="shared" si="4"/>
        <v>79.000000000000199</v>
      </c>
      <c r="M33" s="883">
        <f t="shared" si="5"/>
        <v>6.6366666666668976</v>
      </c>
      <c r="N33" s="884">
        <f t="shared" si="38"/>
        <v>-5.999999999999801</v>
      </c>
      <c r="O33" s="885">
        <f t="shared" si="6"/>
        <v>-10.999999999999801</v>
      </c>
      <c r="P33" s="904"/>
      <c r="Q33" s="873" t="s">
        <v>727</v>
      </c>
      <c r="R33" s="893">
        <v>0.75</v>
      </c>
      <c r="S33" s="888">
        <v>80</v>
      </c>
      <c r="T33" s="876">
        <v>5</v>
      </c>
      <c r="U33" s="889">
        <v>60.11</v>
      </c>
      <c r="V33" s="875">
        <f t="shared" si="28"/>
        <v>19.89</v>
      </c>
      <c r="W33" s="878">
        <f t="shared" si="7"/>
        <v>69.121000000000009</v>
      </c>
      <c r="X33" s="879">
        <f t="shared" si="8"/>
        <v>70</v>
      </c>
      <c r="Y33" s="878">
        <f t="shared" si="9"/>
        <v>10</v>
      </c>
      <c r="Z33" s="880">
        <f t="shared" si="10"/>
        <v>0.79861111111111116</v>
      </c>
      <c r="AA33" s="874">
        <v>0.80555555555555558</v>
      </c>
      <c r="AB33" s="882">
        <f t="shared" si="11"/>
        <v>80.000000000000028</v>
      </c>
      <c r="AC33" s="883">
        <f t="shared" si="12"/>
        <v>19.890000000000029</v>
      </c>
      <c r="AD33" s="884">
        <f t="shared" si="29"/>
        <v>10.000000000000028</v>
      </c>
      <c r="AE33" s="885">
        <f t="shared" si="13"/>
        <v>0</v>
      </c>
    </row>
    <row r="34" spans="1:31" ht="18.75" x14ac:dyDescent="0.3">
      <c r="A34" s="873" t="s">
        <v>727</v>
      </c>
      <c r="B34" s="874">
        <v>0.72222222222222221</v>
      </c>
      <c r="C34" s="875">
        <v>80</v>
      </c>
      <c r="D34" s="876">
        <v>5</v>
      </c>
      <c r="E34" s="889">
        <v>72.116666666666703</v>
      </c>
      <c r="F34" s="875">
        <f t="shared" si="37"/>
        <v>7.8833333333332973</v>
      </c>
      <c r="G34" s="878">
        <f t="shared" si="0"/>
        <v>82.328333333333376</v>
      </c>
      <c r="H34" s="879">
        <f t="shared" si="1"/>
        <v>80</v>
      </c>
      <c r="I34" s="878">
        <f t="shared" si="2"/>
        <v>0</v>
      </c>
      <c r="J34" s="880">
        <f t="shared" si="3"/>
        <v>0.77777777777777779</v>
      </c>
      <c r="K34" s="895">
        <v>0.78055555555555556</v>
      </c>
      <c r="L34" s="882">
        <f t="shared" si="4"/>
        <v>84.000000000000014</v>
      </c>
      <c r="M34" s="883">
        <f t="shared" si="5"/>
        <v>11.883333333333312</v>
      </c>
      <c r="N34" s="884">
        <f t="shared" si="38"/>
        <v>4.0000000000000142</v>
      </c>
      <c r="O34" s="885">
        <f t="shared" si="6"/>
        <v>4.0000000000000142</v>
      </c>
      <c r="P34" s="880"/>
      <c r="Q34" s="873">
        <v>7</v>
      </c>
      <c r="R34" s="881">
        <v>0.76388888888888884</v>
      </c>
      <c r="S34" s="888">
        <v>80</v>
      </c>
      <c r="T34" s="876">
        <v>5</v>
      </c>
      <c r="U34" s="889">
        <v>56.956666666666699</v>
      </c>
      <c r="V34" s="875">
        <f t="shared" si="28"/>
        <v>23.043333333333301</v>
      </c>
      <c r="W34" s="878">
        <f t="shared" si="7"/>
        <v>65.652333333333374</v>
      </c>
      <c r="X34" s="879">
        <f t="shared" si="8"/>
        <v>65</v>
      </c>
      <c r="Y34" s="878">
        <f t="shared" si="9"/>
        <v>15</v>
      </c>
      <c r="Z34" s="880">
        <f t="shared" si="10"/>
        <v>0.80902777777777768</v>
      </c>
      <c r="AA34" s="874">
        <v>0.81944444444444442</v>
      </c>
      <c r="AB34" s="882">
        <f t="shared" si="11"/>
        <v>80.000000000000028</v>
      </c>
      <c r="AC34" s="883">
        <f t="shared" si="12"/>
        <v>23.043333333333329</v>
      </c>
      <c r="AD34" s="884">
        <f t="shared" si="29"/>
        <v>15.000000000000028</v>
      </c>
      <c r="AE34" s="885">
        <f t="shared" si="13"/>
        <v>0</v>
      </c>
    </row>
    <row r="35" spans="1:31" ht="18.75" x14ac:dyDescent="0.3">
      <c r="A35" s="873">
        <v>7</v>
      </c>
      <c r="B35" s="874">
        <v>0.73611111111111116</v>
      </c>
      <c r="C35" s="875">
        <v>80</v>
      </c>
      <c r="D35" s="876">
        <v>2</v>
      </c>
      <c r="E35" s="889">
        <v>69.316666666666706</v>
      </c>
      <c r="F35" s="875">
        <f t="shared" si="37"/>
        <v>10.683333333333294</v>
      </c>
      <c r="G35" s="878">
        <f t="shared" si="0"/>
        <v>79.248333333333377</v>
      </c>
      <c r="H35" s="879">
        <f t="shared" si="1"/>
        <v>80</v>
      </c>
      <c r="I35" s="878">
        <f t="shared" si="2"/>
        <v>0</v>
      </c>
      <c r="J35" s="880">
        <f t="shared" si="3"/>
        <v>0.79166666666666674</v>
      </c>
      <c r="K35" s="881">
        <v>0.79166666666666663</v>
      </c>
      <c r="L35" s="882">
        <f t="shared" si="4"/>
        <v>79.999999999999872</v>
      </c>
      <c r="M35" s="883">
        <f t="shared" si="5"/>
        <v>10.683333333333167</v>
      </c>
      <c r="N35" s="884">
        <f t="shared" si="38"/>
        <v>-1.2789769243681803E-13</v>
      </c>
      <c r="O35" s="885">
        <f t="shared" si="6"/>
        <v>-1.2789769243681803E-13</v>
      </c>
      <c r="P35" s="880"/>
      <c r="Q35" s="873" t="s">
        <v>727</v>
      </c>
      <c r="R35" s="893">
        <v>0.77777777777777779</v>
      </c>
      <c r="S35" s="888">
        <v>75</v>
      </c>
      <c r="T35" s="876">
        <v>4</v>
      </c>
      <c r="U35" s="889">
        <v>60.029166666666697</v>
      </c>
      <c r="V35" s="875">
        <f t="shared" si="28"/>
        <v>14.970833333333303</v>
      </c>
      <c r="W35" s="878">
        <f t="shared" si="7"/>
        <v>69.032083333333375</v>
      </c>
      <c r="X35" s="879">
        <f t="shared" si="8"/>
        <v>70</v>
      </c>
      <c r="Y35" s="878">
        <f t="shared" si="9"/>
        <v>5</v>
      </c>
      <c r="Z35" s="880">
        <f t="shared" si="10"/>
        <v>0.82638888888888895</v>
      </c>
      <c r="AA35" s="874">
        <v>0.82986111111111116</v>
      </c>
      <c r="AB35" s="882">
        <f t="shared" si="11"/>
        <v>75.000000000000057</v>
      </c>
      <c r="AC35" s="883">
        <f t="shared" si="12"/>
        <v>14.97083333333336</v>
      </c>
      <c r="AD35" s="884">
        <f t="shared" si="29"/>
        <v>5.0000000000000568</v>
      </c>
      <c r="AE35" s="885">
        <f t="shared" si="13"/>
        <v>0</v>
      </c>
    </row>
    <row r="36" spans="1:31" ht="18.75" x14ac:dyDescent="0.3">
      <c r="A36" s="873" t="s">
        <v>727</v>
      </c>
      <c r="B36" s="874">
        <v>0.75</v>
      </c>
      <c r="C36" s="875">
        <v>80</v>
      </c>
      <c r="D36" s="876">
        <v>3</v>
      </c>
      <c r="E36" s="889">
        <v>69.650000000000006</v>
      </c>
      <c r="F36" s="875">
        <f t="shared" si="37"/>
        <v>10.349999999999994</v>
      </c>
      <c r="G36" s="878">
        <f t="shared" si="0"/>
        <v>79.615000000000009</v>
      </c>
      <c r="H36" s="879">
        <f t="shared" si="1"/>
        <v>80</v>
      </c>
      <c r="I36" s="878">
        <f t="shared" si="2"/>
        <v>0</v>
      </c>
      <c r="J36" s="880">
        <f t="shared" si="3"/>
        <v>0.80555555555555558</v>
      </c>
      <c r="K36" s="893">
        <v>0.80555555555555558</v>
      </c>
      <c r="L36" s="882">
        <f t="shared" si="4"/>
        <v>80.000000000000028</v>
      </c>
      <c r="M36" s="883">
        <f t="shared" si="5"/>
        <v>10.350000000000023</v>
      </c>
      <c r="N36" s="884">
        <f t="shared" si="38"/>
        <v>0</v>
      </c>
      <c r="O36" s="885">
        <f t="shared" si="6"/>
        <v>0</v>
      </c>
      <c r="P36" s="880"/>
      <c r="Q36" s="873">
        <v>7</v>
      </c>
      <c r="R36" s="881">
        <v>0.79166666666666663</v>
      </c>
      <c r="S36" s="888">
        <v>70</v>
      </c>
      <c r="T36" s="876">
        <v>5</v>
      </c>
      <c r="U36" s="889">
        <v>56.44</v>
      </c>
      <c r="V36" s="875">
        <f t="shared" si="28"/>
        <v>13.560000000000002</v>
      </c>
      <c r="W36" s="878">
        <f t="shared" si="7"/>
        <v>65.084000000000003</v>
      </c>
      <c r="X36" s="879">
        <f t="shared" si="8"/>
        <v>65</v>
      </c>
      <c r="Y36" s="878">
        <f t="shared" si="9"/>
        <v>5</v>
      </c>
      <c r="Z36" s="880">
        <f t="shared" si="10"/>
        <v>0.83680555555555547</v>
      </c>
      <c r="AA36" s="874">
        <v>0.84027777777777779</v>
      </c>
      <c r="AB36" s="882">
        <f t="shared" si="11"/>
        <v>70.000000000000071</v>
      </c>
      <c r="AC36" s="883">
        <f t="shared" si="12"/>
        <v>13.560000000000073</v>
      </c>
      <c r="AD36" s="884">
        <f t="shared" si="29"/>
        <v>5.0000000000000711</v>
      </c>
      <c r="AE36" s="885">
        <f t="shared" si="13"/>
        <v>0</v>
      </c>
    </row>
    <row r="37" spans="1:31" ht="18.75" x14ac:dyDescent="0.3">
      <c r="A37" s="873">
        <v>7</v>
      </c>
      <c r="B37" s="874">
        <v>0.76388888888888884</v>
      </c>
      <c r="C37" s="875">
        <v>80</v>
      </c>
      <c r="D37" s="876">
        <v>5</v>
      </c>
      <c r="E37" s="889">
        <v>66.516666666666694</v>
      </c>
      <c r="F37" s="875">
        <f t="shared" si="37"/>
        <v>13.483333333333306</v>
      </c>
      <c r="G37" s="878">
        <f t="shared" si="0"/>
        <v>76.168333333333365</v>
      </c>
      <c r="H37" s="879">
        <f t="shared" si="1"/>
        <v>75</v>
      </c>
      <c r="I37" s="878">
        <f t="shared" si="2"/>
        <v>5</v>
      </c>
      <c r="J37" s="880">
        <f t="shared" si="3"/>
        <v>0.81597222222222221</v>
      </c>
      <c r="K37" s="881">
        <v>0.81944444444444442</v>
      </c>
      <c r="L37" s="882">
        <f t="shared" si="4"/>
        <v>80.000000000000028</v>
      </c>
      <c r="M37" s="883">
        <f t="shared" si="5"/>
        <v>13.483333333333334</v>
      </c>
      <c r="N37" s="884">
        <f t="shared" si="38"/>
        <v>5.0000000000000284</v>
      </c>
      <c r="O37" s="885">
        <f t="shared" si="6"/>
        <v>0</v>
      </c>
      <c r="P37" s="880"/>
      <c r="Q37" s="873" t="s">
        <v>727</v>
      </c>
      <c r="R37" s="893">
        <v>0.80555555555555558</v>
      </c>
      <c r="S37" s="888">
        <v>65</v>
      </c>
      <c r="T37" s="876">
        <v>4</v>
      </c>
      <c r="U37" s="889">
        <v>62.6666666666667</v>
      </c>
      <c r="V37" s="875">
        <f t="shared" si="28"/>
        <v>2.3333333333333002</v>
      </c>
      <c r="W37" s="878">
        <f t="shared" si="7"/>
        <v>71.93333333333338</v>
      </c>
      <c r="X37" s="879">
        <f t="shared" si="8"/>
        <v>70</v>
      </c>
      <c r="Y37" s="878">
        <f t="shared" si="9"/>
        <v>-5</v>
      </c>
      <c r="Z37" s="880">
        <f t="shared" si="10"/>
        <v>0.85416666666666674</v>
      </c>
      <c r="AA37" s="874">
        <v>0.85069444444444442</v>
      </c>
      <c r="AB37" s="882">
        <f t="shared" si="11"/>
        <v>64.999999999999929</v>
      </c>
      <c r="AC37" s="883">
        <f t="shared" si="12"/>
        <v>2.3333333333332291</v>
      </c>
      <c r="AD37" s="884">
        <f t="shared" si="29"/>
        <v>-5.0000000000000711</v>
      </c>
      <c r="AE37" s="885">
        <f t="shared" si="13"/>
        <v>0</v>
      </c>
    </row>
    <row r="38" spans="1:31" ht="18.75" x14ac:dyDescent="0.3">
      <c r="A38" s="873" t="s">
        <v>727</v>
      </c>
      <c r="B38" s="874">
        <v>0.77777777777777779</v>
      </c>
      <c r="C38" s="875">
        <v>80</v>
      </c>
      <c r="D38" s="876">
        <v>1</v>
      </c>
      <c r="E38" s="889">
        <v>63.816666666666698</v>
      </c>
      <c r="F38" s="875">
        <f t="shared" si="37"/>
        <v>16.183333333333302</v>
      </c>
      <c r="G38" s="878">
        <f t="shared" si="0"/>
        <v>73.19833333333338</v>
      </c>
      <c r="H38" s="879">
        <f t="shared" si="1"/>
        <v>75</v>
      </c>
      <c r="I38" s="878">
        <f t="shared" si="2"/>
        <v>5</v>
      </c>
      <c r="J38" s="880">
        <f t="shared" si="3"/>
        <v>0.82986111111111116</v>
      </c>
      <c r="K38" s="893">
        <v>0.83333333333333337</v>
      </c>
      <c r="L38" s="882">
        <f t="shared" si="4"/>
        <v>80.000000000000028</v>
      </c>
      <c r="M38" s="883">
        <f t="shared" si="5"/>
        <v>16.18333333333333</v>
      </c>
      <c r="N38" s="884">
        <f t="shared" si="38"/>
        <v>5.0000000000000284</v>
      </c>
      <c r="O38" s="885">
        <f t="shared" si="6"/>
        <v>0</v>
      </c>
      <c r="P38" s="880"/>
      <c r="Q38" s="873">
        <v>7</v>
      </c>
      <c r="R38" s="881">
        <v>0.81944444444444453</v>
      </c>
      <c r="S38" s="888">
        <v>60</v>
      </c>
      <c r="T38" s="876">
        <v>6</v>
      </c>
      <c r="U38" s="889">
        <v>54.533333333333303</v>
      </c>
      <c r="V38" s="875">
        <f t="shared" si="28"/>
        <v>5.466666666666697</v>
      </c>
      <c r="W38" s="878">
        <f t="shared" si="7"/>
        <v>62.986666666666636</v>
      </c>
      <c r="X38" s="879">
        <f t="shared" si="8"/>
        <v>65</v>
      </c>
      <c r="Y38" s="878">
        <f t="shared" si="9"/>
        <v>-5</v>
      </c>
      <c r="Z38" s="880">
        <f t="shared" si="10"/>
        <v>0.86458333333333337</v>
      </c>
      <c r="AA38" s="874">
        <v>0.86111111111111116</v>
      </c>
      <c r="AB38" s="882">
        <f t="shared" si="11"/>
        <v>59.99999999999995</v>
      </c>
      <c r="AC38" s="883">
        <f t="shared" si="12"/>
        <v>5.4666666666666472</v>
      </c>
      <c r="AD38" s="884">
        <f t="shared" si="29"/>
        <v>-5.0000000000000497</v>
      </c>
      <c r="AE38" s="885">
        <f t="shared" si="13"/>
        <v>0</v>
      </c>
    </row>
    <row r="39" spans="1:31" ht="18.75" x14ac:dyDescent="0.3">
      <c r="A39" s="873">
        <v>7</v>
      </c>
      <c r="B39" s="874">
        <v>0.79166666666666663</v>
      </c>
      <c r="C39" s="875">
        <v>80</v>
      </c>
      <c r="D39" s="876">
        <v>4</v>
      </c>
      <c r="E39" s="889">
        <v>67.375</v>
      </c>
      <c r="F39" s="875">
        <f t="shared" si="37"/>
        <v>12.625</v>
      </c>
      <c r="G39" s="878">
        <f t="shared" si="0"/>
        <v>77.112500000000011</v>
      </c>
      <c r="H39" s="879">
        <f t="shared" si="1"/>
        <v>75</v>
      </c>
      <c r="I39" s="878">
        <f t="shared" si="2"/>
        <v>5</v>
      </c>
      <c r="J39" s="880">
        <f t="shared" si="3"/>
        <v>0.84375</v>
      </c>
      <c r="K39" s="881">
        <v>0.84722222222222221</v>
      </c>
      <c r="L39" s="882">
        <f t="shared" si="4"/>
        <v>80.000000000000028</v>
      </c>
      <c r="M39" s="883">
        <f t="shared" si="5"/>
        <v>12.625000000000028</v>
      </c>
      <c r="N39" s="884">
        <f t="shared" si="38"/>
        <v>5.0000000000000284</v>
      </c>
      <c r="O39" s="885">
        <f t="shared" si="6"/>
        <v>0</v>
      </c>
      <c r="P39" s="880"/>
      <c r="Q39" s="873" t="s">
        <v>727</v>
      </c>
      <c r="R39" s="893">
        <v>0.83333333333333337</v>
      </c>
      <c r="S39" s="888">
        <v>60</v>
      </c>
      <c r="T39" s="876">
        <v>6</v>
      </c>
      <c r="U39" s="889">
        <v>51.588888888888903</v>
      </c>
      <c r="V39" s="875">
        <f t="shared" si="28"/>
        <v>8.4111111111110972</v>
      </c>
      <c r="W39" s="878">
        <f t="shared" si="7"/>
        <v>59.747777777777799</v>
      </c>
      <c r="X39" s="879">
        <f t="shared" si="8"/>
        <v>60</v>
      </c>
      <c r="Y39" s="878">
        <f t="shared" si="9"/>
        <v>0</v>
      </c>
      <c r="Z39" s="880">
        <f t="shared" si="10"/>
        <v>0.875</v>
      </c>
      <c r="AA39" s="874">
        <v>0.875</v>
      </c>
      <c r="AB39" s="882">
        <f t="shared" si="11"/>
        <v>59.99999999999995</v>
      </c>
      <c r="AC39" s="883">
        <f t="shared" si="12"/>
        <v>8.4111111111110475</v>
      </c>
      <c r="AD39" s="884">
        <f t="shared" si="29"/>
        <v>0</v>
      </c>
      <c r="AE39" s="885">
        <f t="shared" si="13"/>
        <v>0</v>
      </c>
    </row>
    <row r="40" spans="1:31" ht="18.75" x14ac:dyDescent="0.3">
      <c r="A40" s="873" t="s">
        <v>727</v>
      </c>
      <c r="B40" s="874">
        <v>0.80555555555555558</v>
      </c>
      <c r="C40" s="875">
        <v>80</v>
      </c>
      <c r="D40" s="876"/>
      <c r="E40" s="877">
        <v>68</v>
      </c>
      <c r="F40" s="875">
        <f t="shared" si="37"/>
        <v>12</v>
      </c>
      <c r="G40" s="878">
        <f t="shared" si="0"/>
        <v>77.800000000000011</v>
      </c>
      <c r="H40" s="879">
        <f t="shared" si="1"/>
        <v>80</v>
      </c>
      <c r="I40" s="878">
        <f t="shared" si="2"/>
        <v>0</v>
      </c>
      <c r="J40" s="880">
        <f t="shared" si="3"/>
        <v>0.86111111111111116</v>
      </c>
      <c r="K40" s="893">
        <v>0.86111111111111116</v>
      </c>
      <c r="L40" s="882">
        <f t="shared" si="4"/>
        <v>80.000000000000028</v>
      </c>
      <c r="M40" s="883">
        <f t="shared" si="5"/>
        <v>12.000000000000028</v>
      </c>
      <c r="N40" s="884">
        <f t="shared" si="38"/>
        <v>0</v>
      </c>
      <c r="O40" s="885">
        <f t="shared" si="6"/>
        <v>0</v>
      </c>
      <c r="P40" s="880"/>
      <c r="Q40" s="873">
        <v>7</v>
      </c>
      <c r="R40" s="881">
        <v>0.84722222222222221</v>
      </c>
      <c r="S40" s="888">
        <v>60</v>
      </c>
      <c r="T40" s="876">
        <v>5</v>
      </c>
      <c r="U40" s="889">
        <v>45.47</v>
      </c>
      <c r="V40" s="875">
        <f t="shared" si="28"/>
        <v>14.530000000000001</v>
      </c>
      <c r="W40" s="878">
        <f t="shared" si="7"/>
        <v>53.017000000000003</v>
      </c>
      <c r="X40" s="879">
        <f t="shared" si="8"/>
        <v>55</v>
      </c>
      <c r="Y40" s="878">
        <f t="shared" si="9"/>
        <v>5</v>
      </c>
      <c r="Z40" s="880">
        <f t="shared" si="10"/>
        <v>0.88541666666666663</v>
      </c>
      <c r="AA40" s="874">
        <v>0.88888888888888884</v>
      </c>
      <c r="AB40" s="882">
        <f t="shared" si="11"/>
        <v>59.99999999999995</v>
      </c>
      <c r="AC40" s="883">
        <f t="shared" si="12"/>
        <v>14.529999999999951</v>
      </c>
      <c r="AD40" s="884">
        <f t="shared" si="29"/>
        <v>4.9999999999999503</v>
      </c>
      <c r="AE40" s="885">
        <f t="shared" si="13"/>
        <v>0</v>
      </c>
    </row>
    <row r="41" spans="1:31" ht="18.75" x14ac:dyDescent="0.3">
      <c r="A41" s="873">
        <v>7</v>
      </c>
      <c r="B41" s="874">
        <v>0.81944444444444442</v>
      </c>
      <c r="C41" s="875">
        <v>80</v>
      </c>
      <c r="D41" s="876">
        <v>1</v>
      </c>
      <c r="E41" s="889">
        <v>70.133333333333297</v>
      </c>
      <c r="F41" s="875">
        <f t="shared" si="37"/>
        <v>9.8666666666667027</v>
      </c>
      <c r="G41" s="878">
        <f t="shared" si="0"/>
        <v>80.146666666666633</v>
      </c>
      <c r="H41" s="879">
        <f t="shared" si="1"/>
        <v>80</v>
      </c>
      <c r="I41" s="878">
        <f t="shared" si="2"/>
        <v>0</v>
      </c>
      <c r="J41" s="880">
        <f t="shared" si="3"/>
        <v>0.875</v>
      </c>
      <c r="K41" s="881">
        <v>0.875</v>
      </c>
      <c r="L41" s="882">
        <f t="shared" si="4"/>
        <v>80.000000000000028</v>
      </c>
      <c r="M41" s="883">
        <f t="shared" si="5"/>
        <v>9.8666666666667311</v>
      </c>
      <c r="N41" s="884">
        <f t="shared" si="38"/>
        <v>0</v>
      </c>
      <c r="O41" s="885">
        <f t="shared" si="6"/>
        <v>0</v>
      </c>
      <c r="P41" s="880"/>
      <c r="Q41" s="873" t="s">
        <v>727</v>
      </c>
      <c r="R41" s="893">
        <v>0.86111111111111116</v>
      </c>
      <c r="S41" s="888">
        <v>60</v>
      </c>
      <c r="T41" s="876">
        <v>5</v>
      </c>
      <c r="U41" s="889">
        <v>50.586666666666702</v>
      </c>
      <c r="V41" s="875">
        <f t="shared" si="28"/>
        <v>9.4133333333332985</v>
      </c>
      <c r="W41" s="878">
        <f t="shared" si="7"/>
        <v>58.645333333333376</v>
      </c>
      <c r="X41" s="879">
        <f t="shared" si="8"/>
        <v>60</v>
      </c>
      <c r="Y41" s="878">
        <f t="shared" si="9"/>
        <v>0</v>
      </c>
      <c r="Z41" s="880">
        <f t="shared" si="10"/>
        <v>0.90277777777777779</v>
      </c>
      <c r="AA41" s="874">
        <v>0.90277777777777779</v>
      </c>
      <c r="AB41" s="882">
        <f t="shared" si="11"/>
        <v>59.99999999999995</v>
      </c>
      <c r="AC41" s="883">
        <f t="shared" si="12"/>
        <v>9.4133333333332487</v>
      </c>
      <c r="AD41" s="884">
        <f t="shared" si="29"/>
        <v>0</v>
      </c>
      <c r="AE41" s="885">
        <f t="shared" si="13"/>
        <v>0</v>
      </c>
    </row>
    <row r="42" spans="1:31" ht="18.75" x14ac:dyDescent="0.3">
      <c r="A42" s="873" t="s">
        <v>727</v>
      </c>
      <c r="B42" s="874">
        <v>0.82986111111111116</v>
      </c>
      <c r="C42" s="875">
        <v>85</v>
      </c>
      <c r="D42" s="876">
        <v>1</v>
      </c>
      <c r="E42" s="889">
        <v>64.400000000000006</v>
      </c>
      <c r="F42" s="875">
        <f t="shared" si="37"/>
        <v>20.599999999999994</v>
      </c>
      <c r="G42" s="878">
        <f t="shared" si="0"/>
        <v>73.840000000000018</v>
      </c>
      <c r="H42" s="879">
        <f t="shared" si="1"/>
        <v>75</v>
      </c>
      <c r="I42" s="878">
        <f t="shared" si="2"/>
        <v>10</v>
      </c>
      <c r="J42" s="880">
        <f t="shared" si="3"/>
        <v>0.88194444444444453</v>
      </c>
      <c r="K42" s="893">
        <v>0.88888888888888884</v>
      </c>
      <c r="L42" s="882">
        <f t="shared" si="4"/>
        <v>84.999999999999858</v>
      </c>
      <c r="M42" s="883">
        <f t="shared" si="5"/>
        <v>20.599999999999852</v>
      </c>
      <c r="N42" s="884">
        <f t="shared" si="38"/>
        <v>9.9999999999998579</v>
      </c>
      <c r="O42" s="885">
        <f t="shared" si="6"/>
        <v>-1.4210854715202004E-13</v>
      </c>
      <c r="P42" s="880"/>
      <c r="Q42" s="873">
        <v>7</v>
      </c>
      <c r="R42" s="881">
        <v>0.875</v>
      </c>
      <c r="S42" s="888">
        <v>60</v>
      </c>
      <c r="T42" s="876">
        <v>5</v>
      </c>
      <c r="U42" s="889">
        <v>49.136666666666699</v>
      </c>
      <c r="V42" s="875">
        <f t="shared" si="28"/>
        <v>10.863333333333301</v>
      </c>
      <c r="W42" s="878">
        <f t="shared" si="7"/>
        <v>57.05033333333337</v>
      </c>
      <c r="X42" s="879">
        <f t="shared" si="8"/>
        <v>55</v>
      </c>
      <c r="Y42" s="878">
        <f t="shared" si="9"/>
        <v>5</v>
      </c>
      <c r="Z42" s="880">
        <f t="shared" si="10"/>
        <v>0.91319444444444442</v>
      </c>
      <c r="AA42" s="874">
        <v>0.91666666666666663</v>
      </c>
      <c r="AB42" s="882">
        <f t="shared" si="11"/>
        <v>59.99999999999995</v>
      </c>
      <c r="AC42" s="883">
        <f t="shared" si="12"/>
        <v>10.863333333333252</v>
      </c>
      <c r="AD42" s="884">
        <f t="shared" si="29"/>
        <v>4.9999999999999503</v>
      </c>
      <c r="AE42" s="885">
        <f t="shared" si="13"/>
        <v>0</v>
      </c>
    </row>
    <row r="43" spans="1:31" ht="18.75" x14ac:dyDescent="0.3">
      <c r="A43" s="873">
        <v>7</v>
      </c>
      <c r="B43" s="874">
        <v>0.84027777777777779</v>
      </c>
      <c r="C43" s="875">
        <v>70</v>
      </c>
      <c r="D43" s="876"/>
      <c r="E43" s="877">
        <v>57</v>
      </c>
      <c r="F43" s="875">
        <f t="shared" si="37"/>
        <v>13</v>
      </c>
      <c r="G43" s="878">
        <f t="shared" si="0"/>
        <v>65.7</v>
      </c>
      <c r="H43" s="879">
        <f t="shared" si="1"/>
        <v>65</v>
      </c>
      <c r="I43" s="878">
        <f t="shared" si="2"/>
        <v>5</v>
      </c>
      <c r="J43" s="880">
        <f t="shared" si="3"/>
        <v>0.88541666666666663</v>
      </c>
      <c r="K43" s="881">
        <v>0.90277777777777779</v>
      </c>
      <c r="L43" s="882">
        <f t="shared" si="4"/>
        <v>90</v>
      </c>
      <c r="M43" s="883">
        <f t="shared" si="5"/>
        <v>33</v>
      </c>
      <c r="N43" s="884">
        <f t="shared" si="38"/>
        <v>25</v>
      </c>
      <c r="O43" s="885">
        <f t="shared" si="6"/>
        <v>20</v>
      </c>
      <c r="P43" s="880"/>
      <c r="Q43" s="873" t="s">
        <v>727</v>
      </c>
      <c r="R43" s="893">
        <v>0.88888888888888884</v>
      </c>
      <c r="S43" s="888">
        <v>60</v>
      </c>
      <c r="T43" s="876">
        <v>4</v>
      </c>
      <c r="U43" s="889">
        <v>52.733333333333299</v>
      </c>
      <c r="V43" s="875">
        <f t="shared" si="28"/>
        <v>7.2666666666667012</v>
      </c>
      <c r="W43" s="878">
        <f t="shared" si="7"/>
        <v>61.006666666666632</v>
      </c>
      <c r="X43" s="879">
        <f t="shared" si="8"/>
        <v>60</v>
      </c>
      <c r="Y43" s="878">
        <f t="shared" si="9"/>
        <v>0</v>
      </c>
      <c r="Z43" s="880">
        <f t="shared" si="10"/>
        <v>0.93055555555555547</v>
      </c>
      <c r="AA43" s="874">
        <v>0.93055555555555558</v>
      </c>
      <c r="AB43" s="882">
        <f t="shared" si="11"/>
        <v>60.000000000000107</v>
      </c>
      <c r="AC43" s="883">
        <f t="shared" si="12"/>
        <v>7.2666666666668078</v>
      </c>
      <c r="AD43" s="884">
        <f t="shared" si="29"/>
        <v>1.0658141036401503E-13</v>
      </c>
      <c r="AE43" s="885">
        <f t="shared" si="13"/>
        <v>1.0658141036401503E-13</v>
      </c>
    </row>
    <row r="44" spans="1:31" ht="18.75" x14ac:dyDescent="0.3">
      <c r="A44" s="873" t="s">
        <v>727</v>
      </c>
      <c r="B44" s="874">
        <v>0.85069444444444442</v>
      </c>
      <c r="C44" s="875">
        <v>60</v>
      </c>
      <c r="D44" s="876">
        <v>1</v>
      </c>
      <c r="E44" s="889">
        <v>51.933333333333302</v>
      </c>
      <c r="F44" s="875">
        <f t="shared" si="37"/>
        <v>8.0666666666666984</v>
      </c>
      <c r="G44" s="878">
        <f t="shared" si="0"/>
        <v>60.126666666666637</v>
      </c>
      <c r="H44" s="879">
        <f t="shared" si="1"/>
        <v>60</v>
      </c>
      <c r="I44" s="878">
        <f t="shared" si="2"/>
        <v>0</v>
      </c>
      <c r="J44" s="880">
        <f t="shared" si="3"/>
        <v>0.89236111111111105</v>
      </c>
      <c r="K44" s="895">
        <v>0.89930555555555558</v>
      </c>
      <c r="L44" s="882">
        <f t="shared" si="4"/>
        <v>70.000000000000071</v>
      </c>
      <c r="M44" s="883">
        <f t="shared" si="5"/>
        <v>18.066666666666769</v>
      </c>
      <c r="N44" s="884">
        <f t="shared" si="38"/>
        <v>10.000000000000071</v>
      </c>
      <c r="O44" s="885">
        <f t="shared" si="6"/>
        <v>10.000000000000071</v>
      </c>
      <c r="P44" s="880"/>
      <c r="Q44" s="873">
        <v>7</v>
      </c>
      <c r="R44" s="881">
        <v>0.90277777777777779</v>
      </c>
      <c r="S44" s="888">
        <v>60</v>
      </c>
      <c r="T44" s="876">
        <v>4</v>
      </c>
      <c r="U44" s="889">
        <v>44.370833333333302</v>
      </c>
      <c r="V44" s="875">
        <f t="shared" si="28"/>
        <v>15.629166666666698</v>
      </c>
      <c r="W44" s="878">
        <f t="shared" si="7"/>
        <v>51.807916666666635</v>
      </c>
      <c r="X44" s="879">
        <f t="shared" si="8"/>
        <v>50</v>
      </c>
      <c r="Y44" s="878">
        <f t="shared" si="9"/>
        <v>10</v>
      </c>
      <c r="Z44" s="880">
        <f t="shared" si="10"/>
        <v>0.9375</v>
      </c>
      <c r="AA44" s="874">
        <v>0.94444444444444442</v>
      </c>
      <c r="AB44" s="882">
        <f t="shared" si="11"/>
        <v>59.99999999999995</v>
      </c>
      <c r="AC44" s="883">
        <f t="shared" si="12"/>
        <v>15.629166666666649</v>
      </c>
      <c r="AD44" s="884">
        <f t="shared" si="29"/>
        <v>9.9999999999999503</v>
      </c>
      <c r="AE44" s="885">
        <f t="shared" si="13"/>
        <v>0</v>
      </c>
    </row>
    <row r="45" spans="1:31" ht="18.75" x14ac:dyDescent="0.3">
      <c r="A45" s="873">
        <v>7</v>
      </c>
      <c r="B45" s="874">
        <v>0.86111111111111116</v>
      </c>
      <c r="C45" s="875">
        <v>60</v>
      </c>
      <c r="D45" s="876"/>
      <c r="E45" s="877">
        <v>55</v>
      </c>
      <c r="F45" s="875">
        <f t="shared" si="37"/>
        <v>5</v>
      </c>
      <c r="G45" s="878">
        <f t="shared" si="0"/>
        <v>63.500000000000007</v>
      </c>
      <c r="H45" s="879">
        <f t="shared" si="1"/>
        <v>65</v>
      </c>
      <c r="I45" s="878">
        <f t="shared" si="2"/>
        <v>-5</v>
      </c>
      <c r="J45" s="880">
        <f t="shared" si="3"/>
        <v>0.90625</v>
      </c>
      <c r="K45" s="881">
        <v>0.93055555555555558</v>
      </c>
      <c r="L45" s="882">
        <f t="shared" si="4"/>
        <v>99.999999999999972</v>
      </c>
      <c r="M45" s="883">
        <f t="shared" si="5"/>
        <v>44.999999999999972</v>
      </c>
      <c r="N45" s="884">
        <f t="shared" si="38"/>
        <v>34.999999999999972</v>
      </c>
      <c r="O45" s="885">
        <f t="shared" si="6"/>
        <v>39.999999999999972</v>
      </c>
      <c r="P45" s="880"/>
      <c r="Q45" s="873" t="s">
        <v>727</v>
      </c>
      <c r="R45" s="893">
        <v>0.91666666666666663</v>
      </c>
      <c r="S45" s="888">
        <v>60</v>
      </c>
      <c r="T45" s="876">
        <v>5</v>
      </c>
      <c r="U45" s="889">
        <v>50.65</v>
      </c>
      <c r="V45" s="875">
        <f t="shared" si="28"/>
        <v>9.3500000000000014</v>
      </c>
      <c r="W45" s="878">
        <f t="shared" si="7"/>
        <v>58.715000000000003</v>
      </c>
      <c r="X45" s="879">
        <f t="shared" si="8"/>
        <v>60</v>
      </c>
      <c r="Y45" s="878">
        <f t="shared" si="9"/>
        <v>0</v>
      </c>
      <c r="Z45" s="880">
        <f t="shared" si="10"/>
        <v>0.95833333333333326</v>
      </c>
      <c r="AA45" s="874">
        <v>0.95833333333333337</v>
      </c>
      <c r="AB45" s="882">
        <f t="shared" si="11"/>
        <v>60.000000000000107</v>
      </c>
      <c r="AC45" s="883">
        <f t="shared" si="12"/>
        <v>9.350000000000108</v>
      </c>
      <c r="AD45" s="884">
        <f t="shared" si="29"/>
        <v>1.0658141036401503E-13</v>
      </c>
      <c r="AE45" s="885">
        <f t="shared" si="13"/>
        <v>1.0658141036401503E-13</v>
      </c>
    </row>
    <row r="46" spans="1:31" ht="18.75" x14ac:dyDescent="0.3">
      <c r="A46" s="873" t="s">
        <v>727</v>
      </c>
      <c r="B46" s="874">
        <v>0.875</v>
      </c>
      <c r="C46" s="875">
        <v>60</v>
      </c>
      <c r="D46" s="876"/>
      <c r="E46" s="877">
        <v>55</v>
      </c>
      <c r="F46" s="875">
        <f t="shared" si="37"/>
        <v>5</v>
      </c>
      <c r="G46" s="878">
        <f t="shared" si="0"/>
        <v>63.500000000000007</v>
      </c>
      <c r="H46" s="879">
        <f t="shared" si="1"/>
        <v>65</v>
      </c>
      <c r="I46" s="878">
        <f t="shared" si="2"/>
        <v>-5</v>
      </c>
      <c r="J46" s="880">
        <f t="shared" si="3"/>
        <v>0.92013888888888884</v>
      </c>
      <c r="K46" s="893">
        <v>0.91666666666666663</v>
      </c>
      <c r="L46" s="882">
        <f t="shared" si="4"/>
        <v>59.99999999999995</v>
      </c>
      <c r="M46" s="883">
        <f t="shared" si="5"/>
        <v>4.9999999999999503</v>
      </c>
      <c r="N46" s="884">
        <f t="shared" si="38"/>
        <v>-5.0000000000000497</v>
      </c>
      <c r="O46" s="885">
        <f t="shared" si="6"/>
        <v>0</v>
      </c>
      <c r="P46" s="880"/>
      <c r="Q46" s="873">
        <v>7</v>
      </c>
      <c r="R46" s="881">
        <v>0.93055555555555547</v>
      </c>
      <c r="S46" s="888">
        <v>55</v>
      </c>
      <c r="T46" s="876">
        <v>6</v>
      </c>
      <c r="U46" s="889">
        <v>41.383333333333297</v>
      </c>
      <c r="V46" s="875">
        <f t="shared" si="28"/>
        <v>13.616666666666703</v>
      </c>
      <c r="W46" s="878">
        <f t="shared" si="7"/>
        <v>48.521666666666633</v>
      </c>
      <c r="X46" s="879">
        <f t="shared" si="8"/>
        <v>50</v>
      </c>
      <c r="Y46" s="878">
        <f t="shared" si="9"/>
        <v>5</v>
      </c>
      <c r="Z46" s="880">
        <f t="shared" si="10"/>
        <v>0.96527777777777768</v>
      </c>
      <c r="AA46" s="874">
        <v>0.96875</v>
      </c>
      <c r="AB46" s="882">
        <f t="shared" si="11"/>
        <v>55.000000000000121</v>
      </c>
      <c r="AC46" s="883">
        <f t="shared" si="12"/>
        <v>13.616666666666823</v>
      </c>
      <c r="AD46" s="884">
        <f t="shared" si="29"/>
        <v>5.0000000000001208</v>
      </c>
      <c r="AE46" s="885">
        <f t="shared" si="13"/>
        <v>1.2079226507921703E-13</v>
      </c>
    </row>
    <row r="47" spans="1:31" ht="18.75" x14ac:dyDescent="0.3">
      <c r="A47" s="873">
        <v>7</v>
      </c>
      <c r="B47" s="874">
        <v>0.88888888888888884</v>
      </c>
      <c r="C47" s="875">
        <v>60</v>
      </c>
      <c r="D47" s="876"/>
      <c r="E47" s="877">
        <v>55</v>
      </c>
      <c r="F47" s="875">
        <f t="shared" si="37"/>
        <v>5</v>
      </c>
      <c r="G47" s="878">
        <f t="shared" si="0"/>
        <v>63.500000000000007</v>
      </c>
      <c r="H47" s="879">
        <f t="shared" si="1"/>
        <v>65</v>
      </c>
      <c r="I47" s="878">
        <f t="shared" si="2"/>
        <v>-5</v>
      </c>
      <c r="J47" s="880">
        <f t="shared" si="3"/>
        <v>0.93402777777777768</v>
      </c>
      <c r="K47" s="881">
        <v>0.95833333333333337</v>
      </c>
      <c r="L47" s="882">
        <f t="shared" si="4"/>
        <v>100.00000000000013</v>
      </c>
      <c r="M47" s="883">
        <f t="shared" si="5"/>
        <v>45.000000000000128</v>
      </c>
      <c r="N47" s="884">
        <f t="shared" si="38"/>
        <v>35.000000000000128</v>
      </c>
      <c r="O47" s="885">
        <f t="shared" si="6"/>
        <v>40.000000000000128</v>
      </c>
      <c r="P47" s="880"/>
      <c r="Q47" s="873" t="s">
        <v>727</v>
      </c>
      <c r="R47" s="893">
        <v>0.94444444444444442</v>
      </c>
      <c r="S47" s="888">
        <v>50</v>
      </c>
      <c r="T47" s="876">
        <v>5</v>
      </c>
      <c r="U47" s="889">
        <v>46.4033333333333</v>
      </c>
      <c r="V47" s="875">
        <f t="shared" si="28"/>
        <v>3.5966666666666995</v>
      </c>
      <c r="W47" s="878">
        <f t="shared" si="7"/>
        <v>54.043666666666631</v>
      </c>
      <c r="X47" s="879">
        <f t="shared" si="8"/>
        <v>55</v>
      </c>
      <c r="Y47" s="878">
        <f t="shared" si="9"/>
        <v>-5</v>
      </c>
      <c r="Z47" s="880">
        <f t="shared" si="10"/>
        <v>0.98263888888888884</v>
      </c>
      <c r="AA47" s="874">
        <v>0.97916666666666663</v>
      </c>
      <c r="AB47" s="882">
        <f t="shared" si="11"/>
        <v>49.999999999999986</v>
      </c>
      <c r="AC47" s="883">
        <f t="shared" si="12"/>
        <v>3.5966666666666853</v>
      </c>
      <c r="AD47" s="884">
        <f t="shared" si="29"/>
        <v>-5.0000000000000142</v>
      </c>
      <c r="AE47" s="885">
        <f t="shared" si="13"/>
        <v>0</v>
      </c>
    </row>
    <row r="48" spans="1:31" ht="18.75" x14ac:dyDescent="0.3">
      <c r="A48" s="873" t="s">
        <v>727</v>
      </c>
      <c r="B48" s="874">
        <v>0.90277777777777779</v>
      </c>
      <c r="C48" s="875">
        <v>60</v>
      </c>
      <c r="D48" s="876"/>
      <c r="E48" s="877">
        <v>55</v>
      </c>
      <c r="F48" s="875">
        <f t="shared" si="37"/>
        <v>5</v>
      </c>
      <c r="G48" s="878">
        <f t="shared" si="0"/>
        <v>63.500000000000007</v>
      </c>
      <c r="H48" s="879">
        <f t="shared" si="1"/>
        <v>65</v>
      </c>
      <c r="I48" s="878">
        <f t="shared" si="2"/>
        <v>-5</v>
      </c>
      <c r="J48" s="880">
        <f t="shared" si="3"/>
        <v>0.94791666666666663</v>
      </c>
      <c r="K48" s="893">
        <v>0.94444444444444442</v>
      </c>
      <c r="L48" s="882">
        <f t="shared" si="4"/>
        <v>59.99999999999995</v>
      </c>
      <c r="M48" s="883">
        <f t="shared" si="5"/>
        <v>4.9999999999999503</v>
      </c>
      <c r="N48" s="884">
        <f t="shared" si="38"/>
        <v>-5.0000000000000497</v>
      </c>
      <c r="O48" s="885">
        <f t="shared" si="6"/>
        <v>0</v>
      </c>
      <c r="P48" s="880"/>
      <c r="Q48" s="873">
        <v>7</v>
      </c>
      <c r="R48" s="881">
        <v>0.95833333333333337</v>
      </c>
      <c r="S48" s="888">
        <v>60</v>
      </c>
      <c r="T48" s="876">
        <v>6</v>
      </c>
      <c r="U48" s="889">
        <v>42.1388888888889</v>
      </c>
      <c r="V48" s="875">
        <f t="shared" si="28"/>
        <v>17.8611111111111</v>
      </c>
      <c r="W48" s="878">
        <f t="shared" si="7"/>
        <v>49.352777777777796</v>
      </c>
      <c r="X48" s="879">
        <f t="shared" si="8"/>
        <v>50</v>
      </c>
      <c r="Y48" s="878">
        <f t="shared" si="9"/>
        <v>10</v>
      </c>
      <c r="Z48" s="880">
        <f t="shared" si="10"/>
        <v>0.99305555555555558</v>
      </c>
      <c r="AA48" s="895">
        <v>0.99305555555555558</v>
      </c>
      <c r="AB48" s="882">
        <f t="shared" si="11"/>
        <v>49.999999999999986</v>
      </c>
      <c r="AC48" s="883">
        <f t="shared" si="12"/>
        <v>7.8611111111110858</v>
      </c>
      <c r="AD48" s="884">
        <f t="shared" si="29"/>
        <v>0</v>
      </c>
      <c r="AE48" s="885">
        <f t="shared" si="13"/>
        <v>-10.000000000000014</v>
      </c>
    </row>
    <row r="49" spans="1:31" ht="18.75" x14ac:dyDescent="0.3">
      <c r="A49" s="873">
        <v>7</v>
      </c>
      <c r="B49" s="874">
        <v>0.91666666666666663</v>
      </c>
      <c r="C49" s="875">
        <v>60</v>
      </c>
      <c r="D49" s="876">
        <v>2</v>
      </c>
      <c r="E49" s="889">
        <v>58.625</v>
      </c>
      <c r="F49" s="875">
        <f t="shared" si="37"/>
        <v>1.375</v>
      </c>
      <c r="G49" s="878">
        <f t="shared" si="0"/>
        <v>67.487500000000011</v>
      </c>
      <c r="H49" s="879">
        <f t="shared" si="1"/>
        <v>65</v>
      </c>
      <c r="I49" s="878">
        <f t="shared" si="2"/>
        <v>-5</v>
      </c>
      <c r="J49" s="880">
        <f t="shared" si="3"/>
        <v>0.96180555555555547</v>
      </c>
      <c r="K49" s="895">
        <v>0.96527777777777779</v>
      </c>
      <c r="L49" s="882">
        <f t="shared" si="4"/>
        <v>70.000000000000071</v>
      </c>
      <c r="M49" s="883">
        <f t="shared" si="5"/>
        <v>11.375000000000071</v>
      </c>
      <c r="N49" s="884">
        <f t="shared" si="38"/>
        <v>5.0000000000000711</v>
      </c>
      <c r="O49" s="885">
        <f t="shared" si="6"/>
        <v>10.000000000000071</v>
      </c>
      <c r="P49" s="880"/>
      <c r="Q49" s="873" t="s">
        <v>727</v>
      </c>
      <c r="R49" s="893">
        <v>0.97916666666666663</v>
      </c>
      <c r="S49" s="888">
        <v>50</v>
      </c>
      <c r="T49" s="876">
        <v>5</v>
      </c>
      <c r="U49" s="889">
        <v>44.81</v>
      </c>
      <c r="V49" s="875">
        <f t="shared" si="28"/>
        <v>5.1899999999999977</v>
      </c>
      <c r="W49" s="878">
        <f t="shared" si="7"/>
        <v>52.291000000000004</v>
      </c>
      <c r="X49" s="879">
        <f t="shared" si="8"/>
        <v>50</v>
      </c>
      <c r="Y49" s="878">
        <f t="shared" si="9"/>
        <v>0</v>
      </c>
      <c r="Z49" s="880">
        <f t="shared" si="10"/>
        <v>1.0138888888888888</v>
      </c>
      <c r="AA49" s="895">
        <v>1.0173611111111112</v>
      </c>
      <c r="AB49" s="882">
        <f t="shared" si="11"/>
        <v>55.000000000000121</v>
      </c>
      <c r="AC49" s="883">
        <f t="shared" si="12"/>
        <v>10.190000000000119</v>
      </c>
      <c r="AD49" s="884">
        <f t="shared" si="29"/>
        <v>5.0000000000001208</v>
      </c>
      <c r="AE49" s="885">
        <f t="shared" si="13"/>
        <v>5.0000000000001208</v>
      </c>
    </row>
    <row r="50" spans="1:31" ht="18.75" x14ac:dyDescent="0.3">
      <c r="A50" s="873" t="s">
        <v>727</v>
      </c>
      <c r="B50" s="874">
        <v>0.93055555555555558</v>
      </c>
      <c r="C50" s="875">
        <v>70</v>
      </c>
      <c r="D50" s="876">
        <v>2</v>
      </c>
      <c r="E50" s="889">
        <v>51.266666666666701</v>
      </c>
      <c r="F50" s="875">
        <f t="shared" si="37"/>
        <v>18.733333333333299</v>
      </c>
      <c r="G50" s="878">
        <f t="shared" si="0"/>
        <v>59.393333333333374</v>
      </c>
      <c r="H50" s="879">
        <f t="shared" si="1"/>
        <v>60</v>
      </c>
      <c r="I50" s="878">
        <f t="shared" si="2"/>
        <v>10</v>
      </c>
      <c r="J50" s="880">
        <f t="shared" si="3"/>
        <v>0.97222222222222221</v>
      </c>
      <c r="K50" s="893">
        <v>0.97916666666666663</v>
      </c>
      <c r="L50" s="882">
        <f t="shared" si="4"/>
        <v>69.999999999999915</v>
      </c>
      <c r="M50" s="883">
        <f t="shared" si="5"/>
        <v>18.733333333333213</v>
      </c>
      <c r="N50" s="884">
        <f t="shared" si="38"/>
        <v>9.9999999999999147</v>
      </c>
      <c r="O50" s="885">
        <f t="shared" si="6"/>
        <v>0</v>
      </c>
      <c r="P50" s="880"/>
    </row>
    <row r="51" spans="1:31" ht="18.75" x14ac:dyDescent="0.3">
      <c r="A51" s="873">
        <v>7</v>
      </c>
      <c r="B51" s="874">
        <v>0.94444444444444453</v>
      </c>
      <c r="C51" s="875">
        <v>60</v>
      </c>
      <c r="D51" s="876">
        <v>2</v>
      </c>
      <c r="E51" s="889">
        <v>52.466666666666697</v>
      </c>
      <c r="F51" s="875">
        <f t="shared" si="37"/>
        <v>7.533333333333303</v>
      </c>
      <c r="G51" s="878">
        <f t="shared" si="0"/>
        <v>60.713333333333374</v>
      </c>
      <c r="H51" s="879">
        <f t="shared" si="1"/>
        <v>60</v>
      </c>
      <c r="I51" s="878">
        <f t="shared" si="2"/>
        <v>0</v>
      </c>
      <c r="J51" s="880">
        <f t="shared" si="3"/>
        <v>0.98611111111111116</v>
      </c>
      <c r="K51" s="895">
        <v>0.98611111111111116</v>
      </c>
      <c r="L51" s="882">
        <f t="shared" si="4"/>
        <v>59.99999999999995</v>
      </c>
      <c r="M51" s="883">
        <f t="shared" si="5"/>
        <v>7.5333333333332533</v>
      </c>
      <c r="N51" s="884">
        <f t="shared" si="38"/>
        <v>0</v>
      </c>
      <c r="O51" s="885">
        <f t="shared" si="6"/>
        <v>0</v>
      </c>
      <c r="P51" s="880"/>
    </row>
    <row r="52" spans="1:31" ht="18.75" x14ac:dyDescent="0.3">
      <c r="A52" s="873" t="s">
        <v>727</v>
      </c>
      <c r="B52" s="874">
        <v>0.95833333333333337</v>
      </c>
      <c r="C52" s="875">
        <v>60</v>
      </c>
      <c r="D52" s="876"/>
      <c r="E52" s="877">
        <v>50</v>
      </c>
      <c r="F52" s="875">
        <f t="shared" si="37"/>
        <v>10</v>
      </c>
      <c r="G52" s="878">
        <f t="shared" si="0"/>
        <v>58.000000000000007</v>
      </c>
      <c r="H52" s="879">
        <f t="shared" si="1"/>
        <v>60</v>
      </c>
      <c r="I52" s="878">
        <f t="shared" si="2"/>
        <v>0</v>
      </c>
      <c r="J52" s="880">
        <f t="shared" si="3"/>
        <v>1</v>
      </c>
      <c r="K52" s="895">
        <v>1</v>
      </c>
      <c r="L52" s="882">
        <f t="shared" si="4"/>
        <v>59.99999999999995</v>
      </c>
      <c r="M52" s="883">
        <f t="shared" si="5"/>
        <v>9.9999999999999503</v>
      </c>
      <c r="N52" s="884">
        <f t="shared" si="38"/>
        <v>0</v>
      </c>
      <c r="O52" s="885">
        <f t="shared" si="6"/>
        <v>0</v>
      </c>
      <c r="P52" s="880"/>
    </row>
    <row r="53" spans="1:31" ht="18.75" x14ac:dyDescent="0.3">
      <c r="A53" s="873">
        <v>7</v>
      </c>
      <c r="B53" s="874">
        <v>0.96875</v>
      </c>
      <c r="C53" s="875">
        <v>50</v>
      </c>
      <c r="D53" s="876">
        <v>1</v>
      </c>
      <c r="E53" s="889">
        <v>46.366666666666703</v>
      </c>
      <c r="F53" s="875">
        <f t="shared" si="37"/>
        <v>3.6333333333332973</v>
      </c>
      <c r="G53" s="878">
        <f t="shared" si="0"/>
        <v>54.00333333333338</v>
      </c>
      <c r="H53" s="879">
        <f t="shared" si="1"/>
        <v>55</v>
      </c>
      <c r="I53" s="878">
        <f t="shared" si="2"/>
        <v>-5</v>
      </c>
      <c r="J53" s="880">
        <f t="shared" si="3"/>
        <v>1.0069444444444444</v>
      </c>
      <c r="K53" s="895">
        <v>1.0069444444444444</v>
      </c>
      <c r="L53" s="882">
        <f t="shared" si="4"/>
        <v>54.999999999999964</v>
      </c>
      <c r="M53" s="883">
        <f t="shared" si="5"/>
        <v>8.6333333333332618</v>
      </c>
      <c r="N53" s="884">
        <f t="shared" si="38"/>
        <v>0</v>
      </c>
      <c r="O53" s="885">
        <f t="shared" si="6"/>
        <v>4.9999999999999645</v>
      </c>
      <c r="P53" s="880"/>
    </row>
    <row r="54" spans="1:31" ht="18.75" x14ac:dyDescent="0.3">
      <c r="A54" s="873" t="s">
        <v>727</v>
      </c>
      <c r="B54" s="874">
        <v>0.97916666666666663</v>
      </c>
      <c r="C54" s="875">
        <v>50</v>
      </c>
      <c r="D54" s="876">
        <v>1</v>
      </c>
      <c r="E54" s="889">
        <v>40.799999999999997</v>
      </c>
      <c r="F54" s="875">
        <f t="shared" si="37"/>
        <v>9.2000000000000028</v>
      </c>
      <c r="G54" s="878">
        <f t="shared" si="0"/>
        <v>47.88</v>
      </c>
      <c r="H54" s="879">
        <f t="shared" si="1"/>
        <v>50</v>
      </c>
      <c r="I54" s="878">
        <f t="shared" si="2"/>
        <v>0</v>
      </c>
      <c r="J54" s="880">
        <f t="shared" si="3"/>
        <v>1.0138888888888888</v>
      </c>
      <c r="K54" s="895">
        <v>1.0104166666666667</v>
      </c>
      <c r="L54" s="882">
        <f t="shared" si="4"/>
        <v>45.000000000000156</v>
      </c>
      <c r="M54" s="883">
        <f t="shared" si="5"/>
        <v>4.2000000000001592</v>
      </c>
      <c r="N54" s="884">
        <f t="shared" si="38"/>
        <v>-4.9999999999998437</v>
      </c>
      <c r="O54" s="885">
        <f t="shared" si="6"/>
        <v>-4.9999999999998437</v>
      </c>
      <c r="P54" s="880"/>
    </row>
    <row r="55" spans="1:31" x14ac:dyDescent="0.25">
      <c r="P55" s="880"/>
    </row>
    <row r="56" spans="1:31" x14ac:dyDescent="0.25">
      <c r="P56" s="880"/>
    </row>
    <row r="57" spans="1:31" x14ac:dyDescent="0.25">
      <c r="P57" s="880"/>
    </row>
    <row r="58" spans="1:31" x14ac:dyDescent="0.25">
      <c r="P58" s="880"/>
    </row>
    <row r="59" spans="1:31" x14ac:dyDescent="0.25">
      <c r="P59" s="880"/>
    </row>
    <row r="60" spans="1:31" x14ac:dyDescent="0.25">
      <c r="P60" s="880"/>
    </row>
    <row r="61" spans="1:31" x14ac:dyDescent="0.25">
      <c r="P61" s="880"/>
    </row>
    <row r="62" spans="1:31" x14ac:dyDescent="0.25">
      <c r="P62" s="880"/>
    </row>
    <row r="63" spans="1:31" x14ac:dyDescent="0.25">
      <c r="P63" s="880"/>
    </row>
    <row r="64" spans="1:31" x14ac:dyDescent="0.25">
      <c r="P64" s="880"/>
    </row>
    <row r="65" spans="16:16" x14ac:dyDescent="0.25">
      <c r="P65" s="880"/>
    </row>
    <row r="66" spans="16:16" x14ac:dyDescent="0.25">
      <c r="P66" s="880"/>
    </row>
    <row r="67" spans="16:16" x14ac:dyDescent="0.25">
      <c r="P67" s="880"/>
    </row>
    <row r="68" spans="16:16" x14ac:dyDescent="0.25">
      <c r="P68" s="880"/>
    </row>
    <row r="69" spans="16:16" x14ac:dyDescent="0.25">
      <c r="P69" s="880"/>
    </row>
    <row r="70" spans="16:16" x14ac:dyDescent="0.25">
      <c r="P70" s="880"/>
    </row>
  </sheetData>
  <autoFilter ref="A2:BO54" xr:uid="{EF366A09-3F06-4307-B28F-688B89EE53D9}"/>
  <conditionalFormatting sqref="C3:C54 F3:G54 I3:I54 N3:O54 C71 F71:G71 I71 N71:O71">
    <cfRule type="cellIs" dxfId="2" priority="2" operator="lessThan">
      <formula>0</formula>
    </cfRule>
  </conditionalFormatting>
  <conditionalFormatting sqref="V3:W49 Y3:Y49 AD3:AE49">
    <cfRule type="cellIs" dxfId="1" priority="3" operator="lessThan">
      <formula>0</formula>
    </cfRule>
  </conditionalFormatting>
  <conditionalFormatting sqref="AK3:AK23 AN3:AO23 AQ3:AQ23 AV3:AW23 BD3:BE29 BG3:BG29 BL3:BM2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B97-EB31-4A65-90B6-7448D58333C5}">
  <dimension ref="A1:T75"/>
  <sheetViews>
    <sheetView tabSelected="1" zoomScale="60" zoomScaleNormal="60" workbookViewId="0">
      <selection activeCell="P6" sqref="P6:P42"/>
    </sheetView>
    <sheetView zoomScale="80" zoomScaleNormal="80" workbookViewId="1">
      <selection activeCell="M7" sqref="M7"/>
    </sheetView>
  </sheetViews>
  <sheetFormatPr defaultRowHeight="15" x14ac:dyDescent="0.25"/>
  <cols>
    <col min="13" max="19" width="10.140625" bestFit="1" customWidth="1"/>
  </cols>
  <sheetData>
    <row r="1" spans="1:20" ht="15.75" thickBot="1" x14ac:dyDescent="0.3">
      <c r="A1" s="384"/>
      <c r="B1" s="1247" t="s">
        <v>1028</v>
      </c>
      <c r="C1" s="1248"/>
      <c r="D1" s="1248"/>
      <c r="E1" s="1248"/>
      <c r="F1" s="1248"/>
      <c r="G1" s="1248"/>
      <c r="H1" s="1248"/>
      <c r="I1" s="384"/>
      <c r="J1" s="384"/>
      <c r="M1" s="1251" t="s">
        <v>1309</v>
      </c>
      <c r="N1" s="1252"/>
      <c r="O1" s="1252"/>
      <c r="P1" s="1252"/>
      <c r="Q1" s="1252"/>
      <c r="R1" s="1252"/>
      <c r="S1" s="1253"/>
    </row>
    <row r="2" spans="1:20" x14ac:dyDescent="0.25">
      <c r="A2" s="384"/>
      <c r="B2" s="506" t="s">
        <v>1029</v>
      </c>
      <c r="C2" s="507" t="s">
        <v>1030</v>
      </c>
      <c r="D2" s="508" t="s">
        <v>1031</v>
      </c>
      <c r="E2" s="507" t="s">
        <v>1032</v>
      </c>
      <c r="F2" s="508" t="s">
        <v>1033</v>
      </c>
      <c r="G2" s="507" t="s">
        <v>1034</v>
      </c>
      <c r="H2" s="509" t="s">
        <v>1035</v>
      </c>
      <c r="I2" s="384"/>
      <c r="J2" s="384"/>
      <c r="M2" s="1152" t="s">
        <v>1029</v>
      </c>
      <c r="N2" s="1187" t="s">
        <v>1030</v>
      </c>
      <c r="O2" s="1161" t="s">
        <v>1031</v>
      </c>
      <c r="P2" s="1187" t="s">
        <v>1032</v>
      </c>
      <c r="Q2" s="1161" t="s">
        <v>1033</v>
      </c>
      <c r="R2" s="1187" t="s">
        <v>1034</v>
      </c>
      <c r="S2" s="1153" t="s">
        <v>1035</v>
      </c>
    </row>
    <row r="3" spans="1:20" x14ac:dyDescent="0.25">
      <c r="A3" s="384"/>
      <c r="B3" s="499" t="s">
        <v>1036</v>
      </c>
      <c r="C3" s="462" t="s">
        <v>1036</v>
      </c>
      <c r="D3" s="512" t="s">
        <v>342</v>
      </c>
      <c r="E3" s="512" t="s">
        <v>342</v>
      </c>
      <c r="F3" s="512" t="s">
        <v>342</v>
      </c>
      <c r="G3" s="512" t="s">
        <v>342</v>
      </c>
      <c r="H3" s="513" t="s">
        <v>320</v>
      </c>
      <c r="I3" s="384"/>
      <c r="J3" s="384"/>
      <c r="M3" s="1188" t="s">
        <v>1036</v>
      </c>
      <c r="N3" s="1172" t="s">
        <v>1036</v>
      </c>
      <c r="O3" s="1175" t="s">
        <v>342</v>
      </c>
      <c r="P3" s="1175" t="s">
        <v>342</v>
      </c>
      <c r="Q3" s="1175" t="s">
        <v>342</v>
      </c>
      <c r="R3" s="1175" t="s">
        <v>342</v>
      </c>
      <c r="S3" s="1189" t="s">
        <v>320</v>
      </c>
    </row>
    <row r="4" spans="1:20" x14ac:dyDescent="0.25">
      <c r="A4" s="384"/>
      <c r="B4" s="499" t="s">
        <v>1036</v>
      </c>
      <c r="C4" s="510" t="s">
        <v>295</v>
      </c>
      <c r="D4" s="510" t="s">
        <v>295</v>
      </c>
      <c r="E4" s="510" t="s">
        <v>295</v>
      </c>
      <c r="F4" s="462" t="s">
        <v>1036</v>
      </c>
      <c r="G4" s="510" t="s">
        <v>285</v>
      </c>
      <c r="H4" s="518" t="s">
        <v>303</v>
      </c>
      <c r="I4" s="385">
        <v>0.68055555555555558</v>
      </c>
      <c r="J4" s="384"/>
      <c r="M4" s="1188" t="s">
        <v>1036</v>
      </c>
      <c r="N4" s="1171" t="s">
        <v>295</v>
      </c>
      <c r="O4" s="1171" t="s">
        <v>295</v>
      </c>
      <c r="P4" s="1171" t="s">
        <v>295</v>
      </c>
      <c r="Q4" s="1172" t="s">
        <v>1036</v>
      </c>
      <c r="R4" s="1171" t="s">
        <v>285</v>
      </c>
      <c r="S4" s="1190" t="s">
        <v>303</v>
      </c>
      <c r="T4" s="1019">
        <v>0.68055555555555558</v>
      </c>
    </row>
    <row r="5" spans="1:20" x14ac:dyDescent="0.25">
      <c r="A5" s="385">
        <v>0.25</v>
      </c>
      <c r="B5" s="517" t="s">
        <v>332</v>
      </c>
      <c r="C5" s="512" t="s">
        <v>342</v>
      </c>
      <c r="D5" s="462" t="s">
        <v>1036</v>
      </c>
      <c r="E5" s="511" t="s">
        <v>326</v>
      </c>
      <c r="F5" s="511" t="s">
        <v>326</v>
      </c>
      <c r="G5" s="511" t="s">
        <v>326</v>
      </c>
      <c r="H5" s="500" t="s">
        <v>1036</v>
      </c>
      <c r="I5" s="384"/>
      <c r="J5" s="384"/>
      <c r="L5" s="1019">
        <v>0.25</v>
      </c>
      <c r="M5" s="1191" t="s">
        <v>332</v>
      </c>
      <c r="N5" s="1192" t="s">
        <v>326</v>
      </c>
      <c r="O5" s="1172" t="s">
        <v>1036</v>
      </c>
      <c r="P5" s="1176" t="s">
        <v>326</v>
      </c>
      <c r="Q5" s="1176" t="s">
        <v>326</v>
      </c>
      <c r="R5" s="1176" t="s">
        <v>326</v>
      </c>
      <c r="S5" s="1193" t="s">
        <v>1036</v>
      </c>
    </row>
    <row r="6" spans="1:20" x14ac:dyDescent="0.25">
      <c r="A6" s="384"/>
      <c r="B6" s="499" t="s">
        <v>1036</v>
      </c>
      <c r="C6" s="510" t="s">
        <v>285</v>
      </c>
      <c r="D6" s="510" t="s">
        <v>285</v>
      </c>
      <c r="E6" s="510" t="s">
        <v>285</v>
      </c>
      <c r="F6" s="510" t="s">
        <v>285</v>
      </c>
      <c r="G6" s="462" t="s">
        <v>1036</v>
      </c>
      <c r="H6" s="518" t="s">
        <v>299</v>
      </c>
      <c r="I6" s="384"/>
      <c r="J6" s="384"/>
      <c r="M6" s="1188" t="s">
        <v>1036</v>
      </c>
      <c r="N6" s="1171" t="s">
        <v>285</v>
      </c>
      <c r="O6" s="1171" t="s">
        <v>285</v>
      </c>
      <c r="P6" s="1171" t="s">
        <v>285</v>
      </c>
      <c r="Q6" s="1171" t="s">
        <v>285</v>
      </c>
      <c r="R6" s="1172" t="s">
        <v>1036</v>
      </c>
      <c r="S6" s="1190" t="s">
        <v>299</v>
      </c>
    </row>
    <row r="7" spans="1:20" x14ac:dyDescent="0.25">
      <c r="A7" s="385">
        <v>0.22291666666666668</v>
      </c>
      <c r="B7" s="516" t="s">
        <v>285</v>
      </c>
      <c r="C7" s="511" t="s">
        <v>326</v>
      </c>
      <c r="D7" s="511" t="s">
        <v>326</v>
      </c>
      <c r="E7" s="462" t="s">
        <v>1036</v>
      </c>
      <c r="F7" s="510" t="s">
        <v>295</v>
      </c>
      <c r="G7" s="510" t="s">
        <v>295</v>
      </c>
      <c r="H7" s="500" t="s">
        <v>1036</v>
      </c>
      <c r="I7" s="384"/>
      <c r="J7" s="384"/>
      <c r="L7" s="1019">
        <v>0.22291666666666668</v>
      </c>
      <c r="M7" s="1194" t="s">
        <v>285</v>
      </c>
      <c r="N7" s="1192" t="s">
        <v>342</v>
      </c>
      <c r="O7" s="1176" t="s">
        <v>326</v>
      </c>
      <c r="P7" s="1172" t="s">
        <v>1036</v>
      </c>
      <c r="Q7" s="1171" t="s">
        <v>295</v>
      </c>
      <c r="R7" s="1171" t="s">
        <v>295</v>
      </c>
      <c r="S7" s="1193" t="s">
        <v>1036</v>
      </c>
    </row>
    <row r="8" spans="1:20" x14ac:dyDescent="0.25">
      <c r="A8" s="384"/>
      <c r="B8" s="499" t="s">
        <v>1036</v>
      </c>
      <c r="C8" s="462" t="s">
        <v>1036</v>
      </c>
      <c r="D8" s="511" t="s">
        <v>330</v>
      </c>
      <c r="E8" s="511" t="s">
        <v>330</v>
      </c>
      <c r="F8" s="511" t="s">
        <v>330</v>
      </c>
      <c r="G8" s="511" t="s">
        <v>330</v>
      </c>
      <c r="H8" s="519" t="s">
        <v>340</v>
      </c>
      <c r="I8" s="384"/>
      <c r="J8" s="384"/>
      <c r="M8" s="1188" t="s">
        <v>1036</v>
      </c>
      <c r="N8" s="1172" t="s">
        <v>1036</v>
      </c>
      <c r="O8" s="1176" t="s">
        <v>330</v>
      </c>
      <c r="P8" s="1176" t="s">
        <v>330</v>
      </c>
      <c r="Q8" s="1176" t="s">
        <v>330</v>
      </c>
      <c r="R8" s="1176" t="s">
        <v>330</v>
      </c>
      <c r="S8" s="1195" t="s">
        <v>340</v>
      </c>
    </row>
    <row r="9" spans="1:20" x14ac:dyDescent="0.25">
      <c r="A9" s="384"/>
      <c r="B9" s="499" t="s">
        <v>1036</v>
      </c>
      <c r="C9" s="510" t="s">
        <v>297</v>
      </c>
      <c r="D9" s="510" t="s">
        <v>297</v>
      </c>
      <c r="E9" s="510" t="s">
        <v>297</v>
      </c>
      <c r="F9" s="462" t="s">
        <v>1036</v>
      </c>
      <c r="G9" s="510" t="s">
        <v>315</v>
      </c>
      <c r="H9" s="513" t="s">
        <v>322</v>
      </c>
      <c r="I9" s="385">
        <v>0.87152777777777779</v>
      </c>
      <c r="J9" s="384"/>
      <c r="M9" s="1188" t="s">
        <v>1036</v>
      </c>
      <c r="N9" s="1171" t="s">
        <v>297</v>
      </c>
      <c r="O9" s="1171" t="s">
        <v>297</v>
      </c>
      <c r="P9" s="1171" t="s">
        <v>297</v>
      </c>
      <c r="Q9" s="1172" t="s">
        <v>1036</v>
      </c>
      <c r="R9" s="1171" t="s">
        <v>315</v>
      </c>
      <c r="S9" s="1189" t="s">
        <v>322</v>
      </c>
      <c r="T9" s="1019">
        <v>0.87152777777777779</v>
      </c>
    </row>
    <row r="10" spans="1:20" x14ac:dyDescent="0.25">
      <c r="A10" s="385">
        <v>0.29375000000000001</v>
      </c>
      <c r="B10" s="515" t="s">
        <v>309</v>
      </c>
      <c r="C10" s="511" t="s">
        <v>330</v>
      </c>
      <c r="D10" s="462" t="s">
        <v>1036</v>
      </c>
      <c r="E10" s="511" t="s">
        <v>328</v>
      </c>
      <c r="F10" s="511" t="s">
        <v>328</v>
      </c>
      <c r="G10" s="511" t="s">
        <v>328</v>
      </c>
      <c r="H10" s="500" t="s">
        <v>1036</v>
      </c>
      <c r="I10" s="384"/>
      <c r="J10" s="384"/>
      <c r="L10" s="1019">
        <v>0.29375000000000001</v>
      </c>
      <c r="M10" s="1196" t="s">
        <v>309</v>
      </c>
      <c r="N10" s="1192" t="s">
        <v>328</v>
      </c>
      <c r="O10" s="1172" t="s">
        <v>1036</v>
      </c>
      <c r="P10" s="1176" t="s">
        <v>328</v>
      </c>
      <c r="Q10" s="1176" t="s">
        <v>328</v>
      </c>
      <c r="R10" s="1176" t="s">
        <v>328</v>
      </c>
      <c r="S10" s="1193" t="s">
        <v>1036</v>
      </c>
    </row>
    <row r="11" spans="1:20" x14ac:dyDescent="0.25">
      <c r="A11" s="384"/>
      <c r="B11" s="499" t="s">
        <v>1036</v>
      </c>
      <c r="C11" s="510" t="s">
        <v>315</v>
      </c>
      <c r="D11" s="510" t="s">
        <v>315</v>
      </c>
      <c r="E11" s="510" t="s">
        <v>315</v>
      </c>
      <c r="F11" s="510" t="s">
        <v>315</v>
      </c>
      <c r="G11" s="462" t="s">
        <v>1036</v>
      </c>
      <c r="H11" s="518" t="s">
        <v>290</v>
      </c>
      <c r="I11" s="384"/>
      <c r="J11" s="384"/>
      <c r="M11" s="1188" t="s">
        <v>1036</v>
      </c>
      <c r="N11" s="1171" t="s">
        <v>315</v>
      </c>
      <c r="O11" s="1171" t="s">
        <v>315</v>
      </c>
      <c r="P11" s="1171" t="s">
        <v>315</v>
      </c>
      <c r="Q11" s="1171" t="s">
        <v>315</v>
      </c>
      <c r="R11" s="1172" t="s">
        <v>1036</v>
      </c>
      <c r="S11" s="1190" t="s">
        <v>290</v>
      </c>
    </row>
    <row r="12" spans="1:20" x14ac:dyDescent="0.25">
      <c r="A12" s="385">
        <v>0.21388888888888888</v>
      </c>
      <c r="B12" s="516" t="s">
        <v>301</v>
      </c>
      <c r="C12" s="511" t="s">
        <v>328</v>
      </c>
      <c r="D12" s="511" t="s">
        <v>328</v>
      </c>
      <c r="E12" s="462" t="s">
        <v>1036</v>
      </c>
      <c r="F12" s="510" t="s">
        <v>297</v>
      </c>
      <c r="G12" s="510" t="s">
        <v>297</v>
      </c>
      <c r="H12" s="500" t="s">
        <v>1036</v>
      </c>
      <c r="I12" s="384"/>
      <c r="J12" s="384"/>
      <c r="L12" s="1019">
        <v>0.21388888888888888</v>
      </c>
      <c r="M12" s="1194" t="s">
        <v>301</v>
      </c>
      <c r="N12" s="1192" t="s">
        <v>330</v>
      </c>
      <c r="O12" s="1176" t="s">
        <v>328</v>
      </c>
      <c r="P12" s="1172" t="s">
        <v>1036</v>
      </c>
      <c r="Q12" s="1171" t="s">
        <v>297</v>
      </c>
      <c r="R12" s="1171" t="s">
        <v>297</v>
      </c>
      <c r="S12" s="1193" t="s">
        <v>1036</v>
      </c>
    </row>
    <row r="13" spans="1:20" x14ac:dyDescent="0.25">
      <c r="A13" s="384"/>
      <c r="B13" s="499" t="s">
        <v>1036</v>
      </c>
      <c r="C13" s="462" t="s">
        <v>1036</v>
      </c>
      <c r="D13" s="512" t="s">
        <v>352</v>
      </c>
      <c r="E13" s="512" t="s">
        <v>352</v>
      </c>
      <c r="F13" s="512" t="s">
        <v>352</v>
      </c>
      <c r="G13" s="512" t="s">
        <v>352</v>
      </c>
      <c r="H13" s="513" t="s">
        <v>318</v>
      </c>
      <c r="I13" s="384"/>
      <c r="J13" s="384"/>
      <c r="M13" s="1188" t="s">
        <v>1036</v>
      </c>
      <c r="N13" s="1172" t="s">
        <v>1036</v>
      </c>
      <c r="O13" s="1175" t="s">
        <v>352</v>
      </c>
      <c r="P13" s="1175" t="s">
        <v>352</v>
      </c>
      <c r="Q13" s="1175" t="s">
        <v>352</v>
      </c>
      <c r="R13" s="1175" t="s">
        <v>352</v>
      </c>
      <c r="S13" s="1189" t="s">
        <v>318</v>
      </c>
    </row>
    <row r="14" spans="1:20" x14ac:dyDescent="0.25">
      <c r="A14" s="384"/>
      <c r="B14" s="499" t="s">
        <v>1036</v>
      </c>
      <c r="C14" s="510" t="s">
        <v>299</v>
      </c>
      <c r="D14" s="510" t="s">
        <v>299</v>
      </c>
      <c r="E14" s="510" t="s">
        <v>299</v>
      </c>
      <c r="F14" s="462" t="s">
        <v>1036</v>
      </c>
      <c r="G14" s="510" t="s">
        <v>305</v>
      </c>
      <c r="H14" s="518" t="s">
        <v>305</v>
      </c>
      <c r="I14" s="385">
        <v>0.67152777777777772</v>
      </c>
      <c r="J14" s="384"/>
      <c r="M14" s="1188" t="s">
        <v>1036</v>
      </c>
      <c r="N14" s="1171" t="s">
        <v>299</v>
      </c>
      <c r="O14" s="1171" t="s">
        <v>299</v>
      </c>
      <c r="P14" s="1171" t="s">
        <v>299</v>
      </c>
      <c r="Q14" s="1172" t="s">
        <v>1036</v>
      </c>
      <c r="R14" s="1171" t="s">
        <v>305</v>
      </c>
      <c r="S14" s="1190" t="s">
        <v>305</v>
      </c>
      <c r="T14" s="1019">
        <v>0.67152777777777772</v>
      </c>
    </row>
    <row r="15" spans="1:20" x14ac:dyDescent="0.25">
      <c r="A15" s="385">
        <v>0.25</v>
      </c>
      <c r="B15" s="517" t="s">
        <v>330</v>
      </c>
      <c r="C15" s="512" t="s">
        <v>352</v>
      </c>
      <c r="D15" s="462" t="s">
        <v>1036</v>
      </c>
      <c r="E15" s="512" t="s">
        <v>344</v>
      </c>
      <c r="F15" s="512" t="s">
        <v>344</v>
      </c>
      <c r="G15" s="512" t="s">
        <v>344</v>
      </c>
      <c r="H15" s="500" t="s">
        <v>1036</v>
      </c>
      <c r="I15" s="384"/>
      <c r="J15" s="384"/>
      <c r="L15" s="1019">
        <v>0.25</v>
      </c>
      <c r="M15" s="1191" t="s">
        <v>330</v>
      </c>
      <c r="N15" s="1192" t="s">
        <v>344</v>
      </c>
      <c r="O15" s="1172" t="s">
        <v>1036</v>
      </c>
      <c r="P15" s="1175" t="s">
        <v>344</v>
      </c>
      <c r="Q15" s="1175" t="s">
        <v>344</v>
      </c>
      <c r="R15" s="1175" t="s">
        <v>344</v>
      </c>
      <c r="S15" s="1193" t="s">
        <v>1036</v>
      </c>
    </row>
    <row r="16" spans="1:20" x14ac:dyDescent="0.25">
      <c r="A16" s="384"/>
      <c r="B16" s="499" t="s">
        <v>1036</v>
      </c>
      <c r="C16" s="510" t="s">
        <v>305</v>
      </c>
      <c r="D16" s="510" t="s">
        <v>305</v>
      </c>
      <c r="E16" s="510" t="s">
        <v>305</v>
      </c>
      <c r="F16" s="510" t="s">
        <v>305</v>
      </c>
      <c r="G16" s="462" t="s">
        <v>1036</v>
      </c>
      <c r="H16" s="518" t="s">
        <v>307</v>
      </c>
      <c r="I16" s="384"/>
      <c r="J16" s="384"/>
      <c r="M16" s="1188" t="s">
        <v>1036</v>
      </c>
      <c r="N16" s="1171" t="s">
        <v>305</v>
      </c>
      <c r="O16" s="1171" t="s">
        <v>305</v>
      </c>
      <c r="P16" s="1171" t="s">
        <v>305</v>
      </c>
      <c r="Q16" s="1171" t="s">
        <v>305</v>
      </c>
      <c r="R16" s="1172" t="s">
        <v>1036</v>
      </c>
      <c r="S16" s="1190" t="s">
        <v>307</v>
      </c>
    </row>
    <row r="17" spans="1:20" x14ac:dyDescent="0.25">
      <c r="A17" s="385">
        <v>0.26527777777777778</v>
      </c>
      <c r="B17" s="516" t="s">
        <v>293</v>
      </c>
      <c r="C17" s="512" t="s">
        <v>344</v>
      </c>
      <c r="D17" s="512" t="s">
        <v>344</v>
      </c>
      <c r="E17" s="462" t="s">
        <v>1036</v>
      </c>
      <c r="F17" s="510" t="s">
        <v>299</v>
      </c>
      <c r="G17" s="510" t="s">
        <v>299</v>
      </c>
      <c r="H17" s="500" t="s">
        <v>1036</v>
      </c>
      <c r="I17" s="384"/>
      <c r="J17" s="384"/>
      <c r="L17" s="1019">
        <v>0.26527777777777778</v>
      </c>
      <c r="M17" s="1194" t="s">
        <v>293</v>
      </c>
      <c r="N17" s="1192" t="s">
        <v>352</v>
      </c>
      <c r="O17" s="1175" t="s">
        <v>344</v>
      </c>
      <c r="P17" s="1172" t="s">
        <v>1036</v>
      </c>
      <c r="Q17" s="1171" t="s">
        <v>299</v>
      </c>
      <c r="R17" s="1171" t="s">
        <v>299</v>
      </c>
      <c r="S17" s="1193" t="s">
        <v>1036</v>
      </c>
    </row>
    <row r="18" spans="1:20" x14ac:dyDescent="0.25">
      <c r="A18" s="384"/>
      <c r="B18" s="499" t="s">
        <v>1036</v>
      </c>
      <c r="C18" s="462" t="s">
        <v>1036</v>
      </c>
      <c r="D18" s="511" t="s">
        <v>332</v>
      </c>
      <c r="E18" s="511" t="s">
        <v>332</v>
      </c>
      <c r="F18" s="511" t="s">
        <v>332</v>
      </c>
      <c r="G18" s="511" t="s">
        <v>332</v>
      </c>
      <c r="H18" s="519" t="s">
        <v>344</v>
      </c>
      <c r="I18" s="384"/>
      <c r="J18" s="384"/>
      <c r="M18" s="1188" t="s">
        <v>1036</v>
      </c>
      <c r="N18" s="1172" t="s">
        <v>1036</v>
      </c>
      <c r="O18" s="1176" t="s">
        <v>332</v>
      </c>
      <c r="P18" s="1176" t="s">
        <v>332</v>
      </c>
      <c r="Q18" s="1176" t="s">
        <v>332</v>
      </c>
      <c r="R18" s="1176" t="s">
        <v>332</v>
      </c>
      <c r="S18" s="1195" t="s">
        <v>344</v>
      </c>
    </row>
    <row r="19" spans="1:20" x14ac:dyDescent="0.25">
      <c r="A19" s="384"/>
      <c r="B19" s="499" t="s">
        <v>1036</v>
      </c>
      <c r="C19" s="510" t="s">
        <v>301</v>
      </c>
      <c r="D19" s="510" t="s">
        <v>301</v>
      </c>
      <c r="E19" s="510" t="s">
        <v>301</v>
      </c>
      <c r="F19" s="462" t="s">
        <v>1036</v>
      </c>
      <c r="G19" s="510" t="s">
        <v>320</v>
      </c>
      <c r="H19" s="518" t="s">
        <v>309</v>
      </c>
      <c r="I19" s="385">
        <v>0.62847222222222221</v>
      </c>
      <c r="J19" s="384"/>
      <c r="M19" s="1188" t="s">
        <v>1036</v>
      </c>
      <c r="N19" s="1171" t="s">
        <v>301</v>
      </c>
      <c r="O19" s="1171" t="s">
        <v>301</v>
      </c>
      <c r="P19" s="1171" t="s">
        <v>301</v>
      </c>
      <c r="Q19" s="1172" t="s">
        <v>1036</v>
      </c>
      <c r="R19" s="1171" t="s">
        <v>320</v>
      </c>
      <c r="S19" s="1190" t="s">
        <v>309</v>
      </c>
      <c r="T19" s="1019">
        <v>0.62847222222222221</v>
      </c>
    </row>
    <row r="20" spans="1:20" x14ac:dyDescent="0.25">
      <c r="A20" s="385">
        <v>0.28541666666666665</v>
      </c>
      <c r="B20" s="515" t="s">
        <v>315</v>
      </c>
      <c r="C20" s="511" t="s">
        <v>332</v>
      </c>
      <c r="D20" s="462" t="s">
        <v>1036</v>
      </c>
      <c r="E20" s="511" t="s">
        <v>1037</v>
      </c>
      <c r="F20" s="511" t="s">
        <v>1037</v>
      </c>
      <c r="G20" s="511" t="s">
        <v>1037</v>
      </c>
      <c r="H20" s="500" t="s">
        <v>1036</v>
      </c>
      <c r="I20" s="384"/>
      <c r="J20" s="384"/>
      <c r="L20" s="1019">
        <v>0.28541666666666665</v>
      </c>
      <c r="M20" s="1196" t="s">
        <v>315</v>
      </c>
      <c r="N20" s="1192" t="s">
        <v>334</v>
      </c>
      <c r="O20" s="1172" t="s">
        <v>1036</v>
      </c>
      <c r="P20" s="1176" t="s">
        <v>1037</v>
      </c>
      <c r="Q20" s="1176" t="s">
        <v>1037</v>
      </c>
      <c r="R20" s="1176" t="s">
        <v>1037</v>
      </c>
      <c r="S20" s="1193" t="s">
        <v>1036</v>
      </c>
    </row>
    <row r="21" spans="1:20" x14ac:dyDescent="0.25">
      <c r="A21" s="384"/>
      <c r="B21" s="499" t="s">
        <v>1036</v>
      </c>
      <c r="C21" s="510" t="s">
        <v>320</v>
      </c>
      <c r="D21" s="510" t="s">
        <v>320</v>
      </c>
      <c r="E21" s="510" t="s">
        <v>320</v>
      </c>
      <c r="F21" s="510" t="s">
        <v>320</v>
      </c>
      <c r="G21" s="462" t="s">
        <v>1036</v>
      </c>
      <c r="H21" s="518" t="s">
        <v>293</v>
      </c>
      <c r="I21" s="384"/>
      <c r="J21" s="384"/>
      <c r="M21" s="1188" t="s">
        <v>1036</v>
      </c>
      <c r="N21" s="1171" t="s">
        <v>320</v>
      </c>
      <c r="O21" s="1171" t="s">
        <v>320</v>
      </c>
      <c r="P21" s="1171" t="s">
        <v>320</v>
      </c>
      <c r="Q21" s="1171" t="s">
        <v>320</v>
      </c>
      <c r="R21" s="1172" t="s">
        <v>1036</v>
      </c>
      <c r="S21" s="1190" t="s">
        <v>293</v>
      </c>
    </row>
    <row r="22" spans="1:20" x14ac:dyDescent="0.25">
      <c r="A22" s="385">
        <v>0.23402777777777778</v>
      </c>
      <c r="B22" s="516" t="s">
        <v>299</v>
      </c>
      <c r="C22" s="511" t="s">
        <v>1037</v>
      </c>
      <c r="D22" s="511" t="s">
        <v>1037</v>
      </c>
      <c r="E22" s="462" t="s">
        <v>1036</v>
      </c>
      <c r="F22" s="510" t="s">
        <v>301</v>
      </c>
      <c r="G22" s="510" t="s">
        <v>301</v>
      </c>
      <c r="H22" s="500" t="s">
        <v>1036</v>
      </c>
      <c r="I22" s="384"/>
      <c r="J22" s="384"/>
      <c r="L22" s="1019">
        <v>0.23402777777777778</v>
      </c>
      <c r="M22" s="1194" t="s">
        <v>299</v>
      </c>
      <c r="N22" s="1192" t="s">
        <v>1308</v>
      </c>
      <c r="O22" s="1176" t="s">
        <v>1037</v>
      </c>
      <c r="P22" s="1172" t="s">
        <v>1036</v>
      </c>
      <c r="Q22" s="1171" t="s">
        <v>301</v>
      </c>
      <c r="R22" s="1171" t="s">
        <v>301</v>
      </c>
      <c r="S22" s="1193" t="s">
        <v>1036</v>
      </c>
    </row>
    <row r="23" spans="1:20" x14ac:dyDescent="0.25">
      <c r="A23" s="384"/>
      <c r="B23" s="499" t="s">
        <v>1036</v>
      </c>
      <c r="C23" s="462" t="s">
        <v>1036</v>
      </c>
      <c r="D23" s="512" t="s">
        <v>358</v>
      </c>
      <c r="E23" s="512" t="s">
        <v>358</v>
      </c>
      <c r="F23" s="512" t="s">
        <v>358</v>
      </c>
      <c r="G23" s="512" t="s">
        <v>358</v>
      </c>
      <c r="H23" s="513" t="s">
        <v>324</v>
      </c>
      <c r="I23" s="384"/>
      <c r="J23" s="384"/>
      <c r="M23" s="1188" t="s">
        <v>1036</v>
      </c>
      <c r="N23" s="1172" t="s">
        <v>1036</v>
      </c>
      <c r="O23" s="1175" t="s">
        <v>358</v>
      </c>
      <c r="P23" s="1175" t="s">
        <v>358</v>
      </c>
      <c r="Q23" s="1175" t="s">
        <v>358</v>
      </c>
      <c r="R23" s="1175" t="s">
        <v>358</v>
      </c>
      <c r="S23" s="1189" t="s">
        <v>324</v>
      </c>
    </row>
    <row r="24" spans="1:20" x14ac:dyDescent="0.25">
      <c r="A24" s="384"/>
      <c r="B24" s="499" t="s">
        <v>1036</v>
      </c>
      <c r="C24" s="510" t="s">
        <v>303</v>
      </c>
      <c r="D24" s="510" t="s">
        <v>303</v>
      </c>
      <c r="E24" s="510" t="s">
        <v>303</v>
      </c>
      <c r="F24" s="462" t="s">
        <v>1036</v>
      </c>
      <c r="G24" s="510" t="s">
        <v>311</v>
      </c>
      <c r="H24" s="513" t="s">
        <v>315</v>
      </c>
      <c r="I24" s="385">
        <v>0.89236111111111116</v>
      </c>
      <c r="J24" s="384"/>
      <c r="M24" s="1188" t="s">
        <v>1036</v>
      </c>
      <c r="N24" s="1171" t="s">
        <v>303</v>
      </c>
      <c r="O24" s="1171" t="s">
        <v>303</v>
      </c>
      <c r="P24" s="1171" t="s">
        <v>303</v>
      </c>
      <c r="Q24" s="1172" t="s">
        <v>1036</v>
      </c>
      <c r="R24" s="1171" t="s">
        <v>311</v>
      </c>
      <c r="S24" s="1189" t="s">
        <v>315</v>
      </c>
      <c r="T24" s="1019">
        <v>0.89236111111111116</v>
      </c>
    </row>
    <row r="25" spans="1:20" x14ac:dyDescent="0.25">
      <c r="A25" s="385">
        <v>0.25833333333333336</v>
      </c>
      <c r="B25" s="517" t="s">
        <v>328</v>
      </c>
      <c r="C25" s="512" t="s">
        <v>358</v>
      </c>
      <c r="D25" s="462" t="s">
        <v>1036</v>
      </c>
      <c r="E25" s="511" t="s">
        <v>336</v>
      </c>
      <c r="F25" s="511" t="s">
        <v>336</v>
      </c>
      <c r="G25" s="511" t="s">
        <v>336</v>
      </c>
      <c r="H25" s="500" t="s">
        <v>1036</v>
      </c>
      <c r="I25" s="384"/>
      <c r="J25" s="384"/>
      <c r="L25" s="1019">
        <v>0.25833333333333336</v>
      </c>
      <c r="M25" s="1191" t="s">
        <v>328</v>
      </c>
      <c r="N25" s="1192" t="s">
        <v>336</v>
      </c>
      <c r="O25" s="1172" t="s">
        <v>1036</v>
      </c>
      <c r="P25" s="1176" t="s">
        <v>336</v>
      </c>
      <c r="Q25" s="1176" t="s">
        <v>336</v>
      </c>
      <c r="R25" s="1176" t="s">
        <v>336</v>
      </c>
      <c r="S25" s="1193" t="s">
        <v>1036</v>
      </c>
    </row>
    <row r="26" spans="1:20" x14ac:dyDescent="0.25">
      <c r="A26" s="384"/>
      <c r="B26" s="499" t="s">
        <v>1036</v>
      </c>
      <c r="C26" s="510" t="s">
        <v>311</v>
      </c>
      <c r="D26" s="510" t="s">
        <v>311</v>
      </c>
      <c r="E26" s="510" t="s">
        <v>311</v>
      </c>
      <c r="F26" s="510" t="s">
        <v>311</v>
      </c>
      <c r="G26" s="462" t="s">
        <v>1036</v>
      </c>
      <c r="H26" s="518" t="s">
        <v>297</v>
      </c>
      <c r="I26" s="384"/>
      <c r="J26" s="384"/>
      <c r="M26" s="1188" t="s">
        <v>1036</v>
      </c>
      <c r="N26" s="1171" t="s">
        <v>311</v>
      </c>
      <c r="O26" s="1171" t="s">
        <v>311</v>
      </c>
      <c r="P26" s="1171" t="s">
        <v>311</v>
      </c>
      <c r="Q26" s="1171" t="s">
        <v>311</v>
      </c>
      <c r="R26" s="1172" t="s">
        <v>1036</v>
      </c>
      <c r="S26" s="1190" t="s">
        <v>297</v>
      </c>
    </row>
    <row r="27" spans="1:20" x14ac:dyDescent="0.25">
      <c r="A27" s="385">
        <v>0.21041666666666667</v>
      </c>
      <c r="B27" s="516" t="s">
        <v>297</v>
      </c>
      <c r="C27" s="511" t="s">
        <v>336</v>
      </c>
      <c r="D27" s="511" t="s">
        <v>336</v>
      </c>
      <c r="E27" s="462" t="s">
        <v>1036</v>
      </c>
      <c r="F27" s="510" t="s">
        <v>303</v>
      </c>
      <c r="G27" s="510" t="s">
        <v>303</v>
      </c>
      <c r="H27" s="500" t="s">
        <v>1036</v>
      </c>
      <c r="I27" s="384"/>
      <c r="J27" s="384"/>
      <c r="L27" s="1019">
        <v>0.21041666666666667</v>
      </c>
      <c r="M27" s="1194" t="s">
        <v>297</v>
      </c>
      <c r="N27" s="1192" t="s">
        <v>358</v>
      </c>
      <c r="O27" s="1176" t="s">
        <v>336</v>
      </c>
      <c r="P27" s="1172" t="s">
        <v>1036</v>
      </c>
      <c r="Q27" s="1171" t="s">
        <v>303</v>
      </c>
      <c r="R27" s="1171" t="s">
        <v>303</v>
      </c>
      <c r="S27" s="1193" t="s">
        <v>1036</v>
      </c>
    </row>
    <row r="28" spans="1:20" x14ac:dyDescent="0.25">
      <c r="A28" s="384"/>
      <c r="B28" s="499" t="s">
        <v>1036</v>
      </c>
      <c r="C28" s="462" t="s">
        <v>1036</v>
      </c>
      <c r="D28" s="512" t="s">
        <v>362</v>
      </c>
      <c r="E28" s="512" t="s">
        <v>362</v>
      </c>
      <c r="F28" s="512" t="s">
        <v>362</v>
      </c>
      <c r="G28" s="512" t="s">
        <v>362</v>
      </c>
      <c r="H28" s="519" t="s">
        <v>342</v>
      </c>
      <c r="I28" s="384"/>
      <c r="J28" s="384"/>
      <c r="M28" s="1188" t="s">
        <v>1036</v>
      </c>
      <c r="N28" s="1172" t="s">
        <v>1036</v>
      </c>
      <c r="O28" s="1175" t="s">
        <v>362</v>
      </c>
      <c r="P28" s="1175" t="s">
        <v>362</v>
      </c>
      <c r="Q28" s="1175" t="s">
        <v>362</v>
      </c>
      <c r="R28" s="1175" t="s">
        <v>362</v>
      </c>
      <c r="S28" s="1195" t="s">
        <v>342</v>
      </c>
    </row>
    <row r="29" spans="1:20" x14ac:dyDescent="0.25">
      <c r="A29" s="384"/>
      <c r="B29" s="499" t="s">
        <v>1036</v>
      </c>
      <c r="C29" s="510" t="s">
        <v>309</v>
      </c>
      <c r="D29" s="510" t="s">
        <v>309</v>
      </c>
      <c r="E29" s="510" t="s">
        <v>309</v>
      </c>
      <c r="F29" s="462" t="s">
        <v>1036</v>
      </c>
      <c r="G29" s="510" t="s">
        <v>290</v>
      </c>
      <c r="H29" s="518" t="s">
        <v>311</v>
      </c>
      <c r="I29" s="385">
        <v>0.66319444444444442</v>
      </c>
      <c r="J29" s="384"/>
      <c r="M29" s="1188" t="s">
        <v>1036</v>
      </c>
      <c r="N29" s="1171" t="s">
        <v>309</v>
      </c>
      <c r="O29" s="1171" t="s">
        <v>309</v>
      </c>
      <c r="P29" s="1171" t="s">
        <v>309</v>
      </c>
      <c r="Q29" s="1172" t="s">
        <v>1036</v>
      </c>
      <c r="R29" s="1171" t="s">
        <v>290</v>
      </c>
      <c r="S29" s="1190" t="s">
        <v>311</v>
      </c>
      <c r="T29" s="1019">
        <v>0.66319444444444442</v>
      </c>
    </row>
    <row r="30" spans="1:20" x14ac:dyDescent="0.25">
      <c r="A30" s="385">
        <v>0.23541666666666666</v>
      </c>
      <c r="B30" s="515" t="s">
        <v>313</v>
      </c>
      <c r="C30" s="512" t="s">
        <v>362</v>
      </c>
      <c r="D30" s="462" t="s">
        <v>1036</v>
      </c>
      <c r="E30" s="512" t="s">
        <v>348</v>
      </c>
      <c r="F30" s="512" t="s">
        <v>348</v>
      </c>
      <c r="G30" s="512" t="s">
        <v>348</v>
      </c>
      <c r="H30" s="500" t="s">
        <v>1036</v>
      </c>
      <c r="I30" s="384"/>
      <c r="J30" s="384"/>
      <c r="L30" s="1019">
        <v>0.23541666666666666</v>
      </c>
      <c r="M30" s="1196" t="s">
        <v>313</v>
      </c>
      <c r="N30" s="1192" t="s">
        <v>348</v>
      </c>
      <c r="O30" s="1172" t="s">
        <v>1036</v>
      </c>
      <c r="P30" s="1175" t="s">
        <v>348</v>
      </c>
      <c r="Q30" s="1175" t="s">
        <v>348</v>
      </c>
      <c r="R30" s="1175" t="s">
        <v>348</v>
      </c>
      <c r="S30" s="1193" t="s">
        <v>1036</v>
      </c>
    </row>
    <row r="31" spans="1:20" x14ac:dyDescent="0.25">
      <c r="A31" s="384"/>
      <c r="B31" s="499" t="s">
        <v>1036</v>
      </c>
      <c r="C31" s="510" t="s">
        <v>290</v>
      </c>
      <c r="D31" s="510" t="s">
        <v>290</v>
      </c>
      <c r="E31" s="510" t="s">
        <v>290</v>
      </c>
      <c r="F31" s="510" t="s">
        <v>290</v>
      </c>
      <c r="G31" s="462" t="s">
        <v>1036</v>
      </c>
      <c r="H31" s="518" t="s">
        <v>295</v>
      </c>
      <c r="I31" s="384"/>
      <c r="J31" s="384"/>
      <c r="M31" s="1188" t="s">
        <v>1036</v>
      </c>
      <c r="N31" s="1171" t="s">
        <v>290</v>
      </c>
      <c r="O31" s="1171" t="s">
        <v>290</v>
      </c>
      <c r="P31" s="1171" t="s">
        <v>290</v>
      </c>
      <c r="Q31" s="1171" t="s">
        <v>290</v>
      </c>
      <c r="R31" s="1172" t="s">
        <v>1036</v>
      </c>
      <c r="S31" s="1190" t="s">
        <v>295</v>
      </c>
    </row>
    <row r="32" spans="1:20" x14ac:dyDescent="0.25">
      <c r="A32" s="385">
        <v>0.26597222222222222</v>
      </c>
      <c r="B32" s="516" t="s">
        <v>295</v>
      </c>
      <c r="C32" s="512" t="s">
        <v>348</v>
      </c>
      <c r="D32" s="512" t="s">
        <v>348</v>
      </c>
      <c r="E32" s="462" t="s">
        <v>1036</v>
      </c>
      <c r="F32" s="510" t="s">
        <v>309</v>
      </c>
      <c r="G32" s="510" t="s">
        <v>309</v>
      </c>
      <c r="H32" s="500" t="s">
        <v>1036</v>
      </c>
      <c r="I32" s="384"/>
      <c r="J32" s="384"/>
      <c r="L32" s="1019">
        <v>0.26597222222222222</v>
      </c>
      <c r="M32" s="1194" t="s">
        <v>295</v>
      </c>
      <c r="N32" s="1192" t="s">
        <v>362</v>
      </c>
      <c r="O32" s="1175" t="s">
        <v>348</v>
      </c>
      <c r="P32" s="1172" t="s">
        <v>1036</v>
      </c>
      <c r="Q32" s="1171" t="s">
        <v>309</v>
      </c>
      <c r="R32" s="1171" t="s">
        <v>309</v>
      </c>
      <c r="S32" s="1193" t="s">
        <v>1036</v>
      </c>
    </row>
    <row r="33" spans="1:20" x14ac:dyDescent="0.25">
      <c r="A33" s="384"/>
      <c r="B33" s="499" t="s">
        <v>1036</v>
      </c>
      <c r="C33" s="462" t="s">
        <v>1036</v>
      </c>
      <c r="D33" s="512" t="s">
        <v>354</v>
      </c>
      <c r="E33" s="512" t="s">
        <v>354</v>
      </c>
      <c r="F33" s="512" t="s">
        <v>354</v>
      </c>
      <c r="G33" s="512" t="s">
        <v>354</v>
      </c>
      <c r="H33" s="513" t="s">
        <v>326</v>
      </c>
      <c r="I33" s="384"/>
      <c r="J33" s="384"/>
      <c r="M33" s="1188" t="s">
        <v>1036</v>
      </c>
      <c r="N33" s="1172" t="s">
        <v>1036</v>
      </c>
      <c r="O33" s="1175" t="s">
        <v>354</v>
      </c>
      <c r="P33" s="1175" t="s">
        <v>354</v>
      </c>
      <c r="Q33" s="1175" t="s">
        <v>354</v>
      </c>
      <c r="R33" s="1175" t="s">
        <v>354</v>
      </c>
      <c r="S33" s="1189" t="s">
        <v>326</v>
      </c>
    </row>
    <row r="34" spans="1:20" x14ac:dyDescent="0.25">
      <c r="A34" s="384"/>
      <c r="B34" s="499" t="s">
        <v>1036</v>
      </c>
      <c r="C34" s="510" t="s">
        <v>322</v>
      </c>
      <c r="D34" s="510" t="s">
        <v>322</v>
      </c>
      <c r="E34" s="510" t="s">
        <v>322</v>
      </c>
      <c r="F34" s="462" t="s">
        <v>1036</v>
      </c>
      <c r="G34" s="510" t="s">
        <v>307</v>
      </c>
      <c r="H34" s="513" t="s">
        <v>328</v>
      </c>
      <c r="I34" s="385">
        <v>0.88194444444444442</v>
      </c>
      <c r="J34" s="384"/>
      <c r="M34" s="1188" t="s">
        <v>1036</v>
      </c>
      <c r="N34" s="1171" t="s">
        <v>322</v>
      </c>
      <c r="O34" s="1171" t="s">
        <v>322</v>
      </c>
      <c r="P34" s="1171" t="s">
        <v>322</v>
      </c>
      <c r="Q34" s="1172" t="s">
        <v>1036</v>
      </c>
      <c r="R34" s="1171" t="s">
        <v>307</v>
      </c>
      <c r="S34" s="1189" t="s">
        <v>328</v>
      </c>
      <c r="T34" s="1019">
        <v>0.88194444444444442</v>
      </c>
    </row>
    <row r="35" spans="1:20" x14ac:dyDescent="0.25">
      <c r="A35" s="385">
        <v>0.32430555555555557</v>
      </c>
      <c r="B35" s="517" t="s">
        <v>324</v>
      </c>
      <c r="C35" s="512" t="s">
        <v>354</v>
      </c>
      <c r="D35" s="462" t="s">
        <v>1036</v>
      </c>
      <c r="E35" s="511" t="s">
        <v>338</v>
      </c>
      <c r="F35" s="511" t="s">
        <v>338</v>
      </c>
      <c r="G35" s="511" t="s">
        <v>338</v>
      </c>
      <c r="H35" s="500" t="s">
        <v>1036</v>
      </c>
      <c r="I35" s="384"/>
      <c r="J35" s="384"/>
      <c r="L35" s="1019">
        <v>0.32430555555555557</v>
      </c>
      <c r="M35" s="1191" t="s">
        <v>324</v>
      </c>
      <c r="N35" s="1192" t="s">
        <v>338</v>
      </c>
      <c r="O35" s="1172" t="s">
        <v>1036</v>
      </c>
      <c r="P35" s="1176" t="s">
        <v>338</v>
      </c>
      <c r="Q35" s="1176" t="s">
        <v>338</v>
      </c>
      <c r="R35" s="1176" t="s">
        <v>338</v>
      </c>
      <c r="S35" s="1193" t="s">
        <v>1036</v>
      </c>
    </row>
    <row r="36" spans="1:20" x14ac:dyDescent="0.25">
      <c r="A36" s="384"/>
      <c r="B36" s="499" t="s">
        <v>1036</v>
      </c>
      <c r="C36" s="510" t="s">
        <v>307</v>
      </c>
      <c r="D36" s="510" t="s">
        <v>307</v>
      </c>
      <c r="E36" s="510" t="s">
        <v>307</v>
      </c>
      <c r="F36" s="510" t="s">
        <v>307</v>
      </c>
      <c r="G36" s="462" t="s">
        <v>1036</v>
      </c>
      <c r="H36" s="518" t="s">
        <v>313</v>
      </c>
      <c r="I36" s="384"/>
      <c r="J36" s="384"/>
      <c r="M36" s="1188" t="s">
        <v>1036</v>
      </c>
      <c r="N36" s="1171" t="s">
        <v>307</v>
      </c>
      <c r="O36" s="1171" t="s">
        <v>307</v>
      </c>
      <c r="P36" s="1171" t="s">
        <v>307</v>
      </c>
      <c r="Q36" s="1171" t="s">
        <v>307</v>
      </c>
      <c r="R36" s="1172" t="s">
        <v>1036</v>
      </c>
      <c r="S36" s="1190" t="s">
        <v>313</v>
      </c>
    </row>
    <row r="37" spans="1:20" x14ac:dyDescent="0.25">
      <c r="A37" s="385">
        <v>0.22430555555555556</v>
      </c>
      <c r="B37" s="516" t="s">
        <v>303</v>
      </c>
      <c r="C37" s="511" t="s">
        <v>338</v>
      </c>
      <c r="D37" s="511" t="s">
        <v>338</v>
      </c>
      <c r="E37" s="462" t="s">
        <v>1036</v>
      </c>
      <c r="F37" s="510" t="s">
        <v>322</v>
      </c>
      <c r="G37" s="510" t="s">
        <v>322</v>
      </c>
      <c r="H37" s="500" t="s">
        <v>1036</v>
      </c>
      <c r="I37" s="384"/>
      <c r="J37" s="384"/>
      <c r="L37" s="1019">
        <v>0.22430555555555556</v>
      </c>
      <c r="M37" s="1194" t="s">
        <v>303</v>
      </c>
      <c r="N37" s="1192" t="s">
        <v>354</v>
      </c>
      <c r="O37" s="1176" t="s">
        <v>338</v>
      </c>
      <c r="P37" s="1172" t="s">
        <v>1036</v>
      </c>
      <c r="Q37" s="1171" t="s">
        <v>322</v>
      </c>
      <c r="R37" s="1171" t="s">
        <v>322</v>
      </c>
      <c r="S37" s="1193" t="s">
        <v>1036</v>
      </c>
    </row>
    <row r="38" spans="1:20" x14ac:dyDescent="0.25">
      <c r="A38" s="384"/>
      <c r="B38" s="499" t="s">
        <v>1036</v>
      </c>
      <c r="C38" s="462" t="s">
        <v>1036</v>
      </c>
      <c r="D38" s="512" t="s">
        <v>360</v>
      </c>
      <c r="E38" s="512" t="s">
        <v>360</v>
      </c>
      <c r="F38" s="512" t="s">
        <v>360</v>
      </c>
      <c r="G38" s="512" t="s">
        <v>360</v>
      </c>
      <c r="H38" s="519" t="s">
        <v>346</v>
      </c>
      <c r="I38" s="384"/>
      <c r="J38" s="384"/>
      <c r="M38" s="1188" t="s">
        <v>1036</v>
      </c>
      <c r="N38" s="1172" t="s">
        <v>1036</v>
      </c>
      <c r="O38" s="1175" t="s">
        <v>360</v>
      </c>
      <c r="P38" s="1175" t="s">
        <v>360</v>
      </c>
      <c r="Q38" s="1175" t="s">
        <v>360</v>
      </c>
      <c r="R38" s="1175" t="s">
        <v>360</v>
      </c>
      <c r="S38" s="1195" t="s">
        <v>346</v>
      </c>
    </row>
    <row r="39" spans="1:20" x14ac:dyDescent="0.25">
      <c r="A39" s="384"/>
      <c r="B39" s="499" t="s">
        <v>1036</v>
      </c>
      <c r="C39" s="510" t="s">
        <v>293</v>
      </c>
      <c r="D39" s="510" t="s">
        <v>293</v>
      </c>
      <c r="E39" s="510" t="s">
        <v>293</v>
      </c>
      <c r="F39" s="462" t="s">
        <v>1036</v>
      </c>
      <c r="G39" s="510" t="s">
        <v>318</v>
      </c>
      <c r="H39" s="518" t="s">
        <v>301</v>
      </c>
      <c r="I39" s="385">
        <v>0.66111111111111109</v>
      </c>
      <c r="J39" s="384"/>
      <c r="M39" s="1188" t="s">
        <v>1036</v>
      </c>
      <c r="N39" s="1171" t="s">
        <v>293</v>
      </c>
      <c r="O39" s="1171" t="s">
        <v>293</v>
      </c>
      <c r="P39" s="1171" t="s">
        <v>293</v>
      </c>
      <c r="Q39" s="1172" t="s">
        <v>1036</v>
      </c>
      <c r="R39" s="1171" t="s">
        <v>318</v>
      </c>
      <c r="S39" s="1190" t="s">
        <v>301</v>
      </c>
      <c r="T39" s="1019">
        <v>0.66111111111111109</v>
      </c>
    </row>
    <row r="40" spans="1:20" x14ac:dyDescent="0.25">
      <c r="A40" s="385">
        <v>0.31111111111111112</v>
      </c>
      <c r="B40" s="515" t="s">
        <v>305</v>
      </c>
      <c r="C40" s="512" t="s">
        <v>360</v>
      </c>
      <c r="D40" s="462" t="s">
        <v>1036</v>
      </c>
      <c r="E40" s="511" t="s">
        <v>324</v>
      </c>
      <c r="F40" s="511" t="s">
        <v>324</v>
      </c>
      <c r="G40" s="511" t="s">
        <v>324</v>
      </c>
      <c r="H40" s="500" t="s">
        <v>1036</v>
      </c>
      <c r="I40" s="384"/>
      <c r="J40" s="384"/>
      <c r="L40" s="1019">
        <v>0.31111111111111112</v>
      </c>
      <c r="M40" s="1196" t="s">
        <v>305</v>
      </c>
      <c r="N40" s="1192" t="s">
        <v>324</v>
      </c>
      <c r="O40" s="1172" t="s">
        <v>1036</v>
      </c>
      <c r="P40" s="1176" t="s">
        <v>324</v>
      </c>
      <c r="Q40" s="1176" t="s">
        <v>324</v>
      </c>
      <c r="R40" s="1176" t="s">
        <v>324</v>
      </c>
      <c r="S40" s="1193" t="s">
        <v>1036</v>
      </c>
    </row>
    <row r="41" spans="1:20" x14ac:dyDescent="0.25">
      <c r="A41" s="384"/>
      <c r="B41" s="499" t="s">
        <v>1036</v>
      </c>
      <c r="C41" s="510" t="s">
        <v>318</v>
      </c>
      <c r="D41" s="510" t="s">
        <v>318</v>
      </c>
      <c r="E41" s="510" t="s">
        <v>318</v>
      </c>
      <c r="F41" s="510" t="s">
        <v>318</v>
      </c>
      <c r="G41" s="462" t="s">
        <v>1036</v>
      </c>
      <c r="H41" s="518" t="s">
        <v>285</v>
      </c>
      <c r="I41" s="384"/>
      <c r="J41" s="384"/>
      <c r="M41" s="1188" t="s">
        <v>1036</v>
      </c>
      <c r="N41" s="1171" t="s">
        <v>318</v>
      </c>
      <c r="O41" s="1171" t="s">
        <v>318</v>
      </c>
      <c r="P41" s="1171" t="s">
        <v>318</v>
      </c>
      <c r="Q41" s="1171" t="s">
        <v>318</v>
      </c>
      <c r="R41" s="1172" t="s">
        <v>1036</v>
      </c>
      <c r="S41" s="1190" t="s">
        <v>285</v>
      </c>
    </row>
    <row r="42" spans="1:20" ht="15.75" thickBot="1" x14ac:dyDescent="0.3">
      <c r="A42" s="385">
        <v>0.24652777777777779</v>
      </c>
      <c r="B42" s="516" t="s">
        <v>290</v>
      </c>
      <c r="C42" s="511" t="s">
        <v>324</v>
      </c>
      <c r="D42" s="511" t="s">
        <v>324</v>
      </c>
      <c r="E42" s="462" t="s">
        <v>1036</v>
      </c>
      <c r="F42" s="510" t="s">
        <v>293</v>
      </c>
      <c r="G42" s="510" t="s">
        <v>293</v>
      </c>
      <c r="H42" s="500" t="s">
        <v>1036</v>
      </c>
      <c r="L42" s="1019">
        <v>0.24652777777777779</v>
      </c>
      <c r="M42" s="1194" t="s">
        <v>290</v>
      </c>
      <c r="N42" s="1192" t="s">
        <v>360</v>
      </c>
      <c r="O42" s="1176" t="s">
        <v>324</v>
      </c>
      <c r="P42" s="1172" t="s">
        <v>1036</v>
      </c>
      <c r="Q42" s="1171" t="s">
        <v>293</v>
      </c>
      <c r="R42" s="1171" t="s">
        <v>293</v>
      </c>
      <c r="S42" s="1193" t="s">
        <v>1036</v>
      </c>
    </row>
    <row r="43" spans="1:20" ht="15.75" thickBot="1" x14ac:dyDescent="0.3">
      <c r="A43" s="384"/>
      <c r="B43" s="1249" t="s">
        <v>1038</v>
      </c>
      <c r="C43" s="1250"/>
      <c r="D43" s="1250"/>
      <c r="E43" s="1250"/>
      <c r="F43" s="1250"/>
      <c r="G43" s="1250"/>
      <c r="H43" s="1250"/>
      <c r="M43" s="1254" t="s">
        <v>1038</v>
      </c>
      <c r="N43" s="1255"/>
      <c r="O43" s="1255"/>
      <c r="P43" s="1255"/>
      <c r="Q43" s="1255"/>
      <c r="R43" s="1255"/>
      <c r="S43" s="1256"/>
    </row>
    <row r="44" spans="1:20" ht="15.75" thickBot="1" x14ac:dyDescent="0.3">
      <c r="A44" s="384"/>
      <c r="B44" s="503" t="s">
        <v>1029</v>
      </c>
      <c r="C44" s="504" t="s">
        <v>1030</v>
      </c>
      <c r="D44" s="502" t="s">
        <v>1031</v>
      </c>
      <c r="E44" s="504" t="s">
        <v>1032</v>
      </c>
      <c r="F44" s="502" t="s">
        <v>1033</v>
      </c>
      <c r="G44" s="504" t="s">
        <v>1034</v>
      </c>
      <c r="H44" s="505" t="s">
        <v>1035</v>
      </c>
      <c r="M44" s="1163" t="s">
        <v>1029</v>
      </c>
      <c r="N44" s="1164" t="s">
        <v>1030</v>
      </c>
      <c r="O44" s="1162" t="s">
        <v>1031</v>
      </c>
      <c r="P44" s="1164" t="s">
        <v>1032</v>
      </c>
      <c r="Q44" s="1162" t="s">
        <v>1033</v>
      </c>
      <c r="R44" s="1164" t="s">
        <v>1034</v>
      </c>
      <c r="S44" s="1165" t="s">
        <v>1035</v>
      </c>
    </row>
    <row r="45" spans="1:20" x14ac:dyDescent="0.25">
      <c r="A45" s="384"/>
      <c r="B45" s="499" t="s">
        <v>1036</v>
      </c>
      <c r="C45" s="462" t="s">
        <v>1036</v>
      </c>
      <c r="D45" s="512" t="s">
        <v>400</v>
      </c>
      <c r="E45" s="512" t="s">
        <v>400</v>
      </c>
      <c r="F45" s="512" t="s">
        <v>400</v>
      </c>
      <c r="G45" s="512" t="s">
        <v>400</v>
      </c>
      <c r="H45" s="513" t="s">
        <v>394</v>
      </c>
      <c r="M45" s="1166" t="s">
        <v>1036</v>
      </c>
      <c r="N45" s="1167" t="s">
        <v>1036</v>
      </c>
      <c r="O45" s="1168" t="s">
        <v>400</v>
      </c>
      <c r="P45" s="1168" t="s">
        <v>400</v>
      </c>
      <c r="Q45" s="1168" t="s">
        <v>400</v>
      </c>
      <c r="R45" s="1168" t="s">
        <v>400</v>
      </c>
      <c r="S45" s="1169" t="s">
        <v>394</v>
      </c>
    </row>
    <row r="46" spans="1:20" x14ac:dyDescent="0.25">
      <c r="A46" s="384"/>
      <c r="B46" s="499" t="s">
        <v>1036</v>
      </c>
      <c r="C46" s="510" t="s">
        <v>386</v>
      </c>
      <c r="D46" s="510" t="s">
        <v>386</v>
      </c>
      <c r="E46" s="510" t="s">
        <v>386</v>
      </c>
      <c r="F46" s="462" t="s">
        <v>1036</v>
      </c>
      <c r="G46" s="510" t="s">
        <v>390</v>
      </c>
      <c r="H46" s="513" t="s">
        <v>392</v>
      </c>
      <c r="M46" s="1170" t="s">
        <v>1036</v>
      </c>
      <c r="N46" s="1171" t="s">
        <v>386</v>
      </c>
      <c r="O46" s="1171" t="s">
        <v>386</v>
      </c>
      <c r="P46" s="1171" t="s">
        <v>386</v>
      </c>
      <c r="Q46" s="1172" t="s">
        <v>1036</v>
      </c>
      <c r="R46" s="1171" t="s">
        <v>390</v>
      </c>
      <c r="S46" s="1173" t="s">
        <v>392</v>
      </c>
    </row>
    <row r="47" spans="1:20" x14ac:dyDescent="0.25">
      <c r="A47" s="384"/>
      <c r="B47" s="515" t="s">
        <v>390</v>
      </c>
      <c r="C47" s="512" t="s">
        <v>400</v>
      </c>
      <c r="D47" s="462" t="s">
        <v>1036</v>
      </c>
      <c r="E47" s="511" t="s">
        <v>396</v>
      </c>
      <c r="F47" s="511" t="s">
        <v>396</v>
      </c>
      <c r="G47" s="511" t="s">
        <v>396</v>
      </c>
      <c r="H47" s="500" t="s">
        <v>1036</v>
      </c>
      <c r="M47" s="1174" t="s">
        <v>390</v>
      </c>
      <c r="N47" s="1175" t="s">
        <v>400</v>
      </c>
      <c r="O47" s="1172" t="s">
        <v>1036</v>
      </c>
      <c r="P47" s="1176" t="s">
        <v>396</v>
      </c>
      <c r="Q47" s="1176" t="s">
        <v>396</v>
      </c>
      <c r="R47" s="1176" t="s">
        <v>396</v>
      </c>
      <c r="S47" s="1177" t="s">
        <v>1036</v>
      </c>
    </row>
    <row r="48" spans="1:20" x14ac:dyDescent="0.25">
      <c r="A48" s="384"/>
      <c r="B48" s="499" t="s">
        <v>1036</v>
      </c>
      <c r="C48" s="510" t="s">
        <v>390</v>
      </c>
      <c r="D48" s="510" t="s">
        <v>390</v>
      </c>
      <c r="E48" s="510" t="s">
        <v>390</v>
      </c>
      <c r="F48" s="510" t="s">
        <v>390</v>
      </c>
      <c r="G48" s="462" t="s">
        <v>1036</v>
      </c>
      <c r="H48" s="518" t="s">
        <v>390</v>
      </c>
      <c r="M48" s="1170" t="s">
        <v>1036</v>
      </c>
      <c r="N48" s="1171" t="s">
        <v>390</v>
      </c>
      <c r="O48" s="1171" t="s">
        <v>390</v>
      </c>
      <c r="P48" s="1171" t="s">
        <v>390</v>
      </c>
      <c r="Q48" s="1171" t="s">
        <v>390</v>
      </c>
      <c r="R48" s="1172" t="s">
        <v>1036</v>
      </c>
      <c r="S48" s="1178" t="s">
        <v>390</v>
      </c>
    </row>
    <row r="49" spans="1:19" x14ac:dyDescent="0.25">
      <c r="A49" s="384"/>
      <c r="B49" s="516" t="s">
        <v>386</v>
      </c>
      <c r="C49" s="511" t="s">
        <v>396</v>
      </c>
      <c r="D49" s="511" t="s">
        <v>396</v>
      </c>
      <c r="E49" s="462" t="s">
        <v>1036</v>
      </c>
      <c r="F49" s="510" t="s">
        <v>386</v>
      </c>
      <c r="G49" s="510" t="s">
        <v>386</v>
      </c>
      <c r="H49" s="500" t="s">
        <v>1036</v>
      </c>
      <c r="M49" s="1179" t="s">
        <v>386</v>
      </c>
      <c r="N49" s="1176" t="s">
        <v>396</v>
      </c>
      <c r="O49" s="1176" t="s">
        <v>396</v>
      </c>
      <c r="P49" s="1172" t="s">
        <v>1036</v>
      </c>
      <c r="Q49" s="1171" t="s">
        <v>386</v>
      </c>
      <c r="R49" s="1171" t="s">
        <v>386</v>
      </c>
      <c r="S49" s="1177" t="s">
        <v>1036</v>
      </c>
    </row>
    <row r="50" spans="1:19" x14ac:dyDescent="0.25">
      <c r="A50" s="384"/>
      <c r="B50" s="499" t="s">
        <v>1036</v>
      </c>
      <c r="C50" s="462" t="s">
        <v>1036</v>
      </c>
      <c r="D50" s="512" t="s">
        <v>398</v>
      </c>
      <c r="E50" s="512" t="s">
        <v>398</v>
      </c>
      <c r="F50" s="512" t="s">
        <v>398</v>
      </c>
      <c r="G50" s="512" t="s">
        <v>398</v>
      </c>
      <c r="H50" s="519" t="s">
        <v>396</v>
      </c>
      <c r="M50" s="1170" t="s">
        <v>1036</v>
      </c>
      <c r="N50" s="1172" t="s">
        <v>1036</v>
      </c>
      <c r="O50" s="1175" t="s">
        <v>398</v>
      </c>
      <c r="P50" s="1175" t="s">
        <v>398</v>
      </c>
      <c r="Q50" s="1175" t="s">
        <v>398</v>
      </c>
      <c r="R50" s="1175" t="s">
        <v>398</v>
      </c>
      <c r="S50" s="1180" t="s">
        <v>396</v>
      </c>
    </row>
    <row r="51" spans="1:19" x14ac:dyDescent="0.25">
      <c r="A51" s="384"/>
      <c r="B51" s="499" t="s">
        <v>1036</v>
      </c>
      <c r="C51" s="510" t="s">
        <v>388</v>
      </c>
      <c r="D51" s="510" t="s">
        <v>388</v>
      </c>
      <c r="E51" s="510" t="s">
        <v>388</v>
      </c>
      <c r="F51" s="462" t="s">
        <v>1036</v>
      </c>
      <c r="G51" s="510" t="s">
        <v>392</v>
      </c>
      <c r="H51" s="518" t="s">
        <v>386</v>
      </c>
      <c r="I51" s="384"/>
      <c r="J51" s="384"/>
      <c r="M51" s="1170" t="s">
        <v>1036</v>
      </c>
      <c r="N51" s="1171" t="s">
        <v>388</v>
      </c>
      <c r="O51" s="1171" t="s">
        <v>388</v>
      </c>
      <c r="P51" s="1171" t="s">
        <v>388</v>
      </c>
      <c r="Q51" s="1172" t="s">
        <v>1036</v>
      </c>
      <c r="R51" s="1171" t="s">
        <v>392</v>
      </c>
      <c r="S51" s="1178" t="s">
        <v>386</v>
      </c>
    </row>
    <row r="52" spans="1:19" x14ac:dyDescent="0.25">
      <c r="A52" s="384"/>
      <c r="B52" s="517" t="s">
        <v>392</v>
      </c>
      <c r="C52" s="512" t="s">
        <v>398</v>
      </c>
      <c r="D52" s="462" t="s">
        <v>1036</v>
      </c>
      <c r="E52" s="511" t="s">
        <v>394</v>
      </c>
      <c r="F52" s="511" t="s">
        <v>394</v>
      </c>
      <c r="G52" s="511" t="s">
        <v>394</v>
      </c>
      <c r="H52" s="500" t="s">
        <v>1036</v>
      </c>
      <c r="I52" s="384"/>
      <c r="J52" s="384"/>
      <c r="M52" s="1181" t="s">
        <v>392</v>
      </c>
      <c r="N52" s="1175" t="s">
        <v>398</v>
      </c>
      <c r="O52" s="1172" t="s">
        <v>1036</v>
      </c>
      <c r="P52" s="1176" t="s">
        <v>394</v>
      </c>
      <c r="Q52" s="1176" t="s">
        <v>394</v>
      </c>
      <c r="R52" s="1176" t="s">
        <v>394</v>
      </c>
      <c r="S52" s="1177" t="s">
        <v>1036</v>
      </c>
    </row>
    <row r="53" spans="1:19" x14ac:dyDescent="0.25">
      <c r="A53" s="384"/>
      <c r="B53" s="499" t="s">
        <v>1036</v>
      </c>
      <c r="C53" s="510" t="s">
        <v>392</v>
      </c>
      <c r="D53" s="510" t="s">
        <v>392</v>
      </c>
      <c r="E53" s="510" t="s">
        <v>392</v>
      </c>
      <c r="F53" s="510" t="s">
        <v>392</v>
      </c>
      <c r="G53" s="462" t="s">
        <v>1036</v>
      </c>
      <c r="H53" s="518" t="s">
        <v>388</v>
      </c>
      <c r="I53" s="384"/>
      <c r="M53" s="1170" t="s">
        <v>1036</v>
      </c>
      <c r="N53" s="1171" t="s">
        <v>392</v>
      </c>
      <c r="O53" s="1171" t="s">
        <v>392</v>
      </c>
      <c r="P53" s="1171" t="s">
        <v>392</v>
      </c>
      <c r="Q53" s="1171" t="s">
        <v>392</v>
      </c>
      <c r="R53" s="1172" t="s">
        <v>1036</v>
      </c>
      <c r="S53" s="1178" t="s">
        <v>388</v>
      </c>
    </row>
    <row r="54" spans="1:19" ht="15.75" thickBot="1" x14ac:dyDescent="0.3">
      <c r="A54" s="384"/>
      <c r="B54" s="516" t="s">
        <v>388</v>
      </c>
      <c r="C54" s="511" t="s">
        <v>394</v>
      </c>
      <c r="D54" s="511" t="s">
        <v>394</v>
      </c>
      <c r="E54" s="462" t="s">
        <v>1036</v>
      </c>
      <c r="F54" s="510" t="s">
        <v>388</v>
      </c>
      <c r="G54" s="510" t="s">
        <v>388</v>
      </c>
      <c r="H54" s="500" t="s">
        <v>1036</v>
      </c>
      <c r="I54" s="384"/>
      <c r="J54" s="384"/>
      <c r="M54" s="1182" t="s">
        <v>388</v>
      </c>
      <c r="N54" s="1183" t="s">
        <v>394</v>
      </c>
      <c r="O54" s="1183" t="s">
        <v>394</v>
      </c>
      <c r="P54" s="1184" t="s">
        <v>1036</v>
      </c>
      <c r="Q54" s="1185" t="s">
        <v>388</v>
      </c>
      <c r="R54" s="1185" t="s">
        <v>388</v>
      </c>
      <c r="S54" s="1186" t="s">
        <v>1036</v>
      </c>
    </row>
    <row r="55" spans="1:19" ht="15.75" thickBot="1" x14ac:dyDescent="0.3">
      <c r="A55" s="384"/>
      <c r="B55" s="1249" t="s">
        <v>1307</v>
      </c>
      <c r="C55" s="1250"/>
      <c r="D55" s="1250"/>
      <c r="E55" s="1250"/>
      <c r="F55" s="1250"/>
      <c r="G55" s="1250"/>
      <c r="H55" s="1250"/>
      <c r="I55" s="384"/>
      <c r="J55" s="384"/>
      <c r="M55" s="1249" t="s">
        <v>1307</v>
      </c>
      <c r="N55" s="1250"/>
      <c r="O55" s="1250"/>
      <c r="P55" s="1250"/>
      <c r="Q55" s="1250"/>
      <c r="R55" s="1250"/>
      <c r="S55" s="1250"/>
    </row>
    <row r="56" spans="1:19" ht="15.75" thickBot="1" x14ac:dyDescent="0.3">
      <c r="B56" s="503" t="s">
        <v>1029</v>
      </c>
      <c r="C56" s="504" t="s">
        <v>1030</v>
      </c>
      <c r="D56" s="502" t="s">
        <v>1031</v>
      </c>
      <c r="E56" s="504" t="s">
        <v>1032</v>
      </c>
      <c r="F56" s="502" t="s">
        <v>1033</v>
      </c>
      <c r="G56" s="504" t="s">
        <v>1034</v>
      </c>
      <c r="H56" s="505" t="s">
        <v>1035</v>
      </c>
      <c r="M56" s="503" t="s">
        <v>1029</v>
      </c>
      <c r="N56" s="504" t="s">
        <v>1030</v>
      </c>
      <c r="O56" s="502" t="s">
        <v>1031</v>
      </c>
      <c r="P56" s="504" t="s">
        <v>1032</v>
      </c>
      <c r="Q56" s="502" t="s">
        <v>1033</v>
      </c>
      <c r="R56" s="504" t="s">
        <v>1034</v>
      </c>
      <c r="S56" s="505" t="s">
        <v>1035</v>
      </c>
    </row>
    <row r="57" spans="1:19" x14ac:dyDescent="0.25">
      <c r="B57" s="521" t="s">
        <v>307</v>
      </c>
      <c r="C57" s="514" t="s">
        <v>313</v>
      </c>
      <c r="D57" s="514" t="s">
        <v>313</v>
      </c>
      <c r="E57" s="514" t="s">
        <v>313</v>
      </c>
      <c r="F57" s="514" t="s">
        <v>313</v>
      </c>
      <c r="G57" s="514" t="s">
        <v>313</v>
      </c>
      <c r="H57" s="520" t="s">
        <v>330</v>
      </c>
      <c r="M57" s="521" t="s">
        <v>307</v>
      </c>
      <c r="N57" s="514" t="s">
        <v>313</v>
      </c>
      <c r="O57" s="514" t="s">
        <v>313</v>
      </c>
      <c r="P57" s="514" t="s">
        <v>313</v>
      </c>
      <c r="Q57" s="514" t="s">
        <v>313</v>
      </c>
      <c r="R57" s="514" t="s">
        <v>313</v>
      </c>
      <c r="S57" s="520" t="s">
        <v>330</v>
      </c>
    </row>
    <row r="58" spans="1:19" x14ac:dyDescent="0.25">
      <c r="B58" s="515" t="s">
        <v>311</v>
      </c>
      <c r="C58" s="512" t="s">
        <v>340</v>
      </c>
      <c r="D58" s="512" t="s">
        <v>340</v>
      </c>
      <c r="E58" s="512" t="s">
        <v>340</v>
      </c>
      <c r="F58" s="512" t="s">
        <v>340</v>
      </c>
      <c r="G58" s="512" t="s">
        <v>340</v>
      </c>
      <c r="H58" s="519" t="s">
        <v>332</v>
      </c>
      <c r="M58" s="515" t="s">
        <v>311</v>
      </c>
      <c r="N58" s="512" t="s">
        <v>340</v>
      </c>
      <c r="O58" s="512" t="s">
        <v>340</v>
      </c>
      <c r="P58" s="512" t="s">
        <v>340</v>
      </c>
      <c r="Q58" s="512" t="s">
        <v>340</v>
      </c>
      <c r="R58" s="512" t="s">
        <v>340</v>
      </c>
      <c r="S58" s="519" t="s">
        <v>332</v>
      </c>
    </row>
    <row r="59" spans="1:19" x14ac:dyDescent="0.25">
      <c r="B59" s="517" t="s">
        <v>318</v>
      </c>
      <c r="C59" s="512" t="s">
        <v>346</v>
      </c>
      <c r="D59" s="512" t="s">
        <v>346</v>
      </c>
      <c r="E59" s="512" t="s">
        <v>346</v>
      </c>
      <c r="F59" s="512" t="s">
        <v>346</v>
      </c>
      <c r="G59" s="512" t="s">
        <v>346</v>
      </c>
      <c r="H59" s="519" t="s">
        <v>334</v>
      </c>
      <c r="M59" s="517" t="s">
        <v>318</v>
      </c>
      <c r="N59" s="512" t="s">
        <v>346</v>
      </c>
      <c r="O59" s="512" t="s">
        <v>346</v>
      </c>
      <c r="P59" s="512" t="s">
        <v>346</v>
      </c>
      <c r="Q59" s="512" t="s">
        <v>346</v>
      </c>
      <c r="R59" s="512" t="s">
        <v>346</v>
      </c>
      <c r="S59" s="519" t="s">
        <v>334</v>
      </c>
    </row>
    <row r="60" spans="1:19" x14ac:dyDescent="0.25">
      <c r="B60" s="517" t="s">
        <v>320</v>
      </c>
      <c r="C60" s="512" t="s">
        <v>350</v>
      </c>
      <c r="D60" s="512" t="s">
        <v>350</v>
      </c>
      <c r="E60" s="512" t="s">
        <v>350</v>
      </c>
      <c r="F60" s="512" t="s">
        <v>350</v>
      </c>
      <c r="G60" s="512" t="s">
        <v>350</v>
      </c>
      <c r="H60" s="519" t="s">
        <v>336</v>
      </c>
      <c r="M60" s="517" t="s">
        <v>320</v>
      </c>
      <c r="N60" s="512" t="s">
        <v>350</v>
      </c>
      <c r="O60" s="512" t="s">
        <v>350</v>
      </c>
      <c r="P60" s="512" t="s">
        <v>350</v>
      </c>
      <c r="Q60" s="512" t="s">
        <v>350</v>
      </c>
      <c r="R60" s="512" t="s">
        <v>350</v>
      </c>
      <c r="S60" s="519" t="s">
        <v>336</v>
      </c>
    </row>
    <row r="61" spans="1:19" x14ac:dyDescent="0.25">
      <c r="B61" s="517" t="s">
        <v>322</v>
      </c>
      <c r="C61" s="512" t="s">
        <v>356</v>
      </c>
      <c r="D61" s="512" t="s">
        <v>356</v>
      </c>
      <c r="E61" s="512" t="s">
        <v>356</v>
      </c>
      <c r="F61" s="512" t="s">
        <v>356</v>
      </c>
      <c r="G61" s="512" t="s">
        <v>356</v>
      </c>
      <c r="H61" s="519" t="s">
        <v>338</v>
      </c>
      <c r="M61" s="517" t="s">
        <v>322</v>
      </c>
      <c r="N61" s="512" t="s">
        <v>356</v>
      </c>
      <c r="O61" s="512" t="s">
        <v>356</v>
      </c>
      <c r="P61" s="512" t="s">
        <v>356</v>
      </c>
      <c r="Q61" s="512" t="s">
        <v>356</v>
      </c>
      <c r="R61" s="512" t="s">
        <v>356</v>
      </c>
      <c r="S61" s="519" t="s">
        <v>338</v>
      </c>
    </row>
    <row r="62" spans="1:19" ht="15.75" thickBot="1" x14ac:dyDescent="0.3">
      <c r="B62" s="522" t="s">
        <v>326</v>
      </c>
      <c r="C62" s="463" t="s">
        <v>1036</v>
      </c>
      <c r="D62" s="463" t="s">
        <v>1036</v>
      </c>
      <c r="E62" s="463" t="s">
        <v>1036</v>
      </c>
      <c r="F62" s="463" t="s">
        <v>1036</v>
      </c>
      <c r="G62" s="463" t="s">
        <v>1036</v>
      </c>
      <c r="H62" s="501" t="s">
        <v>1036</v>
      </c>
      <c r="M62" s="522" t="s">
        <v>326</v>
      </c>
      <c r="N62" s="463" t="s">
        <v>1036</v>
      </c>
      <c r="O62" s="463" t="s">
        <v>1036</v>
      </c>
      <c r="P62" s="463" t="s">
        <v>1036</v>
      </c>
      <c r="Q62" s="463" t="s">
        <v>1036</v>
      </c>
      <c r="R62" s="463" t="s">
        <v>1036</v>
      </c>
      <c r="S62" s="501" t="s">
        <v>1036</v>
      </c>
    </row>
    <row r="63" spans="1:19" ht="15.75" thickBot="1" x14ac:dyDescent="0.3">
      <c r="B63" s="1249" t="s">
        <v>1306</v>
      </c>
      <c r="C63" s="1250"/>
      <c r="D63" s="1250"/>
      <c r="E63" s="1250"/>
      <c r="F63" s="1250"/>
      <c r="G63" s="1250"/>
      <c r="H63" s="1250"/>
      <c r="M63" s="1249" t="s">
        <v>1306</v>
      </c>
      <c r="N63" s="1250"/>
      <c r="O63" s="1250"/>
      <c r="P63" s="1250"/>
      <c r="Q63" s="1250"/>
      <c r="R63" s="1250"/>
      <c r="S63" s="1250"/>
    </row>
    <row r="64" spans="1:19" ht="15.75" thickBot="1" x14ac:dyDescent="0.3">
      <c r="B64" s="1146" t="s">
        <v>1029</v>
      </c>
      <c r="C64" s="1147" t="s">
        <v>1030</v>
      </c>
      <c r="D64" s="1148" t="s">
        <v>1031</v>
      </c>
      <c r="E64" s="1147" t="s">
        <v>1032</v>
      </c>
      <c r="F64" s="1148" t="s">
        <v>1033</v>
      </c>
      <c r="G64" s="1147" t="s">
        <v>1034</v>
      </c>
      <c r="H64" s="1149" t="s">
        <v>1035</v>
      </c>
      <c r="M64" s="1146" t="s">
        <v>1029</v>
      </c>
      <c r="N64" s="1147" t="s">
        <v>1030</v>
      </c>
      <c r="O64" s="1148" t="s">
        <v>1031</v>
      </c>
      <c r="P64" s="1147" t="s">
        <v>1032</v>
      </c>
      <c r="Q64" s="1148" t="s">
        <v>1033</v>
      </c>
      <c r="R64" s="1147" t="s">
        <v>1034</v>
      </c>
      <c r="S64" s="1149" t="s">
        <v>1035</v>
      </c>
    </row>
    <row r="65" spans="2:19" x14ac:dyDescent="0.25">
      <c r="B65" s="1150" t="s">
        <v>1305</v>
      </c>
      <c r="C65" s="1154" t="s">
        <v>378</v>
      </c>
      <c r="D65" s="1154" t="s">
        <v>378</v>
      </c>
      <c r="E65" s="1154" t="s">
        <v>378</v>
      </c>
      <c r="F65" s="1154" t="s">
        <v>378</v>
      </c>
      <c r="G65" s="1154" t="s">
        <v>378</v>
      </c>
      <c r="H65" s="1151" t="s">
        <v>1305</v>
      </c>
      <c r="M65" s="1150" t="s">
        <v>1305</v>
      </c>
      <c r="N65" s="1154" t="s">
        <v>378</v>
      </c>
      <c r="O65" s="1154" t="s">
        <v>378</v>
      </c>
      <c r="P65" s="1154" t="s">
        <v>378</v>
      </c>
      <c r="Q65" s="1154" t="s">
        <v>378</v>
      </c>
      <c r="R65" s="1154" t="s">
        <v>378</v>
      </c>
      <c r="S65" s="1151" t="s">
        <v>1305</v>
      </c>
    </row>
    <row r="66" spans="2:19" x14ac:dyDescent="0.25">
      <c r="B66" s="1160" t="s">
        <v>364</v>
      </c>
      <c r="C66" s="1155" t="s">
        <v>364</v>
      </c>
      <c r="D66" s="1155" t="s">
        <v>364</v>
      </c>
      <c r="E66" s="1155" t="s">
        <v>364</v>
      </c>
      <c r="F66" s="1155" t="s">
        <v>364</v>
      </c>
      <c r="G66" s="1155" t="s">
        <v>364</v>
      </c>
      <c r="H66" s="1157" t="s">
        <v>364</v>
      </c>
      <c r="M66" s="1160" t="s">
        <v>364</v>
      </c>
      <c r="N66" s="1155" t="s">
        <v>364</v>
      </c>
      <c r="O66" s="1155" t="s">
        <v>364</v>
      </c>
      <c r="P66" s="1155" t="s">
        <v>364</v>
      </c>
      <c r="Q66" s="1155" t="s">
        <v>364</v>
      </c>
      <c r="R66" s="1155" t="s">
        <v>364</v>
      </c>
      <c r="S66" s="1157" t="s">
        <v>364</v>
      </c>
    </row>
    <row r="67" spans="2:19" x14ac:dyDescent="0.25">
      <c r="B67" s="1160" t="s">
        <v>376</v>
      </c>
      <c r="C67" s="1155" t="s">
        <v>376</v>
      </c>
      <c r="D67" s="1155" t="s">
        <v>376</v>
      </c>
      <c r="E67" s="1155" t="s">
        <v>376</v>
      </c>
      <c r="F67" s="1155" t="s">
        <v>376</v>
      </c>
      <c r="G67" s="1155" t="s">
        <v>376</v>
      </c>
      <c r="H67" s="1153" t="s">
        <v>1305</v>
      </c>
      <c r="M67" s="1160" t="s">
        <v>376</v>
      </c>
      <c r="N67" s="1155" t="s">
        <v>376</v>
      </c>
      <c r="O67" s="1155" t="s">
        <v>376</v>
      </c>
      <c r="P67" s="1155" t="s">
        <v>376</v>
      </c>
      <c r="Q67" s="1155" t="s">
        <v>376</v>
      </c>
      <c r="R67" s="1155" t="s">
        <v>376</v>
      </c>
      <c r="S67" s="1153" t="s">
        <v>1305</v>
      </c>
    </row>
    <row r="68" spans="2:19" x14ac:dyDescent="0.25">
      <c r="B68" s="1152" t="s">
        <v>1305</v>
      </c>
      <c r="C68" s="1155" t="s">
        <v>380</v>
      </c>
      <c r="D68" s="1155" t="s">
        <v>380</v>
      </c>
      <c r="E68" s="1155" t="s">
        <v>380</v>
      </c>
      <c r="F68" s="1155" t="s">
        <v>380</v>
      </c>
      <c r="G68" s="1155" t="s">
        <v>380</v>
      </c>
      <c r="H68" s="1153" t="s">
        <v>1305</v>
      </c>
      <c r="M68" s="1152" t="s">
        <v>1305</v>
      </c>
      <c r="N68" s="1155" t="s">
        <v>380</v>
      </c>
      <c r="O68" s="1155" t="s">
        <v>380</v>
      </c>
      <c r="P68" s="1155" t="s">
        <v>380</v>
      </c>
      <c r="Q68" s="1155" t="s">
        <v>380</v>
      </c>
      <c r="R68" s="1155" t="s">
        <v>380</v>
      </c>
      <c r="S68" s="1153" t="s">
        <v>1305</v>
      </c>
    </row>
    <row r="69" spans="2:19" x14ac:dyDescent="0.25">
      <c r="B69" s="1152" t="s">
        <v>1305</v>
      </c>
      <c r="C69" s="1155" t="s">
        <v>384</v>
      </c>
      <c r="D69" s="1155" t="s">
        <v>384</v>
      </c>
      <c r="E69" s="1155" t="s">
        <v>384</v>
      </c>
      <c r="F69" s="1155" t="s">
        <v>384</v>
      </c>
      <c r="G69" s="1155" t="s">
        <v>384</v>
      </c>
      <c r="H69" s="1153" t="s">
        <v>1305</v>
      </c>
      <c r="M69" s="1152" t="s">
        <v>1305</v>
      </c>
      <c r="N69" s="1155" t="s">
        <v>384</v>
      </c>
      <c r="O69" s="1155" t="s">
        <v>384</v>
      </c>
      <c r="P69" s="1155" t="s">
        <v>384</v>
      </c>
      <c r="Q69" s="1155" t="s">
        <v>384</v>
      </c>
      <c r="R69" s="1155" t="s">
        <v>384</v>
      </c>
      <c r="S69" s="1153" t="s">
        <v>1305</v>
      </c>
    </row>
    <row r="70" spans="2:19" x14ac:dyDescent="0.25">
      <c r="B70" s="1160" t="s">
        <v>366</v>
      </c>
      <c r="C70" s="1155" t="s">
        <v>366</v>
      </c>
      <c r="D70" s="1155" t="s">
        <v>366</v>
      </c>
      <c r="E70" s="1155" t="s">
        <v>366</v>
      </c>
      <c r="F70" s="1155" t="s">
        <v>366</v>
      </c>
      <c r="G70" s="1155" t="s">
        <v>366</v>
      </c>
      <c r="H70" s="1157" t="s">
        <v>366</v>
      </c>
      <c r="M70" s="1160" t="s">
        <v>366</v>
      </c>
      <c r="N70" s="1155" t="s">
        <v>366</v>
      </c>
      <c r="O70" s="1155" t="s">
        <v>366</v>
      </c>
      <c r="P70" s="1155" t="s">
        <v>366</v>
      </c>
      <c r="Q70" s="1155" t="s">
        <v>366</v>
      </c>
      <c r="R70" s="1155" t="s">
        <v>366</v>
      </c>
      <c r="S70" s="1157" t="s">
        <v>366</v>
      </c>
    </row>
    <row r="71" spans="2:19" x14ac:dyDescent="0.25">
      <c r="B71" s="1160" t="s">
        <v>368</v>
      </c>
      <c r="C71" s="1155" t="s">
        <v>368</v>
      </c>
      <c r="D71" s="1155" t="s">
        <v>368</v>
      </c>
      <c r="E71" s="1155" t="s">
        <v>368</v>
      </c>
      <c r="F71" s="1155" t="s">
        <v>368</v>
      </c>
      <c r="G71" s="1155" t="s">
        <v>368</v>
      </c>
      <c r="H71" s="1157" t="s">
        <v>368</v>
      </c>
      <c r="M71" s="1160" t="s">
        <v>368</v>
      </c>
      <c r="N71" s="1155" t="s">
        <v>368</v>
      </c>
      <c r="O71" s="1155" t="s">
        <v>368</v>
      </c>
      <c r="P71" s="1155" t="s">
        <v>368</v>
      </c>
      <c r="Q71" s="1155" t="s">
        <v>368</v>
      </c>
      <c r="R71" s="1155" t="s">
        <v>368</v>
      </c>
      <c r="S71" s="1157" t="s">
        <v>368</v>
      </c>
    </row>
    <row r="72" spans="2:19" x14ac:dyDescent="0.25">
      <c r="B72" s="1152" t="s">
        <v>1305</v>
      </c>
      <c r="C72" s="1155" t="s">
        <v>382</v>
      </c>
      <c r="D72" s="1155" t="s">
        <v>382</v>
      </c>
      <c r="E72" s="1155" t="s">
        <v>382</v>
      </c>
      <c r="F72" s="1155" t="s">
        <v>382</v>
      </c>
      <c r="G72" s="1155" t="s">
        <v>382</v>
      </c>
      <c r="H72" s="1153" t="s">
        <v>1305</v>
      </c>
      <c r="M72" s="1152" t="s">
        <v>1305</v>
      </c>
      <c r="N72" s="1155" t="s">
        <v>382</v>
      </c>
      <c r="O72" s="1155" t="s">
        <v>382</v>
      </c>
      <c r="P72" s="1155" t="s">
        <v>382</v>
      </c>
      <c r="Q72" s="1155" t="s">
        <v>382</v>
      </c>
      <c r="R72" s="1155" t="s">
        <v>382</v>
      </c>
      <c r="S72" s="1153" t="s">
        <v>1305</v>
      </c>
    </row>
    <row r="73" spans="2:19" x14ac:dyDescent="0.25">
      <c r="B73" s="1160" t="s">
        <v>374</v>
      </c>
      <c r="C73" s="1155" t="s">
        <v>374</v>
      </c>
      <c r="D73" s="1155" t="s">
        <v>374</v>
      </c>
      <c r="E73" s="1155" t="s">
        <v>374</v>
      </c>
      <c r="F73" s="1155" t="s">
        <v>374</v>
      </c>
      <c r="G73" s="1155" t="s">
        <v>374</v>
      </c>
      <c r="H73" s="1157" t="s">
        <v>374</v>
      </c>
      <c r="M73" s="1160" t="s">
        <v>374</v>
      </c>
      <c r="N73" s="1155" t="s">
        <v>374</v>
      </c>
      <c r="O73" s="1155" t="s">
        <v>374</v>
      </c>
      <c r="P73" s="1155" t="s">
        <v>374</v>
      </c>
      <c r="Q73" s="1155" t="s">
        <v>374</v>
      </c>
      <c r="R73" s="1155" t="s">
        <v>374</v>
      </c>
      <c r="S73" s="1157" t="s">
        <v>374</v>
      </c>
    </row>
    <row r="74" spans="2:19" x14ac:dyDescent="0.25">
      <c r="B74" s="1160" t="s">
        <v>370</v>
      </c>
      <c r="C74" s="1155" t="s">
        <v>370</v>
      </c>
      <c r="D74" s="1155" t="s">
        <v>370</v>
      </c>
      <c r="E74" s="1155" t="s">
        <v>370</v>
      </c>
      <c r="F74" s="1155" t="s">
        <v>370</v>
      </c>
      <c r="G74" s="1155" t="s">
        <v>370</v>
      </c>
      <c r="H74" s="1157" t="s">
        <v>370</v>
      </c>
      <c r="M74" s="1160" t="s">
        <v>370</v>
      </c>
      <c r="N74" s="1155" t="s">
        <v>370</v>
      </c>
      <c r="O74" s="1155" t="s">
        <v>370</v>
      </c>
      <c r="P74" s="1155" t="s">
        <v>370</v>
      </c>
      <c r="Q74" s="1155" t="s">
        <v>370</v>
      </c>
      <c r="R74" s="1155" t="s">
        <v>370</v>
      </c>
      <c r="S74" s="1157" t="s">
        <v>370</v>
      </c>
    </row>
    <row r="75" spans="2:19" ht="15.75" thickBot="1" x14ac:dyDescent="0.3">
      <c r="B75" s="1159" t="s">
        <v>372</v>
      </c>
      <c r="C75" s="1156" t="s">
        <v>372</v>
      </c>
      <c r="D75" s="1156" t="s">
        <v>372</v>
      </c>
      <c r="E75" s="1156" t="s">
        <v>372</v>
      </c>
      <c r="F75" s="1156" t="s">
        <v>372</v>
      </c>
      <c r="G75" s="1156" t="s">
        <v>372</v>
      </c>
      <c r="H75" s="1158" t="s">
        <v>372</v>
      </c>
      <c r="M75" s="1159" t="s">
        <v>372</v>
      </c>
      <c r="N75" s="1156" t="s">
        <v>372</v>
      </c>
      <c r="O75" s="1156" t="s">
        <v>372</v>
      </c>
      <c r="P75" s="1156" t="s">
        <v>372</v>
      </c>
      <c r="Q75" s="1156" t="s">
        <v>372</v>
      </c>
      <c r="R75" s="1156" t="s">
        <v>372</v>
      </c>
      <c r="S75" s="1158" t="s">
        <v>372</v>
      </c>
    </row>
  </sheetData>
  <mergeCells count="8">
    <mergeCell ref="B1:H1"/>
    <mergeCell ref="B43:H43"/>
    <mergeCell ref="B55:H55"/>
    <mergeCell ref="B63:H63"/>
    <mergeCell ref="M1:S1"/>
    <mergeCell ref="M43:S43"/>
    <mergeCell ref="M55:S55"/>
    <mergeCell ref="M63:S6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BFD9-F71D-4B2B-ABA0-DF91CC1A7050}">
  <dimension ref="A1:AP63"/>
  <sheetViews>
    <sheetView topLeftCell="K1" zoomScale="80" zoomScaleNormal="80" workbookViewId="0">
      <selection activeCell="Z43" sqref="Z43"/>
    </sheetView>
    <sheetView zoomScale="60" zoomScaleNormal="60" workbookViewId="1"/>
  </sheetViews>
  <sheetFormatPr defaultRowHeight="15" x14ac:dyDescent="0.25"/>
  <cols>
    <col min="2" max="2" width="10.7109375" customWidth="1"/>
    <col min="4" max="4" width="10.7109375" customWidth="1"/>
    <col min="6" max="6" width="10" bestFit="1" customWidth="1"/>
    <col min="8" max="8" width="10" bestFit="1" customWidth="1"/>
    <col min="10" max="10" width="10" bestFit="1" customWidth="1"/>
    <col min="12" max="12" width="10" bestFit="1" customWidth="1"/>
    <col min="14" max="14" width="10" bestFit="1" customWidth="1"/>
    <col min="16" max="16" width="10" bestFit="1" customWidth="1"/>
    <col min="18" max="18" width="10" bestFit="1" customWidth="1"/>
    <col min="20" max="20" width="10" bestFit="1" customWidth="1"/>
    <col min="26" max="26" width="10" bestFit="1" customWidth="1"/>
    <col min="28" max="28" width="15.42578125" bestFit="1" customWidth="1"/>
    <col min="30" max="30" width="10" bestFit="1" customWidth="1"/>
    <col min="32" max="32" width="10" bestFit="1" customWidth="1"/>
    <col min="35" max="40" width="10" bestFit="1" customWidth="1"/>
  </cols>
  <sheetData>
    <row r="1" spans="1:42" ht="16.5" thickBot="1" x14ac:dyDescent="0.3">
      <c r="A1" s="386"/>
      <c r="B1" s="1257" t="s">
        <v>1039</v>
      </c>
      <c r="C1" s="1258"/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8"/>
      <c r="X1" s="1258"/>
      <c r="Y1" s="1258"/>
      <c r="Z1" s="1258"/>
      <c r="AA1" s="1258"/>
      <c r="AB1" s="1258"/>
      <c r="AC1" s="1258"/>
      <c r="AD1" s="1258"/>
      <c r="AE1" s="1258"/>
      <c r="AF1" s="1259"/>
      <c r="AI1" s="1260" t="s">
        <v>1040</v>
      </c>
      <c r="AJ1" s="1260"/>
      <c r="AK1" s="1260"/>
      <c r="AL1" s="1260"/>
      <c r="AM1" s="1260"/>
      <c r="AN1" s="1260"/>
    </row>
    <row r="2" spans="1:42" ht="16.5" thickBot="1" x14ac:dyDescent="0.3">
      <c r="A2" s="387"/>
      <c r="B2" s="388" t="s">
        <v>1041</v>
      </c>
      <c r="C2" s="389" t="s">
        <v>1042</v>
      </c>
      <c r="D2" s="390" t="s">
        <v>1043</v>
      </c>
      <c r="E2" s="391"/>
      <c r="F2" s="392" t="s">
        <v>1044</v>
      </c>
      <c r="G2" s="392"/>
      <c r="H2" s="392" t="s">
        <v>1045</v>
      </c>
      <c r="I2" s="393"/>
      <c r="J2" s="392" t="s">
        <v>1046</v>
      </c>
      <c r="K2" s="392"/>
      <c r="L2" s="392" t="s">
        <v>1045</v>
      </c>
      <c r="M2" s="393"/>
      <c r="N2" s="392" t="s">
        <v>1047</v>
      </c>
      <c r="O2" s="392"/>
      <c r="P2" s="392" t="s">
        <v>1045</v>
      </c>
      <c r="Q2" s="393"/>
      <c r="R2" s="392" t="s">
        <v>1048</v>
      </c>
      <c r="S2" s="392"/>
      <c r="T2" s="392" t="s">
        <v>1045</v>
      </c>
      <c r="U2" s="393"/>
      <c r="V2" s="392" t="s">
        <v>1049</v>
      </c>
      <c r="W2" s="392"/>
      <c r="X2" s="394" t="s">
        <v>1045</v>
      </c>
      <c r="Y2" s="395"/>
      <c r="Z2" s="396" t="s">
        <v>1050</v>
      </c>
      <c r="AA2" s="389" t="s">
        <v>1042</v>
      </c>
      <c r="AB2" s="390" t="s">
        <v>1043</v>
      </c>
      <c r="AC2" s="397"/>
      <c r="AD2" s="392" t="s">
        <v>1051</v>
      </c>
      <c r="AE2" s="392"/>
      <c r="AF2" s="394" t="s">
        <v>1045</v>
      </c>
      <c r="AI2" s="551" t="s">
        <v>1030</v>
      </c>
      <c r="AJ2" s="552" t="s">
        <v>1031</v>
      </c>
      <c r="AK2" s="551" t="s">
        <v>1032</v>
      </c>
      <c r="AL2" s="552" t="s">
        <v>1033</v>
      </c>
      <c r="AM2" s="551" t="s">
        <v>1034</v>
      </c>
      <c r="AN2" s="553" t="s">
        <v>1035</v>
      </c>
    </row>
    <row r="3" spans="1:42" ht="15.75" x14ac:dyDescent="0.25">
      <c r="A3" s="453"/>
      <c r="B3" s="466" t="s">
        <v>285</v>
      </c>
      <c r="C3" s="456" t="s">
        <v>1052</v>
      </c>
      <c r="D3" s="473" t="s">
        <v>285</v>
      </c>
      <c r="E3" s="399">
        <v>1</v>
      </c>
      <c r="F3" s="1171" t="s">
        <v>293</v>
      </c>
      <c r="G3" s="400"/>
      <c r="H3" s="401" t="s">
        <v>293</v>
      </c>
      <c r="I3" s="402">
        <v>1</v>
      </c>
      <c r="J3" s="1171" t="s">
        <v>293</v>
      </c>
      <c r="K3" s="403"/>
      <c r="L3" s="401" t="s">
        <v>293</v>
      </c>
      <c r="M3" s="402">
        <v>1</v>
      </c>
      <c r="N3" s="1171" t="s">
        <v>293</v>
      </c>
      <c r="O3" s="404"/>
      <c r="P3" s="401" t="s">
        <v>293</v>
      </c>
      <c r="Q3" s="402">
        <v>1</v>
      </c>
      <c r="R3" s="1172" t="s">
        <v>1036</v>
      </c>
      <c r="S3" s="403"/>
      <c r="T3" s="401" t="s">
        <v>1036</v>
      </c>
      <c r="U3" s="402">
        <v>1</v>
      </c>
      <c r="V3" s="1171" t="s">
        <v>318</v>
      </c>
      <c r="W3" s="403"/>
      <c r="X3" s="465" t="s">
        <v>1053</v>
      </c>
      <c r="Y3" s="405"/>
      <c r="Z3" s="466" t="s">
        <v>285</v>
      </c>
      <c r="AA3" s="398" t="s">
        <v>1052</v>
      </c>
      <c r="AB3" s="473" t="s">
        <v>285</v>
      </c>
      <c r="AC3" s="406">
        <v>1</v>
      </c>
      <c r="AD3" s="464" t="s">
        <v>301</v>
      </c>
      <c r="AE3" s="407"/>
      <c r="AF3" s="465" t="s">
        <v>301</v>
      </c>
      <c r="AI3" s="488" t="s">
        <v>285</v>
      </c>
      <c r="AJ3" s="488" t="s">
        <v>285</v>
      </c>
      <c r="AK3" s="488" t="s">
        <v>285</v>
      </c>
      <c r="AL3" s="488" t="s">
        <v>285</v>
      </c>
      <c r="AM3" s="488" t="s">
        <v>285</v>
      </c>
      <c r="AN3" s="487" t="s">
        <v>285</v>
      </c>
      <c r="AP3" s="478"/>
    </row>
    <row r="4" spans="1:42" ht="15.75" x14ac:dyDescent="0.25">
      <c r="A4" s="454"/>
      <c r="B4" s="467" t="s">
        <v>290</v>
      </c>
      <c r="C4" s="457" t="s">
        <v>1052</v>
      </c>
      <c r="D4" s="474" t="s">
        <v>290</v>
      </c>
      <c r="E4" s="410">
        <v>2</v>
      </c>
      <c r="F4" s="1192" t="s">
        <v>324</v>
      </c>
      <c r="G4" s="411"/>
      <c r="H4" s="465" t="s">
        <v>364</v>
      </c>
      <c r="I4" s="412">
        <v>2</v>
      </c>
      <c r="J4" s="1172" t="s">
        <v>1036</v>
      </c>
      <c r="K4" s="413"/>
      <c r="L4" s="465" t="s">
        <v>1036</v>
      </c>
      <c r="M4" s="412">
        <v>2</v>
      </c>
      <c r="N4" s="1176" t="s">
        <v>324</v>
      </c>
      <c r="O4" s="414"/>
      <c r="P4" s="465" t="s">
        <v>364</v>
      </c>
      <c r="Q4" s="412">
        <v>2</v>
      </c>
      <c r="R4" s="1176" t="s">
        <v>324</v>
      </c>
      <c r="S4" s="413"/>
      <c r="T4" s="465" t="s">
        <v>364</v>
      </c>
      <c r="U4" s="412">
        <v>2</v>
      </c>
      <c r="V4" s="1176" t="s">
        <v>324</v>
      </c>
      <c r="W4" s="413"/>
      <c r="X4" s="465" t="s">
        <v>364</v>
      </c>
      <c r="Y4" s="415"/>
      <c r="Z4" s="467" t="s">
        <v>290</v>
      </c>
      <c r="AA4" s="409" t="s">
        <v>1052</v>
      </c>
      <c r="AB4" s="474" t="s">
        <v>290</v>
      </c>
      <c r="AC4" s="416">
        <v>2</v>
      </c>
      <c r="AD4" s="465" t="s">
        <v>1036</v>
      </c>
      <c r="AE4" s="417"/>
      <c r="AF4" s="465" t="s">
        <v>1036</v>
      </c>
      <c r="AI4" s="490" t="s">
        <v>307</v>
      </c>
      <c r="AJ4" s="492" t="s">
        <v>366</v>
      </c>
      <c r="AK4" s="465" t="s">
        <v>1036</v>
      </c>
      <c r="AL4" s="488" t="s">
        <v>295</v>
      </c>
      <c r="AM4" s="492" t="s">
        <v>366</v>
      </c>
      <c r="AN4" s="479" t="s">
        <v>1036</v>
      </c>
    </row>
    <row r="5" spans="1:42" ht="15.75" x14ac:dyDescent="0.25">
      <c r="A5" s="454"/>
      <c r="B5" s="467" t="s">
        <v>293</v>
      </c>
      <c r="C5" s="457" t="s">
        <v>1052</v>
      </c>
      <c r="D5" s="474" t="s">
        <v>293</v>
      </c>
      <c r="E5" s="410">
        <v>3</v>
      </c>
      <c r="F5" s="1171" t="s">
        <v>318</v>
      </c>
      <c r="G5" s="411"/>
      <c r="H5" s="465" t="s">
        <v>1053</v>
      </c>
      <c r="I5" s="412">
        <v>3</v>
      </c>
      <c r="J5" s="1171" t="s">
        <v>318</v>
      </c>
      <c r="K5" s="413"/>
      <c r="L5" s="465" t="s">
        <v>1053</v>
      </c>
      <c r="M5" s="412">
        <v>3</v>
      </c>
      <c r="N5" s="1171" t="s">
        <v>318</v>
      </c>
      <c r="O5" s="419"/>
      <c r="P5" s="465" t="s">
        <v>1053</v>
      </c>
      <c r="Q5" s="412">
        <v>3</v>
      </c>
      <c r="R5" s="1171" t="s">
        <v>318</v>
      </c>
      <c r="S5" s="413"/>
      <c r="T5" s="465" t="s">
        <v>1053</v>
      </c>
      <c r="U5" s="412">
        <v>3</v>
      </c>
      <c r="V5" s="1172" t="s">
        <v>1036</v>
      </c>
      <c r="W5" s="413"/>
      <c r="X5" s="465" t="s">
        <v>1036</v>
      </c>
      <c r="Y5" s="415"/>
      <c r="Z5" s="467" t="s">
        <v>293</v>
      </c>
      <c r="AA5" s="409" t="s">
        <v>1052</v>
      </c>
      <c r="AB5" s="474" t="s">
        <v>293</v>
      </c>
      <c r="AC5" s="416">
        <v>3</v>
      </c>
      <c r="AD5" s="465" t="s">
        <v>285</v>
      </c>
      <c r="AE5" s="417"/>
      <c r="AF5" s="465" t="s">
        <v>285</v>
      </c>
      <c r="AI5" s="465" t="s">
        <v>1036</v>
      </c>
      <c r="AJ5" s="492" t="s">
        <v>370</v>
      </c>
      <c r="AK5" s="492" t="s">
        <v>370</v>
      </c>
      <c r="AL5" s="492" t="s">
        <v>370</v>
      </c>
      <c r="AM5" s="465" t="s">
        <v>1036</v>
      </c>
      <c r="AN5" s="493" t="s">
        <v>368</v>
      </c>
    </row>
    <row r="6" spans="1:42" ht="15.75" x14ac:dyDescent="0.25">
      <c r="A6" s="454"/>
      <c r="B6" s="467" t="s">
        <v>295</v>
      </c>
      <c r="C6" s="457" t="s">
        <v>1052</v>
      </c>
      <c r="D6" s="474" t="s">
        <v>295</v>
      </c>
      <c r="E6" s="410">
        <v>4</v>
      </c>
      <c r="F6" s="1192" t="s">
        <v>360</v>
      </c>
      <c r="G6" s="411"/>
      <c r="H6" s="465" t="s">
        <v>320</v>
      </c>
      <c r="I6" s="412">
        <v>4</v>
      </c>
      <c r="J6" s="1176" t="s">
        <v>324</v>
      </c>
      <c r="K6" s="413"/>
      <c r="L6" s="465" t="s">
        <v>364</v>
      </c>
      <c r="M6" s="412">
        <v>4</v>
      </c>
      <c r="N6" s="1172" t="s">
        <v>1036</v>
      </c>
      <c r="O6" s="419"/>
      <c r="P6" s="465" t="s">
        <v>1036</v>
      </c>
      <c r="Q6" s="412">
        <v>4</v>
      </c>
      <c r="R6" s="1171" t="s">
        <v>293</v>
      </c>
      <c r="S6" s="413"/>
      <c r="T6" s="465" t="s">
        <v>293</v>
      </c>
      <c r="U6" s="412">
        <v>4</v>
      </c>
      <c r="V6" s="1171" t="s">
        <v>293</v>
      </c>
      <c r="W6" s="413"/>
      <c r="X6" s="465" t="s">
        <v>293</v>
      </c>
      <c r="Y6" s="415"/>
      <c r="Z6" s="467" t="s">
        <v>295</v>
      </c>
      <c r="AA6" s="409" t="s">
        <v>1052</v>
      </c>
      <c r="AB6" s="474" t="s">
        <v>295</v>
      </c>
      <c r="AC6" s="416">
        <v>4</v>
      </c>
      <c r="AD6" s="465" t="s">
        <v>1036</v>
      </c>
      <c r="AE6" s="417"/>
      <c r="AF6" s="465" t="s">
        <v>1036</v>
      </c>
      <c r="AI6" s="488" t="s">
        <v>297</v>
      </c>
      <c r="AJ6" s="488" t="s">
        <v>297</v>
      </c>
      <c r="AK6" s="488" t="s">
        <v>297</v>
      </c>
      <c r="AL6" s="465" t="s">
        <v>1036</v>
      </c>
      <c r="AM6" s="488" t="s">
        <v>295</v>
      </c>
      <c r="AN6" s="487" t="s">
        <v>303</v>
      </c>
    </row>
    <row r="7" spans="1:42" ht="16.5" thickBot="1" x14ac:dyDescent="0.3">
      <c r="A7" s="454"/>
      <c r="B7" s="467" t="s">
        <v>297</v>
      </c>
      <c r="C7" s="457" t="s">
        <v>1052</v>
      </c>
      <c r="D7" s="474" t="s">
        <v>297</v>
      </c>
      <c r="E7" s="420">
        <v>5</v>
      </c>
      <c r="F7" s="1172" t="s">
        <v>1036</v>
      </c>
      <c r="G7" s="421"/>
      <c r="H7" s="465" t="s">
        <v>1036</v>
      </c>
      <c r="I7" s="422">
        <v>5</v>
      </c>
      <c r="J7" s="1175" t="s">
        <v>342</v>
      </c>
      <c r="K7" s="423"/>
      <c r="L7" s="465" t="s">
        <v>307</v>
      </c>
      <c r="M7" s="422">
        <v>5</v>
      </c>
      <c r="N7" s="1175" t="s">
        <v>342</v>
      </c>
      <c r="O7" s="424"/>
      <c r="P7" s="465" t="s">
        <v>307</v>
      </c>
      <c r="Q7" s="422">
        <v>5</v>
      </c>
      <c r="R7" s="1175" t="s">
        <v>342</v>
      </c>
      <c r="S7" s="423"/>
      <c r="T7" s="465" t="s">
        <v>307</v>
      </c>
      <c r="U7" s="422">
        <v>5</v>
      </c>
      <c r="V7" s="1175" t="s">
        <v>342</v>
      </c>
      <c r="W7" s="423"/>
      <c r="X7" s="465" t="s">
        <v>307</v>
      </c>
      <c r="Y7" s="415"/>
      <c r="Z7" s="467" t="s">
        <v>297</v>
      </c>
      <c r="AA7" s="409" t="s">
        <v>1052</v>
      </c>
      <c r="AB7" s="474" t="s">
        <v>297</v>
      </c>
      <c r="AC7" s="425">
        <v>5</v>
      </c>
      <c r="AD7" s="465" t="s">
        <v>320</v>
      </c>
      <c r="AE7" s="426"/>
      <c r="AF7" s="465" t="s">
        <v>368</v>
      </c>
      <c r="AI7" s="492" t="s">
        <v>368</v>
      </c>
      <c r="AJ7" s="465" t="s">
        <v>1036</v>
      </c>
      <c r="AK7" s="492" t="s">
        <v>368</v>
      </c>
      <c r="AL7" s="492" t="s">
        <v>368</v>
      </c>
      <c r="AM7" s="492" t="s">
        <v>370</v>
      </c>
      <c r="AN7" s="479" t="s">
        <v>1036</v>
      </c>
    </row>
    <row r="8" spans="1:42" ht="15.75" x14ac:dyDescent="0.25">
      <c r="A8" s="454"/>
      <c r="B8" s="467" t="s">
        <v>299</v>
      </c>
      <c r="C8" s="457" t="s">
        <v>1052</v>
      </c>
      <c r="D8" s="474" t="s">
        <v>299</v>
      </c>
      <c r="E8" s="399">
        <v>6</v>
      </c>
      <c r="F8" s="1171" t="s">
        <v>295</v>
      </c>
      <c r="G8" s="400"/>
      <c r="H8" s="465" t="s">
        <v>295</v>
      </c>
      <c r="I8" s="402">
        <v>6</v>
      </c>
      <c r="J8" s="1171" t="s">
        <v>295</v>
      </c>
      <c r="K8" s="403"/>
      <c r="L8" s="465" t="s">
        <v>295</v>
      </c>
      <c r="M8" s="402">
        <v>6</v>
      </c>
      <c r="N8" s="1171" t="s">
        <v>295</v>
      </c>
      <c r="O8" s="404"/>
      <c r="P8" s="465" t="s">
        <v>295</v>
      </c>
      <c r="Q8" s="402">
        <v>6</v>
      </c>
      <c r="R8" s="1172" t="s">
        <v>1036</v>
      </c>
      <c r="S8" s="403"/>
      <c r="T8" s="465" t="s">
        <v>1036</v>
      </c>
      <c r="U8" s="402">
        <v>6</v>
      </c>
      <c r="V8" s="1171" t="s">
        <v>285</v>
      </c>
      <c r="W8" s="403"/>
      <c r="X8" s="465" t="s">
        <v>285</v>
      </c>
      <c r="Y8" s="415"/>
      <c r="Z8" s="467" t="s">
        <v>299</v>
      </c>
      <c r="AA8" s="409" t="s">
        <v>1052</v>
      </c>
      <c r="AB8" s="474" t="s">
        <v>299</v>
      </c>
      <c r="AC8" s="406">
        <v>6</v>
      </c>
      <c r="AD8" s="465" t="s">
        <v>303</v>
      </c>
      <c r="AE8" s="407"/>
      <c r="AF8" s="465" t="s">
        <v>303</v>
      </c>
      <c r="AI8" s="488" t="s">
        <v>1057</v>
      </c>
      <c r="AJ8" s="465" t="s">
        <v>1057</v>
      </c>
      <c r="AK8" s="465" t="s">
        <v>1057</v>
      </c>
      <c r="AL8" s="465" t="s">
        <v>1057</v>
      </c>
      <c r="AM8" s="465" t="s">
        <v>1057</v>
      </c>
      <c r="AN8" s="487" t="s">
        <v>299</v>
      </c>
    </row>
    <row r="9" spans="1:42" ht="15.75" x14ac:dyDescent="0.25">
      <c r="A9" s="454"/>
      <c r="B9" s="467" t="s">
        <v>301</v>
      </c>
      <c r="C9" s="457" t="s">
        <v>1052</v>
      </c>
      <c r="D9" s="474" t="s">
        <v>301</v>
      </c>
      <c r="E9" s="410">
        <v>7</v>
      </c>
      <c r="F9" s="1192" t="s">
        <v>326</v>
      </c>
      <c r="G9" s="411"/>
      <c r="H9" s="465" t="s">
        <v>366</v>
      </c>
      <c r="I9" s="412">
        <v>7</v>
      </c>
      <c r="J9" s="1172" t="s">
        <v>1036</v>
      </c>
      <c r="K9" s="413"/>
      <c r="L9" s="465" t="s">
        <v>1036</v>
      </c>
      <c r="M9" s="412">
        <v>7</v>
      </c>
      <c r="N9" s="1176" t="s">
        <v>326</v>
      </c>
      <c r="O9" s="414"/>
      <c r="P9" s="465" t="s">
        <v>366</v>
      </c>
      <c r="Q9" s="412">
        <v>7</v>
      </c>
      <c r="R9" s="1176" t="s">
        <v>326</v>
      </c>
      <c r="S9" s="413"/>
      <c r="T9" s="465" t="s">
        <v>366</v>
      </c>
      <c r="U9" s="412">
        <v>7</v>
      </c>
      <c r="V9" s="1176" t="s">
        <v>326</v>
      </c>
      <c r="W9" s="413"/>
      <c r="X9" s="465" t="s">
        <v>366</v>
      </c>
      <c r="Y9" s="415"/>
      <c r="Z9" s="467" t="s">
        <v>301</v>
      </c>
      <c r="AA9" s="409" t="s">
        <v>1052</v>
      </c>
      <c r="AB9" s="474" t="s">
        <v>301</v>
      </c>
      <c r="AC9" s="416">
        <v>7</v>
      </c>
      <c r="AD9" s="465" t="s">
        <v>1036</v>
      </c>
      <c r="AE9" s="417"/>
      <c r="AF9" s="465" t="s">
        <v>1036</v>
      </c>
      <c r="AI9" s="492" t="s">
        <v>370</v>
      </c>
      <c r="AJ9" s="492" t="s">
        <v>368</v>
      </c>
      <c r="AK9" s="465" t="s">
        <v>1036</v>
      </c>
      <c r="AL9" s="488" t="s">
        <v>297</v>
      </c>
      <c r="AM9" s="492" t="s">
        <v>368</v>
      </c>
      <c r="AN9" s="479" t="s">
        <v>1036</v>
      </c>
    </row>
    <row r="10" spans="1:42" ht="15.75" x14ac:dyDescent="0.25">
      <c r="A10" s="454"/>
      <c r="B10" s="467" t="s">
        <v>303</v>
      </c>
      <c r="C10" s="457" t="s">
        <v>1052</v>
      </c>
      <c r="D10" s="474" t="s">
        <v>303</v>
      </c>
      <c r="E10" s="410">
        <v>8</v>
      </c>
      <c r="F10" s="1171" t="s">
        <v>285</v>
      </c>
      <c r="G10" s="411"/>
      <c r="H10" s="465" t="s">
        <v>285</v>
      </c>
      <c r="I10" s="412">
        <v>8</v>
      </c>
      <c r="J10" s="1171" t="s">
        <v>285</v>
      </c>
      <c r="K10" s="413"/>
      <c r="L10" s="465" t="s">
        <v>285</v>
      </c>
      <c r="M10" s="412">
        <v>8</v>
      </c>
      <c r="N10" s="1171" t="s">
        <v>285</v>
      </c>
      <c r="O10" s="419"/>
      <c r="P10" s="465" t="s">
        <v>285</v>
      </c>
      <c r="Q10" s="412">
        <v>8</v>
      </c>
      <c r="R10" s="1171" t="s">
        <v>285</v>
      </c>
      <c r="S10" s="413"/>
      <c r="T10" s="465" t="s">
        <v>285</v>
      </c>
      <c r="U10" s="412">
        <v>8</v>
      </c>
      <c r="V10" s="1172" t="s">
        <v>1036</v>
      </c>
      <c r="W10" s="413"/>
      <c r="X10" s="465" t="s">
        <v>1036</v>
      </c>
      <c r="Y10" s="415"/>
      <c r="Z10" s="467" t="s">
        <v>303</v>
      </c>
      <c r="AA10" s="409" t="s">
        <v>1052</v>
      </c>
      <c r="AB10" s="474" t="s">
        <v>303</v>
      </c>
      <c r="AC10" s="416">
        <v>8</v>
      </c>
      <c r="AD10" s="465" t="s">
        <v>299</v>
      </c>
      <c r="AE10" s="417"/>
      <c r="AF10" s="465" t="s">
        <v>299</v>
      </c>
      <c r="AI10" s="465" t="s">
        <v>1036</v>
      </c>
      <c r="AJ10" s="490" t="s">
        <v>313</v>
      </c>
      <c r="AK10" s="490" t="s">
        <v>313</v>
      </c>
      <c r="AL10" s="490" t="s">
        <v>313</v>
      </c>
      <c r="AM10" s="465" t="s">
        <v>1036</v>
      </c>
      <c r="AN10" s="497" t="s">
        <v>305</v>
      </c>
    </row>
    <row r="11" spans="1:42" ht="15.75" x14ac:dyDescent="0.25">
      <c r="A11" s="455"/>
      <c r="B11" s="467" t="s">
        <v>305</v>
      </c>
      <c r="C11" s="457" t="s">
        <v>1052</v>
      </c>
      <c r="D11" s="475" t="s">
        <v>1054</v>
      </c>
      <c r="E11" s="410">
        <v>9</v>
      </c>
      <c r="F11" s="1192" t="s">
        <v>342</v>
      </c>
      <c r="G11" s="411"/>
      <c r="H11" s="465" t="s">
        <v>307</v>
      </c>
      <c r="I11" s="412">
        <v>9</v>
      </c>
      <c r="J11" s="1176" t="s">
        <v>326</v>
      </c>
      <c r="K11" s="413"/>
      <c r="L11" s="465" t="s">
        <v>366</v>
      </c>
      <c r="M11" s="412">
        <v>9</v>
      </c>
      <c r="N11" s="1172" t="s">
        <v>1036</v>
      </c>
      <c r="O11" s="419"/>
      <c r="P11" s="465" t="s">
        <v>1036</v>
      </c>
      <c r="Q11" s="412">
        <v>9</v>
      </c>
      <c r="R11" s="1171" t="s">
        <v>295</v>
      </c>
      <c r="S11" s="413"/>
      <c r="T11" s="465" t="s">
        <v>295</v>
      </c>
      <c r="U11" s="412">
        <v>9</v>
      </c>
      <c r="V11" s="1171" t="s">
        <v>295</v>
      </c>
      <c r="W11" s="413"/>
      <c r="X11" s="465" t="s">
        <v>295</v>
      </c>
      <c r="Y11" s="415"/>
      <c r="Z11" s="467" t="s">
        <v>305</v>
      </c>
      <c r="AA11" s="409" t="s">
        <v>1052</v>
      </c>
      <c r="AB11" s="475" t="s">
        <v>1054</v>
      </c>
      <c r="AC11" s="416">
        <v>9</v>
      </c>
      <c r="AD11" s="465" t="s">
        <v>1036</v>
      </c>
      <c r="AE11" s="417"/>
      <c r="AF11" s="465" t="s">
        <v>1036</v>
      </c>
      <c r="AI11" s="488" t="s">
        <v>299</v>
      </c>
      <c r="AJ11" s="488" t="s">
        <v>299</v>
      </c>
      <c r="AK11" s="488" t="s">
        <v>299</v>
      </c>
      <c r="AL11" s="465" t="s">
        <v>1036</v>
      </c>
      <c r="AM11" s="488" t="s">
        <v>297</v>
      </c>
      <c r="AN11" s="493" t="s">
        <v>370</v>
      </c>
    </row>
    <row r="12" spans="1:42" ht="16.5" thickBot="1" x14ac:dyDescent="0.3">
      <c r="A12" s="454"/>
      <c r="B12" s="467" t="s">
        <v>307</v>
      </c>
      <c r="C12" s="457" t="s">
        <v>1052</v>
      </c>
      <c r="D12" s="475" t="s">
        <v>1055</v>
      </c>
      <c r="E12" s="420">
        <v>10</v>
      </c>
      <c r="F12" s="1172" t="s">
        <v>1036</v>
      </c>
      <c r="G12" s="421"/>
      <c r="H12" s="465" t="s">
        <v>1036</v>
      </c>
      <c r="I12" s="422">
        <v>10</v>
      </c>
      <c r="J12" s="1176" t="s">
        <v>330</v>
      </c>
      <c r="K12" s="423"/>
      <c r="L12" s="465" t="s">
        <v>370</v>
      </c>
      <c r="M12" s="422">
        <v>10</v>
      </c>
      <c r="N12" s="1176" t="s">
        <v>330</v>
      </c>
      <c r="O12" s="424"/>
      <c r="P12" s="465" t="s">
        <v>370</v>
      </c>
      <c r="Q12" s="422">
        <v>10</v>
      </c>
      <c r="R12" s="1176" t="s">
        <v>330</v>
      </c>
      <c r="S12" s="423"/>
      <c r="T12" s="465" t="s">
        <v>370</v>
      </c>
      <c r="U12" s="422">
        <v>10</v>
      </c>
      <c r="V12" s="1176" t="s">
        <v>330</v>
      </c>
      <c r="W12" s="423"/>
      <c r="X12" s="465" t="s">
        <v>370</v>
      </c>
      <c r="Y12" s="415"/>
      <c r="Z12" s="467" t="s">
        <v>307</v>
      </c>
      <c r="AA12" s="409" t="s">
        <v>1052</v>
      </c>
      <c r="AB12" s="475" t="s">
        <v>1055</v>
      </c>
      <c r="AC12" s="425">
        <v>10</v>
      </c>
      <c r="AD12" s="465" t="s">
        <v>340</v>
      </c>
      <c r="AE12" s="426"/>
      <c r="AF12" s="465" t="s">
        <v>305</v>
      </c>
      <c r="AI12" s="490" t="s">
        <v>309</v>
      </c>
      <c r="AJ12" s="465" t="s">
        <v>1036</v>
      </c>
      <c r="AK12" s="490" t="s">
        <v>309</v>
      </c>
      <c r="AL12" s="490" t="s">
        <v>309</v>
      </c>
      <c r="AM12" s="490" t="s">
        <v>313</v>
      </c>
      <c r="AN12" s="479" t="s">
        <v>1036</v>
      </c>
    </row>
    <row r="13" spans="1:42" ht="15.75" x14ac:dyDescent="0.25">
      <c r="A13" s="454"/>
      <c r="B13" s="467" t="s">
        <v>309</v>
      </c>
      <c r="C13" s="457" t="s">
        <v>1052</v>
      </c>
      <c r="D13" s="475" t="s">
        <v>1056</v>
      </c>
      <c r="E13" s="399">
        <v>11</v>
      </c>
      <c r="F13" s="1171" t="s">
        <v>297</v>
      </c>
      <c r="G13" s="400"/>
      <c r="H13" s="465" t="s">
        <v>297</v>
      </c>
      <c r="I13" s="402">
        <v>11</v>
      </c>
      <c r="J13" s="1171" t="s">
        <v>297</v>
      </c>
      <c r="K13" s="403"/>
      <c r="L13" s="465" t="s">
        <v>297</v>
      </c>
      <c r="M13" s="402">
        <v>11</v>
      </c>
      <c r="N13" s="1171" t="s">
        <v>297</v>
      </c>
      <c r="O13" s="404"/>
      <c r="P13" s="465" t="s">
        <v>297</v>
      </c>
      <c r="Q13" s="402">
        <v>11</v>
      </c>
      <c r="R13" s="1172" t="s">
        <v>1036</v>
      </c>
      <c r="S13" s="403"/>
      <c r="T13" s="465" t="s">
        <v>1036</v>
      </c>
      <c r="U13" s="402">
        <v>11</v>
      </c>
      <c r="V13" s="1171" t="s">
        <v>315</v>
      </c>
      <c r="W13" s="403"/>
      <c r="X13" s="465" t="s">
        <v>1057</v>
      </c>
      <c r="Y13" s="415"/>
      <c r="Z13" s="467" t="s">
        <v>309</v>
      </c>
      <c r="AA13" s="409" t="s">
        <v>1052</v>
      </c>
      <c r="AB13" s="475" t="s">
        <v>1056</v>
      </c>
      <c r="AC13" s="406">
        <v>11</v>
      </c>
      <c r="AD13" s="465" t="s">
        <v>322</v>
      </c>
      <c r="AE13" s="407"/>
      <c r="AF13" s="465" t="s">
        <v>370</v>
      </c>
      <c r="AI13" s="488" t="s">
        <v>1054</v>
      </c>
      <c r="AJ13" s="465" t="s">
        <v>1054</v>
      </c>
      <c r="AK13" s="465" t="s">
        <v>1054</v>
      </c>
      <c r="AL13" s="465" t="s">
        <v>1054</v>
      </c>
      <c r="AM13" s="465" t="s">
        <v>1054</v>
      </c>
      <c r="AN13" s="487" t="s">
        <v>290</v>
      </c>
    </row>
    <row r="14" spans="1:42" ht="15.75" x14ac:dyDescent="0.25">
      <c r="A14" s="454"/>
      <c r="B14" s="467" t="s">
        <v>311</v>
      </c>
      <c r="C14" s="457" t="s">
        <v>1052</v>
      </c>
      <c r="D14" s="475" t="s">
        <v>1058</v>
      </c>
      <c r="E14" s="410">
        <v>12</v>
      </c>
      <c r="F14" s="1192" t="s">
        <v>328</v>
      </c>
      <c r="G14" s="411"/>
      <c r="H14" s="465" t="s">
        <v>368</v>
      </c>
      <c r="I14" s="412">
        <v>12</v>
      </c>
      <c r="J14" s="1172" t="s">
        <v>1036</v>
      </c>
      <c r="K14" s="413"/>
      <c r="L14" s="465" t="s">
        <v>1036</v>
      </c>
      <c r="M14" s="412">
        <v>12</v>
      </c>
      <c r="N14" s="1176" t="s">
        <v>328</v>
      </c>
      <c r="O14" s="414"/>
      <c r="P14" s="465" t="s">
        <v>368</v>
      </c>
      <c r="Q14" s="412">
        <v>12</v>
      </c>
      <c r="R14" s="1176" t="s">
        <v>328</v>
      </c>
      <c r="S14" s="413"/>
      <c r="T14" s="465" t="s">
        <v>368</v>
      </c>
      <c r="U14" s="412">
        <v>12</v>
      </c>
      <c r="V14" s="1176" t="s">
        <v>328</v>
      </c>
      <c r="W14" s="413"/>
      <c r="X14" s="465" t="s">
        <v>368</v>
      </c>
      <c r="Y14" s="415"/>
      <c r="Z14" s="467" t="s">
        <v>311</v>
      </c>
      <c r="AA14" s="409" t="s">
        <v>1052</v>
      </c>
      <c r="AB14" s="475" t="s">
        <v>1058</v>
      </c>
      <c r="AC14" s="416">
        <v>12</v>
      </c>
      <c r="AD14" s="465" t="s">
        <v>1036</v>
      </c>
      <c r="AE14" s="417"/>
      <c r="AF14" s="465" t="s">
        <v>1036</v>
      </c>
      <c r="AI14" s="490" t="s">
        <v>313</v>
      </c>
      <c r="AJ14" s="490" t="s">
        <v>309</v>
      </c>
      <c r="AK14" s="465" t="s">
        <v>1036</v>
      </c>
      <c r="AL14" s="488" t="s">
        <v>299</v>
      </c>
      <c r="AM14" s="490" t="s">
        <v>309</v>
      </c>
      <c r="AN14" s="479" t="s">
        <v>1036</v>
      </c>
    </row>
    <row r="15" spans="1:42" ht="16.5" thickBot="1" x14ac:dyDescent="0.3">
      <c r="A15" s="455" t="s">
        <v>280</v>
      </c>
      <c r="B15" s="467" t="s">
        <v>313</v>
      </c>
      <c r="C15" s="411"/>
      <c r="D15" s="418"/>
      <c r="E15" s="410">
        <v>13</v>
      </c>
      <c r="F15" s="1171" t="s">
        <v>315</v>
      </c>
      <c r="G15" s="411"/>
      <c r="H15" s="465" t="s">
        <v>1057</v>
      </c>
      <c r="I15" s="412">
        <v>13</v>
      </c>
      <c r="J15" s="1171" t="s">
        <v>315</v>
      </c>
      <c r="K15" s="413"/>
      <c r="L15" s="465" t="s">
        <v>1057</v>
      </c>
      <c r="M15" s="412">
        <v>13</v>
      </c>
      <c r="N15" s="1171" t="s">
        <v>315</v>
      </c>
      <c r="O15" s="419"/>
      <c r="P15" s="465" t="s">
        <v>1057</v>
      </c>
      <c r="Q15" s="412">
        <v>13</v>
      </c>
      <c r="R15" s="1171" t="s">
        <v>315</v>
      </c>
      <c r="S15" s="413"/>
      <c r="T15" s="465" t="s">
        <v>1057</v>
      </c>
      <c r="U15" s="412">
        <v>13</v>
      </c>
      <c r="V15" s="1172" t="s">
        <v>1036</v>
      </c>
      <c r="W15" s="413"/>
      <c r="X15" s="465" t="s">
        <v>1036</v>
      </c>
      <c r="Y15" s="415"/>
      <c r="Z15" s="468" t="s">
        <v>313</v>
      </c>
      <c r="AA15" s="409" t="s">
        <v>1052</v>
      </c>
      <c r="AB15" s="475" t="s">
        <v>1057</v>
      </c>
      <c r="AC15" s="416">
        <v>13</v>
      </c>
      <c r="AD15" s="465" t="s">
        <v>290</v>
      </c>
      <c r="AE15" s="417"/>
      <c r="AF15" s="465" t="s">
        <v>290</v>
      </c>
      <c r="AI15" s="465" t="s">
        <v>1036</v>
      </c>
      <c r="AJ15" s="492" t="s">
        <v>372</v>
      </c>
      <c r="AK15" s="492" t="s">
        <v>372</v>
      </c>
      <c r="AL15" s="492" t="s">
        <v>372</v>
      </c>
      <c r="AM15" s="465" t="s">
        <v>1036</v>
      </c>
      <c r="AN15" s="493" t="s">
        <v>366</v>
      </c>
    </row>
    <row r="16" spans="1:42" ht="15.75" x14ac:dyDescent="0.25">
      <c r="A16" s="455"/>
      <c r="B16" s="467" t="s">
        <v>315</v>
      </c>
      <c r="C16" s="457" t="s">
        <v>1052</v>
      </c>
      <c r="D16" s="475" t="s">
        <v>1057</v>
      </c>
      <c r="E16" s="410">
        <v>14</v>
      </c>
      <c r="F16" s="1192" t="s">
        <v>330</v>
      </c>
      <c r="G16" s="411"/>
      <c r="H16" s="465" t="s">
        <v>370</v>
      </c>
      <c r="I16" s="412">
        <v>14</v>
      </c>
      <c r="J16" s="1176" t="s">
        <v>328</v>
      </c>
      <c r="K16" s="413"/>
      <c r="L16" s="465" t="s">
        <v>368</v>
      </c>
      <c r="M16" s="412">
        <v>14</v>
      </c>
      <c r="N16" s="1172" t="s">
        <v>1036</v>
      </c>
      <c r="O16" s="419"/>
      <c r="P16" s="465" t="s">
        <v>1036</v>
      </c>
      <c r="Q16" s="412">
        <v>14</v>
      </c>
      <c r="R16" s="1171" t="s">
        <v>297</v>
      </c>
      <c r="S16" s="413"/>
      <c r="T16" s="465" t="s">
        <v>297</v>
      </c>
      <c r="U16" s="412">
        <v>14</v>
      </c>
      <c r="V16" s="1171" t="s">
        <v>297</v>
      </c>
      <c r="W16" s="413"/>
      <c r="X16" s="465" t="s">
        <v>297</v>
      </c>
      <c r="Y16" s="429"/>
      <c r="Z16" s="469" t="s">
        <v>315</v>
      </c>
      <c r="AA16" s="409" t="s">
        <v>1052</v>
      </c>
      <c r="AB16" s="433" t="s">
        <v>364</v>
      </c>
      <c r="AC16" s="416">
        <v>14</v>
      </c>
      <c r="AD16" s="465" t="s">
        <v>1036</v>
      </c>
      <c r="AE16" s="417"/>
      <c r="AF16" s="465" t="s">
        <v>1036</v>
      </c>
      <c r="AI16" s="488" t="s">
        <v>301</v>
      </c>
      <c r="AJ16" s="488" t="s">
        <v>301</v>
      </c>
      <c r="AK16" s="488" t="s">
        <v>301</v>
      </c>
      <c r="AL16" s="465" t="s">
        <v>1036</v>
      </c>
      <c r="AM16" s="488" t="s">
        <v>299</v>
      </c>
      <c r="AN16" s="479" t="s">
        <v>1054</v>
      </c>
    </row>
    <row r="17" spans="1:40" ht="16.5" thickBot="1" x14ac:dyDescent="0.3">
      <c r="A17" s="455"/>
      <c r="B17" s="467" t="s">
        <v>318</v>
      </c>
      <c r="C17" s="457" t="s">
        <v>1052</v>
      </c>
      <c r="D17" s="476" t="s">
        <v>1053</v>
      </c>
      <c r="E17" s="420">
        <v>15</v>
      </c>
      <c r="F17" s="1172" t="s">
        <v>1036</v>
      </c>
      <c r="G17" s="421"/>
      <c r="H17" s="465" t="s">
        <v>1036</v>
      </c>
      <c r="I17" s="422">
        <v>15</v>
      </c>
      <c r="J17" s="1175" t="s">
        <v>352</v>
      </c>
      <c r="K17" s="423"/>
      <c r="L17" s="465" t="s">
        <v>313</v>
      </c>
      <c r="M17" s="422">
        <v>15</v>
      </c>
      <c r="N17" s="1175" t="s">
        <v>352</v>
      </c>
      <c r="O17" s="424"/>
      <c r="P17" s="465" t="s">
        <v>313</v>
      </c>
      <c r="Q17" s="422">
        <v>15</v>
      </c>
      <c r="R17" s="1175" t="s">
        <v>352</v>
      </c>
      <c r="S17" s="423"/>
      <c r="T17" s="465" t="s">
        <v>313</v>
      </c>
      <c r="U17" s="422">
        <v>15</v>
      </c>
      <c r="V17" s="1175" t="s">
        <v>352</v>
      </c>
      <c r="W17" s="423"/>
      <c r="X17" s="465" t="s">
        <v>313</v>
      </c>
      <c r="Y17" s="415"/>
      <c r="Z17" s="470" t="s">
        <v>318</v>
      </c>
      <c r="AA17" s="409" t="s">
        <v>1052</v>
      </c>
      <c r="AB17" s="433" t="s">
        <v>366</v>
      </c>
      <c r="AC17" s="425">
        <v>15</v>
      </c>
      <c r="AD17" s="465" t="s">
        <v>318</v>
      </c>
      <c r="AE17" s="426"/>
      <c r="AF17" s="465" t="s">
        <v>366</v>
      </c>
      <c r="AI17" s="492" t="s">
        <v>374</v>
      </c>
      <c r="AJ17" s="465" t="s">
        <v>1036</v>
      </c>
      <c r="AK17" s="492" t="s">
        <v>374</v>
      </c>
      <c r="AL17" s="492" t="s">
        <v>374</v>
      </c>
      <c r="AM17" s="492" t="s">
        <v>372</v>
      </c>
      <c r="AN17" s="479" t="s">
        <v>1036</v>
      </c>
    </row>
    <row r="18" spans="1:40" ht="15.75" x14ac:dyDescent="0.25">
      <c r="A18" s="455"/>
      <c r="B18" s="467" t="s">
        <v>320</v>
      </c>
      <c r="C18" s="457" t="s">
        <v>1052</v>
      </c>
      <c r="D18" s="476" t="s">
        <v>729</v>
      </c>
      <c r="E18" s="399">
        <v>16</v>
      </c>
      <c r="F18" s="1171" t="s">
        <v>299</v>
      </c>
      <c r="G18" s="400"/>
      <c r="H18" s="465" t="s">
        <v>299</v>
      </c>
      <c r="I18" s="402">
        <v>16</v>
      </c>
      <c r="J18" s="1171" t="s">
        <v>299</v>
      </c>
      <c r="K18" s="403"/>
      <c r="L18" s="465" t="s">
        <v>299</v>
      </c>
      <c r="M18" s="402">
        <v>16</v>
      </c>
      <c r="N18" s="1171" t="s">
        <v>299</v>
      </c>
      <c r="O18" s="404"/>
      <c r="P18" s="465" t="s">
        <v>299</v>
      </c>
      <c r="Q18" s="402">
        <v>16</v>
      </c>
      <c r="R18" s="1172" t="s">
        <v>1036</v>
      </c>
      <c r="S18" s="403"/>
      <c r="T18" s="465" t="s">
        <v>1036</v>
      </c>
      <c r="U18" s="402">
        <v>16</v>
      </c>
      <c r="V18" s="1171" t="s">
        <v>305</v>
      </c>
      <c r="W18" s="403"/>
      <c r="X18" s="465" t="s">
        <v>1054</v>
      </c>
      <c r="Y18" s="429"/>
      <c r="Z18" s="470" t="s">
        <v>320</v>
      </c>
      <c r="AA18" s="409" t="s">
        <v>1052</v>
      </c>
      <c r="AB18" s="433" t="s">
        <v>368</v>
      </c>
      <c r="AC18" s="406">
        <v>16</v>
      </c>
      <c r="AD18" s="465" t="s">
        <v>305</v>
      </c>
      <c r="AE18" s="407"/>
      <c r="AF18" s="465" t="s">
        <v>1054</v>
      </c>
      <c r="AI18" s="488" t="s">
        <v>729</v>
      </c>
      <c r="AJ18" s="465" t="s">
        <v>729</v>
      </c>
      <c r="AK18" s="465" t="s">
        <v>729</v>
      </c>
      <c r="AL18" s="465" t="s">
        <v>729</v>
      </c>
      <c r="AM18" s="465" t="s">
        <v>729</v>
      </c>
      <c r="AN18" s="479" t="s">
        <v>1055</v>
      </c>
    </row>
    <row r="19" spans="1:40" ht="16.5" thickBot="1" x14ac:dyDescent="0.3">
      <c r="A19" s="455"/>
      <c r="B19" s="468" t="s">
        <v>322</v>
      </c>
      <c r="C19" s="457" t="s">
        <v>1052</v>
      </c>
      <c r="D19" s="476" t="s">
        <v>1059</v>
      </c>
      <c r="E19" s="410">
        <v>17</v>
      </c>
      <c r="F19" s="1192" t="s">
        <v>344</v>
      </c>
      <c r="G19" s="411"/>
      <c r="H19" s="465" t="s">
        <v>309</v>
      </c>
      <c r="I19" s="412">
        <v>17</v>
      </c>
      <c r="J19" s="1172" t="s">
        <v>1036</v>
      </c>
      <c r="K19" s="413"/>
      <c r="L19" s="465" t="s">
        <v>1036</v>
      </c>
      <c r="M19" s="412">
        <v>17</v>
      </c>
      <c r="N19" s="1175" t="s">
        <v>344</v>
      </c>
      <c r="O19" s="414"/>
      <c r="P19" s="465" t="s">
        <v>309</v>
      </c>
      <c r="Q19" s="412">
        <v>17</v>
      </c>
      <c r="R19" s="1175" t="s">
        <v>344</v>
      </c>
      <c r="S19" s="413"/>
      <c r="T19" s="465" t="s">
        <v>309</v>
      </c>
      <c r="U19" s="412">
        <v>17</v>
      </c>
      <c r="V19" s="1175" t="s">
        <v>344</v>
      </c>
      <c r="W19" s="413"/>
      <c r="X19" s="465" t="s">
        <v>309</v>
      </c>
      <c r="Y19" s="415"/>
      <c r="Z19" s="470" t="s">
        <v>322</v>
      </c>
      <c r="AA19" s="409" t="s">
        <v>1052</v>
      </c>
      <c r="AB19" s="433" t="s">
        <v>370</v>
      </c>
      <c r="AC19" s="416">
        <v>17</v>
      </c>
      <c r="AD19" s="465" t="s">
        <v>1036</v>
      </c>
      <c r="AE19" s="417"/>
      <c r="AF19" s="465" t="s">
        <v>1036</v>
      </c>
      <c r="AI19" s="492" t="s">
        <v>372</v>
      </c>
      <c r="AJ19" s="492" t="s">
        <v>374</v>
      </c>
      <c r="AK19" s="465" t="s">
        <v>1036</v>
      </c>
      <c r="AL19" s="488" t="s">
        <v>301</v>
      </c>
      <c r="AM19" s="492" t="s">
        <v>374</v>
      </c>
      <c r="AN19" s="479" t="s">
        <v>1036</v>
      </c>
    </row>
    <row r="20" spans="1:40" ht="15.75" x14ac:dyDescent="0.25">
      <c r="A20" s="455"/>
      <c r="B20" s="469" t="s">
        <v>324</v>
      </c>
      <c r="C20" s="457" t="s">
        <v>1052</v>
      </c>
      <c r="D20" s="433" t="s">
        <v>364</v>
      </c>
      <c r="E20" s="410">
        <v>18</v>
      </c>
      <c r="F20" s="1171" t="s">
        <v>305</v>
      </c>
      <c r="G20" s="411"/>
      <c r="H20" s="465" t="s">
        <v>1054</v>
      </c>
      <c r="I20" s="412">
        <v>18</v>
      </c>
      <c r="J20" s="1171" t="s">
        <v>305</v>
      </c>
      <c r="K20" s="413"/>
      <c r="L20" s="465" t="s">
        <v>1054</v>
      </c>
      <c r="M20" s="412">
        <v>18</v>
      </c>
      <c r="N20" s="1171" t="s">
        <v>305</v>
      </c>
      <c r="O20" s="419"/>
      <c r="P20" s="465" t="s">
        <v>1054</v>
      </c>
      <c r="Q20" s="412">
        <v>18</v>
      </c>
      <c r="R20" s="1171" t="s">
        <v>305</v>
      </c>
      <c r="S20" s="413"/>
      <c r="T20" s="465" t="s">
        <v>1054</v>
      </c>
      <c r="U20" s="412">
        <v>18</v>
      </c>
      <c r="V20" s="1172" t="s">
        <v>1036</v>
      </c>
      <c r="W20" s="413"/>
      <c r="X20" s="465" t="s">
        <v>1036</v>
      </c>
      <c r="Y20" s="429"/>
      <c r="Z20" s="470" t="s">
        <v>324</v>
      </c>
      <c r="AA20" s="409" t="s">
        <v>1052</v>
      </c>
      <c r="AB20" s="433" t="s">
        <v>372</v>
      </c>
      <c r="AC20" s="416">
        <v>18</v>
      </c>
      <c r="AD20" s="465" t="s">
        <v>307</v>
      </c>
      <c r="AE20" s="417"/>
      <c r="AF20" s="465" t="s">
        <v>1055</v>
      </c>
      <c r="AI20" s="465" t="s">
        <v>1036</v>
      </c>
      <c r="AJ20" s="496" t="s">
        <v>318</v>
      </c>
      <c r="AK20" s="496" t="s">
        <v>318</v>
      </c>
      <c r="AL20" s="496" t="s">
        <v>318</v>
      </c>
      <c r="AM20" s="465" t="s">
        <v>1036</v>
      </c>
      <c r="AN20" s="497" t="s">
        <v>309</v>
      </c>
    </row>
    <row r="21" spans="1:40" ht="15.75" x14ac:dyDescent="0.25">
      <c r="A21" s="455"/>
      <c r="B21" s="470" t="s">
        <v>326</v>
      </c>
      <c r="C21" s="457" t="s">
        <v>1052</v>
      </c>
      <c r="D21" s="433" t="s">
        <v>366</v>
      </c>
      <c r="E21" s="410">
        <v>19</v>
      </c>
      <c r="F21" s="1192" t="s">
        <v>352</v>
      </c>
      <c r="G21" s="411"/>
      <c r="H21" s="465" t="s">
        <v>313</v>
      </c>
      <c r="I21" s="412">
        <v>19</v>
      </c>
      <c r="J21" s="1175" t="s">
        <v>344</v>
      </c>
      <c r="K21" s="413"/>
      <c r="L21" s="465" t="s">
        <v>309</v>
      </c>
      <c r="M21" s="412">
        <v>19</v>
      </c>
      <c r="N21" s="1172" t="s">
        <v>1036</v>
      </c>
      <c r="O21" s="419"/>
      <c r="P21" s="465" t="s">
        <v>1036</v>
      </c>
      <c r="Q21" s="412">
        <v>19</v>
      </c>
      <c r="R21" s="1171" t="s">
        <v>299</v>
      </c>
      <c r="S21" s="413"/>
      <c r="T21" s="465" t="s">
        <v>299</v>
      </c>
      <c r="U21" s="412">
        <v>19</v>
      </c>
      <c r="V21" s="1171" t="s">
        <v>299</v>
      </c>
      <c r="W21" s="413"/>
      <c r="X21" s="465" t="s">
        <v>299</v>
      </c>
      <c r="Y21" s="415"/>
      <c r="Z21" s="470" t="s">
        <v>326</v>
      </c>
      <c r="AA21" s="409" t="s">
        <v>1052</v>
      </c>
      <c r="AB21" s="433" t="s">
        <v>374</v>
      </c>
      <c r="AC21" s="416">
        <v>19</v>
      </c>
      <c r="AD21" s="465" t="s">
        <v>1036</v>
      </c>
      <c r="AE21" s="417"/>
      <c r="AF21" s="465" t="s">
        <v>1036</v>
      </c>
      <c r="AI21" s="488" t="s">
        <v>303</v>
      </c>
      <c r="AJ21" s="488" t="s">
        <v>303</v>
      </c>
      <c r="AK21" s="488" t="s">
        <v>303</v>
      </c>
      <c r="AL21" s="465" t="s">
        <v>1036</v>
      </c>
      <c r="AM21" s="488" t="s">
        <v>301</v>
      </c>
      <c r="AN21" s="479" t="s">
        <v>1056</v>
      </c>
    </row>
    <row r="22" spans="1:40" ht="16.5" thickBot="1" x14ac:dyDescent="0.3">
      <c r="A22" s="455"/>
      <c r="B22" s="470" t="s">
        <v>328</v>
      </c>
      <c r="C22" s="457" t="s">
        <v>1052</v>
      </c>
      <c r="D22" s="433" t="s">
        <v>368</v>
      </c>
      <c r="E22" s="420">
        <v>20</v>
      </c>
      <c r="F22" s="1172" t="s">
        <v>1036</v>
      </c>
      <c r="G22" s="421"/>
      <c r="H22" s="465" t="s">
        <v>1036</v>
      </c>
      <c r="I22" s="422">
        <v>20</v>
      </c>
      <c r="J22" s="1176" t="s">
        <v>332</v>
      </c>
      <c r="K22" s="423"/>
      <c r="L22" s="465" t="s">
        <v>372</v>
      </c>
      <c r="M22" s="422">
        <v>20</v>
      </c>
      <c r="N22" s="1176" t="s">
        <v>332</v>
      </c>
      <c r="O22" s="424"/>
      <c r="P22" s="465" t="s">
        <v>372</v>
      </c>
      <c r="Q22" s="422">
        <v>20</v>
      </c>
      <c r="R22" s="1176" t="s">
        <v>332</v>
      </c>
      <c r="S22" s="423"/>
      <c r="T22" s="465" t="s">
        <v>372</v>
      </c>
      <c r="U22" s="422">
        <v>20</v>
      </c>
      <c r="V22" s="1176" t="s">
        <v>332</v>
      </c>
      <c r="W22" s="423"/>
      <c r="X22" s="465" t="s">
        <v>372</v>
      </c>
      <c r="Y22" s="415"/>
      <c r="Z22" s="471" t="s">
        <v>328</v>
      </c>
      <c r="AA22" s="409" t="s">
        <v>1052</v>
      </c>
      <c r="AB22" s="433" t="s">
        <v>376</v>
      </c>
      <c r="AC22" s="425">
        <v>20</v>
      </c>
      <c r="AD22" s="465" t="s">
        <v>344</v>
      </c>
      <c r="AE22" s="426"/>
      <c r="AF22" s="465" t="s">
        <v>309</v>
      </c>
      <c r="AI22" s="492" t="s">
        <v>376</v>
      </c>
      <c r="AJ22" s="465" t="s">
        <v>1036</v>
      </c>
      <c r="AK22" s="492" t="s">
        <v>376</v>
      </c>
      <c r="AL22" s="492" t="s">
        <v>376</v>
      </c>
      <c r="AM22" s="496" t="s">
        <v>318</v>
      </c>
      <c r="AN22" s="479" t="s">
        <v>1036</v>
      </c>
    </row>
    <row r="23" spans="1:40" ht="15.75" x14ac:dyDescent="0.25">
      <c r="A23" s="455"/>
      <c r="B23" s="470" t="s">
        <v>330</v>
      </c>
      <c r="C23" s="457" t="s">
        <v>1052</v>
      </c>
      <c r="D23" s="433" t="s">
        <v>370</v>
      </c>
      <c r="E23" s="399">
        <v>21</v>
      </c>
      <c r="F23" s="1171" t="s">
        <v>301</v>
      </c>
      <c r="G23" s="400"/>
      <c r="H23" s="465" t="s">
        <v>301</v>
      </c>
      <c r="I23" s="402">
        <v>21</v>
      </c>
      <c r="J23" s="1171" t="s">
        <v>301</v>
      </c>
      <c r="K23" s="403"/>
      <c r="L23" s="465" t="s">
        <v>301</v>
      </c>
      <c r="M23" s="402">
        <v>21</v>
      </c>
      <c r="N23" s="1171" t="s">
        <v>301</v>
      </c>
      <c r="O23" s="404"/>
      <c r="P23" s="465" t="s">
        <v>301</v>
      </c>
      <c r="Q23" s="402">
        <v>21</v>
      </c>
      <c r="R23" s="1172" t="s">
        <v>1036</v>
      </c>
      <c r="S23" s="403"/>
      <c r="T23" s="465" t="s">
        <v>1036</v>
      </c>
      <c r="U23" s="402">
        <v>21</v>
      </c>
      <c r="V23" s="1171" t="s">
        <v>320</v>
      </c>
      <c r="W23" s="403"/>
      <c r="X23" s="465" t="s">
        <v>729</v>
      </c>
      <c r="Y23" s="429" t="s">
        <v>280</v>
      </c>
      <c r="Z23" s="435" t="s">
        <v>330</v>
      </c>
      <c r="AA23" s="432"/>
      <c r="AB23" s="431"/>
      <c r="AC23" s="406">
        <v>21</v>
      </c>
      <c r="AD23" s="465" t="s">
        <v>309</v>
      </c>
      <c r="AE23" s="407"/>
      <c r="AF23" s="465" t="s">
        <v>1056</v>
      </c>
      <c r="AI23" s="488" t="s">
        <v>1058</v>
      </c>
      <c r="AJ23" s="465" t="s">
        <v>1058</v>
      </c>
      <c r="AK23" s="465" t="s">
        <v>1058</v>
      </c>
      <c r="AL23" s="465" t="s">
        <v>1058</v>
      </c>
      <c r="AM23" s="465" t="s">
        <v>1058</v>
      </c>
      <c r="AN23" s="487" t="s">
        <v>293</v>
      </c>
    </row>
    <row r="24" spans="1:40" ht="15.75" x14ac:dyDescent="0.25">
      <c r="A24" s="455"/>
      <c r="B24" s="470" t="s">
        <v>332</v>
      </c>
      <c r="C24" s="457" t="s">
        <v>1052</v>
      </c>
      <c r="D24" s="433" t="s">
        <v>372</v>
      </c>
      <c r="E24" s="410">
        <v>22</v>
      </c>
      <c r="F24" s="1192" t="s">
        <v>334</v>
      </c>
      <c r="G24" s="411"/>
      <c r="H24" s="465" t="s">
        <v>374</v>
      </c>
      <c r="I24" s="412">
        <v>22</v>
      </c>
      <c r="J24" s="1172" t="s">
        <v>1036</v>
      </c>
      <c r="K24" s="413"/>
      <c r="L24" s="465" t="s">
        <v>1036</v>
      </c>
      <c r="M24" s="412">
        <v>22</v>
      </c>
      <c r="N24" s="1176" t="s">
        <v>1037</v>
      </c>
      <c r="O24" s="414"/>
      <c r="P24" s="465" t="s">
        <v>374</v>
      </c>
      <c r="Q24" s="412">
        <v>22</v>
      </c>
      <c r="R24" s="1176" t="s">
        <v>1037</v>
      </c>
      <c r="S24" s="413"/>
      <c r="T24" s="465" t="s">
        <v>374</v>
      </c>
      <c r="U24" s="412">
        <v>22</v>
      </c>
      <c r="V24" s="1176" t="s">
        <v>1037</v>
      </c>
      <c r="W24" s="413"/>
      <c r="X24" s="465" t="s">
        <v>374</v>
      </c>
      <c r="Y24" s="429" t="s">
        <v>280</v>
      </c>
      <c r="Z24" s="435" t="s">
        <v>332</v>
      </c>
      <c r="AA24" s="432"/>
      <c r="AB24" s="431"/>
      <c r="AC24" s="416">
        <v>22</v>
      </c>
      <c r="AD24" s="465" t="s">
        <v>1036</v>
      </c>
      <c r="AE24" s="417"/>
      <c r="AF24" s="465" t="s">
        <v>1036</v>
      </c>
      <c r="AI24" s="496" t="s">
        <v>318</v>
      </c>
      <c r="AJ24" s="492" t="s">
        <v>376</v>
      </c>
      <c r="AK24" s="465" t="s">
        <v>1036</v>
      </c>
      <c r="AL24" s="488" t="s">
        <v>303</v>
      </c>
      <c r="AM24" s="492" t="s">
        <v>376</v>
      </c>
      <c r="AN24" s="479" t="s">
        <v>1036</v>
      </c>
    </row>
    <row r="25" spans="1:40" ht="15.75" x14ac:dyDescent="0.25">
      <c r="A25" s="455"/>
      <c r="B25" s="470" t="s">
        <v>334</v>
      </c>
      <c r="C25" s="457" t="s">
        <v>1052</v>
      </c>
      <c r="D25" s="433" t="s">
        <v>374</v>
      </c>
      <c r="E25" s="410">
        <v>23</v>
      </c>
      <c r="F25" s="1171" t="s">
        <v>320</v>
      </c>
      <c r="G25" s="411"/>
      <c r="H25" s="465" t="s">
        <v>729</v>
      </c>
      <c r="I25" s="412">
        <v>23</v>
      </c>
      <c r="J25" s="1171" t="s">
        <v>320</v>
      </c>
      <c r="K25" s="413"/>
      <c r="L25" s="465" t="s">
        <v>729</v>
      </c>
      <c r="M25" s="412">
        <v>23</v>
      </c>
      <c r="N25" s="1171" t="s">
        <v>320</v>
      </c>
      <c r="O25" s="419"/>
      <c r="P25" s="465" t="s">
        <v>729</v>
      </c>
      <c r="Q25" s="412">
        <v>23</v>
      </c>
      <c r="R25" s="1171" t="s">
        <v>320</v>
      </c>
      <c r="S25" s="413"/>
      <c r="T25" s="465" t="s">
        <v>729</v>
      </c>
      <c r="U25" s="412">
        <v>23</v>
      </c>
      <c r="V25" s="1172" t="s">
        <v>1036</v>
      </c>
      <c r="W25" s="413"/>
      <c r="X25" s="465" t="s">
        <v>1036</v>
      </c>
      <c r="Y25" s="429" t="s">
        <v>280</v>
      </c>
      <c r="Z25" s="435" t="s">
        <v>334</v>
      </c>
      <c r="AA25" s="432"/>
      <c r="AB25" s="431"/>
      <c r="AC25" s="416">
        <v>23</v>
      </c>
      <c r="AD25" s="465" t="s">
        <v>293</v>
      </c>
      <c r="AE25" s="417"/>
      <c r="AF25" s="465" t="s">
        <v>293</v>
      </c>
      <c r="AI25" s="465" t="s">
        <v>1036</v>
      </c>
      <c r="AJ25" s="496" t="s">
        <v>322</v>
      </c>
      <c r="AK25" s="496" t="s">
        <v>322</v>
      </c>
      <c r="AL25" s="496" t="s">
        <v>322</v>
      </c>
      <c r="AM25" s="465" t="s">
        <v>1036</v>
      </c>
      <c r="AN25" s="493" t="s">
        <v>372</v>
      </c>
    </row>
    <row r="26" spans="1:40" ht="15.75" x14ac:dyDescent="0.25">
      <c r="A26" s="455"/>
      <c r="B26" s="470" t="s">
        <v>336</v>
      </c>
      <c r="C26" s="457" t="s">
        <v>1052</v>
      </c>
      <c r="D26" s="433" t="s">
        <v>376</v>
      </c>
      <c r="E26" s="410">
        <v>24</v>
      </c>
      <c r="F26" s="1192" t="s">
        <v>1308</v>
      </c>
      <c r="G26" s="411"/>
      <c r="H26" s="465" t="s">
        <v>372</v>
      </c>
      <c r="I26" s="412">
        <v>24</v>
      </c>
      <c r="J26" s="1176" t="s">
        <v>1037</v>
      </c>
      <c r="K26" s="413"/>
      <c r="L26" s="465" t="s">
        <v>374</v>
      </c>
      <c r="M26" s="412">
        <v>24</v>
      </c>
      <c r="N26" s="1172" t="s">
        <v>1036</v>
      </c>
      <c r="O26" s="419"/>
      <c r="P26" s="465" t="s">
        <v>1036</v>
      </c>
      <c r="Q26" s="412">
        <v>24</v>
      </c>
      <c r="R26" s="1171" t="s">
        <v>301</v>
      </c>
      <c r="S26" s="413"/>
      <c r="T26" s="465" t="s">
        <v>301</v>
      </c>
      <c r="U26" s="412">
        <v>24</v>
      </c>
      <c r="V26" s="1171" t="s">
        <v>301</v>
      </c>
      <c r="W26" s="413"/>
      <c r="X26" s="465" t="s">
        <v>301</v>
      </c>
      <c r="Y26" s="429" t="s">
        <v>280</v>
      </c>
      <c r="Z26" s="435" t="s">
        <v>336</v>
      </c>
      <c r="AA26" s="432"/>
      <c r="AB26" s="431"/>
      <c r="AC26" s="416">
        <v>24</v>
      </c>
      <c r="AD26" s="465" t="s">
        <v>1036</v>
      </c>
      <c r="AE26" s="417"/>
      <c r="AF26" s="465" t="s">
        <v>1036</v>
      </c>
      <c r="AI26" s="488" t="s">
        <v>1056</v>
      </c>
      <c r="AJ26" s="465" t="s">
        <v>1056</v>
      </c>
      <c r="AK26" s="465" t="s">
        <v>1056</v>
      </c>
      <c r="AL26" s="465" t="s">
        <v>1036</v>
      </c>
      <c r="AM26" s="488" t="s">
        <v>303</v>
      </c>
      <c r="AN26" s="493" t="s">
        <v>364</v>
      </c>
    </row>
    <row r="27" spans="1:40" ht="16.5" thickBot="1" x14ac:dyDescent="0.3">
      <c r="A27" s="455"/>
      <c r="B27" s="471" t="s">
        <v>338</v>
      </c>
      <c r="C27" s="457" t="s">
        <v>1052</v>
      </c>
      <c r="D27" s="472" t="s">
        <v>305</v>
      </c>
      <c r="E27" s="420">
        <v>25</v>
      </c>
      <c r="F27" s="1172" t="s">
        <v>1036</v>
      </c>
      <c r="G27" s="421"/>
      <c r="H27" s="465" t="s">
        <v>1036</v>
      </c>
      <c r="I27" s="422">
        <v>25</v>
      </c>
      <c r="J27" s="1175" t="s">
        <v>358</v>
      </c>
      <c r="K27" s="423"/>
      <c r="L27" s="465" t="s">
        <v>318</v>
      </c>
      <c r="M27" s="422">
        <v>25</v>
      </c>
      <c r="N27" s="1175" t="s">
        <v>358</v>
      </c>
      <c r="O27" s="424"/>
      <c r="P27" s="465" t="s">
        <v>318</v>
      </c>
      <c r="Q27" s="422">
        <v>25</v>
      </c>
      <c r="R27" s="1175" t="s">
        <v>358</v>
      </c>
      <c r="S27" s="423"/>
      <c r="T27" s="465" t="s">
        <v>318</v>
      </c>
      <c r="U27" s="422">
        <v>25</v>
      </c>
      <c r="V27" s="1175" t="s">
        <v>358</v>
      </c>
      <c r="W27" s="423"/>
      <c r="X27" s="465" t="s">
        <v>318</v>
      </c>
      <c r="Y27" s="429" t="s">
        <v>280</v>
      </c>
      <c r="Z27" s="435" t="s">
        <v>338</v>
      </c>
      <c r="AA27" s="432"/>
      <c r="AB27" s="431"/>
      <c r="AC27" s="425">
        <v>25</v>
      </c>
      <c r="AD27" s="465" t="s">
        <v>324</v>
      </c>
      <c r="AE27" s="426"/>
      <c r="AF27" s="465" t="s">
        <v>372</v>
      </c>
      <c r="AI27" s="490" t="s">
        <v>311</v>
      </c>
      <c r="AJ27" s="465" t="s">
        <v>1036</v>
      </c>
      <c r="AK27" s="490" t="s">
        <v>311</v>
      </c>
      <c r="AL27" s="490" t="s">
        <v>311</v>
      </c>
      <c r="AM27" s="496" t="s">
        <v>322</v>
      </c>
      <c r="AN27" s="479" t="s">
        <v>1036</v>
      </c>
    </row>
    <row r="28" spans="1:40" ht="15.75" x14ac:dyDescent="0.25">
      <c r="A28" s="427" t="s">
        <v>280</v>
      </c>
      <c r="B28" s="435" t="s">
        <v>340</v>
      </c>
      <c r="C28" s="458"/>
      <c r="D28" s="458"/>
      <c r="E28" s="399">
        <v>26</v>
      </c>
      <c r="F28" s="1171" t="s">
        <v>303</v>
      </c>
      <c r="G28" s="400"/>
      <c r="H28" s="465" t="s">
        <v>303</v>
      </c>
      <c r="I28" s="402">
        <v>26</v>
      </c>
      <c r="J28" s="1171" t="s">
        <v>303</v>
      </c>
      <c r="K28" s="403"/>
      <c r="L28" s="465" t="s">
        <v>303</v>
      </c>
      <c r="M28" s="402">
        <v>26</v>
      </c>
      <c r="N28" s="1171" t="s">
        <v>303</v>
      </c>
      <c r="O28" s="404"/>
      <c r="P28" s="465" t="s">
        <v>303</v>
      </c>
      <c r="Q28" s="402">
        <v>26</v>
      </c>
      <c r="R28" s="1172" t="s">
        <v>1036</v>
      </c>
      <c r="S28" s="403"/>
      <c r="T28" s="465" t="s">
        <v>1036</v>
      </c>
      <c r="U28" s="402">
        <v>26</v>
      </c>
      <c r="V28" s="1171" t="s">
        <v>311</v>
      </c>
      <c r="W28" s="403"/>
      <c r="X28" s="465" t="s">
        <v>1058</v>
      </c>
      <c r="Y28" s="415"/>
      <c r="Z28" s="435" t="s">
        <v>340</v>
      </c>
      <c r="AA28" s="409" t="s">
        <v>1052</v>
      </c>
      <c r="AB28" s="472" t="s">
        <v>305</v>
      </c>
      <c r="AC28" s="406">
        <v>26</v>
      </c>
      <c r="AD28" s="465" t="s">
        <v>315</v>
      </c>
      <c r="AE28" s="407"/>
      <c r="AF28" s="465" t="s">
        <v>364</v>
      </c>
      <c r="AI28" s="488" t="s">
        <v>290</v>
      </c>
      <c r="AJ28" s="488" t="s">
        <v>290</v>
      </c>
      <c r="AK28" s="488" t="s">
        <v>290</v>
      </c>
      <c r="AL28" s="488" t="s">
        <v>290</v>
      </c>
      <c r="AM28" s="488" t="s">
        <v>290</v>
      </c>
      <c r="AN28" s="487" t="s">
        <v>297</v>
      </c>
    </row>
    <row r="29" spans="1:40" ht="15.75" x14ac:dyDescent="0.25">
      <c r="A29" s="427"/>
      <c r="B29" s="435" t="s">
        <v>342</v>
      </c>
      <c r="C29" s="409" t="s">
        <v>1052</v>
      </c>
      <c r="D29" s="472" t="s">
        <v>307</v>
      </c>
      <c r="E29" s="410">
        <v>27</v>
      </c>
      <c r="F29" s="1192" t="s">
        <v>336</v>
      </c>
      <c r="G29" s="411"/>
      <c r="H29" s="465" t="s">
        <v>376</v>
      </c>
      <c r="I29" s="412">
        <v>27</v>
      </c>
      <c r="J29" s="1172" t="s">
        <v>1036</v>
      </c>
      <c r="K29" s="413"/>
      <c r="L29" s="465" t="s">
        <v>1036</v>
      </c>
      <c r="M29" s="412">
        <v>27</v>
      </c>
      <c r="N29" s="1176" t="s">
        <v>336</v>
      </c>
      <c r="O29" s="414"/>
      <c r="P29" s="465" t="s">
        <v>376</v>
      </c>
      <c r="Q29" s="412">
        <v>27</v>
      </c>
      <c r="R29" s="1176" t="s">
        <v>336</v>
      </c>
      <c r="S29" s="413"/>
      <c r="T29" s="465" t="s">
        <v>376</v>
      </c>
      <c r="U29" s="412">
        <v>27</v>
      </c>
      <c r="V29" s="1176" t="s">
        <v>336</v>
      </c>
      <c r="W29" s="413"/>
      <c r="X29" s="465" t="s">
        <v>376</v>
      </c>
      <c r="Y29" s="415"/>
      <c r="Z29" s="435" t="s">
        <v>342</v>
      </c>
      <c r="AA29" s="409" t="s">
        <v>1052</v>
      </c>
      <c r="AB29" s="472" t="s">
        <v>307</v>
      </c>
      <c r="AC29" s="416">
        <v>27</v>
      </c>
      <c r="AD29" s="465" t="s">
        <v>1036</v>
      </c>
      <c r="AE29" s="417"/>
      <c r="AF29" s="465" t="s">
        <v>1036</v>
      </c>
      <c r="AI29" s="496" t="s">
        <v>322</v>
      </c>
      <c r="AJ29" s="490" t="s">
        <v>311</v>
      </c>
      <c r="AK29" s="465" t="s">
        <v>1036</v>
      </c>
      <c r="AL29" s="465" t="s">
        <v>1056</v>
      </c>
      <c r="AM29" s="490" t="s">
        <v>311</v>
      </c>
      <c r="AN29" s="479" t="s">
        <v>1036</v>
      </c>
    </row>
    <row r="30" spans="1:40" ht="15.75" x14ac:dyDescent="0.25">
      <c r="A30" s="427"/>
      <c r="B30" s="435" t="s">
        <v>344</v>
      </c>
      <c r="C30" s="409" t="s">
        <v>1052</v>
      </c>
      <c r="D30" s="472" t="s">
        <v>309</v>
      </c>
      <c r="E30" s="410">
        <v>28</v>
      </c>
      <c r="F30" s="1171" t="s">
        <v>311</v>
      </c>
      <c r="G30" s="411"/>
      <c r="H30" s="465" t="s">
        <v>1058</v>
      </c>
      <c r="I30" s="412">
        <v>28</v>
      </c>
      <c r="J30" s="1171" t="s">
        <v>311</v>
      </c>
      <c r="K30" s="413"/>
      <c r="L30" s="465" t="s">
        <v>1058</v>
      </c>
      <c r="M30" s="412">
        <v>28</v>
      </c>
      <c r="N30" s="1171" t="s">
        <v>311</v>
      </c>
      <c r="O30" s="419"/>
      <c r="P30" s="465" t="s">
        <v>1058</v>
      </c>
      <c r="Q30" s="412">
        <v>28</v>
      </c>
      <c r="R30" s="1171" t="s">
        <v>311</v>
      </c>
      <c r="S30" s="413"/>
      <c r="T30" s="465" t="s">
        <v>1058</v>
      </c>
      <c r="U30" s="412">
        <v>28</v>
      </c>
      <c r="V30" s="1172" t="s">
        <v>1036</v>
      </c>
      <c r="W30" s="413"/>
      <c r="X30" s="465" t="s">
        <v>1036</v>
      </c>
      <c r="Y30" s="415"/>
      <c r="Z30" s="435" t="s">
        <v>344</v>
      </c>
      <c r="AA30" s="409" t="s">
        <v>1052</v>
      </c>
      <c r="AB30" s="472" t="s">
        <v>309</v>
      </c>
      <c r="AC30" s="416">
        <v>28</v>
      </c>
      <c r="AD30" s="465" t="s">
        <v>297</v>
      </c>
      <c r="AE30" s="417"/>
      <c r="AF30" s="465" t="s">
        <v>297</v>
      </c>
      <c r="AI30" s="465" t="s">
        <v>1036</v>
      </c>
      <c r="AJ30" s="490" t="s">
        <v>315</v>
      </c>
      <c r="AK30" s="490" t="s">
        <v>315</v>
      </c>
      <c r="AL30" s="490" t="s">
        <v>315</v>
      </c>
      <c r="AM30" s="465" t="s">
        <v>1036</v>
      </c>
      <c r="AN30" s="497" t="s">
        <v>307</v>
      </c>
    </row>
    <row r="31" spans="1:40" ht="15.75" x14ac:dyDescent="0.25">
      <c r="A31" s="427" t="s">
        <v>280</v>
      </c>
      <c r="B31" s="435" t="s">
        <v>346</v>
      </c>
      <c r="C31" s="458"/>
      <c r="D31" s="458"/>
      <c r="E31" s="410">
        <v>29</v>
      </c>
      <c r="F31" s="1192" t="s">
        <v>358</v>
      </c>
      <c r="G31" s="411"/>
      <c r="H31" s="465" t="s">
        <v>318</v>
      </c>
      <c r="I31" s="412">
        <v>29</v>
      </c>
      <c r="J31" s="1176" t="s">
        <v>336</v>
      </c>
      <c r="K31" s="413"/>
      <c r="L31" s="465" t="s">
        <v>376</v>
      </c>
      <c r="M31" s="412">
        <v>29</v>
      </c>
      <c r="N31" s="1172" t="s">
        <v>1036</v>
      </c>
      <c r="O31" s="419"/>
      <c r="P31" s="465" t="s">
        <v>1036</v>
      </c>
      <c r="Q31" s="412">
        <v>29</v>
      </c>
      <c r="R31" s="1171" t="s">
        <v>303</v>
      </c>
      <c r="S31" s="413"/>
      <c r="T31" s="465" t="s">
        <v>303</v>
      </c>
      <c r="U31" s="412">
        <v>29</v>
      </c>
      <c r="V31" s="1171" t="s">
        <v>303</v>
      </c>
      <c r="W31" s="413"/>
      <c r="X31" s="465" t="s">
        <v>303</v>
      </c>
      <c r="Y31" s="436"/>
      <c r="Z31" s="435" t="s">
        <v>346</v>
      </c>
      <c r="AA31" s="409" t="s">
        <v>1052</v>
      </c>
      <c r="AB31" s="472" t="s">
        <v>311</v>
      </c>
      <c r="AC31" s="416">
        <v>29</v>
      </c>
      <c r="AD31" s="465" t="s">
        <v>1036</v>
      </c>
      <c r="AE31" s="417"/>
      <c r="AF31" s="465" t="s">
        <v>1036</v>
      </c>
      <c r="AI31" s="488" t="s">
        <v>1059</v>
      </c>
      <c r="AJ31" s="465" t="s">
        <v>1059</v>
      </c>
      <c r="AK31" s="465" t="s">
        <v>1059</v>
      </c>
      <c r="AL31" s="465" t="s">
        <v>1036</v>
      </c>
      <c r="AM31" s="465" t="s">
        <v>1056</v>
      </c>
      <c r="AN31" s="479" t="s">
        <v>1058</v>
      </c>
    </row>
    <row r="32" spans="1:40" ht="16.5" thickBot="1" x14ac:dyDescent="0.3">
      <c r="A32" s="427"/>
      <c r="B32" s="435" t="s">
        <v>348</v>
      </c>
      <c r="C32" s="409" t="s">
        <v>1052</v>
      </c>
      <c r="D32" s="472" t="s">
        <v>311</v>
      </c>
      <c r="E32" s="420">
        <v>30</v>
      </c>
      <c r="F32" s="1172" t="s">
        <v>1036</v>
      </c>
      <c r="G32" s="421"/>
      <c r="H32" s="465" t="s">
        <v>1036</v>
      </c>
      <c r="I32" s="422">
        <v>30</v>
      </c>
      <c r="J32" s="1175" t="s">
        <v>362</v>
      </c>
      <c r="K32" s="423"/>
      <c r="L32" s="465" t="s">
        <v>322</v>
      </c>
      <c r="M32" s="422">
        <v>30</v>
      </c>
      <c r="N32" s="1175" t="s">
        <v>362</v>
      </c>
      <c r="O32" s="424"/>
      <c r="P32" s="465" t="s">
        <v>322</v>
      </c>
      <c r="Q32" s="422">
        <v>30</v>
      </c>
      <c r="R32" s="1175" t="s">
        <v>362</v>
      </c>
      <c r="S32" s="423"/>
      <c r="T32" s="465" t="s">
        <v>322</v>
      </c>
      <c r="U32" s="422">
        <v>30</v>
      </c>
      <c r="V32" s="1175" t="s">
        <v>362</v>
      </c>
      <c r="W32" s="423"/>
      <c r="X32" s="465" t="s">
        <v>322</v>
      </c>
      <c r="Y32" s="436"/>
      <c r="Z32" s="438"/>
      <c r="AA32" s="430"/>
      <c r="AB32" s="439"/>
      <c r="AC32" s="425">
        <v>30</v>
      </c>
      <c r="AD32" s="465" t="s">
        <v>342</v>
      </c>
      <c r="AE32" s="426"/>
      <c r="AF32" s="465" t="s">
        <v>307</v>
      </c>
      <c r="AI32" s="490" t="s">
        <v>305</v>
      </c>
      <c r="AJ32" s="465" t="s">
        <v>1036</v>
      </c>
      <c r="AK32" s="490" t="s">
        <v>305</v>
      </c>
      <c r="AL32" s="490" t="s">
        <v>305</v>
      </c>
      <c r="AM32" s="490" t="s">
        <v>315</v>
      </c>
      <c r="AN32" s="479" t="s">
        <v>1036</v>
      </c>
    </row>
    <row r="33" spans="1:40" ht="15.75" x14ac:dyDescent="0.25">
      <c r="A33" s="427" t="s">
        <v>280</v>
      </c>
      <c r="B33" s="435" t="s">
        <v>350</v>
      </c>
      <c r="C33" s="458"/>
      <c r="D33" s="458"/>
      <c r="E33" s="399">
        <v>31</v>
      </c>
      <c r="F33" s="1171" t="s">
        <v>309</v>
      </c>
      <c r="G33" s="400"/>
      <c r="H33" s="465" t="s">
        <v>1056</v>
      </c>
      <c r="I33" s="402">
        <v>31</v>
      </c>
      <c r="J33" s="1171" t="s">
        <v>309</v>
      </c>
      <c r="K33" s="403"/>
      <c r="L33" s="465" t="s">
        <v>1056</v>
      </c>
      <c r="M33" s="402">
        <v>31</v>
      </c>
      <c r="N33" s="1171" t="s">
        <v>309</v>
      </c>
      <c r="O33" s="404"/>
      <c r="P33" s="465" t="s">
        <v>1056</v>
      </c>
      <c r="Q33" s="402">
        <v>31</v>
      </c>
      <c r="R33" s="1172" t="s">
        <v>1036</v>
      </c>
      <c r="S33" s="403"/>
      <c r="T33" s="465" t="s">
        <v>1036</v>
      </c>
      <c r="U33" s="402">
        <v>31</v>
      </c>
      <c r="V33" s="1171" t="s">
        <v>290</v>
      </c>
      <c r="W33" s="403"/>
      <c r="X33" s="465" t="s">
        <v>290</v>
      </c>
      <c r="Y33" s="436"/>
      <c r="Z33" s="437"/>
      <c r="AA33" s="432"/>
      <c r="AB33" s="431"/>
      <c r="AC33" s="406">
        <v>31</v>
      </c>
      <c r="AD33" s="465" t="s">
        <v>311</v>
      </c>
      <c r="AE33" s="407"/>
      <c r="AF33" s="465" t="s">
        <v>1058</v>
      </c>
      <c r="AI33" s="488" t="s">
        <v>1055</v>
      </c>
      <c r="AJ33" s="465" t="s">
        <v>1055</v>
      </c>
      <c r="AK33" s="465" t="s">
        <v>1055</v>
      </c>
      <c r="AL33" s="465" t="s">
        <v>1055</v>
      </c>
      <c r="AM33" s="465" t="s">
        <v>1055</v>
      </c>
      <c r="AN33" s="487" t="s">
        <v>295</v>
      </c>
    </row>
    <row r="34" spans="1:40" ht="15.75" x14ac:dyDescent="0.25">
      <c r="A34" s="427"/>
      <c r="B34" s="435" t="s">
        <v>352</v>
      </c>
      <c r="C34" s="409" t="s">
        <v>1052</v>
      </c>
      <c r="D34" s="472" t="s">
        <v>313</v>
      </c>
      <c r="E34" s="410">
        <v>32</v>
      </c>
      <c r="F34" s="1192" t="s">
        <v>348</v>
      </c>
      <c r="G34" s="411"/>
      <c r="H34" s="465" t="s">
        <v>311</v>
      </c>
      <c r="I34" s="412">
        <v>32</v>
      </c>
      <c r="J34" s="1172" t="s">
        <v>1036</v>
      </c>
      <c r="K34" s="413"/>
      <c r="L34" s="465" t="s">
        <v>1036</v>
      </c>
      <c r="M34" s="412">
        <v>32</v>
      </c>
      <c r="N34" s="1175" t="s">
        <v>348</v>
      </c>
      <c r="O34" s="414"/>
      <c r="P34" s="465" t="s">
        <v>311</v>
      </c>
      <c r="Q34" s="412">
        <v>32</v>
      </c>
      <c r="R34" s="1175" t="s">
        <v>348</v>
      </c>
      <c r="S34" s="413"/>
      <c r="T34" s="465" t="s">
        <v>311</v>
      </c>
      <c r="U34" s="412">
        <v>32</v>
      </c>
      <c r="V34" s="1175" t="s">
        <v>348</v>
      </c>
      <c r="W34" s="413"/>
      <c r="X34" s="465" t="s">
        <v>311</v>
      </c>
      <c r="Y34" s="436"/>
      <c r="Z34" s="438"/>
      <c r="AA34" s="430"/>
      <c r="AB34" s="439"/>
      <c r="AC34" s="416">
        <v>32</v>
      </c>
      <c r="AD34" s="465" t="s">
        <v>1036</v>
      </c>
      <c r="AE34" s="417"/>
      <c r="AF34" s="465" t="s">
        <v>1036</v>
      </c>
      <c r="AI34" s="490" t="s">
        <v>315</v>
      </c>
      <c r="AJ34" s="490" t="s">
        <v>305</v>
      </c>
      <c r="AK34" s="465" t="s">
        <v>1036</v>
      </c>
      <c r="AL34" s="465" t="s">
        <v>1059</v>
      </c>
      <c r="AM34" s="490" t="s">
        <v>305</v>
      </c>
      <c r="AN34" s="479" t="s">
        <v>1036</v>
      </c>
    </row>
    <row r="35" spans="1:40" ht="16.5" thickBot="1" x14ac:dyDescent="0.3">
      <c r="A35" s="427"/>
      <c r="B35" s="435" t="s">
        <v>354</v>
      </c>
      <c r="C35" s="409" t="s">
        <v>1052</v>
      </c>
      <c r="D35" s="472" t="s">
        <v>315</v>
      </c>
      <c r="E35" s="410">
        <v>33</v>
      </c>
      <c r="F35" s="1171" t="s">
        <v>290</v>
      </c>
      <c r="G35" s="411"/>
      <c r="H35" s="465" t="s">
        <v>290</v>
      </c>
      <c r="I35" s="412">
        <v>33</v>
      </c>
      <c r="J35" s="1171" t="s">
        <v>290</v>
      </c>
      <c r="K35" s="413"/>
      <c r="L35" s="465" t="s">
        <v>290</v>
      </c>
      <c r="M35" s="412">
        <v>33</v>
      </c>
      <c r="N35" s="1171" t="s">
        <v>290</v>
      </c>
      <c r="O35" s="419"/>
      <c r="P35" s="465" t="s">
        <v>290</v>
      </c>
      <c r="Q35" s="412">
        <v>33</v>
      </c>
      <c r="R35" s="1171" t="s">
        <v>290</v>
      </c>
      <c r="S35" s="413"/>
      <c r="T35" s="465" t="s">
        <v>290</v>
      </c>
      <c r="U35" s="412">
        <v>33</v>
      </c>
      <c r="V35" s="1172" t="s">
        <v>1036</v>
      </c>
      <c r="W35" s="413"/>
      <c r="X35" s="465" t="s">
        <v>1036</v>
      </c>
      <c r="Y35" s="436"/>
      <c r="Z35" s="438"/>
      <c r="AA35" s="432"/>
      <c r="AB35" s="439"/>
      <c r="AC35" s="416">
        <v>33</v>
      </c>
      <c r="AD35" s="465" t="s">
        <v>295</v>
      </c>
      <c r="AE35" s="417"/>
      <c r="AF35" s="465" t="s">
        <v>295</v>
      </c>
      <c r="AI35" s="465" t="s">
        <v>1036</v>
      </c>
      <c r="AJ35" s="495" t="s">
        <v>320</v>
      </c>
      <c r="AK35" s="495" t="s">
        <v>320</v>
      </c>
      <c r="AL35" s="495" t="s">
        <v>320</v>
      </c>
      <c r="AM35" s="465" t="s">
        <v>1036</v>
      </c>
      <c r="AN35" s="493" t="s">
        <v>374</v>
      </c>
    </row>
    <row r="36" spans="1:40" ht="15.75" x14ac:dyDescent="0.25">
      <c r="A36" s="427" t="s">
        <v>280</v>
      </c>
      <c r="B36" s="435" t="s">
        <v>356</v>
      </c>
      <c r="C36" s="430"/>
      <c r="D36" s="434"/>
      <c r="E36" s="410">
        <v>34</v>
      </c>
      <c r="F36" s="1192" t="s">
        <v>362</v>
      </c>
      <c r="G36" s="411"/>
      <c r="H36" s="465" t="s">
        <v>322</v>
      </c>
      <c r="I36" s="412">
        <v>34</v>
      </c>
      <c r="J36" s="1175" t="s">
        <v>348</v>
      </c>
      <c r="K36" s="413"/>
      <c r="L36" s="465" t="s">
        <v>311</v>
      </c>
      <c r="M36" s="412">
        <v>34</v>
      </c>
      <c r="N36" s="1172" t="s">
        <v>1036</v>
      </c>
      <c r="O36" s="419"/>
      <c r="P36" s="465" t="s">
        <v>1036</v>
      </c>
      <c r="Q36" s="412">
        <v>34</v>
      </c>
      <c r="R36" s="1171" t="s">
        <v>309</v>
      </c>
      <c r="S36" s="413"/>
      <c r="T36" s="465" t="s">
        <v>1056</v>
      </c>
      <c r="U36" s="412">
        <v>34</v>
      </c>
      <c r="V36" s="1171" t="s">
        <v>309</v>
      </c>
      <c r="W36" s="413"/>
      <c r="X36" s="465" t="s">
        <v>1056</v>
      </c>
      <c r="Y36" s="436"/>
      <c r="Z36" s="437"/>
      <c r="AA36" s="430"/>
      <c r="AB36" s="431"/>
      <c r="AC36" s="416">
        <v>34</v>
      </c>
      <c r="AD36" s="465" t="s">
        <v>1036</v>
      </c>
      <c r="AE36" s="417"/>
      <c r="AF36" s="465" t="s">
        <v>1036</v>
      </c>
      <c r="AI36" s="538" t="s">
        <v>293</v>
      </c>
      <c r="AJ36" s="485" t="s">
        <v>293</v>
      </c>
      <c r="AK36" s="485" t="s">
        <v>293</v>
      </c>
      <c r="AL36" s="483" t="s">
        <v>1036</v>
      </c>
      <c r="AM36" s="465" t="s">
        <v>1059</v>
      </c>
      <c r="AN36" s="493" t="s">
        <v>376</v>
      </c>
    </row>
    <row r="37" spans="1:40" ht="16.5" thickBot="1" x14ac:dyDescent="0.3">
      <c r="A37" s="427"/>
      <c r="B37" s="435" t="s">
        <v>358</v>
      </c>
      <c r="C37" s="409" t="s">
        <v>1052</v>
      </c>
      <c r="D37" s="435" t="s">
        <v>318</v>
      </c>
      <c r="E37" s="420">
        <v>35</v>
      </c>
      <c r="F37" s="1172" t="s">
        <v>1036</v>
      </c>
      <c r="G37" s="421"/>
      <c r="H37" s="465" t="s">
        <v>1036</v>
      </c>
      <c r="I37" s="422">
        <v>35</v>
      </c>
      <c r="J37" s="1175" t="s">
        <v>354</v>
      </c>
      <c r="K37" s="423"/>
      <c r="L37" s="465" t="s">
        <v>315</v>
      </c>
      <c r="M37" s="422">
        <v>35</v>
      </c>
      <c r="N37" s="1175" t="s">
        <v>354</v>
      </c>
      <c r="O37" s="424"/>
      <c r="P37" s="465" t="s">
        <v>315</v>
      </c>
      <c r="Q37" s="422">
        <v>35</v>
      </c>
      <c r="R37" s="1175" t="s">
        <v>354</v>
      </c>
      <c r="S37" s="423"/>
      <c r="T37" s="465" t="s">
        <v>315</v>
      </c>
      <c r="U37" s="422">
        <v>35</v>
      </c>
      <c r="V37" s="1175" t="s">
        <v>354</v>
      </c>
      <c r="W37" s="423"/>
      <c r="X37" s="465" t="s">
        <v>315</v>
      </c>
      <c r="Y37" s="436"/>
      <c r="Z37" s="438"/>
      <c r="AA37" s="430"/>
      <c r="AB37" s="440"/>
      <c r="AC37" s="425">
        <v>35</v>
      </c>
      <c r="AD37" s="465" t="s">
        <v>326</v>
      </c>
      <c r="AE37" s="426"/>
      <c r="AF37" s="465" t="s">
        <v>374</v>
      </c>
      <c r="AI37" s="492" t="s">
        <v>364</v>
      </c>
      <c r="AJ37" s="465" t="s">
        <v>1036</v>
      </c>
      <c r="AK37" s="492" t="s">
        <v>364</v>
      </c>
      <c r="AL37" s="492" t="s">
        <v>364</v>
      </c>
      <c r="AM37" s="495" t="s">
        <v>320</v>
      </c>
      <c r="AN37" s="479" t="s">
        <v>1036</v>
      </c>
    </row>
    <row r="38" spans="1:40" ht="15.75" x14ac:dyDescent="0.25">
      <c r="A38" s="408"/>
      <c r="B38" s="435" t="s">
        <v>360</v>
      </c>
      <c r="C38" s="409" t="s">
        <v>1052</v>
      </c>
      <c r="D38" s="435" t="s">
        <v>320</v>
      </c>
      <c r="E38" s="399">
        <v>36</v>
      </c>
      <c r="F38" s="1171" t="s">
        <v>322</v>
      </c>
      <c r="G38" s="400"/>
      <c r="H38" s="465" t="s">
        <v>1059</v>
      </c>
      <c r="I38" s="402">
        <v>36</v>
      </c>
      <c r="J38" s="1171" t="s">
        <v>322</v>
      </c>
      <c r="K38" s="403"/>
      <c r="L38" s="465" t="s">
        <v>1059</v>
      </c>
      <c r="M38" s="402">
        <v>36</v>
      </c>
      <c r="N38" s="1171" t="s">
        <v>322</v>
      </c>
      <c r="O38" s="404"/>
      <c r="P38" s="465" t="s">
        <v>1059</v>
      </c>
      <c r="Q38" s="402">
        <v>36</v>
      </c>
      <c r="R38" s="1172" t="s">
        <v>1036</v>
      </c>
      <c r="S38" s="403"/>
      <c r="T38" s="465" t="s">
        <v>1036</v>
      </c>
      <c r="U38" s="402">
        <v>36</v>
      </c>
      <c r="V38" s="1171" t="s">
        <v>307</v>
      </c>
      <c r="W38" s="403"/>
      <c r="X38" s="465" t="s">
        <v>1055</v>
      </c>
      <c r="Y38" s="436"/>
      <c r="Z38" s="438"/>
      <c r="AA38" s="430"/>
      <c r="AB38" s="440"/>
      <c r="AC38" s="406">
        <v>36</v>
      </c>
      <c r="AD38" s="465" t="s">
        <v>328</v>
      </c>
      <c r="AE38" s="407"/>
      <c r="AF38" s="465" t="s">
        <v>376</v>
      </c>
      <c r="AI38" s="488" t="s">
        <v>1053</v>
      </c>
      <c r="AJ38" s="465" t="s">
        <v>1053</v>
      </c>
      <c r="AK38" s="465" t="s">
        <v>1053</v>
      </c>
      <c r="AL38" s="465" t="s">
        <v>1053</v>
      </c>
      <c r="AM38" s="484" t="s">
        <v>1053</v>
      </c>
      <c r="AN38" s="479" t="s">
        <v>1057</v>
      </c>
    </row>
    <row r="39" spans="1:40" ht="15.75" x14ac:dyDescent="0.25">
      <c r="A39" s="408"/>
      <c r="B39" s="435" t="s">
        <v>362</v>
      </c>
      <c r="C39" s="409" t="s">
        <v>1052</v>
      </c>
      <c r="D39" s="435" t="s">
        <v>322</v>
      </c>
      <c r="E39" s="410">
        <v>37</v>
      </c>
      <c r="F39" s="1192" t="s">
        <v>338</v>
      </c>
      <c r="G39" s="411"/>
      <c r="H39" s="465" t="s">
        <v>305</v>
      </c>
      <c r="I39" s="412">
        <v>37</v>
      </c>
      <c r="J39" s="1172" t="s">
        <v>1036</v>
      </c>
      <c r="K39" s="413"/>
      <c r="L39" s="465" t="s">
        <v>1036</v>
      </c>
      <c r="M39" s="412">
        <v>37</v>
      </c>
      <c r="N39" s="1176" t="s">
        <v>338</v>
      </c>
      <c r="O39" s="414"/>
      <c r="P39" s="465" t="s">
        <v>305</v>
      </c>
      <c r="Q39" s="412">
        <v>37</v>
      </c>
      <c r="R39" s="1176" t="s">
        <v>338</v>
      </c>
      <c r="S39" s="413"/>
      <c r="T39" s="465" t="s">
        <v>305</v>
      </c>
      <c r="U39" s="412">
        <v>37</v>
      </c>
      <c r="V39" s="1176" t="s">
        <v>338</v>
      </c>
      <c r="W39" s="413"/>
      <c r="X39" s="465" t="s">
        <v>305</v>
      </c>
      <c r="Y39" s="436"/>
      <c r="Z39" s="438"/>
      <c r="AA39" s="430"/>
      <c r="AB39" s="440"/>
      <c r="AC39" s="416">
        <v>37</v>
      </c>
      <c r="AD39" s="465" t="s">
        <v>1036</v>
      </c>
      <c r="AE39" s="417"/>
      <c r="AF39" s="465" t="s">
        <v>1036</v>
      </c>
      <c r="AI39" s="496" t="s">
        <v>320</v>
      </c>
      <c r="AJ39" s="492" t="s">
        <v>364</v>
      </c>
      <c r="AK39" s="465" t="s">
        <v>1036</v>
      </c>
      <c r="AL39" s="488" t="s">
        <v>293</v>
      </c>
      <c r="AM39" s="492" t="s">
        <v>364</v>
      </c>
      <c r="AN39" s="479" t="s">
        <v>1036</v>
      </c>
    </row>
    <row r="40" spans="1:40" ht="16.5" thickBot="1" x14ac:dyDescent="0.3">
      <c r="A40" s="408"/>
      <c r="B40" s="442"/>
      <c r="C40" s="430"/>
      <c r="D40" s="428"/>
      <c r="E40" s="410">
        <v>38</v>
      </c>
      <c r="F40" s="1171" t="s">
        <v>307</v>
      </c>
      <c r="G40" s="411"/>
      <c r="H40" s="465" t="s">
        <v>1055</v>
      </c>
      <c r="I40" s="412">
        <v>38</v>
      </c>
      <c r="J40" s="1171" t="s">
        <v>307</v>
      </c>
      <c r="K40" s="413"/>
      <c r="L40" s="465" t="s">
        <v>1055</v>
      </c>
      <c r="M40" s="412">
        <v>38</v>
      </c>
      <c r="N40" s="1171" t="s">
        <v>307</v>
      </c>
      <c r="O40" s="419"/>
      <c r="P40" s="465" t="s">
        <v>1055</v>
      </c>
      <c r="Q40" s="412">
        <v>38</v>
      </c>
      <c r="R40" s="1171" t="s">
        <v>307</v>
      </c>
      <c r="S40" s="413"/>
      <c r="T40" s="465" t="s">
        <v>1055</v>
      </c>
      <c r="U40" s="412">
        <v>38</v>
      </c>
      <c r="V40" s="1172" t="s">
        <v>1036</v>
      </c>
      <c r="W40" s="413"/>
      <c r="X40" s="465" t="s">
        <v>1036</v>
      </c>
      <c r="Y40" s="436"/>
      <c r="Z40" s="438"/>
      <c r="AA40" s="430"/>
      <c r="AB40" s="440"/>
      <c r="AC40" s="416">
        <v>38</v>
      </c>
      <c r="AD40" s="465" t="s">
        <v>313</v>
      </c>
      <c r="AE40" s="417"/>
      <c r="AF40" s="465" t="s">
        <v>1057</v>
      </c>
      <c r="AI40" s="465" t="s">
        <v>1036</v>
      </c>
      <c r="AJ40" s="490" t="s">
        <v>307</v>
      </c>
      <c r="AK40" s="490" t="s">
        <v>307</v>
      </c>
      <c r="AL40" s="490" t="s">
        <v>307</v>
      </c>
      <c r="AM40" s="465" t="s">
        <v>1036</v>
      </c>
      <c r="AN40" s="498" t="s">
        <v>311</v>
      </c>
    </row>
    <row r="41" spans="1:40" ht="15.75" x14ac:dyDescent="0.25">
      <c r="A41" s="441"/>
      <c r="B41" s="442"/>
      <c r="C41" s="430"/>
      <c r="D41" s="428"/>
      <c r="E41" s="410">
        <v>39</v>
      </c>
      <c r="F41" s="1192" t="s">
        <v>354</v>
      </c>
      <c r="G41" s="411"/>
      <c r="H41" s="465" t="s">
        <v>315</v>
      </c>
      <c r="I41" s="412">
        <v>39</v>
      </c>
      <c r="J41" s="1176" t="s">
        <v>338</v>
      </c>
      <c r="K41" s="413"/>
      <c r="L41" s="465" t="s">
        <v>305</v>
      </c>
      <c r="M41" s="412">
        <v>39</v>
      </c>
      <c r="N41" s="1172" t="s">
        <v>1036</v>
      </c>
      <c r="O41" s="419"/>
      <c r="P41" s="465" t="s">
        <v>1036</v>
      </c>
      <c r="Q41" s="412">
        <v>39</v>
      </c>
      <c r="R41" s="1171" t="s">
        <v>322</v>
      </c>
      <c r="S41" s="413"/>
      <c r="T41" s="465" t="s">
        <v>1059</v>
      </c>
      <c r="U41" s="412">
        <v>39</v>
      </c>
      <c r="V41" s="1171" t="s">
        <v>322</v>
      </c>
      <c r="W41" s="413"/>
      <c r="X41" s="465" t="s">
        <v>1059</v>
      </c>
      <c r="Y41" s="436"/>
      <c r="Z41" s="437"/>
      <c r="AA41" s="443"/>
      <c r="AB41" s="440"/>
      <c r="AC41" s="416">
        <v>39</v>
      </c>
      <c r="AD41" s="465" t="s">
        <v>1036</v>
      </c>
      <c r="AE41" s="417"/>
      <c r="AF41" s="465" t="s">
        <v>1036</v>
      </c>
      <c r="AI41" s="488" t="s">
        <v>295</v>
      </c>
      <c r="AJ41" s="488" t="s">
        <v>295</v>
      </c>
      <c r="AK41" s="488" t="s">
        <v>295</v>
      </c>
      <c r="AL41" s="465" t="s">
        <v>1036</v>
      </c>
      <c r="AM41" s="488" t="s">
        <v>293</v>
      </c>
      <c r="AN41" s="486" t="s">
        <v>301</v>
      </c>
    </row>
    <row r="42" spans="1:40" ht="16.5" thickBot="1" x14ac:dyDescent="0.3">
      <c r="A42" s="444"/>
      <c r="B42" s="445"/>
      <c r="C42" s="446"/>
      <c r="D42" s="447"/>
      <c r="E42" s="420">
        <v>40</v>
      </c>
      <c r="F42" s="1172" t="s">
        <v>1036</v>
      </c>
      <c r="G42" s="421"/>
      <c r="H42" s="465" t="s">
        <v>1036</v>
      </c>
      <c r="I42" s="422">
        <v>40</v>
      </c>
      <c r="J42" s="1175" t="s">
        <v>360</v>
      </c>
      <c r="K42" s="423"/>
      <c r="L42" s="465" t="s">
        <v>320</v>
      </c>
      <c r="M42" s="422">
        <v>40</v>
      </c>
      <c r="N42" s="1175" t="s">
        <v>360</v>
      </c>
      <c r="O42" s="424"/>
      <c r="P42" s="465" t="s">
        <v>320</v>
      </c>
      <c r="Q42" s="422">
        <v>40</v>
      </c>
      <c r="R42" s="1175" t="s">
        <v>360</v>
      </c>
      <c r="S42" s="423"/>
      <c r="T42" s="465" t="s">
        <v>320</v>
      </c>
      <c r="U42" s="422">
        <v>40</v>
      </c>
      <c r="V42" s="1175" t="s">
        <v>360</v>
      </c>
      <c r="W42" s="423"/>
      <c r="X42" s="465" t="s">
        <v>320</v>
      </c>
      <c r="Y42" s="448"/>
      <c r="Z42" s="449"/>
      <c r="AA42" s="450"/>
      <c r="AB42" s="451"/>
      <c r="AC42" s="425">
        <v>40</v>
      </c>
      <c r="AD42" s="465" t="s">
        <v>346</v>
      </c>
      <c r="AE42" s="452"/>
      <c r="AF42" s="465" t="s">
        <v>311</v>
      </c>
      <c r="AI42" s="492" t="s">
        <v>366</v>
      </c>
      <c r="AJ42" s="465" t="s">
        <v>1036</v>
      </c>
      <c r="AK42" s="492" t="s">
        <v>366</v>
      </c>
      <c r="AL42" s="492" t="s">
        <v>366</v>
      </c>
      <c r="AM42" s="490" t="s">
        <v>307</v>
      </c>
      <c r="AN42" s="479" t="s">
        <v>1036</v>
      </c>
    </row>
    <row r="43" spans="1:40" ht="15.75" x14ac:dyDescent="0.25">
      <c r="A43" s="384"/>
      <c r="H43" s="401" t="s">
        <v>293</v>
      </c>
    </row>
    <row r="44" spans="1:40" ht="15.75" x14ac:dyDescent="0.25">
      <c r="A44" s="384"/>
      <c r="B44" s="459" t="s">
        <v>1060</v>
      </c>
      <c r="C44" s="460"/>
      <c r="H44" s="465" t="s">
        <v>364</v>
      </c>
      <c r="Z44" s="459" t="s">
        <v>1060</v>
      </c>
      <c r="AA44" s="460"/>
    </row>
    <row r="45" spans="1:40" ht="15.75" x14ac:dyDescent="0.25">
      <c r="A45" s="384"/>
      <c r="B45" s="461" t="s">
        <v>324</v>
      </c>
      <c r="C45" s="461" t="s">
        <v>330</v>
      </c>
      <c r="H45" s="465" t="s">
        <v>1053</v>
      </c>
      <c r="Z45" s="477" t="s">
        <v>313</v>
      </c>
      <c r="AA45" s="461" t="s">
        <v>324</v>
      </c>
    </row>
    <row r="46" spans="1:40" ht="15.75" x14ac:dyDescent="0.25">
      <c r="A46" s="384"/>
      <c r="B46" s="461" t="s">
        <v>326</v>
      </c>
      <c r="C46" s="461" t="s">
        <v>332</v>
      </c>
      <c r="H46" s="465" t="s">
        <v>320</v>
      </c>
      <c r="Z46" s="477" t="s">
        <v>315</v>
      </c>
      <c r="AA46" s="461" t="s">
        <v>326</v>
      </c>
    </row>
    <row r="47" spans="1:40" ht="15.75" x14ac:dyDescent="0.25">
      <c r="A47" s="384"/>
      <c r="B47" s="461" t="s">
        <v>328</v>
      </c>
      <c r="H47" s="465" t="s">
        <v>1036</v>
      </c>
      <c r="Z47" s="461" t="s">
        <v>318</v>
      </c>
      <c r="AA47" s="461" t="s">
        <v>328</v>
      </c>
    </row>
    <row r="48" spans="1:40" ht="15.75" x14ac:dyDescent="0.25">
      <c r="A48" s="384"/>
      <c r="H48" s="465" t="s">
        <v>295</v>
      </c>
      <c r="Z48" s="461" t="s">
        <v>320</v>
      </c>
      <c r="AA48" s="461" t="s">
        <v>330</v>
      </c>
    </row>
    <row r="49" spans="1:40" ht="15.75" x14ac:dyDescent="0.25">
      <c r="A49" s="384"/>
      <c r="H49" s="465" t="s">
        <v>366</v>
      </c>
      <c r="Z49" s="461" t="s">
        <v>322</v>
      </c>
      <c r="AA49" s="461" t="s">
        <v>332</v>
      </c>
    </row>
    <row r="50" spans="1:40" x14ac:dyDescent="0.25">
      <c r="A50" s="384"/>
    </row>
    <row r="51" spans="1:40" ht="15.75" thickBot="1" x14ac:dyDescent="0.3">
      <c r="A51" s="384"/>
    </row>
    <row r="52" spans="1:40" ht="16.5" thickBot="1" x14ac:dyDescent="0.3">
      <c r="A52" s="386"/>
      <c r="B52" s="1257" t="s">
        <v>1061</v>
      </c>
      <c r="C52" s="1258"/>
      <c r="D52" s="1258"/>
      <c r="E52" s="1258"/>
      <c r="F52" s="1258"/>
      <c r="G52" s="1258"/>
      <c r="H52" s="1258"/>
      <c r="I52" s="1258"/>
      <c r="J52" s="1258"/>
      <c r="K52" s="1258"/>
      <c r="L52" s="1258"/>
      <c r="M52" s="1258"/>
      <c r="N52" s="1258"/>
      <c r="O52" s="1258"/>
      <c r="P52" s="1258"/>
      <c r="Q52" s="1258"/>
      <c r="R52" s="1258"/>
      <c r="S52" s="1258"/>
      <c r="T52" s="1258"/>
      <c r="U52" s="1258"/>
      <c r="V52" s="1258"/>
      <c r="W52" s="1258"/>
      <c r="X52" s="1258"/>
      <c r="Y52" s="1258"/>
      <c r="Z52" s="1258"/>
      <c r="AA52" s="1258"/>
      <c r="AB52" s="1258"/>
      <c r="AC52" s="1258"/>
      <c r="AD52" s="1258"/>
      <c r="AE52" s="1258"/>
      <c r="AF52" s="1259"/>
      <c r="AI52" s="1261" t="s">
        <v>1040</v>
      </c>
      <c r="AJ52" s="1262"/>
      <c r="AK52" s="1262"/>
      <c r="AL52" s="1262"/>
      <c r="AM52" s="1262"/>
      <c r="AN52" s="1263"/>
    </row>
    <row r="53" spans="1:40" ht="16.5" thickBot="1" x14ac:dyDescent="0.3">
      <c r="A53" s="387"/>
      <c r="B53" s="388" t="s">
        <v>1041</v>
      </c>
      <c r="C53" s="389" t="s">
        <v>1042</v>
      </c>
      <c r="D53" s="390" t="s">
        <v>1043</v>
      </c>
      <c r="E53" s="391"/>
      <c r="F53" s="392" t="s">
        <v>1044</v>
      </c>
      <c r="G53" s="392"/>
      <c r="H53" s="392" t="s">
        <v>1045</v>
      </c>
      <c r="I53" s="393"/>
      <c r="J53" s="392" t="s">
        <v>1046</v>
      </c>
      <c r="K53" s="392"/>
      <c r="L53" s="392" t="s">
        <v>1045</v>
      </c>
      <c r="M53" s="393"/>
      <c r="N53" s="392" t="s">
        <v>1047</v>
      </c>
      <c r="O53" s="392"/>
      <c r="P53" s="392" t="s">
        <v>1045</v>
      </c>
      <c r="Q53" s="393"/>
      <c r="R53" s="392" t="s">
        <v>1048</v>
      </c>
      <c r="S53" s="392"/>
      <c r="T53" s="392" t="s">
        <v>1045</v>
      </c>
      <c r="U53" s="393"/>
      <c r="V53" s="392" t="s">
        <v>1049</v>
      </c>
      <c r="W53" s="392"/>
      <c r="X53" s="394" t="s">
        <v>1045</v>
      </c>
      <c r="Y53" s="395"/>
      <c r="Z53" s="396" t="s">
        <v>1050</v>
      </c>
      <c r="AA53" s="389" t="s">
        <v>1042</v>
      </c>
      <c r="AB53" s="390" t="s">
        <v>1043</v>
      </c>
      <c r="AC53" s="397"/>
      <c r="AD53" s="392" t="s">
        <v>1051</v>
      </c>
      <c r="AE53" s="392"/>
      <c r="AF53" s="394" t="s">
        <v>1045</v>
      </c>
      <c r="AI53" s="551" t="s">
        <v>1030</v>
      </c>
      <c r="AJ53" s="552" t="s">
        <v>1031</v>
      </c>
      <c r="AK53" s="551" t="s">
        <v>1032</v>
      </c>
      <c r="AL53" s="552" t="s">
        <v>1033</v>
      </c>
      <c r="AM53" s="551" t="s">
        <v>1034</v>
      </c>
      <c r="AN53" s="553" t="s">
        <v>1035</v>
      </c>
    </row>
    <row r="54" spans="1:40" ht="15.75" x14ac:dyDescent="0.25">
      <c r="A54" s="453"/>
      <c r="B54" s="466" t="s">
        <v>386</v>
      </c>
      <c r="C54" s="523" t="s">
        <v>1052</v>
      </c>
      <c r="D54" s="525" t="s">
        <v>386</v>
      </c>
      <c r="E54" s="399">
        <v>1</v>
      </c>
      <c r="F54" s="538" t="s">
        <v>386</v>
      </c>
      <c r="G54" s="400"/>
      <c r="H54" s="538" t="s">
        <v>386</v>
      </c>
      <c r="I54" s="402">
        <v>1</v>
      </c>
      <c r="J54" s="538" t="s">
        <v>386</v>
      </c>
      <c r="K54" s="403"/>
      <c r="L54" s="538" t="s">
        <v>386</v>
      </c>
      <c r="M54" s="402">
        <v>1</v>
      </c>
      <c r="N54" s="538" t="s">
        <v>386</v>
      </c>
      <c r="O54" s="404"/>
      <c r="P54" s="538" t="s">
        <v>386</v>
      </c>
      <c r="Q54" s="402">
        <v>1</v>
      </c>
      <c r="R54" s="401" t="s">
        <v>1036</v>
      </c>
      <c r="S54" s="403"/>
      <c r="T54" s="401" t="s">
        <v>1036</v>
      </c>
      <c r="U54" s="402">
        <v>1</v>
      </c>
      <c r="V54" s="538" t="s">
        <v>390</v>
      </c>
      <c r="W54" s="403"/>
      <c r="X54" s="401" t="s">
        <v>1054</v>
      </c>
      <c r="Y54" s="405"/>
      <c r="Z54" s="466" t="s">
        <v>386</v>
      </c>
      <c r="AA54" s="542" t="s">
        <v>1052</v>
      </c>
      <c r="AB54" s="525" t="s">
        <v>386</v>
      </c>
      <c r="AC54" s="406">
        <v>1</v>
      </c>
      <c r="AD54" s="550" t="s">
        <v>392</v>
      </c>
      <c r="AE54" s="407"/>
      <c r="AF54" s="490" t="s">
        <v>1062</v>
      </c>
      <c r="AI54" s="554" t="s">
        <v>386</v>
      </c>
      <c r="AJ54" s="538" t="s">
        <v>386</v>
      </c>
      <c r="AK54" s="538" t="s">
        <v>386</v>
      </c>
      <c r="AL54" s="488" t="s">
        <v>386</v>
      </c>
      <c r="AM54" s="488" t="s">
        <v>386</v>
      </c>
      <c r="AN54" s="487" t="s">
        <v>386</v>
      </c>
    </row>
    <row r="55" spans="1:40" ht="15.75" x14ac:dyDescent="0.25">
      <c r="A55" s="454"/>
      <c r="B55" s="467" t="s">
        <v>388</v>
      </c>
      <c r="C55" s="524" t="s">
        <v>1052</v>
      </c>
      <c r="D55" s="526" t="s">
        <v>388</v>
      </c>
      <c r="E55" s="410">
        <v>2</v>
      </c>
      <c r="F55" s="496" t="s">
        <v>400</v>
      </c>
      <c r="G55" s="411"/>
      <c r="H55" s="465" t="s">
        <v>1063</v>
      </c>
      <c r="I55" s="412">
        <v>2</v>
      </c>
      <c r="J55" s="465" t="s">
        <v>1036</v>
      </c>
      <c r="K55" s="413"/>
      <c r="L55" s="465" t="s">
        <v>1036</v>
      </c>
      <c r="M55" s="412">
        <v>2</v>
      </c>
      <c r="N55" s="490" t="s">
        <v>396</v>
      </c>
      <c r="O55" s="414"/>
      <c r="P55" s="496" t="s">
        <v>1064</v>
      </c>
      <c r="Q55" s="412">
        <v>2</v>
      </c>
      <c r="R55" s="490" t="s">
        <v>396</v>
      </c>
      <c r="S55" s="413"/>
      <c r="T55" s="496" t="s">
        <v>1064</v>
      </c>
      <c r="U55" s="412">
        <v>2</v>
      </c>
      <c r="V55" s="490" t="s">
        <v>396</v>
      </c>
      <c r="W55" s="413"/>
      <c r="X55" s="496" t="s">
        <v>1064</v>
      </c>
      <c r="Y55" s="415"/>
      <c r="Z55" s="467" t="s">
        <v>388</v>
      </c>
      <c r="AA55" s="543" t="s">
        <v>1052</v>
      </c>
      <c r="AB55" s="526" t="s">
        <v>388</v>
      </c>
      <c r="AC55" s="416">
        <v>2</v>
      </c>
      <c r="AD55" s="465" t="s">
        <v>1036</v>
      </c>
      <c r="AE55" s="417"/>
      <c r="AF55" s="465" t="s">
        <v>1036</v>
      </c>
      <c r="AI55" s="480" t="s">
        <v>1063</v>
      </c>
      <c r="AJ55" s="465" t="s">
        <v>1036</v>
      </c>
      <c r="AK55" s="496" t="s">
        <v>1064</v>
      </c>
      <c r="AL55" s="465" t="s">
        <v>1065</v>
      </c>
      <c r="AM55" s="465" t="s">
        <v>1065</v>
      </c>
      <c r="AN55" s="479" t="s">
        <v>1036</v>
      </c>
    </row>
    <row r="56" spans="1:40" ht="16.5" thickBot="1" x14ac:dyDescent="0.3">
      <c r="A56" s="454"/>
      <c r="B56" s="467" t="s">
        <v>390</v>
      </c>
      <c r="C56" s="524" t="s">
        <v>1052</v>
      </c>
      <c r="D56" s="527" t="s">
        <v>1054</v>
      </c>
      <c r="E56" s="410">
        <v>3</v>
      </c>
      <c r="F56" s="488" t="s">
        <v>390</v>
      </c>
      <c r="G56" s="411"/>
      <c r="H56" s="465" t="s">
        <v>1054</v>
      </c>
      <c r="I56" s="412">
        <v>3</v>
      </c>
      <c r="J56" s="488" t="s">
        <v>390</v>
      </c>
      <c r="K56" s="413"/>
      <c r="L56" s="465" t="s">
        <v>1054</v>
      </c>
      <c r="M56" s="412">
        <v>3</v>
      </c>
      <c r="N56" s="488" t="s">
        <v>390</v>
      </c>
      <c r="O56" s="419"/>
      <c r="P56" s="465" t="s">
        <v>1054</v>
      </c>
      <c r="Q56" s="412">
        <v>3</v>
      </c>
      <c r="R56" s="488" t="s">
        <v>390</v>
      </c>
      <c r="S56" s="413"/>
      <c r="T56" s="465" t="s">
        <v>1054</v>
      </c>
      <c r="U56" s="412">
        <v>3</v>
      </c>
      <c r="V56" s="465" t="s">
        <v>1036</v>
      </c>
      <c r="W56" s="413"/>
      <c r="X56" s="465" t="s">
        <v>1036</v>
      </c>
      <c r="Y56" s="415"/>
      <c r="Z56" s="539" t="s">
        <v>390</v>
      </c>
      <c r="AA56" s="543" t="s">
        <v>1052</v>
      </c>
      <c r="AB56" s="544" t="s">
        <v>1054</v>
      </c>
      <c r="AC56" s="416">
        <v>3</v>
      </c>
      <c r="AD56" s="488" t="s">
        <v>390</v>
      </c>
      <c r="AE56" s="417"/>
      <c r="AF56" s="465" t="s">
        <v>1054</v>
      </c>
      <c r="AI56" s="480" t="s">
        <v>1054</v>
      </c>
      <c r="AJ56" s="465" t="s">
        <v>1054</v>
      </c>
      <c r="AK56" s="465" t="s">
        <v>1054</v>
      </c>
      <c r="AL56" s="465" t="s">
        <v>1036</v>
      </c>
      <c r="AM56" s="465" t="s">
        <v>1055</v>
      </c>
      <c r="AN56" s="487" t="s">
        <v>388</v>
      </c>
    </row>
    <row r="57" spans="1:40" ht="16.5" thickBot="1" x14ac:dyDescent="0.3">
      <c r="A57" s="454"/>
      <c r="B57" s="468" t="s">
        <v>392</v>
      </c>
      <c r="C57" s="524" t="s">
        <v>1052</v>
      </c>
      <c r="D57" s="528" t="s">
        <v>1055</v>
      </c>
      <c r="E57" s="410">
        <v>4</v>
      </c>
      <c r="F57" s="490" t="s">
        <v>396</v>
      </c>
      <c r="G57" s="411"/>
      <c r="H57" s="496" t="s">
        <v>392</v>
      </c>
      <c r="I57" s="412">
        <v>4</v>
      </c>
      <c r="J57" s="490" t="s">
        <v>396</v>
      </c>
      <c r="K57" s="413"/>
      <c r="L57" s="496" t="s">
        <v>392</v>
      </c>
      <c r="M57" s="412">
        <v>4</v>
      </c>
      <c r="N57" s="465" t="s">
        <v>1036</v>
      </c>
      <c r="O57" s="419"/>
      <c r="P57" s="465" t="s">
        <v>1036</v>
      </c>
      <c r="Q57" s="412">
        <v>4</v>
      </c>
      <c r="R57" s="488" t="s">
        <v>386</v>
      </c>
      <c r="S57" s="413"/>
      <c r="T57" s="488" t="s">
        <v>386</v>
      </c>
      <c r="U57" s="412">
        <v>4</v>
      </c>
      <c r="V57" s="488" t="s">
        <v>386</v>
      </c>
      <c r="W57" s="413"/>
      <c r="X57" s="488" t="s">
        <v>386</v>
      </c>
      <c r="Y57" s="415"/>
      <c r="Z57" s="529" t="s">
        <v>392</v>
      </c>
      <c r="AA57" s="543" t="s">
        <v>1052</v>
      </c>
      <c r="AB57" s="546" t="s">
        <v>390</v>
      </c>
      <c r="AC57" s="416">
        <v>4</v>
      </c>
      <c r="AD57" s="465" t="s">
        <v>1036</v>
      </c>
      <c r="AE57" s="417"/>
      <c r="AF57" s="465" t="s">
        <v>1036</v>
      </c>
      <c r="AI57" s="494" t="s">
        <v>392</v>
      </c>
      <c r="AJ57" s="496" t="s">
        <v>392</v>
      </c>
      <c r="AK57" s="465" t="s">
        <v>1036</v>
      </c>
      <c r="AL57" s="490" t="s">
        <v>1066</v>
      </c>
      <c r="AM57" s="490" t="s">
        <v>1066</v>
      </c>
      <c r="AN57" s="479" t="s">
        <v>1036</v>
      </c>
    </row>
    <row r="58" spans="1:40" ht="16.5" thickBot="1" x14ac:dyDescent="0.3">
      <c r="A58" s="454"/>
      <c r="B58" s="529" t="s">
        <v>394</v>
      </c>
      <c r="C58" s="524" t="s">
        <v>1052</v>
      </c>
      <c r="D58" s="531" t="s">
        <v>390</v>
      </c>
      <c r="E58" s="420">
        <v>5</v>
      </c>
      <c r="F58" s="465" t="s">
        <v>1036</v>
      </c>
      <c r="G58" s="421"/>
      <c r="H58" s="465" t="s">
        <v>1036</v>
      </c>
      <c r="I58" s="422">
        <v>5</v>
      </c>
      <c r="J58" s="496" t="s">
        <v>398</v>
      </c>
      <c r="K58" s="423"/>
      <c r="L58" s="465" t="s">
        <v>1065</v>
      </c>
      <c r="M58" s="422">
        <v>5</v>
      </c>
      <c r="N58" s="496" t="s">
        <v>398</v>
      </c>
      <c r="O58" s="424"/>
      <c r="P58" s="465" t="s">
        <v>1065</v>
      </c>
      <c r="Q58" s="422">
        <v>5</v>
      </c>
      <c r="R58" s="496" t="s">
        <v>398</v>
      </c>
      <c r="S58" s="423"/>
      <c r="T58" s="465" t="s">
        <v>1065</v>
      </c>
      <c r="U58" s="422">
        <v>5</v>
      </c>
      <c r="V58" s="496" t="s">
        <v>398</v>
      </c>
      <c r="W58" s="423"/>
      <c r="X58" s="465" t="s">
        <v>1065</v>
      </c>
      <c r="Y58" s="415"/>
      <c r="Z58" s="530" t="s">
        <v>394</v>
      </c>
      <c r="AA58" s="543" t="s">
        <v>1052</v>
      </c>
      <c r="AB58" s="532" t="s">
        <v>392</v>
      </c>
      <c r="AC58" s="425">
        <v>5</v>
      </c>
      <c r="AD58" s="496" t="s">
        <v>396</v>
      </c>
      <c r="AE58" s="426"/>
      <c r="AF58" s="465" t="s">
        <v>1065</v>
      </c>
      <c r="AI58" s="480" t="s">
        <v>1036</v>
      </c>
      <c r="AJ58" s="465" t="s">
        <v>1065</v>
      </c>
      <c r="AK58" s="465" t="s">
        <v>1065</v>
      </c>
      <c r="AL58" s="465" t="s">
        <v>1055</v>
      </c>
      <c r="AM58" s="465" t="s">
        <v>1036</v>
      </c>
      <c r="AN58" s="555" t="s">
        <v>392</v>
      </c>
    </row>
    <row r="59" spans="1:40" ht="16.5" thickBot="1" x14ac:dyDescent="0.3">
      <c r="A59" s="454"/>
      <c r="B59" s="530" t="s">
        <v>396</v>
      </c>
      <c r="C59" s="524" t="s">
        <v>1052</v>
      </c>
      <c r="D59" s="532" t="s">
        <v>392</v>
      </c>
      <c r="E59" s="399">
        <v>6</v>
      </c>
      <c r="F59" s="488" t="s">
        <v>388</v>
      </c>
      <c r="G59" s="400"/>
      <c r="H59" s="488" t="s">
        <v>388</v>
      </c>
      <c r="I59" s="402">
        <v>6</v>
      </c>
      <c r="J59" s="488" t="s">
        <v>388</v>
      </c>
      <c r="K59" s="403"/>
      <c r="L59" s="488" t="s">
        <v>388</v>
      </c>
      <c r="M59" s="402">
        <v>6</v>
      </c>
      <c r="N59" s="488" t="s">
        <v>388</v>
      </c>
      <c r="O59" s="404"/>
      <c r="P59" s="488" t="s">
        <v>388</v>
      </c>
      <c r="Q59" s="402">
        <v>6</v>
      </c>
      <c r="R59" s="465" t="s">
        <v>1036</v>
      </c>
      <c r="S59" s="403"/>
      <c r="T59" s="465" t="s">
        <v>1036</v>
      </c>
      <c r="U59" s="402">
        <v>6</v>
      </c>
      <c r="V59" s="488" t="s">
        <v>392</v>
      </c>
      <c r="W59" s="403"/>
      <c r="X59" s="465" t="s">
        <v>1055</v>
      </c>
      <c r="Y59" s="415"/>
      <c r="Z59" s="541" t="s">
        <v>396</v>
      </c>
      <c r="AA59" s="543" t="s">
        <v>1052</v>
      </c>
      <c r="AB59" s="549" t="s">
        <v>1065</v>
      </c>
      <c r="AC59" s="406">
        <v>6</v>
      </c>
      <c r="AD59" s="488" t="s">
        <v>386</v>
      </c>
      <c r="AE59" s="407"/>
      <c r="AF59" s="488" t="s">
        <v>386</v>
      </c>
      <c r="AI59" s="489" t="s">
        <v>388</v>
      </c>
      <c r="AJ59" s="488" t="s">
        <v>388</v>
      </c>
      <c r="AK59" s="488" t="s">
        <v>388</v>
      </c>
      <c r="AL59" s="488" t="s">
        <v>388</v>
      </c>
      <c r="AM59" s="488" t="s">
        <v>388</v>
      </c>
      <c r="AN59" s="497" t="s">
        <v>390</v>
      </c>
    </row>
    <row r="60" spans="1:40" ht="16.5" thickBot="1" x14ac:dyDescent="0.3">
      <c r="A60" s="454"/>
      <c r="B60" s="534" t="s">
        <v>398</v>
      </c>
      <c r="C60" s="524" t="s">
        <v>1052</v>
      </c>
      <c r="D60" s="545" t="s">
        <v>1065</v>
      </c>
      <c r="E60" s="410">
        <v>7</v>
      </c>
      <c r="F60" s="496" t="s">
        <v>398</v>
      </c>
      <c r="G60" s="411"/>
      <c r="H60" s="465" t="s">
        <v>1065</v>
      </c>
      <c r="I60" s="412">
        <v>7</v>
      </c>
      <c r="J60" s="465" t="s">
        <v>1036</v>
      </c>
      <c r="K60" s="413"/>
      <c r="L60" s="465" t="s">
        <v>1036</v>
      </c>
      <c r="M60" s="412">
        <v>7</v>
      </c>
      <c r="N60" s="490" t="s">
        <v>394</v>
      </c>
      <c r="O60" s="414"/>
      <c r="P60" s="490" t="s">
        <v>1066</v>
      </c>
      <c r="Q60" s="412">
        <v>7</v>
      </c>
      <c r="R60" s="490" t="s">
        <v>394</v>
      </c>
      <c r="S60" s="413"/>
      <c r="T60" s="490" t="s">
        <v>1066</v>
      </c>
      <c r="U60" s="412">
        <v>7</v>
      </c>
      <c r="V60" s="490" t="s">
        <v>394</v>
      </c>
      <c r="W60" s="413"/>
      <c r="X60" s="490" t="s">
        <v>1066</v>
      </c>
      <c r="Y60" s="415"/>
      <c r="Z60" s="540"/>
      <c r="AA60" s="409"/>
      <c r="AB60" s="547"/>
      <c r="AC60" s="416">
        <v>7</v>
      </c>
      <c r="AD60" s="465" t="s">
        <v>1036</v>
      </c>
      <c r="AE60" s="417"/>
      <c r="AF60" s="465" t="s">
        <v>1036</v>
      </c>
      <c r="AI60" s="480" t="s">
        <v>1065</v>
      </c>
      <c r="AJ60" s="465" t="s">
        <v>1036</v>
      </c>
      <c r="AK60" s="490" t="s">
        <v>1066</v>
      </c>
      <c r="AL60" s="482" t="s">
        <v>1063</v>
      </c>
      <c r="AM60" s="482" t="s">
        <v>1063</v>
      </c>
      <c r="AN60" s="479" t="s">
        <v>1036</v>
      </c>
    </row>
    <row r="61" spans="1:40" ht="16.5" thickBot="1" x14ac:dyDescent="0.3">
      <c r="A61" s="454"/>
      <c r="B61" s="535" t="s">
        <v>400</v>
      </c>
      <c r="C61" s="524" t="s">
        <v>1052</v>
      </c>
      <c r="D61" s="533" t="s">
        <v>1063</v>
      </c>
      <c r="E61" s="410">
        <v>8</v>
      </c>
      <c r="F61" s="488" t="s">
        <v>392</v>
      </c>
      <c r="G61" s="411"/>
      <c r="H61" s="465" t="s">
        <v>1055</v>
      </c>
      <c r="I61" s="412">
        <v>8</v>
      </c>
      <c r="J61" s="488" t="s">
        <v>392</v>
      </c>
      <c r="K61" s="413"/>
      <c r="L61" s="465" t="s">
        <v>1055</v>
      </c>
      <c r="M61" s="412">
        <v>8</v>
      </c>
      <c r="N61" s="488" t="s">
        <v>392</v>
      </c>
      <c r="O61" s="419"/>
      <c r="P61" s="465" t="s">
        <v>1055</v>
      </c>
      <c r="Q61" s="412">
        <v>8</v>
      </c>
      <c r="R61" s="488" t="s">
        <v>392</v>
      </c>
      <c r="S61" s="413"/>
      <c r="T61" s="465" t="s">
        <v>1055</v>
      </c>
      <c r="U61" s="412">
        <v>8</v>
      </c>
      <c r="V61" s="465" t="s">
        <v>1036</v>
      </c>
      <c r="W61" s="413"/>
      <c r="X61" s="465" t="s">
        <v>1036</v>
      </c>
      <c r="Y61" s="415"/>
      <c r="Z61" s="536"/>
      <c r="AA61" s="409"/>
      <c r="AB61" s="548"/>
      <c r="AC61" s="416">
        <v>8</v>
      </c>
      <c r="AD61" s="488" t="s">
        <v>388</v>
      </c>
      <c r="AE61" s="417"/>
      <c r="AF61" s="488" t="s">
        <v>388</v>
      </c>
      <c r="AI61" s="480" t="s">
        <v>1055</v>
      </c>
      <c r="AJ61" s="465" t="s">
        <v>1055</v>
      </c>
      <c r="AK61" s="465" t="s">
        <v>1055</v>
      </c>
      <c r="AL61" s="401" t="s">
        <v>1036</v>
      </c>
      <c r="AM61" s="401" t="s">
        <v>1054</v>
      </c>
      <c r="AN61" s="479" t="s">
        <v>1054</v>
      </c>
    </row>
    <row r="62" spans="1:40" ht="15.75" x14ac:dyDescent="0.25">
      <c r="A62" s="455"/>
      <c r="B62" s="536"/>
      <c r="C62" s="457"/>
      <c r="D62" s="537"/>
      <c r="E62" s="410">
        <v>9</v>
      </c>
      <c r="F62" s="490" t="s">
        <v>394</v>
      </c>
      <c r="G62" s="411"/>
      <c r="H62" s="490" t="s">
        <v>390</v>
      </c>
      <c r="I62" s="412">
        <v>9</v>
      </c>
      <c r="J62" s="490" t="s">
        <v>394</v>
      </c>
      <c r="K62" s="413"/>
      <c r="L62" s="490" t="s">
        <v>390</v>
      </c>
      <c r="M62" s="412">
        <v>9</v>
      </c>
      <c r="N62" s="465" t="s">
        <v>1036</v>
      </c>
      <c r="O62" s="419"/>
      <c r="P62" s="465" t="s">
        <v>1036</v>
      </c>
      <c r="Q62" s="412">
        <v>9</v>
      </c>
      <c r="R62" s="488" t="s">
        <v>388</v>
      </c>
      <c r="S62" s="413"/>
      <c r="T62" s="488" t="s">
        <v>388</v>
      </c>
      <c r="U62" s="412">
        <v>9</v>
      </c>
      <c r="V62" s="488" t="s">
        <v>388</v>
      </c>
      <c r="W62" s="413"/>
      <c r="X62" s="488" t="s">
        <v>388</v>
      </c>
      <c r="Y62" s="415"/>
      <c r="Z62" s="536"/>
      <c r="AA62" s="409"/>
      <c r="AB62" s="537"/>
      <c r="AC62" s="416">
        <v>9</v>
      </c>
      <c r="AD62" s="465" t="s">
        <v>1036</v>
      </c>
      <c r="AE62" s="417"/>
      <c r="AF62" s="465" t="s">
        <v>1036</v>
      </c>
      <c r="AI62" s="491" t="s">
        <v>390</v>
      </c>
      <c r="AJ62" s="490" t="s">
        <v>390</v>
      </c>
      <c r="AK62" s="465" t="s">
        <v>1036</v>
      </c>
      <c r="AL62" s="496" t="s">
        <v>1064</v>
      </c>
      <c r="AM62" s="496" t="s">
        <v>1064</v>
      </c>
      <c r="AN62" s="479" t="s">
        <v>1036</v>
      </c>
    </row>
    <row r="63" spans="1:40" ht="16.5" thickBot="1" x14ac:dyDescent="0.3">
      <c r="A63" s="454"/>
      <c r="B63" s="536"/>
      <c r="C63" s="457"/>
      <c r="D63" s="537"/>
      <c r="E63" s="420">
        <v>10</v>
      </c>
      <c r="F63" s="465" t="s">
        <v>1036</v>
      </c>
      <c r="G63" s="421"/>
      <c r="H63" s="465" t="s">
        <v>1036</v>
      </c>
      <c r="I63" s="422">
        <v>10</v>
      </c>
      <c r="J63" s="496" t="s">
        <v>400</v>
      </c>
      <c r="K63" s="423"/>
      <c r="L63" s="465" t="s">
        <v>1063</v>
      </c>
      <c r="M63" s="422">
        <v>10</v>
      </c>
      <c r="N63" s="496" t="s">
        <v>400</v>
      </c>
      <c r="O63" s="424"/>
      <c r="P63" s="465" t="s">
        <v>1063</v>
      </c>
      <c r="Q63" s="422">
        <v>10</v>
      </c>
      <c r="R63" s="496" t="s">
        <v>400</v>
      </c>
      <c r="S63" s="423"/>
      <c r="T63" s="465" t="s">
        <v>1063</v>
      </c>
      <c r="U63" s="422">
        <v>10</v>
      </c>
      <c r="V63" s="496" t="s">
        <v>400</v>
      </c>
      <c r="W63" s="423"/>
      <c r="X63" s="465" t="s">
        <v>1063</v>
      </c>
      <c r="Y63" s="415"/>
      <c r="Z63" s="536"/>
      <c r="AA63" s="409"/>
      <c r="AB63" s="537"/>
      <c r="AC63" s="425">
        <v>10</v>
      </c>
      <c r="AD63" s="490" t="s">
        <v>394</v>
      </c>
      <c r="AE63" s="426"/>
      <c r="AF63" s="496" t="s">
        <v>392</v>
      </c>
      <c r="AI63" s="481" t="s">
        <v>1036</v>
      </c>
      <c r="AJ63" s="482" t="s">
        <v>1063</v>
      </c>
      <c r="AK63" s="482" t="s">
        <v>1063</v>
      </c>
      <c r="AL63" s="465" t="s">
        <v>1054</v>
      </c>
      <c r="AM63" s="465" t="s">
        <v>1036</v>
      </c>
      <c r="AN63" s="479" t="s">
        <v>1065</v>
      </c>
    </row>
  </sheetData>
  <mergeCells count="4">
    <mergeCell ref="B1:AF1"/>
    <mergeCell ref="AI1:AN1"/>
    <mergeCell ref="B52:AF52"/>
    <mergeCell ref="AI52:AN52"/>
  </mergeCells>
  <phoneticPr fontId="4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1A54-2D0E-4F48-9FB7-0E4863755611}">
  <dimension ref="A1:AN52"/>
  <sheetViews>
    <sheetView zoomScale="70" zoomScaleNormal="70" workbookViewId="0">
      <selection activeCell="B2" sqref="B2:AA2"/>
    </sheetView>
    <sheetView workbookViewId="1">
      <selection sqref="A1:AA1"/>
    </sheetView>
  </sheetViews>
  <sheetFormatPr defaultColWidth="9.140625" defaultRowHeight="15.75" x14ac:dyDescent="0.25"/>
  <cols>
    <col min="1" max="1" width="18.140625" style="867" bestFit="1" customWidth="1"/>
    <col min="2" max="28" width="9.140625" style="867"/>
    <col min="29" max="29" width="15.28515625" style="867" customWidth="1"/>
    <col min="30" max="16384" width="9.140625" style="867"/>
  </cols>
  <sheetData>
    <row r="1" spans="1:40" ht="21.75" thickBot="1" x14ac:dyDescent="0.4">
      <c r="A1" s="1264" t="s">
        <v>1214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1264"/>
      <c r="R1" s="1264"/>
      <c r="S1" s="1264"/>
      <c r="T1" s="1264"/>
      <c r="U1" s="1264"/>
      <c r="V1" s="1264"/>
      <c r="W1" s="1264"/>
      <c r="X1" s="1264"/>
      <c r="Y1" s="1264"/>
      <c r="Z1" s="1264"/>
      <c r="AA1" s="1264"/>
      <c r="AC1" s="1264" t="s">
        <v>1215</v>
      </c>
      <c r="AD1" s="1264"/>
      <c r="AE1" s="1264"/>
      <c r="AF1" s="1264"/>
      <c r="AG1" s="1264"/>
      <c r="AH1" s="1264"/>
      <c r="AI1" s="1264"/>
      <c r="AJ1" s="1264"/>
      <c r="AK1" s="1264"/>
      <c r="AL1" s="1264"/>
    </row>
    <row r="2" spans="1:40" ht="16.5" thickBot="1" x14ac:dyDescent="0.3">
      <c r="A2" s="1042" t="s">
        <v>1216</v>
      </c>
      <c r="B2" s="1043">
        <v>18</v>
      </c>
      <c r="C2" s="1043">
        <v>8</v>
      </c>
      <c r="D2" s="1045">
        <v>2</v>
      </c>
      <c r="E2" s="1044">
        <v>10</v>
      </c>
      <c r="F2" s="1046">
        <v>3</v>
      </c>
      <c r="G2" s="1047">
        <v>15</v>
      </c>
      <c r="H2" s="1047">
        <v>14</v>
      </c>
      <c r="I2" s="1047">
        <v>5</v>
      </c>
      <c r="J2" s="1047">
        <v>13</v>
      </c>
      <c r="K2" s="1046" t="s">
        <v>1217</v>
      </c>
      <c r="L2" s="1047" t="s">
        <v>1218</v>
      </c>
      <c r="M2" s="1047" t="s">
        <v>1219</v>
      </c>
      <c r="N2" s="1047" t="s">
        <v>1220</v>
      </c>
      <c r="O2" s="1047" t="s">
        <v>1221</v>
      </c>
      <c r="P2" s="1044">
        <v>17</v>
      </c>
      <c r="Q2" s="1048">
        <v>7</v>
      </c>
      <c r="R2" s="1048">
        <v>16</v>
      </c>
      <c r="S2" s="1048">
        <v>19</v>
      </c>
      <c r="T2" s="1048">
        <v>14</v>
      </c>
      <c r="U2" s="1048">
        <v>3</v>
      </c>
      <c r="V2" s="1048">
        <v>1</v>
      </c>
      <c r="W2" s="1044">
        <v>15</v>
      </c>
      <c r="X2" s="1044">
        <v>12</v>
      </c>
      <c r="Y2" s="1044">
        <v>4</v>
      </c>
      <c r="Z2" s="1047">
        <v>6</v>
      </c>
      <c r="AA2" s="1049" t="s">
        <v>1119</v>
      </c>
      <c r="AC2" s="1042" t="s">
        <v>1216</v>
      </c>
      <c r="AD2" s="1043">
        <v>2</v>
      </c>
      <c r="AE2" s="1044">
        <v>5</v>
      </c>
      <c r="AF2" s="1045">
        <v>1</v>
      </c>
      <c r="AG2" s="1044">
        <v>4</v>
      </c>
      <c r="AH2" s="1046">
        <v>6</v>
      </c>
      <c r="AI2" s="1047">
        <v>2</v>
      </c>
      <c r="AJ2" s="1047">
        <v>3</v>
      </c>
      <c r="AK2" s="1047">
        <v>4</v>
      </c>
      <c r="AL2" s="1049" t="s">
        <v>1119</v>
      </c>
      <c r="AN2" s="1049" t="s">
        <v>1119</v>
      </c>
    </row>
    <row r="3" spans="1:40" x14ac:dyDescent="0.25">
      <c r="A3" s="1050" t="s">
        <v>1222</v>
      </c>
      <c r="B3" s="1051"/>
      <c r="C3" s="1051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2"/>
      <c r="O3" s="1052"/>
      <c r="P3" s="1052"/>
      <c r="Q3" s="1052"/>
      <c r="R3" s="1052"/>
      <c r="S3" s="1052"/>
      <c r="T3" s="1052"/>
      <c r="U3" s="1052"/>
      <c r="V3" s="1052"/>
      <c r="W3" s="1052"/>
      <c r="X3" s="1052"/>
      <c r="Y3" s="1052"/>
      <c r="Z3" s="1052"/>
      <c r="AA3" s="1053">
        <f t="shared" ref="AA3:AA34" si="0">SUM(B3:Z3)</f>
        <v>0</v>
      </c>
      <c r="AC3" s="1050" t="s">
        <v>1222</v>
      </c>
      <c r="AD3" s="1051"/>
      <c r="AE3" s="1052"/>
      <c r="AF3" s="1052"/>
      <c r="AG3" s="1052"/>
      <c r="AH3" s="1052"/>
      <c r="AI3" s="1052"/>
      <c r="AJ3" s="1052"/>
      <c r="AK3" s="1052"/>
      <c r="AL3" s="1053">
        <f t="shared" ref="AL3:AL52" si="1">SUM(AD3:AK3)</f>
        <v>0</v>
      </c>
      <c r="AN3" s="1053">
        <f t="shared" ref="AN3:AN52" si="2">AL3+AA3</f>
        <v>0</v>
      </c>
    </row>
    <row r="4" spans="1:40" x14ac:dyDescent="0.25">
      <c r="A4" s="1054" t="s">
        <v>1223</v>
      </c>
      <c r="B4" s="1055"/>
      <c r="C4" s="1055"/>
      <c r="D4" s="1056"/>
      <c r="E4" s="1056"/>
      <c r="F4" s="1056"/>
      <c r="G4" s="1056"/>
      <c r="H4" s="1056"/>
      <c r="I4" s="1056"/>
      <c r="J4" s="1056"/>
      <c r="K4" s="1056"/>
      <c r="L4" s="1056"/>
      <c r="M4" s="1056"/>
      <c r="N4" s="1056"/>
      <c r="O4" s="1056"/>
      <c r="P4" s="1056"/>
      <c r="Q4" s="1056"/>
      <c r="R4" s="1056"/>
      <c r="S4" s="1056"/>
      <c r="T4" s="1056"/>
      <c r="U4" s="1056"/>
      <c r="V4" s="1055">
        <v>1</v>
      </c>
      <c r="W4" s="1056"/>
      <c r="X4" s="1056"/>
      <c r="Y4" s="1056"/>
      <c r="Z4" s="1056"/>
      <c r="AA4" s="1053">
        <f t="shared" si="0"/>
        <v>1</v>
      </c>
      <c r="AC4" s="1054" t="s">
        <v>1223</v>
      </c>
      <c r="AD4" s="1055"/>
      <c r="AE4" s="1056"/>
      <c r="AF4" s="1056"/>
      <c r="AG4" s="1056"/>
      <c r="AH4" s="1056"/>
      <c r="AI4" s="1056"/>
      <c r="AJ4" s="1056"/>
      <c r="AK4" s="1056"/>
      <c r="AL4" s="1053">
        <f t="shared" si="1"/>
        <v>0</v>
      </c>
      <c r="AN4" s="1053">
        <f t="shared" si="2"/>
        <v>1</v>
      </c>
    </row>
    <row r="5" spans="1:40" x14ac:dyDescent="0.25">
      <c r="A5" s="1054" t="s">
        <v>1224</v>
      </c>
      <c r="B5" s="1055"/>
      <c r="C5" s="1055"/>
      <c r="D5" s="1055">
        <v>1</v>
      </c>
      <c r="E5" s="1056"/>
      <c r="F5" s="1056">
        <v>1</v>
      </c>
      <c r="G5" s="1056"/>
      <c r="H5" s="1056"/>
      <c r="I5" s="1056"/>
      <c r="J5" s="1056"/>
      <c r="K5" s="1056"/>
      <c r="L5" s="1056"/>
      <c r="M5" s="1056"/>
      <c r="N5" s="1056"/>
      <c r="O5" s="1056"/>
      <c r="P5" s="1056"/>
      <c r="Q5" s="1056"/>
      <c r="R5" s="1056"/>
      <c r="S5" s="1056"/>
      <c r="T5" s="1056"/>
      <c r="U5" s="1056"/>
      <c r="V5" s="1055">
        <v>1</v>
      </c>
      <c r="W5" s="1056"/>
      <c r="X5" s="1056"/>
      <c r="Y5" s="1056"/>
      <c r="Z5" s="1056"/>
      <c r="AA5" s="1053">
        <f t="shared" si="0"/>
        <v>3</v>
      </c>
      <c r="AC5" s="1054" t="s">
        <v>1224</v>
      </c>
      <c r="AD5" s="1055"/>
      <c r="AE5" s="1056"/>
      <c r="AF5" s="1055"/>
      <c r="AG5" s="1056"/>
      <c r="AH5" s="1056"/>
      <c r="AI5" s="1056"/>
      <c r="AJ5" s="1056"/>
      <c r="AK5" s="1056"/>
      <c r="AL5" s="1053">
        <f t="shared" si="1"/>
        <v>0</v>
      </c>
      <c r="AN5" s="1053">
        <f t="shared" si="2"/>
        <v>3</v>
      </c>
    </row>
    <row r="6" spans="1:40" x14ac:dyDescent="0.25">
      <c r="A6" s="1057" t="s">
        <v>1225</v>
      </c>
      <c r="B6" s="1055"/>
      <c r="C6" s="1055"/>
      <c r="D6" s="1055">
        <v>1</v>
      </c>
      <c r="E6" s="1056"/>
      <c r="F6" s="1055">
        <v>1</v>
      </c>
      <c r="G6" s="1055"/>
      <c r="H6" s="1056"/>
      <c r="I6" s="1055">
        <v>1</v>
      </c>
      <c r="J6" s="1056"/>
      <c r="K6" s="1055">
        <v>1</v>
      </c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5">
        <v>1</v>
      </c>
      <c r="W6" s="1056"/>
      <c r="X6" s="1056"/>
      <c r="Y6" s="1055">
        <v>1</v>
      </c>
      <c r="Z6" s="1055">
        <v>1</v>
      </c>
      <c r="AA6" s="1053">
        <f t="shared" si="0"/>
        <v>7</v>
      </c>
      <c r="AC6" s="1057" t="s">
        <v>1225</v>
      </c>
      <c r="AD6" s="1055"/>
      <c r="AE6" s="1055"/>
      <c r="AF6" s="1055">
        <v>1</v>
      </c>
      <c r="AG6" s="1056"/>
      <c r="AH6" s="1056"/>
      <c r="AI6" s="1055"/>
      <c r="AJ6" s="1056"/>
      <c r="AK6" s="1056"/>
      <c r="AL6" s="1053">
        <f t="shared" si="1"/>
        <v>1</v>
      </c>
      <c r="AN6" s="1053">
        <f t="shared" si="2"/>
        <v>8</v>
      </c>
    </row>
    <row r="7" spans="1:40" x14ac:dyDescent="0.25">
      <c r="A7" s="1054" t="s">
        <v>1226</v>
      </c>
      <c r="B7" s="1055"/>
      <c r="C7" s="1055">
        <v>1</v>
      </c>
      <c r="D7" s="1055">
        <v>1</v>
      </c>
      <c r="E7" s="1055">
        <v>1</v>
      </c>
      <c r="F7" s="1055">
        <v>1</v>
      </c>
      <c r="G7" s="1055"/>
      <c r="H7" s="1056"/>
      <c r="I7" s="1055">
        <v>1</v>
      </c>
      <c r="J7" s="1056"/>
      <c r="K7" s="1055">
        <v>1</v>
      </c>
      <c r="L7" s="1056"/>
      <c r="M7" s="1056"/>
      <c r="N7" s="1055">
        <v>1</v>
      </c>
      <c r="O7" s="1056"/>
      <c r="P7" s="1056"/>
      <c r="Q7" s="1056"/>
      <c r="R7" s="1056"/>
      <c r="S7" s="1056"/>
      <c r="T7" s="1056"/>
      <c r="U7" s="1056"/>
      <c r="V7" s="1055">
        <v>1</v>
      </c>
      <c r="W7" s="1056"/>
      <c r="X7" s="1056"/>
      <c r="Y7" s="1055">
        <v>1</v>
      </c>
      <c r="Z7" s="1055">
        <v>1</v>
      </c>
      <c r="AA7" s="1053">
        <f t="shared" si="0"/>
        <v>10</v>
      </c>
      <c r="AC7" s="1054" t="s">
        <v>1226</v>
      </c>
      <c r="AD7" s="1055"/>
      <c r="AE7" s="1055"/>
      <c r="AF7" s="1055">
        <v>1</v>
      </c>
      <c r="AG7" s="1055"/>
      <c r="AH7" s="1056"/>
      <c r="AI7" s="1055">
        <v>1</v>
      </c>
      <c r="AJ7" s="1056"/>
      <c r="AK7" s="1056"/>
      <c r="AL7" s="1053">
        <f t="shared" si="1"/>
        <v>2</v>
      </c>
      <c r="AN7" s="1053">
        <f t="shared" si="2"/>
        <v>12</v>
      </c>
    </row>
    <row r="8" spans="1:40" x14ac:dyDescent="0.25">
      <c r="A8" s="1054" t="s">
        <v>1227</v>
      </c>
      <c r="B8" s="1055"/>
      <c r="C8" s="1055">
        <v>1</v>
      </c>
      <c r="D8" s="1055">
        <v>1</v>
      </c>
      <c r="E8" s="1055">
        <v>1</v>
      </c>
      <c r="F8" s="1055">
        <v>1</v>
      </c>
      <c r="G8" s="1055"/>
      <c r="H8" s="1055">
        <v>1</v>
      </c>
      <c r="I8" s="1055">
        <v>1</v>
      </c>
      <c r="J8" s="1055">
        <v>1</v>
      </c>
      <c r="K8" s="1055">
        <v>1</v>
      </c>
      <c r="L8" s="1055">
        <v>1</v>
      </c>
      <c r="M8" s="1056"/>
      <c r="N8" s="1055">
        <v>1</v>
      </c>
      <c r="O8" s="1055">
        <v>1</v>
      </c>
      <c r="P8" s="1056"/>
      <c r="Q8" s="1056"/>
      <c r="R8" s="1056"/>
      <c r="S8" s="1056"/>
      <c r="T8" s="1056"/>
      <c r="U8" s="1056"/>
      <c r="V8" s="1055">
        <v>1</v>
      </c>
      <c r="W8" s="1056"/>
      <c r="X8" s="1055">
        <v>1</v>
      </c>
      <c r="Y8" s="1055">
        <v>1</v>
      </c>
      <c r="Z8" s="1055">
        <v>1</v>
      </c>
      <c r="AA8" s="1053">
        <f t="shared" si="0"/>
        <v>15</v>
      </c>
      <c r="AC8" s="1054" t="s">
        <v>1227</v>
      </c>
      <c r="AD8" s="1055"/>
      <c r="AE8" s="1055"/>
      <c r="AF8" s="1055">
        <v>1</v>
      </c>
      <c r="AG8" s="1055"/>
      <c r="AH8" s="1056"/>
      <c r="AI8" s="1055">
        <v>1</v>
      </c>
      <c r="AJ8" s="1055">
        <v>1</v>
      </c>
      <c r="AK8" s="1055"/>
      <c r="AL8" s="1053">
        <f t="shared" si="1"/>
        <v>3</v>
      </c>
      <c r="AN8" s="1053">
        <f t="shared" si="2"/>
        <v>18</v>
      </c>
    </row>
    <row r="9" spans="1:40" x14ac:dyDescent="0.25">
      <c r="A9" s="1054" t="s">
        <v>1228</v>
      </c>
      <c r="B9" s="1055">
        <v>1</v>
      </c>
      <c r="C9" s="1055">
        <v>1</v>
      </c>
      <c r="D9" s="1055">
        <v>1</v>
      </c>
      <c r="E9" s="1055">
        <v>1</v>
      </c>
      <c r="F9" s="1055">
        <v>1</v>
      </c>
      <c r="G9" s="1055"/>
      <c r="H9" s="1055">
        <v>1</v>
      </c>
      <c r="I9" s="1055">
        <v>1</v>
      </c>
      <c r="J9" s="1055">
        <v>1</v>
      </c>
      <c r="K9" s="1055">
        <v>1</v>
      </c>
      <c r="L9" s="1055">
        <v>1</v>
      </c>
      <c r="M9" s="1056"/>
      <c r="N9" s="1055">
        <v>1</v>
      </c>
      <c r="O9" s="1055">
        <v>1</v>
      </c>
      <c r="P9" s="1055">
        <v>1</v>
      </c>
      <c r="Q9" s="1055"/>
      <c r="R9" s="1055">
        <v>1</v>
      </c>
      <c r="S9" s="1055">
        <v>1</v>
      </c>
      <c r="T9" s="1056"/>
      <c r="U9" s="1056"/>
      <c r="V9" s="1055">
        <v>1</v>
      </c>
      <c r="W9" s="1056"/>
      <c r="X9" s="1055">
        <v>1</v>
      </c>
      <c r="Y9" s="1055">
        <v>1</v>
      </c>
      <c r="Z9" s="1055">
        <v>1</v>
      </c>
      <c r="AA9" s="1053">
        <f t="shared" si="0"/>
        <v>19</v>
      </c>
      <c r="AC9" s="1058" t="s">
        <v>1228</v>
      </c>
      <c r="AD9" s="1059"/>
      <c r="AE9" s="1059"/>
      <c r="AF9" s="1059">
        <v>1</v>
      </c>
      <c r="AG9" s="1059"/>
      <c r="AH9" s="1060"/>
      <c r="AI9" s="1059">
        <v>1</v>
      </c>
      <c r="AJ9" s="1059">
        <v>1</v>
      </c>
      <c r="AK9" s="1059">
        <v>1</v>
      </c>
      <c r="AL9" s="1061">
        <f t="shared" si="1"/>
        <v>4</v>
      </c>
      <c r="AN9" s="1053">
        <f t="shared" si="2"/>
        <v>23</v>
      </c>
    </row>
    <row r="10" spans="1:40" x14ac:dyDescent="0.25">
      <c r="A10" s="1058" t="s">
        <v>1229</v>
      </c>
      <c r="B10" s="1059">
        <v>1</v>
      </c>
      <c r="C10" s="1059">
        <v>1</v>
      </c>
      <c r="D10" s="1059">
        <v>1</v>
      </c>
      <c r="E10" s="1059">
        <v>1</v>
      </c>
      <c r="F10" s="1059">
        <v>1</v>
      </c>
      <c r="G10" s="1059"/>
      <c r="H10" s="1059">
        <v>1</v>
      </c>
      <c r="I10" s="1059">
        <v>1</v>
      </c>
      <c r="J10" s="1059">
        <v>1</v>
      </c>
      <c r="K10" s="1059">
        <v>1</v>
      </c>
      <c r="L10" s="1059">
        <v>1</v>
      </c>
      <c r="M10" s="1059">
        <v>1</v>
      </c>
      <c r="N10" s="1059">
        <v>1</v>
      </c>
      <c r="O10" s="1059">
        <v>1</v>
      </c>
      <c r="P10" s="1059">
        <v>1</v>
      </c>
      <c r="Q10" s="1059"/>
      <c r="R10" s="1059">
        <v>1</v>
      </c>
      <c r="S10" s="1059">
        <v>1</v>
      </c>
      <c r="T10" s="1060"/>
      <c r="U10" s="1060"/>
      <c r="V10" s="1059">
        <v>1</v>
      </c>
      <c r="W10" s="1060"/>
      <c r="X10" s="1059">
        <v>1</v>
      </c>
      <c r="Y10" s="1059">
        <v>1</v>
      </c>
      <c r="Z10" s="1059">
        <v>1</v>
      </c>
      <c r="AA10" s="1061">
        <f t="shared" si="0"/>
        <v>20</v>
      </c>
      <c r="AC10" s="1058" t="s">
        <v>1229</v>
      </c>
      <c r="AD10" s="1059"/>
      <c r="AE10" s="1059"/>
      <c r="AF10" s="1059">
        <v>1</v>
      </c>
      <c r="AG10" s="1059"/>
      <c r="AH10" s="1060"/>
      <c r="AI10" s="1059">
        <v>1</v>
      </c>
      <c r="AJ10" s="1059">
        <v>1</v>
      </c>
      <c r="AK10" s="1059">
        <v>1</v>
      </c>
      <c r="AL10" s="1061">
        <f t="shared" si="1"/>
        <v>4</v>
      </c>
      <c r="AN10" s="1061">
        <f t="shared" si="2"/>
        <v>24</v>
      </c>
    </row>
    <row r="11" spans="1:40" x14ac:dyDescent="0.25">
      <c r="A11" s="1058" t="s">
        <v>1230</v>
      </c>
      <c r="B11" s="1059">
        <v>1</v>
      </c>
      <c r="C11" s="1059">
        <v>1</v>
      </c>
      <c r="D11" s="1059">
        <v>1</v>
      </c>
      <c r="E11" s="1059">
        <v>1</v>
      </c>
      <c r="F11" s="1059">
        <v>1</v>
      </c>
      <c r="G11" s="1059"/>
      <c r="H11" s="1059">
        <v>1</v>
      </c>
      <c r="I11" s="1059">
        <v>1</v>
      </c>
      <c r="J11" s="1059">
        <v>1</v>
      </c>
      <c r="K11" s="1059">
        <v>1</v>
      </c>
      <c r="L11" s="1059">
        <v>1</v>
      </c>
      <c r="M11" s="1059">
        <v>1</v>
      </c>
      <c r="N11" s="1059">
        <v>1</v>
      </c>
      <c r="O11" s="1059">
        <v>1</v>
      </c>
      <c r="P11" s="1059">
        <v>1</v>
      </c>
      <c r="Q11" s="1059"/>
      <c r="R11" s="1059">
        <v>1</v>
      </c>
      <c r="S11" s="1059">
        <v>1</v>
      </c>
      <c r="T11" s="1060"/>
      <c r="U11" s="1060"/>
      <c r="V11" s="1059">
        <v>1</v>
      </c>
      <c r="W11" s="1060"/>
      <c r="X11" s="1059">
        <v>1</v>
      </c>
      <c r="Y11" s="1059">
        <v>1</v>
      </c>
      <c r="Z11" s="1059">
        <v>1</v>
      </c>
      <c r="AA11" s="1061">
        <f t="shared" si="0"/>
        <v>20</v>
      </c>
      <c r="AC11" s="1058" t="s">
        <v>1230</v>
      </c>
      <c r="AD11" s="1059"/>
      <c r="AE11" s="1059"/>
      <c r="AF11" s="1059">
        <v>1</v>
      </c>
      <c r="AG11" s="1059"/>
      <c r="AH11" s="1060"/>
      <c r="AI11" s="1059">
        <v>1</v>
      </c>
      <c r="AJ11" s="1059">
        <v>1</v>
      </c>
      <c r="AK11" s="1059">
        <v>1</v>
      </c>
      <c r="AL11" s="1061">
        <f t="shared" si="1"/>
        <v>4</v>
      </c>
      <c r="AN11" s="1061">
        <f t="shared" si="2"/>
        <v>24</v>
      </c>
    </row>
    <row r="12" spans="1:40" x14ac:dyDescent="0.25">
      <c r="A12" s="1058" t="s">
        <v>1231</v>
      </c>
      <c r="B12" s="1059">
        <v>1</v>
      </c>
      <c r="C12" s="1059">
        <v>1</v>
      </c>
      <c r="D12" s="1059">
        <v>1</v>
      </c>
      <c r="E12" s="1059">
        <v>1</v>
      </c>
      <c r="F12" s="1059">
        <v>1</v>
      </c>
      <c r="G12" s="1059"/>
      <c r="H12" s="1059">
        <v>1</v>
      </c>
      <c r="I12" s="1059">
        <v>1</v>
      </c>
      <c r="J12" s="1059">
        <v>1</v>
      </c>
      <c r="K12" s="1059">
        <v>1</v>
      </c>
      <c r="L12" s="1059">
        <v>1</v>
      </c>
      <c r="M12" s="1059">
        <v>1</v>
      </c>
      <c r="N12" s="1059">
        <v>1</v>
      </c>
      <c r="O12" s="1059">
        <v>1</v>
      </c>
      <c r="P12" s="1059">
        <v>1</v>
      </c>
      <c r="Q12" s="1059"/>
      <c r="R12" s="1059">
        <v>1</v>
      </c>
      <c r="S12" s="1059">
        <v>1</v>
      </c>
      <c r="T12" s="1060"/>
      <c r="U12" s="1060"/>
      <c r="V12" s="1059">
        <v>1</v>
      </c>
      <c r="W12" s="1060"/>
      <c r="X12" s="1059">
        <v>1</v>
      </c>
      <c r="Y12" s="1059">
        <v>1</v>
      </c>
      <c r="Z12" s="1059">
        <v>1</v>
      </c>
      <c r="AA12" s="1061">
        <f t="shared" si="0"/>
        <v>20</v>
      </c>
      <c r="AC12" s="1058" t="s">
        <v>1231</v>
      </c>
      <c r="AD12" s="1059"/>
      <c r="AE12" s="1059"/>
      <c r="AF12" s="1059">
        <v>1</v>
      </c>
      <c r="AG12" s="1059"/>
      <c r="AH12" s="1060"/>
      <c r="AI12" s="1059">
        <v>1</v>
      </c>
      <c r="AJ12" s="1059">
        <v>1</v>
      </c>
      <c r="AK12" s="1059">
        <v>1</v>
      </c>
      <c r="AL12" s="1061">
        <f t="shared" si="1"/>
        <v>4</v>
      </c>
      <c r="AN12" s="1061">
        <f t="shared" si="2"/>
        <v>24</v>
      </c>
    </row>
    <row r="13" spans="1:40" x14ac:dyDescent="0.25">
      <c r="A13" s="1058" t="s">
        <v>1232</v>
      </c>
      <c r="B13" s="1059">
        <v>1</v>
      </c>
      <c r="C13" s="1059">
        <v>1</v>
      </c>
      <c r="D13" s="1059">
        <v>1</v>
      </c>
      <c r="E13" s="1059">
        <v>1</v>
      </c>
      <c r="F13" s="1059">
        <v>1</v>
      </c>
      <c r="G13" s="1059"/>
      <c r="H13" s="1059">
        <v>1</v>
      </c>
      <c r="I13" s="1059">
        <v>1</v>
      </c>
      <c r="J13" s="1059">
        <v>1</v>
      </c>
      <c r="K13" s="1059">
        <v>1</v>
      </c>
      <c r="L13" s="1059">
        <v>1</v>
      </c>
      <c r="M13" s="1059">
        <v>1</v>
      </c>
      <c r="N13" s="1059">
        <v>1</v>
      </c>
      <c r="O13" s="1059">
        <v>1</v>
      </c>
      <c r="P13" s="1059">
        <v>1</v>
      </c>
      <c r="Q13" s="1059"/>
      <c r="R13" s="1059">
        <v>1</v>
      </c>
      <c r="S13" s="1059">
        <v>1</v>
      </c>
      <c r="T13" s="1060"/>
      <c r="U13" s="1060"/>
      <c r="V13" s="1059">
        <v>1</v>
      </c>
      <c r="W13" s="1060"/>
      <c r="X13" s="1059">
        <v>1</v>
      </c>
      <c r="Y13" s="1059">
        <v>1</v>
      </c>
      <c r="Z13" s="1059">
        <v>1</v>
      </c>
      <c r="AA13" s="1061">
        <f t="shared" si="0"/>
        <v>20</v>
      </c>
      <c r="AC13" s="1058" t="s">
        <v>1232</v>
      </c>
      <c r="AD13" s="1059"/>
      <c r="AE13" s="1059"/>
      <c r="AF13" s="1059">
        <v>1</v>
      </c>
      <c r="AG13" s="1059"/>
      <c r="AH13" s="1060"/>
      <c r="AI13" s="1059">
        <v>1</v>
      </c>
      <c r="AJ13" s="1059">
        <v>1</v>
      </c>
      <c r="AK13" s="1059">
        <v>1</v>
      </c>
      <c r="AL13" s="1061">
        <f t="shared" si="1"/>
        <v>4</v>
      </c>
      <c r="AN13" s="1061">
        <f t="shared" si="2"/>
        <v>24</v>
      </c>
    </row>
    <row r="14" spans="1:40" x14ac:dyDescent="0.25">
      <c r="A14" s="1054" t="s">
        <v>1233</v>
      </c>
      <c r="B14" s="1055">
        <v>1</v>
      </c>
      <c r="C14" s="1055">
        <v>1</v>
      </c>
      <c r="D14" s="1055">
        <v>1</v>
      </c>
      <c r="E14" s="1055">
        <v>1</v>
      </c>
      <c r="F14" s="1055">
        <v>1</v>
      </c>
      <c r="G14" s="1055"/>
      <c r="H14" s="1056"/>
      <c r="I14" s="1055">
        <v>1</v>
      </c>
      <c r="J14" s="1055">
        <v>1</v>
      </c>
      <c r="K14" s="1055">
        <v>1</v>
      </c>
      <c r="L14" s="1055">
        <v>1</v>
      </c>
      <c r="M14" s="1055">
        <v>1</v>
      </c>
      <c r="N14" s="1055">
        <v>1</v>
      </c>
      <c r="O14" s="1055">
        <v>1</v>
      </c>
      <c r="P14" s="1055">
        <v>1</v>
      </c>
      <c r="Q14" s="1055"/>
      <c r="R14" s="1055">
        <v>1</v>
      </c>
      <c r="S14" s="1055">
        <v>1</v>
      </c>
      <c r="T14" s="1056"/>
      <c r="U14" s="1056"/>
      <c r="V14" s="1055">
        <v>1</v>
      </c>
      <c r="W14" s="1056"/>
      <c r="X14" s="1055">
        <v>1</v>
      </c>
      <c r="Y14" s="1055">
        <v>1</v>
      </c>
      <c r="Z14" s="1055">
        <v>1</v>
      </c>
      <c r="AA14" s="1053">
        <f t="shared" si="0"/>
        <v>19</v>
      </c>
      <c r="AC14" s="1058" t="s">
        <v>1233</v>
      </c>
      <c r="AD14" s="1059"/>
      <c r="AE14" s="1059"/>
      <c r="AF14" s="1059">
        <v>1</v>
      </c>
      <c r="AG14" s="1059"/>
      <c r="AH14" s="1060"/>
      <c r="AI14" s="1059">
        <v>1</v>
      </c>
      <c r="AJ14" s="1059">
        <v>1</v>
      </c>
      <c r="AK14" s="1059">
        <v>1</v>
      </c>
      <c r="AL14" s="1061">
        <f t="shared" si="1"/>
        <v>4</v>
      </c>
      <c r="AN14" s="1053">
        <f t="shared" si="2"/>
        <v>23</v>
      </c>
    </row>
    <row r="15" spans="1:40" x14ac:dyDescent="0.25">
      <c r="A15" s="1054" t="s">
        <v>1234</v>
      </c>
      <c r="B15" s="1055">
        <v>1</v>
      </c>
      <c r="C15" s="1055">
        <v>1</v>
      </c>
      <c r="D15" s="1055">
        <v>1</v>
      </c>
      <c r="E15" s="1055">
        <v>1</v>
      </c>
      <c r="F15" s="1055">
        <v>1</v>
      </c>
      <c r="G15" s="1055"/>
      <c r="H15" s="1056"/>
      <c r="I15" s="1055">
        <v>1</v>
      </c>
      <c r="J15" s="1055">
        <v>1</v>
      </c>
      <c r="K15" s="1055"/>
      <c r="L15" s="1056"/>
      <c r="M15" s="1055">
        <v>1</v>
      </c>
      <c r="N15" s="1055">
        <v>1</v>
      </c>
      <c r="O15" s="1055">
        <v>1</v>
      </c>
      <c r="P15" s="1055">
        <v>1</v>
      </c>
      <c r="Q15" s="1055"/>
      <c r="R15" s="1055">
        <v>1</v>
      </c>
      <c r="S15" s="1055">
        <v>1</v>
      </c>
      <c r="T15" s="1056"/>
      <c r="U15" s="1056"/>
      <c r="V15" s="1055">
        <v>1</v>
      </c>
      <c r="W15" s="1056"/>
      <c r="X15" s="1055">
        <v>1</v>
      </c>
      <c r="Y15" s="1055">
        <v>1</v>
      </c>
      <c r="Z15" s="1055">
        <v>1</v>
      </c>
      <c r="AA15" s="1053">
        <f t="shared" si="0"/>
        <v>17</v>
      </c>
      <c r="AC15" s="1058" t="s">
        <v>1234</v>
      </c>
      <c r="AD15" s="1059"/>
      <c r="AE15" s="1059"/>
      <c r="AF15" s="1059">
        <v>1</v>
      </c>
      <c r="AG15" s="1059"/>
      <c r="AH15" s="1060"/>
      <c r="AI15" s="1059">
        <v>1</v>
      </c>
      <c r="AJ15" s="1059">
        <v>1</v>
      </c>
      <c r="AK15" s="1059">
        <v>1</v>
      </c>
      <c r="AL15" s="1061">
        <f t="shared" si="1"/>
        <v>4</v>
      </c>
      <c r="AN15" s="1053">
        <f t="shared" si="2"/>
        <v>21</v>
      </c>
    </row>
    <row r="16" spans="1:40" x14ac:dyDescent="0.25">
      <c r="A16" s="1054" t="s">
        <v>1235</v>
      </c>
      <c r="B16" s="1055">
        <v>1</v>
      </c>
      <c r="C16" s="1055">
        <v>1</v>
      </c>
      <c r="D16" s="1055">
        <v>1</v>
      </c>
      <c r="E16" s="1055">
        <v>1</v>
      </c>
      <c r="F16" s="1055">
        <v>1</v>
      </c>
      <c r="G16" s="1055"/>
      <c r="H16" s="1056"/>
      <c r="I16" s="1055">
        <v>1</v>
      </c>
      <c r="J16" s="1055">
        <v>1</v>
      </c>
      <c r="K16" s="1056"/>
      <c r="L16" s="1056"/>
      <c r="M16" s="1055">
        <v>1</v>
      </c>
      <c r="N16" s="1055">
        <v>1</v>
      </c>
      <c r="O16" s="1055">
        <v>1</v>
      </c>
      <c r="P16" s="1055">
        <v>1</v>
      </c>
      <c r="Q16" s="1055"/>
      <c r="R16" s="1055">
        <v>1</v>
      </c>
      <c r="S16" s="1055">
        <v>1</v>
      </c>
      <c r="T16" s="1056"/>
      <c r="U16" s="1056"/>
      <c r="V16" s="1055">
        <v>1</v>
      </c>
      <c r="W16" s="1056"/>
      <c r="X16" s="1055">
        <v>1</v>
      </c>
      <c r="Y16" s="1055">
        <v>1</v>
      </c>
      <c r="Z16" s="1055">
        <v>1</v>
      </c>
      <c r="AA16" s="1053">
        <f t="shared" si="0"/>
        <v>17</v>
      </c>
      <c r="AC16" s="1054" t="s">
        <v>1235</v>
      </c>
      <c r="AD16" s="1055"/>
      <c r="AE16" s="1055"/>
      <c r="AF16" s="1055">
        <v>1</v>
      </c>
      <c r="AG16" s="1055"/>
      <c r="AH16" s="1056"/>
      <c r="AI16" s="1055">
        <v>1</v>
      </c>
      <c r="AJ16" s="1055">
        <v>1</v>
      </c>
      <c r="AK16" s="1055"/>
      <c r="AL16" s="1053">
        <f t="shared" si="1"/>
        <v>3</v>
      </c>
      <c r="AN16" s="1053">
        <f t="shared" si="2"/>
        <v>20</v>
      </c>
    </row>
    <row r="17" spans="1:40" x14ac:dyDescent="0.25">
      <c r="A17" s="1054" t="s">
        <v>1236</v>
      </c>
      <c r="B17" s="1055">
        <v>1</v>
      </c>
      <c r="C17" s="1055">
        <v>1</v>
      </c>
      <c r="D17" s="1055">
        <v>1</v>
      </c>
      <c r="E17" s="1055">
        <v>1</v>
      </c>
      <c r="F17" s="1055">
        <v>1</v>
      </c>
      <c r="G17" s="1055"/>
      <c r="H17" s="1056"/>
      <c r="I17" s="1055">
        <v>1</v>
      </c>
      <c r="J17" s="1055">
        <v>1</v>
      </c>
      <c r="K17" s="1056"/>
      <c r="L17" s="1056"/>
      <c r="M17" s="1056"/>
      <c r="N17" s="1056"/>
      <c r="O17" s="1056"/>
      <c r="P17" s="1055">
        <v>1</v>
      </c>
      <c r="Q17" s="1055"/>
      <c r="R17" s="1055">
        <v>1</v>
      </c>
      <c r="S17" s="1055">
        <v>1</v>
      </c>
      <c r="T17" s="1055">
        <v>1</v>
      </c>
      <c r="U17" s="1056"/>
      <c r="V17" s="1055">
        <v>1</v>
      </c>
      <c r="W17" s="1056"/>
      <c r="X17" s="1055">
        <v>1</v>
      </c>
      <c r="Y17" s="1055">
        <v>1</v>
      </c>
      <c r="Z17" s="1055">
        <v>1</v>
      </c>
      <c r="AA17" s="1053">
        <f t="shared" si="0"/>
        <v>15</v>
      </c>
      <c r="AC17" s="1054" t="s">
        <v>1236</v>
      </c>
      <c r="AD17" s="1055"/>
      <c r="AE17" s="1055"/>
      <c r="AF17" s="1055">
        <v>1</v>
      </c>
      <c r="AG17" s="1055"/>
      <c r="AH17" s="1056"/>
      <c r="AI17" s="1055"/>
      <c r="AJ17" s="1055">
        <v>1</v>
      </c>
      <c r="AK17" s="1055"/>
      <c r="AL17" s="1053">
        <f t="shared" si="1"/>
        <v>2</v>
      </c>
      <c r="AN17" s="1053">
        <f t="shared" si="2"/>
        <v>17</v>
      </c>
    </row>
    <row r="18" spans="1:40" x14ac:dyDescent="0.25">
      <c r="A18" s="1054" t="s">
        <v>1237</v>
      </c>
      <c r="B18" s="1055">
        <v>1</v>
      </c>
      <c r="C18" s="1055">
        <v>1</v>
      </c>
      <c r="D18" s="1055">
        <v>1</v>
      </c>
      <c r="E18" s="1055">
        <v>1</v>
      </c>
      <c r="F18" s="1055">
        <v>1</v>
      </c>
      <c r="G18" s="1055"/>
      <c r="H18" s="1056"/>
      <c r="I18" s="1055">
        <v>1</v>
      </c>
      <c r="J18" s="1055">
        <v>1</v>
      </c>
      <c r="K18" s="1056"/>
      <c r="L18" s="1056"/>
      <c r="M18" s="1056"/>
      <c r="N18" s="1056"/>
      <c r="O18" s="1056"/>
      <c r="P18" s="1055">
        <v>1</v>
      </c>
      <c r="Q18" s="1055"/>
      <c r="R18" s="1055">
        <v>1</v>
      </c>
      <c r="S18" s="1055">
        <v>1</v>
      </c>
      <c r="T18" s="1055">
        <v>1</v>
      </c>
      <c r="U18" s="1056"/>
      <c r="V18" s="1055">
        <v>1</v>
      </c>
      <c r="W18" s="1056"/>
      <c r="X18" s="1055">
        <v>1</v>
      </c>
      <c r="Y18" s="1055">
        <v>1</v>
      </c>
      <c r="Z18" s="1055">
        <v>1</v>
      </c>
      <c r="AA18" s="1053">
        <f t="shared" si="0"/>
        <v>15</v>
      </c>
      <c r="AC18" s="1054" t="s">
        <v>1237</v>
      </c>
      <c r="AD18" s="1055"/>
      <c r="AE18" s="1055"/>
      <c r="AF18" s="1055">
        <v>1</v>
      </c>
      <c r="AG18" s="1055"/>
      <c r="AH18" s="1056"/>
      <c r="AI18" s="1055"/>
      <c r="AJ18" s="1055">
        <v>1</v>
      </c>
      <c r="AK18" s="1055"/>
      <c r="AL18" s="1053">
        <f t="shared" si="1"/>
        <v>2</v>
      </c>
      <c r="AN18" s="1053">
        <f t="shared" si="2"/>
        <v>17</v>
      </c>
    </row>
    <row r="19" spans="1:40" x14ac:dyDescent="0.25">
      <c r="A19" s="1054" t="s">
        <v>1238</v>
      </c>
      <c r="B19" s="1055">
        <v>1</v>
      </c>
      <c r="C19" s="1055">
        <v>1</v>
      </c>
      <c r="D19" s="1055">
        <v>1</v>
      </c>
      <c r="E19" s="1055">
        <v>1</v>
      </c>
      <c r="F19" s="1055">
        <v>1</v>
      </c>
      <c r="G19" s="1055"/>
      <c r="H19" s="1056"/>
      <c r="I19" s="1055">
        <v>1</v>
      </c>
      <c r="J19" s="1055">
        <v>1</v>
      </c>
      <c r="K19" s="1056"/>
      <c r="L19" s="1056"/>
      <c r="M19" s="1056"/>
      <c r="N19" s="1056"/>
      <c r="O19" s="1056"/>
      <c r="P19" s="1055">
        <v>1</v>
      </c>
      <c r="Q19" s="1055">
        <v>1</v>
      </c>
      <c r="R19" s="1055">
        <v>1</v>
      </c>
      <c r="S19" s="1055">
        <v>1</v>
      </c>
      <c r="T19" s="1055">
        <v>1</v>
      </c>
      <c r="U19" s="1056"/>
      <c r="V19" s="1055">
        <v>1</v>
      </c>
      <c r="W19" s="1056"/>
      <c r="X19" s="1055">
        <v>1</v>
      </c>
      <c r="Y19" s="1055">
        <v>1</v>
      </c>
      <c r="Z19" s="1055">
        <v>1</v>
      </c>
      <c r="AA19" s="1053">
        <f t="shared" si="0"/>
        <v>16</v>
      </c>
      <c r="AC19" s="1054" t="s">
        <v>1238</v>
      </c>
      <c r="AD19" s="1055"/>
      <c r="AE19" s="1055"/>
      <c r="AF19" s="1055">
        <v>1</v>
      </c>
      <c r="AG19" s="1055"/>
      <c r="AH19" s="1056"/>
      <c r="AI19" s="1055"/>
      <c r="AJ19" s="1055">
        <v>1</v>
      </c>
      <c r="AK19" s="1055"/>
      <c r="AL19" s="1053">
        <f t="shared" si="1"/>
        <v>2</v>
      </c>
      <c r="AN19" s="1053">
        <f t="shared" si="2"/>
        <v>18</v>
      </c>
    </row>
    <row r="20" spans="1:40" x14ac:dyDescent="0.25">
      <c r="A20" s="1054" t="s">
        <v>1239</v>
      </c>
      <c r="B20" s="1055">
        <v>1</v>
      </c>
      <c r="C20" s="1055">
        <v>1</v>
      </c>
      <c r="D20" s="1055">
        <v>1</v>
      </c>
      <c r="E20" s="1055">
        <v>1</v>
      </c>
      <c r="F20" s="1055">
        <v>1</v>
      </c>
      <c r="G20" s="1055"/>
      <c r="H20" s="1056"/>
      <c r="I20" s="1055">
        <v>1</v>
      </c>
      <c r="J20" s="1055">
        <v>1</v>
      </c>
      <c r="K20" s="1056"/>
      <c r="L20" s="1056"/>
      <c r="M20" s="1056"/>
      <c r="N20" s="1056"/>
      <c r="O20" s="1056"/>
      <c r="P20" s="1055">
        <v>1</v>
      </c>
      <c r="Q20" s="1055">
        <v>1</v>
      </c>
      <c r="R20" s="1055">
        <v>1</v>
      </c>
      <c r="S20" s="1056"/>
      <c r="T20" s="1055">
        <v>1</v>
      </c>
      <c r="U20" s="1056"/>
      <c r="V20" s="1055">
        <v>1</v>
      </c>
      <c r="W20" s="1056"/>
      <c r="X20" s="1055">
        <v>1</v>
      </c>
      <c r="Y20" s="1055">
        <v>1</v>
      </c>
      <c r="Z20" s="1055">
        <v>1</v>
      </c>
      <c r="AA20" s="1053">
        <f t="shared" si="0"/>
        <v>15</v>
      </c>
      <c r="AC20" s="1054" t="s">
        <v>1239</v>
      </c>
      <c r="AD20" s="1055"/>
      <c r="AE20" s="1055"/>
      <c r="AF20" s="1055">
        <v>1</v>
      </c>
      <c r="AG20" s="1055"/>
      <c r="AH20" s="1056"/>
      <c r="AI20" s="1055"/>
      <c r="AJ20" s="1055">
        <v>1</v>
      </c>
      <c r="AK20" s="1055"/>
      <c r="AL20" s="1053">
        <f t="shared" si="1"/>
        <v>2</v>
      </c>
      <c r="AN20" s="1053">
        <f t="shared" si="2"/>
        <v>17</v>
      </c>
    </row>
    <row r="21" spans="1:40" x14ac:dyDescent="0.25">
      <c r="A21" s="1054" t="s">
        <v>1240</v>
      </c>
      <c r="B21" s="1055">
        <v>1</v>
      </c>
      <c r="C21" s="1055">
        <v>1</v>
      </c>
      <c r="D21" s="1055">
        <v>1</v>
      </c>
      <c r="E21" s="1055">
        <v>1</v>
      </c>
      <c r="F21" s="1055">
        <v>1</v>
      </c>
      <c r="G21" s="1056">
        <v>1</v>
      </c>
      <c r="H21" s="1056"/>
      <c r="I21" s="1055">
        <v>1</v>
      </c>
      <c r="J21" s="1055">
        <v>1</v>
      </c>
      <c r="K21" s="1056"/>
      <c r="L21" s="1056"/>
      <c r="M21" s="1056"/>
      <c r="N21" s="1056"/>
      <c r="O21" s="1056"/>
      <c r="P21" s="1055">
        <v>1</v>
      </c>
      <c r="Q21" s="1055">
        <v>1</v>
      </c>
      <c r="R21" s="1055">
        <v>1</v>
      </c>
      <c r="S21" s="1056"/>
      <c r="T21" s="1055">
        <v>1</v>
      </c>
      <c r="U21" s="1056"/>
      <c r="V21" s="1055">
        <v>1</v>
      </c>
      <c r="W21" s="1056"/>
      <c r="X21" s="1055">
        <v>1</v>
      </c>
      <c r="Y21" s="1055">
        <v>1</v>
      </c>
      <c r="Z21" s="1055">
        <v>1</v>
      </c>
      <c r="AA21" s="1053">
        <f t="shared" si="0"/>
        <v>16</v>
      </c>
      <c r="AC21" s="1054" t="s">
        <v>1240</v>
      </c>
      <c r="AD21" s="1055"/>
      <c r="AE21" s="1055"/>
      <c r="AF21" s="1055">
        <v>1</v>
      </c>
      <c r="AG21" s="1055"/>
      <c r="AH21" s="1056"/>
      <c r="AI21" s="1055"/>
      <c r="AJ21" s="1055">
        <v>1</v>
      </c>
      <c r="AK21" s="1055"/>
      <c r="AL21" s="1053">
        <f t="shared" si="1"/>
        <v>2</v>
      </c>
      <c r="AN21" s="1053">
        <f t="shared" si="2"/>
        <v>18</v>
      </c>
    </row>
    <row r="22" spans="1:40" x14ac:dyDescent="0.25">
      <c r="A22" s="1054" t="s">
        <v>1241</v>
      </c>
      <c r="B22" s="1055">
        <v>1</v>
      </c>
      <c r="C22" s="1055">
        <v>1</v>
      </c>
      <c r="D22" s="1055">
        <v>1</v>
      </c>
      <c r="E22" s="1055">
        <v>1</v>
      </c>
      <c r="F22" s="1055">
        <v>1</v>
      </c>
      <c r="G22" s="1055">
        <v>1</v>
      </c>
      <c r="H22" s="1055"/>
      <c r="I22" s="1055">
        <v>1</v>
      </c>
      <c r="J22" s="1055">
        <v>1</v>
      </c>
      <c r="K22" s="1056"/>
      <c r="L22" s="1056"/>
      <c r="M22" s="1056"/>
      <c r="N22" s="1056"/>
      <c r="O22" s="1056"/>
      <c r="P22" s="1055"/>
      <c r="Q22" s="1055">
        <v>1</v>
      </c>
      <c r="R22" s="1055">
        <v>1</v>
      </c>
      <c r="S22" s="1056"/>
      <c r="T22" s="1055">
        <v>1</v>
      </c>
      <c r="U22" s="1056"/>
      <c r="V22" s="1055">
        <v>1</v>
      </c>
      <c r="W22" s="1056"/>
      <c r="X22" s="1055">
        <v>1</v>
      </c>
      <c r="Y22" s="1055">
        <v>1</v>
      </c>
      <c r="Z22" s="1055">
        <v>1</v>
      </c>
      <c r="AA22" s="1053">
        <f t="shared" si="0"/>
        <v>15</v>
      </c>
      <c r="AC22" s="1054" t="s">
        <v>1241</v>
      </c>
      <c r="AD22" s="1055"/>
      <c r="AE22" s="1055"/>
      <c r="AF22" s="1055">
        <v>1</v>
      </c>
      <c r="AG22" s="1055"/>
      <c r="AH22" s="1055"/>
      <c r="AI22" s="1055"/>
      <c r="AJ22" s="1055">
        <v>1</v>
      </c>
      <c r="AK22" s="1055"/>
      <c r="AL22" s="1053">
        <f t="shared" si="1"/>
        <v>2</v>
      </c>
      <c r="AN22" s="1053">
        <f t="shared" si="2"/>
        <v>17</v>
      </c>
    </row>
    <row r="23" spans="1:40" x14ac:dyDescent="0.25">
      <c r="A23" s="1054" t="s">
        <v>1242</v>
      </c>
      <c r="B23" s="1055">
        <v>1</v>
      </c>
      <c r="C23" s="1055">
        <v>1</v>
      </c>
      <c r="D23" s="1055">
        <v>1</v>
      </c>
      <c r="E23" s="1055">
        <v>1</v>
      </c>
      <c r="F23" s="1055">
        <v>1</v>
      </c>
      <c r="G23" s="1055">
        <v>1</v>
      </c>
      <c r="H23" s="1055"/>
      <c r="I23" s="1055">
        <v>1</v>
      </c>
      <c r="J23" s="1055">
        <v>1</v>
      </c>
      <c r="K23" s="1056"/>
      <c r="L23" s="1056"/>
      <c r="M23" s="1056"/>
      <c r="N23" s="1056"/>
      <c r="O23" s="1056"/>
      <c r="P23" s="1055"/>
      <c r="Q23" s="1055">
        <v>1</v>
      </c>
      <c r="R23" s="1055">
        <v>1</v>
      </c>
      <c r="S23" s="1056"/>
      <c r="T23" s="1055">
        <v>1</v>
      </c>
      <c r="U23" s="1056"/>
      <c r="V23" s="1055">
        <v>1</v>
      </c>
      <c r="W23" s="1056"/>
      <c r="X23" s="1055">
        <v>1</v>
      </c>
      <c r="Y23" s="1055">
        <v>1</v>
      </c>
      <c r="Z23" s="1055">
        <v>1</v>
      </c>
      <c r="AA23" s="1053">
        <f t="shared" si="0"/>
        <v>15</v>
      </c>
      <c r="AC23" s="1054" t="s">
        <v>1242</v>
      </c>
      <c r="AD23" s="1055"/>
      <c r="AE23" s="1055"/>
      <c r="AF23" s="1055">
        <v>1</v>
      </c>
      <c r="AG23" s="1055"/>
      <c r="AH23" s="1055"/>
      <c r="AI23" s="1055"/>
      <c r="AJ23" s="1055">
        <v>1</v>
      </c>
      <c r="AK23" s="1055"/>
      <c r="AL23" s="1053">
        <f t="shared" si="1"/>
        <v>2</v>
      </c>
      <c r="AN23" s="1053">
        <f t="shared" si="2"/>
        <v>17</v>
      </c>
    </row>
    <row r="24" spans="1:40" x14ac:dyDescent="0.25">
      <c r="A24" s="1054" t="s">
        <v>1243</v>
      </c>
      <c r="B24" s="1055">
        <v>1</v>
      </c>
      <c r="C24" s="1055">
        <v>1</v>
      </c>
      <c r="D24" s="1055">
        <v>1</v>
      </c>
      <c r="E24" s="1055">
        <v>1</v>
      </c>
      <c r="F24" s="1055"/>
      <c r="G24" s="1055">
        <v>1</v>
      </c>
      <c r="H24" s="1055"/>
      <c r="I24" s="1055">
        <v>1</v>
      </c>
      <c r="J24" s="1055">
        <v>1</v>
      </c>
      <c r="K24" s="1056"/>
      <c r="L24" s="1056"/>
      <c r="M24" s="1056"/>
      <c r="N24" s="1056"/>
      <c r="O24" s="1056"/>
      <c r="P24" s="1055"/>
      <c r="Q24" s="1055">
        <v>1</v>
      </c>
      <c r="R24" s="1055">
        <v>1</v>
      </c>
      <c r="S24" s="1056"/>
      <c r="T24" s="1055">
        <v>1</v>
      </c>
      <c r="U24" s="1056"/>
      <c r="V24" s="1055">
        <v>1</v>
      </c>
      <c r="W24" s="1056"/>
      <c r="X24" s="1055">
        <v>1</v>
      </c>
      <c r="Y24" s="1055">
        <v>1</v>
      </c>
      <c r="Z24" s="1055">
        <v>1</v>
      </c>
      <c r="AA24" s="1053">
        <f t="shared" si="0"/>
        <v>14</v>
      </c>
      <c r="AC24" s="1054" t="s">
        <v>1243</v>
      </c>
      <c r="AD24" s="1055">
        <v>1</v>
      </c>
      <c r="AE24" s="1055"/>
      <c r="AF24" s="1055">
        <v>1</v>
      </c>
      <c r="AG24" s="1055">
        <v>1</v>
      </c>
      <c r="AH24" s="1055"/>
      <c r="AI24" s="1055"/>
      <c r="AJ24" s="1055">
        <v>1</v>
      </c>
      <c r="AK24" s="1055"/>
      <c r="AL24" s="1053">
        <f t="shared" si="1"/>
        <v>4</v>
      </c>
      <c r="AN24" s="1053">
        <f t="shared" si="2"/>
        <v>18</v>
      </c>
    </row>
    <row r="25" spans="1:40" x14ac:dyDescent="0.25">
      <c r="A25" s="1054" t="s">
        <v>1244</v>
      </c>
      <c r="B25" s="1055">
        <v>1</v>
      </c>
      <c r="C25" s="1055">
        <v>1</v>
      </c>
      <c r="D25" s="1055">
        <v>1</v>
      </c>
      <c r="E25" s="1055">
        <v>1</v>
      </c>
      <c r="F25" s="1055"/>
      <c r="G25" s="1055">
        <v>1</v>
      </c>
      <c r="H25" s="1055"/>
      <c r="I25" s="1055">
        <v>1</v>
      </c>
      <c r="J25" s="1055">
        <v>1</v>
      </c>
      <c r="K25" s="1056"/>
      <c r="L25" s="1056"/>
      <c r="M25" s="1056"/>
      <c r="N25" s="1056"/>
      <c r="O25" s="1056"/>
      <c r="P25" s="1055"/>
      <c r="Q25" s="1055">
        <v>1</v>
      </c>
      <c r="R25" s="1055">
        <v>1</v>
      </c>
      <c r="S25" s="1056"/>
      <c r="T25" s="1055">
        <v>1</v>
      </c>
      <c r="U25" s="1056"/>
      <c r="V25" s="1055">
        <v>1</v>
      </c>
      <c r="W25" s="1056"/>
      <c r="X25" s="1055">
        <v>1</v>
      </c>
      <c r="Y25" s="1055">
        <v>1</v>
      </c>
      <c r="Z25" s="1055">
        <v>1</v>
      </c>
      <c r="AA25" s="1053">
        <f t="shared" si="0"/>
        <v>14</v>
      </c>
      <c r="AC25" s="1054" t="s">
        <v>1244</v>
      </c>
      <c r="AD25" s="1055">
        <v>1</v>
      </c>
      <c r="AE25" s="1055">
        <v>1</v>
      </c>
      <c r="AF25" s="1055">
        <v>1</v>
      </c>
      <c r="AG25" s="1055">
        <v>1</v>
      </c>
      <c r="AH25" s="1055"/>
      <c r="AI25" s="1055"/>
      <c r="AJ25" s="1055">
        <v>1</v>
      </c>
      <c r="AK25" s="1055"/>
      <c r="AL25" s="1053">
        <f t="shared" si="1"/>
        <v>5</v>
      </c>
      <c r="AN25" s="1053">
        <f t="shared" si="2"/>
        <v>19</v>
      </c>
    </row>
    <row r="26" spans="1:40" x14ac:dyDescent="0.25">
      <c r="A26" s="1054" t="s">
        <v>1245</v>
      </c>
      <c r="B26" s="1055">
        <v>1</v>
      </c>
      <c r="C26" s="1055">
        <v>1</v>
      </c>
      <c r="D26" s="1055">
        <v>1</v>
      </c>
      <c r="E26" s="1055">
        <v>1</v>
      </c>
      <c r="F26" s="1055"/>
      <c r="G26" s="1055">
        <v>1</v>
      </c>
      <c r="H26" s="1055"/>
      <c r="I26" s="1055">
        <v>1</v>
      </c>
      <c r="J26" s="1055">
        <v>1</v>
      </c>
      <c r="K26" s="1056"/>
      <c r="L26" s="1056"/>
      <c r="M26" s="1056"/>
      <c r="N26" s="1056"/>
      <c r="O26" s="1056"/>
      <c r="P26" s="1055"/>
      <c r="Q26" s="1055">
        <v>1</v>
      </c>
      <c r="R26" s="1055">
        <v>1</v>
      </c>
      <c r="S26" s="1056"/>
      <c r="T26" s="1055">
        <v>1</v>
      </c>
      <c r="U26" s="1056"/>
      <c r="V26" s="1055">
        <v>1</v>
      </c>
      <c r="W26" s="1056"/>
      <c r="X26" s="1055">
        <v>1</v>
      </c>
      <c r="Y26" s="1055">
        <v>1</v>
      </c>
      <c r="Z26" s="1055">
        <v>1</v>
      </c>
      <c r="AA26" s="1053">
        <f t="shared" si="0"/>
        <v>14</v>
      </c>
      <c r="AC26" s="1054" t="s">
        <v>1245</v>
      </c>
      <c r="AD26" s="1055">
        <v>1</v>
      </c>
      <c r="AE26" s="1055">
        <v>1</v>
      </c>
      <c r="AF26" s="1055">
        <v>1</v>
      </c>
      <c r="AG26" s="1055">
        <v>1</v>
      </c>
      <c r="AH26" s="1055"/>
      <c r="AI26" s="1055"/>
      <c r="AJ26" s="1055">
        <v>1</v>
      </c>
      <c r="AK26" s="1055"/>
      <c r="AL26" s="1053">
        <f t="shared" si="1"/>
        <v>5</v>
      </c>
      <c r="AN26" s="1053">
        <f t="shared" si="2"/>
        <v>19</v>
      </c>
    </row>
    <row r="27" spans="1:40" x14ac:dyDescent="0.25">
      <c r="A27" s="1054" t="s">
        <v>1246</v>
      </c>
      <c r="B27" s="1055">
        <v>1</v>
      </c>
      <c r="C27" s="1055">
        <v>1</v>
      </c>
      <c r="D27" s="1055">
        <v>1</v>
      </c>
      <c r="E27" s="1055">
        <v>1</v>
      </c>
      <c r="F27" s="1055"/>
      <c r="G27" s="1055">
        <v>1</v>
      </c>
      <c r="H27" s="1055"/>
      <c r="I27" s="1055">
        <v>1</v>
      </c>
      <c r="J27" s="1055">
        <v>1</v>
      </c>
      <c r="K27" s="1056">
        <v>1</v>
      </c>
      <c r="L27" s="1056"/>
      <c r="M27" s="1056"/>
      <c r="N27" s="1056"/>
      <c r="O27" s="1056"/>
      <c r="P27" s="1055"/>
      <c r="Q27" s="1055">
        <v>1</v>
      </c>
      <c r="R27" s="1055">
        <v>1</v>
      </c>
      <c r="S27" s="1056"/>
      <c r="T27" s="1055">
        <v>1</v>
      </c>
      <c r="U27" s="1056"/>
      <c r="V27" s="1055">
        <v>1</v>
      </c>
      <c r="W27" s="1056"/>
      <c r="X27" s="1055">
        <v>1</v>
      </c>
      <c r="Y27" s="1055">
        <v>1</v>
      </c>
      <c r="Z27" s="1055">
        <v>1</v>
      </c>
      <c r="AA27" s="1053">
        <f t="shared" si="0"/>
        <v>15</v>
      </c>
      <c r="AC27" s="1054" t="s">
        <v>1246</v>
      </c>
      <c r="AD27" s="1055">
        <v>1</v>
      </c>
      <c r="AE27" s="1055">
        <v>1</v>
      </c>
      <c r="AF27" s="1055">
        <v>1</v>
      </c>
      <c r="AG27" s="1055">
        <v>1</v>
      </c>
      <c r="AH27" s="1055"/>
      <c r="AI27" s="1055"/>
      <c r="AJ27" s="1055">
        <v>1</v>
      </c>
      <c r="AK27" s="1055"/>
      <c r="AL27" s="1053">
        <f t="shared" si="1"/>
        <v>5</v>
      </c>
      <c r="AN27" s="1053">
        <f t="shared" si="2"/>
        <v>20</v>
      </c>
    </row>
    <row r="28" spans="1:40" x14ac:dyDescent="0.25">
      <c r="A28" s="1058" t="s">
        <v>1247</v>
      </c>
      <c r="B28" s="1059">
        <v>1</v>
      </c>
      <c r="C28" s="1059">
        <v>1</v>
      </c>
      <c r="D28" s="1059">
        <v>1</v>
      </c>
      <c r="E28" s="1059">
        <v>1</v>
      </c>
      <c r="F28" s="1059"/>
      <c r="G28" s="1059">
        <v>1</v>
      </c>
      <c r="H28" s="1059"/>
      <c r="I28" s="1059">
        <v>1</v>
      </c>
      <c r="J28" s="1059">
        <v>1</v>
      </c>
      <c r="K28" s="1059">
        <v>1</v>
      </c>
      <c r="L28" s="1059">
        <v>1</v>
      </c>
      <c r="M28" s="1059">
        <v>1</v>
      </c>
      <c r="N28" s="1060">
        <v>1</v>
      </c>
      <c r="O28" s="1060">
        <v>1</v>
      </c>
      <c r="P28" s="1059"/>
      <c r="Q28" s="1059">
        <v>1</v>
      </c>
      <c r="R28" s="1059">
        <v>1</v>
      </c>
      <c r="S28" s="1060"/>
      <c r="T28" s="1059">
        <v>1</v>
      </c>
      <c r="U28" s="1060"/>
      <c r="V28" s="1059">
        <v>1</v>
      </c>
      <c r="W28" s="1060"/>
      <c r="X28" s="1059">
        <v>1</v>
      </c>
      <c r="Y28" s="1059">
        <v>1</v>
      </c>
      <c r="Z28" s="1059">
        <v>1</v>
      </c>
      <c r="AA28" s="1061">
        <f t="shared" si="0"/>
        <v>19</v>
      </c>
      <c r="AC28" s="1058" t="s">
        <v>1247</v>
      </c>
      <c r="AD28" s="1059">
        <v>1</v>
      </c>
      <c r="AE28" s="1059">
        <v>1</v>
      </c>
      <c r="AF28" s="1059">
        <v>1</v>
      </c>
      <c r="AG28" s="1059">
        <v>1</v>
      </c>
      <c r="AH28" s="1059">
        <v>1</v>
      </c>
      <c r="AI28" s="1059"/>
      <c r="AJ28" s="1059">
        <v>1</v>
      </c>
      <c r="AK28" s="1059"/>
      <c r="AL28" s="1061">
        <f t="shared" si="1"/>
        <v>6</v>
      </c>
      <c r="AN28" s="1061">
        <f t="shared" si="2"/>
        <v>25</v>
      </c>
    </row>
    <row r="29" spans="1:40" x14ac:dyDescent="0.25">
      <c r="A29" s="1058" t="s">
        <v>1248</v>
      </c>
      <c r="B29" s="1059">
        <v>1</v>
      </c>
      <c r="C29" s="1059">
        <v>1</v>
      </c>
      <c r="D29" s="1059">
        <v>1</v>
      </c>
      <c r="E29" s="1059">
        <v>1</v>
      </c>
      <c r="F29" s="1059"/>
      <c r="G29" s="1059">
        <v>1</v>
      </c>
      <c r="H29" s="1059"/>
      <c r="I29" s="1059">
        <v>1</v>
      </c>
      <c r="J29" s="1059">
        <v>1</v>
      </c>
      <c r="K29" s="1059">
        <v>1</v>
      </c>
      <c r="L29" s="1059">
        <v>1</v>
      </c>
      <c r="M29" s="1059">
        <v>1</v>
      </c>
      <c r="N29" s="1059">
        <v>1</v>
      </c>
      <c r="O29" s="1059">
        <v>1</v>
      </c>
      <c r="P29" s="1059"/>
      <c r="Q29" s="1059">
        <v>1</v>
      </c>
      <c r="R29" s="1059">
        <v>1</v>
      </c>
      <c r="S29" s="1060"/>
      <c r="T29" s="1059">
        <v>1</v>
      </c>
      <c r="U29" s="1060"/>
      <c r="V29" s="1059">
        <v>1</v>
      </c>
      <c r="W29" s="1060"/>
      <c r="X29" s="1059">
        <v>1</v>
      </c>
      <c r="Y29" s="1059">
        <v>1</v>
      </c>
      <c r="Z29" s="1059">
        <v>1</v>
      </c>
      <c r="AA29" s="1061">
        <f t="shared" si="0"/>
        <v>19</v>
      </c>
      <c r="AC29" s="1058" t="s">
        <v>1248</v>
      </c>
      <c r="AD29" s="1059">
        <v>1</v>
      </c>
      <c r="AE29" s="1059">
        <v>1</v>
      </c>
      <c r="AF29" s="1059">
        <v>1</v>
      </c>
      <c r="AG29" s="1059">
        <v>1</v>
      </c>
      <c r="AH29" s="1059">
        <v>1</v>
      </c>
      <c r="AI29" s="1059"/>
      <c r="AJ29" s="1059">
        <v>1</v>
      </c>
      <c r="AK29" s="1059"/>
      <c r="AL29" s="1061">
        <f t="shared" si="1"/>
        <v>6</v>
      </c>
      <c r="AN29" s="1061">
        <f t="shared" si="2"/>
        <v>25</v>
      </c>
    </row>
    <row r="30" spans="1:40" x14ac:dyDescent="0.25">
      <c r="A30" s="1058" t="s">
        <v>1249</v>
      </c>
      <c r="B30" s="1059">
        <v>1</v>
      </c>
      <c r="C30" s="1059">
        <v>1</v>
      </c>
      <c r="D30" s="1059">
        <v>1</v>
      </c>
      <c r="E30" s="1059">
        <v>1</v>
      </c>
      <c r="F30" s="1059"/>
      <c r="G30" s="1059">
        <v>1</v>
      </c>
      <c r="H30" s="1059"/>
      <c r="I30" s="1059">
        <v>1</v>
      </c>
      <c r="J30" s="1059">
        <v>1</v>
      </c>
      <c r="K30" s="1059">
        <v>1</v>
      </c>
      <c r="L30" s="1059">
        <v>1</v>
      </c>
      <c r="M30" s="1059">
        <v>1</v>
      </c>
      <c r="N30" s="1059">
        <v>1</v>
      </c>
      <c r="O30" s="1059">
        <v>1</v>
      </c>
      <c r="P30" s="1059"/>
      <c r="Q30" s="1059">
        <v>1</v>
      </c>
      <c r="R30" s="1059">
        <v>1</v>
      </c>
      <c r="S30" s="1060"/>
      <c r="T30" s="1059">
        <v>1</v>
      </c>
      <c r="U30" s="1060"/>
      <c r="V30" s="1059">
        <v>1</v>
      </c>
      <c r="W30" s="1060"/>
      <c r="X30" s="1059">
        <v>1</v>
      </c>
      <c r="Y30" s="1059">
        <v>1</v>
      </c>
      <c r="Z30" s="1059">
        <v>1</v>
      </c>
      <c r="AA30" s="1061">
        <f t="shared" si="0"/>
        <v>19</v>
      </c>
      <c r="AC30" s="1058" t="s">
        <v>1249</v>
      </c>
      <c r="AD30" s="1059">
        <v>1</v>
      </c>
      <c r="AE30" s="1059">
        <v>1</v>
      </c>
      <c r="AF30" s="1059">
        <v>1</v>
      </c>
      <c r="AG30" s="1059">
        <v>1</v>
      </c>
      <c r="AH30" s="1059">
        <v>1</v>
      </c>
      <c r="AI30" s="1059"/>
      <c r="AJ30" s="1059">
        <v>1</v>
      </c>
      <c r="AK30" s="1059"/>
      <c r="AL30" s="1061">
        <f t="shared" si="1"/>
        <v>6</v>
      </c>
      <c r="AN30" s="1061">
        <f t="shared" si="2"/>
        <v>25</v>
      </c>
    </row>
    <row r="31" spans="1:40" x14ac:dyDescent="0.25">
      <c r="A31" s="1058" t="s">
        <v>1250</v>
      </c>
      <c r="B31" s="1059">
        <v>1</v>
      </c>
      <c r="C31" s="1059">
        <v>1</v>
      </c>
      <c r="D31" s="1059">
        <v>1</v>
      </c>
      <c r="E31" s="1059">
        <v>1</v>
      </c>
      <c r="F31" s="1059"/>
      <c r="G31" s="1059">
        <v>1</v>
      </c>
      <c r="H31" s="1059"/>
      <c r="I31" s="1059">
        <v>1</v>
      </c>
      <c r="J31" s="1059">
        <v>1</v>
      </c>
      <c r="K31" s="1059">
        <v>1</v>
      </c>
      <c r="L31" s="1059">
        <v>1</v>
      </c>
      <c r="M31" s="1059">
        <v>1</v>
      </c>
      <c r="N31" s="1059">
        <v>1</v>
      </c>
      <c r="O31" s="1059">
        <v>1</v>
      </c>
      <c r="P31" s="1059"/>
      <c r="Q31" s="1059">
        <v>1</v>
      </c>
      <c r="R31" s="1059">
        <v>1</v>
      </c>
      <c r="S31" s="1060"/>
      <c r="T31" s="1059">
        <v>1</v>
      </c>
      <c r="U31" s="1060"/>
      <c r="V31" s="1059">
        <v>1</v>
      </c>
      <c r="W31" s="1060"/>
      <c r="X31" s="1059">
        <v>1</v>
      </c>
      <c r="Y31" s="1059">
        <v>1</v>
      </c>
      <c r="Z31" s="1059">
        <v>1</v>
      </c>
      <c r="AA31" s="1061">
        <f t="shared" si="0"/>
        <v>19</v>
      </c>
      <c r="AC31" s="1058" t="s">
        <v>1250</v>
      </c>
      <c r="AD31" s="1059">
        <v>1</v>
      </c>
      <c r="AE31" s="1059">
        <v>1</v>
      </c>
      <c r="AF31" s="1059">
        <v>1</v>
      </c>
      <c r="AG31" s="1059">
        <v>1</v>
      </c>
      <c r="AH31" s="1059">
        <v>1</v>
      </c>
      <c r="AI31" s="1059"/>
      <c r="AJ31" s="1059">
        <v>1</v>
      </c>
      <c r="AK31" s="1059"/>
      <c r="AL31" s="1061">
        <f t="shared" si="1"/>
        <v>6</v>
      </c>
      <c r="AN31" s="1061">
        <f t="shared" si="2"/>
        <v>25</v>
      </c>
    </row>
    <row r="32" spans="1:40" x14ac:dyDescent="0.25">
      <c r="A32" s="1058" t="s">
        <v>1251</v>
      </c>
      <c r="B32" s="1059">
        <v>1</v>
      </c>
      <c r="C32" s="1059">
        <v>1</v>
      </c>
      <c r="D32" s="1059">
        <v>1</v>
      </c>
      <c r="E32" s="1059">
        <v>1</v>
      </c>
      <c r="F32" s="1059"/>
      <c r="G32" s="1059">
        <v>1</v>
      </c>
      <c r="H32" s="1059"/>
      <c r="I32" s="1059">
        <v>1</v>
      </c>
      <c r="J32" s="1059">
        <v>1</v>
      </c>
      <c r="K32" s="1059">
        <v>1</v>
      </c>
      <c r="L32" s="1059">
        <v>1</v>
      </c>
      <c r="M32" s="1059">
        <v>1</v>
      </c>
      <c r="N32" s="1059">
        <v>1</v>
      </c>
      <c r="O32" s="1059">
        <v>1</v>
      </c>
      <c r="P32" s="1059"/>
      <c r="Q32" s="1059">
        <v>1</v>
      </c>
      <c r="R32" s="1059">
        <v>1</v>
      </c>
      <c r="S32" s="1060"/>
      <c r="T32" s="1059">
        <v>1</v>
      </c>
      <c r="U32" s="1060"/>
      <c r="V32" s="1059">
        <v>1</v>
      </c>
      <c r="W32" s="1060"/>
      <c r="X32" s="1059">
        <v>1</v>
      </c>
      <c r="Y32" s="1059">
        <v>1</v>
      </c>
      <c r="Z32" s="1059">
        <v>1</v>
      </c>
      <c r="AA32" s="1061">
        <f t="shared" si="0"/>
        <v>19</v>
      </c>
      <c r="AC32" s="1058" t="s">
        <v>1251</v>
      </c>
      <c r="AD32" s="1059">
        <v>1</v>
      </c>
      <c r="AE32" s="1059">
        <v>1</v>
      </c>
      <c r="AF32" s="1059">
        <v>1</v>
      </c>
      <c r="AG32" s="1059">
        <v>1</v>
      </c>
      <c r="AH32" s="1059">
        <v>1</v>
      </c>
      <c r="AI32" s="1059"/>
      <c r="AJ32" s="1059">
        <v>1</v>
      </c>
      <c r="AK32" s="1059"/>
      <c r="AL32" s="1061">
        <f t="shared" si="1"/>
        <v>6</v>
      </c>
      <c r="AN32" s="1061">
        <f t="shared" si="2"/>
        <v>25</v>
      </c>
    </row>
    <row r="33" spans="1:40" x14ac:dyDescent="0.25">
      <c r="A33" s="1058" t="s">
        <v>1252</v>
      </c>
      <c r="B33" s="1059">
        <v>1</v>
      </c>
      <c r="C33" s="1059">
        <v>1</v>
      </c>
      <c r="D33" s="1059">
        <v>1</v>
      </c>
      <c r="E33" s="1059">
        <v>1</v>
      </c>
      <c r="F33" s="1059"/>
      <c r="G33" s="1059">
        <v>1</v>
      </c>
      <c r="H33" s="1059"/>
      <c r="I33" s="1059">
        <v>1</v>
      </c>
      <c r="J33" s="1059">
        <v>1</v>
      </c>
      <c r="K33" s="1059">
        <v>1</v>
      </c>
      <c r="L33" s="1059">
        <v>1</v>
      </c>
      <c r="M33" s="1059">
        <v>1</v>
      </c>
      <c r="N33" s="1059">
        <v>1</v>
      </c>
      <c r="O33" s="1059">
        <v>1</v>
      </c>
      <c r="P33" s="1059"/>
      <c r="Q33" s="1059">
        <v>1</v>
      </c>
      <c r="R33" s="1059">
        <v>1</v>
      </c>
      <c r="S33" s="1060"/>
      <c r="T33" s="1059">
        <v>1</v>
      </c>
      <c r="U33" s="1060"/>
      <c r="V33" s="1059">
        <v>1</v>
      </c>
      <c r="W33" s="1060"/>
      <c r="X33" s="1059">
        <v>1</v>
      </c>
      <c r="Y33" s="1059">
        <v>1</v>
      </c>
      <c r="Z33" s="1059">
        <v>1</v>
      </c>
      <c r="AA33" s="1061">
        <f t="shared" si="0"/>
        <v>19</v>
      </c>
      <c r="AC33" s="1058" t="s">
        <v>1252</v>
      </c>
      <c r="AD33" s="1059">
        <v>1</v>
      </c>
      <c r="AE33" s="1059">
        <v>1</v>
      </c>
      <c r="AF33" s="1059">
        <v>1</v>
      </c>
      <c r="AG33" s="1059">
        <v>1</v>
      </c>
      <c r="AH33" s="1059">
        <v>1</v>
      </c>
      <c r="AI33" s="1059"/>
      <c r="AJ33" s="1059">
        <v>1</v>
      </c>
      <c r="AK33" s="1059"/>
      <c r="AL33" s="1061">
        <f t="shared" si="1"/>
        <v>6</v>
      </c>
      <c r="AN33" s="1061">
        <f t="shared" si="2"/>
        <v>25</v>
      </c>
    </row>
    <row r="34" spans="1:40" x14ac:dyDescent="0.25">
      <c r="A34" s="1054" t="s">
        <v>1253</v>
      </c>
      <c r="B34" s="1055">
        <v>1</v>
      </c>
      <c r="C34" s="1055">
        <v>1</v>
      </c>
      <c r="D34" s="1055">
        <v>1</v>
      </c>
      <c r="E34" s="1055">
        <v>1</v>
      </c>
      <c r="F34" s="1056"/>
      <c r="G34" s="1056"/>
      <c r="H34" s="1056"/>
      <c r="I34" s="1055">
        <v>1</v>
      </c>
      <c r="J34" s="1055">
        <v>1</v>
      </c>
      <c r="K34" s="1056"/>
      <c r="L34" s="1056"/>
      <c r="M34" s="1056"/>
      <c r="N34" s="1056"/>
      <c r="O34" s="1055">
        <v>1</v>
      </c>
      <c r="P34" s="1055"/>
      <c r="Q34" s="1055">
        <v>1</v>
      </c>
      <c r="R34" s="1055">
        <v>1</v>
      </c>
      <c r="S34" s="1056"/>
      <c r="T34" s="1055">
        <v>1</v>
      </c>
      <c r="U34" s="1056"/>
      <c r="V34" s="1055">
        <v>1</v>
      </c>
      <c r="W34" s="1056"/>
      <c r="X34" s="1055">
        <v>1</v>
      </c>
      <c r="Y34" s="1055">
        <v>1</v>
      </c>
      <c r="Z34" s="1055">
        <v>1</v>
      </c>
      <c r="AA34" s="1053">
        <f t="shared" si="0"/>
        <v>14</v>
      </c>
      <c r="AC34" s="1054" t="s">
        <v>1253</v>
      </c>
      <c r="AD34" s="1055">
        <v>1</v>
      </c>
      <c r="AE34" s="1055">
        <v>1</v>
      </c>
      <c r="AF34" s="1055">
        <v>1</v>
      </c>
      <c r="AG34" s="1055"/>
      <c r="AH34" s="1055">
        <v>1</v>
      </c>
      <c r="AI34" s="1055"/>
      <c r="AJ34" s="1055">
        <v>1</v>
      </c>
      <c r="AK34" s="1055"/>
      <c r="AL34" s="1053">
        <f t="shared" si="1"/>
        <v>5</v>
      </c>
      <c r="AN34" s="1053">
        <f t="shared" si="2"/>
        <v>19</v>
      </c>
    </row>
    <row r="35" spans="1:40" x14ac:dyDescent="0.25">
      <c r="A35" s="1054" t="s">
        <v>1254</v>
      </c>
      <c r="B35" s="1055">
        <v>1</v>
      </c>
      <c r="C35" s="1055">
        <v>1</v>
      </c>
      <c r="D35" s="1055">
        <v>1</v>
      </c>
      <c r="E35" s="1055">
        <v>1</v>
      </c>
      <c r="F35" s="1056"/>
      <c r="G35" s="1056"/>
      <c r="H35" s="1056"/>
      <c r="I35" s="1055">
        <v>1</v>
      </c>
      <c r="J35" s="1055">
        <v>1</v>
      </c>
      <c r="K35" s="1056"/>
      <c r="L35" s="1056"/>
      <c r="M35" s="1056"/>
      <c r="N35" s="1056"/>
      <c r="O35" s="1056"/>
      <c r="P35" s="1055"/>
      <c r="Q35" s="1055">
        <v>1</v>
      </c>
      <c r="R35" s="1055">
        <v>1</v>
      </c>
      <c r="S35" s="1056"/>
      <c r="T35" s="1055">
        <v>1</v>
      </c>
      <c r="U35" s="1056"/>
      <c r="V35" s="1055">
        <v>1</v>
      </c>
      <c r="W35" s="1056"/>
      <c r="X35" s="1055">
        <v>1</v>
      </c>
      <c r="Y35" s="1055">
        <v>1</v>
      </c>
      <c r="Z35" s="1055">
        <v>1</v>
      </c>
      <c r="AA35" s="1053">
        <f t="shared" ref="AA35:AA52" si="3">SUM(B35:Z35)</f>
        <v>13</v>
      </c>
      <c r="AC35" s="1054" t="s">
        <v>1254</v>
      </c>
      <c r="AD35" s="1055">
        <v>1</v>
      </c>
      <c r="AE35" s="1055">
        <v>1</v>
      </c>
      <c r="AF35" s="1055">
        <v>1</v>
      </c>
      <c r="AG35" s="1055"/>
      <c r="AH35" s="1056"/>
      <c r="AI35" s="1055"/>
      <c r="AJ35" s="1055">
        <v>1</v>
      </c>
      <c r="AK35" s="1055"/>
      <c r="AL35" s="1053">
        <f t="shared" si="1"/>
        <v>4</v>
      </c>
      <c r="AN35" s="1053">
        <f t="shared" si="2"/>
        <v>17</v>
      </c>
    </row>
    <row r="36" spans="1:40" x14ac:dyDescent="0.25">
      <c r="A36" s="1054" t="s">
        <v>1255</v>
      </c>
      <c r="B36" s="1055">
        <v>1</v>
      </c>
      <c r="C36" s="1055">
        <v>1</v>
      </c>
      <c r="D36" s="1055">
        <v>1</v>
      </c>
      <c r="E36" s="1055">
        <v>1</v>
      </c>
      <c r="F36" s="1056"/>
      <c r="G36" s="1056"/>
      <c r="H36" s="1056"/>
      <c r="I36" s="1055">
        <v>1</v>
      </c>
      <c r="J36" s="1055">
        <v>1</v>
      </c>
      <c r="K36" s="1056"/>
      <c r="L36" s="1056"/>
      <c r="M36" s="1056"/>
      <c r="N36" s="1056"/>
      <c r="O36" s="1056"/>
      <c r="P36" s="1055"/>
      <c r="Q36" s="1055">
        <v>1</v>
      </c>
      <c r="R36" s="1055">
        <v>1</v>
      </c>
      <c r="S36" s="1056"/>
      <c r="T36" s="1056"/>
      <c r="U36" s="1055">
        <v>1</v>
      </c>
      <c r="V36" s="1055">
        <v>1</v>
      </c>
      <c r="W36" s="1056"/>
      <c r="X36" s="1055">
        <v>1</v>
      </c>
      <c r="Y36" s="1055">
        <v>1</v>
      </c>
      <c r="Z36" s="1055">
        <v>1</v>
      </c>
      <c r="AA36" s="1053">
        <f t="shared" si="3"/>
        <v>13</v>
      </c>
      <c r="AC36" s="1054" t="s">
        <v>1255</v>
      </c>
      <c r="AD36" s="1055">
        <v>1</v>
      </c>
      <c r="AE36" s="1056">
        <v>1</v>
      </c>
      <c r="AF36" s="1055"/>
      <c r="AG36" s="1055"/>
      <c r="AH36" s="1056"/>
      <c r="AI36" s="1055"/>
      <c r="AJ36" s="1055">
        <v>1</v>
      </c>
      <c r="AK36" s="1055"/>
      <c r="AL36" s="1053">
        <f t="shared" si="1"/>
        <v>3</v>
      </c>
      <c r="AN36" s="1053">
        <f t="shared" si="2"/>
        <v>16</v>
      </c>
    </row>
    <row r="37" spans="1:40" x14ac:dyDescent="0.25">
      <c r="A37" s="1054" t="s">
        <v>1256</v>
      </c>
      <c r="B37" s="1055">
        <v>1</v>
      </c>
      <c r="C37" s="1055">
        <v>1</v>
      </c>
      <c r="D37" s="1055">
        <v>1</v>
      </c>
      <c r="E37" s="1056"/>
      <c r="F37" s="1056"/>
      <c r="G37" s="1056"/>
      <c r="H37" s="1056"/>
      <c r="I37" s="1055">
        <v>1</v>
      </c>
      <c r="J37" s="1055">
        <v>1</v>
      </c>
      <c r="K37" s="1056"/>
      <c r="L37" s="1056"/>
      <c r="M37" s="1056"/>
      <c r="N37" s="1056"/>
      <c r="O37" s="1056"/>
      <c r="P37" s="1055"/>
      <c r="Q37" s="1055">
        <v>1</v>
      </c>
      <c r="R37" s="1055">
        <v>1</v>
      </c>
      <c r="S37" s="1056"/>
      <c r="T37" s="1056"/>
      <c r="U37" s="1055">
        <v>1</v>
      </c>
      <c r="V37" s="1055">
        <v>1</v>
      </c>
      <c r="W37" s="1055">
        <v>1</v>
      </c>
      <c r="X37" s="1055">
        <v>1</v>
      </c>
      <c r="Y37" s="1055">
        <v>1</v>
      </c>
      <c r="Z37" s="1055">
        <v>1</v>
      </c>
      <c r="AA37" s="1053">
        <f t="shared" si="3"/>
        <v>13</v>
      </c>
      <c r="AC37" s="1054" t="s">
        <v>1256</v>
      </c>
      <c r="AD37" s="1055">
        <v>1</v>
      </c>
      <c r="AE37" s="1055">
        <v>1</v>
      </c>
      <c r="AF37" s="1055"/>
      <c r="AG37" s="1056"/>
      <c r="AH37" s="1056"/>
      <c r="AI37" s="1055"/>
      <c r="AJ37" s="1055">
        <v>1</v>
      </c>
      <c r="AK37" s="1055"/>
      <c r="AL37" s="1053">
        <f t="shared" si="1"/>
        <v>3</v>
      </c>
      <c r="AN37" s="1053">
        <f t="shared" si="2"/>
        <v>16</v>
      </c>
    </row>
    <row r="38" spans="1:40" x14ac:dyDescent="0.25">
      <c r="A38" s="1054" t="s">
        <v>1257</v>
      </c>
      <c r="B38" s="1055">
        <v>1</v>
      </c>
      <c r="C38" s="1055">
        <v>1</v>
      </c>
      <c r="D38" s="1055">
        <v>1</v>
      </c>
      <c r="E38" s="1056"/>
      <c r="F38" s="1056"/>
      <c r="G38" s="1056"/>
      <c r="H38" s="1056"/>
      <c r="I38" s="1056"/>
      <c r="J38" s="1055">
        <v>1</v>
      </c>
      <c r="K38" s="1056"/>
      <c r="L38" s="1056"/>
      <c r="M38" s="1056"/>
      <c r="N38" s="1056"/>
      <c r="O38" s="1056"/>
      <c r="P38" s="1055"/>
      <c r="Q38" s="1055">
        <v>1</v>
      </c>
      <c r="R38" s="1055">
        <v>1</v>
      </c>
      <c r="S38" s="1056"/>
      <c r="T38" s="1056"/>
      <c r="U38" s="1055">
        <v>1</v>
      </c>
      <c r="V38" s="1055">
        <v>1</v>
      </c>
      <c r="W38" s="1055">
        <v>1</v>
      </c>
      <c r="X38" s="1055">
        <v>1</v>
      </c>
      <c r="Y38" s="1055">
        <v>1</v>
      </c>
      <c r="Z38" s="1055">
        <v>1</v>
      </c>
      <c r="AA38" s="1053">
        <f t="shared" si="3"/>
        <v>12</v>
      </c>
      <c r="AC38" s="1054" t="s">
        <v>1257</v>
      </c>
      <c r="AD38" s="1055">
        <v>1</v>
      </c>
      <c r="AE38" s="1055"/>
      <c r="AF38" s="1055"/>
      <c r="AG38" s="1056"/>
      <c r="AH38" s="1056"/>
      <c r="AI38" s="1055"/>
      <c r="AJ38" s="1055">
        <v>1</v>
      </c>
      <c r="AK38" s="1055"/>
      <c r="AL38" s="1053">
        <f t="shared" si="1"/>
        <v>2</v>
      </c>
      <c r="AN38" s="1053">
        <f t="shared" si="2"/>
        <v>14</v>
      </c>
    </row>
    <row r="39" spans="1:40" x14ac:dyDescent="0.25">
      <c r="A39" s="1054" t="s">
        <v>1258</v>
      </c>
      <c r="B39" s="1055">
        <v>1</v>
      </c>
      <c r="C39" s="1055">
        <v>1</v>
      </c>
      <c r="D39" s="1055">
        <v>1</v>
      </c>
      <c r="E39" s="1056"/>
      <c r="F39" s="1056"/>
      <c r="G39" s="1056"/>
      <c r="H39" s="1056"/>
      <c r="I39" s="1056"/>
      <c r="J39" s="1055">
        <v>1</v>
      </c>
      <c r="K39" s="1056"/>
      <c r="L39" s="1056"/>
      <c r="M39" s="1056"/>
      <c r="N39" s="1056"/>
      <c r="O39" s="1056"/>
      <c r="P39" s="1055"/>
      <c r="Q39" s="1055">
        <v>1</v>
      </c>
      <c r="R39" s="1055"/>
      <c r="S39" s="1056"/>
      <c r="T39" s="1056"/>
      <c r="U39" s="1055">
        <v>1</v>
      </c>
      <c r="V39" s="1055">
        <v>1</v>
      </c>
      <c r="W39" s="1055">
        <v>1</v>
      </c>
      <c r="X39" s="1055">
        <v>1</v>
      </c>
      <c r="Y39" s="1055">
        <v>1</v>
      </c>
      <c r="Z39" s="1055">
        <v>1</v>
      </c>
      <c r="AA39" s="1053">
        <f t="shared" si="3"/>
        <v>11</v>
      </c>
      <c r="AC39" s="1054" t="s">
        <v>1258</v>
      </c>
      <c r="AD39" s="1055">
        <v>1</v>
      </c>
      <c r="AE39" s="1055"/>
      <c r="AF39" s="1055"/>
      <c r="AG39" s="1056"/>
      <c r="AH39" s="1056"/>
      <c r="AI39" s="1055"/>
      <c r="AJ39" s="1055">
        <v>1</v>
      </c>
      <c r="AK39" s="1055"/>
      <c r="AL39" s="1053">
        <f t="shared" si="1"/>
        <v>2</v>
      </c>
      <c r="AN39" s="1053">
        <f t="shared" si="2"/>
        <v>13</v>
      </c>
    </row>
    <row r="40" spans="1:40" x14ac:dyDescent="0.25">
      <c r="A40" s="1054" t="s">
        <v>1259</v>
      </c>
      <c r="B40" s="1055">
        <v>1</v>
      </c>
      <c r="C40" s="1055">
        <v>1</v>
      </c>
      <c r="D40" s="1055">
        <v>1</v>
      </c>
      <c r="E40" s="1056"/>
      <c r="F40" s="1056"/>
      <c r="G40" s="1056"/>
      <c r="H40" s="1056"/>
      <c r="I40" s="1056"/>
      <c r="J40" s="1055">
        <v>1</v>
      </c>
      <c r="K40" s="1056"/>
      <c r="L40" s="1056"/>
      <c r="M40" s="1056"/>
      <c r="N40" s="1056"/>
      <c r="O40" s="1056"/>
      <c r="P40" s="1055"/>
      <c r="Q40" s="1055">
        <v>1</v>
      </c>
      <c r="R40" s="1055"/>
      <c r="S40" s="1056"/>
      <c r="T40" s="1056"/>
      <c r="U40" s="1055">
        <v>1</v>
      </c>
      <c r="V40" s="1055">
        <v>1</v>
      </c>
      <c r="W40" s="1055">
        <v>1</v>
      </c>
      <c r="X40" s="1056"/>
      <c r="Y40" s="1055">
        <v>1</v>
      </c>
      <c r="Z40" s="1055">
        <v>1</v>
      </c>
      <c r="AA40" s="1053">
        <f t="shared" si="3"/>
        <v>10</v>
      </c>
      <c r="AC40" s="1054" t="s">
        <v>1259</v>
      </c>
      <c r="AD40" s="1055">
        <v>1</v>
      </c>
      <c r="AE40" s="1055"/>
      <c r="AF40" s="1055"/>
      <c r="AG40" s="1056"/>
      <c r="AH40" s="1056"/>
      <c r="AI40" s="1055"/>
      <c r="AJ40" s="1055">
        <v>1</v>
      </c>
      <c r="AK40" s="1055"/>
      <c r="AL40" s="1053">
        <f t="shared" si="1"/>
        <v>2</v>
      </c>
      <c r="AN40" s="1053">
        <f t="shared" si="2"/>
        <v>12</v>
      </c>
    </row>
    <row r="41" spans="1:40" x14ac:dyDescent="0.25">
      <c r="A41" s="1054" t="s">
        <v>1260</v>
      </c>
      <c r="B41" s="1055">
        <v>1</v>
      </c>
      <c r="C41" s="1055">
        <v>1</v>
      </c>
      <c r="D41" s="1055">
        <v>1</v>
      </c>
      <c r="E41" s="1056"/>
      <c r="F41" s="1056"/>
      <c r="G41" s="1056"/>
      <c r="H41" s="1056"/>
      <c r="I41" s="1056"/>
      <c r="J41" s="1055">
        <v>1</v>
      </c>
      <c r="K41" s="1056"/>
      <c r="L41" s="1056"/>
      <c r="M41" s="1056"/>
      <c r="N41" s="1056"/>
      <c r="O41" s="1056"/>
      <c r="P41" s="1055"/>
      <c r="Q41" s="1055">
        <v>1</v>
      </c>
      <c r="R41" s="1055"/>
      <c r="S41" s="1056"/>
      <c r="T41" s="1056"/>
      <c r="U41" s="1055">
        <v>1</v>
      </c>
      <c r="V41" s="1055">
        <v>1</v>
      </c>
      <c r="W41" s="1055">
        <v>1</v>
      </c>
      <c r="X41" s="1056"/>
      <c r="Y41" s="1055">
        <v>1</v>
      </c>
      <c r="Z41" s="1055">
        <v>1</v>
      </c>
      <c r="AA41" s="1053">
        <f t="shared" si="3"/>
        <v>10</v>
      </c>
      <c r="AC41" s="1054" t="s">
        <v>1260</v>
      </c>
      <c r="AD41" s="1055">
        <v>1</v>
      </c>
      <c r="AE41" s="1055"/>
      <c r="AF41" s="1055"/>
      <c r="AG41" s="1056"/>
      <c r="AH41" s="1056"/>
      <c r="AI41" s="1055"/>
      <c r="AJ41" s="1055">
        <v>1</v>
      </c>
      <c r="AK41" s="1055"/>
      <c r="AL41" s="1053">
        <f t="shared" si="1"/>
        <v>2</v>
      </c>
      <c r="AN41" s="1053">
        <f t="shared" si="2"/>
        <v>12</v>
      </c>
    </row>
    <row r="42" spans="1:40" x14ac:dyDescent="0.25">
      <c r="A42" s="1054" t="s">
        <v>1261</v>
      </c>
      <c r="B42" s="1055">
        <v>1</v>
      </c>
      <c r="C42" s="1055">
        <v>1</v>
      </c>
      <c r="D42" s="1055">
        <v>1</v>
      </c>
      <c r="E42" s="1056"/>
      <c r="F42" s="1056"/>
      <c r="G42" s="1056"/>
      <c r="H42" s="1056"/>
      <c r="I42" s="1056"/>
      <c r="J42" s="1055">
        <v>1</v>
      </c>
      <c r="K42" s="1056"/>
      <c r="L42" s="1056"/>
      <c r="M42" s="1056"/>
      <c r="N42" s="1056"/>
      <c r="O42" s="1056"/>
      <c r="P42" s="1055"/>
      <c r="Q42" s="1055">
        <v>1</v>
      </c>
      <c r="R42" s="1055"/>
      <c r="S42" s="1056"/>
      <c r="T42" s="1056"/>
      <c r="U42" s="1055">
        <v>1</v>
      </c>
      <c r="V42" s="1055">
        <v>1</v>
      </c>
      <c r="W42" s="1055">
        <v>1</v>
      </c>
      <c r="X42" s="1056"/>
      <c r="Y42" s="1055">
        <v>1</v>
      </c>
      <c r="Z42" s="1055">
        <v>1</v>
      </c>
      <c r="AA42" s="1053">
        <f t="shared" si="3"/>
        <v>10</v>
      </c>
      <c r="AC42" s="1054" t="s">
        <v>1261</v>
      </c>
      <c r="AD42" s="1055">
        <v>1</v>
      </c>
      <c r="AE42" s="1055"/>
      <c r="AF42" s="1055"/>
      <c r="AG42" s="1056"/>
      <c r="AH42" s="1056"/>
      <c r="AI42" s="1055"/>
      <c r="AJ42" s="1055">
        <v>1</v>
      </c>
      <c r="AK42" s="1055"/>
      <c r="AL42" s="1053">
        <f t="shared" si="1"/>
        <v>2</v>
      </c>
      <c r="AN42" s="1053">
        <f t="shared" si="2"/>
        <v>12</v>
      </c>
    </row>
    <row r="43" spans="1:40" x14ac:dyDescent="0.25">
      <c r="A43" s="1054" t="s">
        <v>1262</v>
      </c>
      <c r="B43" s="1055">
        <v>1</v>
      </c>
      <c r="C43" s="1055">
        <v>1</v>
      </c>
      <c r="D43" s="1055">
        <v>1</v>
      </c>
      <c r="E43" s="1056"/>
      <c r="F43" s="1056"/>
      <c r="G43" s="1056"/>
      <c r="H43" s="1056"/>
      <c r="I43" s="1056"/>
      <c r="J43" s="1055">
        <v>1</v>
      </c>
      <c r="K43" s="1056"/>
      <c r="L43" s="1056"/>
      <c r="M43" s="1056"/>
      <c r="N43" s="1056"/>
      <c r="O43" s="1056"/>
      <c r="P43" s="1055"/>
      <c r="Q43" s="1055">
        <v>1</v>
      </c>
      <c r="R43" s="1055"/>
      <c r="S43" s="1056"/>
      <c r="T43" s="1056"/>
      <c r="U43" s="1055">
        <v>1</v>
      </c>
      <c r="V43" s="1055">
        <v>1</v>
      </c>
      <c r="W43" s="1055">
        <v>1</v>
      </c>
      <c r="X43" s="1056"/>
      <c r="Y43" s="1055">
        <v>1</v>
      </c>
      <c r="Z43" s="1055">
        <v>1</v>
      </c>
      <c r="AA43" s="1053">
        <f t="shared" si="3"/>
        <v>10</v>
      </c>
      <c r="AC43" s="1054" t="s">
        <v>1262</v>
      </c>
      <c r="AD43" s="1055">
        <v>1</v>
      </c>
      <c r="AE43" s="1055"/>
      <c r="AF43" s="1055"/>
      <c r="AG43" s="1056"/>
      <c r="AH43" s="1056"/>
      <c r="AI43" s="1055"/>
      <c r="AJ43" s="1055">
        <v>1</v>
      </c>
      <c r="AK43" s="1055"/>
      <c r="AL43" s="1053">
        <f t="shared" si="1"/>
        <v>2</v>
      </c>
      <c r="AN43" s="1053">
        <f t="shared" si="2"/>
        <v>12</v>
      </c>
    </row>
    <row r="44" spans="1:40" x14ac:dyDescent="0.25">
      <c r="A44" s="1054" t="s">
        <v>1263</v>
      </c>
      <c r="B44" s="1055"/>
      <c r="C44" s="1055"/>
      <c r="D44" s="1056"/>
      <c r="E44" s="1056"/>
      <c r="F44" s="1056"/>
      <c r="G44" s="1056"/>
      <c r="H44" s="1056"/>
      <c r="I44" s="1056"/>
      <c r="J44" s="1056"/>
      <c r="K44" s="1056"/>
      <c r="L44" s="1056"/>
      <c r="M44" s="1056"/>
      <c r="N44" s="1056"/>
      <c r="O44" s="1056"/>
      <c r="P44" s="1055"/>
      <c r="Q44" s="1056">
        <v>1</v>
      </c>
      <c r="R44" s="1056"/>
      <c r="S44" s="1056"/>
      <c r="T44" s="1056"/>
      <c r="U44" s="1056"/>
      <c r="V44" s="1056"/>
      <c r="W44" s="1055">
        <v>1</v>
      </c>
      <c r="X44" s="1056"/>
      <c r="Y44" s="1055">
        <v>1</v>
      </c>
      <c r="Z44" s="1055">
        <v>1</v>
      </c>
      <c r="AA44" s="1053">
        <f t="shared" si="3"/>
        <v>4</v>
      </c>
      <c r="AC44" s="1054" t="s">
        <v>1263</v>
      </c>
      <c r="AD44" s="1055">
        <v>1</v>
      </c>
      <c r="AE44" s="1056"/>
      <c r="AF44" s="1056"/>
      <c r="AG44" s="1056"/>
      <c r="AH44" s="1056"/>
      <c r="AI44" s="1055"/>
      <c r="AJ44" s="1055">
        <v>1</v>
      </c>
      <c r="AK44" s="1056"/>
      <c r="AL44" s="1053">
        <f t="shared" si="1"/>
        <v>2</v>
      </c>
      <c r="AN44" s="1053">
        <f t="shared" si="2"/>
        <v>6</v>
      </c>
    </row>
    <row r="45" spans="1:40" x14ac:dyDescent="0.25">
      <c r="A45" s="1054" t="s">
        <v>1264</v>
      </c>
      <c r="B45" s="1055"/>
      <c r="C45" s="1055"/>
      <c r="D45" s="1056"/>
      <c r="E45" s="1056"/>
      <c r="F45" s="1056"/>
      <c r="G45" s="1056"/>
      <c r="H45" s="1056"/>
      <c r="I45" s="1056"/>
      <c r="J45" s="1056"/>
      <c r="K45" s="1056"/>
      <c r="L45" s="1056"/>
      <c r="M45" s="1056"/>
      <c r="N45" s="1056"/>
      <c r="O45" s="1056"/>
      <c r="P45" s="1056"/>
      <c r="Q45" s="1056"/>
      <c r="R45" s="1056"/>
      <c r="S45" s="1056"/>
      <c r="T45" s="1056"/>
      <c r="U45" s="1056"/>
      <c r="V45" s="1056"/>
      <c r="W45" s="1056"/>
      <c r="X45" s="1056"/>
      <c r="Y45" s="1056"/>
      <c r="Z45" s="1056"/>
      <c r="AA45" s="1053">
        <f t="shared" si="3"/>
        <v>0</v>
      </c>
      <c r="AC45" s="1054" t="s">
        <v>1264</v>
      </c>
      <c r="AD45" s="1055"/>
      <c r="AE45" s="1056"/>
      <c r="AF45" s="1056"/>
      <c r="AG45" s="1056"/>
      <c r="AH45" s="1056"/>
      <c r="AI45" s="1056"/>
      <c r="AJ45" s="1056"/>
      <c r="AK45" s="1056"/>
      <c r="AL45" s="1053">
        <f t="shared" si="1"/>
        <v>0</v>
      </c>
      <c r="AN45" s="1053">
        <f t="shared" si="2"/>
        <v>0</v>
      </c>
    </row>
    <row r="46" spans="1:40" x14ac:dyDescent="0.25">
      <c r="A46" s="1054" t="s">
        <v>1265</v>
      </c>
      <c r="B46" s="1055"/>
      <c r="C46" s="1055"/>
      <c r="D46" s="1056"/>
      <c r="E46" s="1056"/>
      <c r="F46" s="1056"/>
      <c r="G46" s="1056"/>
      <c r="H46" s="1056"/>
      <c r="I46" s="1056"/>
      <c r="J46" s="1056"/>
      <c r="K46" s="1056"/>
      <c r="L46" s="1056"/>
      <c r="M46" s="1056"/>
      <c r="N46" s="1056"/>
      <c r="O46" s="1056"/>
      <c r="P46" s="1056"/>
      <c r="Q46" s="1056"/>
      <c r="R46" s="1056"/>
      <c r="S46" s="1056"/>
      <c r="T46" s="1056"/>
      <c r="U46" s="1056"/>
      <c r="V46" s="1056"/>
      <c r="W46" s="1056"/>
      <c r="X46" s="1056"/>
      <c r="Y46" s="1056"/>
      <c r="Z46" s="1056"/>
      <c r="AA46" s="1053">
        <f t="shared" si="3"/>
        <v>0</v>
      </c>
      <c r="AC46" s="1054" t="s">
        <v>1265</v>
      </c>
      <c r="AD46" s="1055"/>
      <c r="AE46" s="1056"/>
      <c r="AF46" s="1056"/>
      <c r="AG46" s="1056"/>
      <c r="AH46" s="1056"/>
      <c r="AI46" s="1056"/>
      <c r="AJ46" s="1056"/>
      <c r="AK46" s="1056"/>
      <c r="AL46" s="1053">
        <f t="shared" si="1"/>
        <v>0</v>
      </c>
      <c r="AN46" s="1053">
        <f t="shared" si="2"/>
        <v>0</v>
      </c>
    </row>
    <row r="47" spans="1:40" x14ac:dyDescent="0.25">
      <c r="A47" s="1054" t="s">
        <v>1266</v>
      </c>
      <c r="B47" s="1055"/>
      <c r="C47" s="1055"/>
      <c r="D47" s="1056"/>
      <c r="E47" s="1056"/>
      <c r="F47" s="1056"/>
      <c r="G47" s="1056"/>
      <c r="H47" s="1056"/>
      <c r="I47" s="1056"/>
      <c r="J47" s="1056"/>
      <c r="K47" s="1056"/>
      <c r="L47" s="1056"/>
      <c r="M47" s="1056"/>
      <c r="N47" s="1056"/>
      <c r="O47" s="1056"/>
      <c r="P47" s="1056"/>
      <c r="Q47" s="1056"/>
      <c r="R47" s="1056"/>
      <c r="S47" s="1056"/>
      <c r="T47" s="1056"/>
      <c r="U47" s="1056"/>
      <c r="V47" s="1056"/>
      <c r="W47" s="1056"/>
      <c r="X47" s="1056"/>
      <c r="Y47" s="1056"/>
      <c r="Z47" s="1056"/>
      <c r="AA47" s="1053">
        <f t="shared" si="3"/>
        <v>0</v>
      </c>
      <c r="AC47" s="1054" t="s">
        <v>1266</v>
      </c>
      <c r="AD47" s="1055"/>
      <c r="AE47" s="1056"/>
      <c r="AF47" s="1056"/>
      <c r="AG47" s="1056"/>
      <c r="AH47" s="1056"/>
      <c r="AI47" s="1056"/>
      <c r="AJ47" s="1056"/>
      <c r="AK47" s="1056"/>
      <c r="AL47" s="1053">
        <f t="shared" si="1"/>
        <v>0</v>
      </c>
      <c r="AN47" s="1053">
        <f t="shared" si="2"/>
        <v>0</v>
      </c>
    </row>
    <row r="48" spans="1:40" x14ac:dyDescent="0.25">
      <c r="A48" s="1054" t="s">
        <v>1267</v>
      </c>
      <c r="B48" s="1055"/>
      <c r="C48" s="1055"/>
      <c r="D48" s="1056"/>
      <c r="E48" s="1056"/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3">
        <f t="shared" si="3"/>
        <v>0</v>
      </c>
      <c r="AC48" s="1054" t="s">
        <v>1267</v>
      </c>
      <c r="AD48" s="1055"/>
      <c r="AE48" s="1056"/>
      <c r="AF48" s="1056"/>
      <c r="AG48" s="1056"/>
      <c r="AH48" s="1056"/>
      <c r="AI48" s="1056"/>
      <c r="AJ48" s="1056"/>
      <c r="AK48" s="1056"/>
      <c r="AL48" s="1053">
        <f t="shared" si="1"/>
        <v>0</v>
      </c>
      <c r="AN48" s="1053">
        <f t="shared" si="2"/>
        <v>0</v>
      </c>
    </row>
    <row r="49" spans="1:40" x14ac:dyDescent="0.25">
      <c r="A49" s="1054" t="s">
        <v>1268</v>
      </c>
      <c r="B49" s="1055"/>
      <c r="C49" s="1055"/>
      <c r="D49" s="1056"/>
      <c r="E49" s="1056"/>
      <c r="F49" s="1056"/>
      <c r="G49" s="1056"/>
      <c r="H49" s="1056"/>
      <c r="I49" s="1056"/>
      <c r="J49" s="1056"/>
      <c r="K49" s="1056"/>
      <c r="L49" s="1056"/>
      <c r="M49" s="1056"/>
      <c r="N49" s="1056"/>
      <c r="O49" s="1056"/>
      <c r="P49" s="1056"/>
      <c r="Q49" s="1056"/>
      <c r="R49" s="1056"/>
      <c r="S49" s="1056"/>
      <c r="T49" s="1056"/>
      <c r="U49" s="1056"/>
      <c r="V49" s="1056"/>
      <c r="W49" s="1056"/>
      <c r="X49" s="1056"/>
      <c r="Y49" s="1056"/>
      <c r="Z49" s="1056"/>
      <c r="AA49" s="1053">
        <f t="shared" si="3"/>
        <v>0</v>
      </c>
      <c r="AC49" s="1054" t="s">
        <v>1268</v>
      </c>
      <c r="AD49" s="1055"/>
      <c r="AE49" s="1056"/>
      <c r="AF49" s="1056"/>
      <c r="AG49" s="1056"/>
      <c r="AH49" s="1056"/>
      <c r="AI49" s="1056"/>
      <c r="AJ49" s="1056"/>
      <c r="AK49" s="1056"/>
      <c r="AL49" s="1053">
        <f t="shared" si="1"/>
        <v>0</v>
      </c>
      <c r="AN49" s="1053">
        <f t="shared" si="2"/>
        <v>0</v>
      </c>
    </row>
    <row r="50" spans="1:40" x14ac:dyDescent="0.25">
      <c r="A50" s="1054" t="s">
        <v>1269</v>
      </c>
      <c r="B50" s="1055"/>
      <c r="C50" s="1055"/>
      <c r="D50" s="1056"/>
      <c r="E50" s="1056"/>
      <c r="F50" s="1056"/>
      <c r="G50" s="1056"/>
      <c r="H50" s="1056"/>
      <c r="I50" s="1056"/>
      <c r="J50" s="1056"/>
      <c r="K50" s="1056"/>
      <c r="L50" s="1056"/>
      <c r="M50" s="1056"/>
      <c r="N50" s="1056"/>
      <c r="O50" s="1056"/>
      <c r="P50" s="1056"/>
      <c r="Q50" s="1056"/>
      <c r="R50" s="1056"/>
      <c r="S50" s="1056"/>
      <c r="T50" s="1056"/>
      <c r="U50" s="1056"/>
      <c r="V50" s="1056"/>
      <c r="W50" s="1056"/>
      <c r="X50" s="1056"/>
      <c r="Y50" s="1056"/>
      <c r="Z50" s="1056"/>
      <c r="AA50" s="1053">
        <f t="shared" si="3"/>
        <v>0</v>
      </c>
      <c r="AC50" s="1054" t="s">
        <v>1269</v>
      </c>
      <c r="AD50" s="1055"/>
      <c r="AE50" s="1056"/>
      <c r="AF50" s="1056"/>
      <c r="AG50" s="1056"/>
      <c r="AH50" s="1056"/>
      <c r="AI50" s="1056"/>
      <c r="AJ50" s="1056"/>
      <c r="AK50" s="1056"/>
      <c r="AL50" s="1053">
        <f t="shared" si="1"/>
        <v>0</v>
      </c>
      <c r="AN50" s="1053">
        <f t="shared" si="2"/>
        <v>0</v>
      </c>
    </row>
    <row r="51" spans="1:40" x14ac:dyDescent="0.25">
      <c r="A51" s="1054" t="s">
        <v>1270</v>
      </c>
      <c r="B51" s="1055"/>
      <c r="C51" s="1055"/>
      <c r="D51" s="1056"/>
      <c r="E51" s="1056"/>
      <c r="F51" s="1056"/>
      <c r="G51" s="1056"/>
      <c r="H51" s="1056"/>
      <c r="I51" s="1056"/>
      <c r="J51" s="1056"/>
      <c r="K51" s="1056"/>
      <c r="L51" s="1056"/>
      <c r="M51" s="1056"/>
      <c r="N51" s="1056"/>
      <c r="O51" s="1056"/>
      <c r="P51" s="1056"/>
      <c r="Q51" s="1056"/>
      <c r="R51" s="1056"/>
      <c r="S51" s="1056"/>
      <c r="T51" s="1056"/>
      <c r="U51" s="1056"/>
      <c r="V51" s="1056"/>
      <c r="W51" s="1056"/>
      <c r="X51" s="1056"/>
      <c r="Y51" s="1056"/>
      <c r="Z51" s="1056"/>
      <c r="AA51" s="1053">
        <f t="shared" si="3"/>
        <v>0</v>
      </c>
      <c r="AC51" s="1054" t="s">
        <v>1270</v>
      </c>
      <c r="AD51" s="1055"/>
      <c r="AE51" s="1056"/>
      <c r="AF51" s="1056"/>
      <c r="AG51" s="1056"/>
      <c r="AH51" s="1056"/>
      <c r="AI51" s="1056"/>
      <c r="AJ51" s="1056"/>
      <c r="AK51" s="1056"/>
      <c r="AL51" s="1053">
        <f t="shared" si="1"/>
        <v>0</v>
      </c>
      <c r="AN51" s="1053">
        <f t="shared" si="2"/>
        <v>0</v>
      </c>
    </row>
    <row r="52" spans="1:40" ht="16.5" thickBot="1" x14ac:dyDescent="0.3">
      <c r="A52" s="1062" t="s">
        <v>1271</v>
      </c>
      <c r="B52" s="1063"/>
      <c r="C52" s="1063"/>
      <c r="D52" s="1064"/>
      <c r="E52" s="1064"/>
      <c r="F52" s="1064"/>
      <c r="G52" s="1064"/>
      <c r="H52" s="1064"/>
      <c r="I52" s="1064"/>
      <c r="J52" s="1064"/>
      <c r="K52" s="1064"/>
      <c r="L52" s="1064"/>
      <c r="M52" s="1064"/>
      <c r="N52" s="1064"/>
      <c r="O52" s="1064"/>
      <c r="P52" s="1064"/>
      <c r="Q52" s="1064"/>
      <c r="R52" s="1064"/>
      <c r="S52" s="1064"/>
      <c r="T52" s="1064"/>
      <c r="U52" s="1064"/>
      <c r="V52" s="1064"/>
      <c r="W52" s="1064"/>
      <c r="X52" s="1064"/>
      <c r="Y52" s="1064"/>
      <c r="Z52" s="1064"/>
      <c r="AA52" s="1053">
        <f t="shared" si="3"/>
        <v>0</v>
      </c>
      <c r="AC52" s="1062" t="s">
        <v>1271</v>
      </c>
      <c r="AD52" s="1063"/>
      <c r="AE52" s="1064"/>
      <c r="AF52" s="1064"/>
      <c r="AG52" s="1064"/>
      <c r="AH52" s="1064"/>
      <c r="AI52" s="1064"/>
      <c r="AJ52" s="1064"/>
      <c r="AK52" s="1064"/>
      <c r="AL52" s="1053">
        <f t="shared" si="1"/>
        <v>0</v>
      </c>
      <c r="AN52" s="1053">
        <f t="shared" si="2"/>
        <v>0</v>
      </c>
    </row>
  </sheetData>
  <mergeCells count="2">
    <mergeCell ref="A1:AA1"/>
    <mergeCell ref="AC1:AL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D8BB-6D47-45D8-A714-8B38F38C0647}">
  <dimension ref="A1:AK52"/>
  <sheetViews>
    <sheetView zoomScale="80" zoomScaleNormal="80" workbookViewId="0">
      <selection activeCell="B2" sqref="B2:AA2"/>
    </sheetView>
    <sheetView workbookViewId="1">
      <selection sqref="A1:Y1"/>
    </sheetView>
  </sheetViews>
  <sheetFormatPr defaultRowHeight="15" x14ac:dyDescent="0.25"/>
  <cols>
    <col min="1" max="1" width="14.140625" bestFit="1" customWidth="1"/>
    <col min="27" max="27" width="14.140625" bestFit="1" customWidth="1"/>
    <col min="31" max="34" width="0" hidden="1" customWidth="1"/>
  </cols>
  <sheetData>
    <row r="1" spans="1:37" ht="21.75" thickBot="1" x14ac:dyDescent="0.4">
      <c r="A1" s="1265" t="s">
        <v>1272</v>
      </c>
      <c r="B1" s="1265"/>
      <c r="C1" s="1265"/>
      <c r="D1" s="1265"/>
      <c r="E1" s="1265"/>
      <c r="F1" s="1265"/>
      <c r="G1" s="1265"/>
      <c r="H1" s="1265"/>
      <c r="I1" s="1265"/>
      <c r="J1" s="1265"/>
      <c r="K1" s="1265"/>
      <c r="L1" s="1265"/>
      <c r="M1" s="1265"/>
      <c r="N1" s="1265"/>
      <c r="O1" s="1265"/>
      <c r="P1" s="1265"/>
      <c r="Q1" s="1265"/>
      <c r="R1" s="1265"/>
      <c r="S1" s="1265"/>
      <c r="T1" s="1265"/>
      <c r="U1" s="1265"/>
      <c r="V1" s="1265"/>
      <c r="W1" s="1265"/>
      <c r="X1" s="1265"/>
      <c r="Y1" s="1265"/>
      <c r="Z1" s="1065"/>
      <c r="AA1" s="1265" t="s">
        <v>1273</v>
      </c>
      <c r="AB1" s="1265"/>
      <c r="AC1" s="1265"/>
      <c r="AD1" s="1265"/>
      <c r="AE1" s="1265"/>
      <c r="AF1" s="1265"/>
      <c r="AG1" s="1265"/>
      <c r="AH1" s="1265"/>
      <c r="AI1" s="1265"/>
      <c r="AJ1" s="1065"/>
      <c r="AK1" s="1065"/>
    </row>
    <row r="2" spans="1:37" ht="16.5" thickBot="1" x14ac:dyDescent="0.3">
      <c r="A2" s="1066" t="s">
        <v>1216</v>
      </c>
      <c r="B2" s="1067">
        <v>6</v>
      </c>
      <c r="C2" s="1098" t="s">
        <v>1278</v>
      </c>
      <c r="D2" s="1068">
        <v>3</v>
      </c>
      <c r="E2" s="1068">
        <v>13</v>
      </c>
      <c r="F2" s="1068">
        <v>1</v>
      </c>
      <c r="G2" s="1068">
        <v>4</v>
      </c>
      <c r="H2" s="1068">
        <v>12</v>
      </c>
      <c r="I2" s="1068">
        <v>14</v>
      </c>
      <c r="J2" s="1097" t="s">
        <v>1281</v>
      </c>
      <c r="K2" s="1068">
        <v>9</v>
      </c>
      <c r="L2" s="1068">
        <v>11</v>
      </c>
      <c r="M2" s="1068">
        <v>4</v>
      </c>
      <c r="N2" s="1068">
        <v>8</v>
      </c>
      <c r="O2" s="1068">
        <v>7</v>
      </c>
      <c r="P2" s="1068">
        <v>10</v>
      </c>
      <c r="Q2" s="1068">
        <v>5</v>
      </c>
      <c r="R2" s="1068">
        <v>10</v>
      </c>
      <c r="S2" s="1068">
        <v>18</v>
      </c>
      <c r="T2" s="1068">
        <v>16</v>
      </c>
      <c r="U2" s="1068">
        <v>2</v>
      </c>
      <c r="V2" s="1068">
        <v>15</v>
      </c>
      <c r="W2" s="1068">
        <v>17</v>
      </c>
      <c r="X2" s="1068"/>
      <c r="Y2" s="1069" t="s">
        <v>1119</v>
      </c>
      <c r="Z2" s="1065"/>
      <c r="AA2" s="1066" t="s">
        <v>1216</v>
      </c>
      <c r="AB2" s="1067">
        <v>1</v>
      </c>
      <c r="AC2" s="1067">
        <v>2</v>
      </c>
      <c r="AD2" s="1068" t="s">
        <v>1274</v>
      </c>
      <c r="AE2" s="1068">
        <v>2</v>
      </c>
      <c r="AF2" s="1070">
        <v>45691</v>
      </c>
      <c r="AG2" s="1071">
        <v>45781</v>
      </c>
      <c r="AH2" s="1072"/>
      <c r="AI2" s="1069" t="s">
        <v>1119</v>
      </c>
      <c r="AJ2" s="1065"/>
      <c r="AK2" s="1073" t="s">
        <v>1119</v>
      </c>
    </row>
    <row r="3" spans="1:37" ht="15.75" x14ac:dyDescent="0.25">
      <c r="A3" s="1074" t="s">
        <v>1222</v>
      </c>
      <c r="B3" s="1075"/>
      <c r="C3" s="1075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6"/>
      <c r="R3" s="1076"/>
      <c r="S3" s="1076"/>
      <c r="T3" s="1076"/>
      <c r="U3" s="1076"/>
      <c r="V3" s="1076"/>
      <c r="W3" s="1076"/>
      <c r="X3" s="1076"/>
      <c r="Y3" s="1077">
        <f>SUM(B3:X3)</f>
        <v>0</v>
      </c>
      <c r="Z3" s="1065"/>
      <c r="AA3" s="1078" t="s">
        <v>1222</v>
      </c>
      <c r="AB3" s="1079"/>
      <c r="AC3" s="1079"/>
      <c r="AD3" s="1080"/>
      <c r="AE3" s="1080"/>
      <c r="AF3" s="1080"/>
      <c r="AG3" s="1080"/>
      <c r="AH3" s="1080"/>
      <c r="AI3" s="1081">
        <f>AB3+AC3+AD3</f>
        <v>0</v>
      </c>
      <c r="AJ3" s="1065"/>
      <c r="AK3" s="1082">
        <f>Y3+AI3</f>
        <v>0</v>
      </c>
    </row>
    <row r="4" spans="1:37" ht="15.75" x14ac:dyDescent="0.25">
      <c r="A4" s="1083" t="s">
        <v>1223</v>
      </c>
      <c r="B4" s="1084"/>
      <c r="C4" s="1084"/>
      <c r="D4" s="1085"/>
      <c r="E4" s="1085"/>
      <c r="F4" s="1085"/>
      <c r="G4" s="1085"/>
      <c r="H4" s="1085"/>
      <c r="I4" s="1085"/>
      <c r="J4" s="1085"/>
      <c r="K4" s="1085"/>
      <c r="L4" s="1085"/>
      <c r="M4" s="1085"/>
      <c r="N4" s="1085"/>
      <c r="O4" s="1085"/>
      <c r="P4" s="1085"/>
      <c r="Q4" s="1085"/>
      <c r="R4" s="1084"/>
      <c r="S4" s="1085"/>
      <c r="T4" s="1085"/>
      <c r="U4" s="1085"/>
      <c r="V4" s="1085"/>
      <c r="W4" s="1085"/>
      <c r="X4" s="1085"/>
      <c r="Y4" s="1086">
        <f t="shared" ref="Y4:Y52" si="0">SUM(B4:X4)</f>
        <v>0</v>
      </c>
      <c r="Z4" s="1065"/>
      <c r="AA4" s="1083" t="s">
        <v>1223</v>
      </c>
      <c r="AB4" s="1084"/>
      <c r="AC4" s="1084"/>
      <c r="AD4" s="1085"/>
      <c r="AE4" s="1085"/>
      <c r="AF4" s="1085"/>
      <c r="AG4" s="1085"/>
      <c r="AH4" s="1085"/>
      <c r="AI4" s="1086">
        <f t="shared" ref="AI4:AI52" si="1">AB4+AC4+AD4</f>
        <v>0</v>
      </c>
      <c r="AJ4" s="1065"/>
      <c r="AK4" s="1082">
        <f t="shared" ref="AK4:AK52" si="2">Y4+AI4</f>
        <v>0</v>
      </c>
    </row>
    <row r="5" spans="1:37" ht="15.75" x14ac:dyDescent="0.25">
      <c r="A5" s="1083" t="s">
        <v>1224</v>
      </c>
      <c r="B5" s="1084"/>
      <c r="C5" s="1084"/>
      <c r="D5" s="1084"/>
      <c r="E5" s="1084"/>
      <c r="F5" s="1085">
        <v>1</v>
      </c>
      <c r="G5" s="1085"/>
      <c r="H5" s="1085"/>
      <c r="I5" s="1085"/>
      <c r="J5" s="1085"/>
      <c r="K5" s="1085"/>
      <c r="L5" s="1085"/>
      <c r="M5" s="1085"/>
      <c r="N5" s="1085"/>
      <c r="O5" s="1085"/>
      <c r="P5" s="1085"/>
      <c r="Q5" s="1085"/>
      <c r="R5" s="1084"/>
      <c r="S5" s="1085"/>
      <c r="T5" s="1085"/>
      <c r="U5" s="1085"/>
      <c r="V5" s="1085"/>
      <c r="W5" s="1085"/>
      <c r="X5" s="1085"/>
      <c r="Y5" s="1086">
        <f t="shared" ref="Y5:Y14" si="3">SUM(B5:X5)</f>
        <v>1</v>
      </c>
      <c r="Z5" s="1065"/>
      <c r="AA5" s="1083" t="s">
        <v>1224</v>
      </c>
      <c r="AB5" s="1084"/>
      <c r="AC5" s="1084"/>
      <c r="AD5" s="1085"/>
      <c r="AE5" s="1084"/>
      <c r="AF5" s="1085"/>
      <c r="AG5" s="1085"/>
      <c r="AH5" s="1085"/>
      <c r="AI5" s="1086">
        <f t="shared" si="1"/>
        <v>0</v>
      </c>
      <c r="AJ5" s="1065"/>
      <c r="AK5" s="1082">
        <f t="shared" si="2"/>
        <v>1</v>
      </c>
    </row>
    <row r="6" spans="1:37" ht="15.75" x14ac:dyDescent="0.25">
      <c r="A6" s="1083" t="s">
        <v>1225</v>
      </c>
      <c r="B6" s="1084"/>
      <c r="C6" s="1084"/>
      <c r="D6" s="1084">
        <v>1</v>
      </c>
      <c r="E6" s="1084"/>
      <c r="F6" s="1084">
        <v>1</v>
      </c>
      <c r="G6" s="1085"/>
      <c r="H6" s="1084"/>
      <c r="I6" s="1085"/>
      <c r="J6" s="1084"/>
      <c r="K6" s="1085"/>
      <c r="L6" s="1084"/>
      <c r="M6" s="1085"/>
      <c r="N6" s="1085"/>
      <c r="O6" s="1085"/>
      <c r="P6" s="1085"/>
      <c r="Q6" s="1085"/>
      <c r="R6" s="1084"/>
      <c r="S6" s="1085"/>
      <c r="T6" s="1085"/>
      <c r="U6" s="1084">
        <v>1</v>
      </c>
      <c r="V6" s="1085"/>
      <c r="W6" s="1085"/>
      <c r="X6" s="1085"/>
      <c r="Y6" s="1086">
        <f t="shared" si="3"/>
        <v>3</v>
      </c>
      <c r="Z6" s="1065"/>
      <c r="AA6" s="1083" t="s">
        <v>1225</v>
      </c>
      <c r="AB6" s="1084"/>
      <c r="AC6" s="1084"/>
      <c r="AD6" s="1084"/>
      <c r="AE6" s="1084"/>
      <c r="AF6" s="1085"/>
      <c r="AG6" s="1085"/>
      <c r="AH6" s="1084"/>
      <c r="AI6" s="1086">
        <f t="shared" si="1"/>
        <v>0</v>
      </c>
      <c r="AJ6" s="1065"/>
      <c r="AK6" s="1082">
        <f t="shared" si="2"/>
        <v>3</v>
      </c>
    </row>
    <row r="7" spans="1:37" ht="15.75" x14ac:dyDescent="0.25">
      <c r="A7" s="1083" t="s">
        <v>1226</v>
      </c>
      <c r="B7" s="1084">
        <v>1</v>
      </c>
      <c r="C7" s="1084"/>
      <c r="D7" s="1084">
        <v>1</v>
      </c>
      <c r="E7" s="1084"/>
      <c r="F7" s="1084">
        <v>1</v>
      </c>
      <c r="G7" s="1085">
        <v>1</v>
      </c>
      <c r="H7" s="1084"/>
      <c r="I7" s="1085"/>
      <c r="J7" s="1084">
        <v>1</v>
      </c>
      <c r="K7" s="1085"/>
      <c r="L7" s="1084"/>
      <c r="M7" s="1085"/>
      <c r="N7" s="1085"/>
      <c r="O7" s="1085"/>
      <c r="P7" s="1085"/>
      <c r="Q7" s="1084">
        <v>1</v>
      </c>
      <c r="R7" s="1084"/>
      <c r="S7" s="1085"/>
      <c r="T7" s="1085"/>
      <c r="U7" s="1084">
        <v>1</v>
      </c>
      <c r="V7" s="1085"/>
      <c r="W7" s="1085"/>
      <c r="X7" s="1085"/>
      <c r="Y7" s="1086">
        <f t="shared" si="3"/>
        <v>7</v>
      </c>
      <c r="Z7" s="1065"/>
      <c r="AA7" s="1083" t="s">
        <v>1226</v>
      </c>
      <c r="AB7" s="1084"/>
      <c r="AC7" s="1084"/>
      <c r="AD7" s="1084"/>
      <c r="AE7" s="1084"/>
      <c r="AF7" s="1084"/>
      <c r="AG7" s="1085"/>
      <c r="AH7" s="1084"/>
      <c r="AI7" s="1086">
        <f t="shared" si="1"/>
        <v>0</v>
      </c>
      <c r="AJ7" s="1065"/>
      <c r="AK7" s="1082">
        <f t="shared" si="2"/>
        <v>7</v>
      </c>
    </row>
    <row r="8" spans="1:37" ht="15.75" x14ac:dyDescent="0.25">
      <c r="A8" s="1083" t="s">
        <v>1227</v>
      </c>
      <c r="B8" s="1084">
        <v>1</v>
      </c>
      <c r="C8" s="1084">
        <v>1</v>
      </c>
      <c r="D8" s="1084">
        <v>1</v>
      </c>
      <c r="E8" s="1084"/>
      <c r="F8" s="1084">
        <v>1</v>
      </c>
      <c r="G8" s="1085">
        <v>1</v>
      </c>
      <c r="H8" s="1084"/>
      <c r="I8" s="1084"/>
      <c r="J8" s="1084">
        <v>1</v>
      </c>
      <c r="K8" s="1084">
        <v>1</v>
      </c>
      <c r="L8" s="1084"/>
      <c r="M8" s="1084"/>
      <c r="N8" s="1084"/>
      <c r="O8" s="1084"/>
      <c r="P8" s="1085">
        <v>1</v>
      </c>
      <c r="Q8" s="1084">
        <v>1</v>
      </c>
      <c r="R8" s="1084"/>
      <c r="S8" s="1085"/>
      <c r="T8" s="1085"/>
      <c r="U8" s="1084">
        <v>1</v>
      </c>
      <c r="V8" s="1084"/>
      <c r="W8" s="1084"/>
      <c r="X8" s="1084"/>
      <c r="Y8" s="1086">
        <f t="shared" si="3"/>
        <v>10</v>
      </c>
      <c r="Z8" s="1065"/>
      <c r="AA8" s="1083" t="s">
        <v>1227</v>
      </c>
      <c r="AB8" s="1084"/>
      <c r="AC8" s="1084"/>
      <c r="AD8" s="1084"/>
      <c r="AE8" s="1084"/>
      <c r="AF8" s="1084"/>
      <c r="AG8" s="1085"/>
      <c r="AH8" s="1084"/>
      <c r="AI8" s="1086">
        <f>AB8+AC8+AD8</f>
        <v>0</v>
      </c>
      <c r="AJ8" s="1065"/>
      <c r="AK8" s="1082">
        <f t="shared" si="2"/>
        <v>10</v>
      </c>
    </row>
    <row r="9" spans="1:37" ht="15.75" x14ac:dyDescent="0.25">
      <c r="A9" s="1083" t="s">
        <v>1228</v>
      </c>
      <c r="B9" s="1084">
        <v>1</v>
      </c>
      <c r="C9" s="1084">
        <v>1</v>
      </c>
      <c r="D9" s="1084">
        <v>1</v>
      </c>
      <c r="E9" s="1084"/>
      <c r="F9" s="1084">
        <v>1</v>
      </c>
      <c r="G9" s="1085">
        <v>1</v>
      </c>
      <c r="H9" s="1084"/>
      <c r="I9" s="1084"/>
      <c r="J9" s="1084">
        <v>1</v>
      </c>
      <c r="K9" s="1084">
        <v>1</v>
      </c>
      <c r="L9" s="1084"/>
      <c r="M9" s="1084"/>
      <c r="N9" s="1084"/>
      <c r="O9" s="1084"/>
      <c r="P9" s="1085">
        <v>1</v>
      </c>
      <c r="Q9" s="1084">
        <v>1</v>
      </c>
      <c r="R9" s="1084"/>
      <c r="S9" s="1084"/>
      <c r="T9" s="1084"/>
      <c r="U9" s="1084">
        <v>1</v>
      </c>
      <c r="V9" s="1084"/>
      <c r="W9" s="1084"/>
      <c r="X9" s="1084"/>
      <c r="Y9" s="1086">
        <f t="shared" si="3"/>
        <v>10</v>
      </c>
      <c r="Z9" s="1065"/>
      <c r="AA9" s="1083" t="s">
        <v>1228</v>
      </c>
      <c r="AB9" s="1084">
        <v>1</v>
      </c>
      <c r="AC9" s="1084">
        <v>1</v>
      </c>
      <c r="AD9" s="1084"/>
      <c r="AE9" s="1084"/>
      <c r="AF9" s="1084"/>
      <c r="AG9" s="1085"/>
      <c r="AH9" s="1084"/>
      <c r="AI9" s="1086">
        <f>AB9+AC9+AD9</f>
        <v>2</v>
      </c>
      <c r="AJ9" s="1065"/>
      <c r="AK9" s="1082">
        <f t="shared" si="2"/>
        <v>12</v>
      </c>
    </row>
    <row r="10" spans="1:37" ht="15.75" x14ac:dyDescent="0.25">
      <c r="A10" s="1083" t="s">
        <v>1229</v>
      </c>
      <c r="B10" s="1084">
        <v>1</v>
      </c>
      <c r="C10" s="1084">
        <v>1</v>
      </c>
      <c r="D10" s="1084">
        <v>1</v>
      </c>
      <c r="E10" s="1084"/>
      <c r="F10" s="1084">
        <v>1</v>
      </c>
      <c r="G10" s="1085">
        <v>1</v>
      </c>
      <c r="H10" s="1084"/>
      <c r="I10" s="1084"/>
      <c r="J10" s="1084">
        <v>1</v>
      </c>
      <c r="K10" s="1084">
        <v>1</v>
      </c>
      <c r="L10" s="1084">
        <v>1</v>
      </c>
      <c r="M10" s="1084"/>
      <c r="N10" s="1084"/>
      <c r="O10" s="1084"/>
      <c r="P10" s="1085">
        <v>1</v>
      </c>
      <c r="Q10" s="1084">
        <v>1</v>
      </c>
      <c r="R10" s="1084"/>
      <c r="S10" s="1084"/>
      <c r="T10" s="1084"/>
      <c r="U10" s="1084">
        <v>1</v>
      </c>
      <c r="V10" s="1084"/>
      <c r="W10" s="1084"/>
      <c r="X10" s="1084"/>
      <c r="Y10" s="1086">
        <f t="shared" si="3"/>
        <v>11</v>
      </c>
      <c r="Z10" s="1065"/>
      <c r="AA10" s="1083" t="s">
        <v>1229</v>
      </c>
      <c r="AB10" s="1084">
        <v>1</v>
      </c>
      <c r="AC10" s="1084">
        <v>1</v>
      </c>
      <c r="AD10" s="1084"/>
      <c r="AE10" s="1084"/>
      <c r="AF10" s="1084"/>
      <c r="AG10" s="1084"/>
      <c r="AH10" s="1084"/>
      <c r="AI10" s="1086">
        <f t="shared" si="1"/>
        <v>2</v>
      </c>
      <c r="AJ10" s="1065"/>
      <c r="AK10" s="1082">
        <f t="shared" si="2"/>
        <v>13</v>
      </c>
    </row>
    <row r="11" spans="1:37" ht="15.75" x14ac:dyDescent="0.25">
      <c r="A11" s="1083" t="s">
        <v>1230</v>
      </c>
      <c r="B11" s="1084">
        <v>1</v>
      </c>
      <c r="C11" s="1084">
        <v>1</v>
      </c>
      <c r="D11" s="1084">
        <v>1</v>
      </c>
      <c r="E11" s="1084"/>
      <c r="F11" s="1084">
        <v>1</v>
      </c>
      <c r="G11" s="1085">
        <v>1</v>
      </c>
      <c r="H11" s="1084"/>
      <c r="I11" s="1084"/>
      <c r="J11" s="1084">
        <v>1</v>
      </c>
      <c r="K11" s="1084">
        <v>1</v>
      </c>
      <c r="L11" s="1084">
        <v>1</v>
      </c>
      <c r="M11" s="1084"/>
      <c r="N11" s="1084"/>
      <c r="O11" s="1084"/>
      <c r="P11" s="1085">
        <v>1</v>
      </c>
      <c r="Q11" s="1084">
        <v>1</v>
      </c>
      <c r="R11" s="1084"/>
      <c r="S11" s="1084"/>
      <c r="T11" s="1084"/>
      <c r="U11" s="1084">
        <v>1</v>
      </c>
      <c r="V11" s="1084"/>
      <c r="W11" s="1084"/>
      <c r="X11" s="1084"/>
      <c r="Y11" s="1086">
        <f t="shared" si="3"/>
        <v>11</v>
      </c>
      <c r="Z11" s="1065"/>
      <c r="AA11" s="1083" t="s">
        <v>1230</v>
      </c>
      <c r="AB11" s="1084">
        <v>1</v>
      </c>
      <c r="AC11" s="1084">
        <v>1</v>
      </c>
      <c r="AD11" s="1084"/>
      <c r="AE11" s="1084"/>
      <c r="AF11" s="1084"/>
      <c r="AG11" s="1084"/>
      <c r="AH11" s="1084"/>
      <c r="AI11" s="1086">
        <f t="shared" si="1"/>
        <v>2</v>
      </c>
      <c r="AJ11" s="1065"/>
      <c r="AK11" s="1082">
        <f t="shared" si="2"/>
        <v>13</v>
      </c>
    </row>
    <row r="12" spans="1:37" ht="15.75" x14ac:dyDescent="0.25">
      <c r="A12" s="1083" t="s">
        <v>1231</v>
      </c>
      <c r="B12" s="1084">
        <v>1</v>
      </c>
      <c r="C12" s="1084">
        <v>1</v>
      </c>
      <c r="D12" s="1084">
        <v>1</v>
      </c>
      <c r="E12" s="1084"/>
      <c r="F12" s="1084">
        <v>1</v>
      </c>
      <c r="G12" s="1085">
        <v>1</v>
      </c>
      <c r="H12" s="1084">
        <v>1</v>
      </c>
      <c r="I12" s="1084"/>
      <c r="J12" s="1084">
        <v>1</v>
      </c>
      <c r="K12" s="1084">
        <v>1</v>
      </c>
      <c r="L12" s="1084">
        <v>1</v>
      </c>
      <c r="M12" s="1084"/>
      <c r="N12" s="1084"/>
      <c r="O12" s="1084"/>
      <c r="P12" s="1085">
        <v>1</v>
      </c>
      <c r="Q12" s="1084">
        <v>1</v>
      </c>
      <c r="R12" s="1084"/>
      <c r="S12" s="1084"/>
      <c r="T12" s="1084"/>
      <c r="U12" s="1084">
        <v>1</v>
      </c>
      <c r="V12" s="1084"/>
      <c r="W12" s="1084"/>
      <c r="X12" s="1084"/>
      <c r="Y12" s="1086">
        <f t="shared" si="3"/>
        <v>12</v>
      </c>
      <c r="Z12" s="1065"/>
      <c r="AA12" s="1083" t="s">
        <v>1231</v>
      </c>
      <c r="AB12" s="1084">
        <v>1</v>
      </c>
      <c r="AC12" s="1084">
        <v>1</v>
      </c>
      <c r="AD12" s="1084"/>
      <c r="AE12" s="1084"/>
      <c r="AF12" s="1084"/>
      <c r="AG12" s="1084"/>
      <c r="AH12" s="1084"/>
      <c r="AI12" s="1086">
        <f t="shared" si="1"/>
        <v>2</v>
      </c>
      <c r="AJ12" s="1065"/>
      <c r="AK12" s="1082">
        <f t="shared" si="2"/>
        <v>14</v>
      </c>
    </row>
    <row r="13" spans="1:37" ht="15.75" x14ac:dyDescent="0.25">
      <c r="A13" s="1083" t="s">
        <v>1232</v>
      </c>
      <c r="B13" s="1084">
        <v>1</v>
      </c>
      <c r="C13" s="1084">
        <v>1</v>
      </c>
      <c r="D13" s="1084">
        <v>1</v>
      </c>
      <c r="E13" s="1084">
        <v>1</v>
      </c>
      <c r="F13" s="1084">
        <v>1</v>
      </c>
      <c r="G13" s="1085">
        <v>1</v>
      </c>
      <c r="H13" s="1084">
        <v>1</v>
      </c>
      <c r="I13" s="1084"/>
      <c r="J13" s="1084">
        <v>1</v>
      </c>
      <c r="K13" s="1084">
        <v>1</v>
      </c>
      <c r="L13" s="1084">
        <v>1</v>
      </c>
      <c r="M13" s="1084"/>
      <c r="N13" s="1084"/>
      <c r="O13" s="1084"/>
      <c r="P13" s="1085">
        <v>1</v>
      </c>
      <c r="Q13" s="1084">
        <v>1</v>
      </c>
      <c r="R13" s="1084"/>
      <c r="S13" s="1084"/>
      <c r="T13" s="1084"/>
      <c r="U13" s="1084">
        <v>1</v>
      </c>
      <c r="V13" s="1084"/>
      <c r="W13" s="1084"/>
      <c r="X13" s="1084"/>
      <c r="Y13" s="1086">
        <f t="shared" si="3"/>
        <v>13</v>
      </c>
      <c r="Z13" s="1065"/>
      <c r="AA13" s="1083" t="s">
        <v>1232</v>
      </c>
      <c r="AB13" s="1084">
        <v>1</v>
      </c>
      <c r="AC13" s="1084">
        <v>1</v>
      </c>
      <c r="AD13" s="1084"/>
      <c r="AE13" s="1084"/>
      <c r="AF13" s="1084"/>
      <c r="AG13" s="1084"/>
      <c r="AH13" s="1084"/>
      <c r="AI13" s="1086">
        <f t="shared" si="1"/>
        <v>2</v>
      </c>
      <c r="AJ13" s="1065"/>
      <c r="AK13" s="1082">
        <f t="shared" si="2"/>
        <v>15</v>
      </c>
    </row>
    <row r="14" spans="1:37" ht="15.75" x14ac:dyDescent="0.25">
      <c r="A14" s="1083" t="s">
        <v>1233</v>
      </c>
      <c r="B14" s="1084">
        <v>1</v>
      </c>
      <c r="C14" s="1084">
        <v>1</v>
      </c>
      <c r="D14" s="1084">
        <v>1</v>
      </c>
      <c r="E14" s="1084">
        <v>1</v>
      </c>
      <c r="F14" s="1084">
        <v>1</v>
      </c>
      <c r="G14" s="1085"/>
      <c r="H14" s="1084">
        <v>1</v>
      </c>
      <c r="I14" s="1084"/>
      <c r="J14" s="1084">
        <v>1</v>
      </c>
      <c r="K14" s="1084">
        <v>1</v>
      </c>
      <c r="L14" s="1084">
        <v>1</v>
      </c>
      <c r="M14" s="1084"/>
      <c r="N14" s="1084"/>
      <c r="O14" s="1084"/>
      <c r="P14" s="1085">
        <v>1</v>
      </c>
      <c r="Q14" s="1084">
        <v>1</v>
      </c>
      <c r="R14" s="1084"/>
      <c r="S14" s="1084"/>
      <c r="T14" s="1084"/>
      <c r="U14" s="1084">
        <v>1</v>
      </c>
      <c r="V14" s="1084"/>
      <c r="W14" s="1084"/>
      <c r="X14" s="1084"/>
      <c r="Y14" s="1086">
        <f t="shared" si="3"/>
        <v>12</v>
      </c>
      <c r="Z14" s="1065"/>
      <c r="AA14" s="1083" t="s">
        <v>1233</v>
      </c>
      <c r="AB14" s="1084">
        <v>1</v>
      </c>
      <c r="AC14" s="1084">
        <v>1</v>
      </c>
      <c r="AD14" s="1084"/>
      <c r="AE14" s="1084"/>
      <c r="AF14" s="1084"/>
      <c r="AG14" s="1084"/>
      <c r="AH14" s="1084"/>
      <c r="AI14" s="1086">
        <f t="shared" si="1"/>
        <v>2</v>
      </c>
      <c r="AJ14" s="1065"/>
      <c r="AK14" s="1082">
        <f t="shared" si="2"/>
        <v>14</v>
      </c>
    </row>
    <row r="15" spans="1:37" ht="15.75" x14ac:dyDescent="0.25">
      <c r="A15" s="1083" t="s">
        <v>1234</v>
      </c>
      <c r="B15" s="1084">
        <v>1</v>
      </c>
      <c r="C15" s="1084">
        <v>1</v>
      </c>
      <c r="D15" s="1084">
        <v>1</v>
      </c>
      <c r="E15" s="1084">
        <v>1</v>
      </c>
      <c r="F15" s="1084">
        <v>1</v>
      </c>
      <c r="G15" s="1085"/>
      <c r="H15" s="1084">
        <v>1</v>
      </c>
      <c r="I15" s="1084">
        <v>1</v>
      </c>
      <c r="J15" s="1084"/>
      <c r="K15" s="1084">
        <v>1</v>
      </c>
      <c r="L15" s="1084">
        <v>1</v>
      </c>
      <c r="M15" s="1084"/>
      <c r="N15" s="1084"/>
      <c r="O15" s="1084"/>
      <c r="P15" s="1085">
        <v>1</v>
      </c>
      <c r="Q15" s="1084">
        <v>1</v>
      </c>
      <c r="R15" s="1084"/>
      <c r="S15" s="1084"/>
      <c r="T15" s="1084"/>
      <c r="U15" s="1084">
        <v>1</v>
      </c>
      <c r="V15" s="1084"/>
      <c r="W15" s="1084"/>
      <c r="X15" s="1084"/>
      <c r="Y15" s="1086">
        <f t="shared" si="0"/>
        <v>12</v>
      </c>
      <c r="Z15" s="1065"/>
      <c r="AA15" s="1083" t="s">
        <v>1234</v>
      </c>
      <c r="AB15" s="1084">
        <v>1</v>
      </c>
      <c r="AC15" s="1084">
        <v>1</v>
      </c>
      <c r="AD15" s="1084"/>
      <c r="AE15" s="1084"/>
      <c r="AF15" s="1084"/>
      <c r="AG15" s="1084"/>
      <c r="AH15" s="1084"/>
      <c r="AI15" s="1086">
        <f t="shared" si="1"/>
        <v>2</v>
      </c>
      <c r="AJ15" s="1065"/>
      <c r="AK15" s="1082">
        <f t="shared" si="2"/>
        <v>14</v>
      </c>
    </row>
    <row r="16" spans="1:37" ht="15.75" x14ac:dyDescent="0.25">
      <c r="A16" s="1083" t="s">
        <v>1235</v>
      </c>
      <c r="B16" s="1084">
        <v>1</v>
      </c>
      <c r="C16" s="1084">
        <v>1</v>
      </c>
      <c r="D16" s="1084">
        <v>1</v>
      </c>
      <c r="E16" s="1084">
        <v>1</v>
      </c>
      <c r="F16" s="1084">
        <v>1</v>
      </c>
      <c r="G16" s="1085"/>
      <c r="H16" s="1084">
        <v>1</v>
      </c>
      <c r="I16" s="1084">
        <v>1</v>
      </c>
      <c r="J16" s="1084"/>
      <c r="K16" s="1084">
        <v>1</v>
      </c>
      <c r="L16" s="1085">
        <v>1</v>
      </c>
      <c r="M16" s="1084"/>
      <c r="N16" s="1084"/>
      <c r="O16" s="1084"/>
      <c r="P16" s="1085">
        <v>1</v>
      </c>
      <c r="Q16" s="1084">
        <v>1</v>
      </c>
      <c r="R16" s="1084"/>
      <c r="S16" s="1084"/>
      <c r="T16" s="1084"/>
      <c r="U16" s="1084">
        <v>1</v>
      </c>
      <c r="V16" s="1084"/>
      <c r="W16" s="1084"/>
      <c r="X16" s="1084"/>
      <c r="Y16" s="1086">
        <f t="shared" ref="Y16:Y45" si="4">SUM(B16:X16)</f>
        <v>12</v>
      </c>
      <c r="Z16" s="1065"/>
      <c r="AA16" s="1083" t="s">
        <v>1235</v>
      </c>
      <c r="AB16" s="1084">
        <v>1</v>
      </c>
      <c r="AC16" s="1084">
        <v>1</v>
      </c>
      <c r="AD16" s="1084"/>
      <c r="AE16" s="1084"/>
      <c r="AF16" s="1084"/>
      <c r="AG16" s="1085"/>
      <c r="AH16" s="1085"/>
      <c r="AI16" s="1086">
        <f t="shared" si="1"/>
        <v>2</v>
      </c>
      <c r="AJ16" s="1065"/>
      <c r="AK16" s="1082">
        <f t="shared" si="2"/>
        <v>14</v>
      </c>
    </row>
    <row r="17" spans="1:37" ht="15.75" x14ac:dyDescent="0.25">
      <c r="A17" s="1083" t="s">
        <v>1236</v>
      </c>
      <c r="B17" s="1084">
        <v>1</v>
      </c>
      <c r="C17" s="1084">
        <v>1</v>
      </c>
      <c r="D17" s="1084">
        <v>1</v>
      </c>
      <c r="E17" s="1084">
        <v>1</v>
      </c>
      <c r="F17" s="1084">
        <v>1</v>
      </c>
      <c r="G17" s="1085"/>
      <c r="H17" s="1084">
        <v>1</v>
      </c>
      <c r="I17" s="1084">
        <v>1</v>
      </c>
      <c r="J17" s="1084"/>
      <c r="K17" s="1084">
        <v>1</v>
      </c>
      <c r="L17" s="1085">
        <v>1</v>
      </c>
      <c r="M17" s="1084"/>
      <c r="N17" s="1084"/>
      <c r="O17" s="1084"/>
      <c r="P17" s="1085">
        <v>1</v>
      </c>
      <c r="Q17" s="1084">
        <v>1</v>
      </c>
      <c r="R17" s="1085"/>
      <c r="S17" s="1084"/>
      <c r="T17" s="1084"/>
      <c r="U17" s="1084">
        <v>1</v>
      </c>
      <c r="V17" s="1084">
        <v>1</v>
      </c>
      <c r="W17" s="1084"/>
      <c r="X17" s="1084"/>
      <c r="Y17" s="1086">
        <f t="shared" si="4"/>
        <v>13</v>
      </c>
      <c r="Z17" s="1065"/>
      <c r="AA17" s="1083" t="s">
        <v>1236</v>
      </c>
      <c r="AB17" s="1084">
        <v>1</v>
      </c>
      <c r="AC17" s="1084">
        <v>1</v>
      </c>
      <c r="AD17" s="1084"/>
      <c r="AE17" s="1084"/>
      <c r="AF17" s="1084"/>
      <c r="AG17" s="1085"/>
      <c r="AH17" s="1085"/>
      <c r="AI17" s="1086">
        <f t="shared" si="1"/>
        <v>2</v>
      </c>
      <c r="AJ17" s="1065"/>
      <c r="AK17" s="1082">
        <f t="shared" si="2"/>
        <v>15</v>
      </c>
    </row>
    <row r="18" spans="1:37" ht="15.75" x14ac:dyDescent="0.25">
      <c r="A18" s="1083" t="s">
        <v>1237</v>
      </c>
      <c r="B18" s="1084">
        <v>1</v>
      </c>
      <c r="C18" s="1084">
        <v>1</v>
      </c>
      <c r="D18" s="1084">
        <v>1</v>
      </c>
      <c r="E18" s="1084">
        <v>1</v>
      </c>
      <c r="F18" s="1084">
        <v>1</v>
      </c>
      <c r="G18" s="1085"/>
      <c r="H18" s="1084">
        <v>1</v>
      </c>
      <c r="I18" s="1084">
        <v>1</v>
      </c>
      <c r="J18" s="1084"/>
      <c r="K18" s="1084">
        <v>1</v>
      </c>
      <c r="L18" s="1085">
        <v>1</v>
      </c>
      <c r="M18" s="1084"/>
      <c r="N18" s="1084"/>
      <c r="O18" s="1084"/>
      <c r="P18" s="1085">
        <v>1</v>
      </c>
      <c r="Q18" s="1084">
        <v>1</v>
      </c>
      <c r="R18" s="1085"/>
      <c r="S18" s="1084"/>
      <c r="T18" s="1084"/>
      <c r="U18" s="1084">
        <v>1</v>
      </c>
      <c r="V18" s="1084">
        <v>1</v>
      </c>
      <c r="W18" s="1084"/>
      <c r="X18" s="1084"/>
      <c r="Y18" s="1086">
        <f t="shared" si="4"/>
        <v>13</v>
      </c>
      <c r="Z18" s="1065"/>
      <c r="AA18" s="1083" t="s">
        <v>1237</v>
      </c>
      <c r="AB18" s="1084">
        <v>1</v>
      </c>
      <c r="AC18" s="1084">
        <v>1</v>
      </c>
      <c r="AD18" s="1084"/>
      <c r="AE18" s="1084"/>
      <c r="AF18" s="1084"/>
      <c r="AG18" s="1085"/>
      <c r="AH18" s="1085"/>
      <c r="AI18" s="1086">
        <f t="shared" si="1"/>
        <v>2</v>
      </c>
      <c r="AJ18" s="1065"/>
      <c r="AK18" s="1082">
        <f t="shared" si="2"/>
        <v>15</v>
      </c>
    </row>
    <row r="19" spans="1:37" ht="15.75" x14ac:dyDescent="0.25">
      <c r="A19" s="1083" t="s">
        <v>1238</v>
      </c>
      <c r="B19" s="1084">
        <v>1</v>
      </c>
      <c r="C19" s="1084">
        <v>1</v>
      </c>
      <c r="D19" s="1084">
        <v>1</v>
      </c>
      <c r="E19" s="1084">
        <v>1</v>
      </c>
      <c r="F19" s="1084">
        <v>1</v>
      </c>
      <c r="G19" s="1085"/>
      <c r="H19" s="1084">
        <v>1</v>
      </c>
      <c r="I19" s="1084">
        <v>1</v>
      </c>
      <c r="J19" s="1084"/>
      <c r="K19" s="1084">
        <v>1</v>
      </c>
      <c r="L19" s="1085">
        <v>1</v>
      </c>
      <c r="M19" s="1084">
        <v>1</v>
      </c>
      <c r="N19" s="1084"/>
      <c r="O19" s="1084">
        <v>1</v>
      </c>
      <c r="P19" s="1085">
        <v>1</v>
      </c>
      <c r="Q19" s="1084">
        <v>1</v>
      </c>
      <c r="R19" s="1085"/>
      <c r="S19" s="1084"/>
      <c r="T19" s="1084"/>
      <c r="U19" s="1084">
        <v>1</v>
      </c>
      <c r="V19" s="1084">
        <v>1</v>
      </c>
      <c r="W19" s="1084"/>
      <c r="X19" s="1084"/>
      <c r="Y19" s="1086">
        <f t="shared" si="4"/>
        <v>15</v>
      </c>
      <c r="Z19" s="1065"/>
      <c r="AA19" s="1083" t="s">
        <v>1238</v>
      </c>
      <c r="AB19" s="1084">
        <v>1</v>
      </c>
      <c r="AC19" s="1084">
        <v>1</v>
      </c>
      <c r="AD19" s="1084"/>
      <c r="AE19" s="1084"/>
      <c r="AF19" s="1084"/>
      <c r="AG19" s="1085"/>
      <c r="AH19" s="1085"/>
      <c r="AI19" s="1086">
        <f t="shared" si="1"/>
        <v>2</v>
      </c>
      <c r="AJ19" s="1065"/>
      <c r="AK19" s="1082">
        <f t="shared" ref="AK19:AK32" si="5">Y19+AI19</f>
        <v>17</v>
      </c>
    </row>
    <row r="20" spans="1:37" ht="15.75" x14ac:dyDescent="0.25">
      <c r="A20" s="1083" t="s">
        <v>1239</v>
      </c>
      <c r="B20" s="1084">
        <v>1</v>
      </c>
      <c r="C20" s="1084">
        <v>1</v>
      </c>
      <c r="D20" s="1084">
        <v>1</v>
      </c>
      <c r="E20" s="1084">
        <v>1</v>
      </c>
      <c r="F20" s="1084">
        <v>1</v>
      </c>
      <c r="G20" s="1084"/>
      <c r="H20" s="1084">
        <v>1</v>
      </c>
      <c r="I20" s="1084">
        <v>1</v>
      </c>
      <c r="J20" s="1084"/>
      <c r="K20" s="1084">
        <v>1</v>
      </c>
      <c r="L20" s="1085">
        <v>1</v>
      </c>
      <c r="M20" s="1084">
        <v>1</v>
      </c>
      <c r="N20" s="1084"/>
      <c r="O20" s="1084">
        <v>1</v>
      </c>
      <c r="P20" s="1085">
        <v>1</v>
      </c>
      <c r="Q20" s="1084">
        <v>1</v>
      </c>
      <c r="R20" s="1085"/>
      <c r="S20" s="1084"/>
      <c r="T20" s="1084">
        <v>1</v>
      </c>
      <c r="U20" s="1084">
        <v>1</v>
      </c>
      <c r="V20" s="1084">
        <v>1</v>
      </c>
      <c r="W20" s="1084"/>
      <c r="X20" s="1085"/>
      <c r="Y20" s="1086">
        <f t="shared" si="4"/>
        <v>16</v>
      </c>
      <c r="Z20" s="1065"/>
      <c r="AA20" s="1083" t="s">
        <v>1239</v>
      </c>
      <c r="AB20" s="1084">
        <v>1</v>
      </c>
      <c r="AC20" s="1084">
        <v>1</v>
      </c>
      <c r="AD20" s="1084"/>
      <c r="AE20" s="1084"/>
      <c r="AF20" s="1084"/>
      <c r="AG20" s="1085"/>
      <c r="AH20" s="1085"/>
      <c r="AI20" s="1086">
        <f t="shared" si="1"/>
        <v>2</v>
      </c>
      <c r="AJ20" s="1065"/>
      <c r="AK20" s="1082">
        <f t="shared" si="5"/>
        <v>18</v>
      </c>
    </row>
    <row r="21" spans="1:37" ht="15.75" x14ac:dyDescent="0.25">
      <c r="A21" s="1083" t="s">
        <v>1240</v>
      </c>
      <c r="B21" s="1084">
        <v>1</v>
      </c>
      <c r="C21" s="1084">
        <v>1</v>
      </c>
      <c r="D21" s="1084">
        <v>1</v>
      </c>
      <c r="E21" s="1084">
        <v>1</v>
      </c>
      <c r="F21" s="1084">
        <v>1</v>
      </c>
      <c r="G21" s="1084"/>
      <c r="H21" s="1084">
        <v>1</v>
      </c>
      <c r="I21" s="1084">
        <v>1</v>
      </c>
      <c r="J21" s="1084"/>
      <c r="K21" s="1084">
        <v>1</v>
      </c>
      <c r="L21" s="1085"/>
      <c r="M21" s="1084">
        <v>1</v>
      </c>
      <c r="N21" s="1084"/>
      <c r="O21" s="1084">
        <v>1</v>
      </c>
      <c r="P21" s="1085">
        <v>1</v>
      </c>
      <c r="Q21" s="1084">
        <v>1</v>
      </c>
      <c r="R21" s="1085"/>
      <c r="S21" s="1084"/>
      <c r="T21" s="1084">
        <v>1</v>
      </c>
      <c r="U21" s="1084">
        <v>1</v>
      </c>
      <c r="V21" s="1084">
        <v>1</v>
      </c>
      <c r="W21" s="1084"/>
      <c r="X21" s="1085"/>
      <c r="Y21" s="1086">
        <f t="shared" si="4"/>
        <v>15</v>
      </c>
      <c r="Z21" s="1065"/>
      <c r="AA21" s="1083" t="s">
        <v>1240</v>
      </c>
      <c r="AB21" s="1084">
        <v>1</v>
      </c>
      <c r="AC21" s="1084">
        <v>1</v>
      </c>
      <c r="AD21" s="1084"/>
      <c r="AE21" s="1084"/>
      <c r="AF21" s="1084"/>
      <c r="AG21" s="1085"/>
      <c r="AH21" s="1085"/>
      <c r="AI21" s="1086">
        <f t="shared" si="1"/>
        <v>2</v>
      </c>
      <c r="AJ21" s="1065"/>
      <c r="AK21" s="1082">
        <f t="shared" si="5"/>
        <v>17</v>
      </c>
    </row>
    <row r="22" spans="1:37" ht="15.75" x14ac:dyDescent="0.25">
      <c r="A22" s="1083" t="s">
        <v>1241</v>
      </c>
      <c r="B22" s="1084">
        <v>1</v>
      </c>
      <c r="C22" s="1084">
        <v>1</v>
      </c>
      <c r="D22" s="1084">
        <v>1</v>
      </c>
      <c r="E22" s="1084">
        <v>1</v>
      </c>
      <c r="F22" s="1084">
        <v>1</v>
      </c>
      <c r="G22" s="1084"/>
      <c r="H22" s="1084">
        <v>1</v>
      </c>
      <c r="I22" s="1084">
        <v>1</v>
      </c>
      <c r="J22" s="1084"/>
      <c r="K22" s="1084">
        <v>1</v>
      </c>
      <c r="L22" s="1085"/>
      <c r="M22" s="1084">
        <v>1</v>
      </c>
      <c r="N22" s="1084"/>
      <c r="O22" s="1084">
        <v>1</v>
      </c>
      <c r="P22" s="1085"/>
      <c r="Q22" s="1084">
        <v>1</v>
      </c>
      <c r="R22" s="1085"/>
      <c r="S22" s="1084"/>
      <c r="T22" s="1084">
        <v>1</v>
      </c>
      <c r="U22" s="1084">
        <v>1</v>
      </c>
      <c r="V22" s="1084">
        <v>1</v>
      </c>
      <c r="W22" s="1084">
        <v>1</v>
      </c>
      <c r="X22" s="1085"/>
      <c r="Y22" s="1086">
        <f t="shared" si="4"/>
        <v>15</v>
      </c>
      <c r="Z22" s="1065"/>
      <c r="AA22" s="1083" t="s">
        <v>1241</v>
      </c>
      <c r="AB22" s="1084">
        <v>1</v>
      </c>
      <c r="AC22" s="1084">
        <v>1</v>
      </c>
      <c r="AD22" s="1084"/>
      <c r="AE22" s="1084"/>
      <c r="AF22" s="1084"/>
      <c r="AG22" s="1084"/>
      <c r="AH22" s="1085"/>
      <c r="AI22" s="1086">
        <f t="shared" si="1"/>
        <v>2</v>
      </c>
      <c r="AJ22" s="1065"/>
      <c r="AK22" s="1082">
        <f t="shared" si="5"/>
        <v>17</v>
      </c>
    </row>
    <row r="23" spans="1:37" ht="15.75" x14ac:dyDescent="0.25">
      <c r="A23" s="1087" t="s">
        <v>1242</v>
      </c>
      <c r="B23" s="1088">
        <v>1</v>
      </c>
      <c r="C23" s="1088">
        <v>1</v>
      </c>
      <c r="D23" s="1088">
        <v>1</v>
      </c>
      <c r="E23" s="1088">
        <v>1</v>
      </c>
      <c r="F23" s="1088">
        <v>1</v>
      </c>
      <c r="G23" s="1088"/>
      <c r="H23" s="1088">
        <v>1</v>
      </c>
      <c r="I23" s="1088">
        <v>1</v>
      </c>
      <c r="J23" s="1088"/>
      <c r="K23" s="1088">
        <v>1</v>
      </c>
      <c r="L23" s="1089"/>
      <c r="M23" s="1088">
        <v>1</v>
      </c>
      <c r="N23" s="1088"/>
      <c r="O23" s="1088">
        <v>1</v>
      </c>
      <c r="P23" s="1089"/>
      <c r="Q23" s="1088">
        <v>1</v>
      </c>
      <c r="R23" s="1089">
        <v>1</v>
      </c>
      <c r="S23" s="1088">
        <v>1</v>
      </c>
      <c r="T23" s="1088">
        <v>1</v>
      </c>
      <c r="U23" s="1088">
        <v>1</v>
      </c>
      <c r="V23" s="1088">
        <v>1</v>
      </c>
      <c r="W23" s="1088">
        <v>1</v>
      </c>
      <c r="X23" s="1089"/>
      <c r="Y23" s="1090">
        <f t="shared" si="4"/>
        <v>17</v>
      </c>
      <c r="Z23" s="1065"/>
      <c r="AA23" s="1083" t="s">
        <v>1242</v>
      </c>
      <c r="AB23" s="1084">
        <v>1</v>
      </c>
      <c r="AC23" s="1084">
        <v>1</v>
      </c>
      <c r="AD23" s="1084"/>
      <c r="AE23" s="1084"/>
      <c r="AF23" s="1084"/>
      <c r="AG23" s="1084"/>
      <c r="AH23" s="1085"/>
      <c r="AI23" s="1086">
        <f t="shared" si="1"/>
        <v>2</v>
      </c>
      <c r="AJ23" s="1065"/>
      <c r="AK23" s="1091">
        <f t="shared" si="5"/>
        <v>19</v>
      </c>
    </row>
    <row r="24" spans="1:37" ht="15.75" x14ac:dyDescent="0.25">
      <c r="A24" s="1087" t="s">
        <v>1243</v>
      </c>
      <c r="B24" s="1088">
        <v>1</v>
      </c>
      <c r="C24" s="1088"/>
      <c r="D24" s="1088">
        <v>1</v>
      </c>
      <c r="E24" s="1088">
        <v>1</v>
      </c>
      <c r="F24" s="1088">
        <v>1</v>
      </c>
      <c r="G24" s="1088"/>
      <c r="H24" s="1088">
        <v>1</v>
      </c>
      <c r="I24" s="1088">
        <v>1</v>
      </c>
      <c r="J24" s="1088">
        <v>1</v>
      </c>
      <c r="K24" s="1088">
        <v>1</v>
      </c>
      <c r="L24" s="1089"/>
      <c r="M24" s="1088">
        <v>1</v>
      </c>
      <c r="N24" s="1088"/>
      <c r="O24" s="1088">
        <v>1</v>
      </c>
      <c r="P24" s="1088"/>
      <c r="Q24" s="1088">
        <v>1</v>
      </c>
      <c r="R24" s="1089">
        <v>1</v>
      </c>
      <c r="S24" s="1088">
        <v>1</v>
      </c>
      <c r="T24" s="1088">
        <v>1</v>
      </c>
      <c r="U24" s="1088">
        <v>1</v>
      </c>
      <c r="V24" s="1088">
        <v>1</v>
      </c>
      <c r="W24" s="1088">
        <v>1</v>
      </c>
      <c r="X24" s="1089"/>
      <c r="Y24" s="1090">
        <f t="shared" si="4"/>
        <v>17</v>
      </c>
      <c r="Z24" s="1065"/>
      <c r="AA24" s="1083" t="s">
        <v>1243</v>
      </c>
      <c r="AB24" s="1084">
        <v>1</v>
      </c>
      <c r="AC24" s="1084">
        <v>1</v>
      </c>
      <c r="AD24" s="1084"/>
      <c r="AE24" s="1084"/>
      <c r="AF24" s="1084"/>
      <c r="AG24" s="1084"/>
      <c r="AH24" s="1085"/>
      <c r="AI24" s="1086">
        <f t="shared" si="1"/>
        <v>2</v>
      </c>
      <c r="AJ24" s="1065"/>
      <c r="AK24" s="1091">
        <f t="shared" si="5"/>
        <v>19</v>
      </c>
    </row>
    <row r="25" spans="1:37" ht="15.75" x14ac:dyDescent="0.25">
      <c r="A25" s="1083" t="s">
        <v>1244</v>
      </c>
      <c r="B25" s="1084">
        <v>1</v>
      </c>
      <c r="C25" s="1084"/>
      <c r="D25" s="1084">
        <v>1</v>
      </c>
      <c r="E25" s="1084">
        <v>1</v>
      </c>
      <c r="F25" s="1084">
        <v>1</v>
      </c>
      <c r="G25" s="1084"/>
      <c r="H25" s="1085">
        <v>1</v>
      </c>
      <c r="I25" s="1084">
        <v>1</v>
      </c>
      <c r="J25" s="1084">
        <v>1</v>
      </c>
      <c r="K25" s="1084">
        <v>1</v>
      </c>
      <c r="L25" s="1085"/>
      <c r="M25" s="1084">
        <v>1</v>
      </c>
      <c r="N25" s="1084"/>
      <c r="O25" s="1084"/>
      <c r="P25" s="1084"/>
      <c r="Q25" s="1084">
        <v>1</v>
      </c>
      <c r="R25" s="1085">
        <v>1</v>
      </c>
      <c r="S25" s="1084">
        <v>1</v>
      </c>
      <c r="T25" s="1084">
        <v>1</v>
      </c>
      <c r="U25" s="1084">
        <v>1</v>
      </c>
      <c r="V25" s="1084">
        <v>1</v>
      </c>
      <c r="W25" s="1084">
        <v>1</v>
      </c>
      <c r="X25" s="1085"/>
      <c r="Y25" s="1086">
        <f t="shared" si="4"/>
        <v>16</v>
      </c>
      <c r="Z25" s="1065"/>
      <c r="AA25" s="1083" t="s">
        <v>1244</v>
      </c>
      <c r="AB25" s="1084">
        <v>1</v>
      </c>
      <c r="AC25" s="1084">
        <v>1</v>
      </c>
      <c r="AD25" s="1084"/>
      <c r="AE25" s="1084"/>
      <c r="AF25" s="1084"/>
      <c r="AG25" s="1084"/>
      <c r="AH25" s="1085"/>
      <c r="AI25" s="1086">
        <f t="shared" si="1"/>
        <v>2</v>
      </c>
      <c r="AJ25" s="1065"/>
      <c r="AK25" s="1082">
        <f t="shared" si="5"/>
        <v>18</v>
      </c>
    </row>
    <row r="26" spans="1:37" ht="15.75" x14ac:dyDescent="0.25">
      <c r="A26" s="1083" t="s">
        <v>1245</v>
      </c>
      <c r="B26" s="1084">
        <v>1</v>
      </c>
      <c r="C26" s="1084"/>
      <c r="D26" s="1084">
        <v>1</v>
      </c>
      <c r="E26" s="1084"/>
      <c r="F26" s="1084">
        <v>1</v>
      </c>
      <c r="G26" s="1084"/>
      <c r="H26" s="1085">
        <v>1</v>
      </c>
      <c r="I26" s="1084">
        <v>1</v>
      </c>
      <c r="J26" s="1084">
        <v>1</v>
      </c>
      <c r="K26" s="1084">
        <v>1</v>
      </c>
      <c r="L26" s="1085"/>
      <c r="M26" s="1084">
        <v>1</v>
      </c>
      <c r="N26" s="1084">
        <v>1</v>
      </c>
      <c r="O26" s="1084"/>
      <c r="P26" s="1084"/>
      <c r="Q26" s="1084">
        <v>1</v>
      </c>
      <c r="R26" s="1085">
        <v>1</v>
      </c>
      <c r="S26" s="1084">
        <v>1</v>
      </c>
      <c r="T26" s="1084">
        <v>1</v>
      </c>
      <c r="U26" s="1084">
        <v>1</v>
      </c>
      <c r="V26" s="1084">
        <v>1</v>
      </c>
      <c r="W26" s="1084">
        <v>1</v>
      </c>
      <c r="X26" s="1085"/>
      <c r="Y26" s="1086">
        <f t="shared" si="4"/>
        <v>16</v>
      </c>
      <c r="Z26" s="1065"/>
      <c r="AA26" s="1083" t="s">
        <v>1245</v>
      </c>
      <c r="AB26" s="1084">
        <v>1</v>
      </c>
      <c r="AC26" s="1084">
        <v>1</v>
      </c>
      <c r="AD26" s="1084"/>
      <c r="AE26" s="1084"/>
      <c r="AF26" s="1084"/>
      <c r="AG26" s="1084"/>
      <c r="AH26" s="1085"/>
      <c r="AI26" s="1086">
        <f t="shared" si="1"/>
        <v>2</v>
      </c>
      <c r="AJ26" s="1065"/>
      <c r="AK26" s="1082">
        <f t="shared" si="5"/>
        <v>18</v>
      </c>
    </row>
    <row r="27" spans="1:37" ht="15.75" x14ac:dyDescent="0.25">
      <c r="A27" s="1083" t="s">
        <v>1246</v>
      </c>
      <c r="B27" s="1084">
        <v>1</v>
      </c>
      <c r="C27" s="1084"/>
      <c r="D27" s="1084">
        <v>1</v>
      </c>
      <c r="E27" s="1084"/>
      <c r="F27" s="1084">
        <v>1</v>
      </c>
      <c r="G27" s="1084"/>
      <c r="H27" s="1085">
        <v>1</v>
      </c>
      <c r="I27" s="1084"/>
      <c r="J27" s="1084">
        <v>1</v>
      </c>
      <c r="K27" s="1084">
        <v>1</v>
      </c>
      <c r="L27" s="1085"/>
      <c r="M27" s="1084">
        <v>1</v>
      </c>
      <c r="N27" s="1084">
        <v>1</v>
      </c>
      <c r="O27" s="1084"/>
      <c r="P27" s="1084"/>
      <c r="Q27" s="1084">
        <v>1</v>
      </c>
      <c r="R27" s="1085">
        <v>1</v>
      </c>
      <c r="S27" s="1084">
        <v>1</v>
      </c>
      <c r="T27" s="1084">
        <v>1</v>
      </c>
      <c r="U27" s="1084">
        <v>1</v>
      </c>
      <c r="V27" s="1084">
        <v>1</v>
      </c>
      <c r="W27" s="1084">
        <v>1</v>
      </c>
      <c r="X27" s="1085"/>
      <c r="Y27" s="1086">
        <f t="shared" si="4"/>
        <v>15</v>
      </c>
      <c r="Z27" s="1065"/>
      <c r="AA27" s="1083" t="s">
        <v>1246</v>
      </c>
      <c r="AB27" s="1084">
        <v>1</v>
      </c>
      <c r="AC27" s="1084">
        <v>1</v>
      </c>
      <c r="AD27" s="1084"/>
      <c r="AE27" s="1084"/>
      <c r="AF27" s="1084"/>
      <c r="AG27" s="1084"/>
      <c r="AH27" s="1085"/>
      <c r="AI27" s="1086">
        <f t="shared" si="1"/>
        <v>2</v>
      </c>
      <c r="AJ27" s="1065"/>
      <c r="AK27" s="1082">
        <f t="shared" si="5"/>
        <v>17</v>
      </c>
    </row>
    <row r="28" spans="1:37" ht="15.75" x14ac:dyDescent="0.25">
      <c r="A28" s="1083" t="s">
        <v>1247</v>
      </c>
      <c r="B28" s="1084">
        <v>1</v>
      </c>
      <c r="C28" s="1084"/>
      <c r="D28" s="1084"/>
      <c r="E28" s="1084"/>
      <c r="F28" s="1084">
        <v>1</v>
      </c>
      <c r="G28" s="1084"/>
      <c r="H28" s="1084">
        <v>1</v>
      </c>
      <c r="I28" s="1084"/>
      <c r="J28" s="1084">
        <v>1</v>
      </c>
      <c r="K28" s="1084">
        <v>1</v>
      </c>
      <c r="L28" s="1084"/>
      <c r="M28" s="1084">
        <v>1</v>
      </c>
      <c r="N28" s="1084">
        <v>1</v>
      </c>
      <c r="O28" s="1084"/>
      <c r="P28" s="1084"/>
      <c r="Q28" s="1084">
        <v>1</v>
      </c>
      <c r="R28" s="1085">
        <v>1</v>
      </c>
      <c r="S28" s="1084">
        <v>1</v>
      </c>
      <c r="T28" s="1084">
        <v>1</v>
      </c>
      <c r="U28" s="1084">
        <v>1</v>
      </c>
      <c r="V28" s="1084">
        <v>1</v>
      </c>
      <c r="W28" s="1084">
        <v>1</v>
      </c>
      <c r="X28" s="1085"/>
      <c r="Y28" s="1086">
        <f t="shared" si="4"/>
        <v>14</v>
      </c>
      <c r="Z28" s="1065"/>
      <c r="AA28" s="1083" t="s">
        <v>1247</v>
      </c>
      <c r="AB28" s="1084">
        <v>1</v>
      </c>
      <c r="AC28" s="1084">
        <v>1</v>
      </c>
      <c r="AD28" s="1084"/>
      <c r="AE28" s="1084"/>
      <c r="AF28" s="1084"/>
      <c r="AG28" s="1084"/>
      <c r="AH28" s="1084"/>
      <c r="AI28" s="1086">
        <f t="shared" si="1"/>
        <v>2</v>
      </c>
      <c r="AJ28" s="1065"/>
      <c r="AK28" s="1082">
        <f t="shared" si="5"/>
        <v>16</v>
      </c>
    </row>
    <row r="29" spans="1:37" ht="15.75" x14ac:dyDescent="0.25">
      <c r="A29" s="1083" t="s">
        <v>1248</v>
      </c>
      <c r="B29" s="1084">
        <v>1</v>
      </c>
      <c r="C29" s="1084"/>
      <c r="D29" s="1084"/>
      <c r="E29" s="1084"/>
      <c r="F29" s="1084">
        <v>1</v>
      </c>
      <c r="G29" s="1084"/>
      <c r="H29" s="1084">
        <v>1</v>
      </c>
      <c r="I29" s="1084"/>
      <c r="J29" s="1084">
        <v>1</v>
      </c>
      <c r="K29" s="1084">
        <v>1</v>
      </c>
      <c r="L29" s="1084"/>
      <c r="M29" s="1084">
        <v>1</v>
      </c>
      <c r="N29" s="1084">
        <v>1</v>
      </c>
      <c r="O29" s="1084"/>
      <c r="P29" s="1084"/>
      <c r="Q29" s="1084"/>
      <c r="R29" s="1085">
        <v>1</v>
      </c>
      <c r="S29" s="1084">
        <v>1</v>
      </c>
      <c r="T29" s="1084">
        <v>1</v>
      </c>
      <c r="U29" s="1084">
        <v>1</v>
      </c>
      <c r="V29" s="1084">
        <v>1</v>
      </c>
      <c r="W29" s="1084">
        <v>1</v>
      </c>
      <c r="X29" s="1085"/>
      <c r="Y29" s="1086">
        <f t="shared" si="4"/>
        <v>13</v>
      </c>
      <c r="Z29" s="1065"/>
      <c r="AA29" s="1083" t="s">
        <v>1248</v>
      </c>
      <c r="AB29" s="1084">
        <v>1</v>
      </c>
      <c r="AC29" s="1084">
        <v>1</v>
      </c>
      <c r="AD29" s="1084"/>
      <c r="AE29" s="1084"/>
      <c r="AF29" s="1084"/>
      <c r="AG29" s="1084"/>
      <c r="AH29" s="1084"/>
      <c r="AI29" s="1086">
        <f t="shared" si="1"/>
        <v>2</v>
      </c>
      <c r="AJ29" s="1065"/>
      <c r="AK29" s="1082">
        <f t="shared" si="5"/>
        <v>15</v>
      </c>
    </row>
    <row r="30" spans="1:37" ht="15.75" x14ac:dyDescent="0.25">
      <c r="A30" s="1083" t="s">
        <v>1249</v>
      </c>
      <c r="B30" s="1084">
        <v>1</v>
      </c>
      <c r="C30" s="1084"/>
      <c r="D30" s="1084"/>
      <c r="E30" s="1084"/>
      <c r="F30" s="1084">
        <v>1</v>
      </c>
      <c r="G30" s="1084"/>
      <c r="H30" s="1084">
        <v>1</v>
      </c>
      <c r="I30" s="1084"/>
      <c r="J30" s="1084">
        <v>1</v>
      </c>
      <c r="K30" s="1084">
        <v>1</v>
      </c>
      <c r="L30" s="1084"/>
      <c r="M30" s="1084">
        <v>1</v>
      </c>
      <c r="N30" s="1084">
        <v>1</v>
      </c>
      <c r="O30" s="1084"/>
      <c r="P30" s="1084"/>
      <c r="Q30" s="1084"/>
      <c r="R30" s="1085">
        <v>1</v>
      </c>
      <c r="S30" s="1084">
        <v>1</v>
      </c>
      <c r="T30" s="1084">
        <v>1</v>
      </c>
      <c r="U30" s="1084">
        <v>1</v>
      </c>
      <c r="V30" s="1084">
        <v>1</v>
      </c>
      <c r="W30" s="1084">
        <v>1</v>
      </c>
      <c r="X30" s="1085"/>
      <c r="Y30" s="1086">
        <f t="shared" si="4"/>
        <v>13</v>
      </c>
      <c r="Z30" s="1065"/>
      <c r="AA30" s="1083" t="s">
        <v>1249</v>
      </c>
      <c r="AB30" s="1084">
        <v>1</v>
      </c>
      <c r="AC30" s="1084">
        <v>1</v>
      </c>
      <c r="AD30" s="1084"/>
      <c r="AE30" s="1084"/>
      <c r="AF30" s="1084"/>
      <c r="AG30" s="1084"/>
      <c r="AH30" s="1084"/>
      <c r="AI30" s="1086">
        <f t="shared" si="1"/>
        <v>2</v>
      </c>
      <c r="AJ30" s="1065"/>
      <c r="AK30" s="1082">
        <f t="shared" si="5"/>
        <v>15</v>
      </c>
    </row>
    <row r="31" spans="1:37" ht="15.75" x14ac:dyDescent="0.25">
      <c r="A31" s="1083" t="s">
        <v>1250</v>
      </c>
      <c r="B31" s="1084">
        <v>1</v>
      </c>
      <c r="C31" s="1084"/>
      <c r="D31" s="1084"/>
      <c r="E31" s="1084"/>
      <c r="F31" s="1084">
        <v>1</v>
      </c>
      <c r="G31" s="1084"/>
      <c r="H31" s="1084">
        <v>1</v>
      </c>
      <c r="I31" s="1084"/>
      <c r="J31" s="1084">
        <v>1</v>
      </c>
      <c r="K31" s="1084">
        <v>1</v>
      </c>
      <c r="L31" s="1084"/>
      <c r="M31" s="1084">
        <v>1</v>
      </c>
      <c r="N31" s="1084">
        <v>1</v>
      </c>
      <c r="O31" s="1084"/>
      <c r="P31" s="1084"/>
      <c r="Q31" s="1084"/>
      <c r="R31" s="1085">
        <v>1</v>
      </c>
      <c r="S31" s="1084">
        <v>1</v>
      </c>
      <c r="T31" s="1084">
        <v>1</v>
      </c>
      <c r="U31" s="1084">
        <v>1</v>
      </c>
      <c r="V31" s="1084">
        <v>1</v>
      </c>
      <c r="W31" s="1084">
        <v>1</v>
      </c>
      <c r="X31" s="1085"/>
      <c r="Y31" s="1086">
        <f t="shared" si="4"/>
        <v>13</v>
      </c>
      <c r="Z31" s="1065"/>
      <c r="AA31" s="1083" t="s">
        <v>1250</v>
      </c>
      <c r="AB31" s="1084">
        <v>1</v>
      </c>
      <c r="AC31" s="1084">
        <v>1</v>
      </c>
      <c r="AD31" s="1084"/>
      <c r="AE31" s="1084"/>
      <c r="AF31" s="1084"/>
      <c r="AG31" s="1084"/>
      <c r="AH31" s="1084"/>
      <c r="AI31" s="1086">
        <f t="shared" si="1"/>
        <v>2</v>
      </c>
      <c r="AJ31" s="1065"/>
      <c r="AK31" s="1082">
        <f t="shared" si="5"/>
        <v>15</v>
      </c>
    </row>
    <row r="32" spans="1:37" ht="15.75" x14ac:dyDescent="0.25">
      <c r="A32" s="1083" t="s">
        <v>1251</v>
      </c>
      <c r="B32" s="1084">
        <v>1</v>
      </c>
      <c r="C32" s="1084"/>
      <c r="D32" s="1084"/>
      <c r="E32" s="1084"/>
      <c r="F32" s="1084">
        <v>1</v>
      </c>
      <c r="G32" s="1084"/>
      <c r="H32" s="1084">
        <v>1</v>
      </c>
      <c r="I32" s="1084"/>
      <c r="J32" s="1084">
        <v>1</v>
      </c>
      <c r="K32" s="1084">
        <v>1</v>
      </c>
      <c r="L32" s="1084"/>
      <c r="M32" s="1084">
        <v>1</v>
      </c>
      <c r="N32" s="1084">
        <v>1</v>
      </c>
      <c r="O32" s="1084"/>
      <c r="P32" s="1084"/>
      <c r="Q32" s="1084"/>
      <c r="R32" s="1085">
        <v>1</v>
      </c>
      <c r="S32" s="1084">
        <v>1</v>
      </c>
      <c r="T32" s="1084">
        <v>1</v>
      </c>
      <c r="U32" s="1084">
        <v>1</v>
      </c>
      <c r="V32" s="1084">
        <v>1</v>
      </c>
      <c r="W32" s="1084">
        <v>1</v>
      </c>
      <c r="X32" s="1085"/>
      <c r="Y32" s="1086">
        <f t="shared" si="4"/>
        <v>13</v>
      </c>
      <c r="Z32" s="1065"/>
      <c r="AA32" s="1083" t="s">
        <v>1251</v>
      </c>
      <c r="AB32" s="1084">
        <v>1</v>
      </c>
      <c r="AC32" s="1084">
        <v>1</v>
      </c>
      <c r="AD32" s="1084"/>
      <c r="AE32" s="1084"/>
      <c r="AF32" s="1084"/>
      <c r="AG32" s="1084"/>
      <c r="AH32" s="1084"/>
      <c r="AI32" s="1086">
        <f t="shared" si="1"/>
        <v>2</v>
      </c>
      <c r="AJ32" s="1065"/>
      <c r="AK32" s="1082">
        <f t="shared" si="5"/>
        <v>15</v>
      </c>
    </row>
    <row r="33" spans="1:37" ht="15.75" x14ac:dyDescent="0.25">
      <c r="A33" s="1083" t="s">
        <v>1252</v>
      </c>
      <c r="B33" s="1084">
        <v>1</v>
      </c>
      <c r="C33" s="1084"/>
      <c r="D33" s="1084"/>
      <c r="E33" s="1084"/>
      <c r="F33" s="1084">
        <v>1</v>
      </c>
      <c r="G33" s="1084"/>
      <c r="H33" s="1084">
        <v>1</v>
      </c>
      <c r="I33" s="1084"/>
      <c r="J33" s="1084">
        <v>1</v>
      </c>
      <c r="K33" s="1084">
        <v>1</v>
      </c>
      <c r="L33" s="1084"/>
      <c r="M33" s="1084">
        <v>1</v>
      </c>
      <c r="N33" s="1084">
        <v>1</v>
      </c>
      <c r="O33" s="1084"/>
      <c r="P33" s="1084"/>
      <c r="Q33" s="1084"/>
      <c r="R33" s="1085">
        <v>1</v>
      </c>
      <c r="S33" s="1084">
        <v>1</v>
      </c>
      <c r="T33" s="1084">
        <v>1</v>
      </c>
      <c r="U33" s="1084">
        <v>1</v>
      </c>
      <c r="V33" s="1084">
        <v>1</v>
      </c>
      <c r="W33" s="1084">
        <v>1</v>
      </c>
      <c r="X33" s="1085"/>
      <c r="Y33" s="1086">
        <f t="shared" si="4"/>
        <v>13</v>
      </c>
      <c r="Z33" s="1065"/>
      <c r="AA33" s="1083" t="s">
        <v>1252</v>
      </c>
      <c r="AB33" s="1084">
        <v>1</v>
      </c>
      <c r="AC33" s="1084">
        <v>1</v>
      </c>
      <c r="AD33" s="1084"/>
      <c r="AE33" s="1084"/>
      <c r="AF33" s="1084"/>
      <c r="AG33" s="1084"/>
      <c r="AH33" s="1084"/>
      <c r="AI33" s="1086">
        <f t="shared" si="1"/>
        <v>2</v>
      </c>
      <c r="AJ33" s="1065"/>
      <c r="AK33" s="1082">
        <f t="shared" si="2"/>
        <v>15</v>
      </c>
    </row>
    <row r="34" spans="1:37" ht="15.75" x14ac:dyDescent="0.25">
      <c r="A34" s="1083" t="s">
        <v>1253</v>
      </c>
      <c r="B34" s="1084">
        <v>1</v>
      </c>
      <c r="C34" s="1084"/>
      <c r="D34" s="1085"/>
      <c r="E34" s="1084"/>
      <c r="F34" s="1084">
        <v>1</v>
      </c>
      <c r="G34" s="1084"/>
      <c r="H34" s="1085">
        <v>1</v>
      </c>
      <c r="I34" s="1084"/>
      <c r="J34" s="1084">
        <v>1</v>
      </c>
      <c r="K34" s="1084">
        <v>1</v>
      </c>
      <c r="L34" s="1085"/>
      <c r="M34" s="1084">
        <v>1</v>
      </c>
      <c r="N34" s="1084">
        <v>1</v>
      </c>
      <c r="O34" s="1084"/>
      <c r="P34" s="1084"/>
      <c r="Q34" s="1084"/>
      <c r="R34" s="1085">
        <v>1</v>
      </c>
      <c r="S34" s="1084">
        <v>1</v>
      </c>
      <c r="T34" s="1084">
        <v>1</v>
      </c>
      <c r="U34" s="1084">
        <v>1</v>
      </c>
      <c r="V34" s="1084">
        <v>1</v>
      </c>
      <c r="W34" s="1084"/>
      <c r="X34" s="1085"/>
      <c r="Y34" s="1086">
        <f t="shared" si="4"/>
        <v>12</v>
      </c>
      <c r="Z34" s="1065"/>
      <c r="AA34" s="1087" t="s">
        <v>1253</v>
      </c>
      <c r="AB34" s="1088">
        <v>1</v>
      </c>
      <c r="AC34" s="1088">
        <v>1</v>
      </c>
      <c r="AD34" s="1088">
        <v>1</v>
      </c>
      <c r="AE34" s="1088"/>
      <c r="AF34" s="1088"/>
      <c r="AG34" s="1088"/>
      <c r="AH34" s="1089"/>
      <c r="AI34" s="1090">
        <f t="shared" si="1"/>
        <v>3</v>
      </c>
      <c r="AJ34" s="1065"/>
      <c r="AK34" s="1082">
        <f t="shared" si="2"/>
        <v>15</v>
      </c>
    </row>
    <row r="35" spans="1:37" ht="15.75" x14ac:dyDescent="0.25">
      <c r="A35" s="1083" t="s">
        <v>1254</v>
      </c>
      <c r="B35" s="1084">
        <v>1</v>
      </c>
      <c r="C35" s="1084"/>
      <c r="D35" s="1085"/>
      <c r="E35" s="1084"/>
      <c r="F35" s="1084">
        <v>1</v>
      </c>
      <c r="G35" s="1084"/>
      <c r="H35" s="1085">
        <v>1</v>
      </c>
      <c r="I35" s="1084"/>
      <c r="J35" s="1084">
        <v>1</v>
      </c>
      <c r="K35" s="1084">
        <v>1</v>
      </c>
      <c r="L35" s="1085"/>
      <c r="M35" s="1084">
        <v>1</v>
      </c>
      <c r="N35" s="1084">
        <v>1</v>
      </c>
      <c r="O35" s="1084"/>
      <c r="P35" s="1084"/>
      <c r="Q35" s="1084"/>
      <c r="R35" s="1085">
        <v>1</v>
      </c>
      <c r="S35" s="1084">
        <v>1</v>
      </c>
      <c r="T35" s="1084">
        <v>1</v>
      </c>
      <c r="U35" s="1084">
        <v>1</v>
      </c>
      <c r="V35" s="1084">
        <v>1</v>
      </c>
      <c r="W35" s="1084"/>
      <c r="X35" s="1085"/>
      <c r="Y35" s="1086">
        <f t="shared" si="4"/>
        <v>12</v>
      </c>
      <c r="Z35" s="1065"/>
      <c r="AA35" s="1087" t="s">
        <v>1254</v>
      </c>
      <c r="AB35" s="1088">
        <v>1</v>
      </c>
      <c r="AC35" s="1088">
        <v>1</v>
      </c>
      <c r="AD35" s="1088">
        <v>1</v>
      </c>
      <c r="AE35" s="1088"/>
      <c r="AF35" s="1088"/>
      <c r="AG35" s="1089"/>
      <c r="AH35" s="1089"/>
      <c r="AI35" s="1090">
        <f t="shared" si="1"/>
        <v>3</v>
      </c>
      <c r="AJ35" s="1065"/>
      <c r="AK35" s="1082">
        <f t="shared" si="2"/>
        <v>15</v>
      </c>
    </row>
    <row r="36" spans="1:37" ht="15.75" x14ac:dyDescent="0.25">
      <c r="A36" s="1083" t="s">
        <v>1255</v>
      </c>
      <c r="B36" s="1084">
        <v>1</v>
      </c>
      <c r="C36" s="1084"/>
      <c r="D36" s="1085"/>
      <c r="E36" s="1084"/>
      <c r="F36" s="1084">
        <v>1</v>
      </c>
      <c r="G36" s="1084"/>
      <c r="H36" s="1085"/>
      <c r="I36" s="1084"/>
      <c r="J36" s="1084">
        <v>1</v>
      </c>
      <c r="K36" s="1084">
        <v>1</v>
      </c>
      <c r="L36" s="1085"/>
      <c r="M36" s="1084">
        <v>1</v>
      </c>
      <c r="N36" s="1084">
        <v>1</v>
      </c>
      <c r="O36" s="1084"/>
      <c r="P36" s="1084"/>
      <c r="Q36" s="1084"/>
      <c r="R36" s="1085">
        <v>1</v>
      </c>
      <c r="S36" s="1084">
        <v>1</v>
      </c>
      <c r="T36" s="1084">
        <v>1</v>
      </c>
      <c r="U36" s="1084">
        <v>1</v>
      </c>
      <c r="V36" s="1084">
        <v>1</v>
      </c>
      <c r="W36" s="1084"/>
      <c r="X36" s="1085"/>
      <c r="Y36" s="1086">
        <f t="shared" si="4"/>
        <v>11</v>
      </c>
      <c r="Z36" s="1065"/>
      <c r="AA36" s="1087" t="s">
        <v>1255</v>
      </c>
      <c r="AB36" s="1088">
        <v>1</v>
      </c>
      <c r="AC36" s="1088">
        <v>1</v>
      </c>
      <c r="AD36" s="1088">
        <v>1</v>
      </c>
      <c r="AE36" s="1088"/>
      <c r="AF36" s="1088"/>
      <c r="AG36" s="1089"/>
      <c r="AH36" s="1089"/>
      <c r="AI36" s="1090">
        <f t="shared" si="1"/>
        <v>3</v>
      </c>
      <c r="AJ36" s="1065"/>
      <c r="AK36" s="1082">
        <f t="shared" si="2"/>
        <v>14</v>
      </c>
    </row>
    <row r="37" spans="1:37" ht="15.75" x14ac:dyDescent="0.25">
      <c r="A37" s="1083" t="s">
        <v>1256</v>
      </c>
      <c r="B37" s="1084">
        <v>1</v>
      </c>
      <c r="C37" s="1084"/>
      <c r="D37" s="1084"/>
      <c r="E37" s="1084"/>
      <c r="F37" s="1085">
        <v>1</v>
      </c>
      <c r="G37" s="1084"/>
      <c r="H37" s="1085"/>
      <c r="I37" s="1084"/>
      <c r="J37" s="1084">
        <v>1</v>
      </c>
      <c r="K37" s="1084">
        <v>1</v>
      </c>
      <c r="L37" s="1085"/>
      <c r="M37" s="1084">
        <v>1</v>
      </c>
      <c r="N37" s="1084"/>
      <c r="O37" s="1084"/>
      <c r="P37" s="1085"/>
      <c r="Q37" s="1084"/>
      <c r="R37" s="1085">
        <v>1</v>
      </c>
      <c r="S37" s="1084">
        <v>1</v>
      </c>
      <c r="T37" s="1084">
        <v>1</v>
      </c>
      <c r="U37" s="1084">
        <v>1</v>
      </c>
      <c r="V37" s="1084">
        <v>1</v>
      </c>
      <c r="W37" s="1084"/>
      <c r="X37" s="1085"/>
      <c r="Y37" s="1086">
        <f t="shared" si="4"/>
        <v>10</v>
      </c>
      <c r="Z37" s="1065"/>
      <c r="AA37" s="1087" t="s">
        <v>1256</v>
      </c>
      <c r="AB37" s="1088">
        <v>1</v>
      </c>
      <c r="AC37" s="1088">
        <v>1</v>
      </c>
      <c r="AD37" s="1088">
        <v>1</v>
      </c>
      <c r="AE37" s="1088"/>
      <c r="AF37" s="1089"/>
      <c r="AG37" s="1089"/>
      <c r="AH37" s="1089"/>
      <c r="AI37" s="1090">
        <f t="shared" si="1"/>
        <v>3</v>
      </c>
      <c r="AJ37" s="1065"/>
      <c r="AK37" s="1082">
        <f t="shared" si="2"/>
        <v>13</v>
      </c>
    </row>
    <row r="38" spans="1:37" ht="15.75" x14ac:dyDescent="0.25">
      <c r="A38" s="1083" t="s">
        <v>1257</v>
      </c>
      <c r="B38" s="1084">
        <v>1</v>
      </c>
      <c r="C38" s="1084">
        <v>1</v>
      </c>
      <c r="D38" s="1084"/>
      <c r="E38" s="1084"/>
      <c r="F38" s="1085">
        <v>1</v>
      </c>
      <c r="G38" s="1084"/>
      <c r="H38" s="1085"/>
      <c r="I38" s="1084"/>
      <c r="J38" s="1084">
        <v>1</v>
      </c>
      <c r="K38" s="1084">
        <v>1</v>
      </c>
      <c r="L38" s="1085"/>
      <c r="M38" s="1084">
        <v>1</v>
      </c>
      <c r="N38" s="1084"/>
      <c r="O38" s="1084"/>
      <c r="P38" s="1085"/>
      <c r="Q38" s="1085"/>
      <c r="R38" s="1085">
        <v>1</v>
      </c>
      <c r="S38" s="1084"/>
      <c r="T38" s="1084">
        <v>1</v>
      </c>
      <c r="U38" s="1084">
        <v>1</v>
      </c>
      <c r="V38" s="1084">
        <v>1</v>
      </c>
      <c r="W38" s="1084"/>
      <c r="X38" s="1085"/>
      <c r="Y38" s="1086">
        <f t="shared" si="4"/>
        <v>10</v>
      </c>
      <c r="Z38" s="1065"/>
      <c r="AA38" s="1083" t="s">
        <v>1257</v>
      </c>
      <c r="AB38" s="1084">
        <v>1</v>
      </c>
      <c r="AC38" s="1084"/>
      <c r="AD38" s="1084">
        <v>1</v>
      </c>
      <c r="AE38" s="1084"/>
      <c r="AF38" s="1085"/>
      <c r="AG38" s="1085"/>
      <c r="AH38" s="1085"/>
      <c r="AI38" s="1086">
        <f t="shared" si="1"/>
        <v>2</v>
      </c>
      <c r="AJ38" s="1065"/>
      <c r="AK38" s="1082">
        <f t="shared" si="2"/>
        <v>12</v>
      </c>
    </row>
    <row r="39" spans="1:37" ht="15.75" x14ac:dyDescent="0.25">
      <c r="A39" s="1083" t="s">
        <v>1258</v>
      </c>
      <c r="B39" s="1084">
        <v>1</v>
      </c>
      <c r="C39" s="1084">
        <v>1</v>
      </c>
      <c r="D39" s="1084"/>
      <c r="E39" s="1084"/>
      <c r="F39" s="1085">
        <v>1</v>
      </c>
      <c r="G39" s="1084"/>
      <c r="H39" s="1085"/>
      <c r="I39" s="1085"/>
      <c r="J39" s="1084"/>
      <c r="K39" s="1084">
        <v>1</v>
      </c>
      <c r="L39" s="1085"/>
      <c r="M39" s="1084">
        <v>1</v>
      </c>
      <c r="N39" s="1084"/>
      <c r="O39" s="1084"/>
      <c r="P39" s="1085"/>
      <c r="Q39" s="1085"/>
      <c r="R39" s="1085">
        <v>1</v>
      </c>
      <c r="S39" s="1084"/>
      <c r="T39" s="1084">
        <v>1</v>
      </c>
      <c r="U39" s="1084">
        <v>1</v>
      </c>
      <c r="V39" s="1084">
        <v>1</v>
      </c>
      <c r="W39" s="1084"/>
      <c r="X39" s="1085"/>
      <c r="Y39" s="1086">
        <f t="shared" si="4"/>
        <v>9</v>
      </c>
      <c r="Z39" s="1065"/>
      <c r="AA39" s="1083" t="s">
        <v>1258</v>
      </c>
      <c r="AB39" s="1084">
        <v>1</v>
      </c>
      <c r="AC39" s="1084"/>
      <c r="AD39" s="1084">
        <v>1</v>
      </c>
      <c r="AE39" s="1084"/>
      <c r="AF39" s="1085"/>
      <c r="AG39" s="1085"/>
      <c r="AH39" s="1085"/>
      <c r="AI39" s="1086">
        <f t="shared" si="1"/>
        <v>2</v>
      </c>
      <c r="AJ39" s="1065"/>
      <c r="AK39" s="1082">
        <f t="shared" si="2"/>
        <v>11</v>
      </c>
    </row>
    <row r="40" spans="1:37" ht="15.75" x14ac:dyDescent="0.25">
      <c r="A40" s="1083" t="s">
        <v>1259</v>
      </c>
      <c r="B40" s="1084">
        <v>1</v>
      </c>
      <c r="C40" s="1084">
        <v>1</v>
      </c>
      <c r="D40" s="1084"/>
      <c r="E40" s="1084"/>
      <c r="F40" s="1085">
        <v>1</v>
      </c>
      <c r="G40" s="1084"/>
      <c r="H40" s="1085"/>
      <c r="I40" s="1085"/>
      <c r="J40" s="1084"/>
      <c r="K40" s="1084"/>
      <c r="L40" s="1085"/>
      <c r="M40" s="1084">
        <v>1</v>
      </c>
      <c r="N40" s="1084"/>
      <c r="O40" s="1084"/>
      <c r="P40" s="1085"/>
      <c r="Q40" s="1085"/>
      <c r="R40" s="1085">
        <v>1</v>
      </c>
      <c r="S40" s="1084"/>
      <c r="T40" s="1084">
        <v>1</v>
      </c>
      <c r="U40" s="1084">
        <v>1</v>
      </c>
      <c r="V40" s="1084">
        <v>1</v>
      </c>
      <c r="W40" s="1084"/>
      <c r="X40" s="1085"/>
      <c r="Y40" s="1086">
        <f t="shared" si="4"/>
        <v>8</v>
      </c>
      <c r="Z40" s="1065"/>
      <c r="AA40" s="1083" t="s">
        <v>1259</v>
      </c>
      <c r="AB40" s="1084">
        <v>1</v>
      </c>
      <c r="AC40" s="1084"/>
      <c r="AD40" s="1084">
        <v>1</v>
      </c>
      <c r="AE40" s="1084"/>
      <c r="AF40" s="1085"/>
      <c r="AG40" s="1085"/>
      <c r="AH40" s="1085"/>
      <c r="AI40" s="1086">
        <f t="shared" si="1"/>
        <v>2</v>
      </c>
      <c r="AJ40" s="1065"/>
      <c r="AK40" s="1082">
        <f t="shared" si="2"/>
        <v>10</v>
      </c>
    </row>
    <row r="41" spans="1:37" ht="15.75" x14ac:dyDescent="0.25">
      <c r="A41" s="1083" t="s">
        <v>1260</v>
      </c>
      <c r="B41" s="1084"/>
      <c r="C41" s="1084">
        <v>1</v>
      </c>
      <c r="D41" s="1084"/>
      <c r="E41" s="1084"/>
      <c r="F41" s="1085">
        <v>1</v>
      </c>
      <c r="G41" s="1084"/>
      <c r="H41" s="1085"/>
      <c r="I41" s="1085"/>
      <c r="J41" s="1084"/>
      <c r="K41" s="1084"/>
      <c r="L41" s="1085"/>
      <c r="M41" s="1084">
        <v>1</v>
      </c>
      <c r="N41" s="1084"/>
      <c r="O41" s="1084"/>
      <c r="P41" s="1085"/>
      <c r="Q41" s="1085"/>
      <c r="R41" s="1085">
        <v>1</v>
      </c>
      <c r="S41" s="1084"/>
      <c r="T41" s="1084">
        <v>1</v>
      </c>
      <c r="U41" s="1084">
        <v>1</v>
      </c>
      <c r="V41" s="1084">
        <v>1</v>
      </c>
      <c r="W41" s="1084"/>
      <c r="X41" s="1085"/>
      <c r="Y41" s="1086">
        <f t="shared" si="4"/>
        <v>7</v>
      </c>
      <c r="Z41" s="1065"/>
      <c r="AA41" s="1083" t="s">
        <v>1260</v>
      </c>
      <c r="AB41" s="1084">
        <v>1</v>
      </c>
      <c r="AC41" s="1084"/>
      <c r="AD41" s="1084">
        <v>1</v>
      </c>
      <c r="AE41" s="1084"/>
      <c r="AF41" s="1085"/>
      <c r="AG41" s="1085"/>
      <c r="AH41" s="1085"/>
      <c r="AI41" s="1086">
        <f t="shared" si="1"/>
        <v>2</v>
      </c>
      <c r="AJ41" s="1065"/>
      <c r="AK41" s="1082">
        <f t="shared" si="2"/>
        <v>9</v>
      </c>
    </row>
    <row r="42" spans="1:37" ht="15.75" x14ac:dyDescent="0.25">
      <c r="A42" s="1083" t="s">
        <v>1261</v>
      </c>
      <c r="B42" s="1084"/>
      <c r="C42" s="1084">
        <v>1</v>
      </c>
      <c r="D42" s="1084"/>
      <c r="E42" s="1084"/>
      <c r="F42" s="1085">
        <v>1</v>
      </c>
      <c r="G42" s="1084"/>
      <c r="H42" s="1085"/>
      <c r="I42" s="1085"/>
      <c r="J42" s="1084"/>
      <c r="K42" s="1084"/>
      <c r="L42" s="1085"/>
      <c r="M42" s="1084">
        <v>1</v>
      </c>
      <c r="N42" s="1084"/>
      <c r="O42" s="1084"/>
      <c r="P42" s="1085"/>
      <c r="Q42" s="1085"/>
      <c r="R42" s="1085">
        <v>1</v>
      </c>
      <c r="S42" s="1084"/>
      <c r="T42" s="1084">
        <v>1</v>
      </c>
      <c r="U42" s="1084">
        <v>1</v>
      </c>
      <c r="V42" s="1084">
        <v>1</v>
      </c>
      <c r="W42" s="1084"/>
      <c r="X42" s="1085"/>
      <c r="Y42" s="1086">
        <f t="shared" si="4"/>
        <v>7</v>
      </c>
      <c r="Z42" s="1065"/>
      <c r="AA42" s="1083" t="s">
        <v>1261</v>
      </c>
      <c r="AB42" s="1084">
        <v>1</v>
      </c>
      <c r="AC42" s="1084"/>
      <c r="AD42" s="1084">
        <v>1</v>
      </c>
      <c r="AE42" s="1084"/>
      <c r="AF42" s="1085"/>
      <c r="AG42" s="1085"/>
      <c r="AH42" s="1085"/>
      <c r="AI42" s="1086">
        <f t="shared" si="1"/>
        <v>2</v>
      </c>
      <c r="AJ42" s="1065"/>
      <c r="AK42" s="1082">
        <f t="shared" si="2"/>
        <v>9</v>
      </c>
    </row>
    <row r="43" spans="1:37" ht="15.75" x14ac:dyDescent="0.25">
      <c r="A43" s="1083" t="s">
        <v>1262</v>
      </c>
      <c r="B43" s="1084"/>
      <c r="C43" s="1084">
        <v>1</v>
      </c>
      <c r="D43" s="1084"/>
      <c r="E43" s="1084"/>
      <c r="F43" s="1085">
        <v>1</v>
      </c>
      <c r="G43" s="1084"/>
      <c r="H43" s="1085"/>
      <c r="I43" s="1085"/>
      <c r="J43" s="1084"/>
      <c r="K43" s="1084"/>
      <c r="L43" s="1085"/>
      <c r="M43" s="1084">
        <v>1</v>
      </c>
      <c r="N43" s="1084"/>
      <c r="O43" s="1084"/>
      <c r="P43" s="1085"/>
      <c r="Q43" s="1085"/>
      <c r="R43" s="1085">
        <v>1</v>
      </c>
      <c r="S43" s="1084"/>
      <c r="T43" s="1084">
        <v>1</v>
      </c>
      <c r="U43" s="1084"/>
      <c r="V43" s="1084">
        <v>1</v>
      </c>
      <c r="W43" s="1084"/>
      <c r="X43" s="1085"/>
      <c r="Y43" s="1086">
        <f t="shared" si="4"/>
        <v>6</v>
      </c>
      <c r="Z43" s="1065"/>
      <c r="AA43" s="1083" t="s">
        <v>1262</v>
      </c>
      <c r="AB43" s="1084">
        <v>1</v>
      </c>
      <c r="AC43" s="1084"/>
      <c r="AD43" s="1084">
        <v>1</v>
      </c>
      <c r="AE43" s="1084"/>
      <c r="AF43" s="1085"/>
      <c r="AG43" s="1085"/>
      <c r="AH43" s="1085"/>
      <c r="AI43" s="1086">
        <f t="shared" si="1"/>
        <v>2</v>
      </c>
      <c r="AJ43" s="1065"/>
      <c r="AK43" s="1082">
        <f t="shared" si="2"/>
        <v>8</v>
      </c>
    </row>
    <row r="44" spans="1:37" ht="15.75" x14ac:dyDescent="0.25">
      <c r="A44" s="1083" t="s">
        <v>1263</v>
      </c>
      <c r="B44" s="1084"/>
      <c r="C44" s="1084">
        <v>1</v>
      </c>
      <c r="D44" s="1085"/>
      <c r="E44" s="1085"/>
      <c r="F44" s="1085">
        <v>1</v>
      </c>
      <c r="G44" s="1084"/>
      <c r="H44" s="1085"/>
      <c r="I44" s="1085"/>
      <c r="J44" s="1084"/>
      <c r="K44" s="1085"/>
      <c r="L44" s="1085"/>
      <c r="M44" s="1085"/>
      <c r="N44" s="1085"/>
      <c r="O44" s="1085"/>
      <c r="P44" s="1085"/>
      <c r="Q44" s="1085"/>
      <c r="R44" s="1085">
        <v>1</v>
      </c>
      <c r="S44" s="1084"/>
      <c r="T44" s="1085">
        <v>1</v>
      </c>
      <c r="U44" s="1084"/>
      <c r="V44" s="1084"/>
      <c r="W44" s="1084"/>
      <c r="X44" s="1085"/>
      <c r="Y44" s="1086">
        <f t="shared" si="4"/>
        <v>4</v>
      </c>
      <c r="Z44" s="1065"/>
      <c r="AA44" s="1083" t="s">
        <v>1263</v>
      </c>
      <c r="AB44" s="1084">
        <v>1</v>
      </c>
      <c r="AC44" s="1084"/>
      <c r="AD44" s="1084">
        <v>1</v>
      </c>
      <c r="AE44" s="1085"/>
      <c r="AF44" s="1085"/>
      <c r="AG44" s="1085"/>
      <c r="AH44" s="1085"/>
      <c r="AI44" s="1086">
        <f t="shared" si="1"/>
        <v>2</v>
      </c>
      <c r="AJ44" s="1065"/>
      <c r="AK44" s="1082">
        <f t="shared" si="2"/>
        <v>6</v>
      </c>
    </row>
    <row r="45" spans="1:37" ht="15.75" x14ac:dyDescent="0.25">
      <c r="A45" s="1083" t="s">
        <v>1264</v>
      </c>
      <c r="B45" s="1084"/>
      <c r="C45" s="1084"/>
      <c r="D45" s="1085"/>
      <c r="E45" s="1085"/>
      <c r="F45" s="1085"/>
      <c r="G45" s="1085"/>
      <c r="H45" s="1085"/>
      <c r="I45" s="1085"/>
      <c r="J45" s="1085"/>
      <c r="K45" s="1085"/>
      <c r="L45" s="1085"/>
      <c r="M45" s="1085"/>
      <c r="N45" s="1085"/>
      <c r="O45" s="1085"/>
      <c r="P45" s="1085"/>
      <c r="Q45" s="1085"/>
      <c r="R45" s="1085"/>
      <c r="S45" s="1085"/>
      <c r="T45" s="1085"/>
      <c r="U45" s="1085"/>
      <c r="V45" s="1085"/>
      <c r="W45" s="1085"/>
      <c r="X45" s="1085"/>
      <c r="Y45" s="1086">
        <f t="shared" si="4"/>
        <v>0</v>
      </c>
      <c r="Z45" s="1065"/>
      <c r="AA45" s="1083" t="s">
        <v>1264</v>
      </c>
      <c r="AB45" s="1084"/>
      <c r="AC45" s="1084"/>
      <c r="AD45" s="1085"/>
      <c r="AE45" s="1085"/>
      <c r="AF45" s="1085"/>
      <c r="AG45" s="1085"/>
      <c r="AH45" s="1085"/>
      <c r="AI45" s="1086">
        <f t="shared" si="1"/>
        <v>0</v>
      </c>
      <c r="AJ45" s="1065"/>
      <c r="AK45" s="1082">
        <f t="shared" si="2"/>
        <v>0</v>
      </c>
    </row>
    <row r="46" spans="1:37" ht="15.75" x14ac:dyDescent="0.25">
      <c r="A46" s="1083" t="s">
        <v>1265</v>
      </c>
      <c r="B46" s="1084"/>
      <c r="C46" s="1084"/>
      <c r="D46" s="1085"/>
      <c r="E46" s="1085"/>
      <c r="F46" s="1085"/>
      <c r="G46" s="1085"/>
      <c r="H46" s="1085"/>
      <c r="I46" s="1085"/>
      <c r="J46" s="1085"/>
      <c r="K46" s="1085"/>
      <c r="L46" s="1085"/>
      <c r="M46" s="1085"/>
      <c r="N46" s="1085"/>
      <c r="O46" s="1085"/>
      <c r="P46" s="1085"/>
      <c r="Q46" s="1085"/>
      <c r="R46" s="1085"/>
      <c r="S46" s="1085"/>
      <c r="T46" s="1085"/>
      <c r="U46" s="1085"/>
      <c r="V46" s="1085"/>
      <c r="W46" s="1085"/>
      <c r="X46" s="1085"/>
      <c r="Y46" s="1086">
        <f t="shared" si="0"/>
        <v>0</v>
      </c>
      <c r="Z46" s="1065"/>
      <c r="AA46" s="1083" t="s">
        <v>1265</v>
      </c>
      <c r="AB46" s="1084"/>
      <c r="AC46" s="1084"/>
      <c r="AD46" s="1085"/>
      <c r="AE46" s="1085"/>
      <c r="AF46" s="1085"/>
      <c r="AG46" s="1085"/>
      <c r="AH46" s="1085"/>
      <c r="AI46" s="1086">
        <f t="shared" si="1"/>
        <v>0</v>
      </c>
      <c r="AJ46" s="1065"/>
      <c r="AK46" s="1082">
        <f t="shared" si="2"/>
        <v>0</v>
      </c>
    </row>
    <row r="47" spans="1:37" ht="15.75" x14ac:dyDescent="0.25">
      <c r="A47" s="1083" t="s">
        <v>1266</v>
      </c>
      <c r="B47" s="1084"/>
      <c r="C47" s="1084"/>
      <c r="D47" s="1085"/>
      <c r="E47" s="1085"/>
      <c r="F47" s="1085"/>
      <c r="G47" s="1085"/>
      <c r="H47" s="1085"/>
      <c r="I47" s="1085"/>
      <c r="J47" s="1085"/>
      <c r="K47" s="1085"/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1085"/>
      <c r="X47" s="1085"/>
      <c r="Y47" s="1086">
        <f t="shared" si="0"/>
        <v>0</v>
      </c>
      <c r="Z47" s="1065"/>
      <c r="AA47" s="1083" t="s">
        <v>1266</v>
      </c>
      <c r="AB47" s="1084"/>
      <c r="AC47" s="1084"/>
      <c r="AD47" s="1085"/>
      <c r="AE47" s="1085"/>
      <c r="AF47" s="1085"/>
      <c r="AG47" s="1085"/>
      <c r="AH47" s="1085"/>
      <c r="AI47" s="1086">
        <f t="shared" si="1"/>
        <v>0</v>
      </c>
      <c r="AJ47" s="1065"/>
      <c r="AK47" s="1082">
        <f t="shared" si="2"/>
        <v>0</v>
      </c>
    </row>
    <row r="48" spans="1:37" ht="15.75" x14ac:dyDescent="0.25">
      <c r="A48" s="1083" t="s">
        <v>1267</v>
      </c>
      <c r="B48" s="1084"/>
      <c r="C48" s="1084"/>
      <c r="D48" s="1085"/>
      <c r="E48" s="1085"/>
      <c r="F48" s="1085"/>
      <c r="G48" s="1085"/>
      <c r="H48" s="1085"/>
      <c r="I48" s="1085"/>
      <c r="J48" s="1085"/>
      <c r="K48" s="1085"/>
      <c r="L48" s="1085"/>
      <c r="M48" s="1085"/>
      <c r="N48" s="1085"/>
      <c r="O48" s="1085"/>
      <c r="P48" s="1085"/>
      <c r="Q48" s="1085"/>
      <c r="R48" s="1085"/>
      <c r="S48" s="1085"/>
      <c r="T48" s="1085"/>
      <c r="U48" s="1085"/>
      <c r="V48" s="1085"/>
      <c r="W48" s="1085"/>
      <c r="X48" s="1085"/>
      <c r="Y48" s="1086">
        <f t="shared" si="0"/>
        <v>0</v>
      </c>
      <c r="Z48" s="1065"/>
      <c r="AA48" s="1083" t="s">
        <v>1267</v>
      </c>
      <c r="AB48" s="1084"/>
      <c r="AC48" s="1084"/>
      <c r="AD48" s="1085"/>
      <c r="AE48" s="1085"/>
      <c r="AF48" s="1085"/>
      <c r="AG48" s="1085"/>
      <c r="AH48" s="1085"/>
      <c r="AI48" s="1086">
        <f t="shared" si="1"/>
        <v>0</v>
      </c>
      <c r="AJ48" s="1065"/>
      <c r="AK48" s="1082">
        <f t="shared" si="2"/>
        <v>0</v>
      </c>
    </row>
    <row r="49" spans="1:37" ht="15.75" x14ac:dyDescent="0.25">
      <c r="A49" s="1083" t="s">
        <v>1268</v>
      </c>
      <c r="B49" s="1084"/>
      <c r="C49" s="1084"/>
      <c r="D49" s="1085"/>
      <c r="E49" s="1085"/>
      <c r="F49" s="1085"/>
      <c r="G49" s="1085"/>
      <c r="H49" s="1085"/>
      <c r="I49" s="1085"/>
      <c r="J49" s="1085"/>
      <c r="K49" s="1085"/>
      <c r="L49" s="1085"/>
      <c r="M49" s="1085"/>
      <c r="N49" s="1085"/>
      <c r="O49" s="1085"/>
      <c r="P49" s="1085"/>
      <c r="Q49" s="1085"/>
      <c r="R49" s="1085"/>
      <c r="S49" s="1085"/>
      <c r="T49" s="1085"/>
      <c r="U49" s="1085"/>
      <c r="V49" s="1085"/>
      <c r="W49" s="1085"/>
      <c r="X49" s="1085"/>
      <c r="Y49" s="1086">
        <f t="shared" si="0"/>
        <v>0</v>
      </c>
      <c r="Z49" s="1065"/>
      <c r="AA49" s="1083" t="s">
        <v>1268</v>
      </c>
      <c r="AB49" s="1084"/>
      <c r="AC49" s="1084"/>
      <c r="AD49" s="1085"/>
      <c r="AE49" s="1085"/>
      <c r="AF49" s="1085"/>
      <c r="AG49" s="1085"/>
      <c r="AH49" s="1085"/>
      <c r="AI49" s="1086">
        <f t="shared" si="1"/>
        <v>0</v>
      </c>
      <c r="AJ49" s="1065"/>
      <c r="AK49" s="1082">
        <f t="shared" si="2"/>
        <v>0</v>
      </c>
    </row>
    <row r="50" spans="1:37" ht="15.75" x14ac:dyDescent="0.25">
      <c r="A50" s="1083" t="s">
        <v>1269</v>
      </c>
      <c r="B50" s="1084"/>
      <c r="C50" s="1084"/>
      <c r="D50" s="1085"/>
      <c r="E50" s="1085"/>
      <c r="F50" s="1085"/>
      <c r="G50" s="1085"/>
      <c r="H50" s="1085"/>
      <c r="I50" s="1085"/>
      <c r="J50" s="1085"/>
      <c r="K50" s="1085"/>
      <c r="L50" s="1085"/>
      <c r="M50" s="1085"/>
      <c r="N50" s="1085"/>
      <c r="O50" s="1085"/>
      <c r="P50" s="1085"/>
      <c r="Q50" s="1085"/>
      <c r="R50" s="1085"/>
      <c r="S50" s="1085"/>
      <c r="T50" s="1085"/>
      <c r="U50" s="1085"/>
      <c r="V50" s="1085"/>
      <c r="W50" s="1085"/>
      <c r="X50" s="1085"/>
      <c r="Y50" s="1086">
        <f t="shared" si="0"/>
        <v>0</v>
      </c>
      <c r="Z50" s="1065"/>
      <c r="AA50" s="1083" t="s">
        <v>1269</v>
      </c>
      <c r="AB50" s="1084"/>
      <c r="AC50" s="1084"/>
      <c r="AD50" s="1085"/>
      <c r="AE50" s="1085"/>
      <c r="AF50" s="1085"/>
      <c r="AG50" s="1085"/>
      <c r="AH50" s="1085"/>
      <c r="AI50" s="1086">
        <f t="shared" si="1"/>
        <v>0</v>
      </c>
      <c r="AJ50" s="1065"/>
      <c r="AK50" s="1082">
        <f t="shared" si="2"/>
        <v>0</v>
      </c>
    </row>
    <row r="51" spans="1:37" ht="15.75" x14ac:dyDescent="0.25">
      <c r="A51" s="1083" t="s">
        <v>1270</v>
      </c>
      <c r="B51" s="1084"/>
      <c r="C51" s="1084"/>
      <c r="D51" s="1085"/>
      <c r="E51" s="1085"/>
      <c r="F51" s="1085"/>
      <c r="G51" s="1085"/>
      <c r="H51" s="1085"/>
      <c r="I51" s="1085"/>
      <c r="J51" s="1085"/>
      <c r="K51" s="1085"/>
      <c r="L51" s="1085"/>
      <c r="M51" s="1085"/>
      <c r="N51" s="1085"/>
      <c r="O51" s="1085"/>
      <c r="P51" s="1085"/>
      <c r="Q51" s="1085"/>
      <c r="R51" s="1085"/>
      <c r="S51" s="1085"/>
      <c r="T51" s="1085"/>
      <c r="U51" s="1085"/>
      <c r="V51" s="1085"/>
      <c r="W51" s="1085"/>
      <c r="X51" s="1085"/>
      <c r="Y51" s="1086">
        <f t="shared" si="0"/>
        <v>0</v>
      </c>
      <c r="Z51" s="1065"/>
      <c r="AA51" s="1083" t="s">
        <v>1270</v>
      </c>
      <c r="AB51" s="1084"/>
      <c r="AC51" s="1084"/>
      <c r="AD51" s="1085"/>
      <c r="AE51" s="1085"/>
      <c r="AF51" s="1085"/>
      <c r="AG51" s="1085"/>
      <c r="AH51" s="1085"/>
      <c r="AI51" s="1086">
        <f t="shared" si="1"/>
        <v>0</v>
      </c>
      <c r="AJ51" s="1065"/>
      <c r="AK51" s="1082">
        <f t="shared" si="2"/>
        <v>0</v>
      </c>
    </row>
    <row r="52" spans="1:37" ht="16.5" thickBot="1" x14ac:dyDescent="0.3">
      <c r="A52" s="1092" t="s">
        <v>1271</v>
      </c>
      <c r="B52" s="1093"/>
      <c r="C52" s="1093"/>
      <c r="D52" s="1094"/>
      <c r="E52" s="1094"/>
      <c r="F52" s="1094"/>
      <c r="G52" s="1094"/>
      <c r="H52" s="1094"/>
      <c r="I52" s="1094"/>
      <c r="J52" s="1094"/>
      <c r="K52" s="1094"/>
      <c r="L52" s="1094"/>
      <c r="M52" s="1094"/>
      <c r="N52" s="1094"/>
      <c r="O52" s="1094"/>
      <c r="P52" s="1094"/>
      <c r="Q52" s="1094"/>
      <c r="R52" s="1094"/>
      <c r="S52" s="1094"/>
      <c r="T52" s="1094"/>
      <c r="U52" s="1094"/>
      <c r="V52" s="1094"/>
      <c r="W52" s="1094"/>
      <c r="X52" s="1094"/>
      <c r="Y52" s="1095">
        <f t="shared" si="0"/>
        <v>0</v>
      </c>
      <c r="Z52" s="1065"/>
      <c r="AA52" s="1092" t="s">
        <v>1271</v>
      </c>
      <c r="AB52" s="1093"/>
      <c r="AC52" s="1093"/>
      <c r="AD52" s="1094"/>
      <c r="AE52" s="1094"/>
      <c r="AF52" s="1094"/>
      <c r="AG52" s="1094"/>
      <c r="AH52" s="1094"/>
      <c r="AI52" s="1095">
        <f t="shared" si="1"/>
        <v>0</v>
      </c>
      <c r="AJ52" s="1065"/>
      <c r="AK52" s="1096">
        <f t="shared" si="2"/>
        <v>0</v>
      </c>
    </row>
  </sheetData>
  <mergeCells count="2">
    <mergeCell ref="A1:Y1"/>
    <mergeCell ref="AA1:A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7C22-9766-429C-8A7D-8975F0870C38}">
  <dimension ref="A1:AE52"/>
  <sheetViews>
    <sheetView topLeftCell="A9" zoomScale="80" zoomScaleNormal="80" workbookViewId="0">
      <selection activeCell="B2" sqref="B2:AA2"/>
    </sheetView>
    <sheetView workbookViewId="1">
      <selection sqref="A1:Q1"/>
    </sheetView>
  </sheetViews>
  <sheetFormatPr defaultRowHeight="15" x14ac:dyDescent="0.25"/>
  <cols>
    <col min="1" max="1" width="14.140625" bestFit="1" customWidth="1"/>
    <col min="19" max="19" width="14.140625" bestFit="1" customWidth="1"/>
    <col min="25" max="28" width="0" hidden="1" customWidth="1"/>
  </cols>
  <sheetData>
    <row r="1" spans="1:31" ht="21.75" thickBot="1" x14ac:dyDescent="0.4">
      <c r="A1" s="1265" t="s">
        <v>1275</v>
      </c>
      <c r="B1" s="1265"/>
      <c r="C1" s="1265"/>
      <c r="D1" s="1265"/>
      <c r="E1" s="1265"/>
      <c r="F1" s="1265"/>
      <c r="G1" s="1265"/>
      <c r="H1" s="1265"/>
      <c r="I1" s="1265"/>
      <c r="J1" s="1265"/>
      <c r="K1" s="1265"/>
      <c r="L1" s="1265"/>
      <c r="M1" s="1265"/>
      <c r="N1" s="1265"/>
      <c r="O1" s="1265"/>
      <c r="P1" s="1265"/>
      <c r="Q1" s="1265"/>
      <c r="R1" s="1065"/>
      <c r="S1" s="1265" t="s">
        <v>1276</v>
      </c>
      <c r="T1" s="1265"/>
      <c r="U1" s="1265"/>
      <c r="V1" s="1265"/>
      <c r="W1" s="1265"/>
      <c r="X1" s="1265"/>
      <c r="Y1" s="1265"/>
      <c r="Z1" s="1265"/>
      <c r="AA1" s="1265"/>
      <c r="AB1" s="1265"/>
      <c r="AC1" s="1265"/>
      <c r="AD1" s="1065"/>
      <c r="AE1" s="1065"/>
    </row>
    <row r="2" spans="1:31" ht="16.5" thickBot="1" x14ac:dyDescent="0.3">
      <c r="A2" s="1066" t="s">
        <v>1216</v>
      </c>
      <c r="B2" s="1067">
        <v>2</v>
      </c>
      <c r="C2" s="1067">
        <v>11</v>
      </c>
      <c r="D2" s="1068">
        <v>9</v>
      </c>
      <c r="E2" s="1068">
        <v>10</v>
      </c>
      <c r="F2" s="1068">
        <v>4</v>
      </c>
      <c r="G2" s="1068">
        <v>13</v>
      </c>
      <c r="H2" s="1068">
        <v>8</v>
      </c>
      <c r="I2" s="1068">
        <v>6</v>
      </c>
      <c r="J2" s="1068">
        <v>1</v>
      </c>
      <c r="K2" s="1068">
        <v>3</v>
      </c>
      <c r="L2" s="1068">
        <v>5</v>
      </c>
      <c r="M2" s="1068">
        <v>7</v>
      </c>
      <c r="N2" s="1068">
        <v>12</v>
      </c>
      <c r="O2" s="1068">
        <v>8</v>
      </c>
      <c r="P2" s="1068"/>
      <c r="Q2" s="1069" t="s">
        <v>1119</v>
      </c>
      <c r="R2" s="1065"/>
      <c r="S2" s="1066" t="s">
        <v>1216</v>
      </c>
      <c r="T2" s="1067">
        <v>3</v>
      </c>
      <c r="U2" s="1067">
        <v>2</v>
      </c>
      <c r="V2" s="1067">
        <v>4</v>
      </c>
      <c r="W2" s="1067">
        <v>2</v>
      </c>
      <c r="X2" s="1067">
        <v>1</v>
      </c>
      <c r="Y2" s="1068">
        <v>2</v>
      </c>
      <c r="Z2" s="1070">
        <v>45691</v>
      </c>
      <c r="AA2" s="1071">
        <v>45781</v>
      </c>
      <c r="AB2" s="1072"/>
      <c r="AC2" s="1069" t="s">
        <v>1119</v>
      </c>
      <c r="AD2" s="1065"/>
      <c r="AE2" s="1073" t="s">
        <v>1119</v>
      </c>
    </row>
    <row r="3" spans="1:31" ht="15.75" x14ac:dyDescent="0.25">
      <c r="A3" s="1074" t="s">
        <v>1222</v>
      </c>
      <c r="B3" s="1075"/>
      <c r="C3" s="1075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7">
        <f t="shared" ref="Q3:Q34" si="0">SUM(B3:P3)</f>
        <v>0</v>
      </c>
      <c r="R3" s="1065"/>
      <c r="S3" s="1078" t="s">
        <v>1222</v>
      </c>
      <c r="T3" s="1079"/>
      <c r="U3" s="1079"/>
      <c r="V3" s="1079"/>
      <c r="W3" s="1079"/>
      <c r="X3" s="1079"/>
      <c r="Y3" s="1080"/>
      <c r="Z3" s="1080"/>
      <c r="AA3" s="1080"/>
      <c r="AB3" s="1080"/>
      <c r="AC3" s="1081">
        <f>T3+X3</f>
        <v>0</v>
      </c>
      <c r="AD3" s="1065"/>
      <c r="AE3" s="1082">
        <f t="shared" ref="AE3:AE52" si="1">Q3+AC3</f>
        <v>0</v>
      </c>
    </row>
    <row r="4" spans="1:31" ht="15.75" x14ac:dyDescent="0.25">
      <c r="A4" s="1083" t="s">
        <v>1223</v>
      </c>
      <c r="B4" s="1084"/>
      <c r="C4" s="1084"/>
      <c r="D4" s="1085"/>
      <c r="E4" s="1085"/>
      <c r="F4" s="1085"/>
      <c r="G4" s="1085"/>
      <c r="H4" s="1085"/>
      <c r="I4" s="1085"/>
      <c r="J4" s="1085"/>
      <c r="K4" s="1085"/>
      <c r="L4" s="1085"/>
      <c r="M4" s="1085"/>
      <c r="N4" s="1085"/>
      <c r="O4" s="1085"/>
      <c r="P4" s="1085"/>
      <c r="Q4" s="1086">
        <f t="shared" si="0"/>
        <v>0</v>
      </c>
      <c r="R4" s="1065"/>
      <c r="S4" s="1083" t="s">
        <v>1223</v>
      </c>
      <c r="T4" s="1084"/>
      <c r="U4" s="1084"/>
      <c r="V4" s="1084"/>
      <c r="W4" s="1084"/>
      <c r="X4" s="1084"/>
      <c r="Y4" s="1085"/>
      <c r="Z4" s="1085"/>
      <c r="AA4" s="1085"/>
      <c r="AB4" s="1085"/>
      <c r="AC4" s="1086">
        <f t="shared" ref="AC4:AC52" si="2">T4+X4</f>
        <v>0</v>
      </c>
      <c r="AD4" s="1065"/>
      <c r="AE4" s="1082">
        <f t="shared" si="1"/>
        <v>0</v>
      </c>
    </row>
    <row r="5" spans="1:31" ht="15.75" x14ac:dyDescent="0.25">
      <c r="A5" s="1083" t="s">
        <v>1224</v>
      </c>
      <c r="B5" s="1084"/>
      <c r="C5" s="1084"/>
      <c r="D5" s="1084"/>
      <c r="E5" s="1084"/>
      <c r="F5" s="1085"/>
      <c r="G5" s="1085"/>
      <c r="H5" s="1085"/>
      <c r="I5" s="1085"/>
      <c r="J5" s="1085"/>
      <c r="K5" s="1085"/>
      <c r="L5" s="1085"/>
      <c r="M5" s="1085"/>
      <c r="N5" s="1085"/>
      <c r="O5" s="1085"/>
      <c r="P5" s="1085"/>
      <c r="Q5" s="1086">
        <f t="shared" si="0"/>
        <v>0</v>
      </c>
      <c r="R5" s="1065"/>
      <c r="S5" s="1083" t="s">
        <v>1224</v>
      </c>
      <c r="T5" s="1084"/>
      <c r="U5" s="1084"/>
      <c r="V5" s="1084"/>
      <c r="W5" s="1084"/>
      <c r="X5" s="1084"/>
      <c r="Y5" s="1084"/>
      <c r="Z5" s="1085"/>
      <c r="AA5" s="1085"/>
      <c r="AB5" s="1085"/>
      <c r="AC5" s="1086">
        <f t="shared" si="2"/>
        <v>0</v>
      </c>
      <c r="AD5" s="1065"/>
      <c r="AE5" s="1082">
        <f t="shared" si="1"/>
        <v>0</v>
      </c>
    </row>
    <row r="6" spans="1:31" ht="15.75" x14ac:dyDescent="0.25">
      <c r="A6" s="1083" t="s">
        <v>1225</v>
      </c>
      <c r="B6" s="1084"/>
      <c r="C6" s="1084"/>
      <c r="D6" s="1084"/>
      <c r="E6" s="1084"/>
      <c r="F6" s="1084"/>
      <c r="G6" s="1085"/>
      <c r="H6" s="1084"/>
      <c r="I6" s="1084"/>
      <c r="J6" s="1085"/>
      <c r="K6" s="1084"/>
      <c r="L6" s="1085"/>
      <c r="M6" s="1084"/>
      <c r="N6" s="1085"/>
      <c r="O6" s="1085"/>
      <c r="P6" s="1085"/>
      <c r="Q6" s="1086">
        <f t="shared" si="0"/>
        <v>0</v>
      </c>
      <c r="R6" s="1065"/>
      <c r="S6" s="1083" t="s">
        <v>1225</v>
      </c>
      <c r="T6" s="1084"/>
      <c r="U6" s="1084"/>
      <c r="V6" s="1084"/>
      <c r="W6" s="1084"/>
      <c r="X6" s="1084"/>
      <c r="Y6" s="1084"/>
      <c r="Z6" s="1085"/>
      <c r="AA6" s="1085"/>
      <c r="AB6" s="1084"/>
      <c r="AC6" s="1086">
        <f t="shared" si="2"/>
        <v>0</v>
      </c>
      <c r="AD6" s="1065"/>
      <c r="AE6" s="1082">
        <f t="shared" si="1"/>
        <v>0</v>
      </c>
    </row>
    <row r="7" spans="1:31" ht="15.75" x14ac:dyDescent="0.25">
      <c r="A7" s="1083" t="s">
        <v>1226</v>
      </c>
      <c r="B7" s="1084"/>
      <c r="C7" s="1084"/>
      <c r="D7" s="1084"/>
      <c r="E7" s="1084"/>
      <c r="F7" s="1084"/>
      <c r="G7" s="1085"/>
      <c r="H7" s="1084"/>
      <c r="I7" s="1084"/>
      <c r="J7" s="1085"/>
      <c r="K7" s="1084"/>
      <c r="L7" s="1085"/>
      <c r="M7" s="1084"/>
      <c r="N7" s="1085"/>
      <c r="O7" s="1085"/>
      <c r="P7" s="1084"/>
      <c r="Q7" s="1086">
        <f t="shared" si="0"/>
        <v>0</v>
      </c>
      <c r="R7" s="1065"/>
      <c r="S7" s="1083" t="s">
        <v>1226</v>
      </c>
      <c r="T7" s="1084"/>
      <c r="U7" s="1084"/>
      <c r="V7" s="1084"/>
      <c r="W7" s="1084"/>
      <c r="X7" s="1084"/>
      <c r="Y7" s="1084"/>
      <c r="Z7" s="1084"/>
      <c r="AA7" s="1085"/>
      <c r="AB7" s="1084"/>
      <c r="AC7" s="1086">
        <f t="shared" si="2"/>
        <v>0</v>
      </c>
      <c r="AD7" s="1065"/>
      <c r="AE7" s="1082">
        <f t="shared" si="1"/>
        <v>0</v>
      </c>
    </row>
    <row r="8" spans="1:31" ht="15.75" x14ac:dyDescent="0.25">
      <c r="A8" s="1083" t="s">
        <v>1227</v>
      </c>
      <c r="B8" s="1084"/>
      <c r="C8" s="1084"/>
      <c r="D8" s="1084"/>
      <c r="E8" s="1084"/>
      <c r="F8" s="1084"/>
      <c r="G8" s="1085"/>
      <c r="H8" s="1084"/>
      <c r="I8" s="1084"/>
      <c r="J8" s="1084"/>
      <c r="K8" s="1084"/>
      <c r="L8" s="1084"/>
      <c r="M8" s="1084"/>
      <c r="N8" s="1084"/>
      <c r="O8" s="1085"/>
      <c r="P8" s="1084"/>
      <c r="Q8" s="1086">
        <f t="shared" si="0"/>
        <v>0</v>
      </c>
      <c r="R8" s="1065"/>
      <c r="S8" s="1083" t="s">
        <v>1227</v>
      </c>
      <c r="T8" s="1084"/>
      <c r="U8" s="1084"/>
      <c r="V8" s="1084"/>
      <c r="W8" s="1084"/>
      <c r="X8" s="1084"/>
      <c r="Y8" s="1084"/>
      <c r="Z8" s="1084"/>
      <c r="AA8" s="1085"/>
      <c r="AB8" s="1084"/>
      <c r="AC8" s="1086">
        <f>T8+X8</f>
        <v>0</v>
      </c>
      <c r="AD8" s="1065"/>
      <c r="AE8" s="1082">
        <f t="shared" si="1"/>
        <v>0</v>
      </c>
    </row>
    <row r="9" spans="1:31" ht="15.75" x14ac:dyDescent="0.25">
      <c r="A9" s="1083" t="s">
        <v>1228</v>
      </c>
      <c r="B9" s="1084"/>
      <c r="C9" s="1084"/>
      <c r="D9" s="1084"/>
      <c r="E9" s="1084"/>
      <c r="F9" s="1084"/>
      <c r="G9" s="1085"/>
      <c r="H9" s="1084"/>
      <c r="I9" s="1084"/>
      <c r="J9" s="1084">
        <v>1</v>
      </c>
      <c r="K9" s="1084"/>
      <c r="L9" s="1084"/>
      <c r="M9" s="1084"/>
      <c r="N9" s="1084"/>
      <c r="O9" s="1084"/>
      <c r="P9" s="1084"/>
      <c r="Q9" s="1086">
        <f t="shared" si="0"/>
        <v>1</v>
      </c>
      <c r="R9" s="1065"/>
      <c r="S9" s="1083" t="s">
        <v>1228</v>
      </c>
      <c r="T9" s="1084"/>
      <c r="U9" s="1084"/>
      <c r="V9" s="1084"/>
      <c r="W9" s="1084"/>
      <c r="X9" s="1084"/>
      <c r="Y9" s="1084"/>
      <c r="Z9" s="1084"/>
      <c r="AA9" s="1085"/>
      <c r="AB9" s="1084"/>
      <c r="AC9" s="1086">
        <f>T9+X9</f>
        <v>0</v>
      </c>
      <c r="AD9" s="1065"/>
      <c r="AE9" s="1082">
        <f t="shared" si="1"/>
        <v>1</v>
      </c>
    </row>
    <row r="10" spans="1:31" ht="15.75" x14ac:dyDescent="0.25">
      <c r="A10" s="1083" t="s">
        <v>1229</v>
      </c>
      <c r="B10" s="1084">
        <v>1</v>
      </c>
      <c r="C10" s="1084"/>
      <c r="D10" s="1084"/>
      <c r="E10" s="1084"/>
      <c r="F10" s="1084">
        <v>1</v>
      </c>
      <c r="G10" s="1085"/>
      <c r="H10" s="1084"/>
      <c r="I10" s="1084"/>
      <c r="J10" s="1084">
        <v>1</v>
      </c>
      <c r="K10" s="1084">
        <v>1</v>
      </c>
      <c r="L10" s="1084"/>
      <c r="M10" s="1084"/>
      <c r="N10" s="1084"/>
      <c r="O10" s="1084"/>
      <c r="P10" s="1084"/>
      <c r="Q10" s="1086">
        <f t="shared" si="0"/>
        <v>4</v>
      </c>
      <c r="R10" s="1065"/>
      <c r="S10" s="1083" t="s">
        <v>1229</v>
      </c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6">
        <f t="shared" ref="AC10:AC45" si="3">SUM(T10:X10)</f>
        <v>0</v>
      </c>
      <c r="AD10" s="1065"/>
      <c r="AE10" s="1082">
        <f t="shared" si="1"/>
        <v>4</v>
      </c>
    </row>
    <row r="11" spans="1:31" ht="15.75" x14ac:dyDescent="0.25">
      <c r="A11" s="1083" t="s">
        <v>1230</v>
      </c>
      <c r="B11" s="1084">
        <v>1</v>
      </c>
      <c r="C11" s="1084"/>
      <c r="D11" s="1084"/>
      <c r="E11" s="1084"/>
      <c r="F11" s="1084">
        <v>1</v>
      </c>
      <c r="G11" s="1085"/>
      <c r="H11" s="1084"/>
      <c r="I11" s="1084">
        <v>1</v>
      </c>
      <c r="J11" s="1084">
        <v>1</v>
      </c>
      <c r="K11" s="1084">
        <v>1</v>
      </c>
      <c r="L11" s="1084">
        <v>1</v>
      </c>
      <c r="M11" s="1084">
        <v>1</v>
      </c>
      <c r="N11" s="1084"/>
      <c r="O11" s="1084"/>
      <c r="P11" s="1084"/>
      <c r="Q11" s="1086">
        <f t="shared" si="0"/>
        <v>7</v>
      </c>
      <c r="R11" s="1065"/>
      <c r="S11" s="1083" t="s">
        <v>1230</v>
      </c>
      <c r="T11" s="1084"/>
      <c r="U11" s="1084"/>
      <c r="V11" s="1084"/>
      <c r="W11" s="1084"/>
      <c r="X11" s="1084">
        <v>1</v>
      </c>
      <c r="Y11" s="1084"/>
      <c r="Z11" s="1084"/>
      <c r="AA11" s="1084"/>
      <c r="AB11" s="1084"/>
      <c r="AC11" s="1086">
        <f t="shared" si="3"/>
        <v>1</v>
      </c>
      <c r="AD11" s="1065"/>
      <c r="AE11" s="1082">
        <f t="shared" si="1"/>
        <v>8</v>
      </c>
    </row>
    <row r="12" spans="1:31" ht="15.75" x14ac:dyDescent="0.25">
      <c r="A12" s="1083" t="s">
        <v>1231</v>
      </c>
      <c r="B12" s="1084">
        <v>1</v>
      </c>
      <c r="C12" s="1084"/>
      <c r="D12" s="1084"/>
      <c r="E12" s="1084"/>
      <c r="F12" s="1084">
        <v>1</v>
      </c>
      <c r="G12" s="1085"/>
      <c r="H12" s="1084"/>
      <c r="I12" s="1084">
        <v>1</v>
      </c>
      <c r="J12" s="1084">
        <v>1</v>
      </c>
      <c r="K12" s="1084">
        <v>1</v>
      </c>
      <c r="L12" s="1084">
        <v>1</v>
      </c>
      <c r="M12" s="1084">
        <v>1</v>
      </c>
      <c r="N12" s="1084"/>
      <c r="O12" s="1084">
        <v>1</v>
      </c>
      <c r="P12" s="1084"/>
      <c r="Q12" s="1086">
        <f t="shared" si="0"/>
        <v>8</v>
      </c>
      <c r="R12" s="1065"/>
      <c r="S12" s="1083" t="s">
        <v>1231</v>
      </c>
      <c r="T12" s="1084"/>
      <c r="U12" s="1084"/>
      <c r="V12" s="1084"/>
      <c r="W12" s="1084"/>
      <c r="X12" s="1084">
        <v>1</v>
      </c>
      <c r="Y12" s="1084"/>
      <c r="Z12" s="1084"/>
      <c r="AA12" s="1084"/>
      <c r="AB12" s="1084"/>
      <c r="AC12" s="1086">
        <f t="shared" si="3"/>
        <v>1</v>
      </c>
      <c r="AD12" s="1065"/>
      <c r="AE12" s="1082">
        <f t="shared" si="1"/>
        <v>9</v>
      </c>
    </row>
    <row r="13" spans="1:31" ht="15.75" x14ac:dyDescent="0.25">
      <c r="A13" s="1083" t="s">
        <v>1232</v>
      </c>
      <c r="B13" s="1084">
        <v>1</v>
      </c>
      <c r="C13" s="1084"/>
      <c r="D13" s="1084"/>
      <c r="E13" s="1084"/>
      <c r="F13" s="1084">
        <v>1</v>
      </c>
      <c r="G13" s="1085"/>
      <c r="H13" s="1084"/>
      <c r="I13" s="1084">
        <v>1</v>
      </c>
      <c r="J13" s="1084">
        <v>1</v>
      </c>
      <c r="K13" s="1084">
        <v>1</v>
      </c>
      <c r="L13" s="1084">
        <v>1</v>
      </c>
      <c r="M13" s="1084">
        <v>1</v>
      </c>
      <c r="N13" s="1084"/>
      <c r="O13" s="1084">
        <v>1</v>
      </c>
      <c r="P13" s="1084"/>
      <c r="Q13" s="1086">
        <f t="shared" si="0"/>
        <v>8</v>
      </c>
      <c r="R13" s="1065"/>
      <c r="S13" s="1083" t="s">
        <v>1232</v>
      </c>
      <c r="T13" s="1084"/>
      <c r="U13" s="1084">
        <v>1</v>
      </c>
      <c r="V13" s="1084"/>
      <c r="W13" s="1084"/>
      <c r="X13" s="1084">
        <v>1</v>
      </c>
      <c r="Y13" s="1084"/>
      <c r="Z13" s="1084"/>
      <c r="AA13" s="1084"/>
      <c r="AB13" s="1084"/>
      <c r="AC13" s="1086">
        <f t="shared" si="3"/>
        <v>2</v>
      </c>
      <c r="AD13" s="1065"/>
      <c r="AE13" s="1082">
        <f t="shared" si="1"/>
        <v>10</v>
      </c>
    </row>
    <row r="14" spans="1:31" ht="15.75" x14ac:dyDescent="0.25">
      <c r="A14" s="1083" t="s">
        <v>1233</v>
      </c>
      <c r="B14" s="1084">
        <v>1</v>
      </c>
      <c r="C14" s="1084"/>
      <c r="D14" s="1084"/>
      <c r="E14" s="1084"/>
      <c r="F14" s="1084">
        <v>1</v>
      </c>
      <c r="G14" s="1085"/>
      <c r="H14" s="1084"/>
      <c r="I14" s="1084">
        <v>1</v>
      </c>
      <c r="J14" s="1084">
        <v>1</v>
      </c>
      <c r="K14" s="1084">
        <v>1</v>
      </c>
      <c r="L14" s="1084">
        <v>1</v>
      </c>
      <c r="M14" s="1084">
        <v>1</v>
      </c>
      <c r="N14" s="1084"/>
      <c r="O14" s="1084">
        <v>1</v>
      </c>
      <c r="P14" s="1084"/>
      <c r="Q14" s="1086">
        <f t="shared" si="0"/>
        <v>8</v>
      </c>
      <c r="R14" s="1065"/>
      <c r="S14" s="1083" t="s">
        <v>1233</v>
      </c>
      <c r="T14" s="1084">
        <v>1</v>
      </c>
      <c r="U14" s="1084">
        <v>1</v>
      </c>
      <c r="V14" s="1084"/>
      <c r="W14" s="1084"/>
      <c r="X14" s="1084">
        <v>1</v>
      </c>
      <c r="Y14" s="1084"/>
      <c r="Z14" s="1084"/>
      <c r="AA14" s="1084"/>
      <c r="AB14" s="1084"/>
      <c r="AC14" s="1086">
        <f t="shared" si="3"/>
        <v>3</v>
      </c>
      <c r="AD14" s="1065"/>
      <c r="AE14" s="1082">
        <f t="shared" si="1"/>
        <v>11</v>
      </c>
    </row>
    <row r="15" spans="1:31" ht="15.75" x14ac:dyDescent="0.25">
      <c r="A15" s="1083" t="s">
        <v>1234</v>
      </c>
      <c r="B15" s="1084">
        <v>1</v>
      </c>
      <c r="C15" s="1084"/>
      <c r="D15" s="1084"/>
      <c r="E15" s="1084"/>
      <c r="F15" s="1084">
        <v>1</v>
      </c>
      <c r="G15" s="1085"/>
      <c r="H15" s="1084"/>
      <c r="I15" s="1084">
        <v>1</v>
      </c>
      <c r="J15" s="1084">
        <v>1</v>
      </c>
      <c r="K15" s="1084">
        <v>1</v>
      </c>
      <c r="L15" s="1084">
        <v>1</v>
      </c>
      <c r="M15" s="1084">
        <v>1</v>
      </c>
      <c r="N15" s="1084"/>
      <c r="O15" s="1084">
        <v>1</v>
      </c>
      <c r="P15" s="1084"/>
      <c r="Q15" s="1086">
        <f t="shared" si="0"/>
        <v>8</v>
      </c>
      <c r="R15" s="1065"/>
      <c r="S15" s="1083" t="s">
        <v>1234</v>
      </c>
      <c r="T15" s="1084">
        <v>1</v>
      </c>
      <c r="U15" s="1084">
        <v>1</v>
      </c>
      <c r="V15" s="1084"/>
      <c r="W15" s="1084"/>
      <c r="X15" s="1084">
        <v>1</v>
      </c>
      <c r="Y15" s="1084"/>
      <c r="Z15" s="1084"/>
      <c r="AA15" s="1084"/>
      <c r="AB15" s="1084"/>
      <c r="AC15" s="1086">
        <f t="shared" si="3"/>
        <v>3</v>
      </c>
      <c r="AD15" s="1065"/>
      <c r="AE15" s="1082">
        <f t="shared" si="1"/>
        <v>11</v>
      </c>
    </row>
    <row r="16" spans="1:31" ht="15.75" x14ac:dyDescent="0.25">
      <c r="A16" s="1083" t="s">
        <v>1235</v>
      </c>
      <c r="B16" s="1084">
        <v>1</v>
      </c>
      <c r="C16" s="1084"/>
      <c r="D16" s="1084">
        <v>1</v>
      </c>
      <c r="E16" s="1084">
        <v>1</v>
      </c>
      <c r="F16" s="1084">
        <v>1</v>
      </c>
      <c r="G16" s="1085"/>
      <c r="H16" s="1084"/>
      <c r="I16" s="1084">
        <v>1</v>
      </c>
      <c r="J16" s="1084">
        <v>1</v>
      </c>
      <c r="K16" s="1084">
        <v>1</v>
      </c>
      <c r="L16" s="1084">
        <v>1</v>
      </c>
      <c r="M16" s="1085">
        <v>1</v>
      </c>
      <c r="N16" s="1084"/>
      <c r="O16" s="1084">
        <v>1</v>
      </c>
      <c r="P16" s="1084"/>
      <c r="Q16" s="1086">
        <f t="shared" si="0"/>
        <v>10</v>
      </c>
      <c r="R16" s="1065"/>
      <c r="S16" s="1083" t="s">
        <v>1235</v>
      </c>
      <c r="T16" s="1084">
        <v>1</v>
      </c>
      <c r="U16" s="1084">
        <v>1</v>
      </c>
      <c r="V16" s="1084"/>
      <c r="W16" s="1084"/>
      <c r="X16" s="1084">
        <v>1</v>
      </c>
      <c r="Y16" s="1084"/>
      <c r="Z16" s="1084"/>
      <c r="AA16" s="1085"/>
      <c r="AB16" s="1085"/>
      <c r="AC16" s="1086">
        <f t="shared" si="3"/>
        <v>3</v>
      </c>
      <c r="AD16" s="1065"/>
      <c r="AE16" s="1082">
        <f t="shared" si="1"/>
        <v>13</v>
      </c>
    </row>
    <row r="17" spans="1:31" ht="15.75" x14ac:dyDescent="0.25">
      <c r="A17" s="1083" t="s">
        <v>1236</v>
      </c>
      <c r="B17" s="1084">
        <v>1</v>
      </c>
      <c r="C17" s="1084"/>
      <c r="D17" s="1084">
        <v>1</v>
      </c>
      <c r="E17" s="1084">
        <v>1</v>
      </c>
      <c r="F17" s="1084">
        <v>1</v>
      </c>
      <c r="G17" s="1085"/>
      <c r="H17" s="1084"/>
      <c r="I17" s="1084">
        <v>1</v>
      </c>
      <c r="J17" s="1084">
        <v>1</v>
      </c>
      <c r="K17" s="1084">
        <v>1</v>
      </c>
      <c r="L17" s="1084">
        <v>1</v>
      </c>
      <c r="M17" s="1085">
        <v>1</v>
      </c>
      <c r="N17" s="1084"/>
      <c r="O17" s="1084">
        <v>1</v>
      </c>
      <c r="P17" s="1084"/>
      <c r="Q17" s="1086">
        <f t="shared" si="0"/>
        <v>10</v>
      </c>
      <c r="R17" s="1065"/>
      <c r="S17" s="1083" t="s">
        <v>1236</v>
      </c>
      <c r="T17" s="1084">
        <v>1</v>
      </c>
      <c r="U17" s="1084">
        <v>1</v>
      </c>
      <c r="V17" s="1084"/>
      <c r="W17" s="1084"/>
      <c r="X17" s="1084">
        <v>1</v>
      </c>
      <c r="Y17" s="1084"/>
      <c r="Z17" s="1084"/>
      <c r="AA17" s="1085"/>
      <c r="AB17" s="1085"/>
      <c r="AC17" s="1086">
        <f t="shared" si="3"/>
        <v>3</v>
      </c>
      <c r="AD17" s="1065"/>
      <c r="AE17" s="1082">
        <f t="shared" si="1"/>
        <v>13</v>
      </c>
    </row>
    <row r="18" spans="1:31" ht="15.75" x14ac:dyDescent="0.25">
      <c r="A18" s="1083" t="s">
        <v>1237</v>
      </c>
      <c r="B18" s="1084">
        <v>1</v>
      </c>
      <c r="C18" s="1084">
        <v>1</v>
      </c>
      <c r="D18" s="1084">
        <v>1</v>
      </c>
      <c r="E18" s="1084">
        <v>1</v>
      </c>
      <c r="F18" s="1084">
        <v>1</v>
      </c>
      <c r="G18" s="1085"/>
      <c r="H18" s="1084"/>
      <c r="I18" s="1084">
        <v>1</v>
      </c>
      <c r="J18" s="1084">
        <v>1</v>
      </c>
      <c r="K18" s="1084">
        <v>1</v>
      </c>
      <c r="L18" s="1084">
        <v>1</v>
      </c>
      <c r="M18" s="1085">
        <v>1</v>
      </c>
      <c r="N18" s="1084"/>
      <c r="O18" s="1084">
        <v>1</v>
      </c>
      <c r="P18" s="1084"/>
      <c r="Q18" s="1086">
        <f t="shared" si="0"/>
        <v>11</v>
      </c>
      <c r="R18" s="1065"/>
      <c r="S18" s="1083" t="s">
        <v>1237</v>
      </c>
      <c r="T18" s="1084">
        <v>1</v>
      </c>
      <c r="U18" s="1084">
        <v>1</v>
      </c>
      <c r="V18" s="1084"/>
      <c r="W18" s="1084"/>
      <c r="X18" s="1084">
        <v>1</v>
      </c>
      <c r="Y18" s="1084"/>
      <c r="Z18" s="1084"/>
      <c r="AA18" s="1085"/>
      <c r="AB18" s="1085"/>
      <c r="AC18" s="1086">
        <f t="shared" si="3"/>
        <v>3</v>
      </c>
      <c r="AD18" s="1065"/>
      <c r="AE18" s="1082">
        <f t="shared" si="1"/>
        <v>14</v>
      </c>
    </row>
    <row r="19" spans="1:31" ht="15.75" x14ac:dyDescent="0.25">
      <c r="A19" s="1083" t="s">
        <v>1238</v>
      </c>
      <c r="B19" s="1084">
        <v>1</v>
      </c>
      <c r="C19" s="1084">
        <v>1</v>
      </c>
      <c r="D19" s="1084">
        <v>1</v>
      </c>
      <c r="E19" s="1084">
        <v>1</v>
      </c>
      <c r="F19" s="1084">
        <v>1</v>
      </c>
      <c r="G19" s="1085"/>
      <c r="H19" s="1084"/>
      <c r="I19" s="1084">
        <v>1</v>
      </c>
      <c r="J19" s="1084">
        <v>1</v>
      </c>
      <c r="K19" s="1084">
        <v>1</v>
      </c>
      <c r="L19" s="1084">
        <v>1</v>
      </c>
      <c r="M19" s="1085">
        <v>1</v>
      </c>
      <c r="N19" s="1084"/>
      <c r="O19" s="1084">
        <v>1</v>
      </c>
      <c r="P19" s="1084"/>
      <c r="Q19" s="1086">
        <f t="shared" si="0"/>
        <v>11</v>
      </c>
      <c r="R19" s="1065"/>
      <c r="S19" s="1083" t="s">
        <v>1238</v>
      </c>
      <c r="T19" s="1084">
        <v>1</v>
      </c>
      <c r="U19" s="1084">
        <v>1</v>
      </c>
      <c r="V19" s="1084"/>
      <c r="W19" s="1084"/>
      <c r="X19" s="1084">
        <v>1</v>
      </c>
      <c r="Y19" s="1084"/>
      <c r="Z19" s="1084"/>
      <c r="AA19" s="1085"/>
      <c r="AB19" s="1085"/>
      <c r="AC19" s="1086">
        <f t="shared" si="3"/>
        <v>3</v>
      </c>
      <c r="AD19" s="1065"/>
      <c r="AE19" s="1082">
        <f t="shared" si="1"/>
        <v>14</v>
      </c>
    </row>
    <row r="20" spans="1:31" ht="15.75" x14ac:dyDescent="0.25">
      <c r="A20" s="1087" t="s">
        <v>1239</v>
      </c>
      <c r="B20" s="1088">
        <v>1</v>
      </c>
      <c r="C20" s="1088">
        <v>1</v>
      </c>
      <c r="D20" s="1088">
        <v>1</v>
      </c>
      <c r="E20" s="1088">
        <v>1</v>
      </c>
      <c r="F20" s="1088">
        <v>1</v>
      </c>
      <c r="G20" s="1088">
        <v>1</v>
      </c>
      <c r="H20" s="1088"/>
      <c r="I20" s="1088">
        <v>1</v>
      </c>
      <c r="J20" s="1088">
        <v>1</v>
      </c>
      <c r="K20" s="1088">
        <v>1</v>
      </c>
      <c r="L20" s="1088">
        <v>1</v>
      </c>
      <c r="M20" s="1089">
        <v>1</v>
      </c>
      <c r="N20" s="1088">
        <v>1</v>
      </c>
      <c r="O20" s="1088">
        <v>1</v>
      </c>
      <c r="P20" s="1088"/>
      <c r="Q20" s="1090">
        <f t="shared" si="0"/>
        <v>13</v>
      </c>
      <c r="R20" s="1065"/>
      <c r="S20" s="1083" t="s">
        <v>1239</v>
      </c>
      <c r="T20" s="1084">
        <v>1</v>
      </c>
      <c r="U20" s="1084">
        <v>1</v>
      </c>
      <c r="V20" s="1084"/>
      <c r="W20" s="1084"/>
      <c r="X20" s="1084">
        <v>1</v>
      </c>
      <c r="Y20" s="1084"/>
      <c r="Z20" s="1084"/>
      <c r="AA20" s="1085"/>
      <c r="AB20" s="1085"/>
      <c r="AC20" s="1086">
        <f t="shared" si="3"/>
        <v>3</v>
      </c>
      <c r="AD20" s="1065"/>
      <c r="AE20" s="1091">
        <f t="shared" si="1"/>
        <v>16</v>
      </c>
    </row>
    <row r="21" spans="1:31" ht="15.75" x14ac:dyDescent="0.25">
      <c r="A21" s="1087" t="s">
        <v>1240</v>
      </c>
      <c r="B21" s="1088">
        <v>1</v>
      </c>
      <c r="C21" s="1088">
        <v>1</v>
      </c>
      <c r="D21" s="1088">
        <v>1</v>
      </c>
      <c r="E21" s="1088">
        <v>1</v>
      </c>
      <c r="F21" s="1088">
        <v>1</v>
      </c>
      <c r="G21" s="1088">
        <v>1</v>
      </c>
      <c r="H21" s="1088"/>
      <c r="I21" s="1088">
        <v>1</v>
      </c>
      <c r="J21" s="1088">
        <v>1</v>
      </c>
      <c r="K21" s="1088">
        <v>1</v>
      </c>
      <c r="L21" s="1088">
        <v>1</v>
      </c>
      <c r="M21" s="1089">
        <v>1</v>
      </c>
      <c r="N21" s="1088">
        <v>1</v>
      </c>
      <c r="O21" s="1088">
        <v>1</v>
      </c>
      <c r="P21" s="1088"/>
      <c r="Q21" s="1090">
        <f t="shared" si="0"/>
        <v>13</v>
      </c>
      <c r="R21" s="1065"/>
      <c r="S21" s="1083" t="s">
        <v>1240</v>
      </c>
      <c r="T21" s="1084">
        <v>1</v>
      </c>
      <c r="U21" s="1084">
        <v>1</v>
      </c>
      <c r="V21" s="1084"/>
      <c r="W21" s="1084"/>
      <c r="X21" s="1084">
        <v>1</v>
      </c>
      <c r="Y21" s="1084"/>
      <c r="Z21" s="1084"/>
      <c r="AA21" s="1085"/>
      <c r="AB21" s="1085"/>
      <c r="AC21" s="1086">
        <f t="shared" si="3"/>
        <v>3</v>
      </c>
      <c r="AD21" s="1065"/>
      <c r="AE21" s="1091">
        <f t="shared" si="1"/>
        <v>16</v>
      </c>
    </row>
    <row r="22" spans="1:31" ht="15.75" x14ac:dyDescent="0.25">
      <c r="A22" s="1083" t="s">
        <v>1241</v>
      </c>
      <c r="B22" s="1084">
        <v>1</v>
      </c>
      <c r="C22" s="1084">
        <v>1</v>
      </c>
      <c r="D22" s="1084">
        <v>1</v>
      </c>
      <c r="E22" s="1084">
        <v>1</v>
      </c>
      <c r="F22" s="1084">
        <v>1</v>
      </c>
      <c r="G22" s="1084">
        <v>1</v>
      </c>
      <c r="H22" s="1084"/>
      <c r="I22" s="1084">
        <v>1</v>
      </c>
      <c r="J22" s="1084">
        <v>1</v>
      </c>
      <c r="K22" s="1084">
        <v>1</v>
      </c>
      <c r="L22" s="1084">
        <v>1</v>
      </c>
      <c r="M22" s="1085"/>
      <c r="N22" s="1084">
        <v>1</v>
      </c>
      <c r="O22" s="1084">
        <v>1</v>
      </c>
      <c r="P22" s="1084"/>
      <c r="Q22" s="1086">
        <f t="shared" si="0"/>
        <v>12</v>
      </c>
      <c r="R22" s="1065"/>
      <c r="S22" s="1087" t="s">
        <v>1241</v>
      </c>
      <c r="T22" s="1088">
        <v>1</v>
      </c>
      <c r="U22" s="1088">
        <v>1</v>
      </c>
      <c r="V22" s="1088">
        <v>1</v>
      </c>
      <c r="W22" s="1088"/>
      <c r="X22" s="1088">
        <v>1</v>
      </c>
      <c r="Y22" s="1088"/>
      <c r="Z22" s="1088"/>
      <c r="AA22" s="1088"/>
      <c r="AB22" s="1089"/>
      <c r="AC22" s="1090">
        <f t="shared" si="3"/>
        <v>4</v>
      </c>
      <c r="AD22" s="1065"/>
      <c r="AE22" s="1091">
        <f t="shared" si="1"/>
        <v>16</v>
      </c>
    </row>
    <row r="23" spans="1:31" ht="15.75" x14ac:dyDescent="0.25">
      <c r="A23" s="1083" t="s">
        <v>1242</v>
      </c>
      <c r="B23" s="1084">
        <v>1</v>
      </c>
      <c r="C23" s="1084">
        <v>1</v>
      </c>
      <c r="D23" s="1084">
        <v>1</v>
      </c>
      <c r="E23" s="1084">
        <v>1</v>
      </c>
      <c r="F23" s="1084">
        <v>1</v>
      </c>
      <c r="G23" s="1084">
        <v>1</v>
      </c>
      <c r="H23" s="1084"/>
      <c r="I23" s="1084">
        <v>1</v>
      </c>
      <c r="J23" s="1084">
        <v>1</v>
      </c>
      <c r="K23" s="1084">
        <v>1</v>
      </c>
      <c r="L23" s="1084">
        <v>1</v>
      </c>
      <c r="M23" s="1085"/>
      <c r="N23" s="1084">
        <v>1</v>
      </c>
      <c r="O23" s="1085"/>
      <c r="P23" s="1084"/>
      <c r="Q23" s="1086">
        <f t="shared" si="0"/>
        <v>11</v>
      </c>
      <c r="R23" s="1065"/>
      <c r="S23" s="1087" t="s">
        <v>1242</v>
      </c>
      <c r="T23" s="1088">
        <v>1</v>
      </c>
      <c r="U23" s="1088">
        <v>1</v>
      </c>
      <c r="V23" s="1088">
        <v>1</v>
      </c>
      <c r="W23" s="1088"/>
      <c r="X23" s="1088">
        <v>1</v>
      </c>
      <c r="Y23" s="1088"/>
      <c r="Z23" s="1088"/>
      <c r="AA23" s="1088"/>
      <c r="AB23" s="1089"/>
      <c r="AC23" s="1090">
        <f t="shared" si="3"/>
        <v>4</v>
      </c>
      <c r="AD23" s="1065"/>
      <c r="AE23" s="1082">
        <f t="shared" si="1"/>
        <v>15</v>
      </c>
    </row>
    <row r="24" spans="1:31" ht="15.75" x14ac:dyDescent="0.25">
      <c r="A24" s="1083" t="s">
        <v>1243</v>
      </c>
      <c r="B24" s="1084">
        <v>1</v>
      </c>
      <c r="C24" s="1084">
        <v>1</v>
      </c>
      <c r="D24" s="1084"/>
      <c r="E24" s="1084">
        <v>1</v>
      </c>
      <c r="F24" s="1084">
        <v>1</v>
      </c>
      <c r="G24" s="1084">
        <v>1</v>
      </c>
      <c r="H24" s="1084"/>
      <c r="I24" s="1084">
        <v>1</v>
      </c>
      <c r="J24" s="1084">
        <v>1</v>
      </c>
      <c r="K24" s="1084">
        <v>1</v>
      </c>
      <c r="L24" s="1084">
        <v>1</v>
      </c>
      <c r="M24" s="1085"/>
      <c r="N24" s="1084">
        <v>1</v>
      </c>
      <c r="O24" s="1084"/>
      <c r="P24" s="1084"/>
      <c r="Q24" s="1086">
        <f t="shared" si="0"/>
        <v>10</v>
      </c>
      <c r="R24" s="1065"/>
      <c r="S24" s="1083" t="s">
        <v>1243</v>
      </c>
      <c r="T24" s="1084">
        <v>1</v>
      </c>
      <c r="U24" s="1084"/>
      <c r="V24" s="1084">
        <v>1</v>
      </c>
      <c r="W24" s="1084"/>
      <c r="X24" s="1084">
        <v>1</v>
      </c>
      <c r="Y24" s="1084"/>
      <c r="Z24" s="1084"/>
      <c r="AA24" s="1084"/>
      <c r="AB24" s="1085"/>
      <c r="AC24" s="1086">
        <f t="shared" si="3"/>
        <v>3</v>
      </c>
      <c r="AD24" s="1065"/>
      <c r="AE24" s="1082">
        <f t="shared" si="1"/>
        <v>13</v>
      </c>
    </row>
    <row r="25" spans="1:31" ht="15.75" x14ac:dyDescent="0.25">
      <c r="A25" s="1083" t="s">
        <v>1244</v>
      </c>
      <c r="B25" s="1084">
        <v>1</v>
      </c>
      <c r="C25" s="1084">
        <v>1</v>
      </c>
      <c r="D25" s="1084"/>
      <c r="E25" s="1084">
        <v>1</v>
      </c>
      <c r="F25" s="1084">
        <v>1</v>
      </c>
      <c r="G25" s="1084">
        <v>1</v>
      </c>
      <c r="H25" s="1084"/>
      <c r="I25" s="1085">
        <v>1</v>
      </c>
      <c r="J25" s="1084">
        <v>1</v>
      </c>
      <c r="K25" s="1084">
        <v>1</v>
      </c>
      <c r="L25" s="1084">
        <v>1</v>
      </c>
      <c r="M25" s="1085"/>
      <c r="N25" s="1084">
        <v>1</v>
      </c>
      <c r="O25" s="1084"/>
      <c r="P25" s="1084"/>
      <c r="Q25" s="1086">
        <f t="shared" si="0"/>
        <v>10</v>
      </c>
      <c r="R25" s="1065"/>
      <c r="S25" s="1083" t="s">
        <v>1244</v>
      </c>
      <c r="T25" s="1084">
        <v>1</v>
      </c>
      <c r="U25" s="1084"/>
      <c r="V25" s="1084">
        <v>1</v>
      </c>
      <c r="W25" s="1084"/>
      <c r="X25" s="1084">
        <v>1</v>
      </c>
      <c r="Y25" s="1084"/>
      <c r="Z25" s="1084"/>
      <c r="AA25" s="1084"/>
      <c r="AB25" s="1085"/>
      <c r="AC25" s="1086">
        <f t="shared" si="3"/>
        <v>3</v>
      </c>
      <c r="AD25" s="1065"/>
      <c r="AE25" s="1082">
        <f t="shared" si="1"/>
        <v>13</v>
      </c>
    </row>
    <row r="26" spans="1:31" ht="15.75" x14ac:dyDescent="0.25">
      <c r="A26" s="1083" t="s">
        <v>1245</v>
      </c>
      <c r="B26" s="1084">
        <v>1</v>
      </c>
      <c r="C26" s="1084">
        <v>1</v>
      </c>
      <c r="D26" s="1084"/>
      <c r="E26" s="1084">
        <v>1</v>
      </c>
      <c r="F26" s="1084">
        <v>1</v>
      </c>
      <c r="G26" s="1084">
        <v>1</v>
      </c>
      <c r="H26" s="1084"/>
      <c r="I26" s="1085">
        <v>1</v>
      </c>
      <c r="J26" s="1084">
        <v>1</v>
      </c>
      <c r="K26" s="1084">
        <v>1</v>
      </c>
      <c r="L26" s="1084">
        <v>1</v>
      </c>
      <c r="M26" s="1085"/>
      <c r="N26" s="1084">
        <v>1</v>
      </c>
      <c r="O26" s="1084"/>
      <c r="P26" s="1084"/>
      <c r="Q26" s="1086">
        <f t="shared" si="0"/>
        <v>10</v>
      </c>
      <c r="R26" s="1065"/>
      <c r="S26" s="1083" t="s">
        <v>1245</v>
      </c>
      <c r="T26" s="1084">
        <v>1</v>
      </c>
      <c r="U26" s="1084"/>
      <c r="V26" s="1084">
        <v>1</v>
      </c>
      <c r="W26" s="1084"/>
      <c r="X26" s="1084">
        <v>1</v>
      </c>
      <c r="Y26" s="1084"/>
      <c r="Z26" s="1084"/>
      <c r="AA26" s="1084"/>
      <c r="AB26" s="1085"/>
      <c r="AC26" s="1086">
        <f t="shared" si="3"/>
        <v>3</v>
      </c>
      <c r="AD26" s="1065"/>
      <c r="AE26" s="1082">
        <f t="shared" si="1"/>
        <v>13</v>
      </c>
    </row>
    <row r="27" spans="1:31" ht="15.75" x14ac:dyDescent="0.25">
      <c r="A27" s="1083" t="s">
        <v>1246</v>
      </c>
      <c r="B27" s="1084">
        <v>1</v>
      </c>
      <c r="C27" s="1084">
        <v>1</v>
      </c>
      <c r="D27" s="1084"/>
      <c r="E27" s="1084">
        <v>1</v>
      </c>
      <c r="F27" s="1084">
        <v>1</v>
      </c>
      <c r="G27" s="1084">
        <v>1</v>
      </c>
      <c r="H27" s="1084">
        <v>1</v>
      </c>
      <c r="I27" s="1085">
        <v>1</v>
      </c>
      <c r="J27" s="1084">
        <v>1</v>
      </c>
      <c r="K27" s="1084">
        <v>1</v>
      </c>
      <c r="L27" s="1084">
        <v>1</v>
      </c>
      <c r="M27" s="1085"/>
      <c r="N27" s="1084">
        <v>1</v>
      </c>
      <c r="O27" s="1084"/>
      <c r="P27" s="1084"/>
      <c r="Q27" s="1086">
        <f t="shared" si="0"/>
        <v>11</v>
      </c>
      <c r="R27" s="1065"/>
      <c r="S27" s="1087" t="s">
        <v>1246</v>
      </c>
      <c r="T27" s="1088">
        <v>1</v>
      </c>
      <c r="U27" s="1088"/>
      <c r="V27" s="1088">
        <v>1</v>
      </c>
      <c r="W27" s="1088">
        <v>1</v>
      </c>
      <c r="X27" s="1088">
        <v>1</v>
      </c>
      <c r="Y27" s="1088"/>
      <c r="Z27" s="1088"/>
      <c r="AA27" s="1088"/>
      <c r="AB27" s="1089"/>
      <c r="AC27" s="1090">
        <f t="shared" si="3"/>
        <v>4</v>
      </c>
      <c r="AD27" s="1065"/>
      <c r="AE27" s="1082">
        <f t="shared" si="1"/>
        <v>15</v>
      </c>
    </row>
    <row r="28" spans="1:31" ht="15.75" x14ac:dyDescent="0.25">
      <c r="A28" s="1083" t="s">
        <v>1247</v>
      </c>
      <c r="B28" s="1084">
        <v>1</v>
      </c>
      <c r="C28" s="1084">
        <v>1</v>
      </c>
      <c r="D28" s="1084"/>
      <c r="E28" s="1084">
        <v>1</v>
      </c>
      <c r="F28" s="1084">
        <v>1</v>
      </c>
      <c r="G28" s="1084">
        <v>1</v>
      </c>
      <c r="H28" s="1084">
        <v>1</v>
      </c>
      <c r="I28" s="1084">
        <v>1</v>
      </c>
      <c r="J28" s="1084">
        <v>1</v>
      </c>
      <c r="K28" s="1084">
        <v>1</v>
      </c>
      <c r="L28" s="1084">
        <v>1</v>
      </c>
      <c r="M28" s="1084"/>
      <c r="N28" s="1084">
        <v>1</v>
      </c>
      <c r="O28" s="1084"/>
      <c r="P28" s="1084"/>
      <c r="Q28" s="1086">
        <f t="shared" si="0"/>
        <v>11</v>
      </c>
      <c r="R28" s="1065"/>
      <c r="S28" s="1087" t="s">
        <v>1247</v>
      </c>
      <c r="T28" s="1088">
        <v>1</v>
      </c>
      <c r="U28" s="1088"/>
      <c r="V28" s="1088">
        <v>1</v>
      </c>
      <c r="W28" s="1088">
        <v>1</v>
      </c>
      <c r="X28" s="1088">
        <v>1</v>
      </c>
      <c r="Y28" s="1088"/>
      <c r="Z28" s="1088"/>
      <c r="AA28" s="1088"/>
      <c r="AB28" s="1088"/>
      <c r="AC28" s="1090">
        <f t="shared" si="3"/>
        <v>4</v>
      </c>
      <c r="AD28" s="1065"/>
      <c r="AE28" s="1082">
        <f t="shared" si="1"/>
        <v>15</v>
      </c>
    </row>
    <row r="29" spans="1:31" ht="15.75" x14ac:dyDescent="0.25">
      <c r="A29" s="1083" t="s">
        <v>1248</v>
      </c>
      <c r="B29" s="1084">
        <v>1</v>
      </c>
      <c r="C29" s="1084">
        <v>1</v>
      </c>
      <c r="D29" s="1084"/>
      <c r="E29" s="1084">
        <v>1</v>
      </c>
      <c r="F29" s="1084">
        <v>1</v>
      </c>
      <c r="G29" s="1084">
        <v>1</v>
      </c>
      <c r="H29" s="1084">
        <v>1</v>
      </c>
      <c r="I29" s="1084">
        <v>1</v>
      </c>
      <c r="J29" s="1084">
        <v>1</v>
      </c>
      <c r="K29" s="1084">
        <v>1</v>
      </c>
      <c r="L29" s="1084">
        <v>1</v>
      </c>
      <c r="M29" s="1084"/>
      <c r="N29" s="1084">
        <v>1</v>
      </c>
      <c r="O29" s="1084"/>
      <c r="P29" s="1084"/>
      <c r="Q29" s="1086">
        <f t="shared" si="0"/>
        <v>11</v>
      </c>
      <c r="R29" s="1065"/>
      <c r="S29" s="1087" t="s">
        <v>1248</v>
      </c>
      <c r="T29" s="1088">
        <v>1</v>
      </c>
      <c r="U29" s="1088"/>
      <c r="V29" s="1088">
        <v>1</v>
      </c>
      <c r="W29" s="1088">
        <v>1</v>
      </c>
      <c r="X29" s="1088">
        <v>1</v>
      </c>
      <c r="Y29" s="1088"/>
      <c r="Z29" s="1088"/>
      <c r="AA29" s="1088"/>
      <c r="AB29" s="1088"/>
      <c r="AC29" s="1090">
        <f t="shared" si="3"/>
        <v>4</v>
      </c>
      <c r="AD29" s="1065"/>
      <c r="AE29" s="1082">
        <f t="shared" si="1"/>
        <v>15</v>
      </c>
    </row>
    <row r="30" spans="1:31" ht="15.75" x14ac:dyDescent="0.25">
      <c r="A30" s="1083" t="s">
        <v>1249</v>
      </c>
      <c r="B30" s="1084">
        <v>1</v>
      </c>
      <c r="C30" s="1084">
        <v>1</v>
      </c>
      <c r="D30" s="1084"/>
      <c r="E30" s="1084">
        <v>1</v>
      </c>
      <c r="F30" s="1084">
        <v>1</v>
      </c>
      <c r="G30" s="1084">
        <v>1</v>
      </c>
      <c r="H30" s="1084">
        <v>1</v>
      </c>
      <c r="I30" s="1084">
        <v>1</v>
      </c>
      <c r="J30" s="1084">
        <v>1</v>
      </c>
      <c r="K30" s="1084">
        <v>1</v>
      </c>
      <c r="L30" s="1084">
        <v>1</v>
      </c>
      <c r="M30" s="1084"/>
      <c r="N30" s="1084">
        <v>1</v>
      </c>
      <c r="O30" s="1084"/>
      <c r="P30" s="1084"/>
      <c r="Q30" s="1086">
        <f t="shared" si="0"/>
        <v>11</v>
      </c>
      <c r="R30" s="1065"/>
      <c r="S30" s="1083" t="s">
        <v>1249</v>
      </c>
      <c r="T30" s="1084">
        <v>1</v>
      </c>
      <c r="U30" s="1084"/>
      <c r="V30" s="1084"/>
      <c r="W30" s="1084">
        <v>1</v>
      </c>
      <c r="X30" s="1084">
        <v>1</v>
      </c>
      <c r="Y30" s="1084"/>
      <c r="Z30" s="1084"/>
      <c r="AA30" s="1084"/>
      <c r="AB30" s="1084"/>
      <c r="AC30" s="1086">
        <f t="shared" si="3"/>
        <v>3</v>
      </c>
      <c r="AD30" s="1065"/>
      <c r="AE30" s="1082">
        <f t="shared" si="1"/>
        <v>14</v>
      </c>
    </row>
    <row r="31" spans="1:31" ht="15.75" x14ac:dyDescent="0.25">
      <c r="A31" s="1083" t="s">
        <v>1250</v>
      </c>
      <c r="B31" s="1084">
        <v>1</v>
      </c>
      <c r="C31" s="1084">
        <v>1</v>
      </c>
      <c r="D31" s="1084"/>
      <c r="E31" s="1084">
        <v>1</v>
      </c>
      <c r="F31" s="1084">
        <v>1</v>
      </c>
      <c r="G31" s="1084">
        <v>1</v>
      </c>
      <c r="H31" s="1084">
        <v>1</v>
      </c>
      <c r="I31" s="1084">
        <v>1</v>
      </c>
      <c r="J31" s="1084">
        <v>1</v>
      </c>
      <c r="K31" s="1084">
        <v>1</v>
      </c>
      <c r="L31" s="1084">
        <v>1</v>
      </c>
      <c r="M31" s="1084"/>
      <c r="N31" s="1084">
        <v>1</v>
      </c>
      <c r="O31" s="1084"/>
      <c r="P31" s="1084"/>
      <c r="Q31" s="1086">
        <f t="shared" si="0"/>
        <v>11</v>
      </c>
      <c r="R31" s="1065"/>
      <c r="S31" s="1083" t="s">
        <v>1250</v>
      </c>
      <c r="T31" s="1084">
        <v>1</v>
      </c>
      <c r="U31" s="1084"/>
      <c r="V31" s="1084"/>
      <c r="W31" s="1084">
        <v>1</v>
      </c>
      <c r="X31" s="1084">
        <v>1</v>
      </c>
      <c r="Y31" s="1084"/>
      <c r="Z31" s="1084"/>
      <c r="AA31" s="1084"/>
      <c r="AB31" s="1084"/>
      <c r="AC31" s="1086">
        <f t="shared" si="3"/>
        <v>3</v>
      </c>
      <c r="AD31" s="1065"/>
      <c r="AE31" s="1082">
        <f t="shared" si="1"/>
        <v>14</v>
      </c>
    </row>
    <row r="32" spans="1:31" ht="15.75" x14ac:dyDescent="0.25">
      <c r="A32" s="1083" t="s">
        <v>1251</v>
      </c>
      <c r="B32" s="1084">
        <v>1</v>
      </c>
      <c r="C32" s="1084">
        <v>1</v>
      </c>
      <c r="D32" s="1084"/>
      <c r="E32" s="1084">
        <v>1</v>
      </c>
      <c r="F32" s="1084">
        <v>1</v>
      </c>
      <c r="G32" s="1084">
        <v>1</v>
      </c>
      <c r="H32" s="1084">
        <v>1</v>
      </c>
      <c r="I32" s="1084">
        <v>1</v>
      </c>
      <c r="J32" s="1084">
        <v>1</v>
      </c>
      <c r="K32" s="1084">
        <v>1</v>
      </c>
      <c r="L32" s="1084">
        <v>1</v>
      </c>
      <c r="M32" s="1084"/>
      <c r="N32" s="1084">
        <v>1</v>
      </c>
      <c r="O32" s="1084"/>
      <c r="P32" s="1084"/>
      <c r="Q32" s="1086">
        <f t="shared" si="0"/>
        <v>11</v>
      </c>
      <c r="R32" s="1065"/>
      <c r="S32" s="1083" t="s">
        <v>1251</v>
      </c>
      <c r="T32" s="1084">
        <v>1</v>
      </c>
      <c r="U32" s="1084"/>
      <c r="V32" s="1084"/>
      <c r="W32" s="1084">
        <v>1</v>
      </c>
      <c r="X32" s="1084">
        <v>1</v>
      </c>
      <c r="Y32" s="1084"/>
      <c r="Z32" s="1084"/>
      <c r="AA32" s="1084"/>
      <c r="AB32" s="1084"/>
      <c r="AC32" s="1086">
        <f t="shared" si="3"/>
        <v>3</v>
      </c>
      <c r="AD32" s="1065"/>
      <c r="AE32" s="1082">
        <f t="shared" si="1"/>
        <v>14</v>
      </c>
    </row>
    <row r="33" spans="1:31" ht="15.75" x14ac:dyDescent="0.25">
      <c r="A33" s="1083" t="s">
        <v>1252</v>
      </c>
      <c r="B33" s="1084"/>
      <c r="C33" s="1084">
        <v>1</v>
      </c>
      <c r="D33" s="1084"/>
      <c r="E33" s="1084">
        <v>1</v>
      </c>
      <c r="F33" s="1084">
        <v>1</v>
      </c>
      <c r="G33" s="1084">
        <v>1</v>
      </c>
      <c r="H33" s="1084">
        <v>1</v>
      </c>
      <c r="I33" s="1084"/>
      <c r="J33" s="1084">
        <v>1</v>
      </c>
      <c r="K33" s="1084">
        <v>1</v>
      </c>
      <c r="L33" s="1084">
        <v>1</v>
      </c>
      <c r="M33" s="1084"/>
      <c r="N33" s="1084">
        <v>1</v>
      </c>
      <c r="O33" s="1084"/>
      <c r="P33" s="1084"/>
      <c r="Q33" s="1086">
        <f t="shared" si="0"/>
        <v>9</v>
      </c>
      <c r="R33" s="1065"/>
      <c r="S33" s="1083" t="s">
        <v>1252</v>
      </c>
      <c r="T33" s="1084">
        <v>1</v>
      </c>
      <c r="U33" s="1084"/>
      <c r="V33" s="1084"/>
      <c r="W33" s="1084">
        <v>1</v>
      </c>
      <c r="X33" s="1084">
        <v>1</v>
      </c>
      <c r="Y33" s="1084"/>
      <c r="Z33" s="1084"/>
      <c r="AA33" s="1084"/>
      <c r="AB33" s="1084"/>
      <c r="AC33" s="1086">
        <f t="shared" si="3"/>
        <v>3</v>
      </c>
      <c r="AD33" s="1065"/>
      <c r="AE33" s="1082">
        <f t="shared" si="1"/>
        <v>12</v>
      </c>
    </row>
    <row r="34" spans="1:31" ht="15.75" x14ac:dyDescent="0.25">
      <c r="A34" s="1083" t="s">
        <v>1253</v>
      </c>
      <c r="B34" s="1084"/>
      <c r="C34" s="1084">
        <v>1</v>
      </c>
      <c r="D34" s="1085"/>
      <c r="E34" s="1084">
        <v>1</v>
      </c>
      <c r="F34" s="1084">
        <v>1</v>
      </c>
      <c r="G34" s="1084">
        <v>1</v>
      </c>
      <c r="H34" s="1084">
        <v>1</v>
      </c>
      <c r="I34" s="1085"/>
      <c r="J34" s="1084"/>
      <c r="K34" s="1084">
        <v>1</v>
      </c>
      <c r="L34" s="1084">
        <v>1</v>
      </c>
      <c r="M34" s="1085"/>
      <c r="N34" s="1084">
        <v>1</v>
      </c>
      <c r="O34" s="1084"/>
      <c r="P34" s="1084"/>
      <c r="Q34" s="1086">
        <f t="shared" si="0"/>
        <v>8</v>
      </c>
      <c r="R34" s="1065"/>
      <c r="S34" s="1083" t="s">
        <v>1253</v>
      </c>
      <c r="T34" s="1084">
        <v>1</v>
      </c>
      <c r="U34" s="1084"/>
      <c r="V34" s="1084"/>
      <c r="W34" s="1084">
        <v>1</v>
      </c>
      <c r="X34" s="1084">
        <v>1</v>
      </c>
      <c r="Y34" s="1084"/>
      <c r="Z34" s="1084"/>
      <c r="AA34" s="1084"/>
      <c r="AB34" s="1085"/>
      <c r="AC34" s="1086">
        <f t="shared" si="3"/>
        <v>3</v>
      </c>
      <c r="AD34" s="1065"/>
      <c r="AE34" s="1082">
        <f t="shared" si="1"/>
        <v>11</v>
      </c>
    </row>
    <row r="35" spans="1:31" ht="15.75" x14ac:dyDescent="0.25">
      <c r="A35" s="1083" t="s">
        <v>1254</v>
      </c>
      <c r="B35" s="1084"/>
      <c r="C35" s="1084">
        <v>1</v>
      </c>
      <c r="D35" s="1085"/>
      <c r="E35" s="1084">
        <v>1</v>
      </c>
      <c r="F35" s="1084">
        <v>1</v>
      </c>
      <c r="G35" s="1084">
        <v>1</v>
      </c>
      <c r="H35" s="1084">
        <v>1</v>
      </c>
      <c r="I35" s="1085"/>
      <c r="J35" s="1084"/>
      <c r="K35" s="1084">
        <v>1</v>
      </c>
      <c r="L35" s="1084">
        <v>1</v>
      </c>
      <c r="M35" s="1085"/>
      <c r="N35" s="1084">
        <v>1</v>
      </c>
      <c r="O35" s="1084"/>
      <c r="P35" s="1084"/>
      <c r="Q35" s="1086">
        <f t="shared" ref="Q35:Q52" si="4">SUM(B35:P35)</f>
        <v>8</v>
      </c>
      <c r="R35" s="1065"/>
      <c r="S35" s="1083" t="s">
        <v>1254</v>
      </c>
      <c r="T35" s="1084">
        <v>1</v>
      </c>
      <c r="U35" s="1084"/>
      <c r="V35" s="1084"/>
      <c r="W35" s="1084">
        <v>1</v>
      </c>
      <c r="X35" s="1084">
        <v>1</v>
      </c>
      <c r="Y35" s="1084"/>
      <c r="Z35" s="1084"/>
      <c r="AA35" s="1085"/>
      <c r="AB35" s="1085"/>
      <c r="AC35" s="1086">
        <f t="shared" si="3"/>
        <v>3</v>
      </c>
      <c r="AD35" s="1065"/>
      <c r="AE35" s="1082">
        <f t="shared" si="1"/>
        <v>11</v>
      </c>
    </row>
    <row r="36" spans="1:31" ht="15.75" x14ac:dyDescent="0.25">
      <c r="A36" s="1083" t="s">
        <v>1255</v>
      </c>
      <c r="B36" s="1084"/>
      <c r="C36" s="1084">
        <v>1</v>
      </c>
      <c r="D36" s="1085"/>
      <c r="E36" s="1084">
        <v>1</v>
      </c>
      <c r="F36" s="1084">
        <v>1</v>
      </c>
      <c r="G36" s="1084">
        <v>1</v>
      </c>
      <c r="H36" s="1084">
        <v>1</v>
      </c>
      <c r="I36" s="1085"/>
      <c r="J36" s="1084"/>
      <c r="K36" s="1084">
        <v>1</v>
      </c>
      <c r="L36" s="1084">
        <v>1</v>
      </c>
      <c r="M36" s="1085"/>
      <c r="N36" s="1084">
        <v>1</v>
      </c>
      <c r="O36" s="1084"/>
      <c r="P36" s="1084"/>
      <c r="Q36" s="1086">
        <f t="shared" si="4"/>
        <v>8</v>
      </c>
      <c r="R36" s="1065"/>
      <c r="S36" s="1083" t="s">
        <v>1255</v>
      </c>
      <c r="T36" s="1084">
        <v>1</v>
      </c>
      <c r="U36" s="1084"/>
      <c r="V36" s="1084"/>
      <c r="W36" s="1084">
        <v>1</v>
      </c>
      <c r="X36" s="1084">
        <v>1</v>
      </c>
      <c r="Y36" s="1084"/>
      <c r="Z36" s="1084"/>
      <c r="AA36" s="1085"/>
      <c r="AB36" s="1085"/>
      <c r="AC36" s="1086">
        <f t="shared" si="3"/>
        <v>3</v>
      </c>
      <c r="AD36" s="1065"/>
      <c r="AE36" s="1082">
        <f t="shared" si="1"/>
        <v>11</v>
      </c>
    </row>
    <row r="37" spans="1:31" ht="15.75" x14ac:dyDescent="0.25">
      <c r="A37" s="1083" t="s">
        <v>1256</v>
      </c>
      <c r="B37" s="1084"/>
      <c r="C37" s="1084">
        <v>1</v>
      </c>
      <c r="D37" s="1084"/>
      <c r="E37" s="1084">
        <v>1</v>
      </c>
      <c r="F37" s="1084">
        <v>1</v>
      </c>
      <c r="G37" s="1084">
        <v>1</v>
      </c>
      <c r="H37" s="1084">
        <v>1</v>
      </c>
      <c r="I37" s="1085"/>
      <c r="J37" s="1084"/>
      <c r="K37" s="1084">
        <v>1</v>
      </c>
      <c r="L37" s="1084">
        <v>1</v>
      </c>
      <c r="M37" s="1085"/>
      <c r="N37" s="1084">
        <v>1</v>
      </c>
      <c r="O37" s="1085"/>
      <c r="P37" s="1084"/>
      <c r="Q37" s="1086">
        <f t="shared" si="4"/>
        <v>8</v>
      </c>
      <c r="R37" s="1065"/>
      <c r="S37" s="1083" t="s">
        <v>1256</v>
      </c>
      <c r="T37" s="1084">
        <v>1</v>
      </c>
      <c r="U37" s="1084"/>
      <c r="V37" s="1084"/>
      <c r="W37" s="1084">
        <v>1</v>
      </c>
      <c r="X37" s="1084">
        <v>1</v>
      </c>
      <c r="Y37" s="1084"/>
      <c r="Z37" s="1085"/>
      <c r="AA37" s="1085"/>
      <c r="AB37" s="1085"/>
      <c r="AC37" s="1086">
        <f t="shared" si="3"/>
        <v>3</v>
      </c>
      <c r="AD37" s="1065"/>
      <c r="AE37" s="1082">
        <f t="shared" si="1"/>
        <v>11</v>
      </c>
    </row>
    <row r="38" spans="1:31" ht="15.75" x14ac:dyDescent="0.25">
      <c r="A38" s="1083" t="s">
        <v>1257</v>
      </c>
      <c r="B38" s="1084"/>
      <c r="C38" s="1084">
        <v>1</v>
      </c>
      <c r="D38" s="1084"/>
      <c r="E38" s="1084">
        <v>1</v>
      </c>
      <c r="F38" s="1084">
        <v>1</v>
      </c>
      <c r="G38" s="1084">
        <v>1</v>
      </c>
      <c r="H38" s="1084">
        <v>1</v>
      </c>
      <c r="I38" s="1085"/>
      <c r="J38" s="1084"/>
      <c r="K38" s="1084">
        <v>1</v>
      </c>
      <c r="L38" s="1084">
        <v>1</v>
      </c>
      <c r="M38" s="1085"/>
      <c r="N38" s="1084">
        <v>1</v>
      </c>
      <c r="O38" s="1085"/>
      <c r="P38" s="1085"/>
      <c r="Q38" s="1086">
        <f t="shared" si="4"/>
        <v>8</v>
      </c>
      <c r="R38" s="1065"/>
      <c r="S38" s="1083" t="s">
        <v>1257</v>
      </c>
      <c r="T38" s="1084">
        <v>1</v>
      </c>
      <c r="U38" s="1084"/>
      <c r="V38" s="1084"/>
      <c r="W38" s="1084">
        <v>1</v>
      </c>
      <c r="X38" s="1084"/>
      <c r="Y38" s="1084"/>
      <c r="Z38" s="1085"/>
      <c r="AA38" s="1085"/>
      <c r="AB38" s="1085"/>
      <c r="AC38" s="1086">
        <f t="shared" si="3"/>
        <v>2</v>
      </c>
      <c r="AD38" s="1065"/>
      <c r="AE38" s="1082">
        <f t="shared" si="1"/>
        <v>10</v>
      </c>
    </row>
    <row r="39" spans="1:31" ht="15.75" x14ac:dyDescent="0.25">
      <c r="A39" s="1083" t="s">
        <v>1258</v>
      </c>
      <c r="B39" s="1084"/>
      <c r="C39" s="1084">
        <v>1</v>
      </c>
      <c r="D39" s="1084"/>
      <c r="E39" s="1084">
        <v>1</v>
      </c>
      <c r="F39" s="1084">
        <v>1</v>
      </c>
      <c r="G39" s="1084">
        <v>1</v>
      </c>
      <c r="H39" s="1084">
        <v>1</v>
      </c>
      <c r="I39" s="1085"/>
      <c r="J39" s="1085"/>
      <c r="K39" s="1084">
        <v>1</v>
      </c>
      <c r="L39" s="1084">
        <v>1</v>
      </c>
      <c r="M39" s="1085"/>
      <c r="N39" s="1084">
        <v>1</v>
      </c>
      <c r="O39" s="1085"/>
      <c r="P39" s="1085"/>
      <c r="Q39" s="1086">
        <f t="shared" si="4"/>
        <v>8</v>
      </c>
      <c r="R39" s="1065"/>
      <c r="S39" s="1083" t="s">
        <v>1258</v>
      </c>
      <c r="T39" s="1084">
        <v>1</v>
      </c>
      <c r="U39" s="1084"/>
      <c r="V39" s="1084"/>
      <c r="W39" s="1084">
        <v>1</v>
      </c>
      <c r="X39" s="1084"/>
      <c r="Y39" s="1084"/>
      <c r="Z39" s="1085"/>
      <c r="AA39" s="1085"/>
      <c r="AB39" s="1085"/>
      <c r="AC39" s="1086">
        <f t="shared" si="3"/>
        <v>2</v>
      </c>
      <c r="AD39" s="1065"/>
      <c r="AE39" s="1082">
        <f t="shared" si="1"/>
        <v>10</v>
      </c>
    </row>
    <row r="40" spans="1:31" ht="15.75" x14ac:dyDescent="0.25">
      <c r="A40" s="1083" t="s">
        <v>1259</v>
      </c>
      <c r="B40" s="1084"/>
      <c r="C40" s="1084">
        <v>1</v>
      </c>
      <c r="D40" s="1084"/>
      <c r="E40" s="1084">
        <v>1</v>
      </c>
      <c r="F40" s="1084">
        <v>1</v>
      </c>
      <c r="G40" s="1084">
        <v>1</v>
      </c>
      <c r="H40" s="1084">
        <v>1</v>
      </c>
      <c r="I40" s="1085"/>
      <c r="J40" s="1085"/>
      <c r="K40" s="1084">
        <v>1</v>
      </c>
      <c r="L40" s="1084"/>
      <c r="M40" s="1085"/>
      <c r="N40" s="1084">
        <v>1</v>
      </c>
      <c r="O40" s="1085"/>
      <c r="P40" s="1085"/>
      <c r="Q40" s="1086">
        <f t="shared" si="4"/>
        <v>7</v>
      </c>
      <c r="R40" s="1065"/>
      <c r="S40" s="1083" t="s">
        <v>1259</v>
      </c>
      <c r="T40" s="1084">
        <v>1</v>
      </c>
      <c r="U40" s="1084"/>
      <c r="V40" s="1084"/>
      <c r="W40" s="1084">
        <v>1</v>
      </c>
      <c r="X40" s="1084"/>
      <c r="Y40" s="1084"/>
      <c r="Z40" s="1085"/>
      <c r="AA40" s="1085"/>
      <c r="AB40" s="1085"/>
      <c r="AC40" s="1086">
        <f t="shared" si="3"/>
        <v>2</v>
      </c>
      <c r="AD40" s="1065"/>
      <c r="AE40" s="1082">
        <f t="shared" si="1"/>
        <v>9</v>
      </c>
    </row>
    <row r="41" spans="1:31" ht="15.75" x14ac:dyDescent="0.25">
      <c r="A41" s="1083" t="s">
        <v>1260</v>
      </c>
      <c r="B41" s="1084"/>
      <c r="C41" s="1084">
        <v>1</v>
      </c>
      <c r="D41" s="1084"/>
      <c r="E41" s="1084">
        <v>1</v>
      </c>
      <c r="F41" s="1084">
        <v>1</v>
      </c>
      <c r="G41" s="1084">
        <v>1</v>
      </c>
      <c r="H41" s="1084">
        <v>1</v>
      </c>
      <c r="I41" s="1085"/>
      <c r="J41" s="1085"/>
      <c r="K41" s="1084">
        <v>1</v>
      </c>
      <c r="L41" s="1084"/>
      <c r="M41" s="1085"/>
      <c r="N41" s="1084">
        <v>1</v>
      </c>
      <c r="O41" s="1085"/>
      <c r="P41" s="1085"/>
      <c r="Q41" s="1086">
        <f t="shared" si="4"/>
        <v>7</v>
      </c>
      <c r="R41" s="1065"/>
      <c r="S41" s="1083" t="s">
        <v>1260</v>
      </c>
      <c r="T41" s="1084">
        <v>1</v>
      </c>
      <c r="U41" s="1084"/>
      <c r="V41" s="1084"/>
      <c r="W41" s="1084">
        <v>1</v>
      </c>
      <c r="X41" s="1084"/>
      <c r="Y41" s="1084"/>
      <c r="Z41" s="1085"/>
      <c r="AA41" s="1085"/>
      <c r="AB41" s="1085"/>
      <c r="AC41" s="1086">
        <f t="shared" si="3"/>
        <v>2</v>
      </c>
      <c r="AD41" s="1065"/>
      <c r="AE41" s="1082">
        <f t="shared" si="1"/>
        <v>9</v>
      </c>
    </row>
    <row r="42" spans="1:31" ht="15.75" x14ac:dyDescent="0.25">
      <c r="A42" s="1083" t="s">
        <v>1261</v>
      </c>
      <c r="B42" s="1084"/>
      <c r="C42" s="1084">
        <v>1</v>
      </c>
      <c r="D42" s="1084"/>
      <c r="E42" s="1084">
        <v>1</v>
      </c>
      <c r="F42" s="1084">
        <v>1</v>
      </c>
      <c r="G42" s="1084">
        <v>1</v>
      </c>
      <c r="H42" s="1084">
        <v>1</v>
      </c>
      <c r="I42" s="1085"/>
      <c r="J42" s="1085"/>
      <c r="K42" s="1084">
        <v>1</v>
      </c>
      <c r="L42" s="1084"/>
      <c r="M42" s="1085"/>
      <c r="N42" s="1084">
        <v>1</v>
      </c>
      <c r="O42" s="1085"/>
      <c r="P42" s="1085"/>
      <c r="Q42" s="1086">
        <f t="shared" si="4"/>
        <v>7</v>
      </c>
      <c r="R42" s="1065"/>
      <c r="S42" s="1083" t="s">
        <v>1261</v>
      </c>
      <c r="T42" s="1084">
        <v>1</v>
      </c>
      <c r="U42" s="1084"/>
      <c r="V42" s="1084"/>
      <c r="W42" s="1084">
        <v>1</v>
      </c>
      <c r="X42" s="1084"/>
      <c r="Y42" s="1084"/>
      <c r="Z42" s="1085"/>
      <c r="AA42" s="1085"/>
      <c r="AB42" s="1085"/>
      <c r="AC42" s="1086">
        <f t="shared" si="3"/>
        <v>2</v>
      </c>
      <c r="AD42" s="1065"/>
      <c r="AE42" s="1082">
        <f t="shared" si="1"/>
        <v>9</v>
      </c>
    </row>
    <row r="43" spans="1:31" ht="15.75" x14ac:dyDescent="0.25">
      <c r="A43" s="1083" t="s">
        <v>1262</v>
      </c>
      <c r="B43" s="1084"/>
      <c r="C43" s="1084">
        <v>1</v>
      </c>
      <c r="D43" s="1084"/>
      <c r="E43" s="1084">
        <v>1</v>
      </c>
      <c r="F43" s="1084">
        <v>1</v>
      </c>
      <c r="G43" s="1084"/>
      <c r="H43" s="1084">
        <v>1</v>
      </c>
      <c r="I43" s="1085"/>
      <c r="J43" s="1085"/>
      <c r="K43" s="1084">
        <v>1</v>
      </c>
      <c r="L43" s="1084"/>
      <c r="M43" s="1085"/>
      <c r="N43" s="1084">
        <v>1</v>
      </c>
      <c r="O43" s="1085"/>
      <c r="P43" s="1085"/>
      <c r="Q43" s="1086">
        <f t="shared" si="4"/>
        <v>6</v>
      </c>
      <c r="R43" s="1065"/>
      <c r="S43" s="1083" t="s">
        <v>1262</v>
      </c>
      <c r="T43" s="1084">
        <v>1</v>
      </c>
      <c r="U43" s="1084"/>
      <c r="V43" s="1084"/>
      <c r="W43" s="1084">
        <v>1</v>
      </c>
      <c r="X43" s="1084"/>
      <c r="Y43" s="1084"/>
      <c r="Z43" s="1085"/>
      <c r="AA43" s="1085"/>
      <c r="AB43" s="1085"/>
      <c r="AC43" s="1086">
        <f t="shared" si="3"/>
        <v>2</v>
      </c>
      <c r="AD43" s="1065"/>
      <c r="AE43" s="1082">
        <f t="shared" si="1"/>
        <v>8</v>
      </c>
    </row>
    <row r="44" spans="1:31" ht="15.75" x14ac:dyDescent="0.25">
      <c r="A44" s="1083" t="s">
        <v>1263</v>
      </c>
      <c r="B44" s="1084"/>
      <c r="C44" s="1084"/>
      <c r="D44" s="1085"/>
      <c r="E44" s="1085"/>
      <c r="F44" s="1084">
        <v>1</v>
      </c>
      <c r="G44" s="1084"/>
      <c r="H44" s="1084">
        <v>1</v>
      </c>
      <c r="I44" s="1085"/>
      <c r="J44" s="1085"/>
      <c r="K44" s="1084"/>
      <c r="L44" s="1085"/>
      <c r="M44" s="1085"/>
      <c r="N44" s="1084">
        <v>1</v>
      </c>
      <c r="O44" s="1085"/>
      <c r="P44" s="1085"/>
      <c r="Q44" s="1086">
        <f t="shared" si="4"/>
        <v>3</v>
      </c>
      <c r="R44" s="1065"/>
      <c r="S44" s="1083" t="s">
        <v>1263</v>
      </c>
      <c r="T44" s="1084">
        <v>1</v>
      </c>
      <c r="U44" s="1084"/>
      <c r="V44" s="1084"/>
      <c r="W44" s="1084">
        <v>1</v>
      </c>
      <c r="X44" s="1084"/>
      <c r="Y44" s="1085"/>
      <c r="Z44" s="1085"/>
      <c r="AA44" s="1085"/>
      <c r="AB44" s="1085"/>
      <c r="AC44" s="1086">
        <f t="shared" si="3"/>
        <v>2</v>
      </c>
      <c r="AD44" s="1065"/>
      <c r="AE44" s="1082">
        <f t="shared" si="1"/>
        <v>5</v>
      </c>
    </row>
    <row r="45" spans="1:31" ht="15.75" x14ac:dyDescent="0.25">
      <c r="A45" s="1083" t="s">
        <v>1264</v>
      </c>
      <c r="B45" s="1084"/>
      <c r="C45" s="1084"/>
      <c r="D45" s="1085"/>
      <c r="E45" s="1085"/>
      <c r="F45" s="1085"/>
      <c r="G45" s="1085"/>
      <c r="H45" s="1085"/>
      <c r="I45" s="1085"/>
      <c r="J45" s="1085"/>
      <c r="K45" s="1085"/>
      <c r="L45" s="1085"/>
      <c r="M45" s="1085"/>
      <c r="N45" s="1085"/>
      <c r="O45" s="1085"/>
      <c r="P45" s="1085"/>
      <c r="Q45" s="1086">
        <f t="shared" si="4"/>
        <v>0</v>
      </c>
      <c r="R45" s="1065"/>
      <c r="S45" s="1083" t="s">
        <v>1264</v>
      </c>
      <c r="T45" s="1084"/>
      <c r="U45" s="1084"/>
      <c r="V45" s="1084"/>
      <c r="W45" s="1084"/>
      <c r="X45" s="1084"/>
      <c r="Y45" s="1085"/>
      <c r="Z45" s="1085"/>
      <c r="AA45" s="1085"/>
      <c r="AB45" s="1085"/>
      <c r="AC45" s="1086">
        <f t="shared" si="3"/>
        <v>0</v>
      </c>
      <c r="AD45" s="1065"/>
      <c r="AE45" s="1082">
        <f t="shared" si="1"/>
        <v>0</v>
      </c>
    </row>
    <row r="46" spans="1:31" ht="15.75" x14ac:dyDescent="0.25">
      <c r="A46" s="1083" t="s">
        <v>1265</v>
      </c>
      <c r="B46" s="1084"/>
      <c r="C46" s="1084"/>
      <c r="D46" s="1085"/>
      <c r="E46" s="1085"/>
      <c r="F46" s="1085"/>
      <c r="G46" s="1085"/>
      <c r="H46" s="1085"/>
      <c r="I46" s="1085"/>
      <c r="J46" s="1085"/>
      <c r="K46" s="1085"/>
      <c r="L46" s="1085"/>
      <c r="M46" s="1085"/>
      <c r="N46" s="1085"/>
      <c r="O46" s="1085"/>
      <c r="P46" s="1085"/>
      <c r="Q46" s="1086">
        <f t="shared" si="4"/>
        <v>0</v>
      </c>
      <c r="R46" s="1065"/>
      <c r="S46" s="1083" t="s">
        <v>1265</v>
      </c>
      <c r="T46" s="1084"/>
      <c r="U46" s="1084"/>
      <c r="V46" s="1084"/>
      <c r="W46" s="1084"/>
      <c r="X46" s="1084"/>
      <c r="Y46" s="1085"/>
      <c r="Z46" s="1085"/>
      <c r="AA46" s="1085"/>
      <c r="AB46" s="1085"/>
      <c r="AC46" s="1086">
        <f t="shared" si="2"/>
        <v>0</v>
      </c>
      <c r="AD46" s="1065"/>
      <c r="AE46" s="1082">
        <f t="shared" si="1"/>
        <v>0</v>
      </c>
    </row>
    <row r="47" spans="1:31" ht="15.75" x14ac:dyDescent="0.25">
      <c r="A47" s="1083" t="s">
        <v>1266</v>
      </c>
      <c r="B47" s="1084"/>
      <c r="C47" s="1084"/>
      <c r="D47" s="1085"/>
      <c r="E47" s="1085"/>
      <c r="F47" s="1085"/>
      <c r="G47" s="1085"/>
      <c r="H47" s="1085"/>
      <c r="I47" s="1085"/>
      <c r="J47" s="1085"/>
      <c r="K47" s="1085"/>
      <c r="L47" s="1085"/>
      <c r="M47" s="1085"/>
      <c r="N47" s="1085"/>
      <c r="O47" s="1085"/>
      <c r="P47" s="1085"/>
      <c r="Q47" s="1086">
        <f t="shared" si="4"/>
        <v>0</v>
      </c>
      <c r="R47" s="1065"/>
      <c r="S47" s="1083" t="s">
        <v>1266</v>
      </c>
      <c r="T47" s="1084"/>
      <c r="U47" s="1084"/>
      <c r="V47" s="1084"/>
      <c r="W47" s="1084"/>
      <c r="X47" s="1084"/>
      <c r="Y47" s="1085"/>
      <c r="Z47" s="1085"/>
      <c r="AA47" s="1085"/>
      <c r="AB47" s="1085"/>
      <c r="AC47" s="1086">
        <f t="shared" si="2"/>
        <v>0</v>
      </c>
      <c r="AD47" s="1065"/>
      <c r="AE47" s="1082">
        <f t="shared" si="1"/>
        <v>0</v>
      </c>
    </row>
    <row r="48" spans="1:31" ht="15.75" x14ac:dyDescent="0.25">
      <c r="A48" s="1083" t="s">
        <v>1267</v>
      </c>
      <c r="B48" s="1084"/>
      <c r="C48" s="1084"/>
      <c r="D48" s="1085"/>
      <c r="E48" s="1085"/>
      <c r="F48" s="1085"/>
      <c r="G48" s="1085"/>
      <c r="H48" s="1085"/>
      <c r="I48" s="1085"/>
      <c r="J48" s="1085"/>
      <c r="K48" s="1085"/>
      <c r="L48" s="1085"/>
      <c r="M48" s="1085"/>
      <c r="N48" s="1085"/>
      <c r="O48" s="1085"/>
      <c r="P48" s="1085"/>
      <c r="Q48" s="1086">
        <f t="shared" si="4"/>
        <v>0</v>
      </c>
      <c r="R48" s="1065"/>
      <c r="S48" s="1083" t="s">
        <v>1267</v>
      </c>
      <c r="T48" s="1084"/>
      <c r="U48" s="1084"/>
      <c r="V48" s="1084"/>
      <c r="W48" s="1084"/>
      <c r="X48" s="1084"/>
      <c r="Y48" s="1085"/>
      <c r="Z48" s="1085"/>
      <c r="AA48" s="1085"/>
      <c r="AB48" s="1085"/>
      <c r="AC48" s="1086">
        <f t="shared" si="2"/>
        <v>0</v>
      </c>
      <c r="AD48" s="1065"/>
      <c r="AE48" s="1082">
        <f t="shared" si="1"/>
        <v>0</v>
      </c>
    </row>
    <row r="49" spans="1:31" ht="15.75" x14ac:dyDescent="0.25">
      <c r="A49" s="1083" t="s">
        <v>1268</v>
      </c>
      <c r="B49" s="1084"/>
      <c r="C49" s="1084"/>
      <c r="D49" s="1085"/>
      <c r="E49" s="1085"/>
      <c r="F49" s="1085"/>
      <c r="G49" s="1085"/>
      <c r="H49" s="1085"/>
      <c r="I49" s="1085"/>
      <c r="J49" s="1085"/>
      <c r="K49" s="1085"/>
      <c r="L49" s="1085"/>
      <c r="M49" s="1085"/>
      <c r="N49" s="1085"/>
      <c r="O49" s="1085"/>
      <c r="P49" s="1085"/>
      <c r="Q49" s="1086">
        <f t="shared" si="4"/>
        <v>0</v>
      </c>
      <c r="R49" s="1065"/>
      <c r="S49" s="1083" t="s">
        <v>1268</v>
      </c>
      <c r="T49" s="1084"/>
      <c r="U49" s="1084"/>
      <c r="V49" s="1084"/>
      <c r="W49" s="1084"/>
      <c r="X49" s="1084"/>
      <c r="Y49" s="1085"/>
      <c r="Z49" s="1085"/>
      <c r="AA49" s="1085"/>
      <c r="AB49" s="1085"/>
      <c r="AC49" s="1086">
        <f t="shared" si="2"/>
        <v>0</v>
      </c>
      <c r="AD49" s="1065"/>
      <c r="AE49" s="1082">
        <f t="shared" si="1"/>
        <v>0</v>
      </c>
    </row>
    <row r="50" spans="1:31" ht="15.75" x14ac:dyDescent="0.25">
      <c r="A50" s="1083" t="s">
        <v>1269</v>
      </c>
      <c r="B50" s="1084"/>
      <c r="C50" s="1084"/>
      <c r="D50" s="1085"/>
      <c r="E50" s="1085"/>
      <c r="F50" s="1085"/>
      <c r="G50" s="1085"/>
      <c r="H50" s="1085"/>
      <c r="I50" s="1085"/>
      <c r="J50" s="1085"/>
      <c r="K50" s="1085"/>
      <c r="L50" s="1085"/>
      <c r="M50" s="1085"/>
      <c r="N50" s="1085"/>
      <c r="O50" s="1085"/>
      <c r="P50" s="1085"/>
      <c r="Q50" s="1086">
        <f t="shared" si="4"/>
        <v>0</v>
      </c>
      <c r="R50" s="1065"/>
      <c r="S50" s="1083" t="s">
        <v>1269</v>
      </c>
      <c r="T50" s="1084"/>
      <c r="U50" s="1084"/>
      <c r="V50" s="1084"/>
      <c r="W50" s="1084"/>
      <c r="X50" s="1084"/>
      <c r="Y50" s="1085"/>
      <c r="Z50" s="1085"/>
      <c r="AA50" s="1085"/>
      <c r="AB50" s="1085"/>
      <c r="AC50" s="1086">
        <f t="shared" si="2"/>
        <v>0</v>
      </c>
      <c r="AD50" s="1065"/>
      <c r="AE50" s="1082">
        <f t="shared" si="1"/>
        <v>0</v>
      </c>
    </row>
    <row r="51" spans="1:31" ht="15.75" x14ac:dyDescent="0.25">
      <c r="A51" s="1083" t="s">
        <v>1270</v>
      </c>
      <c r="B51" s="1084"/>
      <c r="C51" s="1084"/>
      <c r="D51" s="1085"/>
      <c r="E51" s="1085"/>
      <c r="F51" s="1085"/>
      <c r="G51" s="1085"/>
      <c r="H51" s="1085"/>
      <c r="I51" s="1085"/>
      <c r="J51" s="1085"/>
      <c r="K51" s="1085"/>
      <c r="L51" s="1085"/>
      <c r="M51" s="1085"/>
      <c r="N51" s="1085"/>
      <c r="O51" s="1085"/>
      <c r="P51" s="1085"/>
      <c r="Q51" s="1086">
        <f t="shared" si="4"/>
        <v>0</v>
      </c>
      <c r="R51" s="1065"/>
      <c r="S51" s="1083" t="s">
        <v>1270</v>
      </c>
      <c r="T51" s="1084"/>
      <c r="U51" s="1084"/>
      <c r="V51" s="1084"/>
      <c r="W51" s="1084"/>
      <c r="X51" s="1084"/>
      <c r="Y51" s="1085"/>
      <c r="Z51" s="1085"/>
      <c r="AA51" s="1085"/>
      <c r="AB51" s="1085"/>
      <c r="AC51" s="1086">
        <f t="shared" si="2"/>
        <v>0</v>
      </c>
      <c r="AD51" s="1065"/>
      <c r="AE51" s="1082">
        <f t="shared" si="1"/>
        <v>0</v>
      </c>
    </row>
    <row r="52" spans="1:31" ht="16.5" thickBot="1" x14ac:dyDescent="0.3">
      <c r="A52" s="1092" t="s">
        <v>1271</v>
      </c>
      <c r="B52" s="1093"/>
      <c r="C52" s="1093"/>
      <c r="D52" s="1094"/>
      <c r="E52" s="1094"/>
      <c r="F52" s="1094"/>
      <c r="G52" s="1094"/>
      <c r="H52" s="1094"/>
      <c r="I52" s="1094"/>
      <c r="J52" s="1094"/>
      <c r="K52" s="1094"/>
      <c r="L52" s="1094"/>
      <c r="M52" s="1094"/>
      <c r="N52" s="1094"/>
      <c r="O52" s="1094"/>
      <c r="P52" s="1094"/>
      <c r="Q52" s="1095">
        <f t="shared" si="4"/>
        <v>0</v>
      </c>
      <c r="R52" s="1065"/>
      <c r="S52" s="1092" t="s">
        <v>1271</v>
      </c>
      <c r="T52" s="1093"/>
      <c r="U52" s="1093"/>
      <c r="V52" s="1093"/>
      <c r="W52" s="1093"/>
      <c r="X52" s="1093"/>
      <c r="Y52" s="1094"/>
      <c r="Z52" s="1094"/>
      <c r="AA52" s="1094"/>
      <c r="AB52" s="1094"/>
      <c r="AC52" s="1086">
        <f t="shared" si="2"/>
        <v>0</v>
      </c>
      <c r="AD52" s="1065"/>
      <c r="AE52" s="1096">
        <f t="shared" si="1"/>
        <v>0</v>
      </c>
    </row>
  </sheetData>
  <mergeCells count="2">
    <mergeCell ref="A1:Q1"/>
    <mergeCell ref="S1:A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9c7546-c202-4f84-986d-115a7f6191ca" xsi:nil="true"/>
    <lcf76f155ced4ddcb4097134ff3c332f xmlns="097d0603-769b-46d2-a228-77e5d4da28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046C4ED645A4F87F9CCA87DB8E93B" ma:contentTypeVersion="15" ma:contentTypeDescription="Create a new document." ma:contentTypeScope="" ma:versionID="0797d8fffccd2d15b8dd677f0c319bcd">
  <xsd:schema xmlns:xsd="http://www.w3.org/2001/XMLSchema" xmlns:xs="http://www.w3.org/2001/XMLSchema" xmlns:p="http://schemas.microsoft.com/office/2006/metadata/properties" xmlns:ns2="097d0603-769b-46d2-a228-77e5d4da285f" xmlns:ns3="ca9c7546-c202-4f84-986d-115a7f6191ca" targetNamespace="http://schemas.microsoft.com/office/2006/metadata/properties" ma:root="true" ma:fieldsID="104b94afa8b4ee84bc1b68d43f93df28" ns2:_="" ns3:_="">
    <xsd:import namespace="097d0603-769b-46d2-a228-77e5d4da285f"/>
    <xsd:import namespace="ca9c7546-c202-4f84-986d-115a7f619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d0603-769b-46d2-a228-77e5d4da2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8ec70d-cc1e-41e3-8539-785565649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c7546-c202-4f84-986d-115a7f619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f92628a-1ee8-4aad-9bdc-98c8cff31871}" ma:internalName="TaxCatchAll" ma:showField="CatchAllData" ma:web="ca9c7546-c202-4f84-986d-115a7f619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C8CD3-1ED8-4F96-9241-5ABF71AE07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12B24A-56E3-4938-92FF-769408431BC6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ca9c7546-c202-4f84-986d-115a7f6191ca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097d0603-769b-46d2-a228-77e5d4da285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A9EB54E-622F-43F5-B146-49DF2E340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7d0603-769b-46d2-a228-77e5d4da285f"/>
    <ds:schemaRef ds:uri="ca9c7546-c202-4f84-986d-115a7f6191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Like for Likes</vt:lpstr>
      <vt:lpstr>OVN &amp; KMs</vt:lpstr>
      <vt:lpstr>M-F CTT Final</vt:lpstr>
      <vt:lpstr>Sat CTT Final</vt:lpstr>
      <vt:lpstr>Sun CTT Final</vt:lpstr>
      <vt:lpstr>M-F Boards</vt:lpstr>
      <vt:lpstr>Sat Boards</vt:lpstr>
      <vt:lpstr>Sun Boards</vt:lpstr>
      <vt:lpstr>M-F AVL</vt:lpstr>
      <vt:lpstr>Sat AVL (New)</vt:lpstr>
      <vt:lpstr>Sun AVL</vt:lpstr>
      <vt:lpstr>Proposed Roster</vt:lpstr>
      <vt:lpstr>Proposed BH Roster</vt:lpstr>
      <vt:lpstr>M-F Prop. Bus Out</vt:lpstr>
      <vt:lpstr>Sat Prop. Bus Out</vt:lpstr>
      <vt:lpstr>Sun Prop. Bus Out</vt:lpstr>
      <vt:lpstr>'M-F Boards'!Print_Area</vt:lpstr>
      <vt:lpstr>'M-F CTT Final'!Print_Area</vt:lpstr>
      <vt:lpstr>'Sat CTT Final'!Print_Area</vt:lpstr>
      <vt:lpstr>'Sun Boards'!Print_Area</vt:lpstr>
      <vt:lpstr>'Sun CTT Final'!Print_Area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Colm Nolan</dc:creator>
  <cp:keywords/>
  <dc:description/>
  <cp:lastModifiedBy>Colm Nolan</cp:lastModifiedBy>
  <cp:revision/>
  <dcterms:created xsi:type="dcterms:W3CDTF">2025-10-07T09:16:28Z</dcterms:created>
  <dcterms:modified xsi:type="dcterms:W3CDTF">2025-10-30T11:23:48Z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0x010100021046C4ED645A4F87F9CCA87DB8E93B</vt:lpwstr>
  </property>
  <property fmtid="{D5CDD505-2E9C-101B-9397-08002B2CF9AE}" pid="3" name="MediaServiceImageTags">
    <vt:lpwstr/>
  </property>
</Properties>
</file>