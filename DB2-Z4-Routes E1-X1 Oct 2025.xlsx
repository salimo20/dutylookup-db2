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W:\DEPOT INSPECTORS FILE\Schedules 2025\New\"/>
    </mc:Choice>
  </mc:AlternateContent>
  <xr:revisionPtr revIDLastSave="0" documentId="8_{8F5B5DA4-0FAE-4888-859F-6F0DB8D3FD71}" xr6:coauthVersionLast="47" xr6:coauthVersionMax="47" xr10:uidLastSave="{00000000-0000-0000-0000-000000000000}"/>
  <bookViews>
    <workbookView xWindow="-28920" yWindow="-120" windowWidth="29040" windowHeight="15720" activeTab="2" xr2:uid="{1077BFEC-245D-4FE9-A1DB-2396A7636BEB}"/>
  </bookViews>
  <sheets>
    <sheet name="E1-X1 M-F OCT 2025" sheetId="1" r:id="rId1"/>
    <sheet name="E1 SAT OCT 2025" sheetId="2" r:id="rId2"/>
    <sheet name="E1 SUN OCT 2025" sheetId="3" r:id="rId3"/>
    <sheet name="M-F Boards OCT 2025" sheetId="4" r:id="rId4"/>
    <sheet name="SAT Boards OCT 2025" sheetId="5" r:id="rId5"/>
    <sheet name="SUN Boards OCT 2025" sheetId="6" r:id="rId6"/>
  </sheets>
  <definedNames>
    <definedName name="_xlnm.Print_Area" localSheetId="1">'E1 SAT OCT 2025'!$A$51:$R$125</definedName>
    <definedName name="_xlnm.Print_Area" localSheetId="2">'E1 SUN OCT 2025'!$A$56:$R$109</definedName>
    <definedName name="_xlnm.Print_Area" localSheetId="0">'E1-X1 M-F OCT 2025'!$A$49:$S$157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0" i="3" l="1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T108" i="3"/>
  <c r="S108" i="3"/>
  <c r="Q108" i="3"/>
  <c r="P108" i="3" s="1"/>
  <c r="O108" i="3"/>
  <c r="T107" i="3"/>
  <c r="S107" i="3"/>
  <c r="Q107" i="3"/>
  <c r="D107" i="3"/>
  <c r="O107" i="3" s="1"/>
  <c r="P107" i="3" s="1"/>
  <c r="T106" i="3"/>
  <c r="S106" i="3"/>
  <c r="Q106" i="3"/>
  <c r="P106" i="3" s="1"/>
  <c r="O106" i="3"/>
  <c r="D106" i="3"/>
  <c r="T105" i="3"/>
  <c r="S105" i="3"/>
  <c r="Q105" i="3"/>
  <c r="O105" i="3"/>
  <c r="P105" i="3" s="1"/>
  <c r="D105" i="3"/>
  <c r="T104" i="3"/>
  <c r="S104" i="3"/>
  <c r="Q104" i="3"/>
  <c r="P104" i="3"/>
  <c r="O104" i="3"/>
  <c r="T99" i="3"/>
  <c r="S99" i="3"/>
  <c r="Q99" i="3"/>
  <c r="O99" i="3"/>
  <c r="P99" i="3" s="1"/>
  <c r="T98" i="3"/>
  <c r="S98" i="3"/>
  <c r="Q98" i="3"/>
  <c r="P98" i="3"/>
  <c r="O98" i="3"/>
  <c r="T97" i="3"/>
  <c r="S97" i="3"/>
  <c r="Q97" i="3"/>
  <c r="P97" i="3"/>
  <c r="O97" i="3"/>
  <c r="T96" i="3"/>
  <c r="S96" i="3"/>
  <c r="Q96" i="3"/>
  <c r="D96" i="3"/>
  <c r="O96" i="3" s="1"/>
  <c r="P96" i="3" s="1"/>
  <c r="T95" i="3"/>
  <c r="S95" i="3"/>
  <c r="Q95" i="3"/>
  <c r="P95" i="3"/>
  <c r="O95" i="3"/>
  <c r="T90" i="3"/>
  <c r="S90" i="3"/>
  <c r="Q90" i="3"/>
  <c r="O90" i="3"/>
  <c r="P90" i="3" s="1"/>
  <c r="D90" i="3"/>
  <c r="T89" i="3"/>
  <c r="S89" i="3"/>
  <c r="Q89" i="3"/>
  <c r="P89" i="3"/>
  <c r="O89" i="3"/>
  <c r="T88" i="3"/>
  <c r="S88" i="3"/>
  <c r="Q88" i="3"/>
  <c r="D88" i="3"/>
  <c r="O88" i="3" s="1"/>
  <c r="P88" i="3" s="1"/>
  <c r="T87" i="3"/>
  <c r="S87" i="3"/>
  <c r="Q87" i="3"/>
  <c r="P87" i="3"/>
  <c r="O87" i="3"/>
  <c r="T86" i="3"/>
  <c r="S86" i="3"/>
  <c r="Q86" i="3"/>
  <c r="P86" i="3"/>
  <c r="O86" i="3"/>
  <c r="T85" i="3"/>
  <c r="S85" i="3"/>
  <c r="Q85" i="3"/>
  <c r="D85" i="3"/>
  <c r="O85" i="3" s="1"/>
  <c r="P85" i="3" s="1"/>
  <c r="T84" i="3"/>
  <c r="S84" i="3"/>
  <c r="Q84" i="3"/>
  <c r="P84" i="3"/>
  <c r="O84" i="3"/>
  <c r="D84" i="3"/>
  <c r="T83" i="3"/>
  <c r="S83" i="3"/>
  <c r="Q83" i="3"/>
  <c r="D83" i="3"/>
  <c r="O83" i="3" s="1"/>
  <c r="P83" i="3" s="1"/>
  <c r="T82" i="3"/>
  <c r="S82" i="3"/>
  <c r="Q82" i="3"/>
  <c r="O82" i="3"/>
  <c r="P82" i="3" s="1"/>
  <c r="T81" i="3"/>
  <c r="S81" i="3"/>
  <c r="Q81" i="3"/>
  <c r="P81" i="3" s="1"/>
  <c r="O81" i="3"/>
  <c r="T80" i="3"/>
  <c r="S80" i="3"/>
  <c r="Q80" i="3"/>
  <c r="D80" i="3"/>
  <c r="O80" i="3" s="1"/>
  <c r="P80" i="3" s="1"/>
  <c r="T79" i="3"/>
  <c r="S79" i="3"/>
  <c r="Q79" i="3"/>
  <c r="O79" i="3"/>
  <c r="P79" i="3" s="1"/>
  <c r="D79" i="3"/>
  <c r="T78" i="3"/>
  <c r="S78" i="3"/>
  <c r="Q78" i="3"/>
  <c r="P78" i="3" s="1"/>
  <c r="O78" i="3"/>
  <c r="AD77" i="3"/>
  <c r="T77" i="3"/>
  <c r="S77" i="3"/>
  <c r="Q77" i="3"/>
  <c r="P77" i="3"/>
  <c r="O77" i="3"/>
  <c r="T76" i="3"/>
  <c r="S76" i="3"/>
  <c r="Q76" i="3"/>
  <c r="P76" i="3"/>
  <c r="O76" i="3"/>
  <c r="T75" i="3"/>
  <c r="S75" i="3"/>
  <c r="Q75" i="3"/>
  <c r="P75" i="3" s="1"/>
  <c r="O75" i="3"/>
  <c r="T74" i="3"/>
  <c r="S74" i="3"/>
  <c r="Q74" i="3"/>
  <c r="O74" i="3"/>
  <c r="P74" i="3" s="1"/>
  <c r="T73" i="3"/>
  <c r="S73" i="3"/>
  <c r="Q73" i="3"/>
  <c r="O73" i="3"/>
  <c r="P73" i="3" s="1"/>
  <c r="S72" i="3"/>
  <c r="Q72" i="3"/>
  <c r="P72" i="3"/>
  <c r="O72" i="3"/>
  <c r="T71" i="3"/>
  <c r="S71" i="3"/>
  <c r="Q71" i="3"/>
  <c r="P71" i="3"/>
  <c r="O71" i="3"/>
  <c r="T70" i="3"/>
  <c r="S70" i="3"/>
  <c r="Q70" i="3"/>
  <c r="P70" i="3" s="1"/>
  <c r="O70" i="3"/>
  <c r="T69" i="3"/>
  <c r="S69" i="3"/>
  <c r="P69" i="3"/>
  <c r="O69" i="3"/>
  <c r="T68" i="3"/>
  <c r="S68" i="3"/>
  <c r="P68" i="3"/>
  <c r="O68" i="3"/>
  <c r="T67" i="3"/>
  <c r="S67" i="3"/>
  <c r="Q67" i="3"/>
  <c r="O67" i="3"/>
  <c r="P67" i="3" s="1"/>
  <c r="T66" i="3"/>
  <c r="S66" i="3"/>
  <c r="Q66" i="3"/>
  <c r="O66" i="3"/>
  <c r="P66" i="3" s="1"/>
  <c r="T65" i="3"/>
  <c r="S65" i="3"/>
  <c r="Q65" i="3"/>
  <c r="P65" i="3" s="1"/>
  <c r="O65" i="3"/>
  <c r="T64" i="3"/>
  <c r="S64" i="3"/>
  <c r="Q64" i="3"/>
  <c r="P64" i="3" s="1"/>
  <c r="O64" i="3"/>
  <c r="T63" i="3"/>
  <c r="S63" i="3"/>
  <c r="Q63" i="3"/>
  <c r="O63" i="3"/>
  <c r="P63" i="3" s="1"/>
  <c r="Q62" i="3"/>
  <c r="P62" i="3" s="1"/>
  <c r="O62" i="3"/>
  <c r="Q61" i="3"/>
  <c r="P61" i="3" s="1"/>
  <c r="O61" i="3"/>
  <c r="S60" i="3"/>
  <c r="O60" i="3"/>
  <c r="P59" i="3"/>
  <c r="O59" i="3"/>
  <c r="AC138" i="2"/>
  <c r="S138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V129" i="2"/>
  <c r="AV128" i="2"/>
  <c r="AV127" i="2"/>
  <c r="AV126" i="2"/>
  <c r="AV125" i="2"/>
  <c r="AV124" i="2"/>
  <c r="N124" i="2"/>
  <c r="I124" i="2"/>
  <c r="Q124" i="2" s="1"/>
  <c r="D124" i="2"/>
  <c r="O124" i="2" s="1"/>
  <c r="AV123" i="2"/>
  <c r="N123" i="2"/>
  <c r="O123" i="2" s="1"/>
  <c r="I123" i="2"/>
  <c r="Q123" i="2" s="1"/>
  <c r="D123" i="2"/>
  <c r="AV122" i="2"/>
  <c r="N122" i="2"/>
  <c r="O122" i="2" s="1"/>
  <c r="P122" i="2" s="1"/>
  <c r="I122" i="2"/>
  <c r="Q122" i="2" s="1"/>
  <c r="D122" i="2"/>
  <c r="AV121" i="2"/>
  <c r="Q121" i="2"/>
  <c r="N121" i="2"/>
  <c r="O121" i="2" s="1"/>
  <c r="P121" i="2" s="1"/>
  <c r="I121" i="2"/>
  <c r="D121" i="2"/>
  <c r="AV120" i="2"/>
  <c r="Q120" i="2"/>
  <c r="P120" i="2"/>
  <c r="O120" i="2"/>
  <c r="I120" i="2"/>
  <c r="D120" i="2"/>
  <c r="AV119" i="2"/>
  <c r="Q119" i="2"/>
  <c r="N119" i="2"/>
  <c r="O119" i="2" s="1"/>
  <c r="P119" i="2" s="1"/>
  <c r="I119" i="2"/>
  <c r="D119" i="2"/>
  <c r="AV118" i="2"/>
  <c r="N118" i="2"/>
  <c r="O118" i="2" s="1"/>
  <c r="I118" i="2"/>
  <c r="Q118" i="2" s="1"/>
  <c r="D118" i="2"/>
  <c r="AV117" i="2"/>
  <c r="AV116" i="2"/>
  <c r="AV115" i="2"/>
  <c r="AV114" i="2"/>
  <c r="AV113" i="2"/>
  <c r="Q113" i="2"/>
  <c r="D113" i="2"/>
  <c r="O113" i="2" s="1"/>
  <c r="P113" i="2" s="1"/>
  <c r="AV112" i="2"/>
  <c r="Q112" i="2"/>
  <c r="N112" i="2"/>
  <c r="O112" i="2" s="1"/>
  <c r="P112" i="2" s="1"/>
  <c r="I112" i="2"/>
  <c r="D112" i="2"/>
  <c r="AV111" i="2"/>
  <c r="Q111" i="2"/>
  <c r="D111" i="2"/>
  <c r="O111" i="2" s="1"/>
  <c r="P111" i="2" s="1"/>
  <c r="AV110" i="2"/>
  <c r="Q110" i="2"/>
  <c r="N110" i="2"/>
  <c r="O110" i="2" s="1"/>
  <c r="P110" i="2" s="1"/>
  <c r="D110" i="2"/>
  <c r="AV109" i="2"/>
  <c r="Q109" i="2"/>
  <c r="P109" i="2"/>
  <c r="O109" i="2"/>
  <c r="N109" i="2"/>
  <c r="I109" i="2"/>
  <c r="D109" i="2"/>
  <c r="AV108" i="2"/>
  <c r="Q108" i="2"/>
  <c r="O108" i="2"/>
  <c r="P108" i="2" s="1"/>
  <c r="D108" i="2"/>
  <c r="AV107" i="2"/>
  <c r="N107" i="2"/>
  <c r="I107" i="2"/>
  <c r="Q107" i="2" s="1"/>
  <c r="D107" i="2"/>
  <c r="O107" i="2" s="1"/>
  <c r="P107" i="2" s="1"/>
  <c r="AV106" i="2"/>
  <c r="N106" i="2"/>
  <c r="O106" i="2" s="1"/>
  <c r="P106" i="2" s="1"/>
  <c r="I106" i="2"/>
  <c r="Q106" i="2" s="1"/>
  <c r="D106" i="2"/>
  <c r="AV105" i="2"/>
  <c r="AV104" i="2"/>
  <c r="AV103" i="2"/>
  <c r="AV102" i="2"/>
  <c r="AV101" i="2"/>
  <c r="Q101" i="2"/>
  <c r="P101" i="2"/>
  <c r="O101" i="2"/>
  <c r="N101" i="2"/>
  <c r="D101" i="2"/>
  <c r="AV100" i="2"/>
  <c r="Q100" i="2"/>
  <c r="N100" i="2"/>
  <c r="O100" i="2" s="1"/>
  <c r="P100" i="2" s="1"/>
  <c r="I100" i="2"/>
  <c r="D100" i="2"/>
  <c r="AV99" i="2"/>
  <c r="Q99" i="2"/>
  <c r="N99" i="2"/>
  <c r="O99" i="2" s="1"/>
  <c r="P99" i="2" s="1"/>
  <c r="D99" i="2"/>
  <c r="AV98" i="2"/>
  <c r="Q98" i="2"/>
  <c r="N98" i="2"/>
  <c r="O98" i="2" s="1"/>
  <c r="P98" i="2" s="1"/>
  <c r="D98" i="2"/>
  <c r="AV97" i="2"/>
  <c r="Q97" i="2"/>
  <c r="N97" i="2"/>
  <c r="I97" i="2"/>
  <c r="D97" i="2"/>
  <c r="O97" i="2" s="1"/>
  <c r="P97" i="2" s="1"/>
  <c r="AV96" i="2"/>
  <c r="Q96" i="2"/>
  <c r="P96" i="2"/>
  <c r="O96" i="2"/>
  <c r="N96" i="2"/>
  <c r="I96" i="2"/>
  <c r="D96" i="2"/>
  <c r="AV95" i="2"/>
  <c r="Q95" i="2"/>
  <c r="O95" i="2"/>
  <c r="P95" i="2" s="1"/>
  <c r="N95" i="2"/>
  <c r="I95" i="2"/>
  <c r="D95" i="2"/>
  <c r="AV94" i="2"/>
  <c r="Q94" i="2"/>
  <c r="N94" i="2"/>
  <c r="O94" i="2" s="1"/>
  <c r="P94" i="2" s="1"/>
  <c r="I94" i="2"/>
  <c r="D94" i="2"/>
  <c r="AV93" i="2"/>
  <c r="N93" i="2"/>
  <c r="O93" i="2" s="1"/>
  <c r="I93" i="2"/>
  <c r="Q93" i="2" s="1"/>
  <c r="D93" i="2"/>
  <c r="AV92" i="2"/>
  <c r="N92" i="2"/>
  <c r="I92" i="2"/>
  <c r="Q92" i="2" s="1"/>
  <c r="D92" i="2"/>
  <c r="O92" i="2" s="1"/>
  <c r="AV91" i="2"/>
  <c r="I91" i="2"/>
  <c r="Q91" i="2" s="1"/>
  <c r="D91" i="2"/>
  <c r="O91" i="2" s="1"/>
  <c r="P91" i="2" s="1"/>
  <c r="AV90" i="2"/>
  <c r="Q90" i="2"/>
  <c r="N90" i="2"/>
  <c r="O90" i="2" s="1"/>
  <c r="P90" i="2" s="1"/>
  <c r="I90" i="2"/>
  <c r="D90" i="2"/>
  <c r="AV89" i="2"/>
  <c r="Q89" i="2"/>
  <c r="P89" i="2"/>
  <c r="O89" i="2"/>
  <c r="N89" i="2"/>
  <c r="I89" i="2"/>
  <c r="D89" i="2"/>
  <c r="AV88" i="2"/>
  <c r="Q88" i="2"/>
  <c r="O88" i="2"/>
  <c r="P88" i="2" s="1"/>
  <c r="N88" i="2"/>
  <c r="I88" i="2"/>
  <c r="D88" i="2"/>
  <c r="AV87" i="2"/>
  <c r="Q87" i="2"/>
  <c r="N87" i="2"/>
  <c r="O87" i="2" s="1"/>
  <c r="P87" i="2" s="1"/>
  <c r="I87" i="2"/>
  <c r="D87" i="2"/>
  <c r="AV86" i="2"/>
  <c r="Q86" i="2"/>
  <c r="D86" i="2"/>
  <c r="O86" i="2" s="1"/>
  <c r="P86" i="2" s="1"/>
  <c r="AV85" i="2"/>
  <c r="N85" i="2"/>
  <c r="O85" i="2" s="1"/>
  <c r="P85" i="2" s="1"/>
  <c r="I85" i="2"/>
  <c r="Q85" i="2" s="1"/>
  <c r="D85" i="2"/>
  <c r="AV84" i="2"/>
  <c r="Q84" i="2"/>
  <c r="D84" i="2"/>
  <c r="O84" i="2" s="1"/>
  <c r="P84" i="2" s="1"/>
  <c r="AV83" i="2"/>
  <c r="Q83" i="2"/>
  <c r="D83" i="2"/>
  <c r="O83" i="2" s="1"/>
  <c r="P83" i="2" s="1"/>
  <c r="AV82" i="2"/>
  <c r="Q82" i="2"/>
  <c r="D82" i="2"/>
  <c r="O82" i="2" s="1"/>
  <c r="P82" i="2" s="1"/>
  <c r="AV81" i="2"/>
  <c r="Q81" i="2"/>
  <c r="P81" i="2"/>
  <c r="O81" i="2"/>
  <c r="N81" i="2"/>
  <c r="I81" i="2"/>
  <c r="D81" i="2"/>
  <c r="AV80" i="2"/>
  <c r="Q80" i="2"/>
  <c r="O80" i="2"/>
  <c r="P80" i="2" s="1"/>
  <c r="D80" i="2"/>
  <c r="AV79" i="2"/>
  <c r="Q79" i="2"/>
  <c r="O79" i="2"/>
  <c r="P79" i="2" s="1"/>
  <c r="D79" i="2"/>
  <c r="AV78" i="2"/>
  <c r="Q78" i="2"/>
  <c r="N78" i="2"/>
  <c r="O78" i="2" s="1"/>
  <c r="P78" i="2" s="1"/>
  <c r="I78" i="2"/>
  <c r="D78" i="2"/>
  <c r="AV77" i="2"/>
  <c r="Q77" i="2"/>
  <c r="P77" i="2"/>
  <c r="O77" i="2"/>
  <c r="N77" i="2"/>
  <c r="I77" i="2"/>
  <c r="D77" i="2"/>
  <c r="AV76" i="2"/>
  <c r="O76" i="2"/>
  <c r="P76" i="2" s="1"/>
  <c r="N76" i="2"/>
  <c r="I76" i="2"/>
  <c r="Q76" i="2" s="1"/>
  <c r="D76" i="2"/>
  <c r="AV75" i="2"/>
  <c r="Q75" i="2"/>
  <c r="D75" i="2"/>
  <c r="O75" i="2" s="1"/>
  <c r="P75" i="2" s="1"/>
  <c r="AV74" i="2"/>
  <c r="N74" i="2"/>
  <c r="O74" i="2" s="1"/>
  <c r="P74" i="2" s="1"/>
  <c r="I74" i="2"/>
  <c r="Q74" i="2" s="1"/>
  <c r="D74" i="2"/>
  <c r="AV73" i="2"/>
  <c r="N73" i="2"/>
  <c r="O73" i="2" s="1"/>
  <c r="P73" i="2" s="1"/>
  <c r="I73" i="2"/>
  <c r="Q73" i="2" s="1"/>
  <c r="D73" i="2"/>
  <c r="AV72" i="2"/>
  <c r="Q72" i="2"/>
  <c r="N72" i="2"/>
  <c r="O72" i="2" s="1"/>
  <c r="P72" i="2" s="1"/>
  <c r="I72" i="2"/>
  <c r="D72" i="2"/>
  <c r="AV71" i="2"/>
  <c r="Q71" i="2"/>
  <c r="P71" i="2"/>
  <c r="O71" i="2"/>
  <c r="N71" i="2"/>
  <c r="I71" i="2"/>
  <c r="D71" i="2"/>
  <c r="AV70" i="2"/>
  <c r="O70" i="2"/>
  <c r="P70" i="2" s="1"/>
  <c r="N70" i="2"/>
  <c r="I70" i="2"/>
  <c r="Q70" i="2" s="1"/>
  <c r="D70" i="2"/>
  <c r="AV69" i="2"/>
  <c r="Q69" i="2"/>
  <c r="N69" i="2"/>
  <c r="O69" i="2" s="1"/>
  <c r="P69" i="2" s="1"/>
  <c r="I69" i="2"/>
  <c r="D69" i="2"/>
  <c r="AV68" i="2"/>
  <c r="N68" i="2"/>
  <c r="O68" i="2" s="1"/>
  <c r="I68" i="2"/>
  <c r="Q68" i="2" s="1"/>
  <c r="D68" i="2"/>
  <c r="AV67" i="2"/>
  <c r="Q67" i="2"/>
  <c r="O67" i="2"/>
  <c r="P67" i="2" s="1"/>
  <c r="D67" i="2"/>
  <c r="AV66" i="2"/>
  <c r="Q66" i="2"/>
  <c r="N66" i="2"/>
  <c r="O66" i="2" s="1"/>
  <c r="P66" i="2" s="1"/>
  <c r="I66" i="2"/>
  <c r="D66" i="2"/>
  <c r="AV65" i="2"/>
  <c r="Q65" i="2"/>
  <c r="P65" i="2"/>
  <c r="O65" i="2"/>
  <c r="N65" i="2"/>
  <c r="I65" i="2"/>
  <c r="D65" i="2"/>
  <c r="AV64" i="2"/>
  <c r="O64" i="2"/>
  <c r="N64" i="2"/>
  <c r="I64" i="2"/>
  <c r="Q64" i="2" s="1"/>
  <c r="D64" i="2"/>
  <c r="AV63" i="2"/>
  <c r="Q63" i="2"/>
  <c r="N63" i="2"/>
  <c r="O63" i="2" s="1"/>
  <c r="P63" i="2" s="1"/>
  <c r="D63" i="2"/>
  <c r="AV62" i="2"/>
  <c r="I62" i="2"/>
  <c r="Q62" i="2" s="1"/>
  <c r="D62" i="2"/>
  <c r="O62" i="2" s="1"/>
  <c r="P62" i="2" s="1"/>
  <c r="AV61" i="2"/>
  <c r="N61" i="2"/>
  <c r="I61" i="2"/>
  <c r="Q61" i="2" s="1"/>
  <c r="D61" i="2"/>
  <c r="O61" i="2" s="1"/>
  <c r="AV60" i="2"/>
  <c r="Q60" i="2"/>
  <c r="N60" i="2"/>
  <c r="O60" i="2" s="1"/>
  <c r="P60" i="2" s="1"/>
  <c r="I60" i="2"/>
  <c r="D60" i="2"/>
  <c r="AV59" i="2"/>
  <c r="X59" i="2"/>
  <c r="Q59" i="2"/>
  <c r="N59" i="2"/>
  <c r="O59" i="2" s="1"/>
  <c r="P59" i="2" s="1"/>
  <c r="D59" i="2"/>
  <c r="AV58" i="2"/>
  <c r="O58" i="2"/>
  <c r="P58" i="2" s="1"/>
  <c r="N58" i="2"/>
  <c r="I58" i="2"/>
  <c r="Q58" i="2" s="1"/>
  <c r="D58" i="2"/>
  <c r="AV57" i="2"/>
  <c r="Q57" i="2"/>
  <c r="D57" i="2"/>
  <c r="O57" i="2" s="1"/>
  <c r="P57" i="2" s="1"/>
  <c r="AV56" i="2"/>
  <c r="X56" i="2"/>
  <c r="N56" i="2"/>
  <c r="I56" i="2"/>
  <c r="Q56" i="2" s="1"/>
  <c r="D56" i="2"/>
  <c r="O56" i="2" s="1"/>
  <c r="P56" i="2" s="1"/>
  <c r="AV55" i="2"/>
  <c r="Q55" i="2"/>
  <c r="D55" i="2"/>
  <c r="O55" i="2" s="1"/>
  <c r="AV54" i="2"/>
  <c r="Q54" i="2"/>
  <c r="P54" i="2"/>
  <c r="O54" i="2"/>
  <c r="N54" i="2"/>
  <c r="D54" i="2"/>
  <c r="AV53" i="2"/>
  <c r="AV52" i="2"/>
  <c r="AV51" i="2"/>
  <c r="AV50" i="2"/>
  <c r="AU50" i="2"/>
  <c r="AV49" i="2"/>
  <c r="AU49" i="2"/>
  <c r="AV48" i="2"/>
  <c r="AU48" i="2"/>
  <c r="AV47" i="2"/>
  <c r="AU47" i="2"/>
  <c r="AV46" i="2"/>
  <c r="AU46" i="2"/>
  <c r="AV45" i="2"/>
  <c r="AU45" i="2"/>
  <c r="AV44" i="2"/>
  <c r="AU44" i="2"/>
  <c r="AV43" i="2"/>
  <c r="AU43" i="2"/>
  <c r="AV42" i="2"/>
  <c r="AU42" i="2"/>
  <c r="AV41" i="2"/>
  <c r="AU41" i="2"/>
  <c r="AV40" i="2"/>
  <c r="AU40" i="2"/>
  <c r="AV39" i="2"/>
  <c r="AU39" i="2"/>
  <c r="AV38" i="2"/>
  <c r="AU38" i="2"/>
  <c r="AV37" i="2"/>
  <c r="AU37" i="2"/>
  <c r="AV36" i="2"/>
  <c r="AU36" i="2"/>
  <c r="AV35" i="2"/>
  <c r="AU35" i="2"/>
  <c r="AV34" i="2"/>
  <c r="AU34" i="2"/>
  <c r="AV33" i="2"/>
  <c r="AU33" i="2"/>
  <c r="AV32" i="2"/>
  <c r="AU32" i="2"/>
  <c r="AV31" i="2"/>
  <c r="AU31" i="2"/>
  <c r="AV30" i="2"/>
  <c r="AU30" i="2"/>
  <c r="AV29" i="2"/>
  <c r="AU29" i="2"/>
  <c r="AV28" i="2"/>
  <c r="AU28" i="2"/>
  <c r="AV27" i="2"/>
  <c r="AU27" i="2"/>
  <c r="AV26" i="2"/>
  <c r="AU26" i="2"/>
  <c r="AV25" i="2"/>
  <c r="AU25" i="2"/>
  <c r="AV24" i="2"/>
  <c r="AU24" i="2"/>
  <c r="AV23" i="2"/>
  <c r="AU23" i="2"/>
  <c r="AV22" i="2"/>
  <c r="AU22" i="2"/>
  <c r="AV21" i="2"/>
  <c r="AU21" i="2"/>
  <c r="AV20" i="2"/>
  <c r="AU20" i="2"/>
  <c r="AV19" i="2"/>
  <c r="AU19" i="2"/>
  <c r="AV18" i="2"/>
  <c r="AU18" i="2"/>
  <c r="AV17" i="2"/>
  <c r="AU17" i="2"/>
  <c r="AV16" i="2"/>
  <c r="AU16" i="2"/>
  <c r="AV15" i="2"/>
  <c r="AU15" i="2"/>
  <c r="AV14" i="2"/>
  <c r="AU14" i="2"/>
  <c r="AV13" i="2"/>
  <c r="AU13" i="2"/>
  <c r="AV12" i="2"/>
  <c r="AU12" i="2"/>
  <c r="AV11" i="2"/>
  <c r="AU11" i="2"/>
  <c r="AV10" i="2"/>
  <c r="AU10" i="2"/>
  <c r="AV9" i="2"/>
  <c r="AU9" i="2"/>
  <c r="AV8" i="2"/>
  <c r="AU8" i="2"/>
  <c r="AV7" i="2"/>
  <c r="AU7" i="2"/>
  <c r="AV6" i="2"/>
  <c r="AU6" i="2"/>
  <c r="AV5" i="2"/>
  <c r="AU5" i="2"/>
  <c r="AV4" i="2"/>
  <c r="AU4" i="2"/>
  <c r="AV3" i="2"/>
  <c r="AU3" i="2"/>
  <c r="AV2" i="2"/>
  <c r="AU2" i="2"/>
  <c r="BK195" i="1"/>
  <c r="BG195" i="1"/>
  <c r="Z195" i="1"/>
  <c r="M195" i="1"/>
  <c r="I195" i="1"/>
  <c r="E195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W191" i="1"/>
  <c r="AU191" i="1"/>
  <c r="AT191" i="1"/>
  <c r="AR191" i="1"/>
  <c r="AP191" i="1"/>
  <c r="AN191" i="1"/>
  <c r="AL191" i="1"/>
  <c r="AK191" i="1"/>
  <c r="AG191" i="1"/>
  <c r="AE191" i="1"/>
  <c r="AC191" i="1"/>
  <c r="AB191" i="1"/>
  <c r="AA191" i="1"/>
  <c r="Z191" i="1"/>
  <c r="Y191" i="1"/>
  <c r="X191" i="1"/>
  <c r="W191" i="1"/>
  <c r="V191" i="1"/>
  <c r="U191" i="1"/>
  <c r="T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B191" i="1"/>
  <c r="R156" i="1"/>
  <c r="P156" i="1"/>
  <c r="Q156" i="1" s="1"/>
  <c r="R155" i="1"/>
  <c r="P155" i="1"/>
  <c r="Q155" i="1" s="1"/>
  <c r="R154" i="1"/>
  <c r="Q154" i="1"/>
  <c r="P154" i="1"/>
  <c r="R153" i="1"/>
  <c r="Q153" i="1"/>
  <c r="P153" i="1"/>
  <c r="E153" i="1"/>
  <c r="R152" i="1"/>
  <c r="P152" i="1"/>
  <c r="Q152" i="1" s="1"/>
  <c r="R151" i="1"/>
  <c r="P151" i="1"/>
  <c r="Q151" i="1" s="1"/>
  <c r="E151" i="1"/>
  <c r="R150" i="1"/>
  <c r="E150" i="1"/>
  <c r="P150" i="1" s="1"/>
  <c r="R145" i="1"/>
  <c r="Q145" i="1"/>
  <c r="P145" i="1"/>
  <c r="R144" i="1"/>
  <c r="Q144" i="1"/>
  <c r="P144" i="1"/>
  <c r="R143" i="1"/>
  <c r="P143" i="1"/>
  <c r="Q143" i="1" s="1"/>
  <c r="R142" i="1"/>
  <c r="Q142" i="1" s="1"/>
  <c r="P142" i="1"/>
  <c r="R141" i="1"/>
  <c r="P141" i="1"/>
  <c r="Q141" i="1" s="1"/>
  <c r="R140" i="1"/>
  <c r="P140" i="1"/>
  <c r="Q140" i="1" s="1"/>
  <c r="R139" i="1"/>
  <c r="P139" i="1"/>
  <c r="Q139" i="1" s="1"/>
  <c r="E139" i="1"/>
  <c r="R138" i="1"/>
  <c r="P138" i="1"/>
  <c r="Q138" i="1" s="1"/>
  <c r="R137" i="1"/>
  <c r="E137" i="1"/>
  <c r="P137" i="1" s="1"/>
  <c r="Q137" i="1" s="1"/>
  <c r="R136" i="1"/>
  <c r="E136" i="1"/>
  <c r="P136" i="1" s="1"/>
  <c r="Q136" i="1" s="1"/>
  <c r="R135" i="1"/>
  <c r="Q135" i="1" s="1"/>
  <c r="P135" i="1"/>
  <c r="R134" i="1"/>
  <c r="P134" i="1"/>
  <c r="Q134" i="1" s="1"/>
  <c r="R133" i="1"/>
  <c r="P133" i="1"/>
  <c r="Q133" i="1" s="1"/>
  <c r="R132" i="1"/>
  <c r="P132" i="1"/>
  <c r="Q132" i="1" s="1"/>
  <c r="R131" i="1"/>
  <c r="Q131" i="1"/>
  <c r="P131" i="1"/>
  <c r="R130" i="1"/>
  <c r="P130" i="1"/>
  <c r="Q130" i="1" s="1"/>
  <c r="R129" i="1"/>
  <c r="Q129" i="1"/>
  <c r="P129" i="1"/>
  <c r="R128" i="1"/>
  <c r="P128" i="1"/>
  <c r="Q128" i="1" s="1"/>
  <c r="R127" i="1"/>
  <c r="Q127" i="1"/>
  <c r="P127" i="1"/>
  <c r="R126" i="1"/>
  <c r="P126" i="1"/>
  <c r="Q126" i="1" s="1"/>
  <c r="R125" i="1"/>
  <c r="P125" i="1"/>
  <c r="Q125" i="1" s="1"/>
  <c r="R124" i="1"/>
  <c r="P124" i="1"/>
  <c r="Q124" i="1" s="1"/>
  <c r="R123" i="1"/>
  <c r="Q123" i="1"/>
  <c r="P123" i="1"/>
  <c r="R122" i="1"/>
  <c r="P122" i="1"/>
  <c r="Q122" i="1" s="1"/>
  <c r="R121" i="1"/>
  <c r="Q121" i="1"/>
  <c r="P121" i="1"/>
  <c r="R120" i="1"/>
  <c r="P120" i="1"/>
  <c r="Q120" i="1" s="1"/>
  <c r="R115" i="1"/>
  <c r="Q115" i="1"/>
  <c r="P115" i="1"/>
  <c r="R114" i="1"/>
  <c r="P114" i="1"/>
  <c r="Q114" i="1" s="1"/>
  <c r="R113" i="1"/>
  <c r="Q113" i="1"/>
  <c r="P113" i="1"/>
  <c r="R112" i="1"/>
  <c r="P112" i="1"/>
  <c r="Q112" i="1" s="1"/>
  <c r="E112" i="1"/>
  <c r="R111" i="1"/>
  <c r="P111" i="1"/>
  <c r="Q111" i="1" s="1"/>
  <c r="R110" i="1"/>
  <c r="E110" i="1"/>
  <c r="P110" i="1" s="1"/>
  <c r="Q110" i="1" s="1"/>
  <c r="R109" i="1"/>
  <c r="P109" i="1"/>
  <c r="Q109" i="1" s="1"/>
  <c r="R108" i="1"/>
  <c r="P108" i="1"/>
  <c r="Q108" i="1" s="1"/>
  <c r="R107" i="1"/>
  <c r="E107" i="1"/>
  <c r="P107" i="1" s="1"/>
  <c r="Q107" i="1" s="1"/>
  <c r="R106" i="1"/>
  <c r="Q106" i="1"/>
  <c r="P106" i="1"/>
  <c r="R105" i="1"/>
  <c r="P105" i="1"/>
  <c r="Q105" i="1" s="1"/>
  <c r="R104" i="1"/>
  <c r="P104" i="1"/>
  <c r="Q104" i="1" s="1"/>
  <c r="R103" i="1"/>
  <c r="P103" i="1"/>
  <c r="Q103" i="1" s="1"/>
  <c r="E103" i="1"/>
  <c r="R102" i="1"/>
  <c r="P102" i="1"/>
  <c r="Q102" i="1" s="1"/>
  <c r="R101" i="1"/>
  <c r="Q101" i="1"/>
  <c r="P101" i="1"/>
  <c r="R100" i="1"/>
  <c r="P100" i="1"/>
  <c r="Q100" i="1" s="1"/>
  <c r="R99" i="1"/>
  <c r="P99" i="1"/>
  <c r="Q99" i="1" s="1"/>
  <c r="R98" i="1"/>
  <c r="P98" i="1"/>
  <c r="Q98" i="1" s="1"/>
  <c r="E98" i="1"/>
  <c r="R97" i="1"/>
  <c r="P97" i="1"/>
  <c r="Q97" i="1" s="1"/>
  <c r="R96" i="1"/>
  <c r="Q96" i="1"/>
  <c r="P96" i="1"/>
  <c r="R95" i="1"/>
  <c r="P95" i="1"/>
  <c r="Q95" i="1" s="1"/>
  <c r="E95" i="1"/>
  <c r="R94" i="1"/>
  <c r="P94" i="1"/>
  <c r="Q94" i="1" s="1"/>
  <c r="R93" i="1"/>
  <c r="E93" i="1"/>
  <c r="P93" i="1" s="1"/>
  <c r="Q93" i="1" s="1"/>
  <c r="R92" i="1"/>
  <c r="P92" i="1"/>
  <c r="Q92" i="1" s="1"/>
  <c r="R91" i="1"/>
  <c r="P91" i="1"/>
  <c r="Q91" i="1" s="1"/>
  <c r="E91" i="1"/>
  <c r="R90" i="1"/>
  <c r="P90" i="1"/>
  <c r="Q90" i="1" s="1"/>
  <c r="R89" i="1"/>
  <c r="Q89" i="1"/>
  <c r="P89" i="1"/>
  <c r="R88" i="1"/>
  <c r="P88" i="1"/>
  <c r="Q88" i="1" s="1"/>
  <c r="R87" i="1"/>
  <c r="P87" i="1"/>
  <c r="Q87" i="1" s="1"/>
  <c r="R86" i="1"/>
  <c r="P86" i="1"/>
  <c r="Q86" i="1" s="1"/>
  <c r="E86" i="1"/>
  <c r="R85" i="1"/>
  <c r="P85" i="1"/>
  <c r="Q85" i="1" s="1"/>
  <c r="R84" i="1"/>
  <c r="E84" i="1"/>
  <c r="P84" i="1" s="1"/>
  <c r="R83" i="1"/>
  <c r="Q83" i="1"/>
  <c r="P83" i="1"/>
  <c r="R82" i="1"/>
  <c r="P82" i="1"/>
  <c r="Q82" i="1" s="1"/>
  <c r="R81" i="1"/>
  <c r="Q81" i="1"/>
  <c r="P81" i="1"/>
  <c r="R80" i="1"/>
  <c r="P80" i="1"/>
  <c r="Q80" i="1" s="1"/>
  <c r="AX79" i="1"/>
  <c r="AW79" i="1"/>
  <c r="AV79" i="1"/>
  <c r="AU79" i="1"/>
  <c r="AT79" i="1"/>
  <c r="AS79" i="1"/>
  <c r="AR79" i="1"/>
  <c r="AQ79" i="1"/>
  <c r="R79" i="1"/>
  <c r="Q79" i="1"/>
  <c r="P79" i="1"/>
  <c r="R78" i="1"/>
  <c r="P78" i="1"/>
  <c r="Q78" i="1" s="1"/>
  <c r="AX77" i="1"/>
  <c r="AW77" i="1"/>
  <c r="AV77" i="1"/>
  <c r="AU77" i="1"/>
  <c r="AT77" i="1"/>
  <c r="AS77" i="1"/>
  <c r="AR77" i="1"/>
  <c r="AQ77" i="1"/>
  <c r="R77" i="1"/>
  <c r="P77" i="1"/>
  <c r="Q77" i="1" s="1"/>
  <c r="R76" i="1"/>
  <c r="P76" i="1"/>
  <c r="Q76" i="1" s="1"/>
  <c r="R75" i="1"/>
  <c r="Q75" i="1"/>
  <c r="P75" i="1"/>
  <c r="AX74" i="1"/>
  <c r="AW74" i="1"/>
  <c r="AV74" i="1"/>
  <c r="AU74" i="1"/>
  <c r="AT74" i="1"/>
  <c r="AS74" i="1"/>
  <c r="AR74" i="1"/>
  <c r="AQ74" i="1"/>
  <c r="R74" i="1"/>
  <c r="P74" i="1"/>
  <c r="Q74" i="1" s="1"/>
  <c r="R73" i="1"/>
  <c r="Q73" i="1"/>
  <c r="P73" i="1"/>
  <c r="R72" i="1"/>
  <c r="P72" i="1"/>
  <c r="Q72" i="1" s="1"/>
  <c r="R71" i="1"/>
  <c r="Q71" i="1"/>
  <c r="P71" i="1"/>
  <c r="R70" i="1"/>
  <c r="P70" i="1"/>
  <c r="Q70" i="1" s="1"/>
  <c r="R69" i="1"/>
  <c r="P69" i="1"/>
  <c r="Q69" i="1" s="1"/>
  <c r="R68" i="1"/>
  <c r="P68" i="1"/>
  <c r="Q68" i="1" s="1"/>
  <c r="R67" i="1"/>
  <c r="Q67" i="1"/>
  <c r="P67" i="1"/>
  <c r="R66" i="1"/>
  <c r="P66" i="1"/>
  <c r="Q66" i="1" s="1"/>
  <c r="AF65" i="1"/>
  <c r="R65" i="1"/>
  <c r="P65" i="1"/>
  <c r="Q65" i="1" s="1"/>
  <c r="R64" i="1"/>
  <c r="P64" i="1"/>
  <c r="Q64" i="1" s="1"/>
  <c r="AX63" i="1"/>
  <c r="AW63" i="1"/>
  <c r="AV63" i="1"/>
  <c r="AU63" i="1"/>
  <c r="AT63" i="1"/>
  <c r="AS63" i="1"/>
  <c r="AR63" i="1"/>
  <c r="AQ63" i="1"/>
  <c r="R63" i="1"/>
  <c r="P63" i="1"/>
  <c r="Q63" i="1" s="1"/>
  <c r="R62" i="1"/>
  <c r="Q62" i="1"/>
  <c r="P62" i="1"/>
  <c r="R61" i="1"/>
  <c r="P61" i="1"/>
  <c r="Q61" i="1" s="1"/>
  <c r="R60" i="1"/>
  <c r="Q60" i="1"/>
  <c r="P60" i="1"/>
  <c r="R59" i="1"/>
  <c r="P59" i="1"/>
  <c r="Q59" i="1" s="1"/>
  <c r="R58" i="1"/>
  <c r="Q58" i="1"/>
  <c r="P58" i="1"/>
  <c r="R57" i="1"/>
  <c r="P57" i="1"/>
  <c r="Q57" i="1" s="1"/>
  <c r="R56" i="1"/>
  <c r="P56" i="1"/>
  <c r="Q56" i="1" s="1"/>
  <c r="R55" i="1"/>
  <c r="P55" i="1"/>
  <c r="Q55" i="1" s="1"/>
  <c r="R54" i="1"/>
  <c r="Q54" i="1"/>
  <c r="P54" i="1"/>
  <c r="R53" i="1"/>
  <c r="P53" i="1"/>
  <c r="Q53" i="1" s="1"/>
  <c r="R52" i="1"/>
  <c r="Q52" i="1"/>
  <c r="P52" i="1"/>
  <c r="P109" i="3" l="1"/>
  <c r="P100" i="3"/>
  <c r="O91" i="3"/>
  <c r="O109" i="3"/>
  <c r="P60" i="3"/>
  <c r="P111" i="3" s="1"/>
  <c r="P68" i="2"/>
  <c r="P93" i="2"/>
  <c r="O125" i="2"/>
  <c r="P118" i="2"/>
  <c r="P123" i="2"/>
  <c r="O102" i="2"/>
  <c r="P55" i="2"/>
  <c r="P102" i="2" s="1"/>
  <c r="P64" i="2"/>
  <c r="P92" i="2"/>
  <c r="P114" i="2"/>
  <c r="P124" i="2"/>
  <c r="P61" i="2"/>
  <c r="Q159" i="1"/>
  <c r="Q146" i="1"/>
  <c r="Q116" i="1"/>
  <c r="P116" i="1"/>
  <c r="Q84" i="1"/>
  <c r="Q150" i="1"/>
  <c r="Q157" i="1" s="1"/>
  <c r="P157" i="1"/>
  <c r="P91" i="3" l="1"/>
  <c r="P127" i="2"/>
  <c r="P1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tc={A27C0086-A92F-4F16-84EA-07A63A103D32}</author>
    <author>tc={4A1065FA-A5C4-4374-B8B4-1235B4DD963A}</author>
    <author>tc={F30A91D3-9641-4C67-B85D-1341C8C87E2A}</author>
    <author>tc={2AC67E19-8F1D-496B-AE5C-46702FB00E0F}</author>
    <author>tc={3EAFE927-0FFB-4617-B106-7F6404C4E042}</author>
    <author>tc={0C26F1C0-F8A2-4905-8158-37D29A83BDED}</author>
    <author>tc={38296B26-9BA7-464D-97C9-3BBE9A1D21C6}</author>
    <author>tc={C6668D6C-28A1-40F6-AC25-745534FE415C}</author>
    <author>tc={96050ECF-32FD-46A1-A23C-695E81BB0940}</author>
    <author>tc={746E3FE8-2D8E-4088-94F2-218DC1023BDF}</author>
    <author>tc={CE4728B5-D52E-46A3-BBD2-67CB6A1CBA09}</author>
    <author>tc={AAE97698-88C1-4190-9951-71BED4143DC1}</author>
    <author>tc={55EEFDF6-98B0-4E22-9B0F-4CCC0E005995}</author>
    <author>tc={DB588C68-EFF0-4D43-A042-C1131879B19D}</author>
    <author>tc={C8F24403-B1BA-4085-86F0-6395BC14B2CD}</author>
    <author>tc={72F2C7CA-E93C-4AE7-B93F-554C91903793}</author>
    <author>tc={B421D045-AF7B-416A-872B-311C7C702371}</author>
    <author>tc={1A582606-43B5-4B53-81BC-F73F02B216AA}</author>
    <author>tc={F0D610B0-05F3-4552-B2D6-921E829016C7}</author>
    <author>tc={14CCEA94-3F70-465C-AF91-2E81187B4513}</author>
    <author>tc={F1431534-75F2-4B08-8556-A050C0E124E5}</author>
    <author>tc={F396FABB-5204-43E4-9B05-46FB1101073F}</author>
    <author>tc={6244D255-2A46-4790-9838-A6BE50B95DD3}</author>
    <author>tc={7513D0E9-897B-43C5-AE15-E2461B0FA8A3}</author>
    <author>tc={AD157F07-DC13-4D5D-A0FE-71071138FC56}</author>
    <author>tc={B63F453D-530E-484C-9B14-1B8AA5B81E42}</author>
    <author>tc={D230BBA6-C2BC-4247-8E8C-E02D5042A037}</author>
    <author>tc={9ABA494A-E9F0-45C9-BBA2-A2BE6B8D6FE3}</author>
    <author>tc={F33C6BD9-9763-41D5-98B8-AE97774FBAC0}</author>
    <author>tc={5116D451-9BBC-4BCC-BE91-26510390DD4D}</author>
    <author>Flood Gavin</author>
    <author>tc={678E9E8B-7148-42F9-804D-BFF923DBCA61}</author>
    <author>tc={92134C28-E99F-4F86-B05A-90168621BFD0}</author>
    <author>tc={487CBE92-49A2-4B91-9379-80C4E714AF1B}</author>
    <author>tc={E5C2D48B-467B-46EF-BEA4-5B2097FEC2F9}</author>
    <author>tc={4EFC9A87-DA8C-4C75-A385-876710B2BE71}</author>
    <author>tc={F265F1F0-8FEE-4AC2-8F35-57A897F3FAA5}</author>
    <author>tc={F923A3AC-C5EE-45A1-B216-5F1FD298622B}</author>
    <author>tc={FB9D4A9A-6A68-4DB0-9A5E-260DEF664AF0}</author>
    <author>tc={6C6801B2-381F-4708-9B43-440860B3C8F8}</author>
    <author>tc={4231B10E-37E5-4B14-8A18-F9972183E20C}</author>
    <author>tc={CB9A66BA-3795-497D-BDE5-A9DF04F71C71}</author>
    <author>tc={64699207-5B79-4459-8464-E785F3DD0E8A}</author>
    <author>tc={4E4CF394-4841-4D8C-93FB-B1BC8BC32964}</author>
    <author>tc={10B9E4FF-E224-47EC-A24C-1C471F333A39}</author>
    <author>tc={F0E42D59-C045-42D4-87B0-783DC56E9956}</author>
    <author>tc={939222A3-CE3E-409A-8666-E9D7D9562043}</author>
    <author>tc={267D1605-98F2-42A7-8869-075DB76E4F4E}</author>
    <author>tc={73C8BC43-829F-4B2F-B6F4-C5E9549CC51F}</author>
    <author>tc={FB72BC0B-CBD0-4569-96E0-D046C453EDEA}</author>
    <author>tc={D0726798-926F-497A-A7B9-D9CE3A1A6CC6}</author>
    <author>tc={8E2231E9-0551-4AD8-B7E1-9394E9E76E35}</author>
    <author>tc={8F701100-CA19-4814-A016-4DE9BF01E505}</author>
    <author>tc={EE083FF4-E148-4C11-BD3D-3EDE61970907}</author>
    <author>tc={01B14254-D792-4219-9823-1FF964C36D03}</author>
    <author>tc={4C550ECA-7A3B-4488-913B-4AC920224522}</author>
    <author>tc={228B383F-CA21-4FB5-84D1-DE259A5C1DF5}</author>
    <author>tc={93411D60-BFF2-48AD-96D2-FDD79BD7FC26}</author>
    <author>tc={E483BB38-3AE1-4B76-92E8-C03E6040813B}</author>
    <author>tc={C9B674B1-B9DE-4575-8538-7575A7AAA3E0}</author>
    <author>tc={63B344C9-8CC4-49BC-AD84-B72D092E62C5}</author>
    <author>tc={D0E23813-09DD-46F6-A98E-F2B7B7E648E8}</author>
  </authors>
  <commentList>
    <comment ref="BG9" authorId="0" shapeId="0" xr:uid="{A27C0086-A92F-4F16-84EA-07A63A103D32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BJ9" authorId="1" shapeId="0" xr:uid="{4A1065FA-A5C4-4374-B8B4-1235B4DD963A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BK9" authorId="2" shapeId="0" xr:uid="{F30A91D3-9641-4C67-B85D-1341C8C87E2A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BL9" authorId="3" shapeId="0" xr:uid="{2AC67E19-8F1D-496B-AE5C-46702FB00E0F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BN9" authorId="4" shapeId="0" xr:uid="{3EAFE927-0FFB-4617-B106-7F6404C4E042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AP12" authorId="5" shapeId="0" xr:uid="{0C26F1C0-F8A2-4905-8158-37D29A83BDED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AR12" authorId="6" shapeId="0" xr:uid="{38296B26-9BA7-464D-97C9-3BBE9A1D21C6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AU12" authorId="7" shapeId="0" xr:uid="{C6668D6C-28A1-40F6-AC25-745534FE415C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AW12" authorId="8" shapeId="0" xr:uid="{96050ECF-32FD-46A1-A23C-695E81BB0940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AY12" authorId="9" shapeId="0" xr:uid="{746E3FE8-2D8E-4088-94F2-218DC1023BDF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AZ12" authorId="10" shapeId="0" xr:uid="{CE4728B5-D52E-46A3-BBD2-67CB6A1CBA09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BA12" authorId="11" shapeId="0" xr:uid="{AAE97698-88C1-4190-9951-71BED4143DC1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BC12" authorId="12" shapeId="0" xr:uid="{55EEFDF6-98B0-4E22-9B0F-4CCC0E005995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BF12" authorId="13" shapeId="0" xr:uid="{DB588C68-EFF0-4D43-A042-C1131879B19D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BJ12" authorId="14" shapeId="0" xr:uid="{C8F24403-B1BA-4085-86F0-6395BC14B2CD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B16" authorId="15" shapeId="0" xr:uid="{72F2C7CA-E93C-4AE7-B93F-554C91903793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E16" authorId="16" shapeId="0" xr:uid="{B421D045-AF7B-416A-872B-311C7C702371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F16" authorId="17" shapeId="0" xr:uid="{1A582606-43B5-4B53-81BC-F73F02B216AA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I16" authorId="18" shapeId="0" xr:uid="{F0D610B0-05F3-4552-B2D6-921E829016C7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L16" authorId="19" shapeId="0" xr:uid="{14CCEA94-3F70-465C-AF91-2E81187B4513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N16" authorId="20" shapeId="0" xr:uid="{F1431534-75F2-4B08-8556-A050C0E124E5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AA16" authorId="21" shapeId="0" xr:uid="{F396FABB-5204-43E4-9B05-46FB1101073F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AC16" authorId="22" shapeId="0" xr:uid="{6244D255-2A46-4790-9838-A6BE50B95DD3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AE16" authorId="23" shapeId="0" xr:uid="{7513D0E9-897B-43C5-AE15-E2461B0FA8A3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AL16" authorId="24" shapeId="0" xr:uid="{AD157F07-DC13-4D5D-A0FE-71071138FC56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AN16" authorId="25" shapeId="0" xr:uid="{B63F453D-530E-484C-9B14-1B8AA5B81E42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AR16" authorId="26" shapeId="0" xr:uid="{D230BBA6-C2BC-4247-8E8C-E02D5042A037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AY16" authorId="27" shapeId="0" xr:uid="{9ABA494A-E9F0-45C9-BBA2-A2BE6B8D6FE3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BD16" authorId="28" shapeId="0" xr:uid="{F33C6BD9-9763-41D5-98B8-AE97774FBAC0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BJ16" authorId="29" shapeId="0" xr:uid="{5116D451-9BBC-4BCC-BE91-26510390DD4D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BL16" authorId="30" shapeId="0" xr:uid="{99F52093-B39C-4B40-B567-24CB7A692665}">
      <text>
        <r>
          <rPr>
            <b/>
            <sz val="9"/>
            <color indexed="81"/>
            <rFont val="Tahoma"/>
            <family val="2"/>
          </rPr>
          <t>Flood Gavin:</t>
        </r>
        <r>
          <rPr>
            <sz val="9"/>
            <color indexed="81"/>
            <rFont val="Tahoma"/>
            <family val="2"/>
          </rPr>
          <t xml:space="preserve">
-5min</t>
        </r>
      </text>
    </comment>
    <comment ref="BN16" authorId="31" shapeId="0" xr:uid="{678E9E8B-7148-42F9-804D-BFF923DBCA61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L19" authorId="32" shapeId="0" xr:uid="{92134C28-E99F-4F86-B05A-90168621BFD0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F23" authorId="33" shapeId="0" xr:uid="{487CBE92-49A2-4B91-9379-80C4E714AF1B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H23" authorId="34" shapeId="0" xr:uid="{E5C2D48B-467B-46EF-BEA4-5B2097FEC2F9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K23" authorId="35" shapeId="0" xr:uid="{4EFC9A87-DA8C-4C75-A385-876710B2BE71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N23" authorId="36" shapeId="0" xr:uid="{F265F1F0-8FEE-4AC2-8F35-57A897F3FAA5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R23" authorId="37" shapeId="0" xr:uid="{F923A3AC-C5EE-45A1-B216-5F1FD298622B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V23" authorId="38" shapeId="0" xr:uid="{FB9D4A9A-6A68-4DB0-9A5E-260DEF664AF0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Y23" authorId="39" shapeId="0" xr:uid="{6C6801B2-381F-4708-9B43-440860B3C8F8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AE23" authorId="40" shapeId="0" xr:uid="{4231B10E-37E5-4B14-8A18-F9972183E20C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AK23" authorId="41" shapeId="0" xr:uid="{CB9A66BA-3795-497D-BDE5-A9DF04F71C71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AT23" authorId="42" shapeId="0" xr:uid="{64699207-5B79-4459-8464-E785F3DD0E8A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AY23" authorId="43" shapeId="0" xr:uid="{4E4CF394-4841-4D8C-93FB-B1BC8BC32964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BA23" authorId="44" shapeId="0" xr:uid="{10B9E4FF-E224-47EC-A24C-1C471F333A39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BD23" authorId="45" shapeId="0" xr:uid="{F0E42D59-C045-42D4-87B0-783DC56E9956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W26" authorId="46" shapeId="0" xr:uid="{939222A3-CE3E-409A-8666-E9D7D9562043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AR26" authorId="47" shapeId="0" xr:uid="{267D1605-98F2-42A7-8869-075DB76E4F4E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BG26" authorId="48" shapeId="0" xr:uid="{73C8BC43-829F-4B2F-B6F4-C5E9549CC51F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BJ26" authorId="49" shapeId="0" xr:uid="{FB72BC0B-CBD0-4569-96E0-D046C453EDEA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BL26" authorId="50" shapeId="0" xr:uid="{D0726798-926F-497A-A7B9-D9CE3A1A6CC6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BM26" authorId="51" shapeId="0" xr:uid="{8E2231E9-0551-4AD8-B7E1-9394E9E76E35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BN26" authorId="52" shapeId="0" xr:uid="{8F701100-CA19-4814-A016-4DE9BF01E505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Q30" authorId="53" shapeId="0" xr:uid="{EE083FF4-E148-4C11-BD3D-3EDE61970907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R30" authorId="54" shapeId="0" xr:uid="{01B14254-D792-4219-9823-1FF964C36D03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BA30" authorId="55" shapeId="0" xr:uid="{4C550ECA-7A3B-4488-913B-4AC920224522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F33" authorId="56" shapeId="0" xr:uid="{228B383F-CA21-4FB5-84D1-DE259A5C1DF5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G33" authorId="57" shapeId="0" xr:uid="{93411D60-BFF2-48AD-96D2-FDD79BD7FC26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Q33" authorId="58" shapeId="0" xr:uid="{E483BB38-3AE1-4B76-92E8-C03E6040813B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R33" authorId="59" shapeId="0" xr:uid="{C9B674B1-B9DE-4575-8538-7575A7AAA3E0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AA33" authorId="60" shapeId="0" xr:uid="{63B344C9-8CC4-49BC-AD84-B72D092E62C5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AE33" authorId="30" shapeId="0" xr:uid="{4D84BA29-BB21-4939-BB2A-A37BC1BB714E}">
      <text>
        <r>
          <rPr>
            <b/>
            <sz val="9"/>
            <color indexed="81"/>
            <rFont val="Tahoma"/>
            <family val="2"/>
          </rPr>
          <t>Flood Gavin:</t>
        </r>
        <r>
          <rPr>
            <sz val="9"/>
            <color indexed="81"/>
            <rFont val="Tahoma"/>
            <family val="2"/>
          </rPr>
          <t xml:space="preserve">
-5mins</t>
        </r>
      </text>
    </comment>
    <comment ref="F151" authorId="61" shapeId="0" xr:uid="{D0E23813-09DD-46F6-A98E-F2B7B7E648E8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tc={CF1F60C0-9DAC-455D-8219-A8F2861C7C82}</author>
    <author>tc={826A2961-A03C-4EAF-B434-65CAD142BADF}</author>
    <author>tc={4F14F380-6640-4556-A5CE-91D251499C4E}</author>
    <author>tc={09E0AB47-FAFE-447E-934F-8B94A319471F}</author>
    <author>tc={035C22F4-DC0A-4791-9A1C-C8004BB3E998}</author>
    <author>tc={162A5FE2-4BF5-4CFB-8FEC-2A15ACE5D7BE}</author>
    <author>tc={5487040E-D906-4A8B-9A0C-4CF72E97C846}</author>
    <author>tc={7D0EB3C9-B9B2-4473-9D6F-C47D41E682B2}</author>
    <author>tc={DBA92389-69B6-4E1A-812B-51387A1DCF70}</author>
    <author>tc={50BDC3AA-2D44-4921-B6AB-0F1BAF664517}</author>
    <author>tc={BA61A0B0-FC12-449B-82E1-9B4C3B9BFD58}</author>
    <author>tc={2E758CB0-7AC8-4291-A4C7-E23EF54EAF0E}</author>
    <author>tc={02E9DBA5-4D19-469A-8ADF-A3CE5169F67B}</author>
    <author>tc={BCF0112E-DA9B-48DD-B386-A4510A27245A}</author>
    <author>tc={0FE9D07B-4E86-4720-B7C6-6212A0B94A5B}</author>
    <author>tc={0A223967-AD49-4029-996F-8D1189FD7F40}</author>
    <author>tc={27B49E24-30AC-4112-9307-9548E2703FA3}</author>
    <author>tc={64F65617-D91C-43F5-A702-37072A4C7514}</author>
    <author>tc={4222EBAC-5A33-47AE-AF75-DD818591F8EC}</author>
    <author>tc={D88E88BB-CBE1-4AD0-9944-C12B6CAF380E}</author>
    <author>tc={FB0CEF0D-1D27-46F9-A405-A0E2955DB8AB}</author>
    <author>tc={83711FB3-514C-419B-99A4-4260C7D20E7F}</author>
    <author>tc={42CE009E-E215-4D8F-AF10-F8EA0DD29550}</author>
    <author>tc={9FEFE1E1-EB8F-41D6-8191-E05021B37803}</author>
    <author>tc={BB4ABAF6-A988-4AA1-94D3-00304A870DC7}</author>
    <author>tc={A9B8C57B-8562-402B-B317-7A81C4D29257}</author>
    <author>tc={1AFC89C8-DCD2-4FFA-A76A-6575DE9FAE0B}</author>
    <author>tc={95A05394-03DD-4926-8706-44FF927838A0}</author>
    <author>tc={489EF02B-8B8A-46AE-A852-1F1F6B3A3E44}</author>
    <author>tc={E979E10D-585E-46FA-B0C5-E0227B25E2E2}</author>
    <author>tc={A33DC59F-1695-4F17-916C-8B4B285F8E86}</author>
    <author>tc={62E16A34-78E8-4BDD-9E55-1ABEFDCDB9C4}</author>
    <author>tc={14DCE93A-E8CA-473B-87FF-577B43F8CA54}</author>
    <author>tc={3C65A849-DE8F-4377-8FF3-747E071EBD81}</author>
    <author>tc={227E1576-46D2-4881-902F-AC754164193F}</author>
    <author>tc={F6EFC48A-A4DE-4E9E-B6CC-6682C6FE6A75}</author>
    <author>tc={D206FEF3-487E-40D0-A897-C36ADF694EA9}</author>
    <author>tc={9E73E90E-26BE-48B9-B76B-5BA594C3211F}</author>
    <author>tc={5F2356D8-04A0-437B-BECD-B13A10B78D72}</author>
    <author>Flood Gavin</author>
    <author>tc={E9E680BD-94F5-4D50-A098-E9F3C3034A75}</author>
    <author>tc={C5E27D07-D427-45E7-9EF1-51FD70C8107A}</author>
    <author>tc={7A0866BA-489E-4F0C-81C5-F09FB6F61E93}</author>
    <author>tc={BEB2B3B4-86CC-4AF9-B17E-57F694AFE1D0}</author>
    <author>tc={466BDB1E-5DB0-4A80-BA64-5AAC95F45C61}</author>
    <author>tc={718F553F-E66B-49C4-B53B-60C35016AB28}</author>
    <author>tc={3FDC7114-2B55-4027-9EF2-B108C95F49E3}</author>
  </authors>
  <commentList>
    <comment ref="Y10" authorId="0" shapeId="0" xr:uid="{CF1F60C0-9DAC-455D-8219-A8F2861C7C82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AA10" authorId="1" shapeId="0" xr:uid="{826A2961-A03C-4EAF-B434-65CAD142BADF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AD10" authorId="2" shapeId="0" xr:uid="{4F14F380-6640-4556-A5CE-91D251499C4E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AE10" authorId="3" shapeId="0" xr:uid="{09E0AB47-FAFE-447E-934F-8B94A319471F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AF10" authorId="4" shapeId="0" xr:uid="{035C22F4-DC0A-4791-9A1C-C8004BB3E998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J13" authorId="5" shapeId="0" xr:uid="{162A5FE2-4BF5-4CFB-8FEC-2A15ACE5D7BE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O13" authorId="6" shapeId="0" xr:uid="{5487040E-D906-4A8B-9A0C-4CF72E97C846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AA13" authorId="7" shapeId="0" xr:uid="{7D0EB3C9-B9B2-4473-9D6F-C47D41E682B2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G16" authorId="8" shapeId="0" xr:uid="{DBA92389-69B6-4E1A-812B-51387A1DCF70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I16" authorId="9" shapeId="0" xr:uid="{50BDC3AA-2D44-4921-B6AB-0F1BAF664517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O16" authorId="10" shapeId="0" xr:uid="{BA61A0B0-FC12-449B-82E1-9B4C3B9BFD58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T16" authorId="11" shapeId="0" xr:uid="{2E758CB0-7AC8-4291-A4C7-E23EF54EAF0E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U16" authorId="12" shapeId="0" xr:uid="{02E9DBA5-4D19-469A-8ADF-A3CE5169F67B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X16" authorId="13" shapeId="0" xr:uid="{BCF0112E-DA9B-48DD-B386-A4510A27245A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Y16" authorId="14" shapeId="0" xr:uid="{0FE9D07B-4E86-4720-B7C6-6212A0B94A5B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Z16" authorId="15" shapeId="0" xr:uid="{0A223967-AD49-4029-996F-8D1189FD7F40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AA16" authorId="16" shapeId="0" xr:uid="{27B49E24-30AC-4112-9307-9548E2703FA3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AC16" authorId="17" shapeId="0" xr:uid="{64F65617-D91C-43F5-A702-37072A4C7514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AD16" authorId="18" shapeId="0" xr:uid="{4222EBAC-5A33-47AE-AF75-DD818591F8EC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AE16" authorId="19" shapeId="0" xr:uid="{D88E88BB-CBE1-4AD0-9944-C12B6CAF380E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AF16" authorId="20" shapeId="0" xr:uid="{FB0CEF0D-1D27-46F9-A405-A0E2955DB8AB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B22" authorId="21" shapeId="0" xr:uid="{83711FB3-514C-419B-99A4-4260C7D20E7F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E22" authorId="22" shapeId="0" xr:uid="{42CE009E-E215-4D8F-AF10-F8EA0DD29550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G22" authorId="23" shapeId="0" xr:uid="{9FEFE1E1-EB8F-41D6-8191-E05021B37803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H22" authorId="24" shapeId="0" xr:uid="{BB4ABAF6-A988-4AA1-94D3-00304A870DC7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J22" authorId="25" shapeId="0" xr:uid="{A9B8C57B-8562-402B-B317-7A81C4D29257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L22" authorId="26" shapeId="0" xr:uid="{1AFC89C8-DCD2-4FFA-A76A-6575DE9FAE0B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R22" authorId="27" shapeId="0" xr:uid="{95A05394-03DD-4926-8706-44FF927838A0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S22" authorId="28" shapeId="0" xr:uid="{489EF02B-8B8A-46AE-A852-1F1F6B3A3E44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T22" authorId="29" shapeId="0" xr:uid="{E979E10D-585E-46FA-B0C5-E0227B25E2E2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V22" authorId="30" shapeId="0" xr:uid="{A33DC59F-1695-4F17-916C-8B4B285F8E86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W22" authorId="31" shapeId="0" xr:uid="{62E16A34-78E8-4BDD-9E55-1ABEFDCDB9C4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Y22" authorId="32" shapeId="0" xr:uid="{14DCE93A-E8CA-473B-87FF-577B43F8CA54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F28" authorId="33" shapeId="0" xr:uid="{3C65A849-DE8F-4377-8FF3-747E071EBD81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G28" authorId="34" shapeId="0" xr:uid="{227E1576-46D2-4881-902F-AC754164193F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I28" authorId="35" shapeId="0" xr:uid="{F6EFC48A-A4DE-4E9E-B6CC-6682C6FE6A75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L28" authorId="36" shapeId="0" xr:uid="{D206FEF3-487E-40D0-A897-C36ADF694EA9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T28" authorId="37" shapeId="0" xr:uid="{9E73E90E-26BE-48B9-B76B-5BA594C3211F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V28" authorId="38" shapeId="0" xr:uid="{5F2356D8-04A0-437B-BECD-B13A10B78D72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N31" authorId="39" shapeId="0" xr:uid="{55B3912F-971B-4899-81CF-77EE367FE5FF}">
      <text>
        <r>
          <rPr>
            <b/>
            <sz val="9"/>
            <color indexed="81"/>
            <rFont val="Tahoma"/>
            <family val="2"/>
          </rPr>
          <t>Flood Gavin:</t>
        </r>
        <r>
          <rPr>
            <sz val="9"/>
            <color indexed="81"/>
            <rFont val="Tahoma"/>
            <family val="2"/>
          </rPr>
          <t xml:space="preserve">
-5mins
</t>
        </r>
      </text>
    </comment>
    <comment ref="N34" authorId="40" shapeId="0" xr:uid="{E9E680BD-94F5-4D50-A098-E9F3C3034A75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AB34" authorId="41" shapeId="0" xr:uid="{C5E27D07-D427-45E7-9EF1-51FD70C8107A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AC34" authorId="42" shapeId="0" xr:uid="{7A0866BA-489E-4F0C-81C5-F09FB6F61E93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T37" authorId="43" shapeId="0" xr:uid="{BEB2B3B4-86CC-4AF9-B17E-57F694AFE1D0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AK37" authorId="39" shapeId="0" xr:uid="{073CFEB7-3B71-4376-9A0D-1E58FD1E9E21}">
      <text>
        <r>
          <rPr>
            <b/>
            <sz val="9"/>
            <color indexed="81"/>
            <rFont val="Tahoma"/>
            <family val="2"/>
          </rPr>
          <t>Flood Gavin:</t>
        </r>
        <r>
          <rPr>
            <sz val="9"/>
            <color indexed="81"/>
            <rFont val="Tahoma"/>
            <family val="2"/>
          </rPr>
          <t xml:space="preserve">
-5mins</t>
        </r>
      </text>
    </comment>
    <comment ref="F40" authorId="44" shapeId="0" xr:uid="{466BDB1E-5DB0-4A80-BA64-5AAC95F45C61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K40" authorId="45" shapeId="0" xr:uid="{718F553F-E66B-49C4-B53B-60C35016AB28}">
      <text>
        <t>[Threaded comment]
Your version of Excel allows you to read this threaded comment; however, any edits to it will get removed if the file is opened in a newer version of Excel. Learn more: https://go.microsoft.com/fwlink/?linkid=870924
Comment:
    +15</t>
      </text>
    </comment>
    <comment ref="T40" authorId="46" shapeId="0" xr:uid="{3FDC7114-2B55-4027-9EF2-B108C95F49E3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AK69" authorId="39" shapeId="0" xr:uid="{010CCA76-E4BB-4CC2-A29F-DD966062F8EC}">
      <text>
        <r>
          <rPr>
            <b/>
            <sz val="9"/>
            <color indexed="81"/>
            <rFont val="Tahoma"/>
            <family val="2"/>
          </rPr>
          <t>Flood Gavin:</t>
        </r>
        <r>
          <rPr>
            <sz val="9"/>
            <color indexed="81"/>
            <rFont val="Tahoma"/>
            <family val="2"/>
          </rPr>
          <t xml:space="preserve">
-5mins</t>
        </r>
      </text>
    </comment>
    <comment ref="AP76" authorId="39" shapeId="0" xr:uid="{DB04E457-2324-44BB-B728-7B80594B4FCD}">
      <text>
        <r>
          <rPr>
            <b/>
            <sz val="9"/>
            <color indexed="81"/>
            <rFont val="Tahoma"/>
            <family val="2"/>
          </rPr>
          <t>Flood Gavin:</t>
        </r>
        <r>
          <rPr>
            <sz val="9"/>
            <color indexed="81"/>
            <rFont val="Tahoma"/>
            <family val="2"/>
          </rPr>
          <t xml:space="preserve">
-5mins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tc={EE5DF78F-3D27-4649-B91A-6B2D78A6B494}</author>
    <author>tc={7E6E565F-350F-4C88-B6A1-C817C8929997}</author>
    <author>tc={4DB51F79-CF96-4247-85E5-A4B026CB0702}</author>
    <author>tc={A1B2CBC1-E6C8-4AD8-8324-29A815529B44}</author>
    <author>tc={485A29FA-C974-4A47-B449-61F06C3B2D0E}</author>
    <author>tc={12033701-9B4A-45BB-A34A-C36358F616AC}</author>
    <author>tc={6E10B5C6-D7D1-4455-AF18-20684284F018}</author>
    <author>tc={505B073E-05D6-4FB4-A81B-BEFEF4BCA9F4}</author>
    <author>tc={D92AE244-EB70-487E-AD95-C7E279E804C6}</author>
    <author>tc={87101C9E-A812-4B93-A521-6D0C3E881324}</author>
    <author>tc={0A9FC7B7-FFCA-4BC5-B8FD-B7F219CA9EA6}</author>
    <author>tc={22467078-F287-45DD-B4B4-1D2FFFF79565}</author>
    <author>tc={34423654-0D1E-4713-A5C9-FA895429B7FE}</author>
    <author>tc={EAE46D4C-11C3-4100-A59C-9D9A43928492}</author>
    <author>tc={E3494162-E991-47F7-9609-0DED5F33E97E}</author>
    <author>tc={771E7AE3-7694-4B67-8CED-CE7D80B07046}</author>
    <author>tc={6A0B3523-637B-40D3-92EB-2DC58EDB3F44}</author>
    <author>tc={D5126D9D-48D6-4F8C-9555-FC973C914AC0}</author>
    <author>tc={97CC67BA-C7B9-41BD-9358-31FAA4BAA365}</author>
    <author>tc={A4A66A9A-7D48-4315-AB71-BF572C11EE55}</author>
    <author>tc={A5147258-E21B-4F59-A848-08E041CD1A91}</author>
    <author>tc={A0DADA4A-C879-4479-A537-6625AA26F33B}</author>
    <author>tc={4C4E21EF-00BC-49F8-B632-E3A4D97D7B70}</author>
    <author>tc={1AD7E8A5-A674-409C-A236-E797F8E5E1EE}</author>
    <author>tc={EB47AC11-8B34-4721-8F2F-B029F7D4359D}</author>
    <author>tc={2A341F4C-9401-43F8-8133-416981BE958F}</author>
    <author>tc={8A01D3CC-737C-41DF-BA30-D0721D85A2FE}</author>
    <author>tc={8BFB8187-BC75-4040-93EE-7615E223DFFC}</author>
    <author>tc={EB23DC8A-2C29-4FC6-8D64-B7FB674DE30C}</author>
    <author>tc={36B0DA88-359C-41E3-AD0E-44C9CE2E459E}</author>
    <author>tc={3B8F91E1-EAB7-473A-829A-FFD62DDA589E}</author>
    <author>tc={83D8F596-229B-419E-A363-8C126DB06B63}</author>
    <author>tc={866D0E67-9DF9-4C55-81EE-ADF04E641870}</author>
    <author>tc={FB78A86F-0759-4C26-8486-E78841118DEB}</author>
    <author>tc={B99DBA76-409F-4F4B-8518-7D9B6B856AEC}</author>
    <author>tc={F5FFD4D9-B4C1-4BDA-9C6E-E39903542032}</author>
    <author>tc={2D904BAE-22E3-48F3-BAF3-D84A76182E95}</author>
    <author>tc={F8D9D75C-BF69-4937-8CCE-27FAFE24CD34}</author>
    <author>tc={52F62803-F5CE-4694-877A-37D2BA5BA1FD}</author>
    <author>tc={7F099421-6536-4FAC-9AF8-7E043622981A}</author>
    <author>tc={2B6ADCCB-EE48-4380-9010-591242066317}</author>
    <author>tc={BF5BCC7C-97E8-4F66-8065-534136C2322D}</author>
    <author>tc={F47DB549-287B-49EF-86D3-86BBEF2F9BAE}</author>
    <author>tc={118421AE-F4B0-45E5-968C-AE1643A5C89E}</author>
    <author>tc={8939A484-08F3-403A-8CE4-04D44D35EB4F}</author>
    <author>tc={61C1E516-EEFF-460C-8AC7-20AD70C596F4}</author>
    <author>tc={9D269011-C1D0-4ED1-A210-359724C23B2C}</author>
    <author>tc={F7719BA3-A1E0-4E39-8C8A-3377AF4CE2F8}</author>
    <author>tc={2E449721-5AAE-4559-B559-CC8608AE122E}</author>
    <author>tc={096DF58C-EE2C-4083-8CB6-F01175774DFC}</author>
    <author>tc={2B98CF2E-D006-4BC3-A676-96258CCA28F6}</author>
    <author>tc={5CFDA3B3-5CED-4291-BA33-1B439F24553F}</author>
    <author>Flood Gavin</author>
    <author>tc={E6651B31-25B9-4FE8-ACD4-BC7E1DA6851A}</author>
    <author>tc={C5A0A6F9-E6B0-4809-8BB2-B20DB42FC445}</author>
    <author>tc={DF8C4C10-0CA9-4C1B-8B1E-A2A3A82346D1}</author>
    <author>tc={9CA48738-FD2B-4B0D-BC3B-6A0CAF201EA7}</author>
    <author>tc={56696C12-441C-41FC-9A81-6B4EED842032}</author>
    <author>tc={593386A3-289C-4DD6-8F51-2360CD7564FE}</author>
    <author>tc={F0D7BBC6-6502-4B04-A488-540FC6548BE5}</author>
    <author>tc={77F70F33-997B-417C-9652-734B784F8844}</author>
    <author>tc={7BA44542-BA4B-4AF6-8061-91D26F6E6FA8}</author>
    <author>tc={0AD60F11-429D-4A8A-99E4-D02B3D5A3D12}</author>
    <author>tc={5AA15A4F-1208-4B48-843A-C212C4F2C070}</author>
    <author>tc={5A32CE84-63FB-40BA-899D-2BA4D3BA7F95}</author>
    <author>tc={61795885-534E-4DB0-8707-C42F30CBE1C5}</author>
    <author>tc={C125A8F8-03BC-402F-8A50-D593126681E1}</author>
    <author>tc={267D4EBA-987C-46EB-8ABE-6280409B3A57}</author>
    <author>tc={99CF3B8C-3690-4A06-96DB-F9C11B33CB9D}</author>
    <author>tc={F92469D2-3539-4AD9-92D2-A160B809273C}</author>
    <author>tc={2E70A106-3C1D-4B98-A7E1-749FF4CB8D02}</author>
    <author>tc={D9ECEE31-A634-4A69-B8F2-D332EA45DB73}</author>
    <author>tc={7B85BFDD-37D9-4EAA-8FC5-E1BB27638776}</author>
    <author>tc={395F9074-3C18-4A11-B6ED-808D75D66CE8}</author>
    <author>tc={E2C8CCD4-C43E-47E8-B58C-E75281D14235}</author>
    <author>tc={1C83D2CA-0BDB-40CE-8B64-A9FC84B83C19}</author>
    <author>tc={DFC327F3-6EC9-49E9-99B0-04526D00C31D}</author>
  </authors>
  <commentList>
    <comment ref="N9" authorId="0" shapeId="0" xr:uid="{EE5DF78F-3D27-4649-B91A-6B2D78A6B494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S9" authorId="1" shapeId="0" xr:uid="{7E6E565F-350F-4C88-B6A1-C817C8929997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N12" authorId="2" shapeId="0" xr:uid="{4DB51F79-CF96-4247-85E5-A4B026CB0702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O12" authorId="3" shapeId="0" xr:uid="{A1B2CBC1-E6C8-4AD8-8324-29A815529B44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R12" authorId="4" shapeId="0" xr:uid="{485A29FA-C974-4A47-B449-61F06C3B2D0E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S12" authorId="5" shapeId="0" xr:uid="{12033701-9B4A-45BB-A34A-C36358F616AC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C15" authorId="6" shapeId="0" xr:uid="{6E10B5C6-D7D1-4455-AF18-20684284F018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E15" authorId="7" shapeId="0" xr:uid="{505B073E-05D6-4FB4-A81B-BEFEF4BCA9F4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F15" authorId="8" shapeId="0" xr:uid="{D92AE244-EB70-487E-AD95-C7E279E804C6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H15" authorId="9" shapeId="0" xr:uid="{87101C9E-A812-4B93-A521-6D0C3E881324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I15" authorId="10" shapeId="0" xr:uid="{0A9FC7B7-FFCA-4BC5-B8FD-B7F219CA9EA6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J15" authorId="11" shapeId="0" xr:uid="{22467078-F287-45DD-B4B4-1D2FFFF79565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L15" authorId="12" shapeId="0" xr:uid="{34423654-0D1E-4713-A5C9-FA895429B7FE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N15" authorId="13" shapeId="0" xr:uid="{EAE46D4C-11C3-4100-A59C-9D9A43928492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O15" authorId="14" shapeId="0" xr:uid="{E3494162-E991-47F7-9609-0DED5F33E97E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P15" authorId="15" shapeId="0" xr:uid="{771E7AE3-7694-4B67-8CED-CE7D80B07046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R15" authorId="16" shapeId="0" xr:uid="{6A0B3523-637B-40D3-92EB-2DC58EDB3F44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S15" authorId="17" shapeId="0" xr:uid="{D5126D9D-48D6-4F8C-9555-FC973C914AC0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G18" authorId="18" shapeId="0" xr:uid="{97CC67BA-C7B9-41BD-9358-31FAA4BAA365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I18" authorId="19" shapeId="0" xr:uid="{A4A66A9A-7D48-4315-AB71-BF572C11EE55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Q18" authorId="20" shapeId="0" xr:uid="{A5147258-E21B-4F59-A848-08E041CD1A91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S18" authorId="21" shapeId="0" xr:uid="{A0DADA4A-C879-4479-A537-6625AA26F33B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B21" authorId="22" shapeId="0" xr:uid="{4C4E21EF-00BC-49F8-B632-E3A4D97D7B70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E21" authorId="23" shapeId="0" xr:uid="{1AD7E8A5-A674-409C-A236-E797F8E5E1EE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F21" authorId="24" shapeId="0" xr:uid="{EB47AC11-8B34-4721-8F2F-B029F7D4359D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G21" authorId="25" shapeId="0" xr:uid="{2A341F4C-9401-43F8-8133-416981BE958F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H21" authorId="26" shapeId="0" xr:uid="{8A01D3CC-737C-41DF-BA30-D0721D85A2FE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I21" authorId="27" shapeId="0" xr:uid="{8BFB8187-BC75-4040-93EE-7615E223DFFC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L21" authorId="28" shapeId="0" xr:uid="{EB23DC8A-2C29-4FC6-8D64-B7FB674DE30C}">
      <text>
        <t>[Threaded comment]
Your version of Excel allows you to read this threaded comment; however, any edits to it will get removed if the file is opened in a newer version of Excel. Learn more: https://go.microsoft.com/fwlink/?linkid=870924
Comment:
    +10min</t>
      </text>
    </comment>
    <comment ref="M21" authorId="29" shapeId="0" xr:uid="{36B0DA88-359C-41E3-AD0E-44C9CE2E459E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N21" authorId="30" shapeId="0" xr:uid="{3B8F91E1-EAB7-473A-829A-FFD62DDA589E}">
      <text>
        <t>[Threaded comment]
Your version of Excel allows you to read this threaded comment; however, any edits to it will get removed if the file is opened in a newer version of Excel. Learn more: https://go.microsoft.com/fwlink/?linkid=870924
Comment:
    +12</t>
      </text>
    </comment>
    <comment ref="O21" authorId="31" shapeId="0" xr:uid="{83D8F596-229B-419E-A363-8C126DB06B63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Q21" authorId="32" shapeId="0" xr:uid="{866D0E67-9DF9-4C55-81EE-ADF04E641870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S21" authorId="33" shapeId="0" xr:uid="{FB78A86F-0759-4C26-8486-E78841118DEB}">
      <text>
        <t>[Threaded comment]
Your version of Excel allows you to read this threaded comment; however, any edits to it will get removed if the file is opened in a newer version of Excel. Learn more: https://go.microsoft.com/fwlink/?linkid=870924
Comment:
    +15</t>
      </text>
    </comment>
    <comment ref="D24" authorId="34" shapeId="0" xr:uid="{B99DBA76-409F-4F4B-8518-7D9B6B856AEC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F24" authorId="35" shapeId="0" xr:uid="{F5FFD4D9-B4C1-4BDA-9C6E-E39903542032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K24" authorId="36" shapeId="0" xr:uid="{2D904BAE-22E3-48F3-BAF3-D84A76182E95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M24" authorId="37" shapeId="0" xr:uid="{F8D9D75C-BF69-4937-8CCE-27FAFE24CD34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N24" authorId="38" shapeId="0" xr:uid="{52F62803-F5CE-4694-877A-37D2BA5BA1FD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O24" authorId="39" shapeId="0" xr:uid="{7F099421-6536-4FAC-9AF8-7E043622981A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Q24" authorId="40" shapeId="0" xr:uid="{2B6ADCCB-EE48-4380-9010-591242066317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S24" authorId="41" shapeId="0" xr:uid="{BF5BCC7C-97E8-4F66-8065-534136C2322D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B27" authorId="42" shapeId="0" xr:uid="{F47DB549-287B-49EF-86D3-86BBEF2F9BAE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D27" authorId="43" shapeId="0" xr:uid="{118421AE-F4B0-45E5-968C-AE1643A5C89E}">
      <text>
        <t>[Threaded comment]
Your version of Excel allows you to read this threaded comment; however, any edits to it will get removed if the file is opened in a newer version of Excel. Learn more: https://go.microsoft.com/fwlink/?linkid=870924
Comment:
    +15</t>
      </text>
    </comment>
    <comment ref="G27" authorId="44" shapeId="0" xr:uid="{8939A484-08F3-403A-8CE4-04D44D35EB4F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H27" authorId="45" shapeId="0" xr:uid="{61C1E516-EEFF-460C-8AC7-20AD70C596F4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I27" authorId="46" shapeId="0" xr:uid="{9D269011-C1D0-4ED1-A210-359724C23B2C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J27" authorId="47" shapeId="0" xr:uid="{F7719BA3-A1E0-4E39-8C8A-3377AF4CE2F8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L27" authorId="48" shapeId="0" xr:uid="{2E449721-5AAE-4559-B559-CC8608AE122E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M27" authorId="49" shapeId="0" xr:uid="{096DF58C-EE2C-4083-8CB6-F01175774DFC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O27" authorId="50" shapeId="0" xr:uid="{2B98CF2E-D006-4BC3-A676-96258CCA28F6}">
      <text>
        <t>[Threaded comment]
Your version of Excel allows you to read this threaded comment; however, any edits to it will get removed if the file is opened in a newer version of Excel. Learn more: https://go.microsoft.com/fwlink/?linkid=870924
Comment:
    +15</t>
      </text>
    </comment>
    <comment ref="S27" authorId="51" shapeId="0" xr:uid="{5CFDA3B3-5CED-4291-BA33-1B439F24553F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AD28" authorId="52" shapeId="0" xr:uid="{3D20E672-7AD0-448E-ABC7-3B5260566DA5}">
      <text>
        <r>
          <rPr>
            <b/>
            <sz val="9"/>
            <color indexed="81"/>
            <rFont val="Tahoma"/>
            <family val="2"/>
          </rPr>
          <t>Flood Gavin:</t>
        </r>
        <r>
          <rPr>
            <sz val="9"/>
            <color indexed="81"/>
            <rFont val="Tahoma"/>
            <family val="2"/>
          </rPr>
          <t xml:space="preserve">
+5mins</t>
        </r>
      </text>
    </comment>
    <comment ref="B30" authorId="53" shapeId="0" xr:uid="{E6651B31-25B9-4FE8-ACD4-BC7E1DA6851A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C30" authorId="54" shapeId="0" xr:uid="{C5A0A6F9-E6B0-4809-8BB2-B20DB42FC445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D30" authorId="55" shapeId="0" xr:uid="{DF8C4C10-0CA9-4C1B-8B1E-A2A3A82346D1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F30" authorId="56" shapeId="0" xr:uid="{9CA48738-FD2B-4B0D-BC3B-6A0CAF201EA7}">
      <text>
        <t>[Threaded comment]
Your version of Excel allows you to read this threaded comment; however, any edits to it will get removed if the file is opened in a newer version of Excel. Learn more: https://go.microsoft.com/fwlink/?linkid=870924
Comment:
    +15</t>
      </text>
    </comment>
    <comment ref="G30" authorId="57" shapeId="0" xr:uid="{56696C12-441C-41FC-9A81-6B4EED842032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H30" authorId="58" shapeId="0" xr:uid="{593386A3-289C-4DD6-8F51-2360CD7564FE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I30" authorId="59" shapeId="0" xr:uid="{F0D7BBC6-6502-4B04-A488-540FC6548BE5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K30" authorId="60" shapeId="0" xr:uid="{77F70F33-997B-417C-9652-734B784F8844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L30" authorId="61" shapeId="0" xr:uid="{7BA44542-BA4B-4AF6-8061-91D26F6E6FA8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P30" authorId="62" shapeId="0" xr:uid="{0AD60F11-429D-4A8A-99E4-D02B3D5A3D12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S30" authorId="63" shapeId="0" xr:uid="{5AA15A4F-1208-4B48-843A-C212C4F2C070}">
      <text>
        <t>[Threaded comment]
Your version of Excel allows you to read this threaded comment; however, any edits to it will get removed if the file is opened in a newer version of Excel. Learn more: https://go.microsoft.com/fwlink/?linkid=870924
Comment:
    +15</t>
      </text>
    </comment>
    <comment ref="B33" authorId="64" shapeId="0" xr:uid="{5A32CE84-63FB-40BA-899D-2BA4D3BA7F95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C33" authorId="65" shapeId="0" xr:uid="{61795885-534E-4DB0-8707-C42F30CBE1C5}">
      <text>
        <t>[Threaded comment]
Your version of Excel allows you to read this threaded comment; however, any edits to it will get removed if the file is opened in a newer version of Excel. Learn more: https://go.microsoft.com/fwlink/?linkid=870924
Comment:
    +15</t>
      </text>
    </comment>
    <comment ref="H33" authorId="66" shapeId="0" xr:uid="{C125A8F8-03BC-402F-8A50-D593126681E1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I33" authorId="67" shapeId="0" xr:uid="{267D4EBA-987C-46EB-8ABE-6280409B3A57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C36" authorId="68" shapeId="0" xr:uid="{99CF3B8C-3690-4A06-96DB-F9C11B33CB9D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F36" authorId="69" shapeId="0" xr:uid="{F92469D2-3539-4AD9-92D2-A160B809273C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G36" authorId="70" shapeId="0" xr:uid="{2E70A106-3C1D-4B98-A7E1-749FF4CB8D02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H36" authorId="71" shapeId="0" xr:uid="{D9ECEE31-A634-4A69-B8F2-D332EA45DB73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I36" authorId="72" shapeId="0" xr:uid="{7B85BFDD-37D9-4EAA-8FC5-E1BB27638776}">
      <text>
        <t>[Threaded comment]
Your version of Excel allows you to read this threaded comment; however, any edits to it will get removed if the file is opened in a newer version of Excel. Learn more: https://go.microsoft.com/fwlink/?linkid=870924
Comment:
    +10</t>
      </text>
    </comment>
    <comment ref="L36" authorId="73" shapeId="0" xr:uid="{395F9074-3C18-4A11-B6ED-808D75D66CE8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M36" authorId="74" shapeId="0" xr:uid="{E2C8CCD4-C43E-47E8-B58C-E75281D14235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M39" authorId="75" shapeId="0" xr:uid="{1C83D2CA-0BDB-40CE-8B64-A9FC84B83C19}">
      <text>
        <t>[Threaded comment]
Your version of Excel allows you to read this threaded comment; however, any edits to it will get removed if the file is opened in a newer version of Excel. Learn more: https://go.microsoft.com/fwlink/?linkid=870924
Comment:
    +5min</t>
      </text>
    </comment>
    <comment ref="J45" authorId="76" shapeId="0" xr:uid="{DFC327F3-6EC9-49E9-99B0-04526D00C31D}">
      <text>
        <t>[Threaded comment]
Your version of Excel allows you to read this threaded comment; however, any edits to it will get removed if the file is opened in a newer version of Excel. Learn more: https://go.microsoft.com/fwlink/?linkid=870924
Comment:
    +5</t>
      </text>
    </comment>
    <comment ref="AD45" authorId="52" shapeId="0" xr:uid="{BD2B10FD-2818-4E70-A637-2D6B996D1991}">
      <text>
        <r>
          <rPr>
            <b/>
            <sz val="9"/>
            <color indexed="81"/>
            <rFont val="Tahoma"/>
            <family val="2"/>
          </rPr>
          <t>Flood Gavin:</t>
        </r>
        <r>
          <rPr>
            <sz val="9"/>
            <color indexed="81"/>
            <rFont val="Tahoma"/>
            <family val="2"/>
          </rPr>
          <t xml:space="preserve">
-5mins</t>
        </r>
      </text>
    </comment>
  </commentList>
</comments>
</file>

<file path=xl/sharedStrings.xml><?xml version="1.0" encoding="utf-8"?>
<sst xmlns="http://schemas.openxmlformats.org/spreadsheetml/2006/main" count="9113" uniqueCount="1514">
  <si>
    <t>Route E1/X1</t>
  </si>
  <si>
    <t>Monday to Friday</t>
  </si>
  <si>
    <t>Proposed Sept 25</t>
  </si>
  <si>
    <t>Bus 26</t>
  </si>
  <si>
    <t>Bus 1A</t>
  </si>
  <si>
    <t>Bus 31A</t>
  </si>
  <si>
    <t>Bus 33</t>
  </si>
  <si>
    <t>Bus 25A</t>
  </si>
  <si>
    <t>Bus 3</t>
  </si>
  <si>
    <t>Bus 4A</t>
  </si>
  <si>
    <t>Bus 28A</t>
  </si>
  <si>
    <t>Bus 38</t>
  </si>
  <si>
    <t>Bus 6</t>
  </si>
  <si>
    <t>Bus 42A</t>
  </si>
  <si>
    <t>Bus 8</t>
  </si>
  <si>
    <t>Bus 10A</t>
  </si>
  <si>
    <t>Bus 44A</t>
  </si>
  <si>
    <t>Bus 12</t>
  </si>
  <si>
    <t>Bus 29A</t>
  </si>
  <si>
    <t>Bus 34A</t>
  </si>
  <si>
    <t>Bus 14A</t>
  </si>
  <si>
    <t>Bus 16</t>
  </si>
  <si>
    <t>Bus 36A</t>
  </si>
  <si>
    <t>Bus 18</t>
  </si>
  <si>
    <t>Bus 19</t>
  </si>
  <si>
    <t>Bus 21A</t>
  </si>
  <si>
    <t>Bus 22</t>
  </si>
  <si>
    <t>Bus 27A</t>
  </si>
  <si>
    <t>Bus 30</t>
  </si>
  <si>
    <t>811/27</t>
  </si>
  <si>
    <t>Bus 32</t>
  </si>
  <si>
    <t>811/28</t>
  </si>
  <si>
    <t>Bus 39A</t>
  </si>
  <si>
    <t>Bus 35</t>
  </si>
  <si>
    <t>811/29</t>
  </si>
  <si>
    <t>Bus 37</t>
  </si>
  <si>
    <t>811/30</t>
  </si>
  <si>
    <t>Bus 40A</t>
  </si>
  <si>
    <t>811/31</t>
  </si>
  <si>
    <t>Bus 41</t>
  </si>
  <si>
    <t>811/32</t>
  </si>
  <si>
    <t>Bus 2</t>
  </si>
  <si>
    <t>811/33</t>
  </si>
  <si>
    <t>Bus 43A</t>
  </si>
  <si>
    <t>811/34</t>
  </si>
  <si>
    <t>Bus 45</t>
  </si>
  <si>
    <t>Bus 5A</t>
  </si>
  <si>
    <t>Bus 7</t>
  </si>
  <si>
    <t>Bus 46</t>
  </si>
  <si>
    <t>Bus 9</t>
  </si>
  <si>
    <t>Bus 11A</t>
  </si>
  <si>
    <t>Bus 13</t>
  </si>
  <si>
    <t>Bus 15A</t>
  </si>
  <si>
    <t>Bus 17</t>
  </si>
  <si>
    <t>Bus 20</t>
  </si>
  <si>
    <t>Bus 23</t>
  </si>
  <si>
    <t>Bus 24</t>
  </si>
  <si>
    <t>02441028</t>
  </si>
  <si>
    <t>02441001</t>
  </si>
  <si>
    <t>02441031</t>
  </si>
  <si>
    <t>02441033</t>
  </si>
  <si>
    <t>02441025</t>
  </si>
  <si>
    <t>02441003</t>
  </si>
  <si>
    <t>02441004</t>
  </si>
  <si>
    <t>02441026</t>
  </si>
  <si>
    <t>02441038</t>
  </si>
  <si>
    <t>02441006</t>
  </si>
  <si>
    <t>02441042</t>
  </si>
  <si>
    <t>02441008</t>
  </si>
  <si>
    <t>02441010</t>
  </si>
  <si>
    <t>02441044</t>
  </si>
  <si>
    <t>02441012</t>
  </si>
  <si>
    <t>02441027</t>
  </si>
  <si>
    <t>02441034</t>
  </si>
  <si>
    <t>02441014</t>
  </si>
  <si>
    <t>02441016</t>
  </si>
  <si>
    <t>02441036</t>
  </si>
  <si>
    <t>02441018</t>
  </si>
  <si>
    <t>02441019</t>
  </si>
  <si>
    <t>02441021</t>
  </si>
  <si>
    <t>02441022</t>
  </si>
  <si>
    <t>02441029</t>
  </si>
  <si>
    <t>02441030</t>
  </si>
  <si>
    <t>UNI</t>
  </si>
  <si>
    <t>02441032</t>
  </si>
  <si>
    <t>02441039</t>
  </si>
  <si>
    <t>02441035</t>
  </si>
  <si>
    <t>02441037</t>
  </si>
  <si>
    <t>02441040</t>
  </si>
  <si>
    <t>02441041</t>
  </si>
  <si>
    <t>02441002</t>
  </si>
  <si>
    <t>02441043</t>
  </si>
  <si>
    <t>02441045</t>
  </si>
  <si>
    <t>02441005</t>
  </si>
  <si>
    <t>02441007</t>
  </si>
  <si>
    <t>02441046</t>
  </si>
  <si>
    <t>02441009</t>
  </si>
  <si>
    <t>02441011</t>
  </si>
  <si>
    <t>02441013</t>
  </si>
  <si>
    <t>02441015</t>
  </si>
  <si>
    <t>02441017</t>
  </si>
  <si>
    <t>02441020</t>
  </si>
  <si>
    <t>02441023</t>
  </si>
  <si>
    <t>02441024</t>
  </si>
  <si>
    <t>Garage</t>
  </si>
  <si>
    <t>026-06:13</t>
  </si>
  <si>
    <t>001-04:10</t>
  </si>
  <si>
    <t>031-06:23</t>
  </si>
  <si>
    <t>201-06:30</t>
  </si>
  <si>
    <t>025-06:10</t>
  </si>
  <si>
    <t>003-04:30</t>
  </si>
  <si>
    <t>004-04:40</t>
  </si>
  <si>
    <t>028-06:15</t>
  </si>
  <si>
    <t>206-06:50</t>
  </si>
  <si>
    <t>006-04:50</t>
  </si>
  <si>
    <t>210-07:04</t>
  </si>
  <si>
    <t>008-05:00</t>
  </si>
  <si>
    <t>010-05:10</t>
  </si>
  <si>
    <t>212-07:24</t>
  </si>
  <si>
    <t>012-05:20</t>
  </si>
  <si>
    <t>029-06:20</t>
  </si>
  <si>
    <t>202-06:30</t>
  </si>
  <si>
    <t>013-05:30</t>
  </si>
  <si>
    <t>016-05:40</t>
  </si>
  <si>
    <t>204-06:40</t>
  </si>
  <si>
    <t>018-05:50</t>
  </si>
  <si>
    <t>019-05:55</t>
  </si>
  <si>
    <t>021-06:03</t>
  </si>
  <si>
    <t>022-06:05</t>
  </si>
  <si>
    <t>027-06:13</t>
  </si>
  <si>
    <t>030-06:20</t>
  </si>
  <si>
    <t>05:54g</t>
  </si>
  <si>
    <t>032-06:28</t>
  </si>
  <si>
    <t>06:01g</t>
  </si>
  <si>
    <t>207-06:50</t>
  </si>
  <si>
    <t>203-06:35</t>
  </si>
  <si>
    <t>06:06g</t>
  </si>
  <si>
    <t>205-06:43</t>
  </si>
  <si>
    <t>06:16g</t>
  </si>
  <si>
    <t>208-06:50</t>
  </si>
  <si>
    <t>06:24g</t>
  </si>
  <si>
    <t>209-06:58</t>
  </si>
  <si>
    <t>06:32g</t>
  </si>
  <si>
    <t>002-04:30</t>
  </si>
  <si>
    <t>06:44g</t>
  </si>
  <si>
    <t>211-07:18</t>
  </si>
  <si>
    <t>06:52g</t>
  </si>
  <si>
    <t>213-07:25</t>
  </si>
  <si>
    <t>005-04:45</t>
  </si>
  <si>
    <t>007-05:00</t>
  </si>
  <si>
    <t>214-07:48</t>
  </si>
  <si>
    <t>009-05:10</t>
  </si>
  <si>
    <t>011-05:20</t>
  </si>
  <si>
    <t>014-05:30</t>
  </si>
  <si>
    <t>015-05:40</t>
  </si>
  <si>
    <t>017-05:50</t>
  </si>
  <si>
    <t>020-06:00</t>
  </si>
  <si>
    <t>023-06:08</t>
  </si>
  <si>
    <t>024-06:10</t>
  </si>
  <si>
    <t>E1 Short</t>
  </si>
  <si>
    <t>Northwood</t>
  </si>
  <si>
    <t>Ballymun Rd</t>
  </si>
  <si>
    <t>D'Brook Church</t>
  </si>
  <si>
    <t>Ballywaltrim</t>
  </si>
  <si>
    <t>Foxrock Church</t>
  </si>
  <si>
    <t>X1</t>
  </si>
  <si>
    <t>Eglington Road</t>
  </si>
  <si>
    <t>from</t>
  </si>
  <si>
    <t>218-09:00</t>
  </si>
  <si>
    <t>001-09:23</t>
  </si>
  <si>
    <t>222-09:30</t>
  </si>
  <si>
    <t>224-09:40</t>
  </si>
  <si>
    <t>004-09:48</t>
  </si>
  <si>
    <t>226-09:55</t>
  </si>
  <si>
    <t>006-09:58</t>
  </si>
  <si>
    <t>008-10:10</t>
  </si>
  <si>
    <t>005-10:15</t>
  </si>
  <si>
    <t>007-10:25</t>
  </si>
  <si>
    <t>013-10:35</t>
  </si>
  <si>
    <t>Parnell Sq West</t>
  </si>
  <si>
    <t>Killcoole to</t>
  </si>
  <si>
    <t>Hawkins St.</t>
  </si>
  <si>
    <t>09:41g</t>
  </si>
  <si>
    <t>09:48g</t>
  </si>
  <si>
    <t>09:56g</t>
  </si>
  <si>
    <t>10:03g</t>
  </si>
  <si>
    <t>10:11g</t>
  </si>
  <si>
    <t>10:19g</t>
  </si>
  <si>
    <t>10:21g</t>
  </si>
  <si>
    <t>10:29g</t>
  </si>
  <si>
    <t>Bus 4B</t>
  </si>
  <si>
    <t>10:05g</t>
  </si>
  <si>
    <t>10:15g</t>
  </si>
  <si>
    <t>10:46g</t>
  </si>
  <si>
    <t>11:15g</t>
  </si>
  <si>
    <t>11:20g</t>
  </si>
  <si>
    <t>11:50g</t>
  </si>
  <si>
    <t>12:00g</t>
  </si>
  <si>
    <t>02441048</t>
  </si>
  <si>
    <t>215-08:20</t>
  </si>
  <si>
    <t>216-08:42</t>
  </si>
  <si>
    <t>217-08:54</t>
  </si>
  <si>
    <t>219-09:07</t>
  </si>
  <si>
    <t>220-09:20</t>
  </si>
  <si>
    <t>221-09:23</t>
  </si>
  <si>
    <t>223-09:30</t>
  </si>
  <si>
    <t>003-09:38</t>
  </si>
  <si>
    <t>225-09:45</t>
  </si>
  <si>
    <t>002-09:55</t>
  </si>
  <si>
    <t>025-10:05</t>
  </si>
  <si>
    <t>010-10:20</t>
  </si>
  <si>
    <t>012-10:30</t>
  </si>
  <si>
    <t>028-10:40</t>
  </si>
  <si>
    <t>016-10:50</t>
  </si>
  <si>
    <t>018-11:00</t>
  </si>
  <si>
    <t>019-11:10</t>
  </si>
  <si>
    <t>202-11:25</t>
  </si>
  <si>
    <t>033-11:40</t>
  </si>
  <si>
    <t>035-11:55</t>
  </si>
  <si>
    <t>026-12:45g</t>
  </si>
  <si>
    <t>027-12:15</t>
  </si>
  <si>
    <t>030-12:20</t>
  </si>
  <si>
    <t>031-12:25</t>
  </si>
  <si>
    <t>032-12:50</t>
  </si>
  <si>
    <t>09:15g</t>
  </si>
  <si>
    <t>09:30g</t>
  </si>
  <si>
    <t>Bus 21B</t>
  </si>
  <si>
    <t>09:40g</t>
  </si>
  <si>
    <t>10:00g</t>
  </si>
  <si>
    <t>10:10g</t>
  </si>
  <si>
    <t>10:20g</t>
  </si>
  <si>
    <t>Bus 5B</t>
  </si>
  <si>
    <t>Bus 10B</t>
  </si>
  <si>
    <t>Bus 15B</t>
  </si>
  <si>
    <t>Bus 25B</t>
  </si>
  <si>
    <t>Bus 29B</t>
  </si>
  <si>
    <t>Bus 34B</t>
  </si>
  <si>
    <t>10:23g</t>
  </si>
  <si>
    <t>10:40g</t>
  </si>
  <si>
    <t>11:00g</t>
  </si>
  <si>
    <t>11:10g</t>
  </si>
  <si>
    <t>11:13g</t>
  </si>
  <si>
    <t>02441047</t>
  </si>
  <si>
    <t>02441049</t>
  </si>
  <si>
    <t>02441050</t>
  </si>
  <si>
    <t>02441052</t>
  </si>
  <si>
    <t>02441054</t>
  </si>
  <si>
    <t>02441056</t>
  </si>
  <si>
    <t>02441059</t>
  </si>
  <si>
    <t>029-10:45</t>
  </si>
  <si>
    <t>014-10:55</t>
  </si>
  <si>
    <t>017-11:05</t>
  </si>
  <si>
    <t>020-11:15</t>
  </si>
  <si>
    <t>022-11:30</t>
  </si>
  <si>
    <t>023-11:35</t>
  </si>
  <si>
    <t>034-11:45</t>
  </si>
  <si>
    <t>024-12:05g</t>
  </si>
  <si>
    <t>036-11:55</t>
  </si>
  <si>
    <t>037-12:15</t>
  </si>
  <si>
    <t>038-12:35</t>
  </si>
  <si>
    <t>039-12:45</t>
  </si>
  <si>
    <t>041-13:15g</t>
  </si>
  <si>
    <t>201-13:05</t>
  </si>
  <si>
    <t>204-13:15</t>
  </si>
  <si>
    <t>215-13:25</t>
  </si>
  <si>
    <t>045-13:45g</t>
  </si>
  <si>
    <t>207-13:35</t>
  </si>
  <si>
    <t>046-13:55</t>
  </si>
  <si>
    <t>206-14:15g</t>
  </si>
  <si>
    <t>048-14:15</t>
  </si>
  <si>
    <t>209-14:25</t>
  </si>
  <si>
    <t>049-14:45g</t>
  </si>
  <si>
    <t>214-14:35</t>
  </si>
  <si>
    <t>211-15:00g</t>
  </si>
  <si>
    <t>220-14:45</t>
  </si>
  <si>
    <t>050-14:55</t>
  </si>
  <si>
    <t>224-15:05</t>
  </si>
  <si>
    <t>217-15:30g</t>
  </si>
  <si>
    <t>035-15:15</t>
  </si>
  <si>
    <t>14:40g</t>
  </si>
  <si>
    <t>14:55g</t>
  </si>
  <si>
    <t>15:10g</t>
  </si>
  <si>
    <t>15:25g</t>
  </si>
  <si>
    <t>15:40g</t>
  </si>
  <si>
    <t>15:55g</t>
  </si>
  <si>
    <t>16:10g</t>
  </si>
  <si>
    <t>16:25g</t>
  </si>
  <si>
    <t>Bus 11B</t>
  </si>
  <si>
    <t>Bus 1B</t>
  </si>
  <si>
    <t>Bus 28B</t>
  </si>
  <si>
    <t>Bus 27B</t>
  </si>
  <si>
    <t>Bus 31B</t>
  </si>
  <si>
    <t>Bus 39B</t>
  </si>
  <si>
    <t>Parnell Sq East</t>
  </si>
  <si>
    <t>Bray</t>
  </si>
  <si>
    <t>02441051</t>
  </si>
  <si>
    <t>02441053</t>
  </si>
  <si>
    <t>02441055</t>
  </si>
  <si>
    <t>02441057</t>
  </si>
  <si>
    <t>02441058</t>
  </si>
  <si>
    <t>02441061</t>
  </si>
  <si>
    <t>As Part of L12/L14/X2</t>
  </si>
  <si>
    <t>040-13:05</t>
  </si>
  <si>
    <t>203-13:15</t>
  </si>
  <si>
    <t>205-14:00g</t>
  </si>
  <si>
    <t>042-13:20</t>
  </si>
  <si>
    <t>043-13:25</t>
  </si>
  <si>
    <t>208-14:18g</t>
  </si>
  <si>
    <t>044-13:50</t>
  </si>
  <si>
    <t>047-14:10</t>
  </si>
  <si>
    <t>051-14:50</t>
  </si>
  <si>
    <t>210-14:30</t>
  </si>
  <si>
    <t>212-15:07g</t>
  </si>
  <si>
    <t>213-14:45</t>
  </si>
  <si>
    <t>053-15:22g</t>
  </si>
  <si>
    <t>052-15:13</t>
  </si>
  <si>
    <t>216-15:54g</t>
  </si>
  <si>
    <t>219-15:20</t>
  </si>
  <si>
    <t>221-15:25</t>
  </si>
  <si>
    <t>056-15:50</t>
  </si>
  <si>
    <t>059-16:05</t>
  </si>
  <si>
    <t>061-16:13</t>
  </si>
  <si>
    <t>041-16:23</t>
  </si>
  <si>
    <t>040-16:40</t>
  </si>
  <si>
    <t>Bus 36B</t>
  </si>
  <si>
    <t>Bus 13B</t>
  </si>
  <si>
    <t>Bus 42B</t>
  </si>
  <si>
    <t>02441060</t>
  </si>
  <si>
    <t>Bus 43B</t>
  </si>
  <si>
    <t>16:23g</t>
  </si>
  <si>
    <t>18:04g</t>
  </si>
  <si>
    <t>18:20g</t>
  </si>
  <si>
    <t>18:35g</t>
  </si>
  <si>
    <t>18:50g</t>
  </si>
  <si>
    <t>19:05g</t>
  </si>
  <si>
    <t>19:14g</t>
  </si>
  <si>
    <t>19:29g</t>
  </si>
  <si>
    <t>19:44g</t>
  </si>
  <si>
    <t>18:18g</t>
  </si>
  <si>
    <t>18:40g</t>
  </si>
  <si>
    <t>19:00g</t>
  </si>
  <si>
    <t>19:15g</t>
  </si>
  <si>
    <t>223-15:25</t>
  </si>
  <si>
    <t>01912021</t>
  </si>
  <si>
    <t>02441063</t>
  </si>
  <si>
    <t>054-15:35</t>
  </si>
  <si>
    <t>057-15:50g</t>
  </si>
  <si>
    <t>055-15:45</t>
  </si>
  <si>
    <t>02441065</t>
  </si>
  <si>
    <t>058-15:58</t>
  </si>
  <si>
    <t>060-16:05</t>
  </si>
  <si>
    <t>062-16:20</t>
  </si>
  <si>
    <t>Bus 40B</t>
  </si>
  <si>
    <t>Bus 14B</t>
  </si>
  <si>
    <t>063-16:28</t>
  </si>
  <si>
    <t>Bus 44B</t>
  </si>
  <si>
    <t>042-17:04</t>
  </si>
  <si>
    <t>045-17:17</t>
  </si>
  <si>
    <t>036-17:24</t>
  </si>
  <si>
    <t>Bus 11C</t>
  </si>
  <si>
    <t>226-17:30</t>
  </si>
  <si>
    <t>034-17:37</t>
  </si>
  <si>
    <t>043-18:05</t>
  </si>
  <si>
    <t>071-18:18</t>
  </si>
  <si>
    <t>044-18:28</t>
  </si>
  <si>
    <t>048-18:35</t>
  </si>
  <si>
    <t>073-19:10</t>
  </si>
  <si>
    <t>052-19:15</t>
  </si>
  <si>
    <t>059-19:30</t>
  </si>
  <si>
    <t>053-19:40</t>
  </si>
  <si>
    <t>063-19:50</t>
  </si>
  <si>
    <t>047-20:00</t>
  </si>
  <si>
    <t>403-16:40g</t>
  </si>
  <si>
    <t>218-16:55g</t>
  </si>
  <si>
    <t>222-17:10g</t>
  </si>
  <si>
    <t>02441062</t>
  </si>
  <si>
    <t>02441064</t>
  </si>
  <si>
    <t>02441066</t>
  </si>
  <si>
    <t>02441067</t>
  </si>
  <si>
    <t>17:53g</t>
  </si>
  <si>
    <t>225-16:20g</t>
  </si>
  <si>
    <t>064-17:00g</t>
  </si>
  <si>
    <t>18:45g</t>
  </si>
  <si>
    <t>033-17:20g</t>
  </si>
  <si>
    <t>19:10g</t>
  </si>
  <si>
    <t>037-18:00g</t>
  </si>
  <si>
    <t>19:38g</t>
  </si>
  <si>
    <t>19:47g</t>
  </si>
  <si>
    <t>20:09g</t>
  </si>
  <si>
    <t>20:44g</t>
  </si>
  <si>
    <t>046-18:08</t>
  </si>
  <si>
    <t>039-18:30</t>
  </si>
  <si>
    <t>038-18:55</t>
  </si>
  <si>
    <t>072-19:00</t>
  </si>
  <si>
    <t>055-19:05</t>
  </si>
  <si>
    <t>051-19:50</t>
  </si>
  <si>
    <t>074-20:45</t>
  </si>
  <si>
    <t>075-20:50</t>
  </si>
  <si>
    <t>062-21:50</t>
  </si>
  <si>
    <t>Bus 42C</t>
  </si>
  <si>
    <t>19:40g</t>
  </si>
  <si>
    <t>19:22g</t>
  </si>
  <si>
    <t>19:33g</t>
  </si>
  <si>
    <t>20:03g</t>
  </si>
  <si>
    <t>20:11g</t>
  </si>
  <si>
    <t>20:26g</t>
  </si>
  <si>
    <t>21:00g</t>
  </si>
  <si>
    <t>22:45g</t>
  </si>
  <si>
    <t>22:55g</t>
  </si>
  <si>
    <t>02441068</t>
  </si>
  <si>
    <t>050-20:10</t>
  </si>
  <si>
    <t>049-20:20</t>
  </si>
  <si>
    <t>Kilcoole</t>
  </si>
  <si>
    <t>056-21:15</t>
  </si>
  <si>
    <t>057-21:25</t>
  </si>
  <si>
    <t>058-21:30</t>
  </si>
  <si>
    <t>060-21:55</t>
  </si>
  <si>
    <t>061-22:05</t>
  </si>
  <si>
    <t>054-22:15</t>
  </si>
  <si>
    <t>076-22:25</t>
  </si>
  <si>
    <t>071-22:55</t>
  </si>
  <si>
    <t>073-00:00g</t>
  </si>
  <si>
    <t>22:20g</t>
  </si>
  <si>
    <t>19:35g</t>
  </si>
  <si>
    <t>20:15g</t>
  </si>
  <si>
    <t>22:23g</t>
  </si>
  <si>
    <t>20:30g</t>
  </si>
  <si>
    <t>20:55g</t>
  </si>
  <si>
    <t>23:51g</t>
  </si>
  <si>
    <t>00:11g</t>
  </si>
  <si>
    <t>00:33g</t>
  </si>
  <si>
    <t>00:43g</t>
  </si>
  <si>
    <t>01:03g</t>
  </si>
  <si>
    <t>064-22:20</t>
  </si>
  <si>
    <t>077-22:30</t>
  </si>
  <si>
    <t>072-23:20</t>
  </si>
  <si>
    <t>23:22g</t>
  </si>
  <si>
    <t>23:32g</t>
  </si>
  <si>
    <t>00:02g</t>
  </si>
  <si>
    <t>00:12g</t>
  </si>
  <si>
    <t xml:space="preserve"> 00:22g</t>
  </si>
  <si>
    <t>00:32g</t>
  </si>
  <si>
    <t>00:52g</t>
  </si>
  <si>
    <t>01:02g</t>
  </si>
  <si>
    <t>01:22g</t>
  </si>
  <si>
    <t>01:42g</t>
  </si>
  <si>
    <t>074-02:15</t>
  </si>
  <si>
    <t>076-03:15</t>
  </si>
  <si>
    <t>01:23g</t>
  </si>
  <si>
    <t>075-02:40</t>
  </si>
  <si>
    <t>077-03:40</t>
  </si>
  <si>
    <t>06:00g</t>
  </si>
  <si>
    <t>07:00g</t>
  </si>
  <si>
    <t>05:42g</t>
  </si>
  <si>
    <t>06:43g</t>
  </si>
  <si>
    <t>Donnybrook 2</t>
  </si>
  <si>
    <t>Killcoole</t>
  </si>
  <si>
    <t>Roster</t>
  </si>
  <si>
    <t>Depot</t>
  </si>
  <si>
    <t>Duty</t>
  </si>
  <si>
    <t>Start</t>
  </si>
  <si>
    <t>Break</t>
  </si>
  <si>
    <t>Finish</t>
  </si>
  <si>
    <t>Spread</t>
  </si>
  <si>
    <t>Work</t>
  </si>
  <si>
    <t>Relief</t>
  </si>
  <si>
    <t>No.</t>
  </si>
  <si>
    <t>Report</t>
  </si>
  <si>
    <t>Depart</t>
  </si>
  <si>
    <t>Location</t>
  </si>
  <si>
    <t>Sign off</t>
  </si>
  <si>
    <t>DZ4/01</t>
  </si>
  <si>
    <t>002</t>
  </si>
  <si>
    <t>001</t>
  </si>
  <si>
    <t>DBRK Church</t>
  </si>
  <si>
    <t>Eglinton Rd</t>
  </si>
  <si>
    <t>DZ4/02</t>
  </si>
  <si>
    <t>DZ4/03</t>
  </si>
  <si>
    <t>003</t>
  </si>
  <si>
    <t>DZ4/04</t>
  </si>
  <si>
    <t>004</t>
  </si>
  <si>
    <t>DZ4/05</t>
  </si>
  <si>
    <t>005</t>
  </si>
  <si>
    <t>DZ4/06</t>
  </si>
  <si>
    <t>006</t>
  </si>
  <si>
    <t>58</t>
  </si>
  <si>
    <t>Vehicle Workings (E1)</t>
  </si>
  <si>
    <t>DZ4/07</t>
  </si>
  <si>
    <t>007</t>
  </si>
  <si>
    <t>OUT</t>
  </si>
  <si>
    <t>IN</t>
  </si>
  <si>
    <t>DZ4/08</t>
  </si>
  <si>
    <t>008</t>
  </si>
  <si>
    <t>Northwoord - Gar - Northwood</t>
  </si>
  <si>
    <t>26</t>
  </si>
  <si>
    <t>DZ4/09</t>
  </si>
  <si>
    <t>009</t>
  </si>
  <si>
    <t>DZ4/10</t>
  </si>
  <si>
    <t>010</t>
  </si>
  <si>
    <t>Ballywaltrim - Gar - Ballywaltrim</t>
  </si>
  <si>
    <t>32</t>
  </si>
  <si>
    <t>DZ4/11</t>
  </si>
  <si>
    <t>011</t>
  </si>
  <si>
    <t>DZ4/12</t>
  </si>
  <si>
    <t>012</t>
  </si>
  <si>
    <t>Garage - PSQE</t>
  </si>
  <si>
    <t>DZ4/13</t>
  </si>
  <si>
    <t>013</t>
  </si>
  <si>
    <t>DZ4/14</t>
  </si>
  <si>
    <t>014</t>
  </si>
  <si>
    <t>Jamestown</t>
  </si>
  <si>
    <t>DZ4/15</t>
  </si>
  <si>
    <t>015</t>
  </si>
  <si>
    <t>DZ4/16</t>
  </si>
  <si>
    <t>016</t>
  </si>
  <si>
    <t>DZ4/17</t>
  </si>
  <si>
    <t>017</t>
  </si>
  <si>
    <t>DZ4/18</t>
  </si>
  <si>
    <t>018</t>
  </si>
  <si>
    <t>DZ4/19</t>
  </si>
  <si>
    <t>019</t>
  </si>
  <si>
    <t>DZ4/20</t>
  </si>
  <si>
    <t>020</t>
  </si>
  <si>
    <t>DZ4/21</t>
  </si>
  <si>
    <t>021</t>
  </si>
  <si>
    <t>DZ4/22</t>
  </si>
  <si>
    <t>022</t>
  </si>
  <si>
    <t>DZ4/23</t>
  </si>
  <si>
    <t>023</t>
  </si>
  <si>
    <t>DZ4/24</t>
  </si>
  <si>
    <t>024</t>
  </si>
  <si>
    <t>DZ4/25</t>
  </si>
  <si>
    <t>025</t>
  </si>
  <si>
    <t>Garage (X1)</t>
  </si>
  <si>
    <t>DZ4/26</t>
  </si>
  <si>
    <t>026</t>
  </si>
  <si>
    <t>DZ4/27</t>
  </si>
  <si>
    <t>027</t>
  </si>
  <si>
    <t>DZ4/28</t>
  </si>
  <si>
    <t>028</t>
  </si>
  <si>
    <t>DZ4/29</t>
  </si>
  <si>
    <t>029</t>
  </si>
  <si>
    <t>DZ4/30</t>
  </si>
  <si>
    <t>030</t>
  </si>
  <si>
    <t>DZ4/31</t>
  </si>
  <si>
    <t>031</t>
  </si>
  <si>
    <t>DZ4/32</t>
  </si>
  <si>
    <t>032</t>
  </si>
  <si>
    <t>DZ4/33</t>
  </si>
  <si>
    <t>033</t>
  </si>
  <si>
    <t>DZ4/34</t>
  </si>
  <si>
    <t>034</t>
  </si>
  <si>
    <t>DZ4/35</t>
  </si>
  <si>
    <t>035</t>
  </si>
  <si>
    <t>DZ4/36</t>
  </si>
  <si>
    <t>036</t>
  </si>
  <si>
    <t>DZ4/37</t>
  </si>
  <si>
    <t>037</t>
  </si>
  <si>
    <t>DZ4/38</t>
  </si>
  <si>
    <t>038</t>
  </si>
  <si>
    <t>DZ4/39</t>
  </si>
  <si>
    <t>039</t>
  </si>
  <si>
    <t>DZ4/40</t>
  </si>
  <si>
    <t>040</t>
  </si>
  <si>
    <t>DZ4/41</t>
  </si>
  <si>
    <t>041</t>
  </si>
  <si>
    <t>DZ4/42</t>
  </si>
  <si>
    <t>042</t>
  </si>
  <si>
    <t>DZ4/43</t>
  </si>
  <si>
    <t>043</t>
  </si>
  <si>
    <t>DZ4/44</t>
  </si>
  <si>
    <t>044</t>
  </si>
  <si>
    <t>DZ4/45</t>
  </si>
  <si>
    <t>045</t>
  </si>
  <si>
    <t>DZ4/46</t>
  </si>
  <si>
    <t>046</t>
  </si>
  <si>
    <t>DZ4/47</t>
  </si>
  <si>
    <t>047</t>
  </si>
  <si>
    <t>DZ4/48</t>
  </si>
  <si>
    <t>048</t>
  </si>
  <si>
    <t>DZ4/49</t>
  </si>
  <si>
    <t>049</t>
  </si>
  <si>
    <t>DZ4/50</t>
  </si>
  <si>
    <t>050</t>
  </si>
  <si>
    <t>DZ4/51</t>
  </si>
  <si>
    <t>051</t>
  </si>
  <si>
    <t>DZ4/52</t>
  </si>
  <si>
    <t>052</t>
  </si>
  <si>
    <t>DZ4/53</t>
  </si>
  <si>
    <t>053</t>
  </si>
  <si>
    <t>DZ4/54</t>
  </si>
  <si>
    <t>054</t>
  </si>
  <si>
    <t>DZ4/55</t>
  </si>
  <si>
    <t>055</t>
  </si>
  <si>
    <t>DZ4/56</t>
  </si>
  <si>
    <t>056</t>
  </si>
  <si>
    <t>DZ4/57</t>
  </si>
  <si>
    <t>057</t>
  </si>
  <si>
    <t>DZ4/58</t>
  </si>
  <si>
    <t>058</t>
  </si>
  <si>
    <t>DZ4/59</t>
  </si>
  <si>
    <t>059</t>
  </si>
  <si>
    <t>DZ4/60</t>
  </si>
  <si>
    <t>060</t>
  </si>
  <si>
    <t>DZ4/61</t>
  </si>
  <si>
    <t>061</t>
  </si>
  <si>
    <t>DZ4/62</t>
  </si>
  <si>
    <t>062</t>
  </si>
  <si>
    <t>DZ4/63</t>
  </si>
  <si>
    <t>063</t>
  </si>
  <si>
    <t>DZ4/64</t>
  </si>
  <si>
    <t>064</t>
  </si>
  <si>
    <t>DZ4/1X</t>
  </si>
  <si>
    <t>201</t>
  </si>
  <si>
    <t>DZ4/2X</t>
  </si>
  <si>
    <t>202</t>
  </si>
  <si>
    <t>DZ4/3X</t>
  </si>
  <si>
    <t>203</t>
  </si>
  <si>
    <t>DZ4/4X</t>
  </si>
  <si>
    <t>204</t>
  </si>
  <si>
    <t>DZ4/5X</t>
  </si>
  <si>
    <t>205</t>
  </si>
  <si>
    <t>DZ4/6X</t>
  </si>
  <si>
    <t>206</t>
  </si>
  <si>
    <t>DZ4/7X</t>
  </si>
  <si>
    <t>207</t>
  </si>
  <si>
    <t>DZ4/8X</t>
  </si>
  <si>
    <t>208</t>
  </si>
  <si>
    <t>DZ4/9X</t>
  </si>
  <si>
    <t>209</t>
  </si>
  <si>
    <t>DZ4/10X</t>
  </si>
  <si>
    <t>210</t>
  </si>
  <si>
    <t>DZ4/11X</t>
  </si>
  <si>
    <t>211</t>
  </si>
  <si>
    <t>DZ4/12X</t>
  </si>
  <si>
    <t>212</t>
  </si>
  <si>
    <t>DZ4/13X</t>
  </si>
  <si>
    <t>213</t>
  </si>
  <si>
    <t>DZ4/14X</t>
  </si>
  <si>
    <t>214</t>
  </si>
  <si>
    <t>DZ4/15X</t>
  </si>
  <si>
    <t>215</t>
  </si>
  <si>
    <t>DZ4/16X</t>
  </si>
  <si>
    <t>216</t>
  </si>
  <si>
    <t>DZ4/17X</t>
  </si>
  <si>
    <t>217</t>
  </si>
  <si>
    <t>DZ4/18X</t>
  </si>
  <si>
    <t>218</t>
  </si>
  <si>
    <t>DZ4/19X</t>
  </si>
  <si>
    <t>219</t>
  </si>
  <si>
    <t>DZ4/20X</t>
  </si>
  <si>
    <t>220</t>
  </si>
  <si>
    <t>DZ4/21X</t>
  </si>
  <si>
    <t>221</t>
  </si>
  <si>
    <t>DZ4/22X</t>
  </si>
  <si>
    <t>222</t>
  </si>
  <si>
    <t>Bray/DB1</t>
  </si>
  <si>
    <t>DZ4/23X</t>
  </si>
  <si>
    <t>223</t>
  </si>
  <si>
    <t>DZ4/24X</t>
  </si>
  <si>
    <t>224</t>
  </si>
  <si>
    <t>DZ4/25X</t>
  </si>
  <si>
    <t>225</t>
  </si>
  <si>
    <t>DZ4/26X</t>
  </si>
  <si>
    <t>226</t>
  </si>
  <si>
    <t>DZ4/71</t>
  </si>
  <si>
    <t>071</t>
  </si>
  <si>
    <t>DZ4/72</t>
  </si>
  <si>
    <t>072</t>
  </si>
  <si>
    <t>DZ4/73</t>
  </si>
  <si>
    <t>073</t>
  </si>
  <si>
    <t>DZ4/74</t>
  </si>
  <si>
    <t>074</t>
  </si>
  <si>
    <t>DZ4/75</t>
  </si>
  <si>
    <t>075</t>
  </si>
  <si>
    <t>DZ4/76</t>
  </si>
  <si>
    <t>076</t>
  </si>
  <si>
    <t>DZ4/77</t>
  </si>
  <si>
    <t>077</t>
  </si>
  <si>
    <t>Overall</t>
  </si>
  <si>
    <t>Vehicle Hrs</t>
  </si>
  <si>
    <t>640:15</t>
  </si>
  <si>
    <t>Route E1</t>
  </si>
  <si>
    <t>Saturday</t>
  </si>
  <si>
    <t>Bus 5</t>
  </si>
  <si>
    <t>Bus 11</t>
  </si>
  <si>
    <t>Bus 15</t>
  </si>
  <si>
    <t>Bus 14</t>
  </si>
  <si>
    <t>Bus 4</t>
  </si>
  <si>
    <t>Bus 21</t>
  </si>
  <si>
    <t>Bus 10</t>
  </si>
  <si>
    <t>001-04:55</t>
  </si>
  <si>
    <t>017-08:10</t>
  </si>
  <si>
    <t>019-08:20</t>
  </si>
  <si>
    <t>003-05:10</t>
  </si>
  <si>
    <t>023-08:40</t>
  </si>
  <si>
    <t>005-05:25</t>
  </si>
  <si>
    <t>007-05:40</t>
  </si>
  <si>
    <t>009-05:55</t>
  </si>
  <si>
    <t>011-06:08</t>
  </si>
  <si>
    <t>012-06:15</t>
  </si>
  <si>
    <t>015-08:00</t>
  </si>
  <si>
    <t>013-06:30</t>
  </si>
  <si>
    <t>014-06:45</t>
  </si>
  <si>
    <t>021-08:30</t>
  </si>
  <si>
    <t>002-05:05</t>
  </si>
  <si>
    <t>201-08:50</t>
  </si>
  <si>
    <t>004-05:15</t>
  </si>
  <si>
    <t>203-09:10</t>
  </si>
  <si>
    <t>006-05:30</t>
  </si>
  <si>
    <t>008-05:45</t>
  </si>
  <si>
    <t>010-06:00</t>
  </si>
  <si>
    <t>022-08:35</t>
  </si>
  <si>
    <t>202-08:55</t>
  </si>
  <si>
    <t>204-09:20</t>
  </si>
  <si>
    <t>Bus 24A</t>
  </si>
  <si>
    <t>Bus 27</t>
  </si>
  <si>
    <t>016-08:05</t>
  </si>
  <si>
    <t>018-08:20</t>
  </si>
  <si>
    <t>020-08:30</t>
  </si>
  <si>
    <t>003-09:10g</t>
  </si>
  <si>
    <t>024-08:45</t>
  </si>
  <si>
    <t>007-09:30g</t>
  </si>
  <si>
    <t>009-09:50g</t>
  </si>
  <si>
    <t>005-09:20</t>
  </si>
  <si>
    <t>002-10:05g</t>
  </si>
  <si>
    <t>206-09:50</t>
  </si>
  <si>
    <t>004-10:00</t>
  </si>
  <si>
    <t>208-10:45g</t>
  </si>
  <si>
    <t>008-10:30</t>
  </si>
  <si>
    <t>013-11:05</t>
  </si>
  <si>
    <t>022-11:25</t>
  </si>
  <si>
    <t>Bus 25</t>
  </si>
  <si>
    <t>Bus 28</t>
  </si>
  <si>
    <t>205-09:40</t>
  </si>
  <si>
    <t>207-10:00g</t>
  </si>
  <si>
    <t>012-10:40</t>
  </si>
  <si>
    <t>014-11:20</t>
  </si>
  <si>
    <t>020-11:40</t>
  </si>
  <si>
    <t>029-12:05g</t>
  </si>
  <si>
    <t>025-11:50</t>
  </si>
  <si>
    <t>027-12:00</t>
  </si>
  <si>
    <t>031-12:20</t>
  </si>
  <si>
    <t>034-12:40</t>
  </si>
  <si>
    <t>017-12:50</t>
  </si>
  <si>
    <t>036-13:00</t>
  </si>
  <si>
    <t>019-13:10</t>
  </si>
  <si>
    <t>023-13:20</t>
  </si>
  <si>
    <t>021-13:40</t>
  </si>
  <si>
    <t>Bus 29</t>
  </si>
  <si>
    <t>033-12:25g</t>
  </si>
  <si>
    <t>026-11:55</t>
  </si>
  <si>
    <t>028-12:05</t>
  </si>
  <si>
    <t>032-12:25</t>
  </si>
  <si>
    <t>011-12:30</t>
  </si>
  <si>
    <t>035-12:55</t>
  </si>
  <si>
    <t>015-13:00</t>
  </si>
  <si>
    <t>016-13:10</t>
  </si>
  <si>
    <t>018-13:25</t>
  </si>
  <si>
    <t>201-14:20</t>
  </si>
  <si>
    <t>037-14:45</t>
  </si>
  <si>
    <t>041-15:40</t>
  </si>
  <si>
    <t>043-15:50</t>
  </si>
  <si>
    <t>028-16:00</t>
  </si>
  <si>
    <t>13:30g</t>
  </si>
  <si>
    <t>16:56g</t>
  </si>
  <si>
    <t>024-14:00</t>
  </si>
  <si>
    <t>207-14:30</t>
  </si>
  <si>
    <t>038-15:00</t>
  </si>
  <si>
    <t>039-15:10</t>
  </si>
  <si>
    <t>205-15:15g</t>
  </si>
  <si>
    <t>204-15:30</t>
  </si>
  <si>
    <t>040-15:40</t>
  </si>
  <si>
    <t>042-15:50</t>
  </si>
  <si>
    <t>208-16:00</t>
  </si>
  <si>
    <t>044-16:10</t>
  </si>
  <si>
    <t>202-16:20</t>
  </si>
  <si>
    <t>046-16:30</t>
  </si>
  <si>
    <t>047-16:40</t>
  </si>
  <si>
    <t>206-17:00</t>
  </si>
  <si>
    <t>029-17:15</t>
  </si>
  <si>
    <t>025-17:30</t>
  </si>
  <si>
    <t>030-17:40</t>
  </si>
  <si>
    <t>027-18:00g</t>
  </si>
  <si>
    <t>026-17:50</t>
  </si>
  <si>
    <t>071-18:10</t>
  </si>
  <si>
    <t>16:05g</t>
  </si>
  <si>
    <t>16:45g</t>
  </si>
  <si>
    <t>20:00g</t>
  </si>
  <si>
    <t>203-16:15</t>
  </si>
  <si>
    <t>045-16:25</t>
  </si>
  <si>
    <t>048-16:50</t>
  </si>
  <si>
    <t>033-17:25</t>
  </si>
  <si>
    <t>032-17:50</t>
  </si>
  <si>
    <t>035-18:20</t>
  </si>
  <si>
    <t>031-18:50</t>
  </si>
  <si>
    <t>042-19:00</t>
  </si>
  <si>
    <t>037-19:55</t>
  </si>
  <si>
    <t>Bus 19B</t>
  </si>
  <si>
    <t>19:45g</t>
  </si>
  <si>
    <t>20:21g</t>
  </si>
  <si>
    <t>20:50g</t>
  </si>
  <si>
    <t>036-18:30</t>
  </si>
  <si>
    <t>034-18:50</t>
  </si>
  <si>
    <t>043-19:10</t>
  </si>
  <si>
    <t>072-19:20</t>
  </si>
  <si>
    <t>039-19:45</t>
  </si>
  <si>
    <t>073-20:20</t>
  </si>
  <si>
    <t>038-20:45</t>
  </si>
  <si>
    <t>046-21:15</t>
  </si>
  <si>
    <t>074-21:30</t>
  </si>
  <si>
    <t>075-21:45g</t>
  </si>
  <si>
    <t>045-22:00</t>
  </si>
  <si>
    <t>Bus 24B</t>
  </si>
  <si>
    <t>20:40g</t>
  </si>
  <si>
    <t>22:15g</t>
  </si>
  <si>
    <t>23:25g</t>
  </si>
  <si>
    <t>040-20:40</t>
  </si>
  <si>
    <t>041-21:05</t>
  </si>
  <si>
    <t>044-21:20</t>
  </si>
  <si>
    <t>048-21:50</t>
  </si>
  <si>
    <t>076-22:30g</t>
  </si>
  <si>
    <t>072-22:20</t>
  </si>
  <si>
    <t>23:40g</t>
  </si>
  <si>
    <t>00:10g</t>
  </si>
  <si>
    <t>00:25g</t>
  </si>
  <si>
    <t>00:35g</t>
  </si>
  <si>
    <t>01:10g</t>
  </si>
  <si>
    <t>047-22:15</t>
  </si>
  <si>
    <t>071-23:00</t>
  </si>
  <si>
    <t>073-01:15</t>
  </si>
  <si>
    <t>00:17g</t>
  </si>
  <si>
    <t>00:47g</t>
  </si>
  <si>
    <t>01:07g</t>
  </si>
  <si>
    <t>074-01:35</t>
  </si>
  <si>
    <t>076-02:35</t>
  </si>
  <si>
    <t>01:30g</t>
  </si>
  <si>
    <t>05:10g</t>
  </si>
  <si>
    <t>075-02:15</t>
  </si>
  <si>
    <t>077-03:15</t>
  </si>
  <si>
    <t>05:47g</t>
  </si>
  <si>
    <t>06:47g</t>
  </si>
  <si>
    <t>06:10g</t>
  </si>
  <si>
    <t>out</t>
  </si>
  <si>
    <t>in</t>
  </si>
  <si>
    <t>21 &amp; 22 swapped due to change in starting time N.B for running boards 2,8,10,18</t>
  </si>
  <si>
    <t>25 &amp; 26 swapped due to change in starting time N.B for running boards 16,20,21,26</t>
  </si>
  <si>
    <t>31 &amp; 32 swapped due to change in starting time N.B for running boards 11,14,19</t>
  </si>
  <si>
    <t>B-Rota</t>
  </si>
  <si>
    <t>Overall Average</t>
  </si>
  <si>
    <t>444:34</t>
  </si>
  <si>
    <t>Sunday</t>
  </si>
  <si>
    <t>Bus 1</t>
  </si>
  <si>
    <t>001-04:50</t>
  </si>
  <si>
    <t>007-06:40</t>
  </si>
  <si>
    <t>009-07:00</t>
  </si>
  <si>
    <t>003-05:50</t>
  </si>
  <si>
    <t>005-06:10</t>
  </si>
  <si>
    <t>006-06:30</t>
  </si>
  <si>
    <t>008-06:50</t>
  </si>
  <si>
    <t>002-05:00</t>
  </si>
  <si>
    <t>010-07:30</t>
  </si>
  <si>
    <t>011-07:50</t>
  </si>
  <si>
    <t>004-06:00</t>
  </si>
  <si>
    <t>012-09:00</t>
  </si>
  <si>
    <t>013-09:15g</t>
  </si>
  <si>
    <t>014-09:20</t>
  </si>
  <si>
    <t>201-10:10g</t>
  </si>
  <si>
    <t>204-10:40g</t>
  </si>
  <si>
    <t>202-10:25</t>
  </si>
  <si>
    <t>017-11:40g</t>
  </si>
  <si>
    <t>007-11:30</t>
  </si>
  <si>
    <t>13:10g</t>
  </si>
  <si>
    <t>015-09:40g</t>
  </si>
  <si>
    <t>016-10:00</t>
  </si>
  <si>
    <t>005-10:20</t>
  </si>
  <si>
    <t>203-10:35</t>
  </si>
  <si>
    <t>205-11:05</t>
  </si>
  <si>
    <t>009-11:40</t>
  </si>
  <si>
    <t>018-11:50</t>
  </si>
  <si>
    <t>019-12:05</t>
  </si>
  <si>
    <t>006-12:50</t>
  </si>
  <si>
    <t>Bus 18A</t>
  </si>
  <si>
    <t>020-12:40g</t>
  </si>
  <si>
    <t>021-12:50</t>
  </si>
  <si>
    <t>022-13:05</t>
  </si>
  <si>
    <t>024-14:20</t>
  </si>
  <si>
    <t>025-14:37</t>
  </si>
  <si>
    <t>026-14:55</t>
  </si>
  <si>
    <t>028-15:20</t>
  </si>
  <si>
    <t>204-15:40</t>
  </si>
  <si>
    <t>013-13:50</t>
  </si>
  <si>
    <t>012-14:05</t>
  </si>
  <si>
    <t>205-14:35</t>
  </si>
  <si>
    <t>027-14:55</t>
  </si>
  <si>
    <t>203-15:50</t>
  </si>
  <si>
    <t>017-16:15</t>
  </si>
  <si>
    <t>031-16:20</t>
  </si>
  <si>
    <t>020-17:20</t>
  </si>
  <si>
    <t>19:25g</t>
  </si>
  <si>
    <t>202-15:50</t>
  </si>
  <si>
    <t>029-15:55</t>
  </si>
  <si>
    <t>030-16:20</t>
  </si>
  <si>
    <t>032-17:00</t>
  </si>
  <si>
    <t>018-17:20</t>
  </si>
  <si>
    <t>019-17:35</t>
  </si>
  <si>
    <t>021-18:30</t>
  </si>
  <si>
    <t>022-18:40</t>
  </si>
  <si>
    <t>071-19:05</t>
  </si>
  <si>
    <t>024-19:25</t>
  </si>
  <si>
    <t>18:19g</t>
  </si>
  <si>
    <t>20:45g</t>
  </si>
  <si>
    <t>023-19:00</t>
  </si>
  <si>
    <t>072-19:10</t>
  </si>
  <si>
    <t>027-20:05</t>
  </si>
  <si>
    <t>032-20:25</t>
  </si>
  <si>
    <t>073-21:00</t>
  </si>
  <si>
    <t>074-21:25</t>
  </si>
  <si>
    <t>20:14g</t>
  </si>
  <si>
    <t>025-19:40</t>
  </si>
  <si>
    <t>026-20:05</t>
  </si>
  <si>
    <t>029-21:05</t>
  </si>
  <si>
    <t>028-21:20</t>
  </si>
  <si>
    <t>075-22:15</t>
  </si>
  <si>
    <t>21:25g</t>
  </si>
  <si>
    <t>030-22:00</t>
  </si>
  <si>
    <t>031-22:20</t>
  </si>
  <si>
    <t>071-23:10</t>
  </si>
  <si>
    <t>Bus 18B</t>
  </si>
  <si>
    <t>00:55g</t>
  </si>
  <si>
    <t>01:45g</t>
  </si>
  <si>
    <t>072-23:50g</t>
  </si>
  <si>
    <t>074-01:30</t>
  </si>
  <si>
    <t>00:29g</t>
  </si>
  <si>
    <t>00:49g</t>
  </si>
  <si>
    <t>01:09g</t>
  </si>
  <si>
    <t>01:29g</t>
  </si>
  <si>
    <t>075-02:30</t>
  </si>
  <si>
    <t>073-03:25</t>
  </si>
  <si>
    <t>05:52g</t>
  </si>
  <si>
    <t>06:35g</t>
  </si>
  <si>
    <t>13 &amp; 14 swapped due to change in starting time N.B for running boards 5, 13, 14</t>
  </si>
  <si>
    <t>13</t>
  </si>
  <si>
    <t>dBRK Church</t>
  </si>
  <si>
    <t>277:00</t>
  </si>
  <si>
    <t>RUNNING BOARD</t>
  </si>
  <si>
    <t>BUS ATHA CLIATH   -   DUBLIN BUS</t>
  </si>
  <si>
    <t>Donnybrook Zone 4</t>
  </si>
  <si>
    <t>ROUTE E1/X1</t>
  </si>
  <si>
    <t>Donnybrook 2 (002)</t>
  </si>
  <si>
    <t>Monday - Friday</t>
  </si>
  <si>
    <t>BUS 1</t>
  </si>
  <si>
    <t>Route</t>
  </si>
  <si>
    <t>Place</t>
  </si>
  <si>
    <t>Arr</t>
  </si>
  <si>
    <t>Dep</t>
  </si>
  <si>
    <t>Reports at 04:02</t>
  </si>
  <si>
    <t>Takes up at 18:30 Donnybrook Church</t>
  </si>
  <si>
    <t>SPL</t>
  </si>
  <si>
    <t>Departs Garage</t>
  </si>
  <si>
    <t>Donnybrook Church</t>
  </si>
  <si>
    <t>E1</t>
  </si>
  <si>
    <t>Ballymun Road</t>
  </si>
  <si>
    <t>Donnybrook Garage</t>
  </si>
  <si>
    <t>Takes Bus 5 at 09:18 Eglington Road</t>
  </si>
  <si>
    <t>Takes up at 08:20 Donnybrook Church</t>
  </si>
  <si>
    <t>Takes Bus 41 at 13:25 Eglington Road</t>
  </si>
  <si>
    <t>Reports at 14:15 Garage</t>
  </si>
  <si>
    <t>BUS 2</t>
  </si>
  <si>
    <t>Reports at 04:22</t>
  </si>
  <si>
    <t>Takes up at 18:28 Eglington Road</t>
  </si>
  <si>
    <t>Takes Bus 18 at 09:55 Donnybrook Church</t>
  </si>
  <si>
    <t>Takes up at 09:00 Eglington Road</t>
  </si>
  <si>
    <t>Takes up at 22:15 Eglington Road</t>
  </si>
  <si>
    <t>Takes Bus 42 (E1 Short) at 16:52 Garage</t>
  </si>
  <si>
    <t>Takes up at 13:35 Eglington Road</t>
  </si>
  <si>
    <t>BUS 3</t>
  </si>
  <si>
    <t>Takes up at 15:45 Eglington Road</t>
  </si>
  <si>
    <t>Takes Bus 27 at 19:05 Donnybrook Church</t>
  </si>
  <si>
    <t>Takes up at 18:08 Donnybrook Church</t>
  </si>
  <si>
    <t>Takes Bus 14 at 09:38 Donnybrook Church</t>
  </si>
  <si>
    <t>Takes up at 08:42 Donnybrook Church</t>
  </si>
  <si>
    <t>Takes Bus 39 at 15:51 Garage</t>
  </si>
  <si>
    <t>Takes up at 11:05 Eglington Road</t>
  </si>
  <si>
    <t>Takes up at 22:20 Donnybrook Church</t>
  </si>
  <si>
    <t>Takes up at 13:10 Donnybrook Church</t>
  </si>
  <si>
    <t>BUS 4</t>
  </si>
  <si>
    <t>Reports at 04:32</t>
  </si>
  <si>
    <t>Takes up at 19:15 Eglington Road</t>
  </si>
  <si>
    <t>Takes Bus 11 at 09:48 Eglington Road</t>
  </si>
  <si>
    <t>Takes up at 08:54 Donnybrook Church</t>
  </si>
  <si>
    <t>Takes Bus 34 at 15:27 Garage</t>
  </si>
  <si>
    <t>Reports at 12:42 Garage</t>
  </si>
  <si>
    <t>Takes up at 14:35 Eglington Road</t>
  </si>
  <si>
    <t>BUS 5</t>
  </si>
  <si>
    <t>Reports at 04:37</t>
  </si>
  <si>
    <t>Takes Bus 20 at 10:15 Eglington Road</t>
  </si>
  <si>
    <t>Takes up at 09:23 Eglington Road</t>
  </si>
  <si>
    <t xml:space="preserve">Reports at 13:12 Garage </t>
  </si>
  <si>
    <t>Takes Bus 46 at 16:23 Donnybrook Church</t>
  </si>
  <si>
    <t>Takes up at 15:15 Donnybrook Church</t>
  </si>
  <si>
    <t>BUS 6</t>
  </si>
  <si>
    <t>Reports at 04:42</t>
  </si>
  <si>
    <t>Takes up at 16:05 Eglington Road</t>
  </si>
  <si>
    <t>Takes Bus 37 at 21:55 Eglington Road</t>
  </si>
  <si>
    <t>Takes Bus 15 at 09:58 Eglington Road</t>
  </si>
  <si>
    <t>Takes up at 09:07 Donnybrook Church</t>
  </si>
  <si>
    <t>Takes Bus 5 at 15:15 Donnybrook Church</t>
  </si>
  <si>
    <t>Takes up at 11:25 Eglington Road</t>
  </si>
  <si>
    <t>Takes up at 13:25 Donnybrook Church</t>
  </si>
  <si>
    <t>Takes Bus 37 at 18:05 Eglington Road</t>
  </si>
  <si>
    <t>BUS 7</t>
  </si>
  <si>
    <t>Reports at 04:52</t>
  </si>
  <si>
    <t>Takes up at 16:08 Donnybrook Church</t>
  </si>
  <si>
    <t>Takes Bus 23 at 10:25 Eglington Road</t>
  </si>
  <si>
    <t>Takes Bus 41 at 22:05 Eglington Road</t>
  </si>
  <si>
    <t>Takes up at 09:30 Eglington Road</t>
  </si>
  <si>
    <t>Takes up at 20:40 Donnybrook Church</t>
  </si>
  <si>
    <t>Takes Bus 25 at 02:15 Eglington Road</t>
  </si>
  <si>
    <t xml:space="preserve">Takes Bus 43 (E1 Short) at 17:07 Garage </t>
  </si>
  <si>
    <t>Takes up at 13:55 Eglington Road</t>
  </si>
  <si>
    <t>Takes Bus 3 at 18:08 Donnybrook Church</t>
  </si>
  <si>
    <t>BUS 8</t>
  </si>
  <si>
    <t>Takes up at 16:20 Eglington Road</t>
  </si>
  <si>
    <t>Takes Bus 24 at 21:50 Donnybrook Church</t>
  </si>
  <si>
    <t>Takes Bus 17 at 10:05 Eglington Road</t>
  </si>
  <si>
    <t>Takes up at 09:20 Donnybrook Church</t>
  </si>
  <si>
    <t>Takes Bus 17 at 14:45 Eglington Road</t>
  </si>
  <si>
    <t>Takes up at 11:35 Eglington Road</t>
  </si>
  <si>
    <t>Takes up at 13:40 Donnybrook Church</t>
  </si>
  <si>
    <t>Takes Bus 2 at 18:28 Eglington Road</t>
  </si>
  <si>
    <t>BUS 9</t>
  </si>
  <si>
    <t>Reports at 05:02</t>
  </si>
  <si>
    <t>Takes up at 16:40 Donnybrook Church</t>
  </si>
  <si>
    <t>Takes up at 09:40 Eglington Road</t>
  </si>
  <si>
    <t>Takes up at 20:50 Donnybrook Church</t>
  </si>
  <si>
    <t>Takes Bus 23 at 15:05 Eglington Road</t>
  </si>
  <si>
    <t>Takes up at 11:50 Donnybrook Church</t>
  </si>
  <si>
    <t>Takes Bus 21 at 02:40 Donnybrook Church</t>
  </si>
  <si>
    <t>Takes Bus 24 at 15:15 Eglington Road</t>
  </si>
  <si>
    <t>Takes up at 14:15 Eglington Road</t>
  </si>
  <si>
    <t>Takes Bus 45 at 18:35 Eglington Road</t>
  </si>
  <si>
    <t>BUS 10</t>
  </si>
  <si>
    <t>Takes up at 15:50 Donnybrook Church</t>
  </si>
  <si>
    <t>Takes Bus 31 at 21:15 Eglington Road</t>
  </si>
  <si>
    <t>Takes Bus 22 at 10:10 Donnybrook Church</t>
  </si>
  <si>
    <t>Takes up at 09:23 Donnybrook Church</t>
  </si>
  <si>
    <t>Takes Bus 35 at 15:25 Donnybrook Church</t>
  </si>
  <si>
    <t>Reports at 13:42 Garage</t>
  </si>
  <si>
    <t>Takes Bus 31 at 17:17 Eglington Road</t>
  </si>
  <si>
    <t>BUS 11</t>
  </si>
  <si>
    <t>Reports at 05:12</t>
  </si>
  <si>
    <t>Reports at 18:00 Garage</t>
  </si>
  <si>
    <t>Hawkins Street</t>
  </si>
  <si>
    <t>Takes up at 09:48 Eglington Road</t>
  </si>
  <si>
    <t>Reports at 13:57 Garage</t>
  </si>
  <si>
    <t>BUS 12</t>
  </si>
  <si>
    <t>Takes up at 16:28 Eglington Road</t>
  </si>
  <si>
    <t>Takes Bus 34 at 19:45 Eglington Road</t>
  </si>
  <si>
    <t>Takes up at 18:55 Donnybrook Church</t>
  </si>
  <si>
    <t>Takes Bus 30 at 10:20 Donnybrook Church</t>
  </si>
  <si>
    <t>Takes up at 09:30 Donnybrook Church</t>
  </si>
  <si>
    <t>Takes Bus 26 at 15:25 Eglington Road</t>
  </si>
  <si>
    <t>Takes up at 11:45 Eglington Road</t>
  </si>
  <si>
    <t>Takes Bus 32 at 17:37 Eglington Road</t>
  </si>
  <si>
    <t>BUS 13</t>
  </si>
  <si>
    <t>Reports at 05:22</t>
  </si>
  <si>
    <t>Takes Bus 33 at 10:55 Eglington Road</t>
  </si>
  <si>
    <t>Takes up at 09:55 Eglington Road</t>
  </si>
  <si>
    <t>Takes Bus 30 at 17:30 Eglington Road</t>
  </si>
  <si>
    <t>Takes up at 14:25 Eglington Road</t>
  </si>
  <si>
    <t>BUS 14</t>
  </si>
  <si>
    <t>Reports at 16:57</t>
  </si>
  <si>
    <t>Takes Bus 3 at 22:20 Donnybrook Church</t>
  </si>
  <si>
    <t>Takes Bus 24 at 10:35 Eglington Road</t>
  </si>
  <si>
    <t>Takes up at 09:38 Donnybrook Church</t>
  </si>
  <si>
    <t>Takes up at 11:55 Eglington Road</t>
  </si>
  <si>
    <t>BUS 15</t>
  </si>
  <si>
    <t>Reports at 05:32</t>
  </si>
  <si>
    <t>Takes up at 09:58 Eglington Road</t>
  </si>
  <si>
    <t>Reports at 14:12 Garage</t>
  </si>
  <si>
    <t>BUS 16</t>
  </si>
  <si>
    <t>Takes Bus 35 at 10:40 Donnybrook Church</t>
  </si>
  <si>
    <t>Takes up at 09:45 Donnybrook Church</t>
  </si>
  <si>
    <t>Takes Bus 40 (Route X1) at 16:17 Garage</t>
  </si>
  <si>
    <t>Takes up at 14:30 Donnybrook Church</t>
  </si>
  <si>
    <t>BUS 17</t>
  </si>
  <si>
    <t>Reports at 05:42</t>
  </si>
  <si>
    <t>Takes up at 14:45 Eglington Road</t>
  </si>
  <si>
    <t>Takes Bus 3 at 11:05 Eglington Road</t>
  </si>
  <si>
    <t>Takes up at 10:10 Eglington Road</t>
  </si>
  <si>
    <t>Takes up at 19:30 Eglington Road</t>
  </si>
  <si>
    <t>Takes up at 12:15 Donnybrook Church</t>
  </si>
  <si>
    <t>BUS 18</t>
  </si>
  <si>
    <t>Takes up at 17:04 Eglington Road</t>
  </si>
  <si>
    <t>Takes Bus 37 at 10:50 Donnybrook Church</t>
  </si>
  <si>
    <t>Takes up at 09:55 Donnybrook Church</t>
  </si>
  <si>
    <t>Takes up at 12:15 Eglington Road</t>
  </si>
  <si>
    <t>Takes Bus 11 (Route X1) at 17:57 Garage</t>
  </si>
  <si>
    <t>BUS 19</t>
  </si>
  <si>
    <t>Reports at 05:47</t>
  </si>
  <si>
    <t>Takes Bus 41 at 11:00 Donnybrook Church</t>
  </si>
  <si>
    <t>Takes up at 10:05 Donnybrook Church</t>
  </si>
  <si>
    <t>Takes up at 14:45 Donnybrook Church</t>
  </si>
  <si>
    <t>BUS 20</t>
  </si>
  <si>
    <t>Reports at 05:52</t>
  </si>
  <si>
    <t>Takes Bus 38 at 11:15 Eglington Road</t>
  </si>
  <si>
    <t>Takes up at 10:15 Eglington Road</t>
  </si>
  <si>
    <t>Takes up at 12:20 Donnybrook Church</t>
  </si>
  <si>
    <t>Takes up at 14:55 Eglington Road</t>
  </si>
  <si>
    <t>Takes Bus 33 at 20:05 Eglington Road</t>
  </si>
  <si>
    <t>BUS 21</t>
  </si>
  <si>
    <t>Reports at 05:55</t>
  </si>
  <si>
    <t>Takes up at 19:00 Donnybrook Church</t>
  </si>
  <si>
    <t>Takes Bus 39 at 23:20 Donnybrook Church</t>
  </si>
  <si>
    <t>Reports at 12:02 Garage</t>
  </si>
  <si>
    <t>Takes up at 22:30 Donnybrook Church</t>
  </si>
  <si>
    <t>Takes up at 14:10 Donnybrook Church</t>
  </si>
  <si>
    <t>Takes Bus 39 at 03:40 Donnybrook Church</t>
  </si>
  <si>
    <t>Takes up at 02:40 Donnybrook Church</t>
  </si>
  <si>
    <t>Takes Bus 24 at 19:55 Eglington Road</t>
  </si>
  <si>
    <t>BUS 22</t>
  </si>
  <si>
    <t>Reports at 05:57</t>
  </si>
  <si>
    <t>Takes up at 17:24 Eglington Road</t>
  </si>
  <si>
    <t>Takes Bus 6 at 11:25 Eglington Road</t>
  </si>
  <si>
    <t>Takes up at 10:20 Donnybrook Church</t>
  </si>
  <si>
    <t>Takes up at 21:25 Eglington Road</t>
  </si>
  <si>
    <t>Takes up at 12:35 Eglington Road</t>
  </si>
  <si>
    <t>Takes Bus 12 at 18:45 Donnybrook Church</t>
  </si>
  <si>
    <t>BUS 23</t>
  </si>
  <si>
    <t>Reports at 06:00</t>
  </si>
  <si>
    <t>Takes up at 15:05 Eglington Road</t>
  </si>
  <si>
    <t>Takes Bus 8 at 11:35 Eglington Road</t>
  </si>
  <si>
    <t>Takes up at 10:25 Eglington Road</t>
  </si>
  <si>
    <t>Takes up at 19:40 Eglington Road</t>
  </si>
  <si>
    <t>Takes up at 12:25 Donnybrook Church</t>
  </si>
  <si>
    <t>BUS 24</t>
  </si>
  <si>
    <t>Reports at 06:02</t>
  </si>
  <si>
    <t>Takes up at 15:15 Eglington Road</t>
  </si>
  <si>
    <t>Takes Bus 21 at 12:02 Garage</t>
  </si>
  <si>
    <t>Takes up at 10:35 Eglington Road</t>
  </si>
  <si>
    <t>Takes up at 20:00 Eglington Road</t>
  </si>
  <si>
    <t>Takes up at 12:50 Donnybrook Church</t>
  </si>
  <si>
    <t>Takes up at 21:50 Donnybrook Church</t>
  </si>
  <si>
    <t>BUS 25</t>
  </si>
  <si>
    <t>Takes up at 22:55 Eglington Road</t>
  </si>
  <si>
    <t>Takes Bus 19 at 10:05 Donnybrook Church</t>
  </si>
  <si>
    <t>Reports at 14:42 Garage</t>
  </si>
  <si>
    <t>Takes up at 02:15 Eglington Road</t>
  </si>
  <si>
    <t>Takes Bus 36 at 20:15 Eglington Road</t>
  </si>
  <si>
    <t>Takes up at 19:10 Eglington Road</t>
  </si>
  <si>
    <t>Takes Bus 42 at 23:57 Garage</t>
  </si>
  <si>
    <t>BUS 26</t>
  </si>
  <si>
    <t>Reports at 06:05</t>
  </si>
  <si>
    <t>Takes Bus 4 at 12:42 Garage</t>
  </si>
  <si>
    <t>Takes up at 10:45 Eglington Road</t>
  </si>
  <si>
    <t>Takes up at 15:25 Eglington Road</t>
  </si>
  <si>
    <t>BUS 27</t>
  </si>
  <si>
    <t>Takes Bus 17 at 12:10 Donnybrook Church</t>
  </si>
  <si>
    <t>Reports at 15:04 Garage</t>
  </si>
  <si>
    <t>Takes up at 19:05 Donnybrook Church</t>
  </si>
  <si>
    <t>BUS 28</t>
  </si>
  <si>
    <t>Reports at 06:07</t>
  </si>
  <si>
    <t>Takes Bus 32 at 10:30 Donnybrook Church</t>
  </si>
  <si>
    <t>Reports at 14:47 Garage</t>
  </si>
  <si>
    <t>Takes Bus 39 at 19:50 Donnybrook Church</t>
  </si>
  <si>
    <t>BUS 29</t>
  </si>
  <si>
    <t>Reports at 06:12</t>
  </si>
  <si>
    <t>Takes Bus 26 at 10:45 Eglington Road</t>
  </si>
  <si>
    <t>Reports at 14:57 Garage</t>
  </si>
  <si>
    <t>BUS 30</t>
  </si>
  <si>
    <t>Takes Bus 20 at 12:20 Donnybrook Church</t>
  </si>
  <si>
    <t>Takes up at 10:30 Donnybrook Church</t>
  </si>
  <si>
    <t>Takes up at 12:45 Eglington Road</t>
  </si>
  <si>
    <t>Takes Bus 1 at 18:30 Donnybrook Church</t>
  </si>
  <si>
    <t>Takes up at 17:30 Eglington Road</t>
  </si>
  <si>
    <t>BUS 31</t>
  </si>
  <si>
    <t>Reports at 06:15</t>
  </si>
  <si>
    <t>Takes up at 21:15 Eglington Road</t>
  </si>
  <si>
    <t>Takes Bus 23 at 12:25 Donnybrook Church</t>
  </si>
  <si>
    <t>Reports at 15:19 Garage</t>
  </si>
  <si>
    <t>Takes Bus 23 at 19:35 Eglington Road</t>
  </si>
  <si>
    <t>Takes up at 17:17 Eglington Road</t>
  </si>
  <si>
    <t>BUS 32</t>
  </si>
  <si>
    <t>Reports at 06:20</t>
  </si>
  <si>
    <t>Takes up at 17:37 Eglington Road</t>
  </si>
  <si>
    <t>Takes Bus 24 at 12:40 Donnybrook Church</t>
  </si>
  <si>
    <t>Takes up at 10:40 Donnybrook Church</t>
  </si>
  <si>
    <t>Takes up at 21:30 Eglington Road</t>
  </si>
  <si>
    <t>Takes up at 15:13 Donnybrook Church</t>
  </si>
  <si>
    <t>Takes Bus 4 at 19:15 Eglington Road</t>
  </si>
  <si>
    <t>BUS 33</t>
  </si>
  <si>
    <t>Reports at 06:22</t>
  </si>
  <si>
    <t>Takes up at 15:35 Eglington Road</t>
  </si>
  <si>
    <t>Takes Bus 35 at 13:05 Eglington Road</t>
  </si>
  <si>
    <t>Takes Bus 2 at 22:15 Eglington Road</t>
  </si>
  <si>
    <t>Takes up at 10:55 Eglington Road</t>
  </si>
  <si>
    <t>Takes up at 20:10 Eglington Road</t>
  </si>
  <si>
    <t>Takes up at 13:05 Donnybrook Church</t>
  </si>
  <si>
    <t>Takes Bus 9 at 16:30 Donnybrook Church</t>
  </si>
  <si>
    <t>BUS 34</t>
  </si>
  <si>
    <t>Takes Bus 45 at 11:20 Donnybrook Church</t>
  </si>
  <si>
    <t>Reports at 15:27 Garage</t>
  </si>
  <si>
    <t>Takes up at 19:50 Eglington Road</t>
  </si>
  <si>
    <t>BUS 35</t>
  </si>
  <si>
    <t>Reports at 06:27</t>
  </si>
  <si>
    <t>Takes up at 15:25 Donnybrook Church</t>
  </si>
  <si>
    <t>Takes Bus 3 at 13:10 Donnybrook Church</t>
  </si>
  <si>
    <t>Takes up at 10:50 Donnybrook Church</t>
  </si>
  <si>
    <t>Takes up at 13:05 Eglington Road</t>
  </si>
  <si>
    <t>BUS 36</t>
  </si>
  <si>
    <t>Reports at 06:32</t>
  </si>
  <si>
    <t>Takes Bus 37 at 13:15 Eglington Road</t>
  </si>
  <si>
    <t>Reports at 15:47 Garage</t>
  </si>
  <si>
    <t>Takes Bus 22 at 21:25 Eglington Road</t>
  </si>
  <si>
    <t>Takes up at 20:20 Eglington Road</t>
  </si>
  <si>
    <t>BUS 37</t>
  </si>
  <si>
    <t>Reports at 06:35</t>
  </si>
  <si>
    <t>Takes up at 18:05 Eglington Road</t>
  </si>
  <si>
    <t>Takes Bus 11 at 13:57 Garage</t>
  </si>
  <si>
    <t>Takes up at 11:00 Donnybrook Church</t>
  </si>
  <si>
    <t>Takes up at 21:55 Eglington Road</t>
  </si>
  <si>
    <t>Takes up at 13:15 Eglington Road</t>
  </si>
  <si>
    <t>BUS 38</t>
  </si>
  <si>
    <t>Reports at 06:42</t>
  </si>
  <si>
    <t>Takes up at 15:58 Eglington Road</t>
  </si>
  <si>
    <t>Takes Bus 32 at 21:30 Eglington Road</t>
  </si>
  <si>
    <t>Takes Bus 15 at 14:12 Garage</t>
  </si>
  <si>
    <t>Takes up at 11:15 Eglington Road</t>
  </si>
  <si>
    <t>Takes up at 13:20 Donnybrook Church</t>
  </si>
  <si>
    <t>Takes Bus 18 at 17:04 Eglington Road</t>
  </si>
  <si>
    <t>BUS 39</t>
  </si>
  <si>
    <t>Takes up at 23:20 Donnybrook Church</t>
  </si>
  <si>
    <t>Takes Bus 2 at 13:35 Eglington Road</t>
  </si>
  <si>
    <t>Reports at 15:51 Garage</t>
  </si>
  <si>
    <t>Takes up at 03:40 Donnybrook Church</t>
  </si>
  <si>
    <t>Takes up at 19:50 Donnybrook Church</t>
  </si>
  <si>
    <t>BUS 40</t>
  </si>
  <si>
    <t>Takes Bus 1 at 14:20 Garage</t>
  </si>
  <si>
    <t>Reports at 16:17 Garage</t>
  </si>
  <si>
    <t>Final</t>
  </si>
  <si>
    <t>BUS 41</t>
  </si>
  <si>
    <t>Reports at 06:50</t>
  </si>
  <si>
    <t>Takes up at 18:13 Eglington Road</t>
  </si>
  <si>
    <t>Takes Bus 13 at 14:25 Eglington Road</t>
  </si>
  <si>
    <t>Takes Bus 25 at 22:55 Eglington Road</t>
  </si>
  <si>
    <t>Takes up at 11:10 Donnybrook Church</t>
  </si>
  <si>
    <t>Takes up at 22:05 Eglington Road</t>
  </si>
  <si>
    <t>Takes up at 13:25 Eglington Road</t>
  </si>
  <si>
    <t>BUS 42</t>
  </si>
  <si>
    <t>Reports at 06:56</t>
  </si>
  <si>
    <t>Takes up at 03:15 Eglington Road</t>
  </si>
  <si>
    <t>Takes Bus 16 at 14:20 Donnybrook Church</t>
  </si>
  <si>
    <t>Reports at 16:52 Garage</t>
  </si>
  <si>
    <t>Parnell Square East</t>
  </si>
  <si>
    <t>Reports at 23:57 Garage</t>
  </si>
  <si>
    <t>BUS 43</t>
  </si>
  <si>
    <t>Reports at 07:10</t>
  </si>
  <si>
    <t>Takes Bus 29 at 14:57 Garage</t>
  </si>
  <si>
    <t>Reports at 17:07 Garage</t>
  </si>
  <si>
    <t>BUS 44</t>
  </si>
  <si>
    <t>Reports at 07:16</t>
  </si>
  <si>
    <t>Takes Bus 27 at 15:09 Garage</t>
  </si>
  <si>
    <t>Reports at 17:17 Garage</t>
  </si>
  <si>
    <t>BUS 45</t>
  </si>
  <si>
    <t>Reports at 07:17</t>
  </si>
  <si>
    <t>Takes up at 18:35 Eglington Road</t>
  </si>
  <si>
    <t>Takes Bus 19 at 14:40 Donnybrook Church</t>
  </si>
  <si>
    <t>Takes up at 11:25 Donnybrook Church</t>
  </si>
  <si>
    <t>Takes up at 22:25 Eglington Road</t>
  </si>
  <si>
    <t>Takes Bus 42 at 03:15 Eglington Road</t>
  </si>
  <si>
    <t>Takes up at 16:05 Donnybrook Church</t>
  </si>
  <si>
    <t>Takes Bus 17 at 19:25 Eglington Road</t>
  </si>
  <si>
    <t>BUS 46</t>
  </si>
  <si>
    <t>Reports at 07:40</t>
  </si>
  <si>
    <t>Takes Bus 4 at 14:35 Eglington Road</t>
  </si>
  <si>
    <t>Takes up at 11:40 Donnybrook Church</t>
  </si>
  <si>
    <t>Takes Bus 44 at 17:17 Garage</t>
  </si>
  <si>
    <t>Takes up at 16:23 Donnybrook Church</t>
  </si>
  <si>
    <t>ROUTE E1</t>
  </si>
  <si>
    <t>Reports at 04:47</t>
  </si>
  <si>
    <t>Reports at 17:57 Garage</t>
  </si>
  <si>
    <t>Takes Bus 24 at 01:35 Donnybrook Church</t>
  </si>
  <si>
    <t>Takes Bus 30 at 15:12 Garage</t>
  </si>
  <si>
    <t>Takes up at 14:00 Eglington Road</t>
  </si>
  <si>
    <t>Reports at 04:57</t>
  </si>
  <si>
    <t>Takes Bus 26 at 10:02 Garage</t>
  </si>
  <si>
    <t>Takes up at 08:35 Eglington Road</t>
  </si>
  <si>
    <t>Takes Bus 10 at 11:20 Donnybrook Church</t>
  </si>
  <si>
    <t>Takes up at 12:50 Eglington Road</t>
  </si>
  <si>
    <t>Takes up at 16:50 Donnybroook Church</t>
  </si>
  <si>
    <t>Takes Bus 11 at 21:50 Donnybrook Church</t>
  </si>
  <si>
    <t>Takes Bus 22 at 09:02 Garage</t>
  </si>
  <si>
    <t>Takes up at 08:05 Donnybrook Church</t>
  </si>
  <si>
    <t>Takes Bus 23 at 13:10 Donnybrook Church</t>
  </si>
  <si>
    <t>Takes up at 12:20 Donnybroook Church</t>
  </si>
  <si>
    <t>Takes Bus 4 at 17:40 Eglington Road</t>
  </si>
  <si>
    <t>Reports at 05:07</t>
  </si>
  <si>
    <t>Takes up at 17:40 Eglington Road</t>
  </si>
  <si>
    <t>Takes Bus 14 at 09:55 Donnybrook Church</t>
  </si>
  <si>
    <t>Takes up at 08:55 Eglington Road</t>
  </si>
  <si>
    <t>Takes Bus 28 at 16:20 Eglington Road</t>
  </si>
  <si>
    <t>Takes up at 13:10 Eglington Road</t>
  </si>
  <si>
    <t>Reports at 05:17</t>
  </si>
  <si>
    <t>Takes up at 15:00 Eglington Road</t>
  </si>
  <si>
    <t>Takes Bus 12 at 09:20 Donnybrook Church</t>
  </si>
  <si>
    <t>Takes Bus 15 at 20:45 Eglington Road</t>
  </si>
  <si>
    <t>Takes Bus 24 at 13:25 Donnybrook Church</t>
  </si>
  <si>
    <t>Takes up at 12:30 Donnybroook Church</t>
  </si>
  <si>
    <t>Takes up at 15:40 Donnybroook Church</t>
  </si>
  <si>
    <t>Takes Bus 30 at 21:05 Donnybrook Church</t>
  </si>
  <si>
    <t>Takes up at 19:55 Eglington Road</t>
  </si>
  <si>
    <t>Takes up at 11:05 Donnybroook Church</t>
  </si>
  <si>
    <t>Takes up at 15:10 Eglington Road</t>
  </si>
  <si>
    <t>Takes Bus 23 at 19:45 Eglington Road</t>
  </si>
  <si>
    <t>Takes Bus 23 at 09:22 Garage</t>
  </si>
  <si>
    <t>Takes up at 08:30 Donnybrook Church</t>
  </si>
  <si>
    <t>Takes Bus 12 at 11:40 Eglington Road</t>
  </si>
  <si>
    <t>Takes up at 10:40 Eglington Road</t>
  </si>
  <si>
    <t>Reports at 05:37</t>
  </si>
  <si>
    <t>Takes Bus 5 at 19:10 Eglington Road</t>
  </si>
  <si>
    <t>Takes up at 18:10 Eglington Road</t>
  </si>
  <si>
    <t>Takes Bus 2 at 10:20 Donnybrook Church</t>
  </si>
  <si>
    <t>Takes up at 09:20 Eglington Road</t>
  </si>
  <si>
    <t>Takes Bus 30 at 23:00 Eglington Road</t>
  </si>
  <si>
    <t>Takes up at 22:00 Eglington Road</t>
  </si>
  <si>
    <t>Takes Bus 9 at 15:30 Eglington Road</t>
  </si>
  <si>
    <t>Takes up at 13:40 Eglington Road</t>
  </si>
  <si>
    <t>Takes up at 15:30 Eglington Road</t>
  </si>
  <si>
    <t>Takes Bus 24 at 09:42 Garage</t>
  </si>
  <si>
    <t>Takes up at 08:45 Donnybrook Church</t>
  </si>
  <si>
    <t>Takes Bus 1 at 14:00 Eglington Road</t>
  </si>
  <si>
    <t>Takes up at 13:00 Donnybroook Church</t>
  </si>
  <si>
    <t>Takes up at 16:00 Donnybroook Church</t>
  </si>
  <si>
    <t>Takes up at 11:25 Donnybroook Church</t>
  </si>
  <si>
    <t>Takes up at 17:50 Donnybroook Church</t>
  </si>
  <si>
    <t>Takes up at 21:50 Donnybroook Church</t>
  </si>
  <si>
    <t>Takes Bus 5 at 12:30 Donnybrook Church</t>
  </si>
  <si>
    <t>Takes up at 11:20 Eglington Road</t>
  </si>
  <si>
    <t>Takes up at 15:50 Eglington Road</t>
  </si>
  <si>
    <t>Takes Bus 27 at 19:00 Donnybrook Church</t>
  </si>
  <si>
    <t>Takes up at 16:10 Eglington Road</t>
  </si>
  <si>
    <t>Takes Bus 7 at 10:40 Eglington Road</t>
  </si>
  <si>
    <t>Takes Bus 22 at 21:20 Donnybrook Church</t>
  </si>
  <si>
    <t>Takes up at 11:40 Eglington Road</t>
  </si>
  <si>
    <t>Takes Bus 19 at 01:15 Eglington Road</t>
  </si>
  <si>
    <t>Takes Bus 6 at 11:00 Donnybrook Church</t>
  </si>
  <si>
    <t>Takes up at 09:50 Donnybrook Church</t>
  </si>
  <si>
    <t>Takes Bus 14 at 17:00 Eglington Road</t>
  </si>
  <si>
    <t>Takes up at 14:20 Donnybroook Church</t>
  </si>
  <si>
    <t>Reports at 06:37</t>
  </si>
  <si>
    <t>Takes up at 17:00 Eglington Road</t>
  </si>
  <si>
    <t>Takes up at 18:50 Donnybrook Church</t>
  </si>
  <si>
    <t>Takes Bus 11 at 11:20 Eglington Road</t>
  </si>
  <si>
    <t>Takes up at 10:00 Donnybrook Church</t>
  </si>
  <si>
    <t>Takes up at 12:20 Eglington Road</t>
  </si>
  <si>
    <t>Takes Bus 14 at 18:45 Donnybrook Church</t>
  </si>
  <si>
    <t>Reports at 07:52</t>
  </si>
  <si>
    <t>Takes up at 20:45 Eglington Road</t>
  </si>
  <si>
    <t>Takes up at 22:20 Donnybroook Church</t>
  </si>
  <si>
    <t>Takes Bus 9 at 13:00 Donnybrook Church</t>
  </si>
  <si>
    <t>Takes up at 12:00 Eglington Road</t>
  </si>
  <si>
    <t>Takes up at 02:35 Donnybroook Church</t>
  </si>
  <si>
    <t>Takes Bus 1 at 17:57 Garage</t>
  </si>
  <si>
    <t>Takes up at 16:40 Eglington Road Church</t>
  </si>
  <si>
    <t>Takes Bus 29 at 22:15 Eglington Road</t>
  </si>
  <si>
    <t>Reports at 08:02</t>
  </si>
  <si>
    <t>Takes Bus 2 at 12:50 Eglington Road</t>
  </si>
  <si>
    <t>Takes up at 11:55 Donnybroook Church</t>
  </si>
  <si>
    <t>Takes Bus 21 at 17:50 Eglington Road</t>
  </si>
  <si>
    <t>Takes up at 16:25 Donnybroook Church</t>
  </si>
  <si>
    <t>Takes Bus 8 at 22:00 Eglington Road</t>
  </si>
  <si>
    <t>Reports at 08:12</t>
  </si>
  <si>
    <t>Takes up at 18:50 Eglington Road</t>
  </si>
  <si>
    <t>Takes Bus 4 at 13:10 Eglington Road</t>
  </si>
  <si>
    <t>Takes up at 12:05 Donnybrook Church</t>
  </si>
  <si>
    <t>Takes up at 22:30 Eglington Road</t>
  </si>
  <si>
    <t>Takes Bus 10 at 16:00 Donnybrook Church</t>
  </si>
  <si>
    <t>Takes up at 14:30 Eglington Road</t>
  </si>
  <si>
    <t>Takes Bus 30 at 03:15 Eglington Road</t>
  </si>
  <si>
    <t>Reports at 08:22</t>
  </si>
  <si>
    <t>Takes Bus 8 at 13:40 Eglington Road</t>
  </si>
  <si>
    <t>Takes up at 12:40 Eglington Road</t>
  </si>
  <si>
    <t>Takes Bus 17 at 18:50 Eglington Road</t>
  </si>
  <si>
    <t>Takes up at 17:15 Eglington Road</t>
  </si>
  <si>
    <t>Reports at 08:32</t>
  </si>
  <si>
    <t>Takes up at 01:15 Eglington Road</t>
  </si>
  <si>
    <t>Takes Bus 21 at 13:20 Eglington Road</t>
  </si>
  <si>
    <t>Takes up at 12:25 Donnybroook Church</t>
  </si>
  <si>
    <t>Takes Bus 11 at 17:50 Donnybrook Church</t>
  </si>
  <si>
    <t>Reports at 21:37 Garage</t>
  </si>
  <si>
    <t>Takes Bus 17 at 02:15 Eglington Road</t>
  </si>
  <si>
    <t>Reports at 08:42</t>
  </si>
  <si>
    <t>Takes Bus 13 at 14:20 Donnybrook Church</t>
  </si>
  <si>
    <t>Takes up at 13:00 Eglington Road</t>
  </si>
  <si>
    <t>Takes Bus 29 at 18:30 Eglington Road</t>
  </si>
  <si>
    <t>Reports at 09:02</t>
  </si>
  <si>
    <t>Takes Bus 29 at 16:15 Donnybrook Church</t>
  </si>
  <si>
    <t>Takes up at 13:20 Eglington Road</t>
  </si>
  <si>
    <t>Takes up at 17:50 Eglington Road</t>
  </si>
  <si>
    <t>Takes up at 21:20 Donnybroook Church</t>
  </si>
  <si>
    <t>Takes up at 12:55 Donnybrook Church</t>
  </si>
  <si>
    <t>Takes Bus 28 at 18:20 Donnybrook Church</t>
  </si>
  <si>
    <t>Takes up at 17:25 Donnybroook Church</t>
  </si>
  <si>
    <t>Reports at 09:22</t>
  </si>
  <si>
    <t>Takes up at 19:45 Eglington Road</t>
  </si>
  <si>
    <t>Takes up at 15:40 Eglington Road</t>
  </si>
  <si>
    <t>Takes Bus 17 at 20:40 Donnybrook Church</t>
  </si>
  <si>
    <t>Reports at 09:42</t>
  </si>
  <si>
    <t>Reports at 22:27 Garage</t>
  </si>
  <si>
    <t>22;30</t>
  </si>
  <si>
    <t>Takes Bus 15 at 02:35 Donnybrook Church</t>
  </si>
  <si>
    <t>Takes up at 13:25 Donnybroook Church</t>
  </si>
  <si>
    <t>Takes up at 01:35 Donnybrook Church</t>
  </si>
  <si>
    <t>Takes up at 16:00 Eglington Road</t>
  </si>
  <si>
    <t>Reports at 09:52</t>
  </si>
  <si>
    <t>Reports at 09:57</t>
  </si>
  <si>
    <t>Takes up at 11:50 Eglington Road</t>
  </si>
  <si>
    <t>Takes Bus 20 at 17:30 Eglington Road</t>
  </si>
  <si>
    <t>Takes up at 16:30 Eglington Road</t>
  </si>
  <si>
    <t>Takes Bus 4 at 21:15 Eglington Road</t>
  </si>
  <si>
    <t>Reports at 10:37</t>
  </si>
  <si>
    <t>Takes Bus 24 at 16:00 Eglington Road</t>
  </si>
  <si>
    <t>Takes Bus 6 at 19:55 Donnybrook Church</t>
  </si>
  <si>
    <t>Takes up at 19:00 Donnybroook Church</t>
  </si>
  <si>
    <t>Reports at 12:02</t>
  </si>
  <si>
    <t>Takes Bus 18 at 17:15 Eglington Road</t>
  </si>
  <si>
    <t>Takes up at 18:20 Donnybroook Church</t>
  </si>
  <si>
    <t>Reports at 12:22</t>
  </si>
  <si>
    <t>Takes Bus 22 at 17:20 Donnybrook Church</t>
  </si>
  <si>
    <t>Takes up at 16:15 Donnybroook Church</t>
  </si>
  <si>
    <t>Takes up at 18:30 Eglington Road</t>
  </si>
  <si>
    <t>Reports at 15:12</t>
  </si>
  <si>
    <t>Takes up at 23:00 Eglington Road</t>
  </si>
  <si>
    <t>Takes up at 19:20 Eglington Road</t>
  </si>
  <si>
    <t>Takes Bus 15 at 22:20 Donnybrook Church</t>
  </si>
  <si>
    <t>Takes up at 21:05 Donnybrook Church</t>
  </si>
  <si>
    <t>Takes up at 15:55 Donnybrook Church</t>
  </si>
  <si>
    <t>Takes Bus 3 at 20:55 Donnybrook Church</t>
  </si>
  <si>
    <t>Takes up at 20:05 Donnybrook Church</t>
  </si>
  <si>
    <t>Takes up at 10:00 Eglington Road</t>
  </si>
  <si>
    <t>Takes up at 14:05 Eglington Road</t>
  </si>
  <si>
    <t>Takes up at 14:37 Donnybrook Church</t>
  </si>
  <si>
    <t>Takes Bus 14 at 19:35 Donnybrook Church</t>
  </si>
  <si>
    <t>Takes up at 18:40 Donnybrook Church</t>
  </si>
  <si>
    <t>Takes up at 10:25 Donnybrook Church</t>
  </si>
  <si>
    <t>Takes Bus 14 at 15:40 Donnybrook Church</t>
  </si>
  <si>
    <t>Takes up at 17:20 Donnybrook Church</t>
  </si>
  <si>
    <t>Takes Bus 7 at 14:35 Eglington Road</t>
  </si>
  <si>
    <t>Takes Bus 2 at 18:40 Donnybrook Church</t>
  </si>
  <si>
    <t>Takes up at 15:40 Donnybrook Church</t>
  </si>
  <si>
    <t>Takes up at 19:25 Donnybrook Church</t>
  </si>
  <si>
    <t>Takes up at 11:30 Donnybrook Church</t>
  </si>
  <si>
    <t>Takes Bus 16 at 01:25 Donnybrook Church</t>
  </si>
  <si>
    <t>Takes up at 17:35 Donnybrook Church</t>
  </si>
  <si>
    <t>Takes Bus 7 at 10:20 Eglington Road</t>
  </si>
  <si>
    <t>Takes up at 21:20 Donnybrook Church</t>
  </si>
  <si>
    <t>Takes Bus 9 at 18:45 Eglington Road</t>
  </si>
  <si>
    <t>Takes Bus 10 at 12:50 Eglington Road</t>
  </si>
  <si>
    <t>Takes Bus 4 at 11:25 Donnybrook Church</t>
  </si>
  <si>
    <t>Takes up at 10:20 Eglington Road</t>
  </si>
  <si>
    <t>Takes Bus 13 at 22:10 Eglington Road</t>
  </si>
  <si>
    <t>Takes up at 20:25 Eglington Road</t>
  </si>
  <si>
    <t>Takes up at 12:05 Eglington Road</t>
  </si>
  <si>
    <t>Takes Bus 5 at 17:25 Donnybrook Church</t>
  </si>
  <si>
    <t>Reports at 06:52</t>
  </si>
  <si>
    <t>Takes up at 19:00 Eglington Road</t>
  </si>
  <si>
    <t>Takes Bus 6 at 11:40 Eglington Road</t>
  </si>
  <si>
    <t>Takes Bus 6 at 15:50 Eglington Road</t>
  </si>
  <si>
    <t>Takes Bus 15 at 19:55 Eglington Road</t>
  </si>
  <si>
    <t>Reports at 07:22</t>
  </si>
  <si>
    <t>Takes Bus 15 at 23:10 Eglington Road</t>
  </si>
  <si>
    <t>Takes up at 14:55 Donnybrook Church</t>
  </si>
  <si>
    <t>Takes Bus 1 at 19:55 Donnybrook Church</t>
  </si>
  <si>
    <t>Reports at 07:42</t>
  </si>
  <si>
    <t>Reports at 08:52</t>
  </si>
  <si>
    <t>Takes up at 21:00 Eglington Road</t>
  </si>
  <si>
    <t>Takes Bus 1 at 14:05 Eglington Road</t>
  </si>
  <si>
    <t>Takes Bus 15 at 03:25 Donnybrook Church</t>
  </si>
  <si>
    <t>Takes up at 17:20 Eglington Road</t>
  </si>
  <si>
    <t>Reports at 09:07</t>
  </si>
  <si>
    <t>Takes Bus 14 at 13:50 Eglington Road</t>
  </si>
  <si>
    <t>Takes Bus 18 at 23:47 Garage</t>
  </si>
  <si>
    <t>Takes up at 22:20 Eglington Road</t>
  </si>
  <si>
    <t>Takes Bus 16 at 18:25 Donnybrook Church</t>
  </si>
  <si>
    <t>Takes up at 17:00 Donnybrook Church</t>
  </si>
  <si>
    <t>Takes Bus 8 at 20:15 Eglington Road</t>
  </si>
  <si>
    <t>Reports at 09:32</t>
  </si>
  <si>
    <t>Takes up at 19:40 Donnybrook Church</t>
  </si>
  <si>
    <t>Takes up at 13:50 Eglington Road</t>
  </si>
  <si>
    <t>Reports at 10:02</t>
  </si>
  <si>
    <t>Takes up at 20:05 Eglington Road</t>
  </si>
  <si>
    <t>Takes Bus 12 at 13:05 Eglington Road</t>
  </si>
  <si>
    <t>Takes up at 23:10 Eglington Road</t>
  </si>
  <si>
    <t>Takes Bus 3 at 17:10 Donnybrook Church</t>
  </si>
  <si>
    <t>Takes up at 16:15 Eglington Road</t>
  </si>
  <si>
    <t>Takes up at 03:25 Donnybrook Church</t>
  </si>
  <si>
    <t>Reports at 10:32</t>
  </si>
  <si>
    <t>Takes up at 22:15 Donnybrook Church</t>
  </si>
  <si>
    <t>Takes Bus 4 at 15:25 Donnybrook Church</t>
  </si>
  <si>
    <t>Takes Bus 18 at 02:25 Donnybrook Church</t>
  </si>
  <si>
    <t>Takes up at 14:20 Donnybrook Church</t>
  </si>
  <si>
    <t>Takes up at 01:30 Donnybrook Church</t>
  </si>
  <si>
    <t>Takes Bus 4 at 19:20 Donnybrook Church</t>
  </si>
  <si>
    <t>Reports at 11:32</t>
  </si>
  <si>
    <t>Takes Bus 15 at 16:05 Eglington Road</t>
  </si>
  <si>
    <t>Takes up at 15:20 Donnybrook Church</t>
  </si>
  <si>
    <t>Takes Bus 5 at 21:15 Donnybrook Church</t>
  </si>
  <si>
    <t>Reports at 12:32</t>
  </si>
  <si>
    <t>Takes up at 02:30 Donnybrook Church</t>
  </si>
  <si>
    <t>Takes Bus 12 at 17:20 Eglington Road</t>
  </si>
  <si>
    <t>Takes up at 16:20 Donnybrook Church</t>
  </si>
  <si>
    <t>Takes Bus 9 at 21:50 Eglington Road</t>
  </si>
  <si>
    <t>Reports at 23:47 Garage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</si>
</sst>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000"/>
  </numFmts>
  <fonts count="5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24"/>
      <color rgb="FFFF0000"/>
      <name val="Calibri"/>
      <family val="2"/>
    </font>
    <font>
      <b/>
      <sz val="26"/>
      <color theme="1"/>
      <name val="Calibri"/>
      <family val="2"/>
    </font>
    <font>
      <b/>
      <sz val="26"/>
      <color rgb="FFFF0000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2"/>
      <color rgb="FF0000FF"/>
      <name val="Calibri"/>
      <family val="2"/>
    </font>
    <font>
      <b/>
      <sz val="12"/>
      <color rgb="FFC00000"/>
      <name val="Calibri"/>
      <family val="2"/>
    </font>
    <font>
      <i/>
      <sz val="12"/>
      <color theme="1"/>
      <name val="Calibri"/>
      <family val="2"/>
    </font>
    <font>
      <sz val="12"/>
      <name val="Calibri"/>
      <family val="2"/>
    </font>
    <font>
      <b/>
      <sz val="12"/>
      <color theme="5" tint="-0.499984740745262"/>
      <name val="Calibri"/>
      <family val="2"/>
    </font>
    <font>
      <b/>
      <sz val="12"/>
      <color rgb="FF0070C0"/>
      <name val="Calibri"/>
      <family val="2"/>
    </font>
    <font>
      <sz val="11"/>
      <color indexed="8"/>
      <name val="Aptos Narrow"/>
      <family val="2"/>
      <scheme val="minor"/>
    </font>
    <font>
      <b/>
      <sz val="20"/>
      <color rgb="FFFF0000"/>
      <name val="Calibri"/>
      <family val="2"/>
    </font>
    <font>
      <b/>
      <sz val="20"/>
      <color indexed="8"/>
      <name val="Calibri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2"/>
      <color indexed="8"/>
      <name val="Aptos Narrow"/>
      <family val="2"/>
      <scheme val="minor"/>
    </font>
    <font>
      <i/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6"/>
      <color rgb="FF000000"/>
      <name val="Calibri"/>
      <family val="2"/>
    </font>
    <font>
      <sz val="26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i/>
      <sz val="12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Calibri"/>
      <family val="2"/>
    </font>
    <font>
      <b/>
      <sz val="22"/>
      <color rgb="FFFF0000"/>
      <name val="Calibri"/>
      <family val="2"/>
    </font>
    <font>
      <i/>
      <sz val="12"/>
      <name val="Calibri"/>
      <family val="2"/>
    </font>
    <font>
      <sz val="12"/>
      <color rgb="FFFF0000"/>
      <name val="Calibri"/>
      <family val="2"/>
    </font>
    <font>
      <sz val="12"/>
      <color rgb="FF0000FF"/>
      <name val="Calibri"/>
      <family val="2"/>
    </font>
    <font>
      <sz val="12"/>
      <color theme="0"/>
      <name val="Calibri"/>
      <family val="2"/>
    </font>
    <font>
      <b/>
      <sz val="16"/>
      <name val="Aptos Narrow"/>
      <family val="2"/>
      <scheme val="minor"/>
    </font>
    <font>
      <b/>
      <sz val="14"/>
      <name val="Aptos Narrow"/>
      <family val="2"/>
      <scheme val="minor"/>
    </font>
    <font>
      <b/>
      <sz val="18"/>
      <name val="Aptos Narrow"/>
      <family val="2"/>
      <scheme val="minor"/>
    </font>
    <font>
      <sz val="18"/>
      <name val="Aptos Narrow"/>
      <family val="2"/>
      <scheme val="minor"/>
    </font>
    <font>
      <sz val="1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i/>
      <sz val="12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</fills>
  <borders count="1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thin">
        <color indexed="64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</borders>
  <cellStyleXfs count="7">
    <xf numFmtId="0" fontId="0" fillId="0" borderId="0"/>
    <xf numFmtId="0" fontId="3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3" fillId="0" borderId="0"/>
  </cellStyleXfs>
  <cellXfs count="795">
    <xf numFmtId="0" fontId="0" fillId="0" borderId="0" xfId="0"/>
    <xf numFmtId="0" fontId="3" fillId="0" borderId="0" xfId="1"/>
    <xf numFmtId="0" fontId="7" fillId="0" borderId="6" xfId="1" applyFont="1" applyBorder="1" applyAlignment="1">
      <alignment vertical="center"/>
    </xf>
    <xf numFmtId="0" fontId="7" fillId="4" borderId="7" xfId="1" applyFont="1" applyFill="1" applyBorder="1" applyAlignment="1">
      <alignment horizontal="center"/>
    </xf>
    <xf numFmtId="0" fontId="7" fillId="0" borderId="8" xfId="1" applyFont="1" applyBorder="1" applyAlignment="1">
      <alignment horizontal="center" vertical="center"/>
    </xf>
    <xf numFmtId="0" fontId="7" fillId="4" borderId="9" xfId="1" applyFont="1" applyFill="1" applyBorder="1" applyAlignment="1">
      <alignment horizontal="center" vertical="center"/>
    </xf>
    <xf numFmtId="0" fontId="7" fillId="4" borderId="9" xfId="1" applyFont="1" applyFill="1" applyBorder="1" applyAlignment="1">
      <alignment horizontal="center"/>
    </xf>
    <xf numFmtId="0" fontId="7" fillId="4" borderId="10" xfId="1" applyFont="1" applyFill="1" applyBorder="1" applyAlignment="1">
      <alignment horizontal="center"/>
    </xf>
    <xf numFmtId="0" fontId="7" fillId="4" borderId="11" xfId="1" applyFont="1" applyFill="1" applyBorder="1" applyAlignment="1">
      <alignment horizontal="center"/>
    </xf>
    <xf numFmtId="0" fontId="7" fillId="4" borderId="12" xfId="1" applyFont="1" applyFill="1" applyBorder="1" applyAlignment="1">
      <alignment horizontal="center"/>
    </xf>
    <xf numFmtId="0" fontId="7" fillId="5" borderId="13" xfId="1" applyFont="1" applyFill="1" applyBorder="1" applyAlignment="1">
      <alignment horizontal="center"/>
    </xf>
    <xf numFmtId="0" fontId="7" fillId="5" borderId="14" xfId="1" applyFont="1" applyFill="1" applyBorder="1" applyAlignment="1">
      <alignment horizontal="center"/>
    </xf>
    <xf numFmtId="0" fontId="7" fillId="0" borderId="15" xfId="1" applyFont="1" applyBorder="1" applyAlignment="1">
      <alignment horizontal="right" vertical="center"/>
    </xf>
    <xf numFmtId="0" fontId="7" fillId="0" borderId="17" xfId="1" applyFont="1" applyBorder="1" applyAlignment="1">
      <alignment vertical="center"/>
    </xf>
    <xf numFmtId="0" fontId="3" fillId="0" borderId="6" xfId="1" applyBorder="1"/>
    <xf numFmtId="0" fontId="7" fillId="4" borderId="1" xfId="1" applyFont="1" applyFill="1" applyBorder="1" applyAlignment="1">
      <alignment horizontal="center"/>
    </xf>
    <xf numFmtId="0" fontId="7" fillId="5" borderId="7" xfId="1" applyFont="1" applyFill="1" applyBorder="1" applyAlignment="1">
      <alignment horizontal="center"/>
    </xf>
    <xf numFmtId="0" fontId="7" fillId="4" borderId="2" xfId="1" applyFont="1" applyFill="1" applyBorder="1" applyAlignment="1">
      <alignment horizontal="center"/>
    </xf>
    <xf numFmtId="0" fontId="3" fillId="0" borderId="18" xfId="1" applyBorder="1"/>
    <xf numFmtId="0" fontId="7" fillId="4" borderId="3" xfId="1" applyFont="1" applyFill="1" applyBorder="1" applyAlignment="1">
      <alignment horizontal="center"/>
    </xf>
    <xf numFmtId="0" fontId="3" fillId="0" borderId="18" xfId="1" applyBorder="1" applyAlignment="1">
      <alignment horizontal="center" vertical="center"/>
    </xf>
    <xf numFmtId="0" fontId="3" fillId="0" borderId="18" xfId="1" applyBorder="1" applyAlignment="1">
      <alignment vertical="center"/>
    </xf>
    <xf numFmtId="0" fontId="3" fillId="0" borderId="19" xfId="1" applyBorder="1" applyAlignment="1">
      <alignment vertical="center"/>
    </xf>
    <xf numFmtId="0" fontId="7" fillId="0" borderId="20" xfId="1" applyFont="1" applyBorder="1" applyAlignment="1">
      <alignment horizontal="right" vertical="center"/>
    </xf>
    <xf numFmtId="0" fontId="7" fillId="0" borderId="21" xfId="1" applyFont="1" applyBorder="1" applyAlignment="1">
      <alignment vertical="center"/>
    </xf>
    <xf numFmtId="0" fontId="7" fillId="6" borderId="7" xfId="1" quotePrefix="1" applyFont="1" applyFill="1" applyBorder="1" applyAlignment="1">
      <alignment horizontal="center"/>
    </xf>
    <xf numFmtId="0" fontId="7" fillId="6" borderId="7" xfId="1" quotePrefix="1" applyFont="1" applyFill="1" applyBorder="1" applyAlignment="1">
      <alignment horizontal="center" vertical="center"/>
    </xf>
    <xf numFmtId="0" fontId="7" fillId="6" borderId="3" xfId="1" quotePrefix="1" applyFont="1" applyFill="1" applyBorder="1" applyAlignment="1">
      <alignment horizontal="center"/>
    </xf>
    <xf numFmtId="0" fontId="7" fillId="6" borderId="1" xfId="1" quotePrefix="1" applyFont="1" applyFill="1" applyBorder="1" applyAlignment="1">
      <alignment horizontal="center"/>
    </xf>
    <xf numFmtId="0" fontId="7" fillId="6" borderId="2" xfId="1" quotePrefix="1" applyFont="1" applyFill="1" applyBorder="1" applyAlignment="1">
      <alignment horizontal="center"/>
    </xf>
    <xf numFmtId="0" fontId="3" fillId="0" borderId="8" xfId="1" applyBorder="1" applyAlignment="1">
      <alignment horizontal="center" vertical="center"/>
    </xf>
    <xf numFmtId="0" fontId="7" fillId="6" borderId="22" xfId="1" quotePrefix="1" applyFont="1" applyFill="1" applyBorder="1" applyAlignment="1">
      <alignment horizontal="center"/>
    </xf>
    <xf numFmtId="0" fontId="7" fillId="5" borderId="7" xfId="1" quotePrefix="1" applyFont="1" applyFill="1" applyBorder="1" applyAlignment="1">
      <alignment horizontal="center"/>
    </xf>
    <xf numFmtId="0" fontId="7" fillId="0" borderId="23" xfId="1" applyFont="1" applyBorder="1" applyAlignment="1">
      <alignment horizontal="right" vertical="center"/>
    </xf>
    <xf numFmtId="0" fontId="7" fillId="0" borderId="24" xfId="1" applyFont="1" applyBorder="1" applyAlignment="1">
      <alignment vertical="center"/>
    </xf>
    <xf numFmtId="0" fontId="3" fillId="0" borderId="21" xfId="1" applyBorder="1"/>
    <xf numFmtId="0" fontId="3" fillId="0" borderId="25" xfId="1" applyBorder="1"/>
    <xf numFmtId="0" fontId="3" fillId="0" borderId="25" xfId="1" applyBorder="1" applyAlignment="1">
      <alignment horizontal="center" vertical="center"/>
    </xf>
    <xf numFmtId="0" fontId="3" fillId="0" borderId="25" xfId="1" applyBorder="1" applyAlignment="1">
      <alignment vertical="center"/>
    </xf>
    <xf numFmtId="20" fontId="7" fillId="0" borderId="26" xfId="1" applyNumberFormat="1" applyFont="1" applyBorder="1" applyAlignment="1">
      <alignment horizontal="center" vertical="center"/>
    </xf>
    <xf numFmtId="20" fontId="7" fillId="0" borderId="27" xfId="1" applyNumberFormat="1" applyFont="1" applyBorder="1" applyAlignment="1">
      <alignment horizontal="center" vertical="center"/>
    </xf>
    <xf numFmtId="20" fontId="7" fillId="0" borderId="28" xfId="2" applyNumberFormat="1" applyFont="1" applyBorder="1" applyAlignment="1">
      <alignment horizontal="center"/>
    </xf>
    <xf numFmtId="20" fontId="7" fillId="0" borderId="29" xfId="2" applyNumberFormat="1" applyFont="1" applyBorder="1" applyAlignment="1">
      <alignment horizontal="center"/>
    </xf>
    <xf numFmtId="20" fontId="7" fillId="0" borderId="30" xfId="1" applyNumberFormat="1" applyFont="1" applyBorder="1" applyAlignment="1">
      <alignment horizontal="center" vertical="center"/>
    </xf>
    <xf numFmtId="20" fontId="7" fillId="0" borderId="28" xfId="1" applyNumberFormat="1" applyFont="1" applyBorder="1" applyAlignment="1">
      <alignment horizontal="center" vertical="center"/>
    </xf>
    <xf numFmtId="0" fontId="3" fillId="0" borderId="31" xfId="1" applyBorder="1" applyAlignment="1">
      <alignment horizontal="center" vertical="center"/>
    </xf>
    <xf numFmtId="20" fontId="7" fillId="0" borderId="30" xfId="2" applyNumberFormat="1" applyFont="1" applyBorder="1" applyAlignment="1">
      <alignment horizontal="center"/>
    </xf>
    <xf numFmtId="20" fontId="7" fillId="5" borderId="29" xfId="1" applyNumberFormat="1" applyFont="1" applyFill="1" applyBorder="1" applyAlignment="1">
      <alignment horizontal="center" vertical="center"/>
    </xf>
    <xf numFmtId="20" fontId="7" fillId="0" borderId="18" xfId="1" applyNumberFormat="1" applyFont="1" applyBorder="1" applyAlignment="1">
      <alignment horizontal="center" vertical="center"/>
    </xf>
    <xf numFmtId="20" fontId="7" fillId="0" borderId="32" xfId="1" applyNumberFormat="1" applyFont="1" applyBorder="1" applyAlignment="1">
      <alignment horizontal="center" vertical="center"/>
    </xf>
    <xf numFmtId="0" fontId="7" fillId="0" borderId="24" xfId="1" applyFont="1" applyBorder="1" applyAlignment="1">
      <alignment horizontal="right" vertical="center"/>
    </xf>
    <xf numFmtId="0" fontId="3" fillId="0" borderId="33" xfId="1" applyBorder="1"/>
    <xf numFmtId="20" fontId="7" fillId="0" borderId="18" xfId="2" applyNumberFormat="1" applyFont="1" applyBorder="1" applyAlignment="1">
      <alignment horizontal="center"/>
    </xf>
    <xf numFmtId="0" fontId="3" fillId="0" borderId="8" xfId="1" applyBorder="1"/>
    <xf numFmtId="0" fontId="3" fillId="0" borderId="19" xfId="1" applyBorder="1" applyAlignment="1">
      <alignment horizontal="center" vertical="center"/>
    </xf>
    <xf numFmtId="20" fontId="7" fillId="0" borderId="34" xfId="1" applyNumberFormat="1" applyFont="1" applyBorder="1" applyAlignment="1">
      <alignment horizontal="center" vertical="center"/>
    </xf>
    <xf numFmtId="20" fontId="7" fillId="0" borderId="33" xfId="1" applyNumberFormat="1" applyFont="1" applyBorder="1" applyAlignment="1">
      <alignment horizontal="center" vertical="center"/>
    </xf>
    <xf numFmtId="20" fontId="7" fillId="0" borderId="19" xfId="1" applyNumberFormat="1" applyFont="1" applyBorder="1" applyAlignment="1">
      <alignment horizontal="center" vertical="center"/>
    </xf>
    <xf numFmtId="20" fontId="7" fillId="0" borderId="31" xfId="2" applyNumberFormat="1" applyFont="1" applyBorder="1" applyAlignment="1">
      <alignment horizontal="center"/>
    </xf>
    <xf numFmtId="20" fontId="7" fillId="0" borderId="35" xfId="2" applyNumberFormat="1" applyFont="1" applyBorder="1" applyAlignment="1">
      <alignment horizontal="center"/>
    </xf>
    <xf numFmtId="20" fontId="7" fillId="0" borderId="8" xfId="1" applyNumberFormat="1" applyFont="1" applyBorder="1" applyAlignment="1">
      <alignment horizontal="center" vertical="center"/>
    </xf>
    <xf numFmtId="20" fontId="7" fillId="0" borderId="31" xfId="1" applyNumberFormat="1" applyFont="1" applyBorder="1" applyAlignment="1">
      <alignment horizontal="center" vertical="center"/>
    </xf>
    <xf numFmtId="20" fontId="7" fillId="0" borderId="8" xfId="2" applyNumberFormat="1" applyFont="1" applyBorder="1" applyAlignment="1">
      <alignment horizontal="center"/>
    </xf>
    <xf numFmtId="0" fontId="3" fillId="5" borderId="35" xfId="1" applyFill="1" applyBorder="1" applyAlignment="1">
      <alignment horizontal="center" vertical="center"/>
    </xf>
    <xf numFmtId="20" fontId="7" fillId="0" borderId="25" xfId="1" applyNumberFormat="1" applyFont="1" applyBorder="1" applyAlignment="1">
      <alignment horizontal="center" vertical="center"/>
    </xf>
    <xf numFmtId="20" fontId="7" fillId="0" borderId="36" xfId="1" applyNumberFormat="1" applyFont="1" applyBorder="1" applyAlignment="1">
      <alignment horizontal="center" vertical="center"/>
    </xf>
    <xf numFmtId="0" fontId="3" fillId="0" borderId="37" xfId="1" applyBorder="1" applyAlignment="1">
      <alignment horizontal="right"/>
    </xf>
    <xf numFmtId="0" fontId="3" fillId="0" borderId="37" xfId="1" applyBorder="1"/>
    <xf numFmtId="20" fontId="7" fillId="0" borderId="25" xfId="2" applyNumberFormat="1" applyFont="1" applyBorder="1" applyAlignment="1">
      <alignment horizontal="center"/>
    </xf>
    <xf numFmtId="20" fontId="7" fillId="0" borderId="38" xfId="1" applyNumberFormat="1" applyFont="1" applyBorder="1" applyAlignment="1">
      <alignment horizontal="center" vertical="center"/>
    </xf>
    <xf numFmtId="0" fontId="3" fillId="0" borderId="24" xfId="1" applyBorder="1" applyAlignment="1">
      <alignment vertical="center"/>
    </xf>
    <xf numFmtId="0" fontId="7" fillId="0" borderId="33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3" fillId="0" borderId="35" xfId="1" applyBorder="1" applyAlignment="1">
      <alignment vertical="center"/>
    </xf>
    <xf numFmtId="0" fontId="3" fillId="0" borderId="8" xfId="1" applyBorder="1" applyAlignment="1">
      <alignment vertical="center"/>
    </xf>
    <xf numFmtId="0" fontId="3" fillId="0" borderId="35" xfId="1" applyBorder="1" applyAlignment="1">
      <alignment horizontal="center" vertical="center"/>
    </xf>
    <xf numFmtId="20" fontId="7" fillId="5" borderId="35" xfId="1" applyNumberFormat="1" applyFont="1" applyFill="1" applyBorder="1" applyAlignment="1">
      <alignment horizontal="center" vertical="center"/>
    </xf>
    <xf numFmtId="0" fontId="3" fillId="0" borderId="36" xfId="1" applyBorder="1" applyAlignment="1">
      <alignment vertical="center"/>
    </xf>
    <xf numFmtId="0" fontId="3" fillId="0" borderId="24" xfId="1" applyBorder="1" applyAlignment="1">
      <alignment horizontal="right" vertical="center"/>
    </xf>
    <xf numFmtId="0" fontId="3" fillId="0" borderId="38" xfId="1" applyBorder="1" applyAlignment="1">
      <alignment horizontal="center" vertical="center"/>
    </xf>
    <xf numFmtId="0" fontId="8" fillId="0" borderId="24" xfId="1" applyFont="1" applyBorder="1" applyAlignment="1">
      <alignment horizontal="left" vertical="center"/>
    </xf>
    <xf numFmtId="0" fontId="8" fillId="0" borderId="24" xfId="1" applyFont="1" applyBorder="1" applyAlignment="1">
      <alignment horizontal="right" vertical="center"/>
    </xf>
    <xf numFmtId="20" fontId="8" fillId="0" borderId="31" xfId="1" applyNumberFormat="1" applyFont="1" applyBorder="1" applyAlignment="1">
      <alignment horizontal="center" vertical="center"/>
    </xf>
    <xf numFmtId="20" fontId="8" fillId="0" borderId="19" xfId="1" applyNumberFormat="1" applyFont="1" applyBorder="1" applyAlignment="1">
      <alignment horizontal="center" vertical="center"/>
    </xf>
    <xf numFmtId="20" fontId="8" fillId="0" borderId="38" xfId="1" applyNumberFormat="1" applyFont="1" applyBorder="1" applyAlignment="1">
      <alignment horizontal="center" vertical="center"/>
    </xf>
    <xf numFmtId="20" fontId="7" fillId="7" borderId="24" xfId="1" applyNumberFormat="1" applyFont="1" applyFill="1" applyBorder="1" applyAlignment="1">
      <alignment horizontal="left" vertical="center"/>
    </xf>
    <xf numFmtId="20" fontId="7" fillId="7" borderId="24" xfId="1" applyNumberFormat="1" applyFont="1" applyFill="1" applyBorder="1" applyAlignment="1">
      <alignment horizontal="right" vertical="center"/>
    </xf>
    <xf numFmtId="20" fontId="3" fillId="0" borderId="31" xfId="1" applyNumberFormat="1" applyBorder="1" applyAlignment="1">
      <alignment horizontal="center" vertical="center"/>
    </xf>
    <xf numFmtId="20" fontId="3" fillId="0" borderId="19" xfId="1" applyNumberFormat="1" applyBorder="1" applyAlignment="1">
      <alignment horizontal="center" vertical="center"/>
    </xf>
    <xf numFmtId="20" fontId="3" fillId="0" borderId="38" xfId="1" applyNumberFormat="1" applyBorder="1" applyAlignment="1">
      <alignment horizontal="center" vertical="center"/>
    </xf>
    <xf numFmtId="0" fontId="3" fillId="0" borderId="24" xfId="1" applyBorder="1" applyAlignment="1">
      <alignment horizontal="left" vertical="center"/>
    </xf>
    <xf numFmtId="0" fontId="9" fillId="0" borderId="24" xfId="1" applyFont="1" applyBorder="1" applyAlignment="1">
      <alignment horizontal="left" vertical="center"/>
    </xf>
    <xf numFmtId="20" fontId="9" fillId="0" borderId="19" xfId="1" applyNumberFormat="1" applyFont="1" applyBorder="1" applyAlignment="1">
      <alignment horizontal="center"/>
    </xf>
    <xf numFmtId="20" fontId="10" fillId="0" borderId="35" xfId="1" applyNumberFormat="1" applyFont="1" applyBorder="1" applyAlignment="1">
      <alignment horizontal="center" vertical="center"/>
    </xf>
    <xf numFmtId="20" fontId="9" fillId="0" borderId="8" xfId="1" applyNumberFormat="1" applyFont="1" applyBorder="1" applyAlignment="1">
      <alignment horizontal="center"/>
    </xf>
    <xf numFmtId="20" fontId="9" fillId="0" borderId="31" xfId="1" applyNumberFormat="1" applyFont="1" applyBorder="1" applyAlignment="1">
      <alignment horizontal="center"/>
    </xf>
    <xf numFmtId="20" fontId="9" fillId="5" borderId="35" xfId="1" applyNumberFormat="1" applyFont="1" applyFill="1" applyBorder="1" applyAlignment="1">
      <alignment horizontal="center"/>
    </xf>
    <xf numFmtId="20" fontId="9" fillId="0" borderId="25" xfId="1" applyNumberFormat="1" applyFont="1" applyBorder="1" applyAlignment="1">
      <alignment horizontal="center"/>
    </xf>
    <xf numFmtId="20" fontId="10" fillId="0" borderId="36" xfId="1" applyNumberFormat="1" applyFont="1" applyBorder="1" applyAlignment="1">
      <alignment horizontal="center" vertical="center"/>
    </xf>
    <xf numFmtId="0" fontId="9" fillId="0" borderId="24" xfId="1" applyFont="1" applyBorder="1" applyAlignment="1">
      <alignment horizontal="right" vertical="center"/>
    </xf>
    <xf numFmtId="20" fontId="9" fillId="0" borderId="19" xfId="1" applyNumberFormat="1" applyFont="1" applyBorder="1" applyAlignment="1">
      <alignment horizontal="center" vertical="center"/>
    </xf>
    <xf numFmtId="20" fontId="9" fillId="0" borderId="38" xfId="1" applyNumberFormat="1" applyFont="1" applyBorder="1" applyAlignment="1">
      <alignment horizontal="center" vertical="center"/>
    </xf>
    <xf numFmtId="20" fontId="3" fillId="0" borderId="19" xfId="1" applyNumberFormat="1" applyBorder="1" applyAlignment="1">
      <alignment horizontal="center"/>
    </xf>
    <xf numFmtId="0" fontId="3" fillId="0" borderId="31" xfId="1" applyBorder="1"/>
    <xf numFmtId="20" fontId="7" fillId="0" borderId="35" xfId="1" applyNumberFormat="1" applyFont="1" applyBorder="1" applyAlignment="1">
      <alignment horizontal="center" vertical="center"/>
    </xf>
    <xf numFmtId="20" fontId="3" fillId="0" borderId="8" xfId="1" applyNumberFormat="1" applyBorder="1" applyAlignment="1">
      <alignment horizontal="center"/>
    </xf>
    <xf numFmtId="20" fontId="3" fillId="0" borderId="31" xfId="1" applyNumberFormat="1" applyBorder="1" applyAlignment="1">
      <alignment horizontal="center"/>
    </xf>
    <xf numFmtId="20" fontId="3" fillId="5" borderId="35" xfId="1" applyNumberFormat="1" applyFill="1" applyBorder="1" applyAlignment="1">
      <alignment horizontal="center"/>
    </xf>
    <xf numFmtId="20" fontId="3" fillId="0" borderId="25" xfId="1" applyNumberFormat="1" applyBorder="1" applyAlignment="1">
      <alignment horizontal="center"/>
    </xf>
    <xf numFmtId="20" fontId="3" fillId="5" borderId="35" xfId="3" applyNumberFormat="1" applyFont="1" applyFill="1" applyBorder="1" applyAlignment="1">
      <alignment horizontal="center"/>
    </xf>
    <xf numFmtId="20" fontId="3" fillId="0" borderId="35" xfId="1" applyNumberFormat="1" applyBorder="1" applyAlignment="1">
      <alignment horizontal="center" vertical="center"/>
    </xf>
    <xf numFmtId="20" fontId="3" fillId="0" borderId="36" xfId="1" applyNumberFormat="1" applyBorder="1" applyAlignment="1">
      <alignment horizontal="center" vertical="center"/>
    </xf>
    <xf numFmtId="20" fontId="7" fillId="0" borderId="31" xfId="1" applyNumberFormat="1" applyFont="1" applyBorder="1" applyAlignment="1">
      <alignment horizontal="center"/>
    </xf>
    <xf numFmtId="20" fontId="7" fillId="0" borderId="19" xfId="1" applyNumberFormat="1" applyFont="1" applyBorder="1" applyAlignment="1">
      <alignment horizontal="center"/>
    </xf>
    <xf numFmtId="20" fontId="3" fillId="8" borderId="24" xfId="1" applyNumberFormat="1" applyFill="1" applyBorder="1" applyAlignment="1">
      <alignment horizontal="left"/>
    </xf>
    <xf numFmtId="0" fontId="3" fillId="0" borderId="19" xfId="1" applyBorder="1"/>
    <xf numFmtId="20" fontId="11" fillId="0" borderId="8" xfId="1" applyNumberFormat="1" applyFont="1" applyBorder="1" applyAlignment="1">
      <alignment horizontal="center"/>
    </xf>
    <xf numFmtId="20" fontId="11" fillId="0" borderId="31" xfId="1" applyNumberFormat="1" applyFont="1" applyBorder="1" applyAlignment="1">
      <alignment horizontal="center"/>
    </xf>
    <xf numFmtId="20" fontId="11" fillId="5" borderId="35" xfId="1" applyNumberFormat="1" applyFont="1" applyFill="1" applyBorder="1" applyAlignment="1">
      <alignment horizontal="center"/>
    </xf>
    <xf numFmtId="20" fontId="3" fillId="8" borderId="24" xfId="1" applyNumberFormat="1" applyFill="1" applyBorder="1" applyAlignment="1">
      <alignment horizontal="right"/>
    </xf>
    <xf numFmtId="20" fontId="11" fillId="0" borderId="25" xfId="1" applyNumberFormat="1" applyFont="1" applyBorder="1" applyAlignment="1">
      <alignment horizontal="center"/>
    </xf>
    <xf numFmtId="20" fontId="3" fillId="0" borderId="19" xfId="1" applyNumberFormat="1" applyBorder="1" applyAlignment="1">
      <alignment vertical="center"/>
    </xf>
    <xf numFmtId="0" fontId="3" fillId="0" borderId="39" xfId="1" applyBorder="1" applyAlignment="1">
      <alignment vertical="center"/>
    </xf>
    <xf numFmtId="20" fontId="8" fillId="0" borderId="33" xfId="1" applyNumberFormat="1" applyFont="1" applyBorder="1" applyAlignment="1">
      <alignment horizontal="center" vertical="center"/>
    </xf>
    <xf numFmtId="20" fontId="8" fillId="0" borderId="8" xfId="1" applyNumberFormat="1" applyFont="1" applyBorder="1" applyAlignment="1">
      <alignment horizontal="center" vertical="center"/>
    </xf>
    <xf numFmtId="20" fontId="8" fillId="0" borderId="39" xfId="1" applyNumberFormat="1" applyFont="1" applyBorder="1" applyAlignment="1">
      <alignment horizontal="center" vertical="center"/>
    </xf>
    <xf numFmtId="20" fontId="11" fillId="0" borderId="19" xfId="1" applyNumberFormat="1" applyFont="1" applyBorder="1" applyAlignment="1">
      <alignment horizontal="center" vertical="center"/>
    </xf>
    <xf numFmtId="20" fontId="7" fillId="5" borderId="40" xfId="1" applyNumberFormat="1" applyFont="1" applyFill="1" applyBorder="1" applyAlignment="1">
      <alignment horizontal="center" vertical="center"/>
    </xf>
    <xf numFmtId="20" fontId="8" fillId="0" borderId="25" xfId="1" applyNumberFormat="1" applyFont="1" applyBorder="1" applyAlignment="1">
      <alignment horizontal="center" vertical="center"/>
    </xf>
    <xf numFmtId="20" fontId="11" fillId="0" borderId="25" xfId="1" applyNumberFormat="1" applyFont="1" applyBorder="1" applyAlignment="1">
      <alignment horizontal="center" vertical="center"/>
    </xf>
    <xf numFmtId="20" fontId="11" fillId="0" borderId="31" xfId="1" applyNumberFormat="1" applyFont="1" applyBorder="1" applyAlignment="1">
      <alignment horizontal="center" vertical="center"/>
    </xf>
    <xf numFmtId="20" fontId="3" fillId="0" borderId="33" xfId="1" applyNumberFormat="1" applyBorder="1" applyAlignment="1">
      <alignment horizontal="center" vertical="center"/>
    </xf>
    <xf numFmtId="20" fontId="3" fillId="0" borderId="8" xfId="1" applyNumberFormat="1" applyBorder="1" applyAlignment="1">
      <alignment horizontal="center" vertical="center"/>
    </xf>
    <xf numFmtId="20" fontId="11" fillId="0" borderId="35" xfId="1" applyNumberFormat="1" applyFont="1" applyBorder="1" applyAlignment="1">
      <alignment horizontal="center" vertical="center"/>
    </xf>
    <xf numFmtId="0" fontId="3" fillId="0" borderId="27" xfId="1" applyBorder="1" applyAlignment="1">
      <alignment horizontal="center" vertical="center"/>
    </xf>
    <xf numFmtId="0" fontId="3" fillId="0" borderId="28" xfId="1" applyBorder="1" applyAlignment="1">
      <alignment horizontal="center" vertical="center"/>
    </xf>
    <xf numFmtId="20" fontId="11" fillId="0" borderId="36" xfId="1" applyNumberFormat="1" applyFont="1" applyBorder="1" applyAlignment="1">
      <alignment horizontal="center" vertical="center"/>
    </xf>
    <xf numFmtId="0" fontId="3" fillId="0" borderId="27" xfId="1" applyBorder="1" applyAlignment="1">
      <alignment vertical="center"/>
    </xf>
    <xf numFmtId="0" fontId="7" fillId="0" borderId="19" xfId="1" applyFont="1" applyBorder="1" applyAlignment="1">
      <alignment horizontal="center"/>
    </xf>
    <xf numFmtId="20" fontId="3" fillId="0" borderId="27" xfId="1" applyNumberFormat="1" applyBorder="1" applyAlignment="1">
      <alignment horizontal="center" vertical="center"/>
    </xf>
    <xf numFmtId="0" fontId="3" fillId="0" borderId="41" xfId="1" applyBorder="1" applyAlignment="1">
      <alignment horizontal="center" vertical="center"/>
    </xf>
    <xf numFmtId="0" fontId="3" fillId="0" borderId="42" xfId="1" applyBorder="1"/>
    <xf numFmtId="0" fontId="3" fillId="0" borderId="39" xfId="1" applyBorder="1" applyAlignment="1">
      <alignment horizontal="center" vertical="center"/>
    </xf>
    <xf numFmtId="20" fontId="3" fillId="0" borderId="39" xfId="1" applyNumberFormat="1" applyBorder="1" applyAlignment="1">
      <alignment horizontal="center" vertical="center"/>
    </xf>
    <xf numFmtId="20" fontId="9" fillId="0" borderId="33" xfId="1" applyNumberFormat="1" applyFont="1" applyBorder="1" applyAlignment="1">
      <alignment horizontal="center" vertical="center"/>
    </xf>
    <xf numFmtId="20" fontId="9" fillId="0" borderId="8" xfId="1" applyNumberFormat="1" applyFont="1" applyBorder="1" applyAlignment="1">
      <alignment horizontal="center" vertical="center"/>
    </xf>
    <xf numFmtId="20" fontId="9" fillId="0" borderId="31" xfId="1" applyNumberFormat="1" applyFont="1" applyBorder="1" applyAlignment="1">
      <alignment horizontal="center" vertical="center"/>
    </xf>
    <xf numFmtId="20" fontId="7" fillId="0" borderId="40" xfId="1" applyNumberFormat="1" applyFont="1" applyBorder="1" applyAlignment="1">
      <alignment horizontal="center" vertical="center"/>
    </xf>
    <xf numFmtId="0" fontId="7" fillId="4" borderId="7" xfId="1" applyFont="1" applyFill="1" applyBorder="1" applyAlignment="1">
      <alignment horizontal="center" vertical="center"/>
    </xf>
    <xf numFmtId="20" fontId="7" fillId="0" borderId="43" xfId="1" applyNumberFormat="1" applyFont="1" applyBorder="1" applyAlignment="1">
      <alignment horizontal="center" vertical="center"/>
    </xf>
    <xf numFmtId="20" fontId="7" fillId="0" borderId="44" xfId="1" applyNumberFormat="1" applyFont="1" applyBorder="1" applyAlignment="1">
      <alignment horizontal="center" vertical="center"/>
    </xf>
    <xf numFmtId="0" fontId="9" fillId="0" borderId="21" xfId="1" applyFont="1" applyBorder="1" applyAlignment="1">
      <alignment horizontal="left" vertical="center"/>
    </xf>
    <xf numFmtId="20" fontId="9" fillId="0" borderId="23" xfId="1" applyNumberFormat="1" applyFont="1" applyBorder="1" applyAlignment="1">
      <alignment horizontal="center" vertical="center"/>
    </xf>
    <xf numFmtId="0" fontId="3" fillId="0" borderId="30" xfId="1" applyBorder="1" applyAlignment="1">
      <alignment horizontal="center" vertical="center"/>
    </xf>
    <xf numFmtId="0" fontId="3" fillId="0" borderId="31" xfId="1" applyBorder="1" applyAlignment="1">
      <alignment vertical="center"/>
    </xf>
    <xf numFmtId="20" fontId="3" fillId="0" borderId="25" xfId="1" applyNumberFormat="1" applyBorder="1" applyAlignment="1">
      <alignment horizontal="center" vertical="center"/>
    </xf>
    <xf numFmtId="0" fontId="3" fillId="0" borderId="20" xfId="1" applyBorder="1" applyAlignment="1">
      <alignment horizontal="center" vertical="center"/>
    </xf>
    <xf numFmtId="20" fontId="7" fillId="7" borderId="21" xfId="1" applyNumberFormat="1" applyFont="1" applyFill="1" applyBorder="1" applyAlignment="1">
      <alignment horizontal="left" vertical="center"/>
    </xf>
    <xf numFmtId="0" fontId="7" fillId="9" borderId="7" xfId="1" applyFont="1" applyFill="1" applyBorder="1" applyAlignment="1">
      <alignment horizontal="center"/>
    </xf>
    <xf numFmtId="20" fontId="3" fillId="0" borderId="23" xfId="1" applyNumberFormat="1" applyBorder="1" applyAlignment="1">
      <alignment horizontal="center" vertical="center"/>
    </xf>
    <xf numFmtId="0" fontId="3" fillId="0" borderId="23" xfId="1" applyBorder="1" applyAlignment="1">
      <alignment horizontal="center" vertical="center"/>
    </xf>
    <xf numFmtId="0" fontId="7" fillId="9" borderId="7" xfId="1" quotePrefix="1" applyFont="1" applyFill="1" applyBorder="1" applyAlignment="1">
      <alignment horizontal="center"/>
    </xf>
    <xf numFmtId="20" fontId="12" fillId="0" borderId="19" xfId="1" applyNumberFormat="1" applyFont="1" applyBorder="1" applyAlignment="1">
      <alignment horizontal="center" vertical="center"/>
    </xf>
    <xf numFmtId="20" fontId="7" fillId="0" borderId="39" xfId="1" applyNumberFormat="1" applyFont="1" applyBorder="1" applyAlignment="1">
      <alignment horizontal="center" vertical="center"/>
    </xf>
    <xf numFmtId="0" fontId="3" fillId="0" borderId="45" xfId="1" applyBorder="1" applyAlignment="1">
      <alignment horizontal="center" vertical="center"/>
    </xf>
    <xf numFmtId="20" fontId="7" fillId="9" borderId="29" xfId="1" applyNumberFormat="1" applyFont="1" applyFill="1" applyBorder="1" applyAlignment="1">
      <alignment horizontal="center" vertical="center"/>
    </xf>
    <xf numFmtId="0" fontId="3" fillId="9" borderId="35" xfId="1" applyFill="1" applyBorder="1" applyAlignment="1">
      <alignment horizontal="center" vertical="center"/>
    </xf>
    <xf numFmtId="20" fontId="13" fillId="10" borderId="24" xfId="1" applyNumberFormat="1" applyFont="1" applyFill="1" applyBorder="1" applyAlignment="1">
      <alignment horizontal="left"/>
    </xf>
    <xf numFmtId="20" fontId="13" fillId="5" borderId="35" xfId="1" applyNumberFormat="1" applyFont="1" applyFill="1" applyBorder="1" applyAlignment="1">
      <alignment horizontal="center" vertical="center"/>
    </xf>
    <xf numFmtId="20" fontId="13" fillId="10" borderId="24" xfId="1" applyNumberFormat="1" applyFont="1" applyFill="1" applyBorder="1" applyAlignment="1">
      <alignment horizontal="right"/>
    </xf>
    <xf numFmtId="20" fontId="13" fillId="9" borderId="35" xfId="1" applyNumberFormat="1" applyFont="1" applyFill="1" applyBorder="1" applyAlignment="1">
      <alignment horizontal="center" vertical="center"/>
    </xf>
    <xf numFmtId="20" fontId="7" fillId="11" borderId="19" xfId="1" applyNumberFormat="1" applyFont="1" applyFill="1" applyBorder="1" applyAlignment="1">
      <alignment horizontal="center" vertical="center"/>
    </xf>
    <xf numFmtId="20" fontId="3" fillId="5" borderId="35" xfId="1" applyNumberFormat="1" applyFill="1" applyBorder="1" applyAlignment="1">
      <alignment horizontal="center" vertical="center"/>
    </xf>
    <xf numFmtId="20" fontId="7" fillId="0" borderId="20" xfId="1" applyNumberFormat="1" applyFont="1" applyBorder="1" applyAlignment="1">
      <alignment horizontal="center" vertical="center"/>
    </xf>
    <xf numFmtId="20" fontId="3" fillId="9" borderId="35" xfId="1" applyNumberFormat="1" applyFill="1" applyBorder="1" applyAlignment="1">
      <alignment horizontal="center" vertical="center"/>
    </xf>
    <xf numFmtId="20" fontId="9" fillId="0" borderId="21" xfId="1" applyNumberFormat="1" applyFont="1" applyBorder="1" applyAlignment="1">
      <alignment horizontal="center" vertical="center"/>
    </xf>
    <xf numFmtId="20" fontId="3" fillId="0" borderId="48" xfId="1" applyNumberFormat="1" applyBorder="1" applyAlignment="1">
      <alignment horizontal="center" vertical="center"/>
    </xf>
    <xf numFmtId="0" fontId="7" fillId="0" borderId="39" xfId="1" applyFont="1" applyBorder="1" applyAlignment="1">
      <alignment horizontal="center" vertical="center"/>
    </xf>
    <xf numFmtId="20" fontId="11" fillId="5" borderId="35" xfId="1" applyNumberFormat="1" applyFont="1" applyFill="1" applyBorder="1" applyAlignment="1">
      <alignment horizontal="center" vertical="center"/>
    </xf>
    <xf numFmtId="20" fontId="9" fillId="0" borderId="25" xfId="1" applyNumberFormat="1" applyFont="1" applyBorder="1" applyAlignment="1">
      <alignment horizontal="center" vertical="center"/>
    </xf>
    <xf numFmtId="20" fontId="11" fillId="9" borderId="35" xfId="1" applyNumberFormat="1" applyFont="1" applyFill="1" applyBorder="1" applyAlignment="1">
      <alignment horizontal="center" vertical="center"/>
    </xf>
    <xf numFmtId="20" fontId="3" fillId="0" borderId="21" xfId="1" applyNumberFormat="1" applyBorder="1" applyAlignment="1">
      <alignment horizontal="center" vertical="center"/>
    </xf>
    <xf numFmtId="0" fontId="7" fillId="0" borderId="7" xfId="1" applyFont="1" applyBorder="1" applyAlignment="1">
      <alignment horizontal="center"/>
    </xf>
    <xf numFmtId="0" fontId="7" fillId="0" borderId="31" xfId="1" applyFont="1" applyBorder="1" applyAlignment="1">
      <alignment horizontal="center" vertical="center"/>
    </xf>
    <xf numFmtId="0" fontId="3" fillId="0" borderId="41" xfId="1" applyBorder="1" applyAlignment="1">
      <alignment vertical="center"/>
    </xf>
    <xf numFmtId="20" fontId="7" fillId="9" borderId="40" xfId="1" applyNumberFormat="1" applyFont="1" applyFill="1" applyBorder="1" applyAlignment="1">
      <alignment horizontal="center" vertical="center"/>
    </xf>
    <xf numFmtId="20" fontId="7" fillId="0" borderId="21" xfId="1" applyNumberFormat="1" applyFont="1" applyBorder="1" applyAlignment="1">
      <alignment horizontal="center" vertical="center"/>
    </xf>
    <xf numFmtId="0" fontId="7" fillId="4" borderId="14" xfId="1" applyFont="1" applyFill="1" applyBorder="1" applyAlignment="1">
      <alignment horizontal="center"/>
    </xf>
    <xf numFmtId="20" fontId="8" fillId="0" borderId="21" xfId="1" applyNumberFormat="1" applyFont="1" applyBorder="1" applyAlignment="1">
      <alignment horizontal="center" vertical="center"/>
    </xf>
    <xf numFmtId="20" fontId="7" fillId="0" borderId="29" xfId="1" applyNumberFormat="1" applyFont="1" applyBorder="1" applyAlignment="1">
      <alignment horizontal="center" vertical="center"/>
    </xf>
    <xf numFmtId="20" fontId="11" fillId="0" borderId="8" xfId="1" applyNumberFormat="1" applyFont="1" applyBorder="1" applyAlignment="1">
      <alignment horizontal="center" vertical="center"/>
    </xf>
    <xf numFmtId="20" fontId="11" fillId="0" borderId="33" xfId="1" applyNumberFormat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7" fillId="0" borderId="49" xfId="1" applyFont="1" applyBorder="1" applyAlignment="1">
      <alignment horizontal="center" vertical="center"/>
    </xf>
    <xf numFmtId="20" fontId="13" fillId="0" borderId="35" xfId="1" applyNumberFormat="1" applyFont="1" applyBorder="1" applyAlignment="1">
      <alignment horizontal="center" vertical="center"/>
    </xf>
    <xf numFmtId="20" fontId="13" fillId="0" borderId="8" xfId="1" applyNumberFormat="1" applyFont="1" applyBorder="1" applyAlignment="1">
      <alignment horizontal="center" vertical="center"/>
    </xf>
    <xf numFmtId="20" fontId="13" fillId="0" borderId="19" xfId="1" applyNumberFormat="1" applyFont="1" applyBorder="1" applyAlignment="1">
      <alignment horizontal="center" vertical="center"/>
    </xf>
    <xf numFmtId="20" fontId="14" fillId="0" borderId="35" xfId="1" applyNumberFormat="1" applyFont="1" applyBorder="1" applyAlignment="1">
      <alignment horizontal="center" vertical="center"/>
    </xf>
    <xf numFmtId="20" fontId="11" fillId="0" borderId="21" xfId="1" applyNumberFormat="1" applyFont="1" applyBorder="1" applyAlignment="1">
      <alignment horizontal="center" vertical="center"/>
    </xf>
    <xf numFmtId="0" fontId="3" fillId="0" borderId="33" xfId="1" applyBorder="1" applyAlignment="1">
      <alignment horizontal="center" vertical="center"/>
    </xf>
    <xf numFmtId="20" fontId="11" fillId="0" borderId="38" xfId="1" applyNumberFormat="1" applyFont="1" applyBorder="1" applyAlignment="1">
      <alignment horizontal="center" vertical="center"/>
    </xf>
    <xf numFmtId="46" fontId="3" fillId="0" borderId="19" xfId="1" applyNumberFormat="1" applyBorder="1" applyAlignment="1">
      <alignment horizontal="center" vertical="center"/>
    </xf>
    <xf numFmtId="20" fontId="7" fillId="0" borderId="50" xfId="1" applyNumberFormat="1" applyFont="1" applyBorder="1" applyAlignment="1">
      <alignment horizontal="left" vertical="center"/>
    </xf>
    <xf numFmtId="0" fontId="7" fillId="0" borderId="51" xfId="1" applyFont="1" applyBorder="1" applyAlignment="1">
      <alignment horizontal="center" vertical="center"/>
    </xf>
    <xf numFmtId="0" fontId="7" fillId="0" borderId="52" xfId="1" applyFont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20" fontId="7" fillId="0" borderId="53" xfId="1" applyNumberFormat="1" applyFont="1" applyBorder="1" applyAlignment="1">
      <alignment horizontal="center" vertical="center"/>
    </xf>
    <xf numFmtId="0" fontId="3" fillId="0" borderId="53" xfId="1" applyBorder="1" applyAlignment="1">
      <alignment horizontal="center" vertical="center"/>
    </xf>
    <xf numFmtId="20" fontId="3" fillId="0" borderId="53" xfId="1" applyNumberFormat="1" applyBorder="1" applyAlignment="1">
      <alignment horizontal="center" vertical="center"/>
    </xf>
    <xf numFmtId="0" fontId="3" fillId="0" borderId="53" xfId="1" applyBorder="1" applyAlignment="1">
      <alignment vertical="center"/>
    </xf>
    <xf numFmtId="20" fontId="7" fillId="0" borderId="54" xfId="1" applyNumberFormat="1" applyFont="1" applyBorder="1" applyAlignment="1">
      <alignment horizontal="center" vertical="center"/>
    </xf>
    <xf numFmtId="20" fontId="7" fillId="0" borderId="50" xfId="1" applyNumberFormat="1" applyFont="1" applyBorder="1" applyAlignment="1">
      <alignment horizontal="right" vertical="center"/>
    </xf>
    <xf numFmtId="0" fontId="3" fillId="0" borderId="51" xfId="1" applyBorder="1" applyAlignment="1">
      <alignment horizontal="center" vertical="center"/>
    </xf>
    <xf numFmtId="0" fontId="16" fillId="3" borderId="1" xfId="4" applyFont="1" applyFill="1" applyBorder="1" applyAlignment="1">
      <alignment horizontal="center" vertical="center"/>
    </xf>
    <xf numFmtId="0" fontId="17" fillId="3" borderId="2" xfId="4" applyFont="1" applyFill="1" applyBorder="1" applyAlignment="1">
      <alignment horizontal="center" vertical="center"/>
    </xf>
    <xf numFmtId="164" fontId="18" fillId="0" borderId="0" xfId="4" applyNumberFormat="1" applyFont="1"/>
    <xf numFmtId="164" fontId="15" fillId="0" borderId="0" xfId="4" applyNumberFormat="1"/>
    <xf numFmtId="0" fontId="9" fillId="0" borderId="55" xfId="1" applyFont="1" applyBorder="1" applyAlignment="1">
      <alignment horizontal="center" vertical="center"/>
    </xf>
    <xf numFmtId="0" fontId="8" fillId="0" borderId="55" xfId="1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3" fillId="0" borderId="0" xfId="0" applyFont="1"/>
    <xf numFmtId="0" fontId="19" fillId="2" borderId="14" xfId="4" applyFont="1" applyFill="1" applyBorder="1" applyAlignment="1">
      <alignment horizontal="center" vertical="center"/>
    </xf>
    <xf numFmtId="164" fontId="20" fillId="0" borderId="0" xfId="4" applyNumberFormat="1" applyFont="1"/>
    <xf numFmtId="164" fontId="21" fillId="0" borderId="0" xfId="4" applyNumberFormat="1" applyFont="1"/>
    <xf numFmtId="20" fontId="9" fillId="0" borderId="55" xfId="1" applyNumberFormat="1" applyFont="1" applyBorder="1" applyAlignment="1">
      <alignment horizontal="center"/>
    </xf>
    <xf numFmtId="20" fontId="8" fillId="0" borderId="55" xfId="1" applyNumberFormat="1" applyFont="1" applyBorder="1" applyAlignment="1">
      <alignment horizontal="center" vertical="center"/>
    </xf>
    <xf numFmtId="20" fontId="10" fillId="0" borderId="55" xfId="1" applyNumberFormat="1" applyFont="1" applyBorder="1" applyAlignment="1">
      <alignment horizontal="center" vertical="center"/>
    </xf>
    <xf numFmtId="20" fontId="14" fillId="0" borderId="55" xfId="1" applyNumberFormat="1" applyFont="1" applyBorder="1" applyAlignment="1">
      <alignment horizontal="center" vertical="center"/>
    </xf>
    <xf numFmtId="20" fontId="11" fillId="0" borderId="55" xfId="1" applyNumberFormat="1" applyFont="1" applyBorder="1" applyAlignment="1">
      <alignment horizontal="center" vertical="center"/>
    </xf>
    <xf numFmtId="0" fontId="19" fillId="2" borderId="37" xfId="4" applyFont="1" applyFill="1" applyBorder="1" applyAlignment="1">
      <alignment horizontal="center" vertical="center"/>
    </xf>
    <xf numFmtId="0" fontId="19" fillId="3" borderId="57" xfId="4" applyFont="1" applyFill="1" applyBorder="1" applyAlignment="1">
      <alignment horizontal="center"/>
    </xf>
    <xf numFmtId="0" fontId="19" fillId="3" borderId="58" xfId="4" applyFont="1" applyFill="1" applyBorder="1" applyAlignment="1">
      <alignment horizontal="center"/>
    </xf>
    <xf numFmtId="0" fontId="19" fillId="3" borderId="59" xfId="4" applyFont="1" applyFill="1" applyBorder="1" applyAlignment="1">
      <alignment horizontal="center"/>
    </xf>
    <xf numFmtId="0" fontId="19" fillId="3" borderId="60" xfId="4" applyFont="1" applyFill="1" applyBorder="1" applyAlignment="1">
      <alignment horizontal="center"/>
    </xf>
    <xf numFmtId="0" fontId="19" fillId="3" borderId="61" xfId="4" applyFont="1" applyFill="1" applyBorder="1" applyAlignment="1">
      <alignment horizontal="center"/>
    </xf>
    <xf numFmtId="164" fontId="20" fillId="0" borderId="56" xfId="4" applyNumberFormat="1" applyFont="1" applyBorder="1" applyAlignment="1">
      <alignment horizontal="center"/>
    </xf>
    <xf numFmtId="49" fontId="20" fillId="0" borderId="62" xfId="4" quotePrefix="1" applyNumberFormat="1" applyFont="1" applyBorder="1" applyAlignment="1">
      <alignment horizontal="center"/>
    </xf>
    <xf numFmtId="164" fontId="20" fillId="0" borderId="63" xfId="4" applyNumberFormat="1" applyFont="1" applyBorder="1" applyAlignment="1">
      <alignment horizontal="center"/>
    </xf>
    <xf numFmtId="164" fontId="20" fillId="0" borderId="64" xfId="4" applyNumberFormat="1" applyFont="1" applyBorder="1" applyAlignment="1">
      <alignment horizontal="center"/>
    </xf>
    <xf numFmtId="164" fontId="20" fillId="0" borderId="65" xfId="4" applyNumberFormat="1" applyFont="1" applyBorder="1" applyAlignment="1">
      <alignment horizontal="center"/>
    </xf>
    <xf numFmtId="164" fontId="20" fillId="0" borderId="66" xfId="4" applyNumberFormat="1" applyFont="1" applyBorder="1" applyAlignment="1">
      <alignment horizontal="center"/>
    </xf>
    <xf numFmtId="164" fontId="20" fillId="0" borderId="62" xfId="4" applyNumberFormat="1" applyFont="1" applyBorder="1" applyAlignment="1">
      <alignment horizontal="center"/>
    </xf>
    <xf numFmtId="164" fontId="21" fillId="0" borderId="0" xfId="4" applyNumberFormat="1" applyFont="1" applyAlignment="1">
      <alignment horizontal="center"/>
    </xf>
    <xf numFmtId="164" fontId="20" fillId="0" borderId="67" xfId="4" applyNumberFormat="1" applyFont="1" applyBorder="1" applyAlignment="1">
      <alignment horizontal="center"/>
    </xf>
    <xf numFmtId="49" fontId="20" fillId="0" borderId="68" xfId="4" quotePrefix="1" applyNumberFormat="1" applyFont="1" applyBorder="1" applyAlignment="1">
      <alignment horizontal="center"/>
    </xf>
    <xf numFmtId="164" fontId="20" fillId="0" borderId="69" xfId="4" applyNumberFormat="1" applyFont="1" applyBorder="1" applyAlignment="1">
      <alignment horizontal="center"/>
    </xf>
    <xf numFmtId="164" fontId="20" fillId="0" borderId="55" xfId="4" applyNumberFormat="1" applyFont="1" applyBorder="1" applyAlignment="1">
      <alignment horizontal="center"/>
    </xf>
    <xf numFmtId="164" fontId="20" fillId="0" borderId="70" xfId="4" applyNumberFormat="1" applyFont="1" applyBorder="1" applyAlignment="1">
      <alignment horizontal="center"/>
    </xf>
    <xf numFmtId="164" fontId="20" fillId="0" borderId="71" xfId="4" applyNumberFormat="1" applyFont="1" applyBorder="1" applyAlignment="1">
      <alignment horizontal="center"/>
    </xf>
    <xf numFmtId="164" fontId="20" fillId="0" borderId="68" xfId="4" applyNumberFormat="1" applyFont="1" applyBorder="1" applyAlignment="1">
      <alignment horizontal="center"/>
    </xf>
    <xf numFmtId="164" fontId="20" fillId="0" borderId="0" xfId="4" applyNumberFormat="1" applyFont="1" applyAlignment="1">
      <alignment horizontal="center"/>
    </xf>
    <xf numFmtId="20" fontId="9" fillId="0" borderId="55" xfId="1" applyNumberFormat="1" applyFont="1" applyBorder="1" applyAlignment="1">
      <alignment horizontal="center" vertical="center"/>
    </xf>
    <xf numFmtId="164" fontId="19" fillId="0" borderId="0" xfId="4" quotePrefix="1" applyNumberFormat="1" applyFont="1" applyAlignment="1">
      <alignment horizontal="center"/>
    </xf>
    <xf numFmtId="0" fontId="7" fillId="0" borderId="0" xfId="0" applyFont="1"/>
    <xf numFmtId="20" fontId="3" fillId="0" borderId="0" xfId="0" applyNumberFormat="1" applyFont="1"/>
    <xf numFmtId="0" fontId="0" fillId="0" borderId="0" xfId="0" applyAlignment="1">
      <alignment horizontal="center"/>
    </xf>
    <xf numFmtId="164" fontId="20" fillId="0" borderId="72" xfId="4" applyNumberFormat="1" applyFont="1" applyBorder="1" applyAlignment="1">
      <alignment horizontal="center"/>
    </xf>
    <xf numFmtId="49" fontId="20" fillId="0" borderId="73" xfId="4" quotePrefix="1" applyNumberFormat="1" applyFont="1" applyBorder="1" applyAlignment="1">
      <alignment horizontal="center"/>
    </xf>
    <xf numFmtId="164" fontId="20" fillId="0" borderId="74" xfId="4" applyNumberFormat="1" applyFont="1" applyBorder="1" applyAlignment="1">
      <alignment horizontal="center"/>
    </xf>
    <xf numFmtId="164" fontId="20" fillId="0" borderId="75" xfId="4" applyNumberFormat="1" applyFont="1" applyBorder="1" applyAlignment="1">
      <alignment horizontal="center"/>
    </xf>
    <xf numFmtId="164" fontId="20" fillId="0" borderId="76" xfId="4" applyNumberFormat="1" applyFont="1" applyBorder="1" applyAlignment="1">
      <alignment horizontal="center"/>
    </xf>
    <xf numFmtId="164" fontId="20" fillId="0" borderId="77" xfId="4" applyNumberFormat="1" applyFont="1" applyBorder="1" applyAlignment="1">
      <alignment horizontal="center"/>
    </xf>
    <xf numFmtId="164" fontId="20" fillId="0" borderId="73" xfId="4" applyNumberFormat="1" applyFont="1" applyBorder="1" applyAlignment="1">
      <alignment horizontal="center"/>
    </xf>
    <xf numFmtId="164" fontId="19" fillId="0" borderId="0" xfId="4" applyNumberFormat="1" applyFont="1" applyAlignment="1">
      <alignment vertical="center"/>
    </xf>
    <xf numFmtId="0" fontId="7" fillId="0" borderId="0" xfId="0" applyFont="1" applyAlignment="1">
      <alignment horizontal="center"/>
    </xf>
    <xf numFmtId="20" fontId="7" fillId="0" borderId="0" xfId="0" applyNumberFormat="1" applyFont="1" applyAlignment="1">
      <alignment horizontal="center"/>
    </xf>
    <xf numFmtId="164" fontId="20" fillId="0" borderId="78" xfId="4" applyNumberFormat="1" applyFont="1" applyBorder="1" applyAlignment="1">
      <alignment horizontal="center"/>
    </xf>
    <xf numFmtId="49" fontId="20" fillId="0" borderId="79" xfId="4" quotePrefix="1" applyNumberFormat="1" applyFont="1" applyBorder="1" applyAlignment="1">
      <alignment horizontal="center"/>
    </xf>
    <xf numFmtId="164" fontId="20" fillId="0" borderId="80" xfId="4" applyNumberFormat="1" applyFont="1" applyBorder="1" applyAlignment="1">
      <alignment horizontal="center"/>
    </xf>
    <xf numFmtId="164" fontId="20" fillId="0" borderId="81" xfId="4" applyNumberFormat="1" applyFont="1" applyBorder="1" applyAlignment="1">
      <alignment horizontal="center"/>
    </xf>
    <xf numFmtId="164" fontId="20" fillId="0" borderId="82" xfId="4" applyNumberFormat="1" applyFont="1" applyBorder="1" applyAlignment="1">
      <alignment horizontal="center"/>
    </xf>
    <xf numFmtId="0" fontId="20" fillId="0" borderId="82" xfId="4" applyFont="1" applyBorder="1" applyAlignment="1">
      <alignment horizontal="center"/>
    </xf>
    <xf numFmtId="0" fontId="20" fillId="0" borderId="81" xfId="4" applyFont="1" applyBorder="1" applyAlignment="1">
      <alignment horizontal="center"/>
    </xf>
    <xf numFmtId="164" fontId="20" fillId="0" borderId="79" xfId="4" applyNumberFormat="1" applyFont="1" applyBorder="1" applyAlignment="1">
      <alignment horizontal="center"/>
    </xf>
    <xf numFmtId="164" fontId="8" fillId="0" borderId="0" xfId="4" applyNumberFormat="1" applyFont="1" applyAlignment="1">
      <alignment vertical="center"/>
    </xf>
    <xf numFmtId="0" fontId="3" fillId="6" borderId="0" xfId="0" quotePrefix="1" applyFont="1" applyFill="1" applyAlignment="1">
      <alignment horizontal="center"/>
    </xf>
    <xf numFmtId="20" fontId="3" fillId="6" borderId="0" xfId="0" quotePrefix="1" applyNumberFormat="1" applyFont="1" applyFill="1" applyAlignment="1">
      <alignment horizontal="center"/>
    </xf>
    <xf numFmtId="164" fontId="20" fillId="0" borderId="83" xfId="4" applyNumberFormat="1" applyFont="1" applyBorder="1" applyAlignment="1">
      <alignment horizontal="center"/>
    </xf>
    <xf numFmtId="164" fontId="20" fillId="0" borderId="84" xfId="4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9" fillId="0" borderId="0" xfId="4" applyNumberFormat="1" applyFont="1" applyAlignment="1">
      <alignment horizontal="left"/>
    </xf>
    <xf numFmtId="0" fontId="3" fillId="6" borderId="0" xfId="0" applyFont="1" applyFill="1" applyAlignment="1">
      <alignment horizontal="center"/>
    </xf>
    <xf numFmtId="164" fontId="19" fillId="0" borderId="0" xfId="4" quotePrefix="1" applyNumberFormat="1" applyFont="1" applyAlignment="1">
      <alignment horizontal="center" vertical="center"/>
    </xf>
    <xf numFmtId="164" fontId="19" fillId="0" borderId="0" xfId="4" applyNumberFormat="1" applyFont="1"/>
    <xf numFmtId="20" fontId="9" fillId="0" borderId="58" xfId="1" applyNumberFormat="1" applyFont="1" applyBorder="1" applyAlignment="1">
      <alignment horizontal="center"/>
    </xf>
    <xf numFmtId="20" fontId="8" fillId="0" borderId="58" xfId="1" applyNumberFormat="1" applyFont="1" applyBorder="1" applyAlignment="1">
      <alignment horizontal="center" vertical="center"/>
    </xf>
    <xf numFmtId="1" fontId="19" fillId="0" borderId="0" xfId="4" applyNumberFormat="1" applyFont="1" applyAlignment="1">
      <alignment horizontal="center"/>
    </xf>
    <xf numFmtId="0" fontId="7" fillId="5" borderId="1" xfId="1" applyFont="1" applyFill="1" applyBorder="1" applyAlignment="1">
      <alignment horizontal="center"/>
    </xf>
    <xf numFmtId="20" fontId="9" fillId="5" borderId="85" xfId="1" applyNumberFormat="1" applyFont="1" applyFill="1" applyBorder="1" applyAlignment="1">
      <alignment horizontal="center"/>
    </xf>
    <xf numFmtId="20" fontId="11" fillId="5" borderId="86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19" fillId="0" borderId="7" xfId="4" applyNumberFormat="1" applyFont="1" applyBorder="1" applyAlignment="1">
      <alignment horizontal="center"/>
    </xf>
    <xf numFmtId="164" fontId="20" fillId="0" borderId="87" xfId="4" applyNumberFormat="1" applyFont="1" applyBorder="1" applyAlignment="1">
      <alignment horizontal="center"/>
    </xf>
    <xf numFmtId="164" fontId="20" fillId="0" borderId="88" xfId="4" applyNumberFormat="1" applyFont="1" applyBorder="1" applyAlignment="1">
      <alignment horizontal="center"/>
    </xf>
    <xf numFmtId="20" fontId="9" fillId="0" borderId="61" xfId="1" applyNumberFormat="1" applyFont="1" applyBorder="1" applyAlignment="1">
      <alignment horizontal="center"/>
    </xf>
    <xf numFmtId="20" fontId="8" fillId="0" borderId="61" xfId="1" applyNumberFormat="1" applyFont="1" applyBorder="1" applyAlignment="1">
      <alignment horizontal="center" vertical="center"/>
    </xf>
    <xf numFmtId="0" fontId="2" fillId="0" borderId="0" xfId="0" applyFont="1"/>
    <xf numFmtId="20" fontId="11" fillId="0" borderId="61" xfId="1" applyNumberFormat="1" applyFont="1" applyBorder="1" applyAlignment="1">
      <alignment horizontal="center" vertical="center"/>
    </xf>
    <xf numFmtId="164" fontId="20" fillId="0" borderId="89" xfId="4" applyNumberFormat="1" applyFont="1" applyBorder="1" applyAlignment="1">
      <alignment horizontal="center"/>
    </xf>
    <xf numFmtId="164" fontId="20" fillId="0" borderId="90" xfId="4" applyNumberFormat="1" applyFont="1" applyBorder="1" applyAlignment="1">
      <alignment horizontal="center"/>
    </xf>
    <xf numFmtId="164" fontId="20" fillId="0" borderId="91" xfId="4" applyNumberFormat="1" applyFont="1" applyBorder="1" applyAlignment="1">
      <alignment horizontal="center"/>
    </xf>
    <xf numFmtId="164" fontId="12" fillId="0" borderId="72" xfId="4" applyNumberFormat="1" applyFont="1" applyBorder="1" applyAlignment="1">
      <alignment horizontal="center"/>
    </xf>
    <xf numFmtId="20" fontId="0" fillId="0" borderId="0" xfId="0" applyNumberFormat="1" applyAlignment="1">
      <alignment horizontal="center"/>
    </xf>
    <xf numFmtId="164" fontId="20" fillId="0" borderId="92" xfId="4" applyNumberFormat="1" applyFont="1" applyBorder="1" applyAlignment="1">
      <alignment horizontal="center"/>
    </xf>
    <xf numFmtId="20" fontId="11" fillId="0" borderId="61" xfId="1" applyNumberFormat="1" applyFont="1" applyBorder="1" applyAlignment="1">
      <alignment horizontal="center"/>
    </xf>
    <xf numFmtId="20" fontId="9" fillId="0" borderId="75" xfId="1" applyNumberFormat="1" applyFont="1" applyBorder="1" applyAlignment="1">
      <alignment horizontal="center"/>
    </xf>
    <xf numFmtId="20" fontId="8" fillId="0" borderId="75" xfId="1" applyNumberFormat="1" applyFont="1" applyBorder="1" applyAlignment="1">
      <alignment horizontal="center" vertical="center"/>
    </xf>
    <xf numFmtId="164" fontId="20" fillId="0" borderId="93" xfId="4" applyNumberFormat="1" applyFont="1" applyBorder="1" applyAlignment="1">
      <alignment horizontal="center"/>
    </xf>
    <xf numFmtId="0" fontId="20" fillId="0" borderId="75" xfId="4" applyFont="1" applyBorder="1" applyAlignment="1">
      <alignment horizontal="center"/>
    </xf>
    <xf numFmtId="0" fontId="20" fillId="0" borderId="55" xfId="4" applyFont="1" applyBorder="1" applyAlignment="1">
      <alignment horizontal="center"/>
    </xf>
    <xf numFmtId="164" fontId="20" fillId="12" borderId="68" xfId="4" applyNumberFormat="1" applyFont="1" applyFill="1" applyBorder="1" applyAlignment="1">
      <alignment horizontal="center"/>
    </xf>
    <xf numFmtId="164" fontId="20" fillId="12" borderId="73" xfId="4" applyNumberFormat="1" applyFont="1" applyFill="1" applyBorder="1" applyAlignment="1">
      <alignment horizontal="center"/>
    </xf>
    <xf numFmtId="0" fontId="20" fillId="0" borderId="92" xfId="4" applyFont="1" applyBorder="1" applyAlignment="1">
      <alignment horizontal="center"/>
    </xf>
    <xf numFmtId="164" fontId="20" fillId="0" borderId="9" xfId="4" applyNumberFormat="1" applyFont="1" applyBorder="1" applyAlignment="1">
      <alignment horizontal="center"/>
    </xf>
    <xf numFmtId="49" fontId="20" fillId="0" borderId="94" xfId="4" quotePrefix="1" applyNumberFormat="1" applyFont="1" applyBorder="1" applyAlignment="1">
      <alignment horizontal="center"/>
    </xf>
    <xf numFmtId="164" fontId="20" fillId="0" borderId="57" xfId="4" applyNumberFormat="1" applyFont="1" applyBorder="1" applyAlignment="1">
      <alignment horizontal="center"/>
    </xf>
    <xf numFmtId="164" fontId="20" fillId="0" borderId="58" xfId="4" applyNumberFormat="1" applyFont="1" applyBorder="1" applyAlignment="1">
      <alignment horizontal="center"/>
    </xf>
    <xf numFmtId="164" fontId="20" fillId="0" borderId="95" xfId="4" applyNumberFormat="1" applyFont="1" applyBorder="1" applyAlignment="1">
      <alignment horizontal="center"/>
    </xf>
    <xf numFmtId="164" fontId="20" fillId="0" borderId="94" xfId="4" applyNumberFormat="1" applyFont="1" applyBorder="1" applyAlignment="1">
      <alignment horizontal="center"/>
    </xf>
    <xf numFmtId="49" fontId="20" fillId="0" borderId="56" xfId="4" quotePrefix="1" applyNumberFormat="1" applyFont="1" applyBorder="1" applyAlignment="1">
      <alignment horizontal="center"/>
    </xf>
    <xf numFmtId="20" fontId="20" fillId="0" borderId="63" xfId="4" applyNumberFormat="1" applyFont="1" applyBorder="1" applyAlignment="1">
      <alignment horizontal="center"/>
    </xf>
    <xf numFmtId="20" fontId="20" fillId="0" borderId="64" xfId="4" applyNumberFormat="1" applyFont="1" applyBorder="1" applyAlignment="1">
      <alignment horizontal="center"/>
    </xf>
    <xf numFmtId="20" fontId="20" fillId="0" borderId="65" xfId="4" applyNumberFormat="1" applyFont="1" applyBorder="1" applyAlignment="1">
      <alignment horizontal="center"/>
    </xf>
    <xf numFmtId="20" fontId="20" fillId="0" borderId="66" xfId="4" applyNumberFormat="1" applyFont="1" applyBorder="1" applyAlignment="1">
      <alignment horizontal="center"/>
    </xf>
    <xf numFmtId="49" fontId="20" fillId="0" borderId="67" xfId="4" quotePrefix="1" applyNumberFormat="1" applyFont="1" applyBorder="1" applyAlignment="1">
      <alignment horizontal="center"/>
    </xf>
    <xf numFmtId="20" fontId="20" fillId="0" borderId="69" xfId="4" applyNumberFormat="1" applyFont="1" applyBorder="1" applyAlignment="1">
      <alignment horizontal="center"/>
    </xf>
    <xf numFmtId="20" fontId="20" fillId="0" borderId="55" xfId="4" applyNumberFormat="1" applyFont="1" applyBorder="1" applyAlignment="1">
      <alignment horizontal="center"/>
    </xf>
    <xf numFmtId="20" fontId="20" fillId="0" borderId="92" xfId="4" applyNumberFormat="1" applyFont="1" applyBorder="1" applyAlignment="1">
      <alignment horizontal="center"/>
    </xf>
    <xf numFmtId="49" fontId="20" fillId="0" borderId="72" xfId="4" quotePrefix="1" applyNumberFormat="1" applyFont="1" applyBorder="1" applyAlignment="1">
      <alignment horizontal="center"/>
    </xf>
    <xf numFmtId="164" fontId="20" fillId="0" borderId="96" xfId="4" applyNumberFormat="1" applyFont="1" applyBorder="1" applyAlignment="1">
      <alignment horizontal="center"/>
    </xf>
    <xf numFmtId="20" fontId="3" fillId="0" borderId="55" xfId="1" applyNumberFormat="1" applyBorder="1" applyAlignment="1">
      <alignment horizontal="center" vertical="center"/>
    </xf>
    <xf numFmtId="20" fontId="20" fillId="0" borderId="70" xfId="4" applyNumberFormat="1" applyFont="1" applyBorder="1" applyAlignment="1">
      <alignment horizontal="center"/>
    </xf>
    <xf numFmtId="20" fontId="20" fillId="0" borderId="74" xfId="4" applyNumberFormat="1" applyFont="1" applyBorder="1" applyAlignment="1">
      <alignment horizontal="center"/>
    </xf>
    <xf numFmtId="20" fontId="20" fillId="0" borderId="75" xfId="4" applyNumberFormat="1" applyFont="1" applyBorder="1" applyAlignment="1">
      <alignment horizontal="center"/>
    </xf>
    <xf numFmtId="20" fontId="20" fillId="0" borderId="91" xfId="4" applyNumberFormat="1" applyFont="1" applyBorder="1" applyAlignment="1">
      <alignment horizontal="center"/>
    </xf>
    <xf numFmtId="20" fontId="20" fillId="0" borderId="80" xfId="4" applyNumberFormat="1" applyFont="1" applyBorder="1" applyAlignment="1">
      <alignment horizontal="center"/>
    </xf>
    <xf numFmtId="20" fontId="20" fillId="0" borderId="81" xfId="4" applyNumberFormat="1" applyFont="1" applyBorder="1" applyAlignment="1">
      <alignment horizontal="center"/>
    </xf>
    <xf numFmtId="20" fontId="20" fillId="0" borderId="90" xfId="4" applyNumberFormat="1" applyFont="1" applyBorder="1" applyAlignment="1">
      <alignment horizontal="center"/>
    </xf>
    <xf numFmtId="164" fontId="20" fillId="0" borderId="97" xfId="4" applyNumberFormat="1" applyFont="1" applyBorder="1" applyAlignment="1">
      <alignment horizontal="center"/>
    </xf>
    <xf numFmtId="164" fontId="20" fillId="3" borderId="1" xfId="4" applyNumberFormat="1" applyFont="1" applyFill="1" applyBorder="1" applyAlignment="1">
      <alignment horizontal="center"/>
    </xf>
    <xf numFmtId="164" fontId="20" fillId="3" borderId="2" xfId="4" applyNumberFormat="1" applyFont="1" applyFill="1" applyBorder="1" applyAlignment="1">
      <alignment horizontal="center"/>
    </xf>
    <xf numFmtId="49" fontId="20" fillId="3" borderId="2" xfId="4" applyNumberFormat="1" applyFont="1" applyFill="1" applyBorder="1" applyAlignment="1">
      <alignment horizontal="center"/>
    </xf>
    <xf numFmtId="164" fontId="20" fillId="3" borderId="11" xfId="4" applyNumberFormat="1" applyFont="1" applyFill="1" applyBorder="1" applyAlignment="1">
      <alignment horizontal="center"/>
    </xf>
    <xf numFmtId="10" fontId="22" fillId="2" borderId="3" xfId="4" applyNumberFormat="1" applyFont="1" applyFill="1" applyBorder="1" applyAlignment="1">
      <alignment horizontal="center"/>
    </xf>
    <xf numFmtId="164" fontId="19" fillId="3" borderId="7" xfId="4" applyNumberFormat="1" applyFont="1" applyFill="1" applyBorder="1" applyAlignment="1">
      <alignment horizontal="center"/>
    </xf>
    <xf numFmtId="164" fontId="20" fillId="3" borderId="3" xfId="4" applyNumberFormat="1" applyFont="1" applyFill="1" applyBorder="1" applyAlignment="1">
      <alignment horizontal="center"/>
    </xf>
    <xf numFmtId="20" fontId="9" fillId="0" borderId="58" xfId="1" applyNumberFormat="1" applyFont="1" applyBorder="1" applyAlignment="1">
      <alignment horizontal="center" vertical="center"/>
    </xf>
    <xf numFmtId="20" fontId="13" fillId="5" borderId="85" xfId="1" applyNumberFormat="1" applyFont="1" applyFill="1" applyBorder="1" applyAlignment="1">
      <alignment horizontal="center" vertical="center"/>
    </xf>
    <xf numFmtId="20" fontId="11" fillId="5" borderId="86" xfId="1" applyNumberFormat="1" applyFont="1" applyFill="1" applyBorder="1" applyAlignment="1">
      <alignment horizontal="center" vertical="center"/>
    </xf>
    <xf numFmtId="20" fontId="11" fillId="0" borderId="75" xfId="1" applyNumberFormat="1" applyFont="1" applyBorder="1" applyAlignment="1">
      <alignment horizontal="center" vertical="center"/>
    </xf>
    <xf numFmtId="0" fontId="19" fillId="2" borderId="9" xfId="4" applyFont="1" applyFill="1" applyBorder="1" applyAlignment="1">
      <alignment horizontal="center" vertical="center"/>
    </xf>
    <xf numFmtId="0" fontId="19" fillId="3" borderId="80" xfId="4" applyFont="1" applyFill="1" applyBorder="1" applyAlignment="1">
      <alignment horizontal="center"/>
    </xf>
    <xf numFmtId="0" fontId="19" fillId="3" borderId="81" xfId="4" applyFont="1" applyFill="1" applyBorder="1" applyAlignment="1">
      <alignment horizontal="center"/>
    </xf>
    <xf numFmtId="0" fontId="19" fillId="3" borderId="82" xfId="4" applyFont="1" applyFill="1" applyBorder="1" applyAlignment="1">
      <alignment horizontal="center"/>
    </xf>
    <xf numFmtId="0" fontId="19" fillId="3" borderId="98" xfId="4" applyFont="1" applyFill="1" applyBorder="1" applyAlignment="1">
      <alignment horizontal="center"/>
    </xf>
    <xf numFmtId="0" fontId="19" fillId="3" borderId="99" xfId="4" applyFont="1" applyFill="1" applyBorder="1" applyAlignment="1">
      <alignment horizontal="center"/>
    </xf>
    <xf numFmtId="0" fontId="20" fillId="0" borderId="76" xfId="4" applyFont="1" applyBorder="1" applyAlignment="1">
      <alignment horizontal="center"/>
    </xf>
    <xf numFmtId="164" fontId="20" fillId="0" borderId="100" xfId="4" applyNumberFormat="1" applyFont="1" applyBorder="1" applyAlignment="1">
      <alignment horizontal="center"/>
    </xf>
    <xf numFmtId="20" fontId="9" fillId="0" borderId="75" xfId="1" applyNumberFormat="1" applyFont="1" applyBorder="1" applyAlignment="1">
      <alignment horizontal="center" vertical="center"/>
    </xf>
    <xf numFmtId="20" fontId="11" fillId="0" borderId="58" xfId="1" applyNumberFormat="1" applyFont="1" applyBorder="1" applyAlignment="1">
      <alignment horizontal="center" vertical="center"/>
    </xf>
    <xf numFmtId="0" fontId="20" fillId="0" borderId="70" xfId="4" applyFont="1" applyBorder="1" applyAlignment="1">
      <alignment horizontal="center"/>
    </xf>
    <xf numFmtId="20" fontId="3" fillId="0" borderId="75" xfId="1" applyNumberFormat="1" applyBorder="1" applyAlignment="1">
      <alignment horizontal="center" vertical="center"/>
    </xf>
    <xf numFmtId="164" fontId="12" fillId="0" borderId="67" xfId="4" applyNumberFormat="1" applyFont="1" applyBorder="1" applyAlignment="1">
      <alignment horizontal="center"/>
    </xf>
    <xf numFmtId="164" fontId="12" fillId="0" borderId="69" xfId="4" applyNumberFormat="1" applyFont="1" applyBorder="1" applyAlignment="1">
      <alignment horizontal="center"/>
    </xf>
    <xf numFmtId="164" fontId="12" fillId="0" borderId="55" xfId="4" applyNumberFormat="1" applyFont="1" applyBorder="1" applyAlignment="1">
      <alignment horizontal="center"/>
    </xf>
    <xf numFmtId="0" fontId="12" fillId="0" borderId="70" xfId="4" applyFont="1" applyBorder="1" applyAlignment="1">
      <alignment horizontal="center"/>
    </xf>
    <xf numFmtId="0" fontId="12" fillId="0" borderId="55" xfId="4" applyFont="1" applyBorder="1" applyAlignment="1">
      <alignment horizontal="center"/>
    </xf>
    <xf numFmtId="164" fontId="12" fillId="0" borderId="68" xfId="4" applyNumberFormat="1" applyFont="1" applyBorder="1" applyAlignment="1">
      <alignment horizontal="center"/>
    </xf>
    <xf numFmtId="164" fontId="20" fillId="0" borderId="101" xfId="4" applyNumberFormat="1" applyFont="1" applyBorder="1" applyAlignment="1">
      <alignment horizontal="center"/>
    </xf>
    <xf numFmtId="0" fontId="7" fillId="9" borderId="1" xfId="1" applyFont="1" applyFill="1" applyBorder="1" applyAlignment="1">
      <alignment horizontal="center"/>
    </xf>
    <xf numFmtId="20" fontId="13" fillId="9" borderId="85" xfId="1" applyNumberFormat="1" applyFont="1" applyFill="1" applyBorder="1" applyAlignment="1">
      <alignment horizontal="center" vertical="center"/>
    </xf>
    <xf numFmtId="20" fontId="11" fillId="9" borderId="86" xfId="1" applyNumberFormat="1" applyFont="1" applyFill="1" applyBorder="1" applyAlignment="1">
      <alignment horizontal="center" vertical="center"/>
    </xf>
    <xf numFmtId="20" fontId="13" fillId="13" borderId="85" xfId="1" applyNumberFormat="1" applyFont="1" applyFill="1" applyBorder="1" applyAlignment="1">
      <alignment horizontal="center" vertical="center"/>
    </xf>
    <xf numFmtId="20" fontId="11" fillId="13" borderId="86" xfId="1" applyNumberFormat="1" applyFont="1" applyFill="1" applyBorder="1" applyAlignment="1">
      <alignment horizontal="center" vertical="center"/>
    </xf>
    <xf numFmtId="20" fontId="13" fillId="14" borderId="55" xfId="1" applyNumberFormat="1" applyFont="1" applyFill="1" applyBorder="1" applyAlignment="1">
      <alignment horizontal="center" vertical="center"/>
    </xf>
    <xf numFmtId="20" fontId="11" fillId="14" borderId="55" xfId="1" applyNumberFormat="1" applyFont="1" applyFill="1" applyBorder="1" applyAlignment="1">
      <alignment horizontal="center" vertical="center"/>
    </xf>
    <xf numFmtId="0" fontId="20" fillId="3" borderId="2" xfId="4" applyFont="1" applyFill="1" applyBorder="1" applyAlignment="1">
      <alignment horizontal="center"/>
    </xf>
    <xf numFmtId="164" fontId="19" fillId="15" borderId="7" xfId="4" applyNumberFormat="1" applyFont="1" applyFill="1" applyBorder="1" applyAlignment="1">
      <alignment horizontal="center"/>
    </xf>
    <xf numFmtId="49" fontId="20" fillId="0" borderId="56" xfId="4" applyNumberFormat="1" applyFont="1" applyBorder="1" applyAlignment="1">
      <alignment horizontal="center"/>
    </xf>
    <xf numFmtId="49" fontId="20" fillId="0" borderId="67" xfId="4" applyNumberFormat="1" applyFont="1" applyBorder="1" applyAlignment="1">
      <alignment horizontal="center"/>
    </xf>
    <xf numFmtId="49" fontId="20" fillId="0" borderId="78" xfId="4" applyNumberFormat="1" applyFont="1" applyBorder="1" applyAlignment="1">
      <alignment horizontal="center"/>
    </xf>
    <xf numFmtId="20" fontId="20" fillId="0" borderId="82" xfId="4" applyNumberFormat="1" applyFont="1" applyBorder="1" applyAlignment="1">
      <alignment horizontal="center"/>
    </xf>
    <xf numFmtId="0" fontId="7" fillId="0" borderId="0" xfId="1" applyFont="1" applyAlignment="1">
      <alignment horizontal="center"/>
    </xf>
    <xf numFmtId="164" fontId="7" fillId="0" borderId="0" xfId="1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20" fontId="3" fillId="0" borderId="96" xfId="0" applyNumberFormat="1" applyFont="1" applyBorder="1" applyAlignment="1">
      <alignment horizontal="center"/>
    </xf>
    <xf numFmtId="20" fontId="7" fillId="0" borderId="0" xfId="1" applyNumberFormat="1" applyFont="1" applyAlignment="1">
      <alignment horizontal="center"/>
    </xf>
    <xf numFmtId="20" fontId="7" fillId="0" borderId="0" xfId="0" quotePrefix="1" applyNumberFormat="1" applyFont="1" applyAlignment="1">
      <alignment horizontal="center"/>
    </xf>
    <xf numFmtId="20" fontId="3" fillId="0" borderId="0" xfId="0" quotePrefix="1" applyNumberFormat="1" applyFont="1" applyAlignment="1">
      <alignment horizontal="center"/>
    </xf>
    <xf numFmtId="0" fontId="6" fillId="16" borderId="1" xfId="1" applyFont="1" applyFill="1" applyBorder="1" applyAlignment="1">
      <alignment vertical="center"/>
    </xf>
    <xf numFmtId="0" fontId="6" fillId="16" borderId="2" xfId="1" applyFont="1" applyFill="1" applyBorder="1" applyAlignment="1">
      <alignment vertical="center"/>
    </xf>
    <xf numFmtId="0" fontId="26" fillId="0" borderId="0" xfId="1" applyFont="1"/>
    <xf numFmtId="0" fontId="8" fillId="0" borderId="55" xfId="1" applyFont="1" applyBorder="1" applyAlignment="1">
      <alignment horizontal="right" vertical="center"/>
    </xf>
    <xf numFmtId="0" fontId="27" fillId="0" borderId="55" xfId="1" applyFont="1" applyBorder="1" applyAlignment="1">
      <alignment horizontal="right" vertical="center"/>
    </xf>
    <xf numFmtId="0" fontId="28" fillId="0" borderId="55" xfId="1" applyFont="1" applyBorder="1" applyAlignment="1">
      <alignment horizontal="right" vertical="center"/>
    </xf>
    <xf numFmtId="0" fontId="9" fillId="0" borderId="55" xfId="1" applyFont="1" applyBorder="1" applyAlignment="1">
      <alignment horizontal="right" vertical="center"/>
    </xf>
    <xf numFmtId="0" fontId="27" fillId="0" borderId="21" xfId="1" applyFont="1" applyBorder="1" applyAlignment="1">
      <alignment vertical="center"/>
    </xf>
    <xf numFmtId="0" fontId="27" fillId="17" borderId="7" xfId="1" applyFont="1" applyFill="1" applyBorder="1" applyAlignment="1">
      <alignment horizontal="center" vertical="center"/>
    </xf>
    <xf numFmtId="0" fontId="28" fillId="0" borderId="102" xfId="1" applyFont="1" applyBorder="1" applyAlignment="1">
      <alignment vertical="center"/>
    </xf>
    <xf numFmtId="0" fontId="27" fillId="0" borderId="27" xfId="1" applyFont="1" applyBorder="1" applyAlignment="1">
      <alignment horizontal="center" vertical="center"/>
    </xf>
    <xf numFmtId="0" fontId="28" fillId="0" borderId="19" xfId="1" applyFont="1" applyBorder="1" applyAlignment="1">
      <alignment vertical="center"/>
    </xf>
    <xf numFmtId="0" fontId="28" fillId="0" borderId="103" xfId="1" applyFont="1" applyBorder="1" applyAlignment="1">
      <alignment vertical="center"/>
    </xf>
    <xf numFmtId="0" fontId="28" fillId="0" borderId="104" xfId="1" applyFont="1" applyBorder="1" applyAlignment="1">
      <alignment vertical="center"/>
    </xf>
    <xf numFmtId="0" fontId="27" fillId="0" borderId="23" xfId="1" applyFont="1" applyBorder="1" applyAlignment="1">
      <alignment horizontal="right" vertical="center"/>
    </xf>
    <xf numFmtId="20" fontId="8" fillId="0" borderId="55" xfId="1" applyNumberFormat="1" applyFont="1" applyBorder="1" applyAlignment="1">
      <alignment horizontal="center"/>
    </xf>
    <xf numFmtId="20" fontId="28" fillId="0" borderId="55" xfId="1" applyNumberFormat="1" applyFont="1" applyBorder="1" applyAlignment="1">
      <alignment horizontal="center"/>
    </xf>
    <xf numFmtId="20" fontId="3" fillId="0" borderId="0" xfId="1" applyNumberFormat="1"/>
    <xf numFmtId="0" fontId="27" fillId="18" borderId="7" xfId="1" quotePrefix="1" applyFont="1" applyFill="1" applyBorder="1" applyAlignment="1">
      <alignment horizontal="center" vertical="center"/>
    </xf>
    <xf numFmtId="0" fontId="28" fillId="0" borderId="25" xfId="1" applyFont="1" applyBorder="1" applyAlignment="1">
      <alignment vertical="center"/>
    </xf>
    <xf numFmtId="0" fontId="28" fillId="0" borderId="8" xfId="1" applyFont="1" applyBorder="1" applyAlignment="1">
      <alignment vertical="center"/>
    </xf>
    <xf numFmtId="0" fontId="28" fillId="0" borderId="31" xfId="1" applyFont="1" applyBorder="1" applyAlignment="1">
      <alignment vertical="center"/>
    </xf>
    <xf numFmtId="0" fontId="27" fillId="0" borderId="24" xfId="1" applyFont="1" applyBorder="1" applyAlignment="1">
      <alignment vertical="center"/>
    </xf>
    <xf numFmtId="20" fontId="27" fillId="0" borderId="26" xfId="1" applyNumberFormat="1" applyFont="1" applyBorder="1" applyAlignment="1">
      <alignment horizontal="center" vertical="center"/>
    </xf>
    <xf numFmtId="0" fontId="27" fillId="0" borderId="19" xfId="1" applyFont="1" applyBorder="1" applyAlignment="1">
      <alignment horizontal="center" vertical="center"/>
    </xf>
    <xf numFmtId="20" fontId="27" fillId="0" borderId="27" xfId="1" applyNumberFormat="1" applyFont="1" applyBorder="1" applyAlignment="1">
      <alignment horizontal="center" vertical="center"/>
    </xf>
    <xf numFmtId="20" fontId="27" fillId="0" borderId="105" xfId="1" applyNumberFormat="1" applyFont="1" applyBorder="1" applyAlignment="1">
      <alignment horizontal="center" vertical="center"/>
    </xf>
    <xf numFmtId="20" fontId="27" fillId="0" borderId="103" xfId="1" applyNumberFormat="1" applyFont="1" applyBorder="1" applyAlignment="1">
      <alignment horizontal="center" vertical="center"/>
    </xf>
    <xf numFmtId="20" fontId="27" fillId="0" borderId="34" xfId="1" applyNumberFormat="1" applyFont="1" applyBorder="1" applyAlignment="1">
      <alignment horizontal="center" vertical="center"/>
    </xf>
    <xf numFmtId="0" fontId="27" fillId="0" borderId="24" xfId="1" applyFont="1" applyBorder="1" applyAlignment="1">
      <alignment horizontal="right" vertical="center"/>
    </xf>
    <xf numFmtId="20" fontId="28" fillId="0" borderId="55" xfId="1" applyNumberFormat="1" applyFont="1" applyBorder="1" applyAlignment="1">
      <alignment horizontal="center" vertical="center"/>
    </xf>
    <xf numFmtId="20" fontId="27" fillId="0" borderId="30" xfId="1" applyNumberFormat="1" applyFont="1" applyBorder="1" applyAlignment="1">
      <alignment horizontal="center" vertical="center"/>
    </xf>
    <xf numFmtId="0" fontId="28" fillId="0" borderId="27" xfId="1" applyFont="1" applyBorder="1" applyAlignment="1">
      <alignment vertical="center"/>
    </xf>
    <xf numFmtId="0" fontId="28" fillId="0" borderId="24" xfId="1" applyFont="1" applyBorder="1" applyAlignment="1">
      <alignment vertical="center"/>
    </xf>
    <xf numFmtId="0" fontId="27" fillId="0" borderId="33" xfId="1" applyFont="1" applyBorder="1" applyAlignment="1">
      <alignment horizontal="center" vertical="center"/>
    </xf>
    <xf numFmtId="20" fontId="28" fillId="0" borderId="19" xfId="1" applyNumberFormat="1" applyFont="1" applyBorder="1" applyAlignment="1">
      <alignment vertical="center"/>
    </xf>
    <xf numFmtId="0" fontId="28" fillId="0" borderId="38" xfId="1" applyFont="1" applyBorder="1" applyAlignment="1">
      <alignment vertical="center"/>
    </xf>
    <xf numFmtId="0" fontId="27" fillId="0" borderId="24" xfId="1" applyFont="1" applyBorder="1" applyAlignment="1">
      <alignment horizontal="center" vertical="center"/>
    </xf>
    <xf numFmtId="0" fontId="28" fillId="0" borderId="33" xfId="1" applyFont="1" applyBorder="1" applyAlignment="1">
      <alignment vertical="center"/>
    </xf>
    <xf numFmtId="20" fontId="8" fillId="0" borderId="19" xfId="1" applyNumberFormat="1" applyFont="1" applyBorder="1" applyAlignment="1">
      <alignment horizontal="center"/>
    </xf>
    <xf numFmtId="0" fontId="8" fillId="0" borderId="19" xfId="1" applyFont="1" applyBorder="1" applyAlignment="1">
      <alignment horizontal="center"/>
    </xf>
    <xf numFmtId="20" fontId="8" fillId="0" borderId="38" xfId="1" applyNumberFormat="1" applyFont="1" applyBorder="1" applyAlignment="1">
      <alignment horizontal="center"/>
    </xf>
    <xf numFmtId="0" fontId="27" fillId="19" borderId="24" xfId="1" applyFont="1" applyFill="1" applyBorder="1" applyAlignment="1">
      <alignment horizontal="left" vertical="center"/>
    </xf>
    <xf numFmtId="20" fontId="28" fillId="0" borderId="19" xfId="1" applyNumberFormat="1" applyFont="1" applyBorder="1" applyAlignment="1">
      <alignment horizontal="center"/>
    </xf>
    <xf numFmtId="0" fontId="27" fillId="0" borderId="19" xfId="1" applyFont="1" applyBorder="1" applyAlignment="1">
      <alignment horizontal="center"/>
    </xf>
    <xf numFmtId="20" fontId="28" fillId="0" borderId="38" xfId="1" applyNumberFormat="1" applyFont="1" applyBorder="1" applyAlignment="1">
      <alignment horizontal="center"/>
    </xf>
    <xf numFmtId="0" fontId="27" fillId="19" borderId="24" xfId="1" applyFont="1" applyFill="1" applyBorder="1" applyAlignment="1">
      <alignment horizontal="right" vertical="center"/>
    </xf>
    <xf numFmtId="0" fontId="28" fillId="0" borderId="24" xfId="1" applyFont="1" applyBorder="1" applyAlignment="1">
      <alignment horizontal="left" vertical="center"/>
    </xf>
    <xf numFmtId="0" fontId="28" fillId="0" borderId="19" xfId="1" applyFont="1" applyBorder="1" applyAlignment="1">
      <alignment horizontal="center"/>
    </xf>
    <xf numFmtId="0" fontId="28" fillId="0" borderId="24" xfId="1" applyFont="1" applyBorder="1" applyAlignment="1">
      <alignment horizontal="right" vertical="center"/>
    </xf>
    <xf numFmtId="20" fontId="9" fillId="0" borderId="33" xfId="1" applyNumberFormat="1" applyFont="1" applyBorder="1" applyAlignment="1">
      <alignment horizontal="center"/>
    </xf>
    <xf numFmtId="0" fontId="9" fillId="0" borderId="19" xfId="1" applyFont="1" applyBorder="1" applyAlignment="1">
      <alignment horizontal="center"/>
    </xf>
    <xf numFmtId="0" fontId="28" fillId="0" borderId="19" xfId="1" applyFont="1" applyBorder="1" applyAlignment="1">
      <alignment horizontal="center" vertical="center"/>
    </xf>
    <xf numFmtId="0" fontId="28" fillId="0" borderId="8" xfId="1" applyFont="1" applyBorder="1" applyAlignment="1">
      <alignment horizontal="center" vertical="center"/>
    </xf>
    <xf numFmtId="20" fontId="9" fillId="0" borderId="38" xfId="1" applyNumberFormat="1" applyFont="1" applyBorder="1" applyAlignment="1">
      <alignment horizontal="center"/>
    </xf>
    <xf numFmtId="20" fontId="28" fillId="0" borderId="33" xfId="1" applyNumberFormat="1" applyFont="1" applyBorder="1" applyAlignment="1">
      <alignment horizontal="center"/>
    </xf>
    <xf numFmtId="20" fontId="28" fillId="0" borderId="8" xfId="1" applyNumberFormat="1" applyFont="1" applyBorder="1" applyAlignment="1">
      <alignment horizontal="center"/>
    </xf>
    <xf numFmtId="20" fontId="28" fillId="0" borderId="8" xfId="1" applyNumberFormat="1" applyFont="1" applyBorder="1" applyAlignment="1">
      <alignment horizontal="center" vertical="center"/>
    </xf>
    <xf numFmtId="20" fontId="27" fillId="0" borderId="19" xfId="1" applyNumberFormat="1" applyFont="1" applyBorder="1" applyAlignment="1">
      <alignment horizontal="center"/>
    </xf>
    <xf numFmtId="20" fontId="8" fillId="0" borderId="33" xfId="1" applyNumberFormat="1" applyFont="1" applyBorder="1" applyAlignment="1">
      <alignment horizontal="center"/>
    </xf>
    <xf numFmtId="20" fontId="8" fillId="0" borderId="8" xfId="1" applyNumberFormat="1" applyFont="1" applyBorder="1" applyAlignment="1">
      <alignment horizontal="center"/>
    </xf>
    <xf numFmtId="20" fontId="28" fillId="0" borderId="25" xfId="1" applyNumberFormat="1" applyFont="1" applyBorder="1" applyAlignment="1">
      <alignment horizontal="center"/>
    </xf>
    <xf numFmtId="20" fontId="27" fillId="0" borderId="8" xfId="1" applyNumberFormat="1" applyFont="1" applyBorder="1" applyAlignment="1">
      <alignment horizontal="center" vertical="center"/>
    </xf>
    <xf numFmtId="20" fontId="28" fillId="0" borderId="19" xfId="1" applyNumberFormat="1" applyFont="1" applyBorder="1" applyAlignment="1">
      <alignment horizontal="center" vertical="center"/>
    </xf>
    <xf numFmtId="20" fontId="27" fillId="0" borderId="25" xfId="1" applyNumberFormat="1" applyFont="1" applyBorder="1" applyAlignment="1">
      <alignment horizontal="center"/>
    </xf>
    <xf numFmtId="20" fontId="27" fillId="0" borderId="38" xfId="1" applyNumberFormat="1" applyFont="1" applyBorder="1" applyAlignment="1">
      <alignment horizontal="center"/>
    </xf>
    <xf numFmtId="20" fontId="3" fillId="0" borderId="55" xfId="1" applyNumberFormat="1" applyBorder="1" applyAlignment="1">
      <alignment horizontal="center"/>
    </xf>
    <xf numFmtId="0" fontId="27" fillId="4" borderId="7" xfId="1" applyFont="1" applyFill="1" applyBorder="1" applyAlignment="1">
      <alignment horizontal="center" vertical="center"/>
    </xf>
    <xf numFmtId="20" fontId="28" fillId="0" borderId="21" xfId="1" applyNumberFormat="1" applyFont="1" applyBorder="1" applyAlignment="1">
      <alignment horizontal="center"/>
    </xf>
    <xf numFmtId="20" fontId="28" fillId="0" borderId="31" xfId="1" applyNumberFormat="1" applyFont="1" applyBorder="1" applyAlignment="1">
      <alignment horizontal="center"/>
    </xf>
    <xf numFmtId="0" fontId="27" fillId="6" borderId="7" xfId="1" quotePrefix="1" applyFont="1" applyFill="1" applyBorder="1" applyAlignment="1">
      <alignment horizontal="center" vertical="center"/>
    </xf>
    <xf numFmtId="20" fontId="27" fillId="0" borderId="21" xfId="1" applyNumberFormat="1" applyFont="1" applyBorder="1" applyAlignment="1">
      <alignment horizontal="center"/>
    </xf>
    <xf numFmtId="20" fontId="27" fillId="0" borderId="31" xfId="1" applyNumberFormat="1" applyFont="1" applyBorder="1" applyAlignment="1">
      <alignment horizontal="center"/>
    </xf>
    <xf numFmtId="20" fontId="27" fillId="0" borderId="8" xfId="1" applyNumberFormat="1" applyFont="1" applyBorder="1" applyAlignment="1">
      <alignment horizontal="center"/>
    </xf>
    <xf numFmtId="20" fontId="27" fillId="0" borderId="19" xfId="1" applyNumberFormat="1" applyFont="1" applyBorder="1" applyAlignment="1">
      <alignment horizontal="center" vertical="center"/>
    </xf>
    <xf numFmtId="0" fontId="29" fillId="0" borderId="19" xfId="1" applyFont="1" applyBorder="1" applyAlignment="1">
      <alignment horizontal="center"/>
    </xf>
    <xf numFmtId="20" fontId="3" fillId="0" borderId="0" xfId="1" applyNumberFormat="1" applyAlignment="1">
      <alignment horizontal="center"/>
    </xf>
    <xf numFmtId="20" fontId="3" fillId="0" borderId="46" xfId="1" applyNumberFormat="1" applyBorder="1" applyAlignment="1">
      <alignment horizontal="center"/>
    </xf>
    <xf numFmtId="20" fontId="30" fillId="0" borderId="19" xfId="1" applyNumberFormat="1" applyFont="1" applyBorder="1" applyAlignment="1">
      <alignment horizontal="center" vertical="center"/>
    </xf>
    <xf numFmtId="20" fontId="27" fillId="0" borderId="33" xfId="1" applyNumberFormat="1" applyFont="1" applyBorder="1" applyAlignment="1">
      <alignment horizontal="center"/>
    </xf>
    <xf numFmtId="20" fontId="30" fillId="0" borderId="33" xfId="1" applyNumberFormat="1" applyFont="1" applyBorder="1" applyAlignment="1">
      <alignment horizontal="center" vertical="center"/>
    </xf>
    <xf numFmtId="20" fontId="30" fillId="0" borderId="38" xfId="1" applyNumberFormat="1" applyFont="1" applyBorder="1" applyAlignment="1">
      <alignment horizontal="center" vertical="center"/>
    </xf>
    <xf numFmtId="20" fontId="30" fillId="0" borderId="55" xfId="1" applyNumberFormat="1" applyFont="1" applyBorder="1" applyAlignment="1">
      <alignment horizontal="center" vertical="center"/>
    </xf>
    <xf numFmtId="20" fontId="27" fillId="0" borderId="33" xfId="1" applyNumberFormat="1" applyFont="1" applyBorder="1" applyAlignment="1">
      <alignment horizontal="center" vertical="center"/>
    </xf>
    <xf numFmtId="20" fontId="27" fillId="0" borderId="38" xfId="1" applyNumberFormat="1" applyFont="1" applyBorder="1" applyAlignment="1">
      <alignment horizontal="center" vertical="center"/>
    </xf>
    <xf numFmtId="20" fontId="7" fillId="0" borderId="46" xfId="1" applyNumberFormat="1" applyFont="1" applyBorder="1" applyAlignment="1">
      <alignment horizontal="center"/>
    </xf>
    <xf numFmtId="20" fontId="11" fillId="0" borderId="19" xfId="5" applyNumberFormat="1" applyFont="1" applyBorder="1" applyAlignment="1">
      <alignment horizontal="center"/>
    </xf>
    <xf numFmtId="20" fontId="27" fillId="0" borderId="31" xfId="1" applyNumberFormat="1" applyFont="1" applyBorder="1" applyAlignment="1">
      <alignment horizontal="center" vertical="center"/>
    </xf>
    <xf numFmtId="20" fontId="28" fillId="0" borderId="0" xfId="1" applyNumberFormat="1" applyFont="1" applyAlignment="1">
      <alignment horizontal="center" vertical="center"/>
    </xf>
    <xf numFmtId="20" fontId="11" fillId="0" borderId="8" xfId="5" applyNumberFormat="1" applyFont="1" applyBorder="1" applyAlignment="1">
      <alignment horizontal="center"/>
    </xf>
    <xf numFmtId="46" fontId="28" fillId="0" borderId="19" xfId="1" applyNumberFormat="1" applyFont="1" applyBorder="1" applyAlignment="1">
      <alignment vertical="center"/>
    </xf>
    <xf numFmtId="20" fontId="0" fillId="0" borderId="0" xfId="0" applyNumberFormat="1"/>
    <xf numFmtId="0" fontId="27" fillId="0" borderId="19" xfId="1" applyFont="1" applyBorder="1" applyAlignment="1">
      <alignment vertical="center"/>
    </xf>
    <xf numFmtId="0" fontId="27" fillId="0" borderId="50" xfId="1" applyFont="1" applyBorder="1" applyAlignment="1">
      <alignment horizontal="left" vertical="center"/>
    </xf>
    <xf numFmtId="0" fontId="27" fillId="0" borderId="51" xfId="1" applyFont="1" applyBorder="1" applyAlignment="1">
      <alignment horizontal="center" vertical="center"/>
    </xf>
    <xf numFmtId="0" fontId="27" fillId="0" borderId="53" xfId="1" applyFont="1" applyBorder="1" applyAlignment="1">
      <alignment horizontal="center" vertical="center"/>
    </xf>
    <xf numFmtId="0" fontId="28" fillId="0" borderId="53" xfId="1" applyFont="1" applyBorder="1" applyAlignment="1">
      <alignment vertical="center"/>
    </xf>
    <xf numFmtId="20" fontId="27" fillId="0" borderId="47" xfId="1" applyNumberFormat="1" applyFont="1" applyBorder="1" applyAlignment="1">
      <alignment horizontal="center" vertical="center"/>
    </xf>
    <xf numFmtId="0" fontId="28" fillId="0" borderId="54" xfId="1" applyFont="1" applyBorder="1" applyAlignment="1">
      <alignment vertical="center"/>
    </xf>
    <xf numFmtId="0" fontId="27" fillId="0" borderId="50" xfId="1" applyFont="1" applyBorder="1" applyAlignment="1">
      <alignment horizontal="right" vertical="center"/>
    </xf>
    <xf numFmtId="0" fontId="28" fillId="0" borderId="0" xfId="1" applyFont="1" applyAlignment="1">
      <alignment vertical="center"/>
    </xf>
    <xf numFmtId="0" fontId="27" fillId="0" borderId="0" xfId="1" applyFont="1" applyAlignment="1">
      <alignment horizontal="right" vertical="center"/>
    </xf>
    <xf numFmtId="0" fontId="12" fillId="0" borderId="0" xfId="1" applyFont="1"/>
    <xf numFmtId="0" fontId="12" fillId="0" borderId="0" xfId="1" applyFont="1" applyAlignment="1">
      <alignment horizontal="center"/>
    </xf>
    <xf numFmtId="0" fontId="3" fillId="0" borderId="0" xfId="1" applyAlignment="1">
      <alignment horizontal="center"/>
    </xf>
    <xf numFmtId="164" fontId="19" fillId="0" borderId="0" xfId="4" applyNumberFormat="1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19" fillId="2" borderId="57" xfId="4" applyFont="1" applyFill="1" applyBorder="1" applyAlignment="1">
      <alignment horizontal="center"/>
    </xf>
    <xf numFmtId="0" fontId="19" fillId="2" borderId="58" xfId="4" applyFont="1" applyFill="1" applyBorder="1" applyAlignment="1">
      <alignment horizontal="center"/>
    </xf>
    <xf numFmtId="0" fontId="19" fillId="2" borderId="59" xfId="4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164" fontId="20" fillId="0" borderId="56" xfId="4" quotePrefix="1" applyNumberFormat="1" applyFont="1" applyBorder="1" applyAlignment="1">
      <alignment horizontal="center"/>
    </xf>
    <xf numFmtId="49" fontId="20" fillId="0" borderId="62" xfId="4" applyNumberFormat="1" applyFont="1" applyBorder="1" applyAlignment="1">
      <alignment horizontal="center"/>
    </xf>
    <xf numFmtId="164" fontId="12" fillId="0" borderId="0" xfId="1" applyNumberFormat="1" applyFont="1" applyAlignment="1">
      <alignment horizontal="center"/>
    </xf>
    <xf numFmtId="49" fontId="20" fillId="0" borderId="94" xfId="4" applyNumberFormat="1" applyFont="1" applyBorder="1" applyAlignment="1">
      <alignment horizontal="center"/>
    </xf>
    <xf numFmtId="20" fontId="12" fillId="0" borderId="0" xfId="1" applyNumberFormat="1" applyFont="1" applyAlignment="1">
      <alignment horizontal="center"/>
    </xf>
    <xf numFmtId="0" fontId="33" fillId="0" borderId="0" xfId="0" applyFont="1" applyAlignment="1">
      <alignment horizontal="center"/>
    </xf>
    <xf numFmtId="49" fontId="20" fillId="0" borderId="68" xfId="4" applyNumberFormat="1" applyFont="1" applyBorder="1" applyAlignment="1">
      <alignment horizontal="center"/>
    </xf>
    <xf numFmtId="0" fontId="33" fillId="0" borderId="0" xfId="0" applyFont="1"/>
    <xf numFmtId="164" fontId="12" fillId="0" borderId="0" xfId="1" applyNumberFormat="1" applyFont="1"/>
    <xf numFmtId="49" fontId="20" fillId="0" borderId="79" xfId="4" applyNumberFormat="1" applyFont="1" applyBorder="1" applyAlignment="1">
      <alignment horizontal="center"/>
    </xf>
    <xf numFmtId="49" fontId="20" fillId="0" borderId="73" xfId="4" applyNumberFormat="1" applyFont="1" applyBorder="1" applyAlignment="1">
      <alignment horizontal="center"/>
    </xf>
    <xf numFmtId="20" fontId="11" fillId="0" borderId="55" xfId="5" applyNumberFormat="1" applyFont="1" applyBorder="1" applyAlignment="1">
      <alignment horizontal="center"/>
    </xf>
    <xf numFmtId="0" fontId="8" fillId="0" borderId="0" xfId="1" applyFont="1"/>
    <xf numFmtId="20" fontId="20" fillId="0" borderId="95" xfId="4" applyNumberFormat="1" applyFont="1" applyBorder="1" applyAlignment="1">
      <alignment horizontal="center"/>
    </xf>
    <xf numFmtId="20" fontId="20" fillId="0" borderId="57" xfId="4" applyNumberFormat="1" applyFont="1" applyBorder="1" applyAlignment="1">
      <alignment horizontal="center"/>
    </xf>
    <xf numFmtId="20" fontId="20" fillId="0" borderId="58" xfId="4" applyNumberFormat="1" applyFont="1" applyBorder="1" applyAlignment="1">
      <alignment horizontal="center"/>
    </xf>
    <xf numFmtId="0" fontId="3" fillId="2" borderId="1" xfId="6" applyFill="1" applyBorder="1"/>
    <xf numFmtId="0" fontId="3" fillId="2" borderId="2" xfId="6" applyFill="1" applyBorder="1"/>
    <xf numFmtId="164" fontId="7" fillId="3" borderId="7" xfId="6" applyNumberFormat="1" applyFont="1" applyFill="1" applyBorder="1" applyAlignment="1">
      <alignment horizontal="center"/>
    </xf>
    <xf numFmtId="0" fontId="3" fillId="3" borderId="3" xfId="6" applyFill="1" applyBorder="1"/>
    <xf numFmtId="0" fontId="3" fillId="0" borderId="0" xfId="6"/>
    <xf numFmtId="164" fontId="3" fillId="0" borderId="0" xfId="6" applyNumberFormat="1" applyAlignment="1">
      <alignment horizontal="center"/>
    </xf>
    <xf numFmtId="0" fontId="19" fillId="2" borderId="80" xfId="4" applyFont="1" applyFill="1" applyBorder="1" applyAlignment="1">
      <alignment horizontal="center"/>
    </xf>
    <xf numFmtId="0" fontId="19" fillId="2" borderId="81" xfId="4" applyFont="1" applyFill="1" applyBorder="1" applyAlignment="1">
      <alignment horizontal="center"/>
    </xf>
    <xf numFmtId="0" fontId="19" fillId="2" borderId="82" xfId="4" applyFont="1" applyFill="1" applyBorder="1" applyAlignment="1">
      <alignment horizontal="center"/>
    </xf>
    <xf numFmtId="164" fontId="19" fillId="0" borderId="62" xfId="4" applyNumberFormat="1" applyFont="1" applyBorder="1" applyAlignment="1">
      <alignment horizontal="center"/>
    </xf>
    <xf numFmtId="164" fontId="19" fillId="0" borderId="68" xfId="4" applyNumberFormat="1" applyFont="1" applyBorder="1" applyAlignment="1">
      <alignment horizontal="center"/>
    </xf>
    <xf numFmtId="0" fontId="3" fillId="2" borderId="3" xfId="6" applyFill="1" applyBorder="1"/>
    <xf numFmtId="20" fontId="20" fillId="0" borderId="76" xfId="4" applyNumberFormat="1" applyFont="1" applyBorder="1" applyAlignment="1">
      <alignment horizontal="center"/>
    </xf>
    <xf numFmtId="164" fontId="34" fillId="4" borderId="0" xfId="6" applyNumberFormat="1" applyFont="1" applyFill="1" applyAlignment="1">
      <alignment horizontal="center"/>
    </xf>
    <xf numFmtId="20" fontId="3" fillId="0" borderId="96" xfId="1" applyNumberFormat="1" applyBorder="1" applyAlignment="1">
      <alignment horizontal="center"/>
    </xf>
    <xf numFmtId="20" fontId="7" fillId="0" borderId="0" xfId="1" quotePrefix="1" applyNumberFormat="1" applyFont="1" applyAlignment="1">
      <alignment horizontal="center"/>
    </xf>
    <xf numFmtId="0" fontId="28" fillId="19" borderId="55" xfId="1" applyFont="1" applyFill="1" applyBorder="1" applyAlignment="1">
      <alignment horizontal="center" vertical="center"/>
    </xf>
    <xf numFmtId="0" fontId="28" fillId="0" borderId="55" xfId="1" applyFont="1" applyBorder="1" applyAlignment="1">
      <alignment horizontal="center" vertical="center"/>
    </xf>
    <xf numFmtId="0" fontId="27" fillId="0" borderId="17" xfId="1" applyFont="1" applyBorder="1" applyAlignment="1">
      <alignment vertical="center"/>
    </xf>
    <xf numFmtId="0" fontId="27" fillId="0" borderId="26" xfId="1" applyFont="1" applyBorder="1" applyAlignment="1">
      <alignment horizontal="center" vertical="center"/>
    </xf>
    <xf numFmtId="0" fontId="27" fillId="17" borderId="9" xfId="1" applyFont="1" applyFill="1" applyBorder="1" applyAlignment="1">
      <alignment horizontal="center" vertical="center"/>
    </xf>
    <xf numFmtId="0" fontId="28" fillId="0" borderId="28" xfId="1" applyFont="1" applyBorder="1" applyAlignment="1">
      <alignment horizontal="center" vertical="center"/>
    </xf>
    <xf numFmtId="0" fontId="28" fillId="0" borderId="18" xfId="1" applyFont="1" applyBorder="1" applyAlignment="1">
      <alignment horizontal="center" vertical="center"/>
    </xf>
    <xf numFmtId="0" fontId="27" fillId="17" borderId="10" xfId="1" applyFont="1" applyFill="1" applyBorder="1" applyAlignment="1">
      <alignment horizontal="center" vertical="center"/>
    </xf>
    <xf numFmtId="0" fontId="27" fillId="0" borderId="17" xfId="1" applyFont="1" applyBorder="1" applyAlignment="1">
      <alignment horizontal="right" vertical="center"/>
    </xf>
    <xf numFmtId="20" fontId="28" fillId="0" borderId="75" xfId="1" applyNumberFormat="1" applyFont="1" applyBorder="1" applyAlignment="1">
      <alignment horizontal="center" vertical="center"/>
    </xf>
    <xf numFmtId="0" fontId="28" fillId="0" borderId="31" xfId="1" applyFont="1" applyBorder="1" applyAlignment="1">
      <alignment horizontal="center" vertical="center"/>
    </xf>
    <xf numFmtId="0" fontId="28" fillId="0" borderId="25" xfId="1" applyFont="1" applyBorder="1" applyAlignment="1">
      <alignment horizontal="center" vertical="center"/>
    </xf>
    <xf numFmtId="49" fontId="27" fillId="18" borderId="7" xfId="1" applyNumberFormat="1" applyFont="1" applyFill="1" applyBorder="1" applyAlignment="1">
      <alignment horizontal="center" vertical="center"/>
    </xf>
    <xf numFmtId="49" fontId="27" fillId="18" borderId="7" xfId="1" quotePrefix="1" applyNumberFormat="1" applyFont="1" applyFill="1" applyBorder="1" applyAlignment="1">
      <alignment horizontal="center" vertical="center"/>
    </xf>
    <xf numFmtId="0" fontId="27" fillId="18" borderId="3" xfId="1" quotePrefix="1" applyFont="1" applyFill="1" applyBorder="1" applyAlignment="1">
      <alignment horizontal="center" vertical="center"/>
    </xf>
    <xf numFmtId="20" fontId="27" fillId="0" borderId="28" xfId="1" applyNumberFormat="1" applyFont="1" applyBorder="1" applyAlignment="1">
      <alignment horizontal="center" vertical="center"/>
    </xf>
    <xf numFmtId="0" fontId="28" fillId="0" borderId="38" xfId="1" applyFont="1" applyBorder="1" applyAlignment="1">
      <alignment horizontal="center" vertical="center"/>
    </xf>
    <xf numFmtId="0" fontId="27" fillId="0" borderId="8" xfId="1" applyFont="1" applyBorder="1" applyAlignment="1">
      <alignment horizontal="center" vertical="center"/>
    </xf>
    <xf numFmtId="0" fontId="27" fillId="0" borderId="31" xfId="1" applyFont="1" applyBorder="1" applyAlignment="1">
      <alignment horizontal="center" vertical="center"/>
    </xf>
    <xf numFmtId="20" fontId="28" fillId="0" borderId="38" xfId="1" applyNumberFormat="1" applyFont="1" applyBorder="1" applyAlignment="1">
      <alignment horizontal="center" vertical="center"/>
    </xf>
    <xf numFmtId="20" fontId="28" fillId="0" borderId="31" xfId="1" applyNumberFormat="1" applyFont="1" applyBorder="1" applyAlignment="1">
      <alignment horizontal="center" vertical="center"/>
    </xf>
    <xf numFmtId="20" fontId="28" fillId="0" borderId="25" xfId="1" applyNumberFormat="1" applyFont="1" applyBorder="1" applyAlignment="1">
      <alignment horizontal="center" vertical="center"/>
    </xf>
    <xf numFmtId="20" fontId="28" fillId="0" borderId="33" xfId="1" applyNumberFormat="1" applyFont="1" applyBorder="1" applyAlignment="1">
      <alignment horizontal="center" vertical="center"/>
    </xf>
    <xf numFmtId="20" fontId="30" fillId="0" borderId="8" xfId="1" applyNumberFormat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20" fontId="36" fillId="0" borderId="31" xfId="1" applyNumberFormat="1" applyFont="1" applyBorder="1" applyAlignment="1">
      <alignment horizontal="center" vertical="center"/>
    </xf>
    <xf numFmtId="0" fontId="28" fillId="0" borderId="33" xfId="1" applyFont="1" applyBorder="1" applyAlignment="1">
      <alignment horizontal="center" vertical="center"/>
    </xf>
    <xf numFmtId="0" fontId="3" fillId="0" borderId="38" xfId="1" applyBorder="1"/>
    <xf numFmtId="0" fontId="7" fillId="0" borderId="31" xfId="1" applyFont="1" applyBorder="1" applyAlignment="1">
      <alignment horizontal="center"/>
    </xf>
    <xf numFmtId="46" fontId="28" fillId="0" borderId="19" xfId="1" applyNumberFormat="1" applyFont="1" applyBorder="1" applyAlignment="1">
      <alignment horizontal="center" vertical="center"/>
    </xf>
    <xf numFmtId="46" fontId="27" fillId="0" borderId="19" xfId="1" applyNumberFormat="1" applyFont="1" applyBorder="1" applyAlignment="1">
      <alignment horizontal="center" vertical="center"/>
    </xf>
    <xf numFmtId="20" fontId="36" fillId="0" borderId="55" xfId="1" applyNumberFormat="1" applyFont="1" applyBorder="1" applyAlignment="1">
      <alignment horizontal="center" vertical="center"/>
    </xf>
    <xf numFmtId="0" fontId="27" fillId="0" borderId="38" xfId="1" applyFont="1" applyBorder="1" applyAlignment="1">
      <alignment horizontal="center" vertical="center"/>
    </xf>
    <xf numFmtId="0" fontId="27" fillId="19" borderId="24" xfId="1" applyFont="1" applyFill="1" applyBorder="1" applyAlignment="1">
      <alignment horizontal="right" vertical="center" indent="1"/>
    </xf>
    <xf numFmtId="0" fontId="28" fillId="0" borderId="24" xfId="1" applyFont="1" applyBorder="1" applyAlignment="1">
      <alignment horizontal="right" vertical="center" indent="1"/>
    </xf>
    <xf numFmtId="0" fontId="8" fillId="0" borderId="24" xfId="1" applyFont="1" applyBorder="1" applyAlignment="1">
      <alignment horizontal="right" vertical="center" indent="1"/>
    </xf>
    <xf numFmtId="0" fontId="9" fillId="0" borderId="24" xfId="1" applyFont="1" applyBorder="1" applyAlignment="1">
      <alignment horizontal="right" vertical="center" indent="1"/>
    </xf>
    <xf numFmtId="0" fontId="27" fillId="0" borderId="52" xfId="1" applyFont="1" applyBorder="1" applyAlignment="1">
      <alignment horizontal="center" vertical="center"/>
    </xf>
    <xf numFmtId="20" fontId="27" fillId="0" borderId="53" xfId="1" applyNumberFormat="1" applyFont="1" applyBorder="1" applyAlignment="1">
      <alignment horizontal="center" vertical="center"/>
    </xf>
    <xf numFmtId="0" fontId="27" fillId="0" borderId="106" xfId="1" applyFont="1" applyBorder="1" applyAlignment="1">
      <alignment horizontal="center" vertical="center"/>
    </xf>
    <xf numFmtId="0" fontId="27" fillId="0" borderId="54" xfId="1" applyFont="1" applyBorder="1" applyAlignment="1">
      <alignment horizontal="center" vertical="center"/>
    </xf>
    <xf numFmtId="0" fontId="27" fillId="0" borderId="50" xfId="1" applyFont="1" applyBorder="1" applyAlignment="1">
      <alignment horizontal="right" vertical="center" indent="1"/>
    </xf>
    <xf numFmtId="20" fontId="37" fillId="0" borderId="55" xfId="1" applyNumberFormat="1" applyFont="1" applyBorder="1" applyAlignment="1">
      <alignment horizontal="center" vertical="center"/>
    </xf>
    <xf numFmtId="20" fontId="38" fillId="0" borderId="55" xfId="1" applyNumberFormat="1" applyFont="1" applyBorder="1" applyAlignment="1">
      <alignment horizontal="center" vertical="center"/>
    </xf>
    <xf numFmtId="0" fontId="16" fillId="3" borderId="2" xfId="4" applyFont="1" applyFill="1" applyBorder="1" applyAlignment="1">
      <alignment vertical="center"/>
    </xf>
    <xf numFmtId="0" fontId="17" fillId="3" borderId="2" xfId="4" applyFont="1" applyFill="1" applyBorder="1" applyAlignment="1">
      <alignment vertical="center"/>
    </xf>
    <xf numFmtId="20" fontId="27" fillId="0" borderId="55" xfId="1" applyNumberFormat="1" applyFont="1" applyBorder="1" applyAlignment="1">
      <alignment horizontal="center" vertical="center"/>
    </xf>
    <xf numFmtId="164" fontId="3" fillId="0" borderId="0" xfId="1" applyNumberFormat="1" applyAlignment="1">
      <alignment horizontal="center" vertical="center"/>
    </xf>
    <xf numFmtId="0" fontId="3" fillId="0" borderId="0" xfId="1" applyAlignment="1">
      <alignment vertical="center"/>
    </xf>
    <xf numFmtId="20" fontId="11" fillId="0" borderId="55" xfId="1" applyNumberFormat="1" applyFont="1" applyBorder="1" applyAlignment="1">
      <alignment horizontal="center"/>
    </xf>
    <xf numFmtId="20" fontId="39" fillId="0" borderId="0" xfId="1" applyNumberFormat="1" applyFont="1" applyAlignment="1">
      <alignment horizontal="center"/>
    </xf>
    <xf numFmtId="164" fontId="39" fillId="0" borderId="0" xfId="1" applyNumberFormat="1" applyFont="1" applyAlignment="1">
      <alignment horizontal="center" vertical="center"/>
    </xf>
    <xf numFmtId="164" fontId="39" fillId="0" borderId="0" xfId="1" applyNumberFormat="1" applyFont="1" applyAlignment="1">
      <alignment horizontal="center"/>
    </xf>
    <xf numFmtId="0" fontId="39" fillId="0" borderId="0" xfId="1" applyFont="1"/>
    <xf numFmtId="164" fontId="3" fillId="0" borderId="0" xfId="1" applyNumberFormat="1" applyAlignment="1">
      <alignment horizontal="center"/>
    </xf>
    <xf numFmtId="0" fontId="31" fillId="0" borderId="0" xfId="0" applyFont="1"/>
    <xf numFmtId="164" fontId="9" fillId="0" borderId="0" xfId="4" applyNumberFormat="1" applyFont="1" applyAlignment="1">
      <alignment horizontal="left" vertical="center"/>
    </xf>
    <xf numFmtId="164" fontId="20" fillId="0" borderId="0" xfId="4" applyNumberFormat="1" applyFont="1" applyAlignment="1">
      <alignment horizontal="center" vertical="center"/>
    </xf>
    <xf numFmtId="164" fontId="20" fillId="0" borderId="0" xfId="4" quotePrefix="1" applyNumberFormat="1" applyFont="1" applyAlignment="1">
      <alignment horizontal="center"/>
    </xf>
    <xf numFmtId="164" fontId="3" fillId="0" borderId="0" xfId="1" applyNumberFormat="1"/>
    <xf numFmtId="49" fontId="20" fillId="0" borderId="72" xfId="4" applyNumberFormat="1" applyFont="1" applyBorder="1" applyAlignment="1">
      <alignment horizontal="center"/>
    </xf>
    <xf numFmtId="164" fontId="20" fillId="0" borderId="12" xfId="4" applyNumberFormat="1" applyFont="1" applyBorder="1" applyAlignment="1">
      <alignment horizontal="center"/>
    </xf>
    <xf numFmtId="49" fontId="20" fillId="0" borderId="12" xfId="4" applyNumberFormat="1" applyFont="1" applyBorder="1" applyAlignment="1">
      <alignment horizontal="center"/>
    </xf>
    <xf numFmtId="164" fontId="20" fillId="0" borderId="99" xfId="4" applyNumberFormat="1" applyFont="1" applyBorder="1" applyAlignment="1">
      <alignment horizontal="center"/>
    </xf>
    <xf numFmtId="164" fontId="20" fillId="0" borderId="109" xfId="4" applyNumberFormat="1" applyFont="1" applyBorder="1" applyAlignment="1">
      <alignment horizontal="center"/>
    </xf>
    <xf numFmtId="164" fontId="20" fillId="0" borderId="98" xfId="4" applyNumberFormat="1" applyFont="1" applyBorder="1" applyAlignment="1">
      <alignment horizontal="center"/>
    </xf>
    <xf numFmtId="164" fontId="20" fillId="0" borderId="110" xfId="4" applyNumberFormat="1" applyFont="1" applyBorder="1" applyAlignment="1">
      <alignment horizontal="center"/>
    </xf>
    <xf numFmtId="49" fontId="20" fillId="0" borderId="101" xfId="4" applyNumberFormat="1" applyFont="1" applyBorder="1" applyAlignment="1">
      <alignment horizontal="center"/>
    </xf>
    <xf numFmtId="20" fontId="20" fillId="0" borderId="60" xfId="4" applyNumberFormat="1" applyFont="1" applyBorder="1" applyAlignment="1">
      <alignment horizontal="center"/>
    </xf>
    <xf numFmtId="20" fontId="20" fillId="0" borderId="59" xfId="4" applyNumberFormat="1" applyFont="1" applyBorder="1" applyAlignment="1">
      <alignment horizontal="center"/>
    </xf>
    <xf numFmtId="164" fontId="20" fillId="2" borderId="1" xfId="4" applyNumberFormat="1" applyFont="1" applyFill="1" applyBorder="1" applyAlignment="1">
      <alignment horizontal="center"/>
    </xf>
    <xf numFmtId="164" fontId="20" fillId="2" borderId="2" xfId="4" applyNumberFormat="1" applyFont="1" applyFill="1" applyBorder="1" applyAlignment="1">
      <alignment horizontal="center"/>
    </xf>
    <xf numFmtId="49" fontId="20" fillId="2" borderId="2" xfId="4" applyNumberFormat="1" applyFont="1" applyFill="1" applyBorder="1" applyAlignment="1">
      <alignment horizontal="center"/>
    </xf>
    <xf numFmtId="164" fontId="19" fillId="15" borderId="9" xfId="4" applyNumberFormat="1" applyFont="1" applyFill="1" applyBorder="1" applyAlignment="1">
      <alignment horizontal="center"/>
    </xf>
    <xf numFmtId="164" fontId="20" fillId="2" borderId="9" xfId="4" applyNumberFormat="1" applyFont="1" applyFill="1" applyBorder="1" applyAlignment="1">
      <alignment horizontal="center"/>
    </xf>
    <xf numFmtId="164" fontId="19" fillId="0" borderId="73" xfId="4" applyNumberFormat="1" applyFont="1" applyBorder="1" applyAlignment="1">
      <alignment horizontal="center"/>
    </xf>
    <xf numFmtId="164" fontId="20" fillId="2" borderId="3" xfId="4" applyNumberFormat="1" applyFont="1" applyFill="1" applyBorder="1" applyAlignment="1">
      <alignment horizontal="center"/>
    </xf>
    <xf numFmtId="164" fontId="20" fillId="2" borderId="7" xfId="4" applyNumberFormat="1" applyFont="1" applyFill="1" applyBorder="1" applyAlignment="1">
      <alignment horizontal="center"/>
    </xf>
    <xf numFmtId="164" fontId="20" fillId="3" borderId="7" xfId="4" applyNumberFormat="1" applyFont="1" applyFill="1" applyBorder="1" applyAlignment="1">
      <alignment horizontal="center"/>
    </xf>
    <xf numFmtId="0" fontId="19" fillId="2" borderId="90" xfId="4" applyFont="1" applyFill="1" applyBorder="1" applyAlignment="1">
      <alignment horizontal="center"/>
    </xf>
    <xf numFmtId="0" fontId="19" fillId="2" borderId="89" xfId="4" applyFont="1" applyFill="1" applyBorder="1" applyAlignment="1">
      <alignment horizontal="center"/>
    </xf>
    <xf numFmtId="20" fontId="20" fillId="0" borderId="111" xfId="4" applyNumberFormat="1" applyFont="1" applyBorder="1" applyAlignment="1">
      <alignment horizontal="center"/>
    </xf>
    <xf numFmtId="20" fontId="20" fillId="0" borderId="77" xfId="4" applyNumberFormat="1" applyFont="1" applyBorder="1" applyAlignment="1">
      <alignment horizontal="center"/>
    </xf>
    <xf numFmtId="20" fontId="20" fillId="0" borderId="100" xfId="4" applyNumberFormat="1" applyFont="1" applyBorder="1" applyAlignment="1">
      <alignment horizontal="center"/>
    </xf>
    <xf numFmtId="20" fontId="20" fillId="0" borderId="61" xfId="4" applyNumberFormat="1" applyFont="1" applyBorder="1" applyAlignment="1">
      <alignment horizontal="center"/>
    </xf>
    <xf numFmtId="20" fontId="20" fillId="0" borderId="112" xfId="4" applyNumberFormat="1" applyFont="1" applyBorder="1" applyAlignment="1">
      <alignment horizontal="center"/>
    </xf>
    <xf numFmtId="20" fontId="20" fillId="0" borderId="113" xfId="4" applyNumberFormat="1" applyFont="1" applyBorder="1" applyAlignment="1">
      <alignment horizontal="center"/>
    </xf>
    <xf numFmtId="20" fontId="20" fillId="0" borderId="114" xfId="4" applyNumberFormat="1" applyFont="1" applyBorder="1" applyAlignment="1">
      <alignment horizontal="center"/>
    </xf>
    <xf numFmtId="164" fontId="7" fillId="4" borderId="0" xfId="1" applyNumberFormat="1" applyFont="1" applyFill="1" applyAlignment="1">
      <alignment horizontal="center"/>
    </xf>
    <xf numFmtId="0" fontId="42" fillId="20" borderId="101" xfId="0" applyFont="1" applyFill="1" applyBorder="1" applyAlignment="1">
      <alignment horizontal="left"/>
    </xf>
    <xf numFmtId="0" fontId="43" fillId="20" borderId="0" xfId="0" applyFont="1" applyFill="1" applyAlignment="1">
      <alignment horizontal="center"/>
    </xf>
    <xf numFmtId="0" fontId="42" fillId="20" borderId="0" xfId="0" applyFont="1" applyFill="1"/>
    <xf numFmtId="0" fontId="42" fillId="20" borderId="0" xfId="0" applyFont="1" applyFill="1" applyAlignment="1">
      <alignment horizontal="center"/>
    </xf>
    <xf numFmtId="0" fontId="44" fillId="20" borderId="12" xfId="0" applyFont="1" applyFill="1" applyBorder="1" applyAlignment="1">
      <alignment horizontal="center"/>
    </xf>
    <xf numFmtId="0" fontId="44" fillId="20" borderId="11" xfId="0" applyFont="1" applyFill="1" applyBorder="1" applyAlignment="1">
      <alignment horizontal="center"/>
    </xf>
    <xf numFmtId="0" fontId="44" fillId="20" borderId="11" xfId="0" applyFont="1" applyFill="1" applyBorder="1"/>
    <xf numFmtId="0" fontId="44" fillId="20" borderId="10" xfId="0" applyFont="1" applyFill="1" applyBorder="1" applyAlignment="1">
      <alignment horizontal="center"/>
    </xf>
    <xf numFmtId="0" fontId="45" fillId="0" borderId="9" xfId="0" applyFont="1" applyBorder="1" applyAlignment="1">
      <alignment horizontal="center"/>
    </xf>
    <xf numFmtId="0" fontId="45" fillId="0" borderId="115" xfId="0" applyFont="1" applyBorder="1" applyAlignment="1">
      <alignment horizontal="center"/>
    </xf>
    <xf numFmtId="0" fontId="45" fillId="0" borderId="116" xfId="0" applyFont="1" applyBorder="1" applyAlignment="1">
      <alignment horizontal="center"/>
    </xf>
    <xf numFmtId="0" fontId="45" fillId="0" borderId="9" xfId="0" applyFont="1" applyBorder="1"/>
    <xf numFmtId="0" fontId="45" fillId="0" borderId="11" xfId="0" applyFont="1" applyBorder="1" applyAlignment="1">
      <alignment horizontal="center"/>
    </xf>
    <xf numFmtId="0" fontId="45" fillId="0" borderId="117" xfId="0" applyFont="1" applyBorder="1" applyAlignment="1">
      <alignment horizontal="center"/>
    </xf>
    <xf numFmtId="0" fontId="46" fillId="0" borderId="118" xfId="0" applyFont="1" applyBorder="1" applyAlignment="1">
      <alignment horizontal="center"/>
    </xf>
    <xf numFmtId="0" fontId="46" fillId="0" borderId="105" xfId="0" applyFont="1" applyBorder="1" applyAlignment="1">
      <alignment horizontal="center"/>
    </xf>
    <xf numFmtId="0" fontId="46" fillId="0" borderId="105" xfId="0" applyFont="1" applyBorder="1"/>
    <xf numFmtId="0" fontId="47" fillId="0" borderId="105" xfId="0" applyFont="1" applyBorder="1" applyAlignment="1">
      <alignment horizontal="center"/>
    </xf>
    <xf numFmtId="0" fontId="46" fillId="0" borderId="119" xfId="0" applyFont="1" applyBorder="1" applyAlignment="1">
      <alignment horizontal="center"/>
    </xf>
    <xf numFmtId="0" fontId="45" fillId="0" borderId="118" xfId="0" applyFont="1" applyBorder="1" applyAlignment="1">
      <alignment horizontal="center"/>
    </xf>
    <xf numFmtId="0" fontId="45" fillId="0" borderId="105" xfId="0" applyFont="1" applyBorder="1" applyAlignment="1">
      <alignment horizontal="center"/>
    </xf>
    <xf numFmtId="0" fontId="48" fillId="0" borderId="105" xfId="0" applyFont="1" applyBorder="1"/>
    <xf numFmtId="0" fontId="49" fillId="0" borderId="4" xfId="0" applyFont="1" applyBorder="1" applyAlignment="1">
      <alignment horizontal="center"/>
    </xf>
    <xf numFmtId="0" fontId="50" fillId="0" borderId="107" xfId="0" applyFont="1" applyBorder="1" applyAlignment="1">
      <alignment horizontal="center"/>
    </xf>
    <xf numFmtId="0" fontId="45" fillId="0" borderId="24" xfId="0" applyFont="1" applyBorder="1" applyAlignment="1">
      <alignment horizontal="center"/>
    </xf>
    <xf numFmtId="0" fontId="45" fillId="0" borderId="33" xfId="0" applyFont="1" applyBorder="1" applyAlignment="1">
      <alignment horizontal="center"/>
    </xf>
    <xf numFmtId="165" fontId="45" fillId="0" borderId="19" xfId="0" applyNumberFormat="1" applyFont="1" applyBorder="1" applyAlignment="1">
      <alignment horizontal="center"/>
    </xf>
    <xf numFmtId="0" fontId="45" fillId="0" borderId="19" xfId="0" applyFont="1" applyBorder="1"/>
    <xf numFmtId="0" fontId="47" fillId="0" borderId="19" xfId="0" applyFont="1" applyBorder="1" applyAlignment="1">
      <alignment horizontal="center"/>
    </xf>
    <xf numFmtId="0" fontId="46" fillId="0" borderId="38" xfId="0" applyFont="1" applyBorder="1" applyAlignment="1">
      <alignment horizontal="center"/>
    </xf>
    <xf numFmtId="20" fontId="45" fillId="0" borderId="38" xfId="0" applyNumberFormat="1" applyFont="1" applyBorder="1" applyAlignment="1">
      <alignment horizontal="center"/>
    </xf>
    <xf numFmtId="0" fontId="46" fillId="0" borderId="33" xfId="0" applyFont="1" applyBorder="1" applyAlignment="1">
      <alignment horizontal="center"/>
    </xf>
    <xf numFmtId="0" fontId="46" fillId="0" borderId="19" xfId="0" applyFont="1" applyBorder="1"/>
    <xf numFmtId="20" fontId="46" fillId="0" borderId="38" xfId="0" applyNumberFormat="1" applyFont="1" applyBorder="1" applyAlignment="1">
      <alignment horizontal="center"/>
    </xf>
    <xf numFmtId="20" fontId="47" fillId="0" borderId="19" xfId="0" applyNumberFormat="1" applyFont="1" applyBorder="1" applyAlignment="1">
      <alignment horizontal="center"/>
    </xf>
    <xf numFmtId="0" fontId="45" fillId="0" borderId="38" xfId="0" applyFont="1" applyBorder="1" applyAlignment="1">
      <alignment horizontal="center"/>
    </xf>
    <xf numFmtId="0" fontId="51" fillId="0" borderId="50" xfId="0" applyFont="1" applyBorder="1" applyAlignment="1">
      <alignment horizontal="center"/>
    </xf>
    <xf numFmtId="0" fontId="45" fillId="0" borderId="5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8" fillId="0" borderId="11" xfId="0" applyFont="1" applyBorder="1"/>
    <xf numFmtId="0" fontId="47" fillId="0" borderId="53" xfId="0" applyFont="1" applyBorder="1" applyAlignment="1">
      <alignment horizontal="center"/>
    </xf>
    <xf numFmtId="0" fontId="46" fillId="0" borderId="54" xfId="0" applyFont="1" applyBorder="1" applyAlignment="1">
      <alignment horizontal="center"/>
    </xf>
    <xf numFmtId="0" fontId="45" fillId="0" borderId="50" xfId="0" applyFont="1" applyBorder="1" applyAlignment="1">
      <alignment horizontal="center"/>
    </xf>
    <xf numFmtId="0" fontId="46" fillId="0" borderId="51" xfId="0" applyFont="1" applyBorder="1" applyAlignment="1">
      <alignment horizontal="center"/>
    </xf>
    <xf numFmtId="0" fontId="46" fillId="0" borderId="53" xfId="0" applyFont="1" applyBorder="1" applyAlignment="1">
      <alignment horizontal="center"/>
    </xf>
    <xf numFmtId="0" fontId="46" fillId="0" borderId="53" xfId="0" applyFont="1" applyBorder="1"/>
    <xf numFmtId="0" fontId="45" fillId="0" borderId="54" xfId="0" applyFont="1" applyBorder="1" applyAlignment="1">
      <alignment horizontal="center"/>
    </xf>
    <xf numFmtId="0" fontId="42" fillId="0" borderId="101" xfId="0" applyFont="1" applyBorder="1" applyAlignment="1">
      <alignment horizontal="left"/>
    </xf>
    <xf numFmtId="0" fontId="43" fillId="0" borderId="0" xfId="0" applyFont="1" applyAlignment="1">
      <alignment horizontal="center"/>
    </xf>
    <xf numFmtId="0" fontId="42" fillId="0" borderId="0" xfId="0" applyFont="1"/>
    <xf numFmtId="0" fontId="42" fillId="0" borderId="0" xfId="0" applyFont="1" applyAlignment="1">
      <alignment horizontal="center"/>
    </xf>
    <xf numFmtId="0" fontId="44" fillId="0" borderId="12" xfId="0" applyFont="1" applyBorder="1" applyAlignment="1">
      <alignment horizontal="center"/>
    </xf>
    <xf numFmtId="0" fontId="44" fillId="0" borderId="11" xfId="0" applyFont="1" applyBorder="1" applyAlignment="1">
      <alignment horizontal="center"/>
    </xf>
    <xf numFmtId="0" fontId="44" fillId="0" borderId="11" xfId="0" applyFont="1" applyBorder="1"/>
    <xf numFmtId="0" fontId="44" fillId="0" borderId="10" xfId="0" applyFont="1" applyBorder="1" applyAlignment="1">
      <alignment horizontal="center"/>
    </xf>
    <xf numFmtId="165" fontId="45" fillId="0" borderId="53" xfId="0" applyNumberFormat="1" applyFont="1" applyBorder="1" applyAlignment="1">
      <alignment horizontal="center"/>
    </xf>
    <xf numFmtId="0" fontId="45" fillId="0" borderId="53" xfId="0" applyFont="1" applyBorder="1"/>
    <xf numFmtId="20" fontId="45" fillId="0" borderId="54" xfId="0" applyNumberFormat="1" applyFont="1" applyBorder="1" applyAlignment="1">
      <alignment horizontal="center"/>
    </xf>
    <xf numFmtId="0" fontId="45" fillId="0" borderId="37" xfId="0" applyFont="1" applyBorder="1" applyAlignment="1">
      <alignment horizontal="center"/>
    </xf>
    <xf numFmtId="0" fontId="45" fillId="0" borderId="120" xfId="0" applyFont="1" applyBorder="1" applyAlignment="1">
      <alignment horizontal="center"/>
    </xf>
    <xf numFmtId="0" fontId="45" fillId="0" borderId="121" xfId="0" applyFont="1" applyBorder="1" applyAlignment="1">
      <alignment horizontal="center"/>
    </xf>
    <xf numFmtId="0" fontId="45" fillId="0" borderId="37" xfId="0" applyFont="1" applyBorder="1"/>
    <xf numFmtId="0" fontId="46" fillId="0" borderId="104" xfId="0" applyFont="1" applyBorder="1" applyAlignment="1">
      <alignment horizontal="center"/>
    </xf>
    <xf numFmtId="0" fontId="45" fillId="0" borderId="122" xfId="0" applyFont="1" applyBorder="1" applyAlignment="1">
      <alignment horizontal="center"/>
    </xf>
    <xf numFmtId="0" fontId="49" fillId="0" borderId="105" xfId="0" applyFont="1" applyBorder="1" applyAlignment="1">
      <alignment horizontal="center"/>
    </xf>
    <xf numFmtId="0" fontId="50" fillId="0" borderId="119" xfId="0" applyFont="1" applyBorder="1" applyAlignment="1">
      <alignment horizontal="center"/>
    </xf>
    <xf numFmtId="0" fontId="46" fillId="0" borderId="31" xfId="0" applyFont="1" applyBorder="1" applyAlignment="1">
      <alignment horizontal="center"/>
    </xf>
    <xf numFmtId="0" fontId="0" fillId="0" borderId="21" xfId="0" applyBorder="1"/>
    <xf numFmtId="0" fontId="0" fillId="0" borderId="19" xfId="0" applyBorder="1"/>
    <xf numFmtId="0" fontId="0" fillId="0" borderId="38" xfId="0" applyBorder="1"/>
    <xf numFmtId="20" fontId="46" fillId="0" borderId="31" xfId="0" applyNumberFormat="1" applyFont="1" applyBorder="1" applyAlignment="1">
      <alignment horizontal="center"/>
    </xf>
    <xf numFmtId="0" fontId="45" fillId="0" borderId="21" xfId="0" applyFont="1" applyBorder="1" applyAlignment="1">
      <alignment horizontal="center"/>
    </xf>
    <xf numFmtId="20" fontId="45" fillId="0" borderId="31" xfId="0" applyNumberFormat="1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0" fillId="0" borderId="33" xfId="0" applyBorder="1"/>
    <xf numFmtId="0" fontId="46" fillId="0" borderId="106" xfId="0" applyFont="1" applyBorder="1" applyAlignment="1">
      <alignment horizontal="center"/>
    </xf>
    <xf numFmtId="0" fontId="45" fillId="0" borderId="123" xfId="0" applyFont="1" applyBorder="1" applyAlignment="1">
      <alignment horizontal="center"/>
    </xf>
    <xf numFmtId="0" fontId="19" fillId="3" borderId="14" xfId="4" applyFont="1" applyFill="1" applyBorder="1" applyAlignment="1">
      <alignment horizontal="center" vertical="center"/>
    </xf>
    <xf numFmtId="0" fontId="19" fillId="3" borderId="7" xfId="4" applyFont="1" applyFill="1" applyBorder="1" applyAlignment="1">
      <alignment horizontal="center" vertical="center"/>
    </xf>
    <xf numFmtId="0" fontId="19" fillId="3" borderId="56" xfId="4" applyFont="1" applyFill="1" applyBorder="1" applyAlignment="1">
      <alignment horizontal="center" vertical="center"/>
    </xf>
    <xf numFmtId="49" fontId="19" fillId="3" borderId="14" xfId="4" applyNumberFormat="1" applyFont="1" applyFill="1" applyBorder="1" applyAlignment="1">
      <alignment horizontal="center" vertical="center"/>
    </xf>
    <xf numFmtId="49" fontId="19" fillId="3" borderId="7" xfId="4" applyNumberFormat="1" applyFont="1" applyFill="1" applyBorder="1" applyAlignment="1">
      <alignment horizontal="center" vertical="center"/>
    </xf>
    <xf numFmtId="164" fontId="20" fillId="0" borderId="67" xfId="4" applyNumberFormat="1" applyFont="1" applyBorder="1" applyAlignment="1">
      <alignment horizontal="center"/>
    </xf>
    <xf numFmtId="164" fontId="20" fillId="0" borderId="87" xfId="4" applyNumberFormat="1" applyFont="1" applyBorder="1" applyAlignment="1">
      <alignment horizontal="center"/>
    </xf>
    <xf numFmtId="164" fontId="20" fillId="0" borderId="88" xfId="4" applyNumberFormat="1" applyFont="1" applyBorder="1" applyAlignment="1">
      <alignment horizontal="center"/>
    </xf>
    <xf numFmtId="164" fontId="20" fillId="0" borderId="56" xfId="4" applyNumberFormat="1" applyFont="1" applyBorder="1" applyAlignment="1">
      <alignment horizontal="center"/>
    </xf>
    <xf numFmtId="164" fontId="20" fillId="0" borderId="83" xfId="4" applyNumberFormat="1" applyFont="1" applyBorder="1" applyAlignment="1">
      <alignment horizontal="center"/>
    </xf>
    <xf numFmtId="164" fontId="20" fillId="0" borderId="84" xfId="4" applyNumberFormat="1" applyFont="1" applyBorder="1" applyAlignment="1">
      <alignment horizont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20" fontId="7" fillId="0" borderId="46" xfId="1" applyNumberFormat="1" applyFont="1" applyBorder="1" applyAlignment="1">
      <alignment horizontal="center" vertical="center" wrapText="1"/>
    </xf>
    <xf numFmtId="20" fontId="7" fillId="0" borderId="47" xfId="1" applyNumberFormat="1" applyFont="1" applyBorder="1" applyAlignment="1">
      <alignment horizontal="center" vertical="center" wrapText="1"/>
    </xf>
    <xf numFmtId="0" fontId="17" fillId="3" borderId="2" xfId="4" applyFont="1" applyFill="1" applyBorder="1" applyAlignment="1">
      <alignment horizontal="center" vertical="center"/>
    </xf>
    <xf numFmtId="17" fontId="16" fillId="3" borderId="2" xfId="4" applyNumberFormat="1" applyFont="1" applyFill="1" applyBorder="1" applyAlignment="1">
      <alignment horizontal="center" vertical="center"/>
    </xf>
    <xf numFmtId="0" fontId="16" fillId="3" borderId="2" xfId="4" applyFont="1" applyFill="1" applyBorder="1" applyAlignment="1">
      <alignment horizontal="center" vertical="center"/>
    </xf>
    <xf numFmtId="0" fontId="16" fillId="3" borderId="3" xfId="4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center" vertical="center"/>
    </xf>
    <xf numFmtId="17" fontId="4" fillId="2" borderId="2" xfId="1" applyNumberFormat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/>
    </xf>
    <xf numFmtId="0" fontId="4" fillId="3" borderId="5" xfId="1" applyFont="1" applyFill="1" applyBorder="1" applyAlignment="1">
      <alignment horizontal="left" vertical="center"/>
    </xf>
    <xf numFmtId="0" fontId="19" fillId="3" borderId="9" xfId="4" applyFont="1" applyFill="1" applyBorder="1" applyAlignment="1">
      <alignment horizontal="center" vertical="center"/>
    </xf>
    <xf numFmtId="0" fontId="7" fillId="0" borderId="0" xfId="6" applyFont="1" applyAlignment="1">
      <alignment horizontal="center"/>
    </xf>
    <xf numFmtId="49" fontId="19" fillId="3" borderId="9" xfId="4" applyNumberFormat="1" applyFont="1" applyFill="1" applyBorder="1" applyAlignment="1">
      <alignment horizontal="center" vertical="center"/>
    </xf>
    <xf numFmtId="0" fontId="19" fillId="2" borderId="56" xfId="4" applyFont="1" applyFill="1" applyBorder="1" applyAlignment="1">
      <alignment horizontal="center" vertical="center"/>
    </xf>
    <xf numFmtId="0" fontId="19" fillId="2" borderId="83" xfId="4" applyFont="1" applyFill="1" applyBorder="1" applyAlignment="1">
      <alignment horizontal="center" vertical="center"/>
    </xf>
    <xf numFmtId="0" fontId="19" fillId="2" borderId="84" xfId="4" applyFont="1" applyFill="1" applyBorder="1" applyAlignment="1">
      <alignment horizontal="center" vertical="center"/>
    </xf>
    <xf numFmtId="0" fontId="19" fillId="2" borderId="14" xfId="4" applyFont="1" applyFill="1" applyBorder="1" applyAlignment="1">
      <alignment horizontal="center" vertical="center"/>
    </xf>
    <xf numFmtId="0" fontId="19" fillId="2" borderId="9" xfId="4" applyFont="1" applyFill="1" applyBorder="1" applyAlignment="1">
      <alignment horizontal="center" vertical="center"/>
    </xf>
    <xf numFmtId="0" fontId="19" fillId="3" borderId="37" xfId="4" applyFont="1" applyFill="1" applyBorder="1" applyAlignment="1">
      <alignment horizontal="center" vertical="center"/>
    </xf>
    <xf numFmtId="164" fontId="20" fillId="0" borderId="63" xfId="4" applyNumberFormat="1" applyFont="1" applyBorder="1" applyAlignment="1">
      <alignment horizontal="center"/>
    </xf>
    <xf numFmtId="164" fontId="20" fillId="0" borderId="64" xfId="4" applyNumberFormat="1" applyFont="1" applyBorder="1" applyAlignment="1">
      <alignment horizontal="center"/>
    </xf>
    <xf numFmtId="164" fontId="20" fillId="0" borderId="66" xfId="4" applyNumberFormat="1" applyFont="1" applyBorder="1" applyAlignment="1">
      <alignment horizontal="center"/>
    </xf>
    <xf numFmtId="164" fontId="20" fillId="0" borderId="69" xfId="4" applyNumberFormat="1" applyFont="1" applyBorder="1" applyAlignment="1">
      <alignment horizontal="center"/>
    </xf>
    <xf numFmtId="164" fontId="20" fillId="0" borderId="55" xfId="4" applyNumberFormat="1" applyFont="1" applyBorder="1" applyAlignment="1">
      <alignment horizontal="center"/>
    </xf>
    <xf numFmtId="164" fontId="20" fillId="0" borderId="92" xfId="4" applyNumberFormat="1" applyFont="1" applyBorder="1" applyAlignment="1">
      <alignment horizontal="center"/>
    </xf>
    <xf numFmtId="164" fontId="20" fillId="0" borderId="80" xfId="4" applyNumberFormat="1" applyFont="1" applyBorder="1" applyAlignment="1">
      <alignment horizontal="center"/>
    </xf>
    <xf numFmtId="164" fontId="20" fillId="0" borderId="81" xfId="4" applyNumberFormat="1" applyFont="1" applyBorder="1" applyAlignment="1">
      <alignment horizontal="center"/>
    </xf>
    <xf numFmtId="164" fontId="20" fillId="0" borderId="90" xfId="4" applyNumberFormat="1" applyFont="1" applyBorder="1" applyAlignment="1">
      <alignment horizontal="center"/>
    </xf>
    <xf numFmtId="49" fontId="19" fillId="2" borderId="37" xfId="4" applyNumberFormat="1" applyFont="1" applyFill="1" applyBorder="1" applyAlignment="1">
      <alignment horizontal="center" vertical="center"/>
    </xf>
    <xf numFmtId="49" fontId="19" fillId="2" borderId="9" xfId="4" applyNumberFormat="1" applyFont="1" applyFill="1" applyBorder="1" applyAlignment="1">
      <alignment horizontal="center" vertical="center"/>
    </xf>
    <xf numFmtId="0" fontId="19" fillId="2" borderId="72" xfId="4" applyFont="1" applyFill="1" applyBorder="1" applyAlignment="1">
      <alignment horizontal="center" vertical="center"/>
    </xf>
    <xf numFmtId="0" fontId="19" fillId="2" borderId="96" xfId="4" applyFont="1" applyFill="1" applyBorder="1" applyAlignment="1">
      <alignment horizontal="center" vertical="center"/>
    </xf>
    <xf numFmtId="0" fontId="19" fillId="2" borderId="71" xfId="4" applyFont="1" applyFill="1" applyBorder="1" applyAlignment="1">
      <alignment horizontal="center" vertical="center"/>
    </xf>
    <xf numFmtId="0" fontId="19" fillId="2" borderId="37" xfId="4" applyFont="1" applyFill="1" applyBorder="1" applyAlignment="1">
      <alignment horizontal="center" vertical="center"/>
    </xf>
    <xf numFmtId="0" fontId="25" fillId="16" borderId="2" xfId="1" applyFont="1" applyFill="1" applyBorder="1" applyAlignment="1">
      <alignment horizontal="center" vertical="center"/>
    </xf>
    <xf numFmtId="17" fontId="6" fillId="16" borderId="2" xfId="1" applyNumberFormat="1" applyFont="1" applyFill="1" applyBorder="1" applyAlignment="1">
      <alignment horizontal="center" vertical="center"/>
    </xf>
    <xf numFmtId="0" fontId="6" fillId="16" borderId="2" xfId="1" applyFont="1" applyFill="1" applyBorder="1" applyAlignment="1">
      <alignment horizontal="center" vertical="center"/>
    </xf>
    <xf numFmtId="0" fontId="6" fillId="16" borderId="3" xfId="1" applyFont="1" applyFill="1" applyBorder="1" applyAlignment="1">
      <alignment horizontal="center" vertical="center"/>
    </xf>
    <xf numFmtId="0" fontId="16" fillId="3" borderId="1" xfId="4" applyFont="1" applyFill="1" applyBorder="1" applyAlignment="1">
      <alignment horizontal="center" vertical="center"/>
    </xf>
    <xf numFmtId="0" fontId="7" fillId="0" borderId="0" xfId="1" applyFont="1" applyAlignment="1">
      <alignment horizontal="center"/>
    </xf>
    <xf numFmtId="49" fontId="19" fillId="2" borderId="14" xfId="4" applyNumberFormat="1" applyFont="1" applyFill="1" applyBorder="1" applyAlignment="1">
      <alignment horizontal="center" vertical="center"/>
    </xf>
    <xf numFmtId="164" fontId="20" fillId="0" borderId="78" xfId="4" applyNumberFormat="1" applyFont="1" applyBorder="1" applyAlignment="1">
      <alignment horizontal="center"/>
    </xf>
    <xf numFmtId="164" fontId="20" fillId="0" borderId="97" xfId="4" applyNumberFormat="1" applyFont="1" applyBorder="1" applyAlignment="1">
      <alignment horizontal="center"/>
    </xf>
    <xf numFmtId="164" fontId="20" fillId="0" borderId="108" xfId="4" applyNumberFormat="1" applyFont="1" applyBorder="1" applyAlignment="1">
      <alignment horizontal="center"/>
    </xf>
    <xf numFmtId="0" fontId="6" fillId="16" borderId="1" xfId="1" applyFont="1" applyFill="1" applyBorder="1" applyAlignment="1">
      <alignment horizontal="left" vertical="center"/>
    </xf>
    <xf numFmtId="0" fontId="6" fillId="16" borderId="2" xfId="1" applyFont="1" applyFill="1" applyBorder="1" applyAlignment="1">
      <alignment horizontal="left" vertical="center"/>
    </xf>
    <xf numFmtId="17" fontId="35" fillId="16" borderId="2" xfId="1" applyNumberFormat="1" applyFont="1" applyFill="1" applyBorder="1" applyAlignment="1">
      <alignment horizontal="center" vertical="center"/>
    </xf>
    <xf numFmtId="0" fontId="35" fillId="16" borderId="2" xfId="1" applyFont="1" applyFill="1" applyBorder="1" applyAlignment="1">
      <alignment horizontal="center" vertical="center"/>
    </xf>
    <xf numFmtId="0" fontId="35" fillId="16" borderId="3" xfId="1" applyFont="1" applyFill="1" applyBorder="1" applyAlignment="1">
      <alignment horizontal="center" vertical="center"/>
    </xf>
    <xf numFmtId="17" fontId="16" fillId="3" borderId="4" xfId="4" applyNumberFormat="1" applyFont="1" applyFill="1" applyBorder="1" applyAlignment="1">
      <alignment horizontal="center" vertical="center"/>
    </xf>
    <xf numFmtId="0" fontId="16" fillId="3" borderId="4" xfId="4" applyFont="1" applyFill="1" applyBorder="1" applyAlignment="1">
      <alignment horizontal="center" vertical="center"/>
    </xf>
    <xf numFmtId="0" fontId="16" fillId="3" borderId="107" xfId="4" applyFont="1" applyFill="1" applyBorder="1" applyAlignment="1">
      <alignment horizontal="center" vertical="center"/>
    </xf>
    <xf numFmtId="0" fontId="40" fillId="0" borderId="5" xfId="0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40" fillId="0" borderId="107" xfId="0" applyFont="1" applyBorder="1" applyAlignment="1">
      <alignment horizontal="center"/>
    </xf>
    <xf numFmtId="0" fontId="41" fillId="0" borderId="101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41" fillId="0" borderId="16" xfId="0" applyFont="1" applyBorder="1" applyAlignment="1">
      <alignment horizontal="center"/>
    </xf>
    <xf numFmtId="0" fontId="42" fillId="6" borderId="101" xfId="0" applyFont="1" applyFill="1" applyBorder="1" applyAlignment="1">
      <alignment horizontal="center"/>
    </xf>
    <xf numFmtId="0" fontId="42" fillId="6" borderId="0" xfId="0" applyFont="1" applyFill="1" applyAlignment="1">
      <alignment horizontal="center"/>
    </xf>
    <xf numFmtId="0" fontId="42" fillId="6" borderId="16" xfId="0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0" fontId="42" fillId="0" borderId="16" xfId="0" applyFont="1" applyBorder="1" applyAlignment="1">
      <alignment horizontal="center"/>
    </xf>
    <xf numFmtId="0" fontId="44" fillId="0" borderId="11" xfId="0" applyFont="1" applyBorder="1"/>
    <xf numFmtId="0" fontId="40" fillId="20" borderId="5" xfId="0" applyFont="1" applyFill="1" applyBorder="1" applyAlignment="1">
      <alignment horizontal="center"/>
    </xf>
    <xf numFmtId="0" fontId="40" fillId="20" borderId="4" xfId="0" applyFont="1" applyFill="1" applyBorder="1" applyAlignment="1">
      <alignment horizontal="center"/>
    </xf>
    <xf numFmtId="0" fontId="40" fillId="20" borderId="107" xfId="0" applyFont="1" applyFill="1" applyBorder="1" applyAlignment="1">
      <alignment horizontal="center"/>
    </xf>
    <xf numFmtId="0" fontId="41" fillId="20" borderId="101" xfId="0" applyFont="1" applyFill="1" applyBorder="1" applyAlignment="1">
      <alignment horizontal="center"/>
    </xf>
    <xf numFmtId="0" fontId="41" fillId="20" borderId="0" xfId="0" applyFont="1" applyFill="1" applyAlignment="1">
      <alignment horizontal="center"/>
    </xf>
    <xf numFmtId="0" fontId="41" fillId="20" borderId="16" xfId="0" applyFont="1" applyFill="1" applyBorder="1" applyAlignment="1">
      <alignment horizontal="center"/>
    </xf>
    <xf numFmtId="0" fontId="42" fillId="18" borderId="101" xfId="0" applyFont="1" applyFill="1" applyBorder="1" applyAlignment="1">
      <alignment horizontal="center"/>
    </xf>
    <xf numFmtId="0" fontId="42" fillId="18" borderId="0" xfId="0" applyFont="1" applyFill="1" applyAlignment="1">
      <alignment horizontal="center"/>
    </xf>
    <xf numFmtId="0" fontId="42" fillId="18" borderId="16" xfId="0" applyFont="1" applyFill="1" applyBorder="1" applyAlignment="1">
      <alignment horizontal="center"/>
    </xf>
    <xf numFmtId="0" fontId="42" fillId="20" borderId="0" xfId="0" applyFont="1" applyFill="1" applyAlignment="1">
      <alignment horizontal="center"/>
    </xf>
    <xf numFmtId="0" fontId="42" fillId="20" borderId="16" xfId="0" applyFont="1" applyFill="1" applyBorder="1" applyAlignment="1">
      <alignment horizontal="center"/>
    </xf>
    <xf numFmtId="0" fontId="44" fillId="20" borderId="11" xfId="0" applyFont="1" applyFill="1" applyBorder="1"/>
    <xf numFmtId="0" fontId="40" fillId="0" borderId="0" xfId="0" applyFont="1" applyAlignment="1">
      <alignment horizontal="center"/>
    </xf>
    <xf numFmtId="0" fontId="40" fillId="0" borderId="16" xfId="0" applyFont="1" applyBorder="1" applyAlignment="1">
      <alignment horizontal="center"/>
    </xf>
  </cellXfs>
  <cellStyles count="7">
    <cellStyle name="Normal" xfId="0" builtinId="0"/>
    <cellStyle name="Normal 2 2" xfId="4" xr:uid="{D5EFEB85-05E4-465F-8CE3-21CF540377BD}"/>
    <cellStyle name="Normal 2 3" xfId="5" xr:uid="{259CEC7B-0514-4173-9D25-27841CF589E9}"/>
    <cellStyle name="Normal 2 5 3" xfId="1" xr:uid="{95CF1E66-B179-4837-B02C-A67A1AB397EE}"/>
    <cellStyle name="Normal 2 6 2" xfId="6" xr:uid="{6F392456-D9B7-4437-B65B-A95082499A1C}"/>
    <cellStyle name="Normal 4" xfId="3" xr:uid="{4112F883-68DB-41A6-9E17-FC5CDB8A2C42}"/>
    <cellStyle name="Normal 5" xfId="2" xr:uid="{8CE69ABE-45B7-49DC-890A-3A86F0738FC4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iscila Mendes" id="{FF8BD8C7-F0AB-4A69-8CE5-039EB82C7406}" userId="S::Priscila.Mendes@dublinbus.ie::6747b620-1819-492d-ad91-9f004ffe0b9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G9" dT="2025-06-25T15:18:18.62" personId="{FF8BD8C7-F0AB-4A69-8CE5-039EB82C7406}" id="{A27C0086-A92F-4F16-84EA-07A63A103D32}">
    <text>+10</text>
  </threadedComment>
  <threadedComment ref="BJ9" dT="2025-06-25T15:18:37.13" personId="{FF8BD8C7-F0AB-4A69-8CE5-039EB82C7406}" id="{4A1065FA-A5C4-4374-B8B4-1235B4DD963A}">
    <text>+10</text>
  </threadedComment>
  <threadedComment ref="BK9" dT="2025-06-25T15:18:48.77" personId="{FF8BD8C7-F0AB-4A69-8CE5-039EB82C7406}" id="{F30A91D3-9641-4C67-B85D-1341C8C87E2A}">
    <text>+10</text>
  </threadedComment>
  <threadedComment ref="BL9" dT="2025-06-25T15:19:30.96" personId="{FF8BD8C7-F0AB-4A69-8CE5-039EB82C7406}" id="{2AC67E19-8F1D-496B-AE5C-46702FB00E0F}">
    <text>+10</text>
  </threadedComment>
  <threadedComment ref="BN9" dT="2025-06-25T15:19:50.26" personId="{FF8BD8C7-F0AB-4A69-8CE5-039EB82C7406}" id="{3EAFE927-0FFB-4617-B106-7F6404C4E042}">
    <text>+10</text>
  </threadedComment>
  <threadedComment ref="AP12" dT="2025-06-24T13:51:04.43" personId="{FF8BD8C7-F0AB-4A69-8CE5-039EB82C7406}" id="{0C26F1C0-F8A2-4905-8158-37D29A83BDED}">
    <text>+5</text>
  </threadedComment>
  <threadedComment ref="AR12" dT="2025-06-24T13:52:22.59" personId="{FF8BD8C7-F0AB-4A69-8CE5-039EB82C7406}" id="{38296B26-9BA7-464D-97C9-3BBE9A1D21C6}">
    <text>+5</text>
  </threadedComment>
  <threadedComment ref="AU12" dT="2025-06-24T13:49:36.66" personId="{FF8BD8C7-F0AB-4A69-8CE5-039EB82C7406}" id="{C6668D6C-28A1-40F6-AC25-745534FE415C}">
    <text>+5</text>
  </threadedComment>
  <threadedComment ref="AW12" dT="2025-06-24T13:57:54.21" personId="{FF8BD8C7-F0AB-4A69-8CE5-039EB82C7406}" id="{96050ECF-32FD-46A1-A23C-695E81BB0940}">
    <text>+5</text>
  </threadedComment>
  <threadedComment ref="AY12" dT="2025-06-24T13:59:45.82" personId="{FF8BD8C7-F0AB-4A69-8CE5-039EB82C7406}" id="{746E3FE8-2D8E-4088-94F2-218DC1023BDF}">
    <text>+5</text>
  </threadedComment>
  <threadedComment ref="AZ12" dT="2025-06-24T14:09:25.59" personId="{FF8BD8C7-F0AB-4A69-8CE5-039EB82C7406}" id="{CE4728B5-D52E-46A3-BBD2-67CB6A1CBA09}">
    <text>+5</text>
  </threadedComment>
  <threadedComment ref="BA12" dT="2025-06-24T14:12:51.92" personId="{FF8BD8C7-F0AB-4A69-8CE5-039EB82C7406}" id="{AAE97698-88C1-4190-9951-71BED4143DC1}">
    <text>+5</text>
  </threadedComment>
  <threadedComment ref="BC12" dT="2025-06-24T14:15:41.53" personId="{FF8BD8C7-F0AB-4A69-8CE5-039EB82C7406}" id="{55EEFDF6-98B0-4E22-9B0F-4CCC0E005995}">
    <text>+5</text>
  </threadedComment>
  <threadedComment ref="BF12" dT="2025-06-24T14:23:10.12" personId="{FF8BD8C7-F0AB-4A69-8CE5-039EB82C7406}" id="{DB588C68-EFF0-4D43-A042-C1131879B19D}">
    <text>+5</text>
  </threadedComment>
  <threadedComment ref="BJ12" dT="2025-06-24T14:25:22.70" personId="{FF8BD8C7-F0AB-4A69-8CE5-039EB82C7406}" id="{C8F24403-B1BA-4085-86F0-6395BC14B2CD}">
    <text>+5</text>
  </threadedComment>
  <threadedComment ref="B16" dT="2025-06-25T15:21:11.84" personId="{FF8BD8C7-F0AB-4A69-8CE5-039EB82C7406}" id="{72F2C7CA-E93C-4AE7-B93F-554C91903793}">
    <text>+10</text>
  </threadedComment>
  <threadedComment ref="E16" dT="2025-06-25T15:28:56.63" personId="{FF8BD8C7-F0AB-4A69-8CE5-039EB82C7406}" id="{B421D045-AF7B-416A-872B-311C7C702371}">
    <text>+5</text>
  </threadedComment>
  <threadedComment ref="F16" dT="2025-06-25T15:30:01.03" personId="{FF8BD8C7-F0AB-4A69-8CE5-039EB82C7406}" id="{1A582606-43B5-4B53-81BC-F73F02B216AA}">
    <text>+10</text>
  </threadedComment>
  <threadedComment ref="I16" dT="2025-06-26T08:29:49.52" personId="{FF8BD8C7-F0AB-4A69-8CE5-039EB82C7406}" id="{F0D610B0-05F3-4552-B2D6-921E829016C7}">
    <text>+5</text>
  </threadedComment>
  <threadedComment ref="L16" dT="2025-06-26T09:04:28.44" personId="{FF8BD8C7-F0AB-4A69-8CE5-039EB82C7406}" id="{14CCEA94-3F70-465C-AF91-2E81187B4513}">
    <text>+5</text>
  </threadedComment>
  <threadedComment ref="N16" dT="2025-06-26T09:18:03.46" personId="{FF8BD8C7-F0AB-4A69-8CE5-039EB82C7406}" id="{F1431534-75F2-4B08-8556-A050C0E124E5}">
    <text>+5</text>
  </threadedComment>
  <threadedComment ref="AA16" dT="2025-06-26T09:47:34.24" personId="{FF8BD8C7-F0AB-4A69-8CE5-039EB82C7406}" id="{F396FABB-5204-43E4-9B05-46FB1101073F}">
    <text>+10</text>
  </threadedComment>
  <threadedComment ref="AC16" dT="2025-06-26T10:07:55.58" personId="{FF8BD8C7-F0AB-4A69-8CE5-039EB82C7406}" id="{6244D255-2A46-4790-9838-A6BE50B95DD3}">
    <text>+10</text>
  </threadedComment>
  <threadedComment ref="AE16" dT="2025-06-26T10:20:25.09" personId="{FF8BD8C7-F0AB-4A69-8CE5-039EB82C7406}" id="{7513D0E9-897B-43C5-AE15-E2461B0FA8A3}">
    <text>+10</text>
  </threadedComment>
  <threadedComment ref="AL16" dT="2025-06-26T10:25:17.70" personId="{FF8BD8C7-F0AB-4A69-8CE5-039EB82C7406}" id="{AD157F07-DC13-4D5D-A0FE-71071138FC56}">
    <text>+10</text>
  </threadedComment>
  <threadedComment ref="AN16" dT="2025-06-26T10:27:40.29" personId="{FF8BD8C7-F0AB-4A69-8CE5-039EB82C7406}" id="{B63F453D-530E-484C-9B14-1B8AA5B81E42}">
    <text>+10</text>
  </threadedComment>
  <threadedComment ref="AR16" dT="2025-06-26T10:46:13.93" personId="{FF8BD8C7-F0AB-4A69-8CE5-039EB82C7406}" id="{D230BBA6-C2BC-4247-8E8C-E02D5042A037}">
    <text>+10</text>
  </threadedComment>
  <threadedComment ref="AY16" dT="2025-06-26T12:44:09.76" personId="{FF8BD8C7-F0AB-4A69-8CE5-039EB82C7406}" id="{9ABA494A-E9F0-45C9-BBA2-A2BE6B8D6FE3}">
    <text>+5</text>
  </threadedComment>
  <threadedComment ref="BD16" dT="2025-06-26T13:00:05.63" personId="{FF8BD8C7-F0AB-4A69-8CE5-039EB82C7406}" id="{F33C6BD9-9763-41D5-98B8-AE97774FBAC0}">
    <text>+5</text>
  </threadedComment>
  <threadedComment ref="BJ16" dT="2025-06-26T13:03:10.54" personId="{FF8BD8C7-F0AB-4A69-8CE5-039EB82C7406}" id="{5116D451-9BBC-4BCC-BE91-26510390DD4D}">
    <text>+10</text>
  </threadedComment>
  <threadedComment ref="BN16" dT="2025-06-26T13:16:12.57" personId="{FF8BD8C7-F0AB-4A69-8CE5-039EB82C7406}" id="{678E9E8B-7148-42F9-804D-BFF923DBCA61}">
    <text>+10</text>
  </threadedComment>
  <threadedComment ref="L19" dT="2025-06-24T14:29:42.34" personId="{FF8BD8C7-F0AB-4A69-8CE5-039EB82C7406}" id="{92134C28-E99F-4F86-B05A-90168621BFD0}">
    <text>+5</text>
  </threadedComment>
  <threadedComment ref="F23" dT="2025-06-26T13:22:17.82" personId="{FF8BD8C7-F0AB-4A69-8CE5-039EB82C7406}" id="{487CBE92-49A2-4B91-9379-80C4E714AF1B}">
    <text>+5</text>
  </threadedComment>
  <threadedComment ref="H23" dT="2025-06-26T13:27:13.43" personId="{FF8BD8C7-F0AB-4A69-8CE5-039EB82C7406}" id="{E5C2D48B-467B-46EF-BEA4-5B2097FEC2F9}">
    <text>+10</text>
  </threadedComment>
  <threadedComment ref="K23" dT="2025-06-26T13:37:01.76" personId="{FF8BD8C7-F0AB-4A69-8CE5-039EB82C7406}" id="{4EFC9A87-DA8C-4C75-A385-876710B2BE71}">
    <text>+5</text>
  </threadedComment>
  <threadedComment ref="N23" dT="2025-06-26T13:53:20.43" personId="{FF8BD8C7-F0AB-4A69-8CE5-039EB82C7406}" id="{F265F1F0-8FEE-4AC2-8F35-57A897F3FAA5}">
    <text>+10</text>
  </threadedComment>
  <threadedComment ref="R23" dT="2025-06-26T13:59:14.94" personId="{FF8BD8C7-F0AB-4A69-8CE5-039EB82C7406}" id="{F923A3AC-C5EE-45A1-B216-5F1FD298622B}">
    <text>+10</text>
  </threadedComment>
  <threadedComment ref="V23" dT="2025-06-26T14:03:22.80" personId="{FF8BD8C7-F0AB-4A69-8CE5-039EB82C7406}" id="{FB9D4A9A-6A68-4DB0-9A5E-260DEF664AF0}">
    <text>+10</text>
  </threadedComment>
  <threadedComment ref="Y23" dT="2025-06-26T14:38:52.79" personId="{FF8BD8C7-F0AB-4A69-8CE5-039EB82C7406}" id="{6C6801B2-381F-4708-9B43-440860B3C8F8}">
    <text>+5</text>
  </threadedComment>
  <threadedComment ref="AE23" dT="2025-06-26T14:43:26.36" personId="{FF8BD8C7-F0AB-4A69-8CE5-039EB82C7406}" id="{4231B10E-37E5-4B14-8A18-F9972183E20C}">
    <text>+10</text>
  </threadedComment>
  <threadedComment ref="AK23" dT="2025-06-26T14:46:29.81" personId="{FF8BD8C7-F0AB-4A69-8CE5-039EB82C7406}" id="{CB9A66BA-3795-497D-BDE5-A9DF04F71C71}">
    <text>+5</text>
  </threadedComment>
  <threadedComment ref="AT23" dT="2025-06-26T14:52:29.00" personId="{FF8BD8C7-F0AB-4A69-8CE5-039EB82C7406}" id="{64699207-5B79-4459-8464-E785F3DD0E8A}">
    <text>+5</text>
  </threadedComment>
  <threadedComment ref="AY23" dT="2025-06-26T14:53:03.19" personId="{FF8BD8C7-F0AB-4A69-8CE5-039EB82C7406}" id="{4E4CF394-4841-4D8C-93FB-B1BC8BC32964}">
    <text>+5</text>
  </threadedComment>
  <threadedComment ref="BA23" dT="2025-06-26T14:57:32.87" personId="{FF8BD8C7-F0AB-4A69-8CE5-039EB82C7406}" id="{10B9E4FF-E224-47EC-A24C-1C471F333A39}">
    <text>+5</text>
  </threadedComment>
  <threadedComment ref="BD23" dT="2025-06-27T08:28:20.86" personId="{FF8BD8C7-F0AB-4A69-8CE5-039EB82C7406}" id="{F0E42D59-C045-42D4-87B0-783DC56E9956}">
    <text>+10</text>
  </threadedComment>
  <threadedComment ref="W26" dT="2025-06-24T14:30:55.38" personId="{FF8BD8C7-F0AB-4A69-8CE5-039EB82C7406}" id="{939222A3-CE3E-409A-8666-E9D7D9562043}">
    <text>+5</text>
  </threadedComment>
  <threadedComment ref="AR26" dT="2025-06-25T13:02:14.05" personId="{FF8BD8C7-F0AB-4A69-8CE5-039EB82C7406}" id="{267D1605-98F2-42A7-8869-075DB76E4F4E}">
    <text>+5</text>
  </threadedComment>
  <threadedComment ref="BG26" dT="2025-06-25T13:02:31.55" personId="{FF8BD8C7-F0AB-4A69-8CE5-039EB82C7406}" id="{73C8BC43-829F-4B2F-B6F4-C5E9549CC51F}">
    <text>+5</text>
  </threadedComment>
  <threadedComment ref="BJ26" dT="2025-06-25T13:11:29.12" personId="{FF8BD8C7-F0AB-4A69-8CE5-039EB82C7406}" id="{FB72BC0B-CBD0-4569-96E0-D046C453EDEA}">
    <text>+5</text>
  </threadedComment>
  <threadedComment ref="BL26" dT="2025-06-25T13:22:25.36" personId="{FF8BD8C7-F0AB-4A69-8CE5-039EB82C7406}" id="{D0726798-926F-497A-A7B9-D9CE3A1A6CC6}">
    <text>+5</text>
  </threadedComment>
  <threadedComment ref="BM26" dT="2025-06-25T13:32:15.18" personId="{FF8BD8C7-F0AB-4A69-8CE5-039EB82C7406}" id="{8E2231E9-0551-4AD8-B7E1-9394E9E76E35}">
    <text>+5</text>
  </threadedComment>
  <threadedComment ref="BN26" dT="2025-06-25T13:33:24.38" personId="{FF8BD8C7-F0AB-4A69-8CE5-039EB82C7406}" id="{8F701100-CA19-4814-A016-4DE9BF01E505}">
    <text>+5</text>
  </threadedComment>
  <threadedComment ref="Q30" dT="2025-06-27T09:34:52.70" personId="{FF8BD8C7-F0AB-4A69-8CE5-039EB82C7406}" id="{EE083FF4-E148-4C11-BD3D-3EDE61970907}">
    <text>+10</text>
  </threadedComment>
  <threadedComment ref="R30" dT="2025-06-27T10:22:58.54" personId="{FF8BD8C7-F0AB-4A69-8CE5-039EB82C7406}" id="{01B14254-D792-4219-9823-1FF964C36D03}">
    <text>+5</text>
  </threadedComment>
  <threadedComment ref="BA30" dT="2025-06-27T11:05:23.47" personId="{FF8BD8C7-F0AB-4A69-8CE5-039EB82C7406}" id="{4C550ECA-7A3B-4488-913B-4AC920224522}">
    <text>+5</text>
  </threadedComment>
  <threadedComment ref="F33" dT="2025-06-25T13:39:24.52" personId="{FF8BD8C7-F0AB-4A69-8CE5-039EB82C7406}" id="{228B383F-CA21-4FB5-84D1-DE259A5C1DF5}">
    <text>+5</text>
  </threadedComment>
  <threadedComment ref="G33" dT="2025-06-25T13:41:58.99" personId="{FF8BD8C7-F0AB-4A69-8CE5-039EB82C7406}" id="{93411D60-BFF2-48AD-96D2-FDD79BD7FC26}">
    <text>+5</text>
  </threadedComment>
  <threadedComment ref="Q33" dT="2025-06-25T14:53:59.83" personId="{FF8BD8C7-F0AB-4A69-8CE5-039EB82C7406}" id="{E483BB38-3AE1-4B76-92E8-C03E6040813B}">
    <text>+10</text>
  </threadedComment>
  <threadedComment ref="R33" dT="2025-06-25T14:54:14.68" personId="{FF8BD8C7-F0AB-4A69-8CE5-039EB82C7406}" id="{C9B674B1-B9DE-4575-8538-7575A7AAA3E0}">
    <text>+10</text>
  </threadedComment>
  <threadedComment ref="AA33" dT="2025-06-25T15:09:25.13" personId="{FF8BD8C7-F0AB-4A69-8CE5-039EB82C7406}" id="{63B344C9-8CC4-49BC-AD84-B72D092E62C5}">
    <text>+5</text>
  </threadedComment>
  <threadedComment ref="F151" dT="2025-06-27T10:23:24.36" personId="{FF8BD8C7-F0AB-4A69-8CE5-039EB82C7406}" id="{D0E23813-09DD-46F6-A98E-F2B7B7E648E8}">
    <text>+5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Y10" dT="2025-06-06T11:24:13.46" personId="{FF8BD8C7-F0AB-4A69-8CE5-039EB82C7406}" id="{CF1F60C0-9DAC-455D-8219-A8F2861C7C82}">
    <text>+10</text>
  </threadedComment>
  <threadedComment ref="AA10" dT="2025-06-06T11:24:27.63" personId="{FF8BD8C7-F0AB-4A69-8CE5-039EB82C7406}" id="{826A2961-A03C-4EAF-B434-65CAD142BADF}">
    <text>+10</text>
  </threadedComment>
  <threadedComment ref="AD10" dT="2025-06-06T11:24:59.92" personId="{FF8BD8C7-F0AB-4A69-8CE5-039EB82C7406}" id="{4F14F380-6640-4556-A5CE-91D251499C4E}">
    <text>+10</text>
  </threadedComment>
  <threadedComment ref="AE10" dT="2025-06-06T11:25:32.53" personId="{FF8BD8C7-F0AB-4A69-8CE5-039EB82C7406}" id="{09E0AB47-FAFE-447E-934F-8B94A319471F}">
    <text>+10</text>
  </threadedComment>
  <threadedComment ref="AF10" dT="2025-06-06T11:25:59.60" personId="{FF8BD8C7-F0AB-4A69-8CE5-039EB82C7406}" id="{035C22F4-DC0A-4791-9A1C-C8004BB3E998}">
    <text>+10</text>
  </threadedComment>
  <threadedComment ref="J13" dT="2025-06-23T10:43:53.46" personId="{FF8BD8C7-F0AB-4A69-8CE5-039EB82C7406}" id="{162A5FE2-4BF5-4CFB-8FEC-2A15ACE5D7BE}">
    <text>+5</text>
  </threadedComment>
  <threadedComment ref="O13" dT="2025-06-23T10:44:34.58" personId="{FF8BD8C7-F0AB-4A69-8CE5-039EB82C7406}" id="{5487040E-D906-4A8B-9A0C-4CF72E97C846}">
    <text>+5</text>
  </threadedComment>
  <threadedComment ref="AA13" dT="2025-06-23T10:45:29.87" personId="{FF8BD8C7-F0AB-4A69-8CE5-039EB82C7406}" id="{7D0EB3C9-B9B2-4473-9D6F-C47D41E682B2}">
    <text>+5</text>
  </threadedComment>
  <threadedComment ref="G16" dT="2025-06-06T11:26:47.59" personId="{FF8BD8C7-F0AB-4A69-8CE5-039EB82C7406}" id="{DBA92389-69B6-4E1A-812B-51387A1DCF70}">
    <text>+5</text>
  </threadedComment>
  <threadedComment ref="I16" dT="2025-06-06T11:27:25.13" personId="{FF8BD8C7-F0AB-4A69-8CE5-039EB82C7406}" id="{50BDC3AA-2D44-4921-B6AB-0F1BAF664517}">
    <text>+5</text>
  </threadedComment>
  <threadedComment ref="O16" dT="2025-06-06T11:30:10.04" personId="{FF8BD8C7-F0AB-4A69-8CE5-039EB82C7406}" id="{BA61A0B0-FC12-449B-82E1-9B4C3B9BFD58}">
    <text>+5</text>
  </threadedComment>
  <threadedComment ref="T16" dT="2025-06-06T11:31:37.84" personId="{FF8BD8C7-F0AB-4A69-8CE5-039EB82C7406}" id="{2E758CB0-7AC8-4291-A4C7-E23EF54EAF0E}">
    <text>+10</text>
  </threadedComment>
  <threadedComment ref="U16" dT="2025-06-06T11:32:04.26" personId="{FF8BD8C7-F0AB-4A69-8CE5-039EB82C7406}" id="{02E9DBA5-4D19-469A-8ADF-A3CE5169F67B}">
    <text>+5</text>
  </threadedComment>
  <threadedComment ref="X16" dT="2025-06-06T11:33:08.24" personId="{FF8BD8C7-F0AB-4A69-8CE5-039EB82C7406}" id="{BCF0112E-DA9B-48DD-B386-A4510A27245A}">
    <text>+5</text>
  </threadedComment>
  <threadedComment ref="Y16" dT="2025-06-06T11:33:27.39" personId="{FF8BD8C7-F0AB-4A69-8CE5-039EB82C7406}" id="{0FE9D07B-4E86-4720-B7C6-6212A0B94A5B}">
    <text>+10</text>
  </threadedComment>
  <threadedComment ref="Z16" dT="2025-06-06T11:33:45.62" personId="{FF8BD8C7-F0AB-4A69-8CE5-039EB82C7406}" id="{0A223967-AD49-4029-996F-8D1189FD7F40}">
    <text>+5</text>
  </threadedComment>
  <threadedComment ref="AA16" dT="2025-06-06T11:34:01.54" personId="{FF8BD8C7-F0AB-4A69-8CE5-039EB82C7406}" id="{27B49E24-30AC-4112-9307-9548E2703FA3}">
    <text>+5</text>
  </threadedComment>
  <threadedComment ref="AC16" dT="2025-06-06T11:34:17.32" personId="{FF8BD8C7-F0AB-4A69-8CE5-039EB82C7406}" id="{64F65617-D91C-43F5-A702-37072A4C7514}">
    <text>+5</text>
  </threadedComment>
  <threadedComment ref="AD16" dT="2025-06-06T11:34:44.16" personId="{FF8BD8C7-F0AB-4A69-8CE5-039EB82C7406}" id="{4222EBAC-5A33-47AE-AF75-DD818591F8EC}">
    <text>+5</text>
  </threadedComment>
  <threadedComment ref="AE16" dT="2025-06-06T11:46:54.30" personId="{FF8BD8C7-F0AB-4A69-8CE5-039EB82C7406}" id="{D88E88BB-CBE1-4AD0-9944-C12B6CAF380E}">
    <text>+5</text>
  </threadedComment>
  <threadedComment ref="AF16" dT="2025-06-06T11:47:14.97" personId="{FF8BD8C7-F0AB-4A69-8CE5-039EB82C7406}" id="{FB0CEF0D-1D27-46F9-A405-A0E2955DB8AB}">
    <text>+5</text>
  </threadedComment>
  <threadedComment ref="B22" dT="2025-06-06T11:47:39.58" personId="{FF8BD8C7-F0AB-4A69-8CE5-039EB82C7406}" id="{83711FB3-514C-419B-99A4-4260C7D20E7F}">
    <text>+5</text>
  </threadedComment>
  <threadedComment ref="E22" dT="2025-06-06T11:48:53.88" personId="{FF8BD8C7-F0AB-4A69-8CE5-039EB82C7406}" id="{42CE009E-E215-4D8F-AF10-F8EA0DD29550}">
    <text>+5</text>
  </threadedComment>
  <threadedComment ref="G22" dT="2025-06-06T11:49:37.61" personId="{FF8BD8C7-F0AB-4A69-8CE5-039EB82C7406}" id="{9FEFE1E1-EB8F-41D6-8191-E05021B37803}">
    <text>+10</text>
  </threadedComment>
  <threadedComment ref="H22" dT="2025-06-06T11:50:10.92" personId="{FF8BD8C7-F0AB-4A69-8CE5-039EB82C7406}" id="{BB4ABAF6-A988-4AA1-94D3-00304A870DC7}">
    <text>+5</text>
  </threadedComment>
  <threadedComment ref="J22" dT="2025-06-06T11:50:47.59" personId="{FF8BD8C7-F0AB-4A69-8CE5-039EB82C7406}" id="{A9B8C57B-8562-402B-B317-7A81C4D29257}">
    <text>+5</text>
  </threadedComment>
  <threadedComment ref="L22" dT="2025-06-06T11:51:16.42" personId="{FF8BD8C7-F0AB-4A69-8CE5-039EB82C7406}" id="{1AFC89C8-DCD2-4FFA-A76A-6575DE9FAE0B}">
    <text>+5</text>
  </threadedComment>
  <threadedComment ref="R22" dT="2025-06-06T11:53:32.47" personId="{FF8BD8C7-F0AB-4A69-8CE5-039EB82C7406}" id="{95A05394-03DD-4926-8706-44FF927838A0}">
    <text>+10</text>
  </threadedComment>
  <threadedComment ref="S22" dT="2025-06-06T11:54:25.04" personId="{FF8BD8C7-F0AB-4A69-8CE5-039EB82C7406}" id="{489EF02B-8B8A-46AE-A852-1F1F6B3A3E44}">
    <text>+5</text>
  </threadedComment>
  <threadedComment ref="T22" dT="2025-06-06T11:55:00.78" personId="{FF8BD8C7-F0AB-4A69-8CE5-039EB82C7406}" id="{E979E10D-585E-46FA-B0C5-E0227B25E2E2}">
    <text>+5</text>
  </threadedComment>
  <threadedComment ref="V22" dT="2025-06-06T11:56:03.45" personId="{FF8BD8C7-F0AB-4A69-8CE5-039EB82C7406}" id="{A33DC59F-1695-4F17-916C-8B4B285F8E86}">
    <text>+10</text>
  </threadedComment>
  <threadedComment ref="W22" dT="2025-06-06T11:58:39.84" personId="{FF8BD8C7-F0AB-4A69-8CE5-039EB82C7406}" id="{62E16A34-78E8-4BDD-9E55-1ABEFDCDB9C4}">
    <text>+5</text>
  </threadedComment>
  <threadedComment ref="Y22" dT="2025-06-06T13:18:12.54" personId="{FF8BD8C7-F0AB-4A69-8CE5-039EB82C7406}" id="{14DCE93A-E8CA-473B-87FF-577B43F8CA54}">
    <text>+5</text>
  </threadedComment>
  <threadedComment ref="F28" dT="2025-06-06T13:21:14.85" personId="{FF8BD8C7-F0AB-4A69-8CE5-039EB82C7406}" id="{3C65A849-DE8F-4377-8FF3-747E071EBD81}">
    <text>+10</text>
  </threadedComment>
  <threadedComment ref="G28" dT="2025-06-06T13:21:30.81" personId="{FF8BD8C7-F0AB-4A69-8CE5-039EB82C7406}" id="{227E1576-46D2-4881-902F-AC754164193F}">
    <text>+5</text>
  </threadedComment>
  <threadedComment ref="I28" dT="2025-06-06T13:22:34.46" personId="{FF8BD8C7-F0AB-4A69-8CE5-039EB82C7406}" id="{F6EFC48A-A4DE-4E9E-B6CC-6682C6FE6A75}">
    <text>+5</text>
  </threadedComment>
  <threadedComment ref="L28" dT="2025-06-06T13:25:13.91" personId="{FF8BD8C7-F0AB-4A69-8CE5-039EB82C7406}" id="{D206FEF3-487E-40D0-A897-C36ADF694EA9}">
    <text>+5</text>
  </threadedComment>
  <threadedComment ref="T28" dT="2025-06-06T13:26:20.56" personId="{FF8BD8C7-F0AB-4A69-8CE5-039EB82C7406}" id="{9E73E90E-26BE-48B9-B76B-5BA594C3211F}">
    <text>+10</text>
  </threadedComment>
  <threadedComment ref="V28" dT="2025-06-23T10:31:13.27" personId="{FF8BD8C7-F0AB-4A69-8CE5-039EB82C7406}" id="{5F2356D8-04A0-437B-BECD-B13A10B78D72}">
    <text>+10</text>
  </threadedComment>
  <threadedComment ref="N34" dT="2025-06-06T13:49:29.26" personId="{FF8BD8C7-F0AB-4A69-8CE5-039EB82C7406}" id="{E9E680BD-94F5-4D50-A098-E9F3C3034A75}">
    <text>+5</text>
  </threadedComment>
  <threadedComment ref="AB34" dT="2025-06-06T13:51:02.11" personId="{FF8BD8C7-F0AB-4A69-8CE5-039EB82C7406}" id="{C5E27D07-D427-45E7-9EF1-51FD70C8107A}">
    <text>+5</text>
  </threadedComment>
  <threadedComment ref="AC34" dT="2025-06-06T13:55:49.52" personId="{FF8BD8C7-F0AB-4A69-8CE5-039EB82C7406}" id="{7A0866BA-489E-4F0C-81C5-F09FB6F61E93}">
    <text>+5</text>
  </threadedComment>
  <threadedComment ref="T37" dT="2025-06-23T11:02:26.56" personId="{FF8BD8C7-F0AB-4A69-8CE5-039EB82C7406}" id="{BEB2B3B4-86CC-4AF9-B17E-57F694AFE1D0}">
    <text>+5</text>
  </threadedComment>
  <threadedComment ref="F40" dT="2025-06-06T13:56:54.67" personId="{FF8BD8C7-F0AB-4A69-8CE5-039EB82C7406}" id="{466BDB1E-5DB0-4A80-BA64-5AAC95F45C61}">
    <text>+5</text>
  </threadedComment>
  <threadedComment ref="K40" dT="2025-06-06T13:57:51.98" personId="{FF8BD8C7-F0AB-4A69-8CE5-039EB82C7406}" id="{718F553F-E66B-49C4-B53B-60C35016AB28}">
    <text>+15</text>
  </threadedComment>
  <threadedComment ref="T40" dT="2025-06-06T13:58:16.81" personId="{FF8BD8C7-F0AB-4A69-8CE5-039EB82C7406}" id="{3FDC7114-2B55-4027-9EF2-B108C95F49E3}">
    <text>+5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9" dT="2025-05-21T14:55:20.04" personId="{FF8BD8C7-F0AB-4A69-8CE5-039EB82C7406}" id="{EE5DF78F-3D27-4649-B91A-6B2D78A6B494}">
    <text>+5</text>
  </threadedComment>
  <threadedComment ref="S9" dT="2025-05-23T10:04:49.87" personId="{FF8BD8C7-F0AB-4A69-8CE5-039EB82C7406}" id="{7E6E565F-350F-4C88-B6A1-C817C8929997}">
    <text>+10</text>
  </threadedComment>
  <threadedComment ref="N12" dT="2025-05-21T14:06:58.20" personId="{FF8BD8C7-F0AB-4A69-8CE5-039EB82C7406}" id="{4DB51F79-CF96-4247-85E5-A4B026CB0702}">
    <text>+5</text>
  </threadedComment>
  <threadedComment ref="O12" dT="2025-05-21T14:07:34.38" personId="{FF8BD8C7-F0AB-4A69-8CE5-039EB82C7406}" id="{A1B2CBC1-E6C8-4AD8-8324-29A815529B44}">
    <text>+5</text>
  </threadedComment>
  <threadedComment ref="R12" dT="2025-05-21T14:07:48.07" personId="{FF8BD8C7-F0AB-4A69-8CE5-039EB82C7406}" id="{485A29FA-C974-4A47-B449-61F06C3B2D0E}">
    <text>+5</text>
  </threadedComment>
  <threadedComment ref="S12" dT="2025-05-21T14:08:09.67" personId="{FF8BD8C7-F0AB-4A69-8CE5-039EB82C7406}" id="{12033701-9B4A-45BB-A34A-C36358F616AC}">
    <text>+5</text>
  </threadedComment>
  <threadedComment ref="C15" dT="2025-05-23T10:05:28.76" personId="{FF8BD8C7-F0AB-4A69-8CE5-039EB82C7406}" id="{6E10B5C6-D7D1-4455-AF18-20684284F018}">
    <text>+10</text>
  </threadedComment>
  <threadedComment ref="E15" dT="2025-05-23T10:31:41.45" personId="{FF8BD8C7-F0AB-4A69-8CE5-039EB82C7406}" id="{505B073E-05D6-4FB4-A81B-BEFEF4BCA9F4}">
    <text>+10</text>
  </threadedComment>
  <threadedComment ref="F15" dT="2025-05-23T10:32:02.07" personId="{FF8BD8C7-F0AB-4A69-8CE5-039EB82C7406}" id="{D92AE244-EB70-487E-AD95-C7E279E804C6}">
    <text>+10</text>
  </threadedComment>
  <threadedComment ref="H15" dT="2025-05-23T10:32:30.48" personId="{FF8BD8C7-F0AB-4A69-8CE5-039EB82C7406}" id="{87101C9E-A812-4B93-A521-6D0C3E881324}">
    <text>+10</text>
  </threadedComment>
  <threadedComment ref="I15" dT="2025-05-21T15:03:45.11" personId="{FF8BD8C7-F0AB-4A69-8CE5-039EB82C7406}" id="{0A9FC7B7-FFCA-4BC5-B8FD-B7F219CA9EA6}">
    <text>+10</text>
  </threadedComment>
  <threadedComment ref="J15" dT="2025-05-23T10:32:41.46" personId="{FF8BD8C7-F0AB-4A69-8CE5-039EB82C7406}" id="{22467078-F287-45DD-B4B4-1D2FFFF79565}">
    <text>+10</text>
  </threadedComment>
  <threadedComment ref="L15" dT="2025-05-23T10:32:57.42" personId="{FF8BD8C7-F0AB-4A69-8CE5-039EB82C7406}" id="{34423654-0D1E-4713-A5C9-FA895429B7FE}">
    <text>+10</text>
  </threadedComment>
  <threadedComment ref="N15" dT="2025-05-21T15:05:23.50" personId="{FF8BD8C7-F0AB-4A69-8CE5-039EB82C7406}" id="{EAE46D4C-11C3-4100-A59C-9D9A43928492}">
    <text>+5</text>
  </threadedComment>
  <threadedComment ref="O15" dT="2025-05-23T10:34:43.74" personId="{FF8BD8C7-F0AB-4A69-8CE5-039EB82C7406}" id="{E3494162-E991-47F7-9609-0DED5F33E97E}">
    <text>+5</text>
  </threadedComment>
  <threadedComment ref="P15" dT="2025-05-23T10:34:57.50" personId="{FF8BD8C7-F0AB-4A69-8CE5-039EB82C7406}" id="{771E7AE3-7694-4B67-8CED-CE7D80B07046}">
    <text>+5</text>
  </threadedComment>
  <threadedComment ref="R15" dT="2025-05-23T10:35:36.37" personId="{FF8BD8C7-F0AB-4A69-8CE5-039EB82C7406}" id="{6A0B3523-637B-40D3-92EB-2DC58EDB3F44}">
    <text>+5</text>
  </threadedComment>
  <threadedComment ref="S15" dT="2025-05-21T15:08:11.62" personId="{FF8BD8C7-F0AB-4A69-8CE5-039EB82C7406}" id="{D5126D9D-48D6-4F8C-9555-FC973C914AC0}">
    <text>+5</text>
  </threadedComment>
  <threadedComment ref="G18" dT="2025-05-21T14:09:04.09" personId="{FF8BD8C7-F0AB-4A69-8CE5-039EB82C7406}" id="{97CC67BA-C7B9-41BD-9358-31FAA4BAA365}">
    <text>+5</text>
  </threadedComment>
  <threadedComment ref="I18" dT="2025-05-21T14:09:18.80" personId="{FF8BD8C7-F0AB-4A69-8CE5-039EB82C7406}" id="{A4A66A9A-7D48-4315-AB71-BF572C11EE55}">
    <text>+5</text>
  </threadedComment>
  <threadedComment ref="Q18" dT="2025-05-21T14:10:08.09" personId="{FF8BD8C7-F0AB-4A69-8CE5-039EB82C7406}" id="{A5147258-E21B-4F59-A848-08E041CD1A91}">
    <text>+5</text>
  </threadedComment>
  <threadedComment ref="S18" dT="2025-05-21T14:10:26.58" personId="{FF8BD8C7-F0AB-4A69-8CE5-039EB82C7406}" id="{A0DADA4A-C879-4479-A537-6625AA26F33B}">
    <text>+5</text>
  </threadedComment>
  <threadedComment ref="B21" dT="2025-05-23T10:36:08.13" personId="{FF8BD8C7-F0AB-4A69-8CE5-039EB82C7406}" id="{4C4E21EF-00BC-49F8-B632-E3A4D97D7B70}">
    <text>+5</text>
  </threadedComment>
  <threadedComment ref="E21" dT="2025-06-06T08:19:10.01" personId="{FF8BD8C7-F0AB-4A69-8CE5-039EB82C7406}" id="{1AD7E8A5-A674-409C-A236-E797F8E5E1EE}">
    <text>+10</text>
  </threadedComment>
  <threadedComment ref="F21" dT="2025-06-06T08:20:46.08" personId="{FF8BD8C7-F0AB-4A69-8CE5-039EB82C7406}" id="{EB47AC11-8B34-4721-8F2F-B029F7D4359D}">
    <text>+10</text>
  </threadedComment>
  <threadedComment ref="G21" dT="2025-05-21T15:09:57.38" personId="{FF8BD8C7-F0AB-4A69-8CE5-039EB82C7406}" id="{2A341F4C-9401-43F8-8133-416981BE958F}">
    <text>+10</text>
  </threadedComment>
  <threadedComment ref="H21" dT="2025-05-21T15:12:13.68" personId="{FF8BD8C7-F0AB-4A69-8CE5-039EB82C7406}" id="{8A01D3CC-737C-41DF-BA30-D0721D85A2FE}">
    <text>+10</text>
  </threadedComment>
  <threadedComment ref="I21" dT="2025-05-21T15:15:29.79" personId="{FF8BD8C7-F0AB-4A69-8CE5-039EB82C7406}" id="{8BFB8187-BC75-4040-93EE-7615E223DFFC}">
    <text>+10</text>
  </threadedComment>
  <threadedComment ref="L21" dT="2025-06-06T08:22:20.61" personId="{FF8BD8C7-F0AB-4A69-8CE5-039EB82C7406}" id="{EB23DC8A-2C29-4FC6-8D64-B7FB674DE30C}">
    <text>+10min</text>
  </threadedComment>
  <threadedComment ref="M21" dT="2025-05-21T15:16:59.16" personId="{FF8BD8C7-F0AB-4A69-8CE5-039EB82C7406}" id="{36B0DA88-359C-41E3-AD0E-44C9CE2E459E}">
    <text>+10</text>
  </threadedComment>
  <threadedComment ref="N21" dT="2025-05-21T15:18:55.62" personId="{FF8BD8C7-F0AB-4A69-8CE5-039EB82C7406}" id="{3B8F91E1-EAB7-473A-829A-FFD62DDA589E}">
    <text>+12</text>
  </threadedComment>
  <threadedComment ref="O21" dT="2025-05-21T15:22:50.40" personId="{FF8BD8C7-F0AB-4A69-8CE5-039EB82C7406}" id="{83D8F596-229B-419E-A363-8C126DB06B63}">
    <text>+10</text>
  </threadedComment>
  <threadedComment ref="Q21" dT="2025-05-21T15:28:32.38" personId="{FF8BD8C7-F0AB-4A69-8CE5-039EB82C7406}" id="{866D0E67-9DF9-4C55-81EE-ADF04E641870}">
    <text>+10</text>
  </threadedComment>
  <threadedComment ref="S21" dT="2025-05-22T12:58:34.20" personId="{FF8BD8C7-F0AB-4A69-8CE5-039EB82C7406}" id="{FB78A86F-0759-4C26-8486-E78841118DEB}">
    <text>+15</text>
  </threadedComment>
  <threadedComment ref="D24" dT="2025-05-21T14:11:07.13" personId="{FF8BD8C7-F0AB-4A69-8CE5-039EB82C7406}" id="{B99DBA76-409F-4F4B-8518-7D9B6B856AEC}">
    <text>+5</text>
  </threadedComment>
  <threadedComment ref="F24" dT="2025-05-21T13:11:23.38" personId="{FF8BD8C7-F0AB-4A69-8CE5-039EB82C7406}" id="{F5FFD4D9-B4C1-4BDA-9C6E-E39903542032}">
    <text>+5</text>
  </threadedComment>
  <threadedComment ref="K24" dT="2025-05-21T13:13:55.71" personId="{FF8BD8C7-F0AB-4A69-8CE5-039EB82C7406}" id="{2D904BAE-22E3-48F3-BAF3-D84A76182E95}">
    <text>+10</text>
  </threadedComment>
  <threadedComment ref="M24" dT="2025-05-21T14:11:52.95" personId="{FF8BD8C7-F0AB-4A69-8CE5-039EB82C7406}" id="{F8D9D75C-BF69-4937-8CCE-27FAFE24CD34}">
    <text>+5</text>
  </threadedComment>
  <threadedComment ref="N24" dT="2025-05-21T14:12:08.63" personId="{FF8BD8C7-F0AB-4A69-8CE5-039EB82C7406}" id="{52F62803-F5CE-4694-877A-37D2BA5BA1FD}">
    <text>+5</text>
  </threadedComment>
  <threadedComment ref="O24" dT="2025-05-21T14:12:27.84" personId="{FF8BD8C7-F0AB-4A69-8CE5-039EB82C7406}" id="{7F099421-6536-4FAC-9AF8-7E043622981A}">
    <text>+5</text>
  </threadedComment>
  <threadedComment ref="Q24" dT="2025-05-21T14:12:46.18" personId="{FF8BD8C7-F0AB-4A69-8CE5-039EB82C7406}" id="{2B6ADCCB-EE48-4380-9010-591242066317}">
    <text>+5</text>
  </threadedComment>
  <threadedComment ref="S24" dT="2025-05-21T14:13:41.95" personId="{FF8BD8C7-F0AB-4A69-8CE5-039EB82C7406}" id="{BF5BCC7C-97E8-4F66-8065-534136C2322D}">
    <text>+10</text>
  </threadedComment>
  <threadedComment ref="B27" dT="2025-05-22T13:24:31.80" personId="{FF8BD8C7-F0AB-4A69-8CE5-039EB82C7406}" id="{F47DB549-287B-49EF-86D3-86BBEF2F9BAE}">
    <text>+10</text>
  </threadedComment>
  <threadedComment ref="D27" dT="2025-05-22T13:26:15.64" personId="{FF8BD8C7-F0AB-4A69-8CE5-039EB82C7406}" id="{118421AE-F4B0-45E5-968C-AE1643A5C89E}">
    <text>+15</text>
  </threadedComment>
  <threadedComment ref="G27" dT="2025-05-22T13:34:51.48" personId="{FF8BD8C7-F0AB-4A69-8CE5-039EB82C7406}" id="{8939A484-08F3-403A-8CE4-04D44D35EB4F}">
    <text>+5</text>
  </threadedComment>
  <threadedComment ref="H27" dT="2025-05-22T13:39:04.12" personId="{FF8BD8C7-F0AB-4A69-8CE5-039EB82C7406}" id="{61C1E516-EEFF-460C-8AC7-20AD70C596F4}">
    <text>+10</text>
  </threadedComment>
  <threadedComment ref="I27" dT="2025-05-22T13:50:15.20" personId="{FF8BD8C7-F0AB-4A69-8CE5-039EB82C7406}" id="{9D269011-C1D0-4ED1-A210-359724C23B2C}">
    <text>+10</text>
  </threadedComment>
  <threadedComment ref="J27" dT="2025-06-06T08:26:30.20" personId="{FF8BD8C7-F0AB-4A69-8CE5-039EB82C7406}" id="{F7719BA3-A1E0-4E39-8C8A-3377AF4CE2F8}">
    <text>+10</text>
  </threadedComment>
  <threadedComment ref="L27" dT="2025-06-06T08:27:12.12" personId="{FF8BD8C7-F0AB-4A69-8CE5-039EB82C7406}" id="{2E449721-5AAE-4559-B559-CC8608AE122E}">
    <text>+5</text>
  </threadedComment>
  <threadedComment ref="M27" dT="2025-05-22T14:21:28.35" personId="{FF8BD8C7-F0AB-4A69-8CE5-039EB82C7406}" id="{096DF58C-EE2C-4083-8CB6-F01175774DFC}">
    <text>+10</text>
  </threadedComment>
  <threadedComment ref="O27" dT="2025-05-22T14:09:56.53" personId="{FF8BD8C7-F0AB-4A69-8CE5-039EB82C7406}" id="{2B98CF2E-D006-4BC3-A676-96258CCA28F6}">
    <text>+15</text>
  </threadedComment>
  <threadedComment ref="S27" dT="2025-05-22T14:22:05.22" personId="{FF8BD8C7-F0AB-4A69-8CE5-039EB82C7406}" id="{5CFDA3B3-5CED-4291-BA33-1B439F24553F}">
    <text>+10</text>
  </threadedComment>
  <threadedComment ref="B30" dT="2025-05-21T14:14:01.01" personId="{FF8BD8C7-F0AB-4A69-8CE5-039EB82C7406}" id="{E6651B31-25B9-4FE8-ACD4-BC7E1DA6851A}">
    <text>+5</text>
  </threadedComment>
  <threadedComment ref="C30" dT="2025-05-21T14:14:25.45" personId="{FF8BD8C7-F0AB-4A69-8CE5-039EB82C7406}" id="{C5A0A6F9-E6B0-4809-8BB2-B20DB42FC445}">
    <text>+10</text>
  </threadedComment>
  <threadedComment ref="D30" dT="2025-05-21T14:14:44.22" personId="{FF8BD8C7-F0AB-4A69-8CE5-039EB82C7406}" id="{DF8C4C10-0CA9-4C1B-8B1E-A2A3A82346D1}">
    <text>+5</text>
  </threadedComment>
  <threadedComment ref="F30" dT="2025-05-21T13:23:31.29" personId="{FF8BD8C7-F0AB-4A69-8CE5-039EB82C7406}" id="{9CA48738-FD2B-4B0D-BC3B-6A0CAF201EA7}">
    <text>+15</text>
  </threadedComment>
  <threadedComment ref="G30" dT="2025-05-21T13:23:39.49" personId="{FF8BD8C7-F0AB-4A69-8CE5-039EB82C7406}" id="{56696C12-441C-41FC-9A81-6B4EED842032}">
    <text>+10</text>
  </threadedComment>
  <threadedComment ref="H30" dT="2025-05-21T14:15:09.37" personId="{FF8BD8C7-F0AB-4A69-8CE5-039EB82C7406}" id="{593386A3-289C-4DD6-8F51-2360CD7564FE}">
    <text>+10</text>
  </threadedComment>
  <threadedComment ref="I30" dT="2025-05-21T14:15:26.85" personId="{FF8BD8C7-F0AB-4A69-8CE5-039EB82C7406}" id="{F0D7BBC6-6502-4B04-A488-540FC6548BE5}">
    <text>+10</text>
  </threadedComment>
  <threadedComment ref="K30" dT="2025-05-21T13:24:03.93" personId="{FF8BD8C7-F0AB-4A69-8CE5-039EB82C7406}" id="{77F70F33-997B-417C-9652-734B784F8844}">
    <text>+10</text>
  </threadedComment>
  <threadedComment ref="L30" dT="2025-05-21T13:27:16.15" personId="{FF8BD8C7-F0AB-4A69-8CE5-039EB82C7406}" id="{7BA44542-BA4B-4AF6-8061-91D26F6E6FA8}">
    <text>+10</text>
  </threadedComment>
  <threadedComment ref="P30" dT="2025-05-21T13:28:23.15" personId="{FF8BD8C7-F0AB-4A69-8CE5-039EB82C7406}" id="{0AD60F11-429D-4A8A-99E4-D02B3D5A3D12}">
    <text>+10</text>
  </threadedComment>
  <threadedComment ref="S30" dT="2025-05-21T13:32:14.26" personId="{FF8BD8C7-F0AB-4A69-8CE5-039EB82C7406}" id="{5AA15A4F-1208-4B48-843A-C212C4F2C070}">
    <text>+15</text>
  </threadedComment>
  <threadedComment ref="B33" dT="2025-05-22T14:24:59.47" personId="{FF8BD8C7-F0AB-4A69-8CE5-039EB82C7406}" id="{5A32CE84-63FB-40BA-899D-2BA4D3BA7F95}">
    <text>+5</text>
  </threadedComment>
  <threadedComment ref="C33" dT="2025-05-22T14:08:30.82" personId="{FF8BD8C7-F0AB-4A69-8CE5-039EB82C7406}" id="{61795885-534E-4DB0-8707-C42F30CBE1C5}">
    <text>+15</text>
  </threadedComment>
  <threadedComment ref="H33" dT="2025-05-22T14:34:51.11" personId="{FF8BD8C7-F0AB-4A69-8CE5-039EB82C7406}" id="{C125A8F8-03BC-402F-8A50-D593126681E1}">
    <text>+10</text>
  </threadedComment>
  <threadedComment ref="I33" dT="2025-05-22T14:42:18.05" personId="{FF8BD8C7-F0AB-4A69-8CE5-039EB82C7406}" id="{267D4EBA-987C-46EB-8ABE-6280409B3A57}">
    <text>+5</text>
  </threadedComment>
  <threadedComment ref="C36" dT="2025-05-21T14:16:57.09" personId="{FF8BD8C7-F0AB-4A69-8CE5-039EB82C7406}" id="{99CF3B8C-3690-4A06-96DB-F9C11B33CB9D}">
    <text>+10</text>
  </threadedComment>
  <threadedComment ref="F36" dT="2025-05-21T13:36:50.86" personId="{FF8BD8C7-F0AB-4A69-8CE5-039EB82C7406}" id="{F92469D2-3539-4AD9-92D2-A160B809273C}">
    <text>+10</text>
  </threadedComment>
  <threadedComment ref="G36" dT="2025-05-21T13:38:02.78" personId="{FF8BD8C7-F0AB-4A69-8CE5-039EB82C7406}" id="{2E70A106-3C1D-4B98-A7E1-749FF4CB8D02}">
    <text>+10</text>
  </threadedComment>
  <threadedComment ref="H36" dT="2025-05-21T14:17:25.57" personId="{FF8BD8C7-F0AB-4A69-8CE5-039EB82C7406}" id="{D9ECEE31-A634-4A69-B8F2-D332EA45DB73}">
    <text>+10</text>
  </threadedComment>
  <threadedComment ref="I36" dT="2025-05-21T14:18:01.88" personId="{FF8BD8C7-F0AB-4A69-8CE5-039EB82C7406}" id="{7B85BFDD-37D9-4EAA-8FC5-E1BB27638776}">
    <text>+10</text>
  </threadedComment>
  <threadedComment ref="L36" dT="2025-05-21T14:18:26.48" personId="{FF8BD8C7-F0AB-4A69-8CE5-039EB82C7406}" id="{395F9074-3C18-4A11-B6ED-808D75D66CE8}">
    <text>+5</text>
  </threadedComment>
  <threadedComment ref="M36" dT="2025-05-21T14:18:42.87" personId="{FF8BD8C7-F0AB-4A69-8CE5-039EB82C7406}" id="{E2C8CCD4-C43E-47E8-B58C-E75281D14235}">
    <text>+5</text>
  </threadedComment>
  <threadedComment ref="M39" dT="2025-06-06T08:00:47.13" personId="{FF8BD8C7-F0AB-4A69-8CE5-039EB82C7406}" id="{1C83D2CA-0BDB-40CE-8B64-A9FC84B83C19}">
    <text>+5min</text>
  </threadedComment>
  <threadedComment ref="J45" dT="2025-05-22T14:49:04.80" personId="{FF8BD8C7-F0AB-4A69-8CE5-039EB82C7406}" id="{DFC327F3-6EC9-49E9-99B0-04526D00C31D}">
    <text>+5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9573B-D3E4-408F-995D-DB1A80D041DD}">
  <sheetPr>
    <tabColor rgb="FFFFFF00"/>
    <pageSetUpPr fitToPage="1"/>
  </sheetPr>
  <dimension ref="A1:BO286"/>
  <sheetViews>
    <sheetView view="pageBreakPreview" topLeftCell="A86" zoomScale="60" zoomScaleNormal="100" workbookViewId="0">
      <selection activeCell="A49" sqref="A49:S157"/>
    </sheetView>
  </sheetViews>
  <sheetFormatPr defaultRowHeight="15" x14ac:dyDescent="0.25"/>
  <cols>
    <col min="1" max="1" width="20.7109375" customWidth="1"/>
    <col min="2" max="33" width="12.7109375" customWidth="1"/>
    <col min="34" max="34" width="20.7109375" customWidth="1"/>
    <col min="35" max="35" width="10.7109375" customWidth="1"/>
    <col min="36" max="36" width="20.7109375" customWidth="1"/>
    <col min="37" max="66" width="12.7109375" customWidth="1"/>
    <col min="67" max="67" width="20.7109375" customWidth="1"/>
  </cols>
  <sheetData>
    <row r="1" spans="1:67" s="1" customFormat="1" ht="34.5" thickBot="1" x14ac:dyDescent="0.3">
      <c r="A1" s="719" t="s">
        <v>0</v>
      </c>
      <c r="B1" s="719"/>
      <c r="C1" s="719"/>
      <c r="D1" s="719"/>
      <c r="E1" s="719"/>
      <c r="F1" s="719"/>
      <c r="G1" s="720" t="s">
        <v>1</v>
      </c>
      <c r="H1" s="720"/>
      <c r="I1" s="720"/>
      <c r="J1" s="720"/>
      <c r="K1" s="720"/>
      <c r="L1" s="720"/>
      <c r="M1" s="720"/>
      <c r="N1" s="720"/>
      <c r="O1" s="720"/>
      <c r="P1" s="720"/>
      <c r="Q1" s="720"/>
      <c r="R1" s="720"/>
      <c r="S1" s="720"/>
      <c r="T1" s="720"/>
      <c r="U1" s="720"/>
      <c r="V1" s="720"/>
      <c r="W1" s="720"/>
      <c r="X1" s="720"/>
      <c r="Y1" s="720"/>
      <c r="Z1" s="720"/>
      <c r="AA1" s="720"/>
      <c r="AB1" s="720"/>
      <c r="AC1" s="720"/>
      <c r="AD1" s="721">
        <v>44469</v>
      </c>
      <c r="AE1" s="711"/>
      <c r="AF1" s="711"/>
      <c r="AG1" s="711"/>
      <c r="AH1" s="712"/>
      <c r="AI1" s="722"/>
      <c r="AJ1" s="725" t="s">
        <v>0</v>
      </c>
      <c r="AK1" s="725"/>
      <c r="AL1" s="725"/>
      <c r="AM1" s="726"/>
      <c r="AN1" s="725"/>
      <c r="AO1" s="720" t="s">
        <v>1</v>
      </c>
      <c r="AP1" s="720"/>
      <c r="AQ1" s="720"/>
      <c r="AR1" s="720"/>
      <c r="AS1" s="720"/>
      <c r="AT1" s="720"/>
      <c r="AU1" s="720"/>
      <c r="AV1" s="720"/>
      <c r="AW1" s="720"/>
      <c r="AX1" s="720"/>
      <c r="AY1" s="720"/>
      <c r="AZ1" s="720"/>
      <c r="BA1" s="720"/>
      <c r="BB1" s="720"/>
      <c r="BC1" s="720"/>
      <c r="BD1" s="720"/>
      <c r="BE1" s="720"/>
      <c r="BF1" s="720"/>
      <c r="BG1" s="720"/>
      <c r="BH1" s="720"/>
      <c r="BI1" s="720"/>
      <c r="BJ1" s="720"/>
      <c r="BK1" s="711" t="s">
        <v>2</v>
      </c>
      <c r="BL1" s="711"/>
      <c r="BM1" s="711"/>
      <c r="BN1" s="711"/>
      <c r="BO1" s="712"/>
    </row>
    <row r="2" spans="1:67" s="1" customFormat="1" ht="16.5" thickBot="1" x14ac:dyDescent="0.3">
      <c r="A2" s="2"/>
      <c r="B2" s="3" t="s">
        <v>3</v>
      </c>
      <c r="C2" s="4"/>
      <c r="D2" s="5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5" t="s">
        <v>10</v>
      </c>
      <c r="K2" s="8" t="s">
        <v>11</v>
      </c>
      <c r="L2" s="6" t="s">
        <v>12</v>
      </c>
      <c r="M2" s="6" t="s">
        <v>13</v>
      </c>
      <c r="N2" s="6" t="s">
        <v>14</v>
      </c>
      <c r="O2" s="8" t="s">
        <v>15</v>
      </c>
      <c r="P2" s="9" t="s">
        <v>16</v>
      </c>
      <c r="Q2" s="6" t="s">
        <v>17</v>
      </c>
      <c r="S2" s="6" t="s">
        <v>18</v>
      </c>
      <c r="T2" s="6" t="s">
        <v>19</v>
      </c>
      <c r="U2" s="7" t="s">
        <v>20</v>
      </c>
      <c r="V2" s="9" t="s">
        <v>21</v>
      </c>
      <c r="W2" s="6" t="s">
        <v>22</v>
      </c>
      <c r="X2" s="7" t="s">
        <v>23</v>
      </c>
      <c r="Y2" s="9" t="s">
        <v>24</v>
      </c>
      <c r="Z2" s="6" t="s">
        <v>25</v>
      </c>
      <c r="AA2" s="6" t="s">
        <v>26</v>
      </c>
      <c r="AB2" s="9" t="s">
        <v>27</v>
      </c>
      <c r="AC2" s="3" t="s">
        <v>28</v>
      </c>
      <c r="AD2" s="10" t="s">
        <v>29</v>
      </c>
      <c r="AE2" s="3" t="s">
        <v>30</v>
      </c>
      <c r="AF2" s="11" t="s">
        <v>31</v>
      </c>
      <c r="AG2" s="3" t="s">
        <v>32</v>
      </c>
      <c r="AH2" s="12"/>
      <c r="AI2" s="723"/>
      <c r="AJ2" s="13"/>
      <c r="AK2" s="14"/>
      <c r="AL2" s="15" t="s">
        <v>33</v>
      </c>
      <c r="AM2" s="16" t="s">
        <v>34</v>
      </c>
      <c r="AN2" s="17" t="s">
        <v>35</v>
      </c>
      <c r="AO2" s="16" t="s">
        <v>36</v>
      </c>
      <c r="AP2" s="17" t="s">
        <v>37</v>
      </c>
      <c r="AQ2" s="16" t="s">
        <v>38</v>
      </c>
      <c r="AR2" s="17" t="s">
        <v>39</v>
      </c>
      <c r="AS2" s="16" t="s">
        <v>40</v>
      </c>
      <c r="AT2" s="18"/>
      <c r="AU2" s="15" t="s">
        <v>41</v>
      </c>
      <c r="AV2" s="16" t="s">
        <v>42</v>
      </c>
      <c r="AW2" s="17" t="s">
        <v>43</v>
      </c>
      <c r="AX2" s="16" t="s">
        <v>44</v>
      </c>
      <c r="AY2" s="19" t="s">
        <v>45</v>
      </c>
      <c r="AZ2" s="3" t="s">
        <v>46</v>
      </c>
      <c r="BA2" s="3" t="s">
        <v>47</v>
      </c>
      <c r="BB2" s="20"/>
      <c r="BC2" s="3" t="s">
        <v>48</v>
      </c>
      <c r="BD2" s="3" t="s">
        <v>49</v>
      </c>
      <c r="BE2" s="3" t="s">
        <v>50</v>
      </c>
      <c r="BF2" s="3" t="s">
        <v>51</v>
      </c>
      <c r="BG2" s="3" t="s">
        <v>52</v>
      </c>
      <c r="BH2" s="21"/>
      <c r="BI2" s="22"/>
      <c r="BJ2" s="3" t="s">
        <v>53</v>
      </c>
      <c r="BK2" s="3" t="s">
        <v>54</v>
      </c>
      <c r="BL2" s="3" t="s">
        <v>55</v>
      </c>
      <c r="BM2" s="20"/>
      <c r="BN2" s="3" t="s">
        <v>56</v>
      </c>
      <c r="BO2" s="23"/>
    </row>
    <row r="3" spans="1:67" s="1" customFormat="1" ht="16.5" thickBot="1" x14ac:dyDescent="0.3">
      <c r="A3" s="24"/>
      <c r="B3" s="25" t="s">
        <v>57</v>
      </c>
      <c r="C3" s="4"/>
      <c r="D3" s="26" t="s">
        <v>58</v>
      </c>
      <c r="E3" s="27" t="s">
        <v>59</v>
      </c>
      <c r="F3" s="25" t="s">
        <v>60</v>
      </c>
      <c r="G3" s="25" t="s">
        <v>61</v>
      </c>
      <c r="H3" s="28" t="s">
        <v>62</v>
      </c>
      <c r="I3" s="25" t="s">
        <v>63</v>
      </c>
      <c r="J3" s="25" t="s">
        <v>64</v>
      </c>
      <c r="K3" s="28" t="s">
        <v>65</v>
      </c>
      <c r="L3" s="25" t="s">
        <v>66</v>
      </c>
      <c r="M3" s="29" t="s">
        <v>67</v>
      </c>
      <c r="N3" s="25" t="s">
        <v>68</v>
      </c>
      <c r="O3" s="29" t="s">
        <v>69</v>
      </c>
      <c r="P3" s="28" t="s">
        <v>70</v>
      </c>
      <c r="Q3" s="25" t="s">
        <v>71</v>
      </c>
      <c r="R3" s="30"/>
      <c r="S3" s="25" t="s">
        <v>72</v>
      </c>
      <c r="T3" s="25" t="s">
        <v>73</v>
      </c>
      <c r="U3" s="25" t="s">
        <v>74</v>
      </c>
      <c r="V3" s="25" t="s">
        <v>75</v>
      </c>
      <c r="W3" s="25" t="s">
        <v>76</v>
      </c>
      <c r="X3" s="25" t="s">
        <v>77</v>
      </c>
      <c r="Y3" s="25" t="s">
        <v>78</v>
      </c>
      <c r="Z3" s="31" t="s">
        <v>79</v>
      </c>
      <c r="AA3" s="25" t="s">
        <v>80</v>
      </c>
      <c r="AB3" s="28" t="s">
        <v>81</v>
      </c>
      <c r="AC3" s="25" t="s">
        <v>82</v>
      </c>
      <c r="AD3" s="32" t="s">
        <v>83</v>
      </c>
      <c r="AE3" s="25" t="s">
        <v>84</v>
      </c>
      <c r="AF3" s="32" t="s">
        <v>83</v>
      </c>
      <c r="AG3" s="25" t="s">
        <v>85</v>
      </c>
      <c r="AH3" s="33"/>
      <c r="AI3" s="723"/>
      <c r="AJ3" s="34"/>
      <c r="AK3" s="35"/>
      <c r="AL3" s="28" t="s">
        <v>86</v>
      </c>
      <c r="AM3" s="32" t="s">
        <v>83</v>
      </c>
      <c r="AN3" s="29" t="s">
        <v>87</v>
      </c>
      <c r="AO3" s="32" t="s">
        <v>83</v>
      </c>
      <c r="AP3" s="29" t="s">
        <v>88</v>
      </c>
      <c r="AQ3" s="32" t="s">
        <v>83</v>
      </c>
      <c r="AR3" s="29" t="s">
        <v>89</v>
      </c>
      <c r="AS3" s="32" t="s">
        <v>83</v>
      </c>
      <c r="AT3" s="36"/>
      <c r="AU3" s="28" t="s">
        <v>90</v>
      </c>
      <c r="AV3" s="32" t="s">
        <v>83</v>
      </c>
      <c r="AW3" s="29" t="s">
        <v>91</v>
      </c>
      <c r="AX3" s="32" t="s">
        <v>83</v>
      </c>
      <c r="AY3" s="27" t="s">
        <v>92</v>
      </c>
      <c r="AZ3" s="25" t="s">
        <v>93</v>
      </c>
      <c r="BA3" s="25" t="s">
        <v>94</v>
      </c>
      <c r="BB3" s="37"/>
      <c r="BC3" s="25" t="s">
        <v>95</v>
      </c>
      <c r="BD3" s="25" t="s">
        <v>96</v>
      </c>
      <c r="BE3" s="25" t="s">
        <v>97</v>
      </c>
      <c r="BF3" s="25" t="s">
        <v>98</v>
      </c>
      <c r="BG3" s="25" t="s">
        <v>99</v>
      </c>
      <c r="BH3" s="38"/>
      <c r="BI3" s="22"/>
      <c r="BJ3" s="25" t="s">
        <v>100</v>
      </c>
      <c r="BK3" s="25" t="s">
        <v>101</v>
      </c>
      <c r="BL3" s="25" t="s">
        <v>102</v>
      </c>
      <c r="BM3" s="37"/>
      <c r="BN3" s="25" t="s">
        <v>103</v>
      </c>
      <c r="BO3" s="33"/>
    </row>
    <row r="4" spans="1:67" s="1" customFormat="1" ht="15.75" x14ac:dyDescent="0.25">
      <c r="A4" s="34" t="s">
        <v>104</v>
      </c>
      <c r="B4" s="39" t="s">
        <v>105</v>
      </c>
      <c r="C4" s="4"/>
      <c r="D4" s="40" t="s">
        <v>106</v>
      </c>
      <c r="E4" s="40" t="s">
        <v>107</v>
      </c>
      <c r="F4" s="41" t="s">
        <v>108</v>
      </c>
      <c r="G4" s="42" t="s">
        <v>109</v>
      </c>
      <c r="H4" s="43" t="s">
        <v>110</v>
      </c>
      <c r="I4" s="44" t="s">
        <v>111</v>
      </c>
      <c r="J4" s="42" t="s">
        <v>112</v>
      </c>
      <c r="K4" s="43" t="s">
        <v>113</v>
      </c>
      <c r="L4" s="40" t="s">
        <v>114</v>
      </c>
      <c r="M4" s="40" t="s">
        <v>115</v>
      </c>
      <c r="N4" s="40" t="s">
        <v>116</v>
      </c>
      <c r="O4" s="40" t="s">
        <v>117</v>
      </c>
      <c r="P4" s="40" t="s">
        <v>118</v>
      </c>
      <c r="Q4" s="40" t="s">
        <v>119</v>
      </c>
      <c r="R4" s="45"/>
      <c r="S4" s="42" t="s">
        <v>120</v>
      </c>
      <c r="T4" s="42" t="s">
        <v>121</v>
      </c>
      <c r="U4" s="46" t="s">
        <v>122</v>
      </c>
      <c r="V4" s="44" t="s">
        <v>123</v>
      </c>
      <c r="W4" s="42" t="s">
        <v>124</v>
      </c>
      <c r="X4" s="46" t="s">
        <v>125</v>
      </c>
      <c r="Y4" s="40" t="s">
        <v>126</v>
      </c>
      <c r="Z4" s="40" t="s">
        <v>127</v>
      </c>
      <c r="AA4" s="40" t="s">
        <v>128</v>
      </c>
      <c r="AB4" s="40" t="s">
        <v>129</v>
      </c>
      <c r="AC4" s="41" t="s">
        <v>130</v>
      </c>
      <c r="AD4" s="47" t="s">
        <v>131</v>
      </c>
      <c r="AE4" s="48" t="s">
        <v>132</v>
      </c>
      <c r="AF4" s="47" t="s">
        <v>133</v>
      </c>
      <c r="AG4" s="49" t="s">
        <v>134</v>
      </c>
      <c r="AH4" s="50" t="s">
        <v>104</v>
      </c>
      <c r="AI4" s="723"/>
      <c r="AJ4" s="34" t="s">
        <v>104</v>
      </c>
      <c r="AK4" s="51"/>
      <c r="AL4" s="44" t="s">
        <v>135</v>
      </c>
      <c r="AM4" s="47" t="s">
        <v>136</v>
      </c>
      <c r="AN4" s="52" t="s">
        <v>137</v>
      </c>
      <c r="AO4" s="47" t="s">
        <v>138</v>
      </c>
      <c r="AP4" s="48" t="s">
        <v>139</v>
      </c>
      <c r="AQ4" s="47" t="s">
        <v>140</v>
      </c>
      <c r="AR4" s="52" t="s">
        <v>141</v>
      </c>
      <c r="AS4" s="47" t="s">
        <v>142</v>
      </c>
      <c r="AT4" s="53"/>
      <c r="AU4" s="44" t="s">
        <v>143</v>
      </c>
      <c r="AV4" s="47" t="s">
        <v>144</v>
      </c>
      <c r="AW4" s="48" t="s">
        <v>145</v>
      </c>
      <c r="AX4" s="47" t="s">
        <v>146</v>
      </c>
      <c r="AY4" s="43" t="s">
        <v>147</v>
      </c>
      <c r="AZ4" s="40" t="s">
        <v>148</v>
      </c>
      <c r="BA4" s="40" t="s">
        <v>149</v>
      </c>
      <c r="BB4" s="54"/>
      <c r="BC4" s="40" t="s">
        <v>150</v>
      </c>
      <c r="BD4" s="40" t="s">
        <v>151</v>
      </c>
      <c r="BE4" s="40" t="s">
        <v>152</v>
      </c>
      <c r="BF4" s="40" t="s">
        <v>153</v>
      </c>
      <c r="BG4" s="40" t="s">
        <v>154</v>
      </c>
      <c r="BH4" s="22"/>
      <c r="BI4" s="22"/>
      <c r="BJ4" s="40" t="s">
        <v>155</v>
      </c>
      <c r="BK4" s="40" t="s">
        <v>156</v>
      </c>
      <c r="BL4" s="40" t="s">
        <v>157</v>
      </c>
      <c r="BM4" s="54"/>
      <c r="BN4" s="55" t="s">
        <v>158</v>
      </c>
      <c r="BO4" s="50" t="s">
        <v>104</v>
      </c>
    </row>
    <row r="5" spans="1:67" s="1" customFormat="1" ht="15.75" x14ac:dyDescent="0.25">
      <c r="A5" s="34"/>
      <c r="B5" s="56"/>
      <c r="C5" s="4"/>
      <c r="D5" s="57"/>
      <c r="E5" s="57"/>
      <c r="F5" s="58"/>
      <c r="G5" s="59"/>
      <c r="H5" s="60"/>
      <c r="I5" s="61"/>
      <c r="J5" s="59"/>
      <c r="K5" s="60"/>
      <c r="L5" s="57"/>
      <c r="M5" s="57"/>
      <c r="N5" s="57"/>
      <c r="O5" s="57"/>
      <c r="P5" s="57"/>
      <c r="Q5" s="57"/>
      <c r="R5" s="45"/>
      <c r="S5" s="59"/>
      <c r="T5" s="59"/>
      <c r="U5" s="62"/>
      <c r="V5" s="61"/>
      <c r="W5" s="59"/>
      <c r="X5" s="62"/>
      <c r="Y5" s="57"/>
      <c r="Z5" s="57"/>
      <c r="AA5" s="57"/>
      <c r="AB5" s="57"/>
      <c r="AC5" s="58"/>
      <c r="AD5" s="63" t="s">
        <v>159</v>
      </c>
      <c r="AE5" s="64"/>
      <c r="AF5" s="63" t="s">
        <v>159</v>
      </c>
      <c r="AG5" s="65"/>
      <c r="AH5" s="66"/>
      <c r="AI5" s="723"/>
      <c r="AJ5" s="67"/>
      <c r="AK5" s="51"/>
      <c r="AL5" s="61"/>
      <c r="AM5" s="63" t="s">
        <v>159</v>
      </c>
      <c r="AN5" s="68"/>
      <c r="AO5" s="63" t="s">
        <v>159</v>
      </c>
      <c r="AP5" s="64"/>
      <c r="AQ5" s="63" t="s">
        <v>159</v>
      </c>
      <c r="AR5" s="68"/>
      <c r="AS5" s="63" t="s">
        <v>159</v>
      </c>
      <c r="AT5" s="53"/>
      <c r="AU5" s="61"/>
      <c r="AV5" s="63" t="s">
        <v>159</v>
      </c>
      <c r="AW5" s="64"/>
      <c r="AX5" s="63" t="s">
        <v>159</v>
      </c>
      <c r="AY5" s="60"/>
      <c r="AZ5" s="57"/>
      <c r="BA5" s="57"/>
      <c r="BB5" s="54"/>
      <c r="BC5" s="57"/>
      <c r="BD5" s="57"/>
      <c r="BE5" s="57"/>
      <c r="BF5" s="57"/>
      <c r="BG5" s="57"/>
      <c r="BH5" s="22"/>
      <c r="BI5" s="22"/>
      <c r="BJ5" s="57"/>
      <c r="BK5" s="57"/>
      <c r="BL5" s="57"/>
      <c r="BM5" s="54"/>
      <c r="BN5" s="69"/>
      <c r="BO5" s="50"/>
    </row>
    <row r="6" spans="1:67" s="1" customFormat="1" ht="15.75" x14ac:dyDescent="0.25">
      <c r="A6" s="70"/>
      <c r="B6" s="71"/>
      <c r="C6" s="4"/>
      <c r="D6" s="72"/>
      <c r="E6" s="57"/>
      <c r="F6" s="45"/>
      <c r="G6" s="73"/>
      <c r="H6" s="60"/>
      <c r="I6" s="45"/>
      <c r="J6" s="73"/>
      <c r="K6" s="74"/>
      <c r="L6" s="54"/>
      <c r="M6" s="22"/>
      <c r="N6" s="54"/>
      <c r="O6" s="54"/>
      <c r="P6" s="22"/>
      <c r="Q6" s="54"/>
      <c r="R6" s="45"/>
      <c r="S6" s="75"/>
      <c r="T6" s="75"/>
      <c r="U6" s="30"/>
      <c r="V6" s="45"/>
      <c r="W6" s="75"/>
      <c r="X6" s="30"/>
      <c r="Y6" s="57"/>
      <c r="Z6" s="22"/>
      <c r="AA6" s="54"/>
      <c r="AB6" s="57"/>
      <c r="AC6" s="45"/>
      <c r="AD6" s="76"/>
      <c r="AE6" s="37"/>
      <c r="AF6" s="63"/>
      <c r="AG6" s="77"/>
      <c r="AH6" s="78"/>
      <c r="AI6" s="723"/>
      <c r="AJ6" s="70"/>
      <c r="AK6" s="51"/>
      <c r="AL6" s="61"/>
      <c r="AM6" s="76"/>
      <c r="AN6" s="37"/>
      <c r="AO6" s="76"/>
      <c r="AP6" s="64"/>
      <c r="AQ6" s="76"/>
      <c r="AR6" s="37"/>
      <c r="AS6" s="76"/>
      <c r="AT6" s="53"/>
      <c r="AU6" s="61"/>
      <c r="AV6" s="76"/>
      <c r="AW6" s="64"/>
      <c r="AX6" s="76"/>
      <c r="AY6" s="60"/>
      <c r="AZ6" s="57"/>
      <c r="BA6" s="57"/>
      <c r="BB6" s="54"/>
      <c r="BC6" s="57"/>
      <c r="BD6" s="57"/>
      <c r="BE6" s="57"/>
      <c r="BF6" s="57"/>
      <c r="BG6" s="57"/>
      <c r="BH6" s="22"/>
      <c r="BI6" s="22"/>
      <c r="BJ6" s="57"/>
      <c r="BK6" s="57"/>
      <c r="BL6" s="54"/>
      <c r="BM6" s="54"/>
      <c r="BN6" s="79"/>
      <c r="BO6" s="78"/>
    </row>
    <row r="7" spans="1:67" s="1" customFormat="1" ht="15.75" x14ac:dyDescent="0.25">
      <c r="A7" s="80" t="s">
        <v>160</v>
      </c>
      <c r="B7" s="71"/>
      <c r="C7" s="4"/>
      <c r="D7" s="72"/>
      <c r="E7" s="57"/>
      <c r="F7" s="45"/>
      <c r="G7" s="73"/>
      <c r="H7" s="60"/>
      <c r="I7" s="45"/>
      <c r="J7" s="73"/>
      <c r="K7" s="74"/>
      <c r="L7" s="54"/>
      <c r="M7" s="57"/>
      <c r="N7" s="54"/>
      <c r="O7" s="54"/>
      <c r="P7" s="57"/>
      <c r="Q7" s="54"/>
      <c r="R7" s="45"/>
      <c r="S7" s="75"/>
      <c r="T7" s="75"/>
      <c r="U7" s="30"/>
      <c r="V7" s="45"/>
      <c r="W7" s="75"/>
      <c r="X7" s="30"/>
      <c r="Y7" s="57"/>
      <c r="Z7" s="22"/>
      <c r="AA7" s="54"/>
      <c r="AB7" s="57"/>
      <c r="AC7" s="45"/>
      <c r="AD7" s="76"/>
      <c r="AE7" s="37"/>
      <c r="AF7" s="63"/>
      <c r="AG7" s="77"/>
      <c r="AH7" s="81" t="s">
        <v>160</v>
      </c>
      <c r="AI7" s="723"/>
      <c r="AJ7" s="80" t="s">
        <v>160</v>
      </c>
      <c r="AK7" s="51"/>
      <c r="AL7" s="61"/>
      <c r="AM7" s="76"/>
      <c r="AN7" s="37"/>
      <c r="AO7" s="76"/>
      <c r="AP7" s="64"/>
      <c r="AQ7" s="76"/>
      <c r="AR7" s="37"/>
      <c r="AS7" s="76"/>
      <c r="AT7" s="53"/>
      <c r="AU7" s="82">
        <v>0.22222222222222221</v>
      </c>
      <c r="AV7" s="76"/>
      <c r="AW7" s="64"/>
      <c r="AX7" s="76"/>
      <c r="AY7" s="60"/>
      <c r="AZ7" s="83">
        <v>0.2361111111111111</v>
      </c>
      <c r="BA7" s="83">
        <v>0.24305555555555555</v>
      </c>
      <c r="BB7" s="54"/>
      <c r="BC7" s="54"/>
      <c r="BD7" s="83">
        <v>0.24999999999999953</v>
      </c>
      <c r="BE7" s="83">
        <v>0.25694444444444459</v>
      </c>
      <c r="BF7" s="83">
        <v>0.26388888888888856</v>
      </c>
      <c r="BG7" s="83">
        <v>0.27083333333333359</v>
      </c>
      <c r="BH7" s="22"/>
      <c r="BI7" s="22"/>
      <c r="BJ7" s="83">
        <v>0.27777777777777757</v>
      </c>
      <c r="BK7" s="83">
        <v>0.2847222222222226</v>
      </c>
      <c r="BL7" s="83">
        <v>0.2902777777777778</v>
      </c>
      <c r="BM7" s="54"/>
      <c r="BN7" s="84">
        <v>0.2951388888888889</v>
      </c>
      <c r="BO7" s="81" t="s">
        <v>160</v>
      </c>
    </row>
    <row r="8" spans="1:67" s="1" customFormat="1" ht="15.75" x14ac:dyDescent="0.25">
      <c r="A8" s="85" t="s">
        <v>161</v>
      </c>
      <c r="B8" s="71"/>
      <c r="C8" s="4"/>
      <c r="D8" s="72"/>
      <c r="E8" s="54"/>
      <c r="F8" s="45"/>
      <c r="G8" s="73"/>
      <c r="H8" s="30"/>
      <c r="I8" s="45"/>
      <c r="J8" s="73"/>
      <c r="K8" s="74"/>
      <c r="L8" s="54"/>
      <c r="M8" s="54"/>
      <c r="N8" s="54"/>
      <c r="O8" s="54"/>
      <c r="P8" s="54"/>
      <c r="Q8" s="54"/>
      <c r="R8" s="45"/>
      <c r="S8" s="75"/>
      <c r="T8" s="75"/>
      <c r="U8" s="30"/>
      <c r="V8" s="45"/>
      <c r="W8" s="75"/>
      <c r="X8" s="30"/>
      <c r="Y8" s="54"/>
      <c r="Z8" s="22"/>
      <c r="AA8" s="54"/>
      <c r="AB8" s="54"/>
      <c r="AC8" s="45"/>
      <c r="AD8" s="63"/>
      <c r="AE8" s="37"/>
      <c r="AF8" s="63"/>
      <c r="AG8" s="77"/>
      <c r="AH8" s="86" t="s">
        <v>161</v>
      </c>
      <c r="AI8" s="723"/>
      <c r="AJ8" s="85" t="s">
        <v>161</v>
      </c>
      <c r="AK8" s="51"/>
      <c r="AL8" s="45"/>
      <c r="AM8" s="76"/>
      <c r="AN8" s="37"/>
      <c r="AO8" s="63"/>
      <c r="AP8" s="37"/>
      <c r="AQ8" s="63"/>
      <c r="AR8" s="37"/>
      <c r="AS8" s="63"/>
      <c r="AT8" s="53"/>
      <c r="AU8" s="87">
        <v>0.22916666666666666</v>
      </c>
      <c r="AV8" s="63"/>
      <c r="AW8" s="37"/>
      <c r="AX8" s="63"/>
      <c r="AY8" s="30"/>
      <c r="AZ8" s="88">
        <v>0.24305555555555555</v>
      </c>
      <c r="BA8" s="88">
        <v>0.25</v>
      </c>
      <c r="BB8" s="54"/>
      <c r="BC8" s="54"/>
      <c r="BD8" s="88">
        <v>0.25694444444444398</v>
      </c>
      <c r="BE8" s="88">
        <v>0.26388888888888901</v>
      </c>
      <c r="BF8" s="88">
        <v>0.27083333333333298</v>
      </c>
      <c r="BG8" s="88">
        <v>0.27777777777777801</v>
      </c>
      <c r="BH8" s="22"/>
      <c r="BI8" s="22"/>
      <c r="BJ8" s="88">
        <v>0.28472222222222199</v>
      </c>
      <c r="BK8" s="88">
        <v>0.29166666666666702</v>
      </c>
      <c r="BL8" s="88">
        <v>0.29722222222222222</v>
      </c>
      <c r="BM8" s="54"/>
      <c r="BN8" s="89">
        <v>0.30208333333333331</v>
      </c>
      <c r="BO8" s="86" t="s">
        <v>161</v>
      </c>
    </row>
    <row r="9" spans="1:67" s="1" customFormat="1" ht="15.75" x14ac:dyDescent="0.25">
      <c r="A9" s="90" t="s">
        <v>162</v>
      </c>
      <c r="B9" s="71"/>
      <c r="C9" s="4"/>
      <c r="D9" s="72"/>
      <c r="E9" s="54"/>
      <c r="F9" s="45"/>
      <c r="G9" s="75"/>
      <c r="H9" s="30"/>
      <c r="I9" s="45"/>
      <c r="J9" s="73"/>
      <c r="K9" s="74"/>
      <c r="L9" s="54"/>
      <c r="M9" s="22"/>
      <c r="N9" s="54"/>
      <c r="O9" s="54"/>
      <c r="P9" s="22"/>
      <c r="Q9" s="54"/>
      <c r="R9" s="45"/>
      <c r="S9" s="75"/>
      <c r="T9" s="75"/>
      <c r="U9" s="30"/>
      <c r="V9" s="45"/>
      <c r="W9" s="75"/>
      <c r="X9" s="30"/>
      <c r="Y9" s="54"/>
      <c r="Z9" s="22"/>
      <c r="AA9" s="54"/>
      <c r="AB9" s="54"/>
      <c r="AC9" s="45"/>
      <c r="AD9" s="63"/>
      <c r="AE9" s="37"/>
      <c r="AF9" s="63"/>
      <c r="AG9" s="77"/>
      <c r="AH9" s="78" t="s">
        <v>162</v>
      </c>
      <c r="AI9" s="723"/>
      <c r="AJ9" s="90" t="s">
        <v>162</v>
      </c>
      <c r="AK9" s="51"/>
      <c r="AL9" s="45"/>
      <c r="AM9" s="76"/>
      <c r="AN9" s="37"/>
      <c r="AO9" s="63"/>
      <c r="AP9" s="37"/>
      <c r="AQ9" s="63"/>
      <c r="AR9" s="37"/>
      <c r="AS9" s="63"/>
      <c r="AT9" s="53"/>
      <c r="AU9" s="87">
        <v>0.26041666666666663</v>
      </c>
      <c r="AV9" s="63"/>
      <c r="AW9" s="37"/>
      <c r="AX9" s="63"/>
      <c r="AY9" s="30"/>
      <c r="AZ9" s="88">
        <v>0.27430555555555552</v>
      </c>
      <c r="BA9" s="88">
        <v>0.28125</v>
      </c>
      <c r="BB9" s="54"/>
      <c r="BC9" s="54"/>
      <c r="BD9" s="88">
        <v>0.28819444444444398</v>
      </c>
      <c r="BE9" s="88">
        <v>0.29513888888888901</v>
      </c>
      <c r="BF9" s="88">
        <v>0.30208333333333298</v>
      </c>
      <c r="BG9" s="88">
        <v>0.31597222222222221</v>
      </c>
      <c r="BH9" s="22"/>
      <c r="BI9" s="22"/>
      <c r="BJ9" s="88">
        <v>0.32291666666666669</v>
      </c>
      <c r="BK9" s="88">
        <v>0.3298611111111111</v>
      </c>
      <c r="BL9" s="88">
        <v>0.33541666666666664</v>
      </c>
      <c r="BM9" s="54"/>
      <c r="BN9" s="89">
        <v>0.34027777777777779</v>
      </c>
      <c r="BO9" s="78" t="s">
        <v>162</v>
      </c>
    </row>
    <row r="10" spans="1:67" s="1" customFormat="1" ht="15.75" x14ac:dyDescent="0.25">
      <c r="A10" s="91" t="s">
        <v>163</v>
      </c>
      <c r="B10" s="71"/>
      <c r="C10" s="4"/>
      <c r="D10" s="92">
        <v>0.2013888888888889</v>
      </c>
      <c r="E10" s="54"/>
      <c r="F10" s="45"/>
      <c r="G10" s="93">
        <v>0.28472222222222221</v>
      </c>
      <c r="H10" s="94">
        <v>0.21527777777777779</v>
      </c>
      <c r="I10" s="95">
        <v>0.22222222222222221</v>
      </c>
      <c r="J10" s="93">
        <v>0.29166666666666669</v>
      </c>
      <c r="K10" s="74"/>
      <c r="L10" s="92">
        <v>0.22916666666666619</v>
      </c>
      <c r="M10" s="22"/>
      <c r="N10" s="92">
        <v>0.23611111111111122</v>
      </c>
      <c r="O10" s="92">
        <v>0.24305555555555519</v>
      </c>
      <c r="P10" s="22"/>
      <c r="Q10" s="92">
        <v>0.25000000000000022</v>
      </c>
      <c r="R10" s="45"/>
      <c r="S10" s="93">
        <v>0.2986111111111111</v>
      </c>
      <c r="T10" s="93">
        <v>0.3125</v>
      </c>
      <c r="U10" s="94">
        <v>0.2569444444444442</v>
      </c>
      <c r="V10" s="95">
        <v>0.26388888888888923</v>
      </c>
      <c r="W10" s="93">
        <v>0.31944444444444442</v>
      </c>
      <c r="X10" s="94">
        <v>0.2708333333333332</v>
      </c>
      <c r="Y10" s="92">
        <v>0.27430555555555552</v>
      </c>
      <c r="Z10" s="92">
        <v>0.27986111111111112</v>
      </c>
      <c r="AA10" s="92">
        <v>0.28125</v>
      </c>
      <c r="AB10" s="92">
        <v>0.28680555555555554</v>
      </c>
      <c r="AC10" s="95">
        <v>0.29166666666666669</v>
      </c>
      <c r="AD10" s="96">
        <v>0.29444444444444445</v>
      </c>
      <c r="AE10" s="97">
        <v>0.29722222222222222</v>
      </c>
      <c r="AF10" s="96">
        <v>0.29930555555555555</v>
      </c>
      <c r="AG10" s="98">
        <v>0.3263888888888889</v>
      </c>
      <c r="AH10" s="99" t="s">
        <v>163</v>
      </c>
      <c r="AI10" s="723"/>
      <c r="AJ10" s="91" t="s">
        <v>163</v>
      </c>
      <c r="AK10" s="51"/>
      <c r="AL10" s="95">
        <v>0.30208333333333331</v>
      </c>
      <c r="AM10" s="96">
        <v>0.30486111111111114</v>
      </c>
      <c r="AN10" s="97">
        <v>0.30763888888888885</v>
      </c>
      <c r="AO10" s="96">
        <v>0.30972222222222223</v>
      </c>
      <c r="AP10" s="97">
        <v>0.3125</v>
      </c>
      <c r="AQ10" s="96">
        <v>0.31527777777777777</v>
      </c>
      <c r="AR10" s="97">
        <v>0.31805555555555554</v>
      </c>
      <c r="AS10" s="96">
        <v>0.32083333333333336</v>
      </c>
      <c r="AT10" s="53"/>
      <c r="AU10" s="95">
        <v>0.3263888888888889</v>
      </c>
      <c r="AV10" s="96">
        <v>0.32916666666666666</v>
      </c>
      <c r="AW10" s="97">
        <v>0.33194444444444443</v>
      </c>
      <c r="AX10" s="96">
        <v>0.3347222222222222</v>
      </c>
      <c r="AY10" s="94">
        <v>0.33680555555555552</v>
      </c>
      <c r="AZ10" s="92">
        <v>0.34236111111111106</v>
      </c>
      <c r="BA10" s="92">
        <v>0.34722222222222221</v>
      </c>
      <c r="BB10" s="92"/>
      <c r="BC10" s="92">
        <v>0.35277777777777775</v>
      </c>
      <c r="BD10" s="92">
        <v>0.3576388888888889</v>
      </c>
      <c r="BE10" s="92">
        <v>0.36319444444444443</v>
      </c>
      <c r="BF10" s="100">
        <v>0.36805555555555552</v>
      </c>
      <c r="BG10" s="100">
        <v>0.37361111111111106</v>
      </c>
      <c r="BH10" s="22"/>
      <c r="BI10" s="22"/>
      <c r="BJ10" s="100">
        <v>0.37847222222222221</v>
      </c>
      <c r="BK10" s="100">
        <v>0.38541666666666663</v>
      </c>
      <c r="BL10" s="100">
        <v>0.39236111111111122</v>
      </c>
      <c r="BM10" s="54"/>
      <c r="BN10" s="101">
        <v>0.39930555555555519</v>
      </c>
      <c r="BO10" s="99" t="s">
        <v>163</v>
      </c>
    </row>
    <row r="11" spans="1:67" s="1" customFormat="1" ht="15.75" x14ac:dyDescent="0.25">
      <c r="A11" s="85" t="s">
        <v>164</v>
      </c>
      <c r="B11" s="71"/>
      <c r="C11" s="4"/>
      <c r="D11" s="102">
        <v>0.22916666666666666</v>
      </c>
      <c r="E11" s="88"/>
      <c r="F11" s="103"/>
      <c r="G11" s="104" t="s">
        <v>165</v>
      </c>
      <c r="H11" s="105">
        <v>0.24305555555555555</v>
      </c>
      <c r="I11" s="106">
        <v>0.25</v>
      </c>
      <c r="J11" s="104" t="s">
        <v>165</v>
      </c>
      <c r="K11" s="74"/>
      <c r="L11" s="102">
        <v>0.25694444444444398</v>
      </c>
      <c r="M11" s="88"/>
      <c r="N11" s="102">
        <v>0.26388888888888901</v>
      </c>
      <c r="O11" s="102">
        <v>0.27083333333333298</v>
      </c>
      <c r="P11" s="88"/>
      <c r="Q11" s="102">
        <v>0.27777777777777801</v>
      </c>
      <c r="R11" s="45"/>
      <c r="S11" s="104" t="s">
        <v>165</v>
      </c>
      <c r="T11" s="104" t="s">
        <v>165</v>
      </c>
      <c r="U11" s="105">
        <v>0.28472222222222199</v>
      </c>
      <c r="V11" s="106">
        <v>0.29166666666666702</v>
      </c>
      <c r="W11" s="104" t="s">
        <v>165</v>
      </c>
      <c r="X11" s="105">
        <v>0.29861111111111099</v>
      </c>
      <c r="Y11" s="102">
        <v>0.30208333333333331</v>
      </c>
      <c r="Z11" s="102">
        <v>0.30763888888888891</v>
      </c>
      <c r="AA11" s="102">
        <v>0.3125</v>
      </c>
      <c r="AB11" s="102">
        <v>0.31805555555555554</v>
      </c>
      <c r="AC11" s="106">
        <v>0.32291666666666669</v>
      </c>
      <c r="AD11" s="107">
        <v>0.32569444444444445</v>
      </c>
      <c r="AE11" s="108">
        <v>0.32847222222222222</v>
      </c>
      <c r="AF11" s="107">
        <v>0.33055555555555555</v>
      </c>
      <c r="AG11" s="65" t="s">
        <v>165</v>
      </c>
      <c r="AH11" s="86" t="s">
        <v>164</v>
      </c>
      <c r="AI11" s="723"/>
      <c r="AJ11" s="85" t="s">
        <v>164</v>
      </c>
      <c r="AK11" s="51"/>
      <c r="AL11" s="106">
        <v>0.33333333333333331</v>
      </c>
      <c r="AM11" s="109">
        <v>0.33611111111111114</v>
      </c>
      <c r="AN11" s="108">
        <v>0.33888888888888885</v>
      </c>
      <c r="AO11" s="109">
        <v>0.34097222222222223</v>
      </c>
      <c r="AP11" s="108">
        <v>0.34375</v>
      </c>
      <c r="AQ11" s="109">
        <v>0.34652777777777777</v>
      </c>
      <c r="AR11" s="108">
        <v>0.34930555555555554</v>
      </c>
      <c r="AS11" s="109">
        <v>0.35208333333333336</v>
      </c>
      <c r="AT11" s="53"/>
      <c r="AU11" s="106">
        <v>0.35416666666666669</v>
      </c>
      <c r="AV11" s="109">
        <v>0.35694444444444445</v>
      </c>
      <c r="AW11" s="108">
        <v>0.35972222222222222</v>
      </c>
      <c r="AX11" s="109">
        <v>0.36249999999999999</v>
      </c>
      <c r="AY11" s="105">
        <v>0.36458333333333331</v>
      </c>
      <c r="AZ11" s="102">
        <v>0.37013888888888885</v>
      </c>
      <c r="BA11" s="102">
        <v>0.375</v>
      </c>
      <c r="BB11" s="102"/>
      <c r="BC11" s="102">
        <v>0.38055555555555554</v>
      </c>
      <c r="BD11" s="102">
        <v>0.38541666666666669</v>
      </c>
      <c r="BE11" s="102">
        <v>0.39097222222222222</v>
      </c>
      <c r="BF11" s="88">
        <v>0.39583333333333331</v>
      </c>
      <c r="BG11" s="88">
        <v>0.40138888888888885</v>
      </c>
      <c r="BH11" s="22"/>
      <c r="BI11" s="22"/>
      <c r="BJ11" s="88">
        <v>0.40625</v>
      </c>
      <c r="BK11" s="88">
        <v>0.41319444444444442</v>
      </c>
      <c r="BL11" s="88">
        <v>0.42013888888888901</v>
      </c>
      <c r="BM11" s="54"/>
      <c r="BN11" s="89">
        <v>0.42708333333333298</v>
      </c>
      <c r="BO11" s="86" t="s">
        <v>164</v>
      </c>
    </row>
    <row r="12" spans="1:67" s="1" customFormat="1" ht="15.75" x14ac:dyDescent="0.25">
      <c r="A12" s="90" t="s">
        <v>166</v>
      </c>
      <c r="B12" s="71"/>
      <c r="C12" s="4"/>
      <c r="D12" s="102">
        <v>0.24652777777777779</v>
      </c>
      <c r="E12" s="54"/>
      <c r="F12" s="103"/>
      <c r="G12" s="110" t="s">
        <v>167</v>
      </c>
      <c r="H12" s="105">
        <v>0.26041666666666669</v>
      </c>
      <c r="I12" s="106">
        <v>0.2673611111111111</v>
      </c>
      <c r="J12" s="110" t="s">
        <v>167</v>
      </c>
      <c r="K12" s="74"/>
      <c r="L12" s="102">
        <v>0.27430555555555508</v>
      </c>
      <c r="M12" s="22"/>
      <c r="N12" s="102">
        <v>0.28125000000000011</v>
      </c>
      <c r="O12" s="102">
        <v>0.28819444444444409</v>
      </c>
      <c r="P12" s="22"/>
      <c r="Q12" s="102">
        <v>0.29513888888888912</v>
      </c>
      <c r="R12" s="45"/>
      <c r="S12" s="110" t="s">
        <v>167</v>
      </c>
      <c r="T12" s="110" t="s">
        <v>167</v>
      </c>
      <c r="U12" s="105">
        <v>0.30208333333333331</v>
      </c>
      <c r="V12" s="106">
        <v>0.30902777777777812</v>
      </c>
      <c r="W12" s="110" t="s">
        <v>167</v>
      </c>
      <c r="X12" s="105">
        <v>0.31597222222222221</v>
      </c>
      <c r="Y12" s="102">
        <v>0.31944444444444442</v>
      </c>
      <c r="Z12" s="102">
        <v>0.32500000000000001</v>
      </c>
      <c r="AA12" s="102">
        <v>0.3298611111111111</v>
      </c>
      <c r="AB12" s="102">
        <v>0.33541666666666664</v>
      </c>
      <c r="AC12" s="106">
        <v>0.34027777777777779</v>
      </c>
      <c r="AD12" s="107">
        <v>0.34305555555555556</v>
      </c>
      <c r="AE12" s="108">
        <v>0.34583333333333333</v>
      </c>
      <c r="AF12" s="107">
        <v>0.34791666666666665</v>
      </c>
      <c r="AG12" s="111" t="s">
        <v>167</v>
      </c>
      <c r="AH12" s="78" t="s">
        <v>166</v>
      </c>
      <c r="AI12" s="723"/>
      <c r="AJ12" s="90" t="s">
        <v>166</v>
      </c>
      <c r="AK12" s="51"/>
      <c r="AL12" s="106">
        <v>0.35069444444444442</v>
      </c>
      <c r="AM12" s="107">
        <v>0.35347222222222224</v>
      </c>
      <c r="AN12" s="108">
        <v>0.35625000000000001</v>
      </c>
      <c r="AO12" s="107">
        <v>0.35833333333333334</v>
      </c>
      <c r="AP12" s="108">
        <v>0.36458333333333331</v>
      </c>
      <c r="AQ12" s="107">
        <v>0.36388888888888887</v>
      </c>
      <c r="AR12" s="108">
        <v>0.37013888888888891</v>
      </c>
      <c r="AS12" s="107">
        <v>0.36944444444444446</v>
      </c>
      <c r="AT12" s="53"/>
      <c r="AU12" s="112" t="s">
        <v>168</v>
      </c>
      <c r="AV12" s="107">
        <v>0.37430555555555556</v>
      </c>
      <c r="AW12" s="108">
        <v>0.38055555555555554</v>
      </c>
      <c r="AX12" s="107">
        <v>0.37986111111111109</v>
      </c>
      <c r="AY12" s="105">
        <v>0.38541666666666669</v>
      </c>
      <c r="AZ12" s="113" t="s">
        <v>169</v>
      </c>
      <c r="BA12" s="113" t="s">
        <v>170</v>
      </c>
      <c r="BB12" s="102"/>
      <c r="BC12" s="102">
        <v>0.40138888888888891</v>
      </c>
      <c r="BD12" s="113" t="s">
        <v>171</v>
      </c>
      <c r="BE12" s="113" t="s">
        <v>172</v>
      </c>
      <c r="BF12" s="57" t="s">
        <v>173</v>
      </c>
      <c r="BG12" s="57" t="s">
        <v>174</v>
      </c>
      <c r="BH12" s="22"/>
      <c r="BI12" s="22"/>
      <c r="BJ12" s="57" t="s">
        <v>175</v>
      </c>
      <c r="BK12" s="57" t="s">
        <v>176</v>
      </c>
      <c r="BL12" s="57" t="s">
        <v>177</v>
      </c>
      <c r="BM12" s="54"/>
      <c r="BN12" s="69" t="s">
        <v>178</v>
      </c>
      <c r="BO12" s="78" t="s">
        <v>166</v>
      </c>
    </row>
    <row r="13" spans="1:67" s="1" customFormat="1" ht="16.5" thickBot="1" x14ac:dyDescent="0.3">
      <c r="A13" s="114" t="s">
        <v>179</v>
      </c>
      <c r="B13" s="71"/>
      <c r="C13" s="4"/>
      <c r="D13" s="115"/>
      <c r="E13" s="54"/>
      <c r="F13" s="103"/>
      <c r="G13" s="110" t="s">
        <v>180</v>
      </c>
      <c r="H13" s="53"/>
      <c r="I13" s="103"/>
      <c r="J13" s="110" t="s">
        <v>180</v>
      </c>
      <c r="K13" s="74"/>
      <c r="L13" s="115"/>
      <c r="M13" s="22"/>
      <c r="N13" s="115"/>
      <c r="O13" s="115"/>
      <c r="P13" s="22"/>
      <c r="Q13" s="115"/>
      <c r="R13" s="45"/>
      <c r="S13" s="110" t="s">
        <v>180</v>
      </c>
      <c r="T13" s="110" t="s">
        <v>180</v>
      </c>
      <c r="U13" s="116"/>
      <c r="V13" s="103"/>
      <c r="W13" s="110" t="s">
        <v>180</v>
      </c>
      <c r="X13" s="116"/>
      <c r="Y13" s="115"/>
      <c r="Z13" s="115"/>
      <c r="AA13" s="115"/>
      <c r="AB13" s="115"/>
      <c r="AC13" s="117"/>
      <c r="AD13" s="118">
        <v>0.36180555555555555</v>
      </c>
      <c r="AE13" s="36"/>
      <c r="AF13" s="118">
        <v>0.36666666666666664</v>
      </c>
      <c r="AG13" s="111" t="s">
        <v>180</v>
      </c>
      <c r="AH13" s="119" t="s">
        <v>179</v>
      </c>
      <c r="AI13" s="723"/>
      <c r="AJ13" s="114" t="s">
        <v>179</v>
      </c>
      <c r="AK13" s="51"/>
      <c r="AL13" s="117"/>
      <c r="AM13" s="118">
        <v>0.37222222222222223</v>
      </c>
      <c r="AN13" s="120"/>
      <c r="AO13" s="118">
        <v>0.37708333333333333</v>
      </c>
      <c r="AP13" s="120"/>
      <c r="AQ13" s="118">
        <v>0.38263888888888886</v>
      </c>
      <c r="AR13" s="120"/>
      <c r="AS13" s="118">
        <v>0.38819444444444445</v>
      </c>
      <c r="AT13" s="53"/>
      <c r="AU13" s="117"/>
      <c r="AV13" s="118">
        <v>0.38958333333333334</v>
      </c>
      <c r="AW13" s="120"/>
      <c r="AX13" s="118">
        <v>0.39513888888888887</v>
      </c>
      <c r="AY13" s="53"/>
      <c r="AZ13" s="115"/>
      <c r="BA13" s="115"/>
      <c r="BB13" s="121"/>
      <c r="BC13" s="115"/>
      <c r="BD13" s="115"/>
      <c r="BE13" s="115"/>
      <c r="BF13" s="88"/>
      <c r="BG13" s="88"/>
      <c r="BH13" s="122"/>
      <c r="BI13" s="22"/>
      <c r="BJ13" s="88"/>
      <c r="BK13" s="88"/>
      <c r="BL13" s="88"/>
      <c r="BM13" s="54"/>
      <c r="BN13" s="89"/>
      <c r="BO13" s="119" t="s">
        <v>179</v>
      </c>
    </row>
    <row r="14" spans="1:67" s="1" customFormat="1" ht="16.5" thickBot="1" x14ac:dyDescent="0.3">
      <c r="A14" s="80" t="s">
        <v>160</v>
      </c>
      <c r="B14" s="123">
        <v>0.30069444444444449</v>
      </c>
      <c r="C14" s="124"/>
      <c r="D14" s="83">
        <v>0.30208333333333331</v>
      </c>
      <c r="E14" s="83">
        <v>0.30763888888888885</v>
      </c>
      <c r="F14" s="82">
        <v>0.3125</v>
      </c>
      <c r="G14" s="110" t="s">
        <v>181</v>
      </c>
      <c r="H14" s="124">
        <v>0.31736111111111109</v>
      </c>
      <c r="I14" s="82">
        <v>0.3222222222222223</v>
      </c>
      <c r="J14" s="110" t="s">
        <v>181</v>
      </c>
      <c r="K14" s="124">
        <v>0.3263888888888889</v>
      </c>
      <c r="L14" s="83">
        <v>0.33124999999999993</v>
      </c>
      <c r="M14" s="83">
        <v>0.33611111111111108</v>
      </c>
      <c r="N14" s="125">
        <v>0.34027777777777773</v>
      </c>
      <c r="O14" s="83">
        <v>0.34513888888888888</v>
      </c>
      <c r="P14" s="83">
        <v>0.35</v>
      </c>
      <c r="Q14" s="83">
        <v>0.35416666666666663</v>
      </c>
      <c r="R14" s="45"/>
      <c r="S14" s="110" t="s">
        <v>181</v>
      </c>
      <c r="T14" s="110" t="s">
        <v>181</v>
      </c>
      <c r="U14" s="124">
        <v>0.35972222222222217</v>
      </c>
      <c r="V14" s="82">
        <v>0.36458333333333331</v>
      </c>
      <c r="W14" s="110" t="s">
        <v>181</v>
      </c>
      <c r="X14" s="124">
        <v>0.37152777777777773</v>
      </c>
      <c r="Y14" s="83">
        <v>0.37847222222222232</v>
      </c>
      <c r="Z14" s="126">
        <v>0.38541666666666669</v>
      </c>
      <c r="AA14" s="83">
        <v>0.3854166666666663</v>
      </c>
      <c r="AB14" s="126">
        <v>0.3923611111111111</v>
      </c>
      <c r="AC14" s="82">
        <v>0.39236111111111133</v>
      </c>
      <c r="AD14" s="127" t="s">
        <v>182</v>
      </c>
      <c r="AE14" s="128">
        <v>0.3993055555555553</v>
      </c>
      <c r="AF14" s="127" t="s">
        <v>183</v>
      </c>
      <c r="AG14" s="111" t="s">
        <v>181</v>
      </c>
      <c r="AH14" s="81" t="s">
        <v>160</v>
      </c>
      <c r="AI14" s="723"/>
      <c r="AJ14" s="80" t="s">
        <v>160</v>
      </c>
      <c r="AK14" s="51"/>
      <c r="AL14" s="82">
        <v>0.40625000000000033</v>
      </c>
      <c r="AM14" s="127" t="s">
        <v>184</v>
      </c>
      <c r="AN14" s="128">
        <v>0.41319444444444431</v>
      </c>
      <c r="AO14" s="127" t="s">
        <v>185</v>
      </c>
      <c r="AP14" s="129">
        <v>0.41388888888888886</v>
      </c>
      <c r="AQ14" s="127" t="s">
        <v>186</v>
      </c>
      <c r="AR14" s="128">
        <v>0.42013888888888834</v>
      </c>
      <c r="AS14" s="127" t="s">
        <v>187</v>
      </c>
      <c r="AT14" s="53"/>
      <c r="AU14" s="82">
        <v>0.42708333333333331</v>
      </c>
      <c r="AV14" s="127" t="s">
        <v>188</v>
      </c>
      <c r="AW14" s="120">
        <v>0.42708333333333331</v>
      </c>
      <c r="AX14" s="127" t="s">
        <v>189</v>
      </c>
      <c r="AY14" s="124">
        <v>0.43402777777777729</v>
      </c>
      <c r="AZ14" s="126">
        <v>0.44097222222222221</v>
      </c>
      <c r="BA14" s="83">
        <v>0.44097222222222232</v>
      </c>
      <c r="BB14" s="22"/>
      <c r="BC14" s="83">
        <v>0.4479166666666663</v>
      </c>
      <c r="BD14" s="83">
        <v>0.45486111111111133</v>
      </c>
      <c r="BE14" s="126">
        <v>0.46180555555555558</v>
      </c>
      <c r="BF14" s="83">
        <v>0.4618055555555553</v>
      </c>
      <c r="BG14" s="130">
        <v>0.46875</v>
      </c>
      <c r="BH14" s="3" t="s">
        <v>190</v>
      </c>
      <c r="BI14" s="22"/>
      <c r="BJ14" s="124">
        <v>0.46874999999999933</v>
      </c>
      <c r="BK14" s="83">
        <v>0.47569444444444431</v>
      </c>
      <c r="BL14" s="83">
        <v>0.48263888888888834</v>
      </c>
      <c r="BM14" s="54"/>
      <c r="BN14" s="84">
        <v>0.48958333333333331</v>
      </c>
      <c r="BO14" s="81" t="s">
        <v>160</v>
      </c>
    </row>
    <row r="15" spans="1:67" s="1" customFormat="1" ht="16.5" thickBot="1" x14ac:dyDescent="0.3">
      <c r="A15" s="85" t="s">
        <v>161</v>
      </c>
      <c r="B15" s="131">
        <v>0.30763888888888891</v>
      </c>
      <c r="C15" s="132"/>
      <c r="D15" s="88">
        <v>0.3125</v>
      </c>
      <c r="E15" s="88">
        <v>0.31805555555555554</v>
      </c>
      <c r="F15" s="87">
        <v>0.32291666666666669</v>
      </c>
      <c r="G15" s="133"/>
      <c r="H15" s="132">
        <v>0.32777777777777778</v>
      </c>
      <c r="I15" s="87">
        <v>0.33263888888888898</v>
      </c>
      <c r="J15" s="133"/>
      <c r="K15" s="132">
        <v>0.33680555555555558</v>
      </c>
      <c r="L15" s="88">
        <v>0.34166666666666662</v>
      </c>
      <c r="M15" s="87">
        <v>0.34652777777777777</v>
      </c>
      <c r="N15" s="88">
        <v>0.35069444444444442</v>
      </c>
      <c r="O15" s="132">
        <v>0.35555555555555557</v>
      </c>
      <c r="P15" s="88">
        <v>0.36041666666666666</v>
      </c>
      <c r="Q15" s="88">
        <v>0.36458333333333331</v>
      </c>
      <c r="R15" s="45"/>
      <c r="S15" s="133"/>
      <c r="T15" s="133"/>
      <c r="U15" s="132">
        <v>0.37013888888888885</v>
      </c>
      <c r="V15" s="87">
        <v>0.375</v>
      </c>
      <c r="W15" s="133"/>
      <c r="X15" s="132">
        <v>0.38194444444444442</v>
      </c>
      <c r="Y15" s="88">
        <v>0.38888888888888901</v>
      </c>
      <c r="Z15" s="57" t="s">
        <v>191</v>
      </c>
      <c r="AA15" s="88">
        <v>0.39583333333333298</v>
      </c>
      <c r="AB15" s="57" t="s">
        <v>192</v>
      </c>
      <c r="AC15" s="88">
        <v>0.40277777777777801</v>
      </c>
      <c r="AD15" s="134"/>
      <c r="AE15" s="88">
        <v>0.40972222222222199</v>
      </c>
      <c r="AF15" s="135"/>
      <c r="AG15" s="136"/>
      <c r="AH15" s="86" t="s">
        <v>161</v>
      </c>
      <c r="AI15" s="723"/>
      <c r="AJ15" s="85" t="s">
        <v>161</v>
      </c>
      <c r="AK15" s="51"/>
      <c r="AL15" s="88">
        <v>0.41666666666666702</v>
      </c>
      <c r="AM15" s="137"/>
      <c r="AN15" s="88">
        <v>0.42361111111111099</v>
      </c>
      <c r="AO15" s="137"/>
      <c r="AP15" s="57" t="s">
        <v>193</v>
      </c>
      <c r="AQ15" s="134"/>
      <c r="AR15" s="88">
        <v>0.43055555555555503</v>
      </c>
      <c r="AS15" s="134"/>
      <c r="AT15" s="115"/>
      <c r="AU15" s="88">
        <v>0.4375</v>
      </c>
      <c r="AV15" s="54"/>
      <c r="AW15" s="138" t="s">
        <v>194</v>
      </c>
      <c r="AX15" s="139"/>
      <c r="AY15" s="88">
        <v>0.44444444444444398</v>
      </c>
      <c r="AZ15" s="57" t="s">
        <v>195</v>
      </c>
      <c r="BA15" s="88">
        <v>0.45138888888888901</v>
      </c>
      <c r="BB15" s="22"/>
      <c r="BC15" s="88">
        <v>0.45833333333333298</v>
      </c>
      <c r="BD15" s="88">
        <v>0.46527777777777801</v>
      </c>
      <c r="BE15" s="57" t="s">
        <v>196</v>
      </c>
      <c r="BF15" s="88">
        <v>0.47222222222222199</v>
      </c>
      <c r="BG15" s="61" t="s">
        <v>197</v>
      </c>
      <c r="BH15" s="25" t="s">
        <v>198</v>
      </c>
      <c r="BI15" s="22"/>
      <c r="BJ15" s="132">
        <v>0.47916666666666602</v>
      </c>
      <c r="BK15" s="88">
        <v>0.48611111111111099</v>
      </c>
      <c r="BL15" s="88">
        <v>0.49305555555555503</v>
      </c>
      <c r="BM15" s="54"/>
      <c r="BN15" s="89">
        <v>0.5</v>
      </c>
      <c r="BO15" s="86" t="s">
        <v>161</v>
      </c>
    </row>
    <row r="16" spans="1:67" s="1" customFormat="1" ht="16.5" thickBot="1" x14ac:dyDescent="0.3">
      <c r="A16" s="90" t="s">
        <v>162</v>
      </c>
      <c r="B16" s="131">
        <v>0.34375</v>
      </c>
      <c r="C16" s="132"/>
      <c r="D16" s="57" t="s">
        <v>199</v>
      </c>
      <c r="E16" s="88">
        <v>0.35625000000000001</v>
      </c>
      <c r="F16" s="87">
        <v>0.36458333333333331</v>
      </c>
      <c r="G16" s="133">
        <v>0.36458333333333331</v>
      </c>
      <c r="H16" s="60" t="s">
        <v>200</v>
      </c>
      <c r="I16" s="61" t="s">
        <v>201</v>
      </c>
      <c r="J16" s="133">
        <v>0.375</v>
      </c>
      <c r="K16" s="132">
        <v>0.375</v>
      </c>
      <c r="L16" s="57" t="s">
        <v>202</v>
      </c>
      <c r="M16" s="88">
        <v>0.3840277777777778</v>
      </c>
      <c r="N16" s="40" t="s">
        <v>203</v>
      </c>
      <c r="O16" s="57" t="s">
        <v>204</v>
      </c>
      <c r="P16" s="88">
        <v>0.39166666666666666</v>
      </c>
      <c r="Q16" s="57" t="s">
        <v>205</v>
      </c>
      <c r="R16" s="140"/>
      <c r="S16" s="133">
        <v>0.38194444444444442</v>
      </c>
      <c r="T16" s="133">
        <v>0.39583333333333331</v>
      </c>
      <c r="U16" s="60" t="s">
        <v>206</v>
      </c>
      <c r="V16" s="61" t="s">
        <v>207</v>
      </c>
      <c r="W16" s="133">
        <v>0.40277777777777779</v>
      </c>
      <c r="X16" s="60" t="s">
        <v>208</v>
      </c>
      <c r="Y16" s="57" t="s">
        <v>209</v>
      </c>
      <c r="Z16" s="115"/>
      <c r="AA16" s="57" t="s">
        <v>210</v>
      </c>
      <c r="AB16" s="121"/>
      <c r="AC16" s="57" t="s">
        <v>211</v>
      </c>
      <c r="AD16" s="54"/>
      <c r="AE16" s="57" t="s">
        <v>212</v>
      </c>
      <c r="AF16" s="45"/>
      <c r="AG16" s="136">
        <v>0.40972222222222221</v>
      </c>
      <c r="AH16" s="78" t="s">
        <v>162</v>
      </c>
      <c r="AI16" s="723"/>
      <c r="AJ16" s="90" t="s">
        <v>162</v>
      </c>
      <c r="AK16" s="141"/>
      <c r="AL16" s="57" t="s">
        <v>213</v>
      </c>
      <c r="AM16" s="22"/>
      <c r="AN16" s="57" t="s">
        <v>214</v>
      </c>
      <c r="AO16" s="22"/>
      <c r="AP16" s="22"/>
      <c r="AQ16" s="54"/>
      <c r="AR16" s="57" t="s">
        <v>215</v>
      </c>
      <c r="AS16" s="54"/>
      <c r="AT16" s="142"/>
      <c r="AU16" s="88">
        <v>0.46875</v>
      </c>
      <c r="AV16" s="54"/>
      <c r="AW16" s="115"/>
      <c r="AX16" s="88"/>
      <c r="AY16" s="57" t="s">
        <v>216</v>
      </c>
      <c r="AZ16" s="22"/>
      <c r="BA16" s="88">
        <v>0.47916666666666669</v>
      </c>
      <c r="BB16" s="122"/>
      <c r="BC16" s="57" t="s">
        <v>217</v>
      </c>
      <c r="BD16" s="57" t="s">
        <v>218</v>
      </c>
      <c r="BE16" s="22"/>
      <c r="BF16" s="88">
        <v>0.50347222222222221</v>
      </c>
      <c r="BG16" s="143"/>
      <c r="BH16" s="40" t="s">
        <v>219</v>
      </c>
      <c r="BI16" s="22"/>
      <c r="BJ16" s="57" t="s">
        <v>220</v>
      </c>
      <c r="BK16" s="57" t="s">
        <v>221</v>
      </c>
      <c r="BL16" s="57" t="s">
        <v>222</v>
      </c>
      <c r="BM16" s="142"/>
      <c r="BN16" s="69" t="s">
        <v>223</v>
      </c>
      <c r="BO16" s="78" t="s">
        <v>162</v>
      </c>
    </row>
    <row r="17" spans="1:67" s="1" customFormat="1" ht="16.5" thickBot="1" x14ac:dyDescent="0.3">
      <c r="A17" s="91" t="s">
        <v>163</v>
      </c>
      <c r="B17" s="144">
        <v>0.40625000000000022</v>
      </c>
      <c r="C17" s="145"/>
      <c r="D17" s="126">
        <v>0.40625</v>
      </c>
      <c r="E17" s="126">
        <v>0.40833333333333333</v>
      </c>
      <c r="F17" s="146">
        <v>0.4131944444444442</v>
      </c>
      <c r="G17" s="147" t="s">
        <v>224</v>
      </c>
      <c r="H17" s="145">
        <v>0.42013888888888923</v>
      </c>
      <c r="I17" s="130">
        <v>0.4201388888888889</v>
      </c>
      <c r="J17" s="147" t="s">
        <v>225</v>
      </c>
      <c r="K17" s="145">
        <v>0.4270833333333332</v>
      </c>
      <c r="L17" s="100">
        <v>0.43402777777777724</v>
      </c>
      <c r="M17" s="126">
        <v>0.43402777777777779</v>
      </c>
      <c r="N17" s="100">
        <v>0.44097222222222221</v>
      </c>
      <c r="O17" s="126">
        <v>0.44097222222222221</v>
      </c>
      <c r="P17" s="126">
        <v>0.44305555555555554</v>
      </c>
      <c r="Q17" s="146">
        <v>0.44791666666666619</v>
      </c>
      <c r="R17" s="148" t="s">
        <v>226</v>
      </c>
      <c r="S17" s="149" t="s">
        <v>227</v>
      </c>
      <c r="T17" s="147" t="s">
        <v>228</v>
      </c>
      <c r="U17" s="145">
        <v>0.45138888888888901</v>
      </c>
      <c r="V17" s="146">
        <v>0.45833333333333298</v>
      </c>
      <c r="W17" s="147" t="s">
        <v>229</v>
      </c>
      <c r="X17" s="145">
        <v>0.46527777777777801</v>
      </c>
      <c r="Y17" s="100">
        <v>0.47222222222222199</v>
      </c>
      <c r="Z17" s="54"/>
      <c r="AA17" s="100">
        <v>0.47916666666666596</v>
      </c>
      <c r="AB17" s="22"/>
      <c r="AC17" s="100">
        <v>0.48611111111111105</v>
      </c>
      <c r="AD17" s="142"/>
      <c r="AE17" s="100">
        <v>0.49305555555555503</v>
      </c>
      <c r="AF17" s="140"/>
      <c r="AG17" s="150" t="s">
        <v>230</v>
      </c>
      <c r="AH17" s="99" t="s">
        <v>163</v>
      </c>
      <c r="AI17" s="723"/>
      <c r="AJ17" s="151" t="s">
        <v>163</v>
      </c>
      <c r="AK17" s="3" t="s">
        <v>231</v>
      </c>
      <c r="AL17" s="145">
        <v>0.5</v>
      </c>
      <c r="AM17" s="122"/>
      <c r="AN17" s="100">
        <v>0.50694444444444398</v>
      </c>
      <c r="AO17" s="122"/>
      <c r="AP17" s="22"/>
      <c r="AQ17" s="142"/>
      <c r="AR17" s="100">
        <v>0.51388888888888795</v>
      </c>
      <c r="AS17" s="140"/>
      <c r="AT17" s="3" t="s">
        <v>232</v>
      </c>
      <c r="AU17" s="145">
        <v>0.52083333333333304</v>
      </c>
      <c r="AV17" s="142"/>
      <c r="AW17" s="115"/>
      <c r="AX17" s="143"/>
      <c r="AY17" s="100">
        <v>0.52777777777777701</v>
      </c>
      <c r="AZ17" s="22"/>
      <c r="BA17" s="146">
        <v>0.53472222222222199</v>
      </c>
      <c r="BB17" s="3" t="s">
        <v>233</v>
      </c>
      <c r="BC17" s="145">
        <v>0.54166666666666663</v>
      </c>
      <c r="BD17" s="100">
        <v>0.54861111111111005</v>
      </c>
      <c r="BE17" s="121"/>
      <c r="BF17" s="146">
        <v>0.55555555555555503</v>
      </c>
      <c r="BG17" s="3" t="s">
        <v>234</v>
      </c>
      <c r="BH17" s="145">
        <v>0.562499999999999</v>
      </c>
      <c r="BI17" s="148" t="s">
        <v>235</v>
      </c>
      <c r="BJ17" s="146">
        <v>0.56944444444444398</v>
      </c>
      <c r="BK17" s="145">
        <v>0.57291666666666574</v>
      </c>
      <c r="BL17" s="146">
        <v>0.57986111111111083</v>
      </c>
      <c r="BM17" s="3" t="s">
        <v>236</v>
      </c>
      <c r="BN17" s="152">
        <v>0.5868055555555548</v>
      </c>
      <c r="BO17" s="99" t="s">
        <v>163</v>
      </c>
    </row>
    <row r="18" spans="1:67" s="1" customFormat="1" ht="16.5" thickBot="1" x14ac:dyDescent="0.3">
      <c r="A18" s="85" t="s">
        <v>164</v>
      </c>
      <c r="B18" s="131">
        <v>0.43402777777777801</v>
      </c>
      <c r="C18" s="132"/>
      <c r="D18" s="57" t="s">
        <v>230</v>
      </c>
      <c r="E18" s="57" t="s">
        <v>237</v>
      </c>
      <c r="F18" s="88">
        <v>0.44097222222222199</v>
      </c>
      <c r="G18" s="40"/>
      <c r="H18" s="88">
        <v>0.44791666666666702</v>
      </c>
      <c r="I18" s="57" t="s">
        <v>238</v>
      </c>
      <c r="J18" s="134"/>
      <c r="K18" s="88">
        <v>0.45486111111111099</v>
      </c>
      <c r="L18" s="88">
        <v>0.46180555555555503</v>
      </c>
      <c r="M18" s="57" t="s">
        <v>239</v>
      </c>
      <c r="N18" s="88">
        <v>0.46875</v>
      </c>
      <c r="O18" s="57" t="s">
        <v>240</v>
      </c>
      <c r="P18" s="57" t="s">
        <v>241</v>
      </c>
      <c r="Q18" s="87">
        <v>0.47569444444444398</v>
      </c>
      <c r="R18" s="25" t="s">
        <v>242</v>
      </c>
      <c r="S18" s="153"/>
      <c r="T18" s="40"/>
      <c r="U18" s="88">
        <v>0.48263888888888901</v>
      </c>
      <c r="V18" s="88">
        <v>0.48958333333333298</v>
      </c>
      <c r="W18" s="40"/>
      <c r="X18" s="88">
        <v>0.49652777777777801</v>
      </c>
      <c r="Y18" s="88">
        <v>0.50347222222222199</v>
      </c>
      <c r="Z18" s="57"/>
      <c r="AA18" s="88">
        <v>0.51041666666666596</v>
      </c>
      <c r="AB18" s="154"/>
      <c r="AC18" s="87">
        <v>0.51736111111111105</v>
      </c>
      <c r="AD18" s="16" t="s">
        <v>29</v>
      </c>
      <c r="AE18" s="155">
        <v>0.52430555555555503</v>
      </c>
      <c r="AF18" s="16" t="s">
        <v>31</v>
      </c>
      <c r="AG18" s="156"/>
      <c r="AH18" s="86" t="s">
        <v>164</v>
      </c>
      <c r="AI18" s="723"/>
      <c r="AJ18" s="157" t="s">
        <v>164</v>
      </c>
      <c r="AK18" s="25" t="s">
        <v>243</v>
      </c>
      <c r="AL18" s="155">
        <v>0.53125</v>
      </c>
      <c r="AM18" s="16" t="s">
        <v>34</v>
      </c>
      <c r="AN18" s="155">
        <v>0.53819444444444398</v>
      </c>
      <c r="AO18" s="16" t="s">
        <v>36</v>
      </c>
      <c r="AP18" s="38"/>
      <c r="AQ18" s="16" t="s">
        <v>38</v>
      </c>
      <c r="AR18" s="155">
        <v>0.54513888888888884</v>
      </c>
      <c r="AS18" s="16" t="s">
        <v>40</v>
      </c>
      <c r="AT18" s="27" t="s">
        <v>244</v>
      </c>
      <c r="AU18" s="155">
        <v>0.55208333333333304</v>
      </c>
      <c r="AV18" s="158" t="s">
        <v>42</v>
      </c>
      <c r="AW18" s="36"/>
      <c r="AX18" s="16" t="s">
        <v>44</v>
      </c>
      <c r="AY18" s="132">
        <v>0.55902777777777701</v>
      </c>
      <c r="AZ18" s="22"/>
      <c r="BA18" s="87">
        <v>0.56597222222222199</v>
      </c>
      <c r="BB18" s="25" t="s">
        <v>245</v>
      </c>
      <c r="BC18" s="132">
        <v>0.57291666666666596</v>
      </c>
      <c r="BD18" s="88">
        <v>0.57986111111111005</v>
      </c>
      <c r="BE18" s="121"/>
      <c r="BF18" s="87">
        <v>0.58680555555555503</v>
      </c>
      <c r="BG18" s="25" t="s">
        <v>246</v>
      </c>
      <c r="BH18" s="132">
        <v>0.593749999999999</v>
      </c>
      <c r="BI18" s="25" t="s">
        <v>247</v>
      </c>
      <c r="BJ18" s="87">
        <v>0.60069444444444398</v>
      </c>
      <c r="BK18" s="132">
        <v>0.60763888888888795</v>
      </c>
      <c r="BL18" s="87">
        <v>0.61458333333333304</v>
      </c>
      <c r="BM18" s="25" t="s">
        <v>248</v>
      </c>
      <c r="BN18" s="159">
        <v>0.62152777777777701</v>
      </c>
      <c r="BO18" s="86" t="s">
        <v>164</v>
      </c>
    </row>
    <row r="19" spans="1:67" s="1" customFormat="1" ht="16.5" thickBot="1" x14ac:dyDescent="0.3">
      <c r="A19" s="90" t="s">
        <v>166</v>
      </c>
      <c r="B19" s="56" t="s">
        <v>249</v>
      </c>
      <c r="C19" s="60"/>
      <c r="D19" s="72"/>
      <c r="E19" s="88"/>
      <c r="F19" s="57" t="s">
        <v>250</v>
      </c>
      <c r="G19" s="88"/>
      <c r="H19" s="57" t="s">
        <v>251</v>
      </c>
      <c r="I19" s="54"/>
      <c r="J19" s="54"/>
      <c r="K19" s="57" t="s">
        <v>252</v>
      </c>
      <c r="L19" s="57" t="s">
        <v>253</v>
      </c>
      <c r="M19" s="88"/>
      <c r="N19" s="57" t="s">
        <v>254</v>
      </c>
      <c r="O19" s="88"/>
      <c r="P19" s="88"/>
      <c r="Q19" s="57" t="s">
        <v>255</v>
      </c>
      <c r="R19" s="40" t="s">
        <v>256</v>
      </c>
      <c r="S19" s="54"/>
      <c r="T19" s="88"/>
      <c r="U19" s="57" t="s">
        <v>257</v>
      </c>
      <c r="V19" s="88">
        <v>0.50347222222222221</v>
      </c>
      <c r="W19" s="88"/>
      <c r="X19" s="57" t="s">
        <v>258</v>
      </c>
      <c r="Y19" s="88">
        <v>0.51736111111111116</v>
      </c>
      <c r="Z19" s="57"/>
      <c r="AA19" s="57" t="s">
        <v>259</v>
      </c>
      <c r="AB19" s="154"/>
      <c r="AC19" s="61" t="s">
        <v>260</v>
      </c>
      <c r="AD19" s="32" t="s">
        <v>83</v>
      </c>
      <c r="AE19" s="155">
        <v>0.53819444444444442</v>
      </c>
      <c r="AF19" s="32" t="s">
        <v>83</v>
      </c>
      <c r="AG19" s="160"/>
      <c r="AH19" s="78" t="s">
        <v>166</v>
      </c>
      <c r="AI19" s="723"/>
      <c r="AJ19" s="90" t="s">
        <v>166</v>
      </c>
      <c r="AK19" s="39" t="s">
        <v>261</v>
      </c>
      <c r="AL19" s="61" t="s">
        <v>262</v>
      </c>
      <c r="AM19" s="32" t="s">
        <v>83</v>
      </c>
      <c r="AN19" s="64" t="s">
        <v>263</v>
      </c>
      <c r="AO19" s="32" t="s">
        <v>83</v>
      </c>
      <c r="AP19" s="38"/>
      <c r="AQ19" s="32" t="s">
        <v>83</v>
      </c>
      <c r="AR19" s="64" t="s">
        <v>264</v>
      </c>
      <c r="AS19" s="32" t="s">
        <v>83</v>
      </c>
      <c r="AT19" s="43" t="s">
        <v>265</v>
      </c>
      <c r="AU19" s="61" t="s">
        <v>266</v>
      </c>
      <c r="AV19" s="161" t="s">
        <v>83</v>
      </c>
      <c r="AW19" s="36"/>
      <c r="AX19" s="32" t="s">
        <v>83</v>
      </c>
      <c r="AY19" s="132">
        <v>0.57291666666666663</v>
      </c>
      <c r="AZ19" s="22"/>
      <c r="BA19" s="57" t="s">
        <v>267</v>
      </c>
      <c r="BB19" s="40" t="s">
        <v>268</v>
      </c>
      <c r="BC19" s="88">
        <v>0.58680555555555558</v>
      </c>
      <c r="BD19" s="57" t="s">
        <v>269</v>
      </c>
      <c r="BE19" s="22"/>
      <c r="BF19" s="57" t="s">
        <v>270</v>
      </c>
      <c r="BG19" s="40" t="s">
        <v>271</v>
      </c>
      <c r="BH19" s="57" t="s">
        <v>272</v>
      </c>
      <c r="BI19" s="72" t="s">
        <v>273</v>
      </c>
      <c r="BJ19" s="57" t="s">
        <v>274</v>
      </c>
      <c r="BK19" s="57" t="s">
        <v>275</v>
      </c>
      <c r="BL19" s="57" t="s">
        <v>276</v>
      </c>
      <c r="BM19" s="40" t="s">
        <v>277</v>
      </c>
      <c r="BN19" s="69" t="s">
        <v>278</v>
      </c>
      <c r="BO19" s="78" t="s">
        <v>166</v>
      </c>
    </row>
    <row r="20" spans="1:67" s="1" customFormat="1" ht="16.5" thickBot="1" x14ac:dyDescent="0.3">
      <c r="A20" s="80" t="s">
        <v>160</v>
      </c>
      <c r="B20" s="123">
        <v>0.49652777777777729</v>
      </c>
      <c r="C20" s="124"/>
      <c r="D20" s="72"/>
      <c r="E20" s="162"/>
      <c r="F20" s="83">
        <v>0.50347222222222132</v>
      </c>
      <c r="G20" s="83"/>
      <c r="H20" s="83">
        <v>0.51041666666666641</v>
      </c>
      <c r="I20" s="142"/>
      <c r="J20" s="54"/>
      <c r="K20" s="83">
        <v>0.51736111111111038</v>
      </c>
      <c r="L20" s="83">
        <v>0.52430555555555536</v>
      </c>
      <c r="M20" s="143"/>
      <c r="N20" s="83">
        <v>0.53124999999999933</v>
      </c>
      <c r="O20" s="88"/>
      <c r="P20" s="88"/>
      <c r="Q20" s="83">
        <v>0.53819444444444342</v>
      </c>
      <c r="R20" s="83">
        <v>0.5451388888888884</v>
      </c>
      <c r="S20" s="54"/>
      <c r="T20" s="143"/>
      <c r="U20" s="83">
        <v>0.55208333333333237</v>
      </c>
      <c r="V20" s="83">
        <v>0.55902777777777735</v>
      </c>
      <c r="W20" s="143"/>
      <c r="X20" s="83">
        <v>0.56597222222222132</v>
      </c>
      <c r="Y20" s="83">
        <v>0.57291666666666641</v>
      </c>
      <c r="Z20" s="163"/>
      <c r="AA20" s="83">
        <v>0.57847222222222228</v>
      </c>
      <c r="AB20" s="154"/>
      <c r="AC20" s="82">
        <v>0.58333333333333337</v>
      </c>
      <c r="AD20" s="47" t="s">
        <v>279</v>
      </c>
      <c r="AE20" s="128">
        <v>0.58888888888888891</v>
      </c>
      <c r="AF20" s="47" t="s">
        <v>280</v>
      </c>
      <c r="AG20" s="164"/>
      <c r="AH20" s="81" t="s">
        <v>160</v>
      </c>
      <c r="AI20" s="723"/>
      <c r="AJ20" s="80" t="s">
        <v>160</v>
      </c>
      <c r="AK20" s="123">
        <v>0.59375</v>
      </c>
      <c r="AL20" s="82">
        <v>0.59930555555555554</v>
      </c>
      <c r="AM20" s="47" t="s">
        <v>281</v>
      </c>
      <c r="AN20" s="128">
        <v>0.60416666666666674</v>
      </c>
      <c r="AO20" s="47" t="s">
        <v>282</v>
      </c>
      <c r="AP20" s="38"/>
      <c r="AQ20" s="47" t="s">
        <v>283</v>
      </c>
      <c r="AR20" s="128">
        <v>0.60972222222222228</v>
      </c>
      <c r="AS20" s="47" t="s">
        <v>284</v>
      </c>
      <c r="AT20" s="124">
        <v>0.61458333333333337</v>
      </c>
      <c r="AU20" s="82">
        <v>0.62013888888888891</v>
      </c>
      <c r="AV20" s="165" t="s">
        <v>285</v>
      </c>
      <c r="AW20" s="36"/>
      <c r="AX20" s="47" t="s">
        <v>286</v>
      </c>
      <c r="AY20" s="124">
        <v>0.625</v>
      </c>
      <c r="AZ20" s="121"/>
      <c r="BA20" s="83">
        <v>0.63055555555555554</v>
      </c>
      <c r="BB20" s="83">
        <v>0.63541666666666674</v>
      </c>
      <c r="BC20" s="83">
        <v>0.64097222222222228</v>
      </c>
      <c r="BD20" s="83">
        <v>0.64583333333333337</v>
      </c>
      <c r="BE20" s="22"/>
      <c r="BF20" s="83">
        <v>0.65138888888888891</v>
      </c>
      <c r="BG20" s="83">
        <v>0.65625</v>
      </c>
      <c r="BH20" s="83">
        <v>0.66180555555555554</v>
      </c>
      <c r="BI20" s="83">
        <v>0.66666666666666674</v>
      </c>
      <c r="BJ20" s="83">
        <v>0.67222222222222228</v>
      </c>
      <c r="BK20" s="83">
        <v>0.67708333333333337</v>
      </c>
      <c r="BL20" s="83">
        <v>0.68263888888888891</v>
      </c>
      <c r="BM20" s="83">
        <v>0.6875</v>
      </c>
      <c r="BN20" s="84">
        <v>0.69305555555555554</v>
      </c>
      <c r="BO20" s="81" t="s">
        <v>160</v>
      </c>
    </row>
    <row r="21" spans="1:67" s="1" customFormat="1" ht="16.5" thickBot="1" x14ac:dyDescent="0.3">
      <c r="A21" s="85" t="s">
        <v>161</v>
      </c>
      <c r="B21" s="131">
        <v>0.50694444444444398</v>
      </c>
      <c r="C21" s="132"/>
      <c r="D21" s="72"/>
      <c r="E21" s="57"/>
      <c r="F21" s="88">
        <v>0.51388888888888795</v>
      </c>
      <c r="G21" s="57"/>
      <c r="H21" s="87">
        <v>0.52083333333333304</v>
      </c>
      <c r="I21" s="3" t="s">
        <v>287</v>
      </c>
      <c r="J21" s="30"/>
      <c r="K21" s="88">
        <v>0.52777777777777701</v>
      </c>
      <c r="L21" s="87">
        <v>0.53472222222222199</v>
      </c>
      <c r="M21" s="3" t="s">
        <v>288</v>
      </c>
      <c r="N21" s="132">
        <v>0.54166666666666596</v>
      </c>
      <c r="O21" s="54"/>
      <c r="P21" s="88"/>
      <c r="Q21" s="88">
        <v>0.54861111111111005</v>
      </c>
      <c r="R21" s="88">
        <v>0.55555555555555503</v>
      </c>
      <c r="S21" s="45"/>
      <c r="T21" s="3" t="s">
        <v>289</v>
      </c>
      <c r="U21" s="132">
        <v>0.562499999999999</v>
      </c>
      <c r="V21" s="87">
        <v>0.56944444444444398</v>
      </c>
      <c r="W21" s="3" t="s">
        <v>290</v>
      </c>
      <c r="X21" s="132">
        <v>0.57638888888888795</v>
      </c>
      <c r="Y21" s="87">
        <v>0.58333333333333304</v>
      </c>
      <c r="Z21" s="3" t="s">
        <v>291</v>
      </c>
      <c r="AA21" s="132">
        <v>0.58888888888888891</v>
      </c>
      <c r="AB21" s="22"/>
      <c r="AC21" s="87">
        <v>0.59375</v>
      </c>
      <c r="AD21" s="63" t="s">
        <v>159</v>
      </c>
      <c r="AE21" s="155">
        <v>0.59930555555555554</v>
      </c>
      <c r="AF21" s="63" t="s">
        <v>159</v>
      </c>
      <c r="AG21" s="19" t="s">
        <v>292</v>
      </c>
      <c r="AH21" s="86" t="s">
        <v>161</v>
      </c>
      <c r="AI21" s="723"/>
      <c r="AJ21" s="85" t="s">
        <v>161</v>
      </c>
      <c r="AK21" s="131">
        <v>0.60416666666666663</v>
      </c>
      <c r="AL21" s="87">
        <v>0.60972222222222217</v>
      </c>
      <c r="AM21" s="63" t="s">
        <v>159</v>
      </c>
      <c r="AN21" s="155">
        <v>0.61458333333333337</v>
      </c>
      <c r="AO21" s="63" t="s">
        <v>159</v>
      </c>
      <c r="AP21" s="38"/>
      <c r="AQ21" s="63" t="s">
        <v>159</v>
      </c>
      <c r="AR21" s="155">
        <v>0.62013888888888891</v>
      </c>
      <c r="AS21" s="63" t="s">
        <v>159</v>
      </c>
      <c r="AT21" s="132">
        <v>0.625</v>
      </c>
      <c r="AU21" s="87">
        <v>0.63055555555555554</v>
      </c>
      <c r="AV21" s="166" t="s">
        <v>159</v>
      </c>
      <c r="AW21" s="36"/>
      <c r="AX21" s="63" t="s">
        <v>159</v>
      </c>
      <c r="AY21" s="132">
        <v>0.63541666666666663</v>
      </c>
      <c r="AZ21" s="121"/>
      <c r="BA21" s="88">
        <v>0.64097222222222217</v>
      </c>
      <c r="BB21" s="88">
        <v>0.64583333333333337</v>
      </c>
      <c r="BC21" s="88">
        <v>0.65138888888888891</v>
      </c>
      <c r="BD21" s="88">
        <v>0.65625</v>
      </c>
      <c r="BE21" s="22"/>
      <c r="BF21" s="88">
        <v>0.66180555555555554</v>
      </c>
      <c r="BG21" s="88">
        <v>0.66666666666666663</v>
      </c>
      <c r="BH21" s="88">
        <v>0.67222222222222217</v>
      </c>
      <c r="BI21" s="88">
        <v>0.67708333333333337</v>
      </c>
      <c r="BJ21" s="88">
        <v>0.68263888888888891</v>
      </c>
      <c r="BK21" s="88">
        <v>0.6875</v>
      </c>
      <c r="BL21" s="88">
        <v>0.69305555555555554</v>
      </c>
      <c r="BM21" s="88">
        <v>0.69791666666666663</v>
      </c>
      <c r="BN21" s="89">
        <v>0.70347222222222217</v>
      </c>
      <c r="BO21" s="86" t="s">
        <v>161</v>
      </c>
    </row>
    <row r="22" spans="1:67" s="1" customFormat="1" ht="16.5" thickBot="1" x14ac:dyDescent="0.3">
      <c r="A22" s="167" t="s">
        <v>293</v>
      </c>
      <c r="B22" s="56"/>
      <c r="C22" s="163" t="s">
        <v>294</v>
      </c>
      <c r="D22" s="72"/>
      <c r="E22" s="57"/>
      <c r="F22" s="57"/>
      <c r="G22" s="57"/>
      <c r="H22" s="61"/>
      <c r="I22" s="25" t="s">
        <v>295</v>
      </c>
      <c r="J22" s="30"/>
      <c r="K22" s="57"/>
      <c r="L22" s="61"/>
      <c r="M22" s="25" t="s">
        <v>296</v>
      </c>
      <c r="N22" s="60"/>
      <c r="O22" s="88"/>
      <c r="P22" s="88"/>
      <c r="Q22" s="57"/>
      <c r="R22" s="88"/>
      <c r="S22" s="45"/>
      <c r="T22" s="25" t="s">
        <v>297</v>
      </c>
      <c r="U22" s="132"/>
      <c r="V22" s="61"/>
      <c r="W22" s="25" t="s">
        <v>298</v>
      </c>
      <c r="X22" s="60"/>
      <c r="Y22" s="61"/>
      <c r="Z22" s="25" t="s">
        <v>299</v>
      </c>
      <c r="AA22" s="60"/>
      <c r="AB22" s="22"/>
      <c r="AC22" s="87"/>
      <c r="AD22" s="168">
        <v>0.63541666666666663</v>
      </c>
      <c r="AE22" s="64"/>
      <c r="AF22" s="168">
        <v>0.64583333333333337</v>
      </c>
      <c r="AG22" s="27" t="s">
        <v>300</v>
      </c>
      <c r="AH22" s="169" t="s">
        <v>293</v>
      </c>
      <c r="AI22" s="723"/>
      <c r="AJ22" s="167" t="s">
        <v>293</v>
      </c>
      <c r="AK22" s="56"/>
      <c r="AL22" s="61"/>
      <c r="AM22" s="168">
        <v>0.65625</v>
      </c>
      <c r="AN22" s="155"/>
      <c r="AO22" s="168">
        <v>0.66666666666666663</v>
      </c>
      <c r="AP22" s="38"/>
      <c r="AQ22" s="168">
        <v>0.67708333333333337</v>
      </c>
      <c r="AR22" s="155"/>
      <c r="AS22" s="168">
        <v>0.6875</v>
      </c>
      <c r="AT22" s="60"/>
      <c r="AU22" s="61"/>
      <c r="AV22" s="170">
        <v>0.69791666666666663</v>
      </c>
      <c r="AW22" s="36"/>
      <c r="AX22" s="168">
        <v>0.70833333333333337</v>
      </c>
      <c r="AY22" s="60"/>
      <c r="AZ22" s="22"/>
      <c r="BA22" s="57"/>
      <c r="BB22" s="57"/>
      <c r="BC22" s="57"/>
      <c r="BD22" s="57"/>
      <c r="BE22" s="22"/>
      <c r="BF22" s="57"/>
      <c r="BG22" s="57"/>
      <c r="BH22" s="57"/>
      <c r="BI22" s="57"/>
      <c r="BJ22" s="57"/>
      <c r="BK22" s="57"/>
      <c r="BL22" s="57"/>
      <c r="BM22" s="57"/>
      <c r="BN22" s="69"/>
      <c r="BO22" s="169" t="s">
        <v>293</v>
      </c>
    </row>
    <row r="23" spans="1:67" s="1" customFormat="1" ht="16.5" thickBot="1" x14ac:dyDescent="0.3">
      <c r="A23" s="90" t="s">
        <v>162</v>
      </c>
      <c r="B23" s="131">
        <v>0.53819444444444442</v>
      </c>
      <c r="C23" s="713" t="s">
        <v>301</v>
      </c>
      <c r="D23" s="72"/>
      <c r="E23" s="88"/>
      <c r="F23" s="57" t="s">
        <v>302</v>
      </c>
      <c r="G23" s="143"/>
      <c r="H23" s="57" t="s">
        <v>303</v>
      </c>
      <c r="I23" s="40" t="s">
        <v>304</v>
      </c>
      <c r="J23" s="72"/>
      <c r="K23" s="57" t="s">
        <v>305</v>
      </c>
      <c r="L23" s="57" t="s">
        <v>306</v>
      </c>
      <c r="M23" s="40" t="s">
        <v>307</v>
      </c>
      <c r="N23" s="57" t="s">
        <v>308</v>
      </c>
      <c r="O23" s="88"/>
      <c r="P23" s="88"/>
      <c r="Q23" s="88">
        <v>0.57986111111111116</v>
      </c>
      <c r="R23" s="57" t="s">
        <v>309</v>
      </c>
      <c r="S23" s="54"/>
      <c r="T23" s="40" t="s">
        <v>310</v>
      </c>
      <c r="U23" s="88">
        <v>0.59722222222222221</v>
      </c>
      <c r="V23" s="57" t="s">
        <v>311</v>
      </c>
      <c r="W23" s="40" t="s">
        <v>312</v>
      </c>
      <c r="X23" s="88">
        <v>0.60763888888888884</v>
      </c>
      <c r="Y23" s="171" t="s">
        <v>313</v>
      </c>
      <c r="Z23" s="40" t="s">
        <v>314</v>
      </c>
      <c r="AA23" s="88">
        <v>0.6166666666666667</v>
      </c>
      <c r="AB23" s="154"/>
      <c r="AC23" s="87">
        <v>0.62152777777777779</v>
      </c>
      <c r="AD23" s="172">
        <v>0.65277777777777779</v>
      </c>
      <c r="AE23" s="64" t="s">
        <v>315</v>
      </c>
      <c r="AF23" s="172">
        <v>0.66319444444444453</v>
      </c>
      <c r="AG23" s="173" t="s">
        <v>316</v>
      </c>
      <c r="AH23" s="78" t="s">
        <v>162</v>
      </c>
      <c r="AI23" s="723"/>
      <c r="AJ23" s="90" t="s">
        <v>162</v>
      </c>
      <c r="AK23" s="56" t="s">
        <v>317</v>
      </c>
      <c r="AL23" s="61" t="s">
        <v>318</v>
      </c>
      <c r="AM23" s="172">
        <v>0.67361111111111116</v>
      </c>
      <c r="AN23" s="155">
        <v>0.64583333333333337</v>
      </c>
      <c r="AO23" s="172">
        <v>0.68402777777777779</v>
      </c>
      <c r="AP23" s="38"/>
      <c r="AQ23" s="172">
        <v>0.69444444444444453</v>
      </c>
      <c r="AR23" s="155">
        <v>0.65138888888888891</v>
      </c>
      <c r="AS23" s="172">
        <v>0.70833333333333337</v>
      </c>
      <c r="AT23" s="60" t="s">
        <v>319</v>
      </c>
      <c r="AU23" s="87">
        <v>0.66180555555555554</v>
      </c>
      <c r="AV23" s="174">
        <v>0.71875</v>
      </c>
      <c r="AW23" s="36"/>
      <c r="AX23" s="172">
        <v>0.72916666666666674</v>
      </c>
      <c r="AY23" s="60" t="s">
        <v>320</v>
      </c>
      <c r="AZ23" s="121"/>
      <c r="BA23" s="57" t="s">
        <v>321</v>
      </c>
      <c r="BB23" s="88">
        <v>0.67708333333333337</v>
      </c>
      <c r="BC23" s="57" t="s">
        <v>322</v>
      </c>
      <c r="BD23" s="57" t="s">
        <v>323</v>
      </c>
      <c r="BE23" s="22"/>
      <c r="BF23" s="88">
        <v>0.69305555555555554</v>
      </c>
      <c r="BG23" s="88">
        <v>0.69791666666666663</v>
      </c>
      <c r="BH23" s="88">
        <v>0.70347222222222228</v>
      </c>
      <c r="BI23" s="88">
        <v>0.70833333333333337</v>
      </c>
      <c r="BJ23" s="88">
        <v>0.71388888888888891</v>
      </c>
      <c r="BK23" s="88">
        <v>0.71875</v>
      </c>
      <c r="BL23" s="88">
        <v>0.72430555555555554</v>
      </c>
      <c r="BM23" s="88">
        <v>0.72916666666666663</v>
      </c>
      <c r="BN23" s="89">
        <v>0.73472222222222228</v>
      </c>
      <c r="BO23" s="78" t="s">
        <v>162</v>
      </c>
    </row>
    <row r="24" spans="1:67" s="1" customFormat="1" ht="16.5" thickBot="1" x14ac:dyDescent="0.3">
      <c r="A24" s="91" t="s">
        <v>163</v>
      </c>
      <c r="B24" s="175">
        <v>0.59374999999999878</v>
      </c>
      <c r="C24" s="714"/>
      <c r="D24" s="72"/>
      <c r="E24" s="176"/>
      <c r="F24" s="146">
        <v>0.60069444444444375</v>
      </c>
      <c r="G24" s="3" t="s">
        <v>324</v>
      </c>
      <c r="H24" s="145">
        <v>0.60763888888888784</v>
      </c>
      <c r="I24" s="100">
        <v>0.61111111111111116</v>
      </c>
      <c r="J24" s="177"/>
      <c r="K24" s="100">
        <v>0.6166666666666667</v>
      </c>
      <c r="L24" s="100">
        <v>0.62152777777777779</v>
      </c>
      <c r="M24" s="100">
        <v>0.62708333333333333</v>
      </c>
      <c r="N24" s="100">
        <v>0.63194444444444442</v>
      </c>
      <c r="O24" s="54"/>
      <c r="P24" s="54"/>
      <c r="Q24" s="100">
        <v>0.63749999999999996</v>
      </c>
      <c r="R24" s="100">
        <v>0.64236111111111116</v>
      </c>
      <c r="S24" s="54"/>
      <c r="T24" s="100">
        <v>0.6479166666666667</v>
      </c>
      <c r="U24" s="126">
        <v>0.65187499999999909</v>
      </c>
      <c r="V24" s="100">
        <v>0.65625</v>
      </c>
      <c r="W24" s="100">
        <v>0.66111111111111109</v>
      </c>
      <c r="X24" s="100">
        <v>0.6659722222222223</v>
      </c>
      <c r="Y24" s="100">
        <v>0.67013888888888884</v>
      </c>
      <c r="Z24" s="100">
        <v>0.67499999999999993</v>
      </c>
      <c r="AA24" s="100">
        <v>0.67986111111111114</v>
      </c>
      <c r="AB24" s="154"/>
      <c r="AC24" s="146">
        <v>0.68402777777777779</v>
      </c>
      <c r="AD24" s="178">
        <v>0.70416666666666661</v>
      </c>
      <c r="AE24" s="179">
        <v>0.68888888888888899</v>
      </c>
      <c r="AF24" s="178">
        <v>0.71527777777777779</v>
      </c>
      <c r="AG24" s="152">
        <v>0.69374999999999998</v>
      </c>
      <c r="AH24" s="99" t="s">
        <v>163</v>
      </c>
      <c r="AI24" s="723"/>
      <c r="AJ24" s="91" t="s">
        <v>163</v>
      </c>
      <c r="AK24" s="144">
        <v>0.70138888888888884</v>
      </c>
      <c r="AL24" s="146">
        <v>0.70694444444444438</v>
      </c>
      <c r="AM24" s="178">
        <v>0.72569444444444442</v>
      </c>
      <c r="AN24" s="179">
        <v>0.71180555555555558</v>
      </c>
      <c r="AO24" s="178">
        <v>0.73611111111111105</v>
      </c>
      <c r="AP24" s="38"/>
      <c r="AQ24" s="178">
        <v>0.74652777777777779</v>
      </c>
      <c r="AR24" s="179">
        <v>0.71736111111111112</v>
      </c>
      <c r="AS24" s="178">
        <v>0.75277777777777777</v>
      </c>
      <c r="AT24" s="145">
        <v>0.72222222222222221</v>
      </c>
      <c r="AU24" s="146">
        <v>0.72777777777777775</v>
      </c>
      <c r="AV24" s="180">
        <v>0.7631944444444444</v>
      </c>
      <c r="AW24" s="36"/>
      <c r="AX24" s="178">
        <v>0.77361111111111114</v>
      </c>
      <c r="AY24" s="145">
        <v>0.73263888888888884</v>
      </c>
      <c r="AZ24" s="22"/>
      <c r="BA24" s="100">
        <v>0.73819444444444438</v>
      </c>
      <c r="BB24" s="126">
        <v>0.73819444444444449</v>
      </c>
      <c r="BC24" s="100">
        <v>0.74652777777777779</v>
      </c>
      <c r="BD24" s="100">
        <v>0.75347222222222221</v>
      </c>
      <c r="BE24" s="22"/>
      <c r="BF24" s="126">
        <v>0.75347222222222221</v>
      </c>
      <c r="BG24" s="100">
        <v>0.76041666666666641</v>
      </c>
      <c r="BH24" s="100">
        <v>0.76736111111111138</v>
      </c>
      <c r="BI24" s="88">
        <v>0.76736111111111116</v>
      </c>
      <c r="BJ24" s="100">
        <v>0.77430555555555547</v>
      </c>
      <c r="BK24" s="126">
        <v>0.77833333333333332</v>
      </c>
      <c r="BL24" s="100">
        <v>0.78124999999999944</v>
      </c>
      <c r="BM24" s="100">
        <v>0.78819444444444442</v>
      </c>
      <c r="BN24" s="101">
        <v>0.7951388888888884</v>
      </c>
      <c r="BO24" s="99" t="s">
        <v>163</v>
      </c>
    </row>
    <row r="25" spans="1:67" s="1" customFormat="1" ht="16.5" thickBot="1" x14ac:dyDescent="0.3">
      <c r="A25" s="85" t="s">
        <v>164</v>
      </c>
      <c r="B25" s="181">
        <v>0.62847222222222099</v>
      </c>
      <c r="C25" s="182" t="s">
        <v>325</v>
      </c>
      <c r="D25" s="183"/>
      <c r="E25" s="3" t="s">
        <v>326</v>
      </c>
      <c r="F25" s="155">
        <v>0.63541666666666596</v>
      </c>
      <c r="G25" s="25" t="s">
        <v>327</v>
      </c>
      <c r="H25" s="132">
        <v>0.64236111111111005</v>
      </c>
      <c r="I25" s="87">
        <v>0.64583333333333337</v>
      </c>
      <c r="J25" s="3" t="s">
        <v>328</v>
      </c>
      <c r="K25" s="132">
        <v>0.65138888888888891</v>
      </c>
      <c r="L25" s="88">
        <v>0.65625</v>
      </c>
      <c r="M25" s="88">
        <v>0.66180555555555554</v>
      </c>
      <c r="N25" s="88">
        <v>0.66666666666666663</v>
      </c>
      <c r="O25" s="142"/>
      <c r="P25" s="142"/>
      <c r="Q25" s="88">
        <v>0.67222222222222217</v>
      </c>
      <c r="R25" s="88">
        <v>0.67708333333333337</v>
      </c>
      <c r="S25" s="54"/>
      <c r="T25" s="88">
        <v>0.68263888888888891</v>
      </c>
      <c r="U25" s="163" t="s">
        <v>329</v>
      </c>
      <c r="V25" s="88">
        <v>0.6875</v>
      </c>
      <c r="W25" s="88">
        <v>0.69236111111111109</v>
      </c>
      <c r="X25" s="88">
        <v>0.6972222222222223</v>
      </c>
      <c r="Y25" s="88">
        <v>0.70138888888888884</v>
      </c>
      <c r="Z25" s="88">
        <v>0.70624999999999993</v>
      </c>
      <c r="AA25" s="88">
        <v>0.71111111111111114</v>
      </c>
      <c r="AB25" s="184"/>
      <c r="AC25" s="87">
        <v>0.71527777777777779</v>
      </c>
      <c r="AD25" s="127" t="s">
        <v>330</v>
      </c>
      <c r="AE25" s="155">
        <v>0.72013888888888899</v>
      </c>
      <c r="AF25" s="127" t="s">
        <v>331</v>
      </c>
      <c r="AG25" s="159">
        <v>0.72499999999999998</v>
      </c>
      <c r="AH25" s="86" t="s">
        <v>164</v>
      </c>
      <c r="AI25" s="723"/>
      <c r="AJ25" s="85" t="s">
        <v>164</v>
      </c>
      <c r="AK25" s="131">
        <v>0.72916666666666663</v>
      </c>
      <c r="AL25" s="87">
        <v>0.73472222222222217</v>
      </c>
      <c r="AM25" s="127" t="s">
        <v>332</v>
      </c>
      <c r="AN25" s="155">
        <v>0.73958333333333337</v>
      </c>
      <c r="AO25" s="127" t="s">
        <v>333</v>
      </c>
      <c r="AP25" s="38"/>
      <c r="AQ25" s="127" t="s">
        <v>334</v>
      </c>
      <c r="AR25" s="155">
        <v>0.74513888888888891</v>
      </c>
      <c r="AS25" s="127" t="s">
        <v>335</v>
      </c>
      <c r="AT25" s="132">
        <v>0.75</v>
      </c>
      <c r="AU25" s="87">
        <v>0.75555555555555554</v>
      </c>
      <c r="AV25" s="185" t="s">
        <v>336</v>
      </c>
      <c r="AW25" s="36"/>
      <c r="AX25" s="127" t="s">
        <v>337</v>
      </c>
      <c r="AY25" s="132">
        <v>0.76041666666666663</v>
      </c>
      <c r="AZ25" s="22"/>
      <c r="BA25" s="88">
        <v>0.76597222222222217</v>
      </c>
      <c r="BB25" s="57" t="s">
        <v>338</v>
      </c>
      <c r="BC25" s="88">
        <v>0.77083333333333337</v>
      </c>
      <c r="BD25" s="88">
        <v>0.77777777777777779</v>
      </c>
      <c r="BE25" s="22"/>
      <c r="BF25" s="57" t="s">
        <v>339</v>
      </c>
      <c r="BG25" s="88">
        <v>0.78472222222222199</v>
      </c>
      <c r="BH25" s="88">
        <v>0.79166666666666696</v>
      </c>
      <c r="BI25" s="72" t="s">
        <v>340</v>
      </c>
      <c r="BJ25" s="88">
        <v>0.79861111111111105</v>
      </c>
      <c r="BK25" s="57" t="s">
        <v>341</v>
      </c>
      <c r="BL25" s="88">
        <v>0.80555555555555503</v>
      </c>
      <c r="BM25" s="88">
        <v>0.8125</v>
      </c>
      <c r="BN25" s="89">
        <v>0.81944444444444398</v>
      </c>
      <c r="BO25" s="86" t="s">
        <v>164</v>
      </c>
    </row>
    <row r="26" spans="1:67" s="1" customFormat="1" ht="16.5" thickBot="1" x14ac:dyDescent="0.3">
      <c r="A26" s="90" t="s">
        <v>166</v>
      </c>
      <c r="B26" s="186" t="s">
        <v>342</v>
      </c>
      <c r="C26" s="182" t="s">
        <v>343</v>
      </c>
      <c r="D26" s="183"/>
      <c r="E26" s="25" t="s">
        <v>344</v>
      </c>
      <c r="F26" s="60" t="s">
        <v>345</v>
      </c>
      <c r="G26" s="40" t="s">
        <v>346</v>
      </c>
      <c r="H26" s="57" t="s">
        <v>347</v>
      </c>
      <c r="I26" s="87">
        <v>0.65972222222222232</v>
      </c>
      <c r="J26" s="25" t="s">
        <v>348</v>
      </c>
      <c r="K26" s="60" t="s">
        <v>349</v>
      </c>
      <c r="L26" s="57" t="s">
        <v>350</v>
      </c>
      <c r="M26" s="88">
        <v>0.67569444444444438</v>
      </c>
      <c r="N26" s="61" t="s">
        <v>351</v>
      </c>
      <c r="O26" s="3" t="s">
        <v>352</v>
      </c>
      <c r="P26" s="3" t="s">
        <v>353</v>
      </c>
      <c r="Q26" s="60" t="s">
        <v>354</v>
      </c>
      <c r="R26" s="88">
        <v>0.69097222222222221</v>
      </c>
      <c r="S26" s="54"/>
      <c r="T26" s="87">
        <v>0.69652777777777786</v>
      </c>
      <c r="U26" s="3" t="s">
        <v>355</v>
      </c>
      <c r="V26" s="132">
        <v>0.70138888888888884</v>
      </c>
      <c r="W26" s="88">
        <v>0.70694444444444449</v>
      </c>
      <c r="X26" s="57" t="s">
        <v>356</v>
      </c>
      <c r="Y26" s="88">
        <v>0.71527777777777768</v>
      </c>
      <c r="Z26" s="57" t="s">
        <v>357</v>
      </c>
      <c r="AA26" s="61" t="s">
        <v>358</v>
      </c>
      <c r="AB26" s="187" t="s">
        <v>359</v>
      </c>
      <c r="AC26" s="60" t="s">
        <v>360</v>
      </c>
      <c r="AD26" s="40"/>
      <c r="AE26" s="57" t="s">
        <v>361</v>
      </c>
      <c r="AF26" s="153"/>
      <c r="AG26" s="89">
        <v>0.73888888888888893</v>
      </c>
      <c r="AH26" s="78" t="s">
        <v>166</v>
      </c>
      <c r="AI26" s="723"/>
      <c r="AJ26" s="90" t="s">
        <v>166</v>
      </c>
      <c r="AK26" s="131">
        <v>0.74305555555555558</v>
      </c>
      <c r="AL26" s="88">
        <v>0.74861111111111112</v>
      </c>
      <c r="AM26" s="137"/>
      <c r="AN26" s="57" t="s">
        <v>362</v>
      </c>
      <c r="AO26" s="137"/>
      <c r="AP26" s="22"/>
      <c r="AQ26" s="40"/>
      <c r="AR26" s="57" t="s">
        <v>363</v>
      </c>
      <c r="AS26" s="134"/>
      <c r="AT26" s="88">
        <v>0.76527777777777772</v>
      </c>
      <c r="AU26" s="57" t="s">
        <v>364</v>
      </c>
      <c r="AV26" s="134"/>
      <c r="AW26" s="115"/>
      <c r="AX26" s="139"/>
      <c r="AY26" s="57" t="s">
        <v>365</v>
      </c>
      <c r="AZ26" s="22"/>
      <c r="BA26" s="88">
        <v>0.77986111111111112</v>
      </c>
      <c r="BB26" s="57"/>
      <c r="BC26" s="88">
        <v>0.78125</v>
      </c>
      <c r="BD26" s="88">
        <v>0.78819444444444442</v>
      </c>
      <c r="BE26" s="22"/>
      <c r="BF26" s="57"/>
      <c r="BG26" s="57" t="s">
        <v>366</v>
      </c>
      <c r="BH26" s="57" t="s">
        <v>367</v>
      </c>
      <c r="BI26" s="22"/>
      <c r="BJ26" s="57" t="s">
        <v>368</v>
      </c>
      <c r="BK26" s="54"/>
      <c r="BL26" s="57" t="s">
        <v>369</v>
      </c>
      <c r="BM26" s="57" t="s">
        <v>370</v>
      </c>
      <c r="BN26" s="69" t="s">
        <v>371</v>
      </c>
      <c r="BO26" s="78" t="s">
        <v>166</v>
      </c>
    </row>
    <row r="27" spans="1:67" s="1" customFormat="1" ht="16.5" thickBot="1" x14ac:dyDescent="0.3">
      <c r="A27" s="80" t="s">
        <v>160</v>
      </c>
      <c r="B27" s="188">
        <v>0.69791666666666674</v>
      </c>
      <c r="C27" s="189" t="s">
        <v>372</v>
      </c>
      <c r="D27" s="72"/>
      <c r="E27" s="43" t="s">
        <v>373</v>
      </c>
      <c r="F27" s="83">
        <v>0.70347222222222228</v>
      </c>
      <c r="G27" s="83">
        <v>0.70833333333333337</v>
      </c>
      <c r="H27" s="83">
        <v>0.71388888888888891</v>
      </c>
      <c r="I27" s="126">
        <v>0.71388888888888891</v>
      </c>
      <c r="J27" s="40" t="s">
        <v>374</v>
      </c>
      <c r="K27" s="83">
        <v>0.72222222222222221</v>
      </c>
      <c r="L27" s="83">
        <v>0.72777777777777775</v>
      </c>
      <c r="M27" s="83">
        <v>0.73263888888888895</v>
      </c>
      <c r="N27" s="82">
        <v>0.73819444444444449</v>
      </c>
      <c r="O27" s="25" t="s">
        <v>375</v>
      </c>
      <c r="P27" s="25" t="s">
        <v>376</v>
      </c>
      <c r="Q27" s="124">
        <v>0.74305555555555558</v>
      </c>
      <c r="R27" s="83">
        <v>0.75000000000000011</v>
      </c>
      <c r="S27" s="54"/>
      <c r="T27" s="130">
        <v>0.75</v>
      </c>
      <c r="U27" s="25" t="s">
        <v>377</v>
      </c>
      <c r="V27" s="190">
        <v>0.75347222222222221</v>
      </c>
      <c r="W27" s="83">
        <v>0.75694444444444453</v>
      </c>
      <c r="X27" s="83">
        <v>0.76388888888888962</v>
      </c>
      <c r="Y27" s="126">
        <v>0.76701388888888888</v>
      </c>
      <c r="Z27" s="83">
        <v>0.77083333333333359</v>
      </c>
      <c r="AA27" s="82">
        <v>0.77777777777777857</v>
      </c>
      <c r="AB27" s="25" t="s">
        <v>378</v>
      </c>
      <c r="AC27" s="190">
        <v>0.78090277777777783</v>
      </c>
      <c r="AD27" s="54"/>
      <c r="AE27" s="83">
        <v>0.78472222222222254</v>
      </c>
      <c r="AF27" s="30"/>
      <c r="AG27" s="84">
        <v>0.79166666666666763</v>
      </c>
      <c r="AH27" s="81" t="s">
        <v>160</v>
      </c>
      <c r="AI27" s="723"/>
      <c r="AJ27" s="80" t="s">
        <v>160</v>
      </c>
      <c r="AK27" s="191">
        <v>0.78805555555555551</v>
      </c>
      <c r="AL27" s="126">
        <v>0.79361111111111104</v>
      </c>
      <c r="AM27" s="22"/>
      <c r="AN27" s="83">
        <v>0.7986111111111116</v>
      </c>
      <c r="AO27" s="22"/>
      <c r="AP27" s="22"/>
      <c r="AQ27" s="57"/>
      <c r="AR27" s="83">
        <v>0.80555555555555658</v>
      </c>
      <c r="AS27" s="54"/>
      <c r="AT27" s="126">
        <v>0.80888888888888888</v>
      </c>
      <c r="AU27" s="83">
        <v>0.81250000000000056</v>
      </c>
      <c r="AV27" s="54"/>
      <c r="AW27" s="115"/>
      <c r="AX27" s="88"/>
      <c r="AY27" s="83">
        <v>0.81944444444444553</v>
      </c>
      <c r="AZ27" s="22"/>
      <c r="BA27" s="83">
        <v>0.82638888888888962</v>
      </c>
      <c r="BB27" s="22"/>
      <c r="BC27" s="126">
        <v>0.83333333333333337</v>
      </c>
      <c r="BD27" s="83">
        <v>0.83333333333333459</v>
      </c>
      <c r="BE27" s="22"/>
      <c r="BF27" s="57"/>
      <c r="BG27" s="83">
        <v>0.84027777777777857</v>
      </c>
      <c r="BH27" s="83">
        <v>0.84722222222222354</v>
      </c>
      <c r="BI27" s="22"/>
      <c r="BJ27" s="83">
        <v>0.85416666666666763</v>
      </c>
      <c r="BK27" s="57"/>
      <c r="BL27" s="83">
        <v>0.8611111111111126</v>
      </c>
      <c r="BM27" s="83">
        <v>0.86805555555555758</v>
      </c>
      <c r="BN27" s="84">
        <v>0.87500000000000155</v>
      </c>
      <c r="BO27" s="81" t="s">
        <v>160</v>
      </c>
    </row>
    <row r="28" spans="1:67" s="1" customFormat="1" ht="15.75" x14ac:dyDescent="0.25">
      <c r="A28" s="85" t="s">
        <v>161</v>
      </c>
      <c r="B28" s="181">
        <v>0.70833333333333337</v>
      </c>
      <c r="C28" s="192" t="s">
        <v>159</v>
      </c>
      <c r="D28" s="72"/>
      <c r="E28" s="4" t="s">
        <v>159</v>
      </c>
      <c r="F28" s="88">
        <v>0.71388888888888891</v>
      </c>
      <c r="G28" s="88">
        <v>0.71875</v>
      </c>
      <c r="H28" s="88">
        <v>0.72430555555555554</v>
      </c>
      <c r="I28" s="57" t="s">
        <v>379</v>
      </c>
      <c r="J28" s="72" t="s">
        <v>159</v>
      </c>
      <c r="K28" s="88">
        <v>0.72916666666666663</v>
      </c>
      <c r="L28" s="88">
        <v>0.73472222222222217</v>
      </c>
      <c r="M28" s="88">
        <v>0.73958333333333337</v>
      </c>
      <c r="N28" s="87">
        <v>0.74513888888888891</v>
      </c>
      <c r="O28" s="193" t="s">
        <v>380</v>
      </c>
      <c r="P28" s="193" t="s">
        <v>381</v>
      </c>
      <c r="Q28" s="132">
        <v>0.75</v>
      </c>
      <c r="R28" s="88">
        <v>0.75694444444444453</v>
      </c>
      <c r="S28" s="54"/>
      <c r="T28" s="61" t="s">
        <v>382</v>
      </c>
      <c r="U28" s="189" t="s">
        <v>383</v>
      </c>
      <c r="V28" s="60" t="s">
        <v>333</v>
      </c>
      <c r="W28" s="88">
        <v>0.76388888888888895</v>
      </c>
      <c r="X28" s="88">
        <v>0.77083333333333404</v>
      </c>
      <c r="Y28" s="57" t="s">
        <v>384</v>
      </c>
      <c r="Z28" s="88">
        <v>0.77777777777777801</v>
      </c>
      <c r="AA28" s="87">
        <v>0.78472222222222299</v>
      </c>
      <c r="AB28" s="194" t="s">
        <v>385</v>
      </c>
      <c r="AC28" s="60" t="s">
        <v>336</v>
      </c>
      <c r="AD28" s="54"/>
      <c r="AE28" s="88">
        <v>0.79166666666666696</v>
      </c>
      <c r="AF28" s="30"/>
      <c r="AG28" s="89">
        <v>0.79861111111111205</v>
      </c>
      <c r="AH28" s="86" t="s">
        <v>161</v>
      </c>
      <c r="AI28" s="723"/>
      <c r="AJ28" s="85" t="s">
        <v>161</v>
      </c>
      <c r="AK28" s="56" t="s">
        <v>386</v>
      </c>
      <c r="AL28" s="57" t="s">
        <v>387</v>
      </c>
      <c r="AM28" s="22"/>
      <c r="AN28" s="88">
        <v>0.80555555555555602</v>
      </c>
      <c r="AO28" s="22"/>
      <c r="AP28" s="22"/>
      <c r="AQ28" s="57"/>
      <c r="AR28" s="88">
        <v>0.812500000000001</v>
      </c>
      <c r="AS28" s="54"/>
      <c r="AT28" s="57" t="s">
        <v>388</v>
      </c>
      <c r="AU28" s="88">
        <v>0.81944444444444497</v>
      </c>
      <c r="AV28" s="54"/>
      <c r="AW28" s="115"/>
      <c r="AX28" s="88"/>
      <c r="AY28" s="88">
        <v>0.82638888888888995</v>
      </c>
      <c r="AZ28" s="22"/>
      <c r="BA28" s="88">
        <v>0.83333333333333404</v>
      </c>
      <c r="BB28" s="22"/>
      <c r="BC28" s="57" t="s">
        <v>389</v>
      </c>
      <c r="BD28" s="88">
        <v>0.84027777777777901</v>
      </c>
      <c r="BE28" s="22"/>
      <c r="BF28" s="57"/>
      <c r="BG28" s="88">
        <v>0.84722222222222299</v>
      </c>
      <c r="BH28" s="88">
        <v>0.85416666666666796</v>
      </c>
      <c r="BI28" s="22"/>
      <c r="BJ28" s="88">
        <v>0.86111111111111205</v>
      </c>
      <c r="BK28" s="57"/>
      <c r="BL28" s="88">
        <v>0.86805555555555702</v>
      </c>
      <c r="BM28" s="88">
        <v>0.875000000000002</v>
      </c>
      <c r="BN28" s="89">
        <v>0.88194444444444597</v>
      </c>
      <c r="BO28" s="86" t="s">
        <v>161</v>
      </c>
    </row>
    <row r="29" spans="1:67" s="1" customFormat="1" ht="15.75" x14ac:dyDescent="0.25">
      <c r="A29" s="167" t="s">
        <v>293</v>
      </c>
      <c r="B29" s="186"/>
      <c r="C29" s="195">
        <v>0.71875</v>
      </c>
      <c r="D29" s="72"/>
      <c r="E29" s="196">
        <v>0.72916666666666663</v>
      </c>
      <c r="F29" s="57"/>
      <c r="G29" s="57"/>
      <c r="H29" s="57"/>
      <c r="I29" s="54"/>
      <c r="J29" s="197">
        <v>0.73958333333333337</v>
      </c>
      <c r="K29" s="57"/>
      <c r="L29" s="57"/>
      <c r="M29" s="57"/>
      <c r="N29" s="61"/>
      <c r="O29" s="198">
        <v>0.70138888888888884</v>
      </c>
      <c r="P29" s="198">
        <v>0.72916666666666663</v>
      </c>
      <c r="Q29" s="60"/>
      <c r="R29" s="57"/>
      <c r="S29" s="54"/>
      <c r="T29" s="45"/>
      <c r="U29" s="198">
        <v>0.74305555555555558</v>
      </c>
      <c r="V29" s="30"/>
      <c r="W29" s="57"/>
      <c r="X29" s="57"/>
      <c r="Y29" s="54"/>
      <c r="Z29" s="57"/>
      <c r="AA29" s="61"/>
      <c r="AB29" s="198">
        <v>0.77083333333333337</v>
      </c>
      <c r="AC29" s="74"/>
      <c r="AD29" s="54"/>
      <c r="AE29" s="57"/>
      <c r="AF29" s="30"/>
      <c r="AG29" s="69"/>
      <c r="AH29" s="169" t="s">
        <v>293</v>
      </c>
      <c r="AI29" s="723"/>
      <c r="AJ29" s="167" t="s">
        <v>293</v>
      </c>
      <c r="AK29" s="56"/>
      <c r="AL29" s="57"/>
      <c r="AM29" s="22"/>
      <c r="AN29" s="57"/>
      <c r="AO29" s="22"/>
      <c r="AP29" s="22"/>
      <c r="AQ29" s="57"/>
      <c r="AR29" s="57"/>
      <c r="AS29" s="54"/>
      <c r="AT29" s="88"/>
      <c r="AU29" s="57"/>
      <c r="AV29" s="54"/>
      <c r="AW29" s="115"/>
      <c r="AX29" s="88"/>
      <c r="AY29" s="57"/>
      <c r="AZ29" s="22"/>
      <c r="BA29" s="57"/>
      <c r="BB29" s="22"/>
      <c r="BC29" s="57"/>
      <c r="BD29" s="57"/>
      <c r="BE29" s="22"/>
      <c r="BF29" s="57"/>
      <c r="BG29" s="57"/>
      <c r="BH29" s="57"/>
      <c r="BI29" s="22"/>
      <c r="BJ29" s="57"/>
      <c r="BK29" s="57"/>
      <c r="BL29" s="57"/>
      <c r="BM29" s="57"/>
      <c r="BN29" s="69"/>
      <c r="BO29" s="169" t="s">
        <v>293</v>
      </c>
    </row>
    <row r="30" spans="1:67" s="1" customFormat="1" ht="16.5" thickBot="1" x14ac:dyDescent="0.3">
      <c r="A30" s="90" t="s">
        <v>162</v>
      </c>
      <c r="B30" s="181">
        <v>0.73958333333333337</v>
      </c>
      <c r="C30" s="110">
        <v>0.73958333333333337</v>
      </c>
      <c r="D30" s="72"/>
      <c r="E30" s="132">
        <v>0.74652777777777779</v>
      </c>
      <c r="F30" s="88">
        <v>0.74513888888888891</v>
      </c>
      <c r="G30" s="88">
        <v>0.75</v>
      </c>
      <c r="H30" s="57" t="s">
        <v>390</v>
      </c>
      <c r="I30" s="54"/>
      <c r="J30" s="88">
        <v>0.75694444444444453</v>
      </c>
      <c r="K30" s="88">
        <v>0.76041666666666663</v>
      </c>
      <c r="L30" s="88">
        <v>0.76597222222222217</v>
      </c>
      <c r="M30" s="57" t="s">
        <v>391</v>
      </c>
      <c r="N30" s="87">
        <v>0.77638888888888891</v>
      </c>
      <c r="O30" s="104" t="s">
        <v>165</v>
      </c>
      <c r="P30" s="104" t="s">
        <v>165</v>
      </c>
      <c r="Q30" s="60" t="s">
        <v>392</v>
      </c>
      <c r="R30" s="57" t="s">
        <v>393</v>
      </c>
      <c r="S30" s="54"/>
      <c r="T30" s="87"/>
      <c r="U30" s="104" t="s">
        <v>165</v>
      </c>
      <c r="V30" s="30"/>
      <c r="W30" s="57" t="s">
        <v>394</v>
      </c>
      <c r="X30" s="88">
        <v>0.79861111111111116</v>
      </c>
      <c r="Y30" s="54"/>
      <c r="Z30" s="88">
        <v>0.80555555555555558</v>
      </c>
      <c r="AA30" s="87">
        <v>0.81250000000000078</v>
      </c>
      <c r="AB30" s="104" t="s">
        <v>165</v>
      </c>
      <c r="AC30" s="74"/>
      <c r="AD30" s="54"/>
      <c r="AE30" s="88">
        <v>0.81944444444444475</v>
      </c>
      <c r="AF30" s="30"/>
      <c r="AG30" s="69" t="s">
        <v>395</v>
      </c>
      <c r="AH30" s="78" t="s">
        <v>162</v>
      </c>
      <c r="AI30" s="723"/>
      <c r="AJ30" s="90" t="s">
        <v>162</v>
      </c>
      <c r="AK30" s="56"/>
      <c r="AL30" s="57"/>
      <c r="AM30" s="22"/>
      <c r="AN30" s="88">
        <v>0.83333333333333337</v>
      </c>
      <c r="AO30" s="22"/>
      <c r="AP30" s="22"/>
      <c r="AQ30" s="57"/>
      <c r="AR30" s="88">
        <v>0.84027777777777779</v>
      </c>
      <c r="AS30" s="54"/>
      <c r="AT30" s="88"/>
      <c r="AU30" s="88">
        <v>0.84722222222222221</v>
      </c>
      <c r="AV30" s="54"/>
      <c r="AW30" s="115"/>
      <c r="AX30" s="88"/>
      <c r="AY30" s="88">
        <v>0.85416666666666774</v>
      </c>
      <c r="AZ30" s="22"/>
      <c r="BA30" s="57" t="s">
        <v>396</v>
      </c>
      <c r="BB30" s="22"/>
      <c r="BC30" s="54"/>
      <c r="BD30" s="57" t="s">
        <v>397</v>
      </c>
      <c r="BE30" s="22"/>
      <c r="BF30" s="54"/>
      <c r="BG30" s="88">
        <v>0.875</v>
      </c>
      <c r="BH30" s="102">
        <v>0.88194444444444575</v>
      </c>
      <c r="BI30" s="22"/>
      <c r="BJ30" s="88">
        <v>0.88888888888888884</v>
      </c>
      <c r="BK30" s="54"/>
      <c r="BL30" s="88">
        <v>0.89583333333333337</v>
      </c>
      <c r="BM30" s="88">
        <v>0.90277777777777779</v>
      </c>
      <c r="BN30" s="69" t="s">
        <v>398</v>
      </c>
      <c r="BO30" s="78" t="s">
        <v>162</v>
      </c>
    </row>
    <row r="31" spans="1:67" s="1" customFormat="1" ht="16.5" thickBot="1" x14ac:dyDescent="0.3">
      <c r="A31" s="91" t="s">
        <v>163</v>
      </c>
      <c r="B31" s="199">
        <v>0.79513888888888884</v>
      </c>
      <c r="C31" s="133">
        <v>0.78472222222222221</v>
      </c>
      <c r="D31" s="72"/>
      <c r="E31" s="190">
        <v>0.78680555555555554</v>
      </c>
      <c r="F31" s="100">
        <v>0.80208333333333337</v>
      </c>
      <c r="G31" s="100">
        <v>0.80902777777777746</v>
      </c>
      <c r="H31" s="100">
        <v>0.81597222222222243</v>
      </c>
      <c r="I31" s="54"/>
      <c r="J31" s="126">
        <v>0.79374999999999996</v>
      </c>
      <c r="K31" s="126">
        <v>0.81111111111111112</v>
      </c>
      <c r="L31" s="126">
        <v>0.81666666666666665</v>
      </c>
      <c r="M31" s="100">
        <v>0.82291666666666641</v>
      </c>
      <c r="N31" s="130">
        <v>0.82708333333333328</v>
      </c>
      <c r="O31" s="110" t="s">
        <v>167</v>
      </c>
      <c r="P31" s="110" t="s">
        <v>167</v>
      </c>
      <c r="Q31" s="145">
        <v>0.83333333333333259</v>
      </c>
      <c r="R31" s="100">
        <v>0.84027777777777768</v>
      </c>
      <c r="S31" s="54"/>
      <c r="T31" s="146"/>
      <c r="U31" s="110" t="s">
        <v>167</v>
      </c>
      <c r="V31" s="30"/>
      <c r="W31" s="100">
        <v>0.84722222222222165</v>
      </c>
      <c r="X31" s="88">
        <v>0.85069444444444442</v>
      </c>
      <c r="Y31" s="54"/>
      <c r="Z31" s="100">
        <v>0.85416666666666563</v>
      </c>
      <c r="AA31" s="146">
        <v>0.86111111111111061</v>
      </c>
      <c r="AB31" s="110" t="s">
        <v>167</v>
      </c>
      <c r="AC31" s="74"/>
      <c r="AD31" s="57"/>
      <c r="AE31" s="100">
        <v>0.86805555555555458</v>
      </c>
      <c r="AF31" s="30"/>
      <c r="AG31" s="101">
        <v>0.87499999999999967</v>
      </c>
      <c r="AH31" s="99" t="s">
        <v>163</v>
      </c>
      <c r="AI31" s="723"/>
      <c r="AJ31" s="91" t="s">
        <v>163</v>
      </c>
      <c r="AK31" s="56"/>
      <c r="AL31" s="57"/>
      <c r="AM31" s="22"/>
      <c r="AN31" s="100">
        <v>0.88194444444444364</v>
      </c>
      <c r="AO31" s="22"/>
      <c r="AP31" s="22"/>
      <c r="AQ31" s="54"/>
      <c r="AR31" s="100">
        <v>0.88888888888888762</v>
      </c>
      <c r="AS31" s="54"/>
      <c r="AT31" s="88"/>
      <c r="AU31" s="100">
        <v>0.89583333333333259</v>
      </c>
      <c r="AV31" s="54"/>
      <c r="AW31" s="115"/>
      <c r="AX31" s="88"/>
      <c r="AY31" s="100">
        <v>0.90277777777777668</v>
      </c>
      <c r="AZ31" s="22"/>
      <c r="BA31" s="100">
        <v>0.90972222222222165</v>
      </c>
      <c r="BB31" s="22"/>
      <c r="BC31" s="100"/>
      <c r="BD31" s="100">
        <v>0.91666666666666563</v>
      </c>
      <c r="BE31" s="22"/>
      <c r="BF31" s="54"/>
      <c r="BG31" s="100">
        <v>0.92361111111110961</v>
      </c>
      <c r="BH31" s="126">
        <v>0.92361111111111116</v>
      </c>
      <c r="BI31" s="22"/>
      <c r="BJ31" s="130">
        <v>0.93055555555555558</v>
      </c>
      <c r="BK31" s="148" t="s">
        <v>399</v>
      </c>
      <c r="BL31" s="100">
        <v>0.93055555555555458</v>
      </c>
      <c r="BM31" s="100">
        <v>0.93749999999999867</v>
      </c>
      <c r="BN31" s="101">
        <v>0.95138888888888884</v>
      </c>
      <c r="BO31" s="99" t="s">
        <v>163</v>
      </c>
    </row>
    <row r="32" spans="1:67" s="1" customFormat="1" ht="16.5" thickBot="1" x14ac:dyDescent="0.3">
      <c r="A32" s="85" t="s">
        <v>164</v>
      </c>
      <c r="B32" s="186" t="s">
        <v>400</v>
      </c>
      <c r="C32" s="147" t="s">
        <v>384</v>
      </c>
      <c r="D32" s="72"/>
      <c r="E32" s="60" t="s">
        <v>401</v>
      </c>
      <c r="F32" s="88">
        <v>0.82638888888888895</v>
      </c>
      <c r="G32" s="88">
        <v>0.83333333333333304</v>
      </c>
      <c r="H32" s="88">
        <v>0.84027777777777801</v>
      </c>
      <c r="I32" s="54"/>
      <c r="J32" s="57" t="s">
        <v>402</v>
      </c>
      <c r="K32" s="57" t="s">
        <v>403</v>
      </c>
      <c r="L32" s="57" t="s">
        <v>404</v>
      </c>
      <c r="M32" s="88">
        <v>0.84722222222222199</v>
      </c>
      <c r="N32" s="61" t="s">
        <v>405</v>
      </c>
      <c r="O32" s="110" t="s">
        <v>181</v>
      </c>
      <c r="P32" s="110" t="s">
        <v>181</v>
      </c>
      <c r="Q32" s="132">
        <v>0.85416666666666596</v>
      </c>
      <c r="R32" s="88">
        <v>0.86111111111111105</v>
      </c>
      <c r="S32" s="54"/>
      <c r="T32" s="61"/>
      <c r="U32" s="110" t="s">
        <v>181</v>
      </c>
      <c r="V32" s="30"/>
      <c r="W32" s="88">
        <v>0.86805555555555503</v>
      </c>
      <c r="X32" s="57" t="s">
        <v>406</v>
      </c>
      <c r="Y32" s="54"/>
      <c r="Z32" s="88">
        <v>0.874999999999999</v>
      </c>
      <c r="AA32" s="87">
        <v>0.88194444444444398</v>
      </c>
      <c r="AB32" s="110" t="s">
        <v>181</v>
      </c>
      <c r="AC32" s="74"/>
      <c r="AD32" s="54"/>
      <c r="AE32" s="88">
        <v>0.88888888888888795</v>
      </c>
      <c r="AF32" s="54"/>
      <c r="AG32" s="89">
        <v>0.89583333333333304</v>
      </c>
      <c r="AH32" s="86" t="s">
        <v>164</v>
      </c>
      <c r="AI32" s="723"/>
      <c r="AJ32" s="85" t="s">
        <v>164</v>
      </c>
      <c r="AK32" s="56"/>
      <c r="AL32" s="57"/>
      <c r="AM32" s="22"/>
      <c r="AN32" s="88">
        <v>0.90277777777777701</v>
      </c>
      <c r="AO32" s="22"/>
      <c r="AP32" s="22"/>
      <c r="AQ32" s="54"/>
      <c r="AR32" s="88">
        <v>0.90972222222222099</v>
      </c>
      <c r="AS32" s="54"/>
      <c r="AT32" s="88"/>
      <c r="AU32" s="88">
        <v>0.91666666666666596</v>
      </c>
      <c r="AV32" s="54"/>
      <c r="AW32" s="115"/>
      <c r="AX32" s="88"/>
      <c r="AY32" s="88">
        <v>0.92361111111111005</v>
      </c>
      <c r="AZ32" s="22"/>
      <c r="BA32" s="88">
        <v>0.93055555555555503</v>
      </c>
      <c r="BB32" s="22"/>
      <c r="BC32" s="57"/>
      <c r="BD32" s="88">
        <v>0.937499999999999</v>
      </c>
      <c r="BE32" s="22"/>
      <c r="BF32" s="54"/>
      <c r="BG32" s="88">
        <v>0.94444444444444298</v>
      </c>
      <c r="BH32" s="57" t="s">
        <v>407</v>
      </c>
      <c r="BI32" s="22"/>
      <c r="BJ32" s="61" t="s">
        <v>408</v>
      </c>
      <c r="BK32" s="25" t="s">
        <v>409</v>
      </c>
      <c r="BL32" s="88">
        <v>0.95138888888888795</v>
      </c>
      <c r="BM32" s="88">
        <v>0.95833333333333204</v>
      </c>
      <c r="BN32" s="89">
        <v>0.97222222222222221</v>
      </c>
      <c r="BO32" s="86" t="s">
        <v>164</v>
      </c>
    </row>
    <row r="33" spans="1:67" s="1" customFormat="1" ht="15.75" x14ac:dyDescent="0.25">
      <c r="A33" s="90" t="s">
        <v>166</v>
      </c>
      <c r="B33" s="200"/>
      <c r="C33" s="153"/>
      <c r="D33" s="72"/>
      <c r="E33" s="88"/>
      <c r="F33" s="57" t="s">
        <v>410</v>
      </c>
      <c r="G33" s="57" t="s">
        <v>411</v>
      </c>
      <c r="H33" s="88">
        <v>0.85416666666666663</v>
      </c>
      <c r="I33" s="54"/>
      <c r="J33" s="54"/>
      <c r="K33" s="54"/>
      <c r="L33" s="54"/>
      <c r="M33" s="88">
        <v>0.86111111111111116</v>
      </c>
      <c r="N33" s="45"/>
      <c r="O33" s="110" t="s">
        <v>412</v>
      </c>
      <c r="P33" s="110" t="s">
        <v>412</v>
      </c>
      <c r="Q33" s="132">
        <v>0.87152777777777779</v>
      </c>
      <c r="R33" s="88">
        <v>0.87847222222222221</v>
      </c>
      <c r="S33" s="54"/>
      <c r="T33" s="45"/>
      <c r="U33" s="110" t="s">
        <v>412</v>
      </c>
      <c r="V33" s="30"/>
      <c r="W33" s="88">
        <v>0.87847222222222221</v>
      </c>
      <c r="X33" s="88"/>
      <c r="Y33" s="54"/>
      <c r="Z33" s="57" t="s">
        <v>413</v>
      </c>
      <c r="AA33" s="61" t="s">
        <v>414</v>
      </c>
      <c r="AB33" s="110" t="s">
        <v>412</v>
      </c>
      <c r="AC33" s="74"/>
      <c r="AD33" s="54"/>
      <c r="AE33" s="57" t="s">
        <v>415</v>
      </c>
      <c r="AF33" s="54"/>
      <c r="AG33" s="89">
        <v>0.90625</v>
      </c>
      <c r="AH33" s="78" t="s">
        <v>166</v>
      </c>
      <c r="AI33" s="723"/>
      <c r="AJ33" s="90" t="s">
        <v>166</v>
      </c>
      <c r="AK33" s="56"/>
      <c r="AL33" s="57"/>
      <c r="AM33" s="22"/>
      <c r="AN33" s="57" t="s">
        <v>416</v>
      </c>
      <c r="AO33" s="22"/>
      <c r="AP33" s="22"/>
      <c r="AQ33" s="54"/>
      <c r="AR33" s="57" t="s">
        <v>417</v>
      </c>
      <c r="AS33" s="54"/>
      <c r="AT33" s="88"/>
      <c r="AU33" s="57" t="s">
        <v>418</v>
      </c>
      <c r="AV33" s="54"/>
      <c r="AW33" s="115"/>
      <c r="AX33" s="88"/>
      <c r="AY33" s="57" t="s">
        <v>419</v>
      </c>
      <c r="AZ33" s="22"/>
      <c r="BA33" s="88">
        <v>0.94097222222222221</v>
      </c>
      <c r="BB33" s="22"/>
      <c r="BC33" s="88"/>
      <c r="BD33" s="88">
        <v>0.94791666666666663</v>
      </c>
      <c r="BE33" s="22"/>
      <c r="BF33" s="54"/>
      <c r="BG33" s="57" t="s">
        <v>420</v>
      </c>
      <c r="BH33" s="54"/>
      <c r="BI33" s="54"/>
      <c r="BJ33" s="57"/>
      <c r="BK33" s="40" t="s">
        <v>421</v>
      </c>
      <c r="BL33" s="88">
        <v>0.96180555555555558</v>
      </c>
      <c r="BM33" s="88">
        <v>0.96875</v>
      </c>
      <c r="BN33" s="89">
        <v>0.98263888888888884</v>
      </c>
      <c r="BO33" s="78" t="s">
        <v>166</v>
      </c>
    </row>
    <row r="34" spans="1:67" s="1" customFormat="1" ht="15.75" x14ac:dyDescent="0.25">
      <c r="A34" s="80" t="s">
        <v>160</v>
      </c>
      <c r="B34" s="71"/>
      <c r="C34" s="4"/>
      <c r="D34" s="72"/>
      <c r="E34" s="83"/>
      <c r="F34" s="83">
        <v>0.88194444444444653</v>
      </c>
      <c r="G34" s="83">
        <v>0.88888888888889062</v>
      </c>
      <c r="H34" s="83">
        <v>0.89583333333333559</v>
      </c>
      <c r="I34" s="54"/>
      <c r="J34" s="88"/>
      <c r="K34" s="54"/>
      <c r="L34" s="54"/>
      <c r="M34" s="126">
        <v>0.89864583333333314</v>
      </c>
      <c r="N34" s="45"/>
      <c r="O34" s="133">
        <v>0.78125</v>
      </c>
      <c r="P34" s="133">
        <v>0.80902777777777779</v>
      </c>
      <c r="Q34" s="190">
        <v>0.90138888888888891</v>
      </c>
      <c r="R34" s="83">
        <v>0.90277777777777957</v>
      </c>
      <c r="S34" s="54"/>
      <c r="T34" s="87"/>
      <c r="U34" s="133">
        <v>0.81944444444444442</v>
      </c>
      <c r="V34" s="30"/>
      <c r="W34" s="83">
        <v>0.90972222222222454</v>
      </c>
      <c r="X34" s="83"/>
      <c r="Y34" s="54"/>
      <c r="Z34" s="83">
        <v>0.91666666666666863</v>
      </c>
      <c r="AA34" s="82">
        <v>0.9236111111111136</v>
      </c>
      <c r="AB34" s="133">
        <v>0.83680555555555558</v>
      </c>
      <c r="AC34" s="74"/>
      <c r="AD34" s="54"/>
      <c r="AE34" s="83">
        <v>0.93055555555555758</v>
      </c>
      <c r="AF34" s="54"/>
      <c r="AG34" s="84">
        <v>0.93750000000000255</v>
      </c>
      <c r="AH34" s="81" t="s">
        <v>160</v>
      </c>
      <c r="AI34" s="723"/>
      <c r="AJ34" s="80" t="s">
        <v>160</v>
      </c>
      <c r="AK34" s="56"/>
      <c r="AL34" s="57"/>
      <c r="AM34" s="22"/>
      <c r="AN34" s="83">
        <v>0.94444444444444653</v>
      </c>
      <c r="AO34" s="22"/>
      <c r="AP34" s="22"/>
      <c r="AQ34" s="54"/>
      <c r="AR34" s="83">
        <v>0.95138888888889162</v>
      </c>
      <c r="AS34" s="54"/>
      <c r="AT34" s="88"/>
      <c r="AU34" s="126">
        <v>0.96319444444444446</v>
      </c>
      <c r="AV34" s="54"/>
      <c r="AW34" s="115"/>
      <c r="AX34" s="88"/>
      <c r="AY34" s="83">
        <v>0.96527777777777779</v>
      </c>
      <c r="AZ34" s="22"/>
      <c r="BA34" s="126">
        <v>0.97638888888888886</v>
      </c>
      <c r="BB34" s="22"/>
      <c r="BC34" s="54"/>
      <c r="BD34" s="83">
        <v>0.97916666666666363</v>
      </c>
      <c r="BE34" s="22"/>
      <c r="BF34" s="54"/>
      <c r="BG34" s="83">
        <v>0.99305555555555058</v>
      </c>
      <c r="BH34" s="54"/>
      <c r="BI34" s="54"/>
      <c r="BJ34" s="57"/>
      <c r="BK34" s="83">
        <v>3.4722222222222224E-2</v>
      </c>
      <c r="BL34" s="126">
        <v>0.99170138888888792</v>
      </c>
      <c r="BM34" s="126">
        <v>0.99864583333333201</v>
      </c>
      <c r="BN34" s="201">
        <v>1.0125347222222221</v>
      </c>
      <c r="BO34" s="81" t="s">
        <v>160</v>
      </c>
    </row>
    <row r="35" spans="1:67" s="1" customFormat="1" ht="15.75" x14ac:dyDescent="0.25">
      <c r="A35" s="85" t="s">
        <v>161</v>
      </c>
      <c r="B35" s="71"/>
      <c r="C35" s="4"/>
      <c r="D35" s="88"/>
      <c r="E35" s="88"/>
      <c r="F35" s="88">
        <v>0.88888888888889095</v>
      </c>
      <c r="G35" s="88">
        <v>0.89583333333333504</v>
      </c>
      <c r="H35" s="88">
        <v>0.90277777777778001</v>
      </c>
      <c r="I35" s="54"/>
      <c r="J35" s="88"/>
      <c r="K35" s="54"/>
      <c r="L35" s="54"/>
      <c r="M35" s="57" t="s">
        <v>422</v>
      </c>
      <c r="N35" s="45"/>
      <c r="O35" s="147" t="s">
        <v>423</v>
      </c>
      <c r="P35" s="147" t="s">
        <v>424</v>
      </c>
      <c r="Q35" s="60" t="s">
        <v>425</v>
      </c>
      <c r="R35" s="88">
        <v>0.90972222222222399</v>
      </c>
      <c r="S35" s="54"/>
      <c r="T35" s="45"/>
      <c r="U35" s="147" t="s">
        <v>426</v>
      </c>
      <c r="V35" s="30"/>
      <c r="W35" s="88">
        <v>0.91666666666666896</v>
      </c>
      <c r="X35" s="88"/>
      <c r="Y35" s="54"/>
      <c r="Z35" s="88">
        <v>0.92361111111111305</v>
      </c>
      <c r="AA35" s="87">
        <v>0.93055555555555802</v>
      </c>
      <c r="AB35" s="147" t="s">
        <v>427</v>
      </c>
      <c r="AC35" s="74"/>
      <c r="AD35" s="54"/>
      <c r="AE35" s="88">
        <v>0.937500000000002</v>
      </c>
      <c r="AF35" s="54"/>
      <c r="AG35" s="89">
        <v>0.94444444444444697</v>
      </c>
      <c r="AH35" s="86" t="s">
        <v>161</v>
      </c>
      <c r="AI35" s="723"/>
      <c r="AJ35" s="85" t="s">
        <v>161</v>
      </c>
      <c r="AK35" s="56"/>
      <c r="AL35" s="22"/>
      <c r="AM35" s="22"/>
      <c r="AN35" s="88">
        <v>0.95138888888889095</v>
      </c>
      <c r="AO35" s="22"/>
      <c r="AP35" s="22"/>
      <c r="AQ35" s="57"/>
      <c r="AR35" s="88">
        <v>0.95833333333333603</v>
      </c>
      <c r="AS35" s="54"/>
      <c r="AT35" s="88"/>
      <c r="AU35" s="57" t="s">
        <v>428</v>
      </c>
      <c r="AV35" s="54"/>
      <c r="AW35" s="115"/>
      <c r="AX35" s="54"/>
      <c r="AY35" s="88">
        <v>0.97222222222222221</v>
      </c>
      <c r="AZ35" s="22"/>
      <c r="BA35" s="57" t="s">
        <v>429</v>
      </c>
      <c r="BB35" s="22"/>
      <c r="BC35" s="54"/>
      <c r="BD35" s="88">
        <v>0.98611111111110805</v>
      </c>
      <c r="BE35" s="22"/>
      <c r="BF35" s="54"/>
      <c r="BG35" s="88">
        <v>0.999999999999995</v>
      </c>
      <c r="BH35" s="54"/>
      <c r="BI35" s="54"/>
      <c r="BJ35" s="57"/>
      <c r="BK35" s="88">
        <v>4.1666666666666664E-2</v>
      </c>
      <c r="BL35" s="57" t="s">
        <v>430</v>
      </c>
      <c r="BM35" s="57" t="s">
        <v>431</v>
      </c>
      <c r="BN35" s="69" t="s">
        <v>432</v>
      </c>
      <c r="BO35" s="86" t="s">
        <v>161</v>
      </c>
    </row>
    <row r="36" spans="1:67" s="1" customFormat="1" ht="15.75" x14ac:dyDescent="0.25">
      <c r="A36" s="90" t="s">
        <v>162</v>
      </c>
      <c r="B36" s="71"/>
      <c r="C36" s="4"/>
      <c r="D36" s="88"/>
      <c r="E36" s="88"/>
      <c r="F36" s="88">
        <v>0.91666666666666663</v>
      </c>
      <c r="G36" s="88">
        <v>0.92361111111111116</v>
      </c>
      <c r="H36" s="57" t="s">
        <v>433</v>
      </c>
      <c r="I36" s="54"/>
      <c r="J36" s="88"/>
      <c r="K36" s="54"/>
      <c r="L36" s="54"/>
      <c r="M36" s="88"/>
      <c r="N36" s="54"/>
      <c r="O36" s="54"/>
      <c r="P36" s="54"/>
      <c r="Q36" s="54"/>
      <c r="R36" s="57" t="s">
        <v>434</v>
      </c>
      <c r="S36" s="54"/>
      <c r="T36" s="88"/>
      <c r="U36" s="134"/>
      <c r="V36" s="54"/>
      <c r="W36" s="88">
        <v>0.94444444444444442</v>
      </c>
      <c r="X36" s="88"/>
      <c r="Y36" s="54"/>
      <c r="Z36" s="88">
        <v>0.95138888888888884</v>
      </c>
      <c r="AA36" s="88">
        <v>0.95833333333333337</v>
      </c>
      <c r="AB36" s="137"/>
      <c r="AC36" s="22"/>
      <c r="AD36" s="54"/>
      <c r="AE36" s="88">
        <v>0.96527777777777779</v>
      </c>
      <c r="AF36" s="54"/>
      <c r="AG36" s="69" t="s">
        <v>435</v>
      </c>
      <c r="AH36" s="78" t="s">
        <v>162</v>
      </c>
      <c r="AI36" s="723"/>
      <c r="AJ36" s="90" t="s">
        <v>162</v>
      </c>
      <c r="AK36" s="56"/>
      <c r="AL36" s="22"/>
      <c r="AM36" s="22"/>
      <c r="AN36" s="88">
        <v>0.97916666666666663</v>
      </c>
      <c r="AO36" s="22"/>
      <c r="AP36" s="22"/>
      <c r="AQ36" s="57"/>
      <c r="AR36" s="88">
        <v>0.98611111111111116</v>
      </c>
      <c r="AS36" s="54"/>
      <c r="AT36" s="88"/>
      <c r="AU36" s="54"/>
      <c r="AV36" s="54"/>
      <c r="AW36" s="88"/>
      <c r="AX36" s="54"/>
      <c r="AY36" s="88">
        <v>0</v>
      </c>
      <c r="AZ36" s="22"/>
      <c r="BA36" s="88"/>
      <c r="BB36" s="22"/>
      <c r="BC36" s="54"/>
      <c r="BD36" s="88">
        <v>1.3888888888888888E-2</v>
      </c>
      <c r="BE36" s="22"/>
      <c r="BF36" s="54"/>
      <c r="BG36" s="88">
        <v>2.7777777777777776E-2</v>
      </c>
      <c r="BH36" s="54"/>
      <c r="BI36" s="54"/>
      <c r="BJ36" s="57"/>
      <c r="BK36" s="88">
        <v>6.9444444444444448E-2</v>
      </c>
      <c r="BL36" s="54"/>
      <c r="BM36" s="54"/>
      <c r="BN36" s="79"/>
      <c r="BO36" s="78" t="s">
        <v>162</v>
      </c>
    </row>
    <row r="37" spans="1:67" s="1" customFormat="1" ht="15.75" x14ac:dyDescent="0.25">
      <c r="A37" s="91" t="s">
        <v>163</v>
      </c>
      <c r="B37" s="71"/>
      <c r="C37" s="4"/>
      <c r="D37" s="72"/>
      <c r="E37" s="88"/>
      <c r="F37" s="126">
        <v>0.95329861111111325</v>
      </c>
      <c r="G37" s="126">
        <v>0.96024305555555733</v>
      </c>
      <c r="H37" s="100">
        <v>0.96527777777777868</v>
      </c>
      <c r="I37" s="54"/>
      <c r="J37" s="54"/>
      <c r="K37" s="54"/>
      <c r="L37" s="54"/>
      <c r="M37" s="88"/>
      <c r="N37" s="54"/>
      <c r="O37" s="54"/>
      <c r="P37" s="54"/>
      <c r="Q37" s="54"/>
      <c r="R37" s="100">
        <v>0.97916666666666663</v>
      </c>
      <c r="S37" s="54"/>
      <c r="T37" s="54"/>
      <c r="U37" s="54"/>
      <c r="V37" s="54"/>
      <c r="W37" s="126">
        <v>0.98107638888889126</v>
      </c>
      <c r="X37" s="88"/>
      <c r="Y37" s="54"/>
      <c r="Z37" s="126">
        <v>0.98802083333333535</v>
      </c>
      <c r="AA37" s="126">
        <v>0.99496527777778032</v>
      </c>
      <c r="AB37" s="22"/>
      <c r="AC37" s="22"/>
      <c r="AD37" s="57"/>
      <c r="AE37" s="126">
        <v>1.0019097222222242</v>
      </c>
      <c r="AF37" s="54"/>
      <c r="AG37" s="100">
        <v>2.0833333333333332E-2</v>
      </c>
      <c r="AH37" s="99" t="s">
        <v>163</v>
      </c>
      <c r="AI37" s="723"/>
      <c r="AJ37" s="91" t="s">
        <v>163</v>
      </c>
      <c r="AK37" s="56"/>
      <c r="AL37" s="22"/>
      <c r="AM37" s="22"/>
      <c r="AN37" s="126">
        <v>1.0157986111111132</v>
      </c>
      <c r="AO37" s="22"/>
      <c r="AP37" s="22"/>
      <c r="AQ37" s="57"/>
      <c r="AR37" s="126">
        <v>1.0227430555555583</v>
      </c>
      <c r="AS37" s="54"/>
      <c r="AT37" s="22"/>
      <c r="AU37" s="54"/>
      <c r="AV37" s="54"/>
      <c r="AW37" s="54"/>
      <c r="AX37" s="54"/>
      <c r="AY37" s="126">
        <v>1.0366319444444445</v>
      </c>
      <c r="AZ37" s="22"/>
      <c r="BA37" s="22"/>
      <c r="BB37" s="88"/>
      <c r="BC37" s="54"/>
      <c r="BD37" s="126">
        <v>1.0505208333333302</v>
      </c>
      <c r="BE37" s="22"/>
      <c r="BF37" s="54"/>
      <c r="BG37" s="100">
        <v>6.25E-2</v>
      </c>
      <c r="BH37" s="54"/>
      <c r="BI37" s="54"/>
      <c r="BJ37" s="57"/>
      <c r="BK37" s="100">
        <v>0.10416666666666667</v>
      </c>
      <c r="BL37" s="88"/>
      <c r="BM37" s="54"/>
      <c r="BN37" s="79"/>
      <c r="BO37" s="99" t="s">
        <v>163</v>
      </c>
    </row>
    <row r="38" spans="1:67" s="1" customFormat="1" ht="15.75" x14ac:dyDescent="0.25">
      <c r="A38" s="85" t="s">
        <v>164</v>
      </c>
      <c r="B38" s="71"/>
      <c r="C38" s="4"/>
      <c r="D38" s="72"/>
      <c r="E38" s="54"/>
      <c r="F38" s="57" t="s">
        <v>436</v>
      </c>
      <c r="G38" s="57" t="s">
        <v>437</v>
      </c>
      <c r="H38" s="88">
        <v>0.98611111111111205</v>
      </c>
      <c r="I38" s="54"/>
      <c r="J38" s="54"/>
      <c r="K38" s="54"/>
      <c r="L38" s="54"/>
      <c r="M38" s="54"/>
      <c r="N38" s="54"/>
      <c r="O38" s="54"/>
      <c r="P38" s="54"/>
      <c r="Q38" s="54"/>
      <c r="R38" s="88">
        <v>0.98611111111111105</v>
      </c>
      <c r="S38" s="54"/>
      <c r="T38" s="54"/>
      <c r="U38" s="88"/>
      <c r="V38" s="54"/>
      <c r="W38" s="57" t="s">
        <v>438</v>
      </c>
      <c r="X38" s="57"/>
      <c r="Y38" s="54"/>
      <c r="Z38" s="57" t="s">
        <v>439</v>
      </c>
      <c r="AA38" s="57" t="s">
        <v>440</v>
      </c>
      <c r="AB38" s="22"/>
      <c r="AC38" s="22"/>
      <c r="AD38" s="57"/>
      <c r="AE38" s="57" t="s">
        <v>441</v>
      </c>
      <c r="AF38" s="54"/>
      <c r="AG38" s="89">
        <v>2.7777777777777776E-2</v>
      </c>
      <c r="AH38" s="86" t="s">
        <v>164</v>
      </c>
      <c r="AI38" s="723"/>
      <c r="AJ38" s="85" t="s">
        <v>164</v>
      </c>
      <c r="AK38" s="56"/>
      <c r="AL38" s="22"/>
      <c r="AM38" s="22"/>
      <c r="AN38" s="57" t="s">
        <v>442</v>
      </c>
      <c r="AO38" s="22"/>
      <c r="AP38" s="22"/>
      <c r="AQ38" s="57"/>
      <c r="AR38" s="57" t="s">
        <v>443</v>
      </c>
      <c r="AS38" s="57"/>
      <c r="AT38" s="22"/>
      <c r="AU38" s="57"/>
      <c r="AV38" s="57"/>
      <c r="AW38" s="57"/>
      <c r="AX38" s="57"/>
      <c r="AY38" s="57" t="s">
        <v>444</v>
      </c>
      <c r="AZ38" s="22"/>
      <c r="BA38" s="22"/>
      <c r="BB38" s="54"/>
      <c r="BC38" s="54"/>
      <c r="BD38" s="57" t="s">
        <v>445</v>
      </c>
      <c r="BE38" s="22"/>
      <c r="BF38" s="54"/>
      <c r="BG38" s="88">
        <v>6.9444444444500222E-2</v>
      </c>
      <c r="BH38" s="54"/>
      <c r="BI38" s="54"/>
      <c r="BJ38" s="57"/>
      <c r="BK38" s="88">
        <v>0.11111111111121012</v>
      </c>
      <c r="BL38" s="54"/>
      <c r="BM38" s="57"/>
      <c r="BN38" s="69"/>
      <c r="BO38" s="86" t="s">
        <v>164</v>
      </c>
    </row>
    <row r="39" spans="1:67" s="1" customFormat="1" ht="15.75" x14ac:dyDescent="0.25">
      <c r="A39" s="90" t="s">
        <v>166</v>
      </c>
      <c r="B39" s="71"/>
      <c r="C39" s="4"/>
      <c r="D39" s="57"/>
      <c r="E39" s="57"/>
      <c r="F39" s="57"/>
      <c r="G39" s="57"/>
      <c r="H39" s="88">
        <v>0.99652777777777779</v>
      </c>
      <c r="I39" s="54"/>
      <c r="J39" s="54"/>
      <c r="K39" s="88"/>
      <c r="L39" s="54"/>
      <c r="M39" s="54"/>
      <c r="N39" s="54"/>
      <c r="O39" s="88"/>
      <c r="P39" s="54"/>
      <c r="Q39" s="54"/>
      <c r="R39" s="88">
        <v>1.0416666666666666E-2</v>
      </c>
      <c r="S39" s="54"/>
      <c r="T39" s="54"/>
      <c r="U39" s="54"/>
      <c r="V39" s="54"/>
      <c r="W39" s="54"/>
      <c r="X39" s="54"/>
      <c r="Y39" s="54"/>
      <c r="Z39" s="54"/>
      <c r="AA39" s="54"/>
      <c r="AB39" s="22"/>
      <c r="AC39" s="22"/>
      <c r="AD39" s="57"/>
      <c r="AE39" s="54"/>
      <c r="AF39" s="54"/>
      <c r="AG39" s="89">
        <v>5.2083333333333336E-2</v>
      </c>
      <c r="AH39" s="78" t="s">
        <v>166</v>
      </c>
      <c r="AI39" s="723"/>
      <c r="AJ39" s="90" t="s">
        <v>166</v>
      </c>
      <c r="AK39" s="56"/>
      <c r="AL39" s="57"/>
      <c r="AM39" s="22"/>
      <c r="AN39" s="22"/>
      <c r="AO39" s="57"/>
      <c r="AP39" s="22"/>
      <c r="AQ39" s="54"/>
      <c r="AR39" s="54"/>
      <c r="AS39" s="54"/>
      <c r="AT39" s="22"/>
      <c r="AU39" s="54"/>
      <c r="AV39" s="54"/>
      <c r="AW39" s="54"/>
      <c r="AX39" s="22"/>
      <c r="AY39" s="54"/>
      <c r="AZ39" s="54"/>
      <c r="BA39" s="22"/>
      <c r="BB39" s="54"/>
      <c r="BC39" s="54"/>
      <c r="BD39" s="54"/>
      <c r="BE39" s="54"/>
      <c r="BF39" s="54"/>
      <c r="BG39" s="57" t="s">
        <v>446</v>
      </c>
      <c r="BH39" s="54"/>
      <c r="BI39" s="54"/>
      <c r="BJ39" s="57"/>
      <c r="BK39" s="57" t="s">
        <v>447</v>
      </c>
      <c r="BL39" s="88"/>
      <c r="BM39" s="57"/>
      <c r="BN39" s="69"/>
      <c r="BO39" s="78" t="s">
        <v>166</v>
      </c>
    </row>
    <row r="40" spans="1:67" s="1" customFormat="1" ht="15.75" x14ac:dyDescent="0.25">
      <c r="A40" s="80" t="s">
        <v>160</v>
      </c>
      <c r="B40" s="71"/>
      <c r="C40" s="4"/>
      <c r="D40" s="72"/>
      <c r="E40" s="57"/>
      <c r="F40" s="57"/>
      <c r="G40" s="57"/>
      <c r="H40" s="126">
        <v>1.026423611111112</v>
      </c>
      <c r="I40" s="54"/>
      <c r="J40" s="54"/>
      <c r="K40" s="88"/>
      <c r="L40" s="54"/>
      <c r="M40" s="54"/>
      <c r="N40" s="54"/>
      <c r="O40" s="54"/>
      <c r="P40" s="54"/>
      <c r="Q40" s="54"/>
      <c r="R40" s="83">
        <v>7.6388888888888895E-2</v>
      </c>
      <c r="S40" s="54"/>
      <c r="T40" s="54"/>
      <c r="U40" s="54"/>
      <c r="V40" s="54"/>
      <c r="W40" s="54"/>
      <c r="X40" s="54"/>
      <c r="Y40" s="22"/>
      <c r="Z40" s="54"/>
      <c r="AA40" s="54"/>
      <c r="AB40" s="22"/>
      <c r="AC40" s="22"/>
      <c r="AD40" s="57"/>
      <c r="AE40" s="54"/>
      <c r="AF40" s="54"/>
      <c r="AG40" s="83">
        <v>0.11805555555555555</v>
      </c>
      <c r="AH40" s="81" t="s">
        <v>160</v>
      </c>
      <c r="AI40" s="723"/>
      <c r="AJ40" s="80" t="s">
        <v>160</v>
      </c>
      <c r="AK40" s="200"/>
      <c r="AL40" s="57"/>
      <c r="AM40" s="57"/>
      <c r="AN40" s="57"/>
      <c r="AO40" s="57"/>
      <c r="AP40" s="22"/>
      <c r="AQ40" s="54"/>
      <c r="AR40" s="54"/>
      <c r="AS40" s="54"/>
      <c r="AT40" s="22"/>
      <c r="AU40" s="54"/>
      <c r="AV40" s="54"/>
      <c r="AW40" s="54"/>
      <c r="AX40" s="22"/>
      <c r="AY40" s="54"/>
      <c r="AZ40" s="54"/>
      <c r="BA40" s="22"/>
      <c r="BB40" s="54"/>
      <c r="BC40" s="54"/>
      <c r="BD40" s="54"/>
      <c r="BE40" s="54"/>
      <c r="BF40" s="54"/>
      <c r="BG40" s="83">
        <v>0.15972222222222221</v>
      </c>
      <c r="BH40" s="54"/>
      <c r="BI40" s="54"/>
      <c r="BJ40" s="57"/>
      <c r="BK40" s="83">
        <v>0.2013888888888889</v>
      </c>
      <c r="BL40" s="54"/>
      <c r="BM40" s="57"/>
      <c r="BN40" s="69"/>
      <c r="BO40" s="81" t="s">
        <v>160</v>
      </c>
    </row>
    <row r="41" spans="1:67" s="1" customFormat="1" ht="15.75" x14ac:dyDescent="0.25">
      <c r="A41" s="85" t="s">
        <v>161</v>
      </c>
      <c r="B41" s="71"/>
      <c r="C41" s="4"/>
      <c r="D41" s="72"/>
      <c r="E41" s="57"/>
      <c r="F41" s="57"/>
      <c r="G41" s="57"/>
      <c r="H41" s="57" t="s">
        <v>448</v>
      </c>
      <c r="I41" s="88"/>
      <c r="J41" s="54"/>
      <c r="K41" s="54"/>
      <c r="L41" s="54"/>
      <c r="M41" s="54"/>
      <c r="N41" s="54"/>
      <c r="O41" s="54"/>
      <c r="P41" s="54"/>
      <c r="Q41" s="54"/>
      <c r="R41" s="88">
        <v>8.3333333333334897E-2</v>
      </c>
      <c r="S41" s="54"/>
      <c r="T41" s="54"/>
      <c r="U41" s="54"/>
      <c r="V41" s="202"/>
      <c r="W41" s="54"/>
      <c r="X41" s="54"/>
      <c r="Y41" s="22"/>
      <c r="Z41" s="22"/>
      <c r="AA41" s="54"/>
      <c r="AB41" s="54"/>
      <c r="AC41" s="54"/>
      <c r="AD41" s="57"/>
      <c r="AE41" s="54"/>
      <c r="AF41" s="54"/>
      <c r="AG41" s="89">
        <v>0.12500000000001499</v>
      </c>
      <c r="AH41" s="86" t="s">
        <v>161</v>
      </c>
      <c r="AI41" s="723"/>
      <c r="AJ41" s="85" t="s">
        <v>161</v>
      </c>
      <c r="AK41" s="200"/>
      <c r="AL41" s="57"/>
      <c r="AM41" s="57"/>
      <c r="AN41" s="57"/>
      <c r="AO41" s="57"/>
      <c r="AP41" s="22"/>
      <c r="AQ41" s="54"/>
      <c r="AR41" s="54"/>
      <c r="AS41" s="54"/>
      <c r="AT41" s="22"/>
      <c r="AU41" s="54"/>
      <c r="AV41" s="54"/>
      <c r="AW41" s="22"/>
      <c r="AX41" s="54"/>
      <c r="AY41" s="54"/>
      <c r="AZ41" s="54"/>
      <c r="BA41" s="54"/>
      <c r="BB41" s="54"/>
      <c r="BC41" s="54"/>
      <c r="BD41" s="54"/>
      <c r="BE41" s="54"/>
      <c r="BF41" s="54"/>
      <c r="BG41" s="88">
        <v>0.166666666666685</v>
      </c>
      <c r="BH41" s="54"/>
      <c r="BI41" s="54"/>
      <c r="BJ41" s="57"/>
      <c r="BK41" s="88">
        <v>0.20833333333335499</v>
      </c>
      <c r="BL41" s="54"/>
      <c r="BM41" s="54"/>
      <c r="BN41" s="69"/>
      <c r="BO41" s="86" t="s">
        <v>161</v>
      </c>
    </row>
    <row r="42" spans="1:67" s="1" customFormat="1" ht="15.75" x14ac:dyDescent="0.25">
      <c r="A42" s="90" t="s">
        <v>162</v>
      </c>
      <c r="B42" s="71"/>
      <c r="C42" s="4"/>
      <c r="D42" s="72"/>
      <c r="E42" s="57"/>
      <c r="F42" s="57"/>
      <c r="G42" s="57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7" t="s">
        <v>449</v>
      </c>
      <c r="S42" s="54"/>
      <c r="T42" s="54"/>
      <c r="U42" s="54"/>
      <c r="V42" s="202"/>
      <c r="W42" s="54"/>
      <c r="X42" s="54"/>
      <c r="Y42" s="22"/>
      <c r="Z42" s="22"/>
      <c r="AA42" s="54"/>
      <c r="AB42" s="54"/>
      <c r="AC42" s="88"/>
      <c r="AD42" s="54"/>
      <c r="AE42" s="54"/>
      <c r="AF42" s="54"/>
      <c r="AG42" s="69" t="s">
        <v>450</v>
      </c>
      <c r="AH42" s="78" t="s">
        <v>162</v>
      </c>
      <c r="AI42" s="723"/>
      <c r="AJ42" s="90" t="s">
        <v>162</v>
      </c>
      <c r="AK42" s="200"/>
      <c r="AL42" s="57"/>
      <c r="AM42" s="57"/>
      <c r="AN42" s="57"/>
      <c r="AO42" s="57"/>
      <c r="AP42" s="22"/>
      <c r="AQ42" s="54"/>
      <c r="AR42" s="54"/>
      <c r="AS42" s="54"/>
      <c r="AT42" s="22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88">
        <v>0.19444444444444445</v>
      </c>
      <c r="BH42" s="54"/>
      <c r="BI42" s="54"/>
      <c r="BJ42" s="57"/>
      <c r="BK42" s="88">
        <v>0.2361111111111111</v>
      </c>
      <c r="BL42" s="54"/>
      <c r="BM42" s="54"/>
      <c r="BN42" s="69"/>
      <c r="BO42" s="78" t="s">
        <v>162</v>
      </c>
    </row>
    <row r="43" spans="1:67" s="1" customFormat="1" ht="15.75" x14ac:dyDescent="0.25">
      <c r="A43" s="91" t="s">
        <v>163</v>
      </c>
      <c r="B43" s="71"/>
      <c r="C43" s="4"/>
      <c r="D43" s="72"/>
      <c r="E43" s="57"/>
      <c r="F43" s="57"/>
      <c r="G43" s="57"/>
      <c r="H43" s="54"/>
      <c r="I43" s="54"/>
      <c r="J43" s="54"/>
      <c r="K43" s="54"/>
      <c r="L43" s="54"/>
      <c r="M43" s="57"/>
      <c r="N43" s="57"/>
      <c r="O43" s="57"/>
      <c r="P43" s="57"/>
      <c r="Q43" s="54"/>
      <c r="R43" s="100">
        <v>0.14583333333348567</v>
      </c>
      <c r="S43" s="54"/>
      <c r="T43" s="54"/>
      <c r="U43" s="54"/>
      <c r="V43" s="54"/>
      <c r="W43" s="54"/>
      <c r="X43" s="54"/>
      <c r="Y43" s="22"/>
      <c r="Z43" s="22"/>
      <c r="AA43" s="54"/>
      <c r="AB43" s="57"/>
      <c r="AC43" s="57"/>
      <c r="AD43" s="57"/>
      <c r="AE43" s="54"/>
      <c r="AF43" s="54"/>
      <c r="AG43" s="101">
        <v>0.18750000000020567</v>
      </c>
      <c r="AH43" s="99" t="s">
        <v>163</v>
      </c>
      <c r="AI43" s="723"/>
      <c r="AJ43" s="91" t="s">
        <v>163</v>
      </c>
      <c r="AK43" s="56"/>
      <c r="AL43" s="57"/>
      <c r="AM43" s="57"/>
      <c r="AN43" s="57"/>
      <c r="AO43" s="57"/>
      <c r="AP43" s="22"/>
      <c r="AQ43" s="54"/>
      <c r="AR43" s="54"/>
      <c r="AS43" s="54"/>
      <c r="AT43" s="22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126">
        <v>0.23107638888890725</v>
      </c>
      <c r="BH43" s="57"/>
      <c r="BI43" s="57"/>
      <c r="BJ43" s="57"/>
      <c r="BK43" s="126">
        <v>0.27274305555557721</v>
      </c>
      <c r="BL43" s="54"/>
      <c r="BM43" s="54"/>
      <c r="BN43" s="69"/>
      <c r="BO43" s="99" t="s">
        <v>163</v>
      </c>
    </row>
    <row r="44" spans="1:67" s="1" customFormat="1" ht="15.75" x14ac:dyDescent="0.25">
      <c r="A44" s="85" t="s">
        <v>164</v>
      </c>
      <c r="B44" s="71"/>
      <c r="C44" s="4"/>
      <c r="D44" s="72"/>
      <c r="E44" s="57"/>
      <c r="F44" s="57"/>
      <c r="G44" s="57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88">
        <v>0.16666666666681901</v>
      </c>
      <c r="S44" s="54"/>
      <c r="T44" s="54"/>
      <c r="U44" s="54"/>
      <c r="V44" s="54"/>
      <c r="W44" s="54"/>
      <c r="X44" s="54"/>
      <c r="Y44" s="22"/>
      <c r="Z44" s="22"/>
      <c r="AA44" s="54"/>
      <c r="AB44" s="57"/>
      <c r="AC44" s="57"/>
      <c r="AD44" s="57"/>
      <c r="AE44" s="54"/>
      <c r="AF44" s="54"/>
      <c r="AG44" s="89">
        <v>0.20833333333353901</v>
      </c>
      <c r="AH44" s="86" t="s">
        <v>164</v>
      </c>
      <c r="AI44" s="723"/>
      <c r="AJ44" s="85" t="s">
        <v>164</v>
      </c>
      <c r="AK44" s="200"/>
      <c r="AL44" s="54"/>
      <c r="AM44" s="54"/>
      <c r="AN44" s="54"/>
      <c r="AO44" s="54"/>
      <c r="AP44" s="22"/>
      <c r="AQ44" s="54"/>
      <c r="AR44" s="54"/>
      <c r="AS44" s="57"/>
      <c r="AT44" s="22"/>
      <c r="AU44" s="57"/>
      <c r="AV44" s="57"/>
      <c r="AW44" s="54"/>
      <c r="AX44" s="57"/>
      <c r="AY44" s="57"/>
      <c r="AZ44" s="57"/>
      <c r="BA44" s="57"/>
      <c r="BB44" s="57"/>
      <c r="BC44" s="57"/>
      <c r="BD44" s="57"/>
      <c r="BE44" s="57"/>
      <c r="BF44" s="57"/>
      <c r="BG44" s="57" t="s">
        <v>451</v>
      </c>
      <c r="BH44" s="57"/>
      <c r="BI44" s="57"/>
      <c r="BJ44" s="57"/>
      <c r="BK44" s="57" t="s">
        <v>452</v>
      </c>
      <c r="BL44" s="57"/>
      <c r="BM44" s="57"/>
      <c r="BN44" s="69"/>
      <c r="BO44" s="86" t="s">
        <v>164</v>
      </c>
    </row>
    <row r="45" spans="1:67" s="1" customFormat="1" ht="15.75" x14ac:dyDescent="0.25">
      <c r="A45" s="90" t="s">
        <v>166</v>
      </c>
      <c r="B45" s="71"/>
      <c r="C45" s="4"/>
      <c r="D45" s="72"/>
      <c r="E45" s="57"/>
      <c r="F45" s="57"/>
      <c r="G45" s="57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88">
        <v>1.1770833333333333</v>
      </c>
      <c r="S45" s="54"/>
      <c r="T45" s="54"/>
      <c r="U45" s="54"/>
      <c r="V45" s="54"/>
      <c r="W45" s="54"/>
      <c r="X45" s="54"/>
      <c r="Y45" s="22"/>
      <c r="Z45" s="22"/>
      <c r="AA45" s="54"/>
      <c r="AB45" s="57"/>
      <c r="AC45" s="57"/>
      <c r="AD45" s="57"/>
      <c r="AE45" s="54"/>
      <c r="AF45" s="54"/>
      <c r="AG45" s="89">
        <v>1.21875</v>
      </c>
      <c r="AH45" s="78" t="s">
        <v>166</v>
      </c>
      <c r="AI45" s="723"/>
      <c r="AJ45" s="90" t="s">
        <v>166</v>
      </c>
      <c r="AK45" s="200"/>
      <c r="AL45" s="54"/>
      <c r="AM45" s="54"/>
      <c r="AN45" s="54"/>
      <c r="AO45" s="54"/>
      <c r="AP45" s="22"/>
      <c r="AQ45" s="54"/>
      <c r="AR45" s="54"/>
      <c r="AS45" s="57"/>
      <c r="AT45" s="22"/>
      <c r="AU45" s="57"/>
      <c r="AV45" s="57"/>
      <c r="AW45" s="54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69"/>
      <c r="BO45" s="78" t="s">
        <v>166</v>
      </c>
    </row>
    <row r="46" spans="1:67" s="1" customFormat="1" ht="15.75" x14ac:dyDescent="0.25">
      <c r="A46" s="80" t="s">
        <v>160</v>
      </c>
      <c r="B46" s="71"/>
      <c r="C46" s="4"/>
      <c r="D46" s="72"/>
      <c r="E46" s="57"/>
      <c r="F46" s="57"/>
      <c r="G46" s="57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126">
        <v>0.20697916666681901</v>
      </c>
      <c r="S46" s="54"/>
      <c r="T46" s="54"/>
      <c r="U46" s="54"/>
      <c r="V46" s="54"/>
      <c r="W46" s="54"/>
      <c r="X46" s="54"/>
      <c r="Y46" s="22"/>
      <c r="Z46" s="22"/>
      <c r="AA46" s="54"/>
      <c r="AB46" s="57"/>
      <c r="AC46" s="57"/>
      <c r="AD46" s="57"/>
      <c r="AE46" s="54"/>
      <c r="AF46" s="54"/>
      <c r="AG46" s="201">
        <v>0.24864583333353901</v>
      </c>
      <c r="AH46" s="81" t="s">
        <v>160</v>
      </c>
      <c r="AI46" s="723"/>
      <c r="AJ46" s="80" t="s">
        <v>160</v>
      </c>
      <c r="AK46" s="200"/>
      <c r="AL46" s="54"/>
      <c r="AM46" s="54"/>
      <c r="AN46" s="54"/>
      <c r="AO46" s="54"/>
      <c r="AP46" s="22"/>
      <c r="AQ46" s="54"/>
      <c r="AR46" s="54"/>
      <c r="AS46" s="57"/>
      <c r="AT46" s="22"/>
      <c r="AU46" s="57"/>
      <c r="AV46" s="57"/>
      <c r="AW46" s="54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69"/>
      <c r="BO46" s="81" t="s">
        <v>160</v>
      </c>
    </row>
    <row r="47" spans="1:67" s="1" customFormat="1" ht="16.5" thickBot="1" x14ac:dyDescent="0.3">
      <c r="A47" s="203" t="s">
        <v>104</v>
      </c>
      <c r="B47" s="204"/>
      <c r="C47" s="205"/>
      <c r="D47" s="206"/>
      <c r="E47" s="207"/>
      <c r="F47" s="207"/>
      <c r="G47" s="207"/>
      <c r="H47" s="208"/>
      <c r="I47" s="208"/>
      <c r="J47" s="208"/>
      <c r="K47" s="208"/>
      <c r="L47" s="208"/>
      <c r="M47" s="208"/>
      <c r="N47" s="208"/>
      <c r="O47" s="208"/>
      <c r="P47" s="208"/>
      <c r="Q47" s="208"/>
      <c r="R47" s="207" t="s">
        <v>453</v>
      </c>
      <c r="S47" s="209"/>
      <c r="T47" s="209"/>
      <c r="U47" s="208"/>
      <c r="V47" s="208"/>
      <c r="W47" s="208"/>
      <c r="X47" s="208"/>
      <c r="Y47" s="210"/>
      <c r="Z47" s="210"/>
      <c r="AA47" s="208"/>
      <c r="AB47" s="207"/>
      <c r="AC47" s="207"/>
      <c r="AD47" s="207"/>
      <c r="AE47" s="208"/>
      <c r="AF47" s="208"/>
      <c r="AG47" s="211" t="s">
        <v>454</v>
      </c>
      <c r="AH47" s="212" t="s">
        <v>104</v>
      </c>
      <c r="AI47" s="724"/>
      <c r="AJ47" s="203" t="s">
        <v>104</v>
      </c>
      <c r="AK47" s="213"/>
      <c r="AL47" s="207"/>
      <c r="AM47" s="208"/>
      <c r="AN47" s="208"/>
      <c r="AO47" s="207"/>
      <c r="AP47" s="210"/>
      <c r="AQ47" s="207"/>
      <c r="AR47" s="207"/>
      <c r="AS47" s="207"/>
      <c r="AT47" s="210"/>
      <c r="AU47" s="207"/>
      <c r="AV47" s="207"/>
      <c r="AW47" s="207"/>
      <c r="AX47" s="207"/>
      <c r="AY47" s="207"/>
      <c r="AZ47" s="207"/>
      <c r="BA47" s="207"/>
      <c r="BB47" s="207"/>
      <c r="BC47" s="207"/>
      <c r="BD47" s="207"/>
      <c r="BE47" s="207"/>
      <c r="BF47" s="207"/>
      <c r="BG47" s="207"/>
      <c r="BH47" s="207"/>
      <c r="BI47" s="207"/>
      <c r="BJ47" s="207"/>
      <c r="BK47" s="207"/>
      <c r="BL47" s="207"/>
      <c r="BM47" s="207"/>
      <c r="BN47" s="211"/>
      <c r="BO47" s="212" t="s">
        <v>104</v>
      </c>
    </row>
    <row r="48" spans="1:67" ht="15.75" thickBot="1" x14ac:dyDescent="0.3"/>
    <row r="49" spans="1:50" ht="31.5" customHeight="1" thickBot="1" x14ac:dyDescent="0.3">
      <c r="A49" s="214" t="s">
        <v>0</v>
      </c>
      <c r="B49" s="715" t="s">
        <v>455</v>
      </c>
      <c r="C49" s="715"/>
      <c r="D49" s="715"/>
      <c r="E49" s="715"/>
      <c r="F49" s="715"/>
      <c r="G49" s="715"/>
      <c r="H49" s="715" t="s">
        <v>1</v>
      </c>
      <c r="I49" s="715"/>
      <c r="J49" s="715"/>
      <c r="K49" s="715"/>
      <c r="L49" s="715"/>
      <c r="M49" s="716">
        <v>44469</v>
      </c>
      <c r="N49" s="717"/>
      <c r="O49" s="717"/>
      <c r="P49" s="717"/>
      <c r="Q49" s="717"/>
      <c r="R49" s="717"/>
      <c r="S49" s="718"/>
      <c r="T49" s="216"/>
      <c r="U49" s="217"/>
      <c r="V49" s="217"/>
      <c r="W49" s="218" t="s">
        <v>163</v>
      </c>
      <c r="X49" s="219" t="s">
        <v>160</v>
      </c>
      <c r="Y49" s="217"/>
      <c r="Z49" s="219" t="s">
        <v>160</v>
      </c>
      <c r="AA49" s="218" t="s">
        <v>163</v>
      </c>
      <c r="AC49" s="220" t="s">
        <v>456</v>
      </c>
      <c r="AD49" s="221" t="s">
        <v>181</v>
      </c>
      <c r="AE49" s="222"/>
      <c r="AF49" s="221" t="s">
        <v>181</v>
      </c>
      <c r="AG49" s="220" t="s">
        <v>456</v>
      </c>
      <c r="AH49" s="222"/>
      <c r="AI49" s="222"/>
      <c r="AJ49" s="222"/>
      <c r="AQ49" s="16" t="s">
        <v>29</v>
      </c>
      <c r="AR49" s="11" t="s">
        <v>31</v>
      </c>
      <c r="AS49" s="16" t="s">
        <v>34</v>
      </c>
      <c r="AT49" s="16" t="s">
        <v>36</v>
      </c>
      <c r="AU49" s="16" t="s">
        <v>38</v>
      </c>
      <c r="AV49" s="16" t="s">
        <v>40</v>
      </c>
      <c r="AW49" s="16" t="s">
        <v>42</v>
      </c>
      <c r="AX49" s="16" t="s">
        <v>44</v>
      </c>
    </row>
    <row r="50" spans="1:50" ht="16.5" thickBot="1" x14ac:dyDescent="0.3">
      <c r="A50" s="700" t="s">
        <v>457</v>
      </c>
      <c r="B50" s="223" t="s">
        <v>458</v>
      </c>
      <c r="C50" s="223"/>
      <c r="D50" s="703" t="s">
        <v>459</v>
      </c>
      <c r="E50" s="702" t="s">
        <v>460</v>
      </c>
      <c r="F50" s="702"/>
      <c r="G50" s="702"/>
      <c r="H50" s="702" t="s">
        <v>461</v>
      </c>
      <c r="I50" s="702"/>
      <c r="J50" s="702"/>
      <c r="K50" s="702"/>
      <c r="L50" s="702"/>
      <c r="M50" s="702" t="s">
        <v>462</v>
      </c>
      <c r="N50" s="702"/>
      <c r="O50" s="702"/>
      <c r="P50" s="700" t="s">
        <v>463</v>
      </c>
      <c r="Q50" s="700" t="s">
        <v>464</v>
      </c>
      <c r="R50" s="700" t="s">
        <v>465</v>
      </c>
      <c r="S50" s="700"/>
      <c r="T50" s="224"/>
      <c r="U50" s="225"/>
      <c r="V50" s="225"/>
      <c r="W50" s="226">
        <v>0.2013888888888889</v>
      </c>
      <c r="X50" s="227">
        <v>0.30208333333333331</v>
      </c>
      <c r="Y50" s="225"/>
      <c r="Z50" s="227">
        <v>0.22222222222222221</v>
      </c>
      <c r="AA50" s="226">
        <v>0.3263888888888889</v>
      </c>
      <c r="AC50" s="228">
        <v>0.28472222222222221</v>
      </c>
      <c r="AD50" s="133">
        <v>0.36458333333333331</v>
      </c>
      <c r="AE50" s="222"/>
      <c r="AF50" s="229">
        <v>0.70138888888888884</v>
      </c>
      <c r="AG50" s="230">
        <v>0.78125</v>
      </c>
      <c r="AH50" s="222"/>
      <c r="AI50" s="222"/>
      <c r="AJ50" s="222"/>
      <c r="AQ50" s="32" t="s">
        <v>83</v>
      </c>
      <c r="AR50" s="32" t="s">
        <v>83</v>
      </c>
      <c r="AS50" s="32" t="s">
        <v>83</v>
      </c>
      <c r="AT50" s="32" t="s">
        <v>83</v>
      </c>
      <c r="AU50" s="32" t="s">
        <v>83</v>
      </c>
      <c r="AV50" s="32" t="s">
        <v>83</v>
      </c>
      <c r="AW50" s="32" t="s">
        <v>83</v>
      </c>
      <c r="AX50" s="32" t="s">
        <v>83</v>
      </c>
    </row>
    <row r="51" spans="1:50" ht="16.5" thickBot="1" x14ac:dyDescent="0.3">
      <c r="A51" s="700"/>
      <c r="B51" s="231" t="s">
        <v>466</v>
      </c>
      <c r="C51" s="231"/>
      <c r="D51" s="703"/>
      <c r="E51" s="232" t="s">
        <v>467</v>
      </c>
      <c r="F51" s="233" t="s">
        <v>468</v>
      </c>
      <c r="G51" s="234" t="s">
        <v>469</v>
      </c>
      <c r="H51" s="232" t="s">
        <v>460</v>
      </c>
      <c r="I51" s="233" t="s">
        <v>469</v>
      </c>
      <c r="J51" s="233" t="s">
        <v>467</v>
      </c>
      <c r="K51" s="233" t="s">
        <v>460</v>
      </c>
      <c r="L51" s="233" t="s">
        <v>469</v>
      </c>
      <c r="M51" s="235" t="s">
        <v>462</v>
      </c>
      <c r="N51" s="236" t="s">
        <v>469</v>
      </c>
      <c r="O51" s="233" t="s">
        <v>470</v>
      </c>
      <c r="P51" s="700"/>
      <c r="Q51" s="700"/>
      <c r="R51" s="700"/>
      <c r="S51" s="700"/>
      <c r="T51" s="224"/>
      <c r="U51" s="225"/>
      <c r="V51" s="225"/>
      <c r="W51" s="226">
        <v>0.21527777777777779</v>
      </c>
      <c r="X51" s="227">
        <v>0.31736111111111109</v>
      </c>
      <c r="Y51" s="225"/>
      <c r="Z51" s="227">
        <v>0.2361111111111111</v>
      </c>
      <c r="AA51" s="226">
        <v>0.34236111111111106</v>
      </c>
      <c r="AC51" s="228">
        <v>0.29166666666666669</v>
      </c>
      <c r="AD51" s="230">
        <v>0.375</v>
      </c>
      <c r="AE51" s="222"/>
      <c r="AF51" s="229">
        <v>0.72916666666666663</v>
      </c>
      <c r="AG51" s="230">
        <v>0.80902777777777779</v>
      </c>
      <c r="AH51" s="222"/>
      <c r="AI51" s="222"/>
      <c r="AJ51" s="222"/>
      <c r="AQ51" s="47">
        <v>0.24583333333333332</v>
      </c>
      <c r="AR51" s="47">
        <v>0.25069444444444444</v>
      </c>
      <c r="AS51" s="47">
        <v>0.25416666666666665</v>
      </c>
      <c r="AT51" s="47">
        <v>0.26111111111111113</v>
      </c>
      <c r="AU51" s="47">
        <v>0.26666666666666666</v>
      </c>
      <c r="AV51" s="47">
        <v>0.2722222222222222</v>
      </c>
      <c r="AW51" s="47">
        <v>0.28055555555555556</v>
      </c>
      <c r="AX51" s="47">
        <v>0.28611111111111109</v>
      </c>
    </row>
    <row r="52" spans="1:50" ht="15.75" x14ac:dyDescent="0.25">
      <c r="A52" s="237" t="s">
        <v>471</v>
      </c>
      <c r="B52" s="237" t="s">
        <v>472</v>
      </c>
      <c r="C52" s="237"/>
      <c r="D52" s="238" t="s">
        <v>473</v>
      </c>
      <c r="E52" s="239">
        <v>0.16805555555555557</v>
      </c>
      <c r="F52" s="240">
        <v>0.1736111111111111</v>
      </c>
      <c r="G52" s="241" t="s">
        <v>104</v>
      </c>
      <c r="H52" s="239">
        <v>0.34722222222222221</v>
      </c>
      <c r="I52" s="240" t="s">
        <v>474</v>
      </c>
      <c r="J52" s="240">
        <v>0.39097222222222222</v>
      </c>
      <c r="K52" s="240">
        <v>0.39097222222222222</v>
      </c>
      <c r="L52" s="242" t="s">
        <v>475</v>
      </c>
      <c r="M52" s="239">
        <v>0.47222222222222221</v>
      </c>
      <c r="N52" s="240" t="s">
        <v>104</v>
      </c>
      <c r="O52" s="240">
        <v>0.47222222222222221</v>
      </c>
      <c r="P52" s="237">
        <f t="shared" ref="P52:P63" si="0">O52-E52</f>
        <v>0.30416666666666664</v>
      </c>
      <c r="Q52" s="237">
        <f t="shared" ref="Q52:Q63" si="1">P52-R52</f>
        <v>0.26041666666666663</v>
      </c>
      <c r="R52" s="243">
        <f t="shared" ref="R52:R63" si="2">J52-H52</f>
        <v>4.3750000000000011E-2</v>
      </c>
      <c r="S52" s="243"/>
      <c r="T52" s="224"/>
      <c r="U52" s="244"/>
      <c r="V52" s="225"/>
      <c r="W52" s="226">
        <v>0.22222222222222221</v>
      </c>
      <c r="X52" s="227">
        <v>0.3222222222222223</v>
      </c>
      <c r="Y52" s="225"/>
      <c r="Z52" s="227">
        <v>0.24305555555555555</v>
      </c>
      <c r="AA52" s="226">
        <v>0.34722222222222221</v>
      </c>
      <c r="AC52" s="228">
        <v>0.2986111111111111</v>
      </c>
      <c r="AD52" s="230">
        <v>0.38194444444444442</v>
      </c>
      <c r="AE52" s="222"/>
      <c r="AF52" s="229">
        <v>0.74305555555555558</v>
      </c>
      <c r="AG52" s="230">
        <v>0.81944444444444442</v>
      </c>
      <c r="AH52" s="222"/>
      <c r="AI52" s="222"/>
      <c r="AJ52" s="222"/>
      <c r="AQ52" s="63" t="s">
        <v>159</v>
      </c>
      <c r="AR52" s="63" t="s">
        <v>159</v>
      </c>
      <c r="AS52" s="63" t="s">
        <v>159</v>
      </c>
      <c r="AT52" s="63" t="s">
        <v>159</v>
      </c>
      <c r="AU52" s="63" t="s">
        <v>159</v>
      </c>
      <c r="AV52" s="63" t="s">
        <v>159</v>
      </c>
      <c r="AW52" s="63" t="s">
        <v>159</v>
      </c>
      <c r="AX52" s="63" t="s">
        <v>159</v>
      </c>
    </row>
    <row r="53" spans="1:50" ht="15.75" x14ac:dyDescent="0.25">
      <c r="A53" s="245" t="s">
        <v>476</v>
      </c>
      <c r="B53" s="245" t="s">
        <v>472</v>
      </c>
      <c r="C53" s="245"/>
      <c r="D53" s="246" t="s">
        <v>472</v>
      </c>
      <c r="E53" s="247">
        <v>0.18194444444444444</v>
      </c>
      <c r="F53" s="248">
        <v>0.1875</v>
      </c>
      <c r="G53" s="249" t="s">
        <v>104</v>
      </c>
      <c r="H53" s="247">
        <v>0.375</v>
      </c>
      <c r="I53" s="248" t="s">
        <v>475</v>
      </c>
      <c r="J53" s="248">
        <v>0.41319444444444442</v>
      </c>
      <c r="K53" s="248">
        <v>0.41319444444444442</v>
      </c>
      <c r="L53" s="250" t="s">
        <v>474</v>
      </c>
      <c r="M53" s="247">
        <v>0.51041666666666663</v>
      </c>
      <c r="N53" s="248" t="s">
        <v>475</v>
      </c>
      <c r="O53" s="248">
        <v>0.51388888888888884</v>
      </c>
      <c r="P53" s="245">
        <f t="shared" si="0"/>
        <v>0.33194444444444438</v>
      </c>
      <c r="Q53" s="245">
        <f t="shared" si="1"/>
        <v>0.29374999999999996</v>
      </c>
      <c r="R53" s="251">
        <f t="shared" si="2"/>
        <v>3.819444444444442E-2</v>
      </c>
      <c r="S53" s="251"/>
      <c r="T53" s="224"/>
      <c r="U53" s="244"/>
      <c r="V53" s="225"/>
      <c r="W53" s="226">
        <v>0.22916666666666619</v>
      </c>
      <c r="X53" s="227">
        <v>0.33124999999999993</v>
      </c>
      <c r="Y53" s="225"/>
      <c r="Z53" s="227">
        <v>0.24999999999999953</v>
      </c>
      <c r="AA53" s="226">
        <v>0.3576388888888889</v>
      </c>
      <c r="AC53" s="228">
        <v>0.3125</v>
      </c>
      <c r="AD53" s="230">
        <v>0.39583333333333331</v>
      </c>
      <c r="AE53" s="222"/>
      <c r="AF53" s="229">
        <v>0.77083333333333337</v>
      </c>
      <c r="AG53" s="230">
        <v>0.83680555555555558</v>
      </c>
      <c r="AH53" s="222"/>
      <c r="AI53" s="222"/>
      <c r="AJ53" s="222"/>
      <c r="AQ53" s="76"/>
      <c r="AR53" s="63"/>
      <c r="AS53" s="76"/>
      <c r="AT53" s="76"/>
      <c r="AU53" s="76"/>
      <c r="AV53" s="76"/>
      <c r="AW53" s="76"/>
      <c r="AX53" s="76"/>
    </row>
    <row r="54" spans="1:50" ht="15.75" x14ac:dyDescent="0.25">
      <c r="A54" s="245" t="s">
        <v>477</v>
      </c>
      <c r="B54" s="245" t="s">
        <v>472</v>
      </c>
      <c r="C54" s="245"/>
      <c r="D54" s="246" t="s">
        <v>478</v>
      </c>
      <c r="E54" s="247">
        <v>0.18194444444444444</v>
      </c>
      <c r="F54" s="248">
        <v>0.1875</v>
      </c>
      <c r="G54" s="249" t="s">
        <v>104</v>
      </c>
      <c r="H54" s="247">
        <v>0.36249999999999999</v>
      </c>
      <c r="I54" s="248" t="s">
        <v>474</v>
      </c>
      <c r="J54" s="248">
        <v>0.40138888888888891</v>
      </c>
      <c r="K54" s="248">
        <v>0.40138888888888891</v>
      </c>
      <c r="L54" s="248" t="s">
        <v>474</v>
      </c>
      <c r="M54" s="247">
        <v>0.49652777777777779</v>
      </c>
      <c r="N54" s="248" t="s">
        <v>475</v>
      </c>
      <c r="O54" s="248">
        <v>0.5</v>
      </c>
      <c r="P54" s="245">
        <f t="shared" si="0"/>
        <v>0.31805555555555554</v>
      </c>
      <c r="Q54" s="245">
        <f t="shared" si="1"/>
        <v>0.27916666666666662</v>
      </c>
      <c r="R54" s="251">
        <f t="shared" si="2"/>
        <v>3.8888888888888917E-2</v>
      </c>
      <c r="S54" s="251"/>
      <c r="T54" s="224"/>
      <c r="U54" s="244"/>
      <c r="V54" s="244"/>
      <c r="W54" s="226">
        <v>0.23611111111111122</v>
      </c>
      <c r="X54" s="227">
        <v>0.34027777777777773</v>
      </c>
      <c r="Y54" s="244"/>
      <c r="Z54" s="227">
        <v>0.25694444444444459</v>
      </c>
      <c r="AA54" s="226">
        <v>0.36319444444444443</v>
      </c>
      <c r="AC54" s="228">
        <v>0.31944444444444442</v>
      </c>
      <c r="AD54" s="230">
        <v>0.40277777777777779</v>
      </c>
      <c r="AE54" s="252"/>
      <c r="AF54" s="222"/>
      <c r="AG54" s="222"/>
      <c r="AH54" s="222"/>
      <c r="AI54" s="222"/>
      <c r="AJ54" s="222"/>
      <c r="AQ54" s="76"/>
      <c r="AR54" s="63"/>
      <c r="AS54" s="76"/>
      <c r="AT54" s="76"/>
      <c r="AU54" s="76"/>
      <c r="AV54" s="76"/>
      <c r="AW54" s="76"/>
      <c r="AX54" s="76"/>
    </row>
    <row r="55" spans="1:50" ht="15.75" x14ac:dyDescent="0.25">
      <c r="A55" s="245" t="s">
        <v>479</v>
      </c>
      <c r="B55" s="245" t="s">
        <v>472</v>
      </c>
      <c r="C55" s="245"/>
      <c r="D55" s="246" t="s">
        <v>480</v>
      </c>
      <c r="E55" s="247">
        <v>0.18888888888888888</v>
      </c>
      <c r="F55" s="248">
        <v>0.19444444444444445</v>
      </c>
      <c r="G55" s="249" t="s">
        <v>104</v>
      </c>
      <c r="H55" s="247">
        <v>0.37083333333333335</v>
      </c>
      <c r="I55" s="248" t="s">
        <v>474</v>
      </c>
      <c r="J55" s="248">
        <v>0.40833333333333333</v>
      </c>
      <c r="K55" s="248">
        <v>0.40833333333333333</v>
      </c>
      <c r="L55" s="248" t="s">
        <v>475</v>
      </c>
      <c r="M55" s="247">
        <v>0.49305555555555558</v>
      </c>
      <c r="N55" s="248" t="s">
        <v>104</v>
      </c>
      <c r="O55" s="248">
        <v>0.49305555555555558</v>
      </c>
      <c r="P55" s="245">
        <f t="shared" si="0"/>
        <v>0.3041666666666667</v>
      </c>
      <c r="Q55" s="245">
        <f t="shared" si="1"/>
        <v>0.26666666666666672</v>
      </c>
      <c r="R55" s="251">
        <f t="shared" si="2"/>
        <v>3.7499999999999978E-2</v>
      </c>
      <c r="S55" s="251"/>
      <c r="T55" s="224"/>
      <c r="U55" s="244"/>
      <c r="V55" s="244"/>
      <c r="W55" s="226">
        <v>0.24305555555555519</v>
      </c>
      <c r="X55" s="227">
        <v>0.34513888888888888</v>
      </c>
      <c r="Y55" s="244"/>
      <c r="Z55" s="227">
        <v>0.26388888888888856</v>
      </c>
      <c r="AA55" s="253">
        <v>0.36805555555555552</v>
      </c>
      <c r="AC55" s="228">
        <v>0.3263888888888889</v>
      </c>
      <c r="AD55" s="230">
        <v>0.40972222222222221</v>
      </c>
      <c r="AE55" s="252"/>
      <c r="AF55" s="222"/>
      <c r="AG55" s="222"/>
      <c r="AH55" s="222"/>
      <c r="AI55" s="222"/>
      <c r="AJ55" s="222"/>
      <c r="AQ55" s="63"/>
      <c r="AR55" s="63"/>
      <c r="AS55" s="76"/>
      <c r="AT55" s="63"/>
      <c r="AU55" s="63"/>
      <c r="AV55" s="63"/>
      <c r="AW55" s="63"/>
      <c r="AX55" s="63"/>
    </row>
    <row r="56" spans="1:50" ht="15.75" x14ac:dyDescent="0.25">
      <c r="A56" s="245" t="s">
        <v>481</v>
      </c>
      <c r="B56" s="245" t="s">
        <v>472</v>
      </c>
      <c r="C56" s="245"/>
      <c r="D56" s="246" t="s">
        <v>482</v>
      </c>
      <c r="E56" s="247">
        <v>0.19236111111111112</v>
      </c>
      <c r="F56" s="248">
        <v>0.19791666666666666</v>
      </c>
      <c r="G56" s="249" t="s">
        <v>104</v>
      </c>
      <c r="H56" s="247">
        <v>0.39097222222222222</v>
      </c>
      <c r="I56" s="248" t="s">
        <v>475</v>
      </c>
      <c r="J56" s="248">
        <v>0.42708333333333331</v>
      </c>
      <c r="K56" s="248">
        <v>0.42708333333333331</v>
      </c>
      <c r="L56" s="248" t="s">
        <v>475</v>
      </c>
      <c r="M56" s="247">
        <v>0.51388888888888884</v>
      </c>
      <c r="N56" s="248" t="s">
        <v>474</v>
      </c>
      <c r="O56" s="248">
        <v>0.51736111111111116</v>
      </c>
      <c r="P56" s="245">
        <f t="shared" si="0"/>
        <v>0.32500000000000007</v>
      </c>
      <c r="Q56" s="245">
        <f t="shared" si="1"/>
        <v>0.28888888888888897</v>
      </c>
      <c r="R56" s="251">
        <f t="shared" si="2"/>
        <v>3.6111111111111094E-2</v>
      </c>
      <c r="S56" s="251"/>
      <c r="T56" s="224"/>
      <c r="U56" s="244"/>
      <c r="V56" s="244"/>
      <c r="W56" s="226">
        <v>0.25000000000000022</v>
      </c>
      <c r="X56" s="227">
        <v>0.35416666666666663</v>
      </c>
      <c r="Y56" s="244"/>
      <c r="Z56" s="227">
        <v>0.27083333333333359</v>
      </c>
      <c r="AA56" s="253">
        <v>0.37361111111111106</v>
      </c>
      <c r="AC56" s="252"/>
      <c r="AD56" s="252"/>
      <c r="AE56" s="252"/>
      <c r="AF56" s="252"/>
      <c r="AG56" s="252"/>
      <c r="AH56" s="222"/>
      <c r="AI56" s="222"/>
      <c r="AJ56" s="222"/>
      <c r="AQ56" s="63"/>
      <c r="AR56" s="63"/>
      <c r="AS56" s="76"/>
      <c r="AT56" s="63"/>
      <c r="AU56" s="63"/>
      <c r="AV56" s="63"/>
      <c r="AW56" s="63"/>
      <c r="AX56" s="63"/>
    </row>
    <row r="57" spans="1:50" ht="15.75" x14ac:dyDescent="0.25">
      <c r="A57" s="245" t="s">
        <v>483</v>
      </c>
      <c r="B57" s="245" t="s">
        <v>472</v>
      </c>
      <c r="C57" s="245"/>
      <c r="D57" s="246" t="s">
        <v>484</v>
      </c>
      <c r="E57" s="247">
        <v>0.19583333333333333</v>
      </c>
      <c r="F57" s="248">
        <v>0.2013888888888889</v>
      </c>
      <c r="G57" s="249" t="s">
        <v>104</v>
      </c>
      <c r="H57" s="247">
        <v>0.37986111111111109</v>
      </c>
      <c r="I57" s="248" t="s">
        <v>474</v>
      </c>
      <c r="J57" s="248">
        <v>0.4152777777777778</v>
      </c>
      <c r="K57" s="248">
        <v>0.4152777777777778</v>
      </c>
      <c r="L57" s="248" t="s">
        <v>475</v>
      </c>
      <c r="M57" s="247">
        <v>0.5</v>
      </c>
      <c r="N57" s="248" t="s">
        <v>104</v>
      </c>
      <c r="O57" s="248">
        <v>0.5</v>
      </c>
      <c r="P57" s="245">
        <f t="shared" si="0"/>
        <v>0.3041666666666667</v>
      </c>
      <c r="Q57" s="245">
        <f t="shared" si="1"/>
        <v>0.26874999999999999</v>
      </c>
      <c r="R57" s="251">
        <f>J57-H57</f>
        <v>3.5416666666666707E-2</v>
      </c>
      <c r="S57" s="251"/>
      <c r="T57" s="224"/>
      <c r="U57" s="244"/>
      <c r="V57" s="244"/>
      <c r="W57" s="226">
        <v>0.2569444444444442</v>
      </c>
      <c r="X57" s="227">
        <v>0.35972222222222217</v>
      </c>
      <c r="Y57" s="244"/>
      <c r="Z57" s="227">
        <v>0.27777777777777757</v>
      </c>
      <c r="AA57" s="253">
        <v>0.37847222222222221</v>
      </c>
      <c r="AC57" s="252"/>
      <c r="AD57" s="252"/>
      <c r="AE57" s="252"/>
      <c r="AF57" s="254" t="s">
        <v>485</v>
      </c>
      <c r="AG57" s="255" t="s">
        <v>486</v>
      </c>
      <c r="AH57" s="222"/>
      <c r="AI57" s="256"/>
      <c r="AP57" s="257"/>
      <c r="AQ57" s="96">
        <v>0.29444444444444445</v>
      </c>
      <c r="AR57" s="96">
        <v>0.29930555555555555</v>
      </c>
      <c r="AS57" s="96">
        <v>0.30486111111111114</v>
      </c>
      <c r="AT57" s="96">
        <v>0.30972222222222223</v>
      </c>
      <c r="AU57" s="96">
        <v>0.31527777777777777</v>
      </c>
      <c r="AV57" s="96">
        <v>0.32083333333333336</v>
      </c>
      <c r="AW57" s="96">
        <v>0.32916666666666666</v>
      </c>
      <c r="AX57" s="96">
        <v>0.3347222222222222</v>
      </c>
    </row>
    <row r="58" spans="1:50" ht="15.75" x14ac:dyDescent="0.25">
      <c r="A58" s="258" t="s">
        <v>487</v>
      </c>
      <c r="B58" s="258" t="s">
        <v>472</v>
      </c>
      <c r="C58" s="258"/>
      <c r="D58" s="259" t="s">
        <v>488</v>
      </c>
      <c r="E58" s="260">
        <v>0.20277777777777778</v>
      </c>
      <c r="F58" s="261">
        <v>0.20833333333333334</v>
      </c>
      <c r="G58" s="262" t="s">
        <v>104</v>
      </c>
      <c r="H58" s="260">
        <v>0.39583333333333331</v>
      </c>
      <c r="I58" s="261" t="s">
        <v>475</v>
      </c>
      <c r="J58" s="263">
        <v>0.43402777777777779</v>
      </c>
      <c r="K58" s="248">
        <v>0.43402777777777779</v>
      </c>
      <c r="L58" s="263" t="s">
        <v>475</v>
      </c>
      <c r="M58" s="247">
        <v>0.51736111111111116</v>
      </c>
      <c r="N58" s="248" t="s">
        <v>474</v>
      </c>
      <c r="O58" s="248">
        <v>0.52083333333333337</v>
      </c>
      <c r="P58" s="258">
        <f t="shared" si="0"/>
        <v>0.31805555555555559</v>
      </c>
      <c r="Q58" s="258">
        <f t="shared" si="1"/>
        <v>0.27986111111111112</v>
      </c>
      <c r="R58" s="264">
        <f t="shared" si="2"/>
        <v>3.8194444444444475E-2</v>
      </c>
      <c r="S58" s="264"/>
      <c r="T58" s="224"/>
      <c r="U58" s="244"/>
      <c r="V58" s="244"/>
      <c r="W58" s="226">
        <v>0.26388888888888923</v>
      </c>
      <c r="X58" s="227">
        <v>0.36458333333333331</v>
      </c>
      <c r="Y58" s="244"/>
      <c r="Z58" s="227">
        <v>0.2847222222222226</v>
      </c>
      <c r="AA58" s="253">
        <v>0.38541666666666663</v>
      </c>
      <c r="AC58" s="265"/>
      <c r="AD58" s="265"/>
      <c r="AE58" s="265"/>
      <c r="AF58" s="265"/>
      <c r="AG58" s="266" t="s">
        <v>489</v>
      </c>
      <c r="AH58" s="267" t="s">
        <v>490</v>
      </c>
      <c r="AP58" s="257"/>
      <c r="AQ58" s="107">
        <v>0.32569444444444445</v>
      </c>
      <c r="AR58" s="107">
        <v>0.33055555555555555</v>
      </c>
      <c r="AS58" s="109">
        <v>0.33611111111111114</v>
      </c>
      <c r="AT58" s="109">
        <v>0.34097222222222223</v>
      </c>
      <c r="AU58" s="109">
        <v>0.34652777777777777</v>
      </c>
      <c r="AV58" s="109">
        <v>0.35208333333333336</v>
      </c>
      <c r="AW58" s="109">
        <v>0.35694444444444445</v>
      </c>
      <c r="AX58" s="109">
        <v>0.36249999999999999</v>
      </c>
    </row>
    <row r="59" spans="1:50" ht="16.5" thickBot="1" x14ac:dyDescent="0.3">
      <c r="A59" s="268" t="s">
        <v>491</v>
      </c>
      <c r="B59" s="268" t="s">
        <v>472</v>
      </c>
      <c r="C59" s="268"/>
      <c r="D59" s="269" t="s">
        <v>492</v>
      </c>
      <c r="E59" s="270">
        <v>0.20277777777777778</v>
      </c>
      <c r="F59" s="271">
        <v>0.20833333333333334</v>
      </c>
      <c r="G59" s="272" t="s">
        <v>104</v>
      </c>
      <c r="H59" s="270">
        <v>0.3888888888888889</v>
      </c>
      <c r="I59" s="271" t="s">
        <v>474</v>
      </c>
      <c r="J59" s="271">
        <v>0.4236111111111111</v>
      </c>
      <c r="K59" s="271">
        <v>0.4236111111111111</v>
      </c>
      <c r="L59" s="273" t="s">
        <v>475</v>
      </c>
      <c r="M59" s="270">
        <v>0.51041666666666663</v>
      </c>
      <c r="N59" s="274" t="s">
        <v>474</v>
      </c>
      <c r="O59" s="271">
        <v>0.51388888888888884</v>
      </c>
      <c r="P59" s="268">
        <f t="shared" si="0"/>
        <v>0.31111111111111106</v>
      </c>
      <c r="Q59" s="268">
        <f t="shared" si="1"/>
        <v>0.27638888888888885</v>
      </c>
      <c r="R59" s="275">
        <f t="shared" si="2"/>
        <v>3.472222222222221E-2</v>
      </c>
      <c r="S59" s="275"/>
      <c r="T59" s="224"/>
      <c r="U59" s="244"/>
      <c r="V59" s="244"/>
      <c r="W59" s="226">
        <v>0.2708333333333332</v>
      </c>
      <c r="X59" s="227">
        <v>0.37152777777777773</v>
      </c>
      <c r="Y59" s="244"/>
      <c r="Z59" s="227">
        <v>0.2902777777777778</v>
      </c>
      <c r="AA59" s="253">
        <v>0.39236111111111122</v>
      </c>
      <c r="AC59" s="276" t="s">
        <v>493</v>
      </c>
      <c r="AD59" s="265"/>
      <c r="AE59" s="265"/>
      <c r="AF59" s="266">
        <v>52</v>
      </c>
      <c r="AG59" s="277">
        <v>26</v>
      </c>
      <c r="AH59" s="278" t="s">
        <v>494</v>
      </c>
      <c r="AP59" s="257"/>
      <c r="AQ59" s="107">
        <v>0.34305555555555556</v>
      </c>
      <c r="AR59" s="107">
        <v>0.34791666666666665</v>
      </c>
      <c r="AS59" s="107">
        <v>0.35347222222222224</v>
      </c>
      <c r="AT59" s="107">
        <v>0.35833333333333334</v>
      </c>
      <c r="AU59" s="107">
        <v>0.36388888888888887</v>
      </c>
      <c r="AV59" s="107">
        <v>0.36944444444444446</v>
      </c>
      <c r="AW59" s="107">
        <v>0.37430555555555556</v>
      </c>
      <c r="AX59" s="107">
        <v>0.37986111111111109</v>
      </c>
    </row>
    <row r="60" spans="1:50" ht="15.75" x14ac:dyDescent="0.25">
      <c r="A60" s="237" t="s">
        <v>495</v>
      </c>
      <c r="B60" s="237" t="s">
        <v>472</v>
      </c>
      <c r="C60" s="237"/>
      <c r="D60" s="238" t="s">
        <v>496</v>
      </c>
      <c r="E60" s="239">
        <v>0.20972222222222223</v>
      </c>
      <c r="F60" s="240">
        <v>0.21527777777777779</v>
      </c>
      <c r="G60" s="241" t="s">
        <v>104</v>
      </c>
      <c r="H60" s="708"/>
      <c r="I60" s="709"/>
      <c r="J60" s="709"/>
      <c r="K60" s="709"/>
      <c r="L60" s="710"/>
      <c r="M60" s="239">
        <v>0.40277777777777779</v>
      </c>
      <c r="N60" s="240" t="s">
        <v>475</v>
      </c>
      <c r="O60" s="240">
        <v>0.40625</v>
      </c>
      <c r="P60" s="237">
        <f t="shared" si="0"/>
        <v>0.19652777777777777</v>
      </c>
      <c r="Q60" s="237">
        <f t="shared" si="1"/>
        <v>0.19652777777777777</v>
      </c>
      <c r="R60" s="243">
        <f t="shared" si="2"/>
        <v>0</v>
      </c>
      <c r="S60" s="243"/>
      <c r="T60" s="224"/>
      <c r="U60" s="244"/>
      <c r="V60" s="244"/>
      <c r="W60" s="226">
        <v>0.27430555555555552</v>
      </c>
      <c r="X60" s="227">
        <v>0.37847222222222232</v>
      </c>
      <c r="Y60" s="244"/>
      <c r="Z60" s="227">
        <v>0.2951388888888889</v>
      </c>
      <c r="AA60" s="253">
        <v>0.39930555555555519</v>
      </c>
      <c r="AC60" s="265"/>
      <c r="AD60" s="265"/>
      <c r="AE60" s="265"/>
      <c r="AF60" s="266"/>
      <c r="AG60" s="281"/>
      <c r="AH60" s="281"/>
      <c r="AP60" s="257"/>
      <c r="AQ60" s="118">
        <v>0.36180555555555555</v>
      </c>
      <c r="AR60" s="118">
        <v>0.36666666666666664</v>
      </c>
      <c r="AS60" s="118">
        <v>0.37222222222222223</v>
      </c>
      <c r="AT60" s="118">
        <v>0.37708333333333333</v>
      </c>
      <c r="AU60" s="118">
        <v>0.38263888888888886</v>
      </c>
      <c r="AV60" s="118">
        <v>0.38819444444444445</v>
      </c>
      <c r="AW60" s="118">
        <v>0.38958333333333334</v>
      </c>
      <c r="AX60" s="118">
        <v>0.39513888888888887</v>
      </c>
    </row>
    <row r="61" spans="1:50" ht="15.75" x14ac:dyDescent="0.25">
      <c r="A61" s="258" t="s">
        <v>497</v>
      </c>
      <c r="B61" s="258" t="s">
        <v>472</v>
      </c>
      <c r="C61" s="258"/>
      <c r="D61" s="259" t="s">
        <v>498</v>
      </c>
      <c r="E61" s="260">
        <v>0.20972222222222223</v>
      </c>
      <c r="F61" s="261">
        <v>0.21527777777777779</v>
      </c>
      <c r="G61" s="262" t="s">
        <v>104</v>
      </c>
      <c r="H61" s="260">
        <v>0.39097222222222222</v>
      </c>
      <c r="I61" s="261" t="s">
        <v>474</v>
      </c>
      <c r="J61" s="261">
        <v>0.43055555555555558</v>
      </c>
      <c r="K61" s="261">
        <v>0.43055555555555558</v>
      </c>
      <c r="L61" s="261" t="s">
        <v>474</v>
      </c>
      <c r="M61" s="260">
        <v>0.52430555555555558</v>
      </c>
      <c r="N61" s="261" t="s">
        <v>475</v>
      </c>
      <c r="O61" s="261">
        <v>0.52777777777777779</v>
      </c>
      <c r="P61" s="258">
        <f t="shared" si="0"/>
        <v>0.31805555555555554</v>
      </c>
      <c r="Q61" s="258">
        <f t="shared" si="1"/>
        <v>0.27847222222222218</v>
      </c>
      <c r="R61" s="264">
        <f t="shared" si="2"/>
        <v>3.9583333333333359E-2</v>
      </c>
      <c r="S61" s="264"/>
      <c r="T61" s="224"/>
      <c r="U61" s="244"/>
      <c r="V61" s="244"/>
      <c r="W61" s="226">
        <v>0.27986111111111112</v>
      </c>
      <c r="X61" s="230">
        <v>0.38541666666666669</v>
      </c>
      <c r="Y61" s="244"/>
      <c r="Z61" s="227">
        <v>0.30069444444444449</v>
      </c>
      <c r="AA61" s="253">
        <v>0.40625000000000022</v>
      </c>
      <c r="AC61" s="282" t="s">
        <v>499</v>
      </c>
      <c r="AD61" s="252"/>
      <c r="AE61" s="252"/>
      <c r="AF61" s="266">
        <v>62</v>
      </c>
      <c r="AG61" s="283">
        <v>30</v>
      </c>
      <c r="AH61" s="277" t="s">
        <v>500</v>
      </c>
      <c r="AP61" s="257"/>
      <c r="AQ61" s="127">
        <v>0.40347222222222223</v>
      </c>
      <c r="AR61" s="127">
        <v>0.40833333333333333</v>
      </c>
      <c r="AS61" s="127">
        <v>0.41388888888888886</v>
      </c>
      <c r="AT61" s="127">
        <v>0.41875000000000001</v>
      </c>
      <c r="AU61" s="127">
        <v>0.42430555555555555</v>
      </c>
      <c r="AV61" s="127">
        <v>0.42986111111111114</v>
      </c>
      <c r="AW61" s="127">
        <v>0.43125000000000002</v>
      </c>
      <c r="AX61" s="127">
        <v>0.43680555555555556</v>
      </c>
    </row>
    <row r="62" spans="1:50" ht="15.75" x14ac:dyDescent="0.25">
      <c r="A62" s="245" t="s">
        <v>501</v>
      </c>
      <c r="B62" s="245" t="s">
        <v>472</v>
      </c>
      <c r="C62" s="245"/>
      <c r="D62" s="246" t="s">
        <v>502</v>
      </c>
      <c r="E62" s="247">
        <v>0.21666666666666667</v>
      </c>
      <c r="F62" s="248">
        <v>0.22222222222222221</v>
      </c>
      <c r="G62" s="249" t="s">
        <v>104</v>
      </c>
      <c r="H62" s="705"/>
      <c r="I62" s="705"/>
      <c r="J62" s="705"/>
      <c r="K62" s="705"/>
      <c r="L62" s="705"/>
      <c r="M62" s="247">
        <v>0.40833333333333333</v>
      </c>
      <c r="N62" s="248" t="s">
        <v>475</v>
      </c>
      <c r="O62" s="248">
        <v>0.41180555555555554</v>
      </c>
      <c r="P62" s="245">
        <f t="shared" si="0"/>
        <v>0.19513888888888886</v>
      </c>
      <c r="Q62" s="245">
        <f t="shared" si="1"/>
        <v>0.19513888888888886</v>
      </c>
      <c r="R62" s="251">
        <f t="shared" si="2"/>
        <v>0</v>
      </c>
      <c r="S62" s="251"/>
      <c r="T62" s="224"/>
      <c r="U62" s="244"/>
      <c r="V62" s="244"/>
      <c r="W62" s="226">
        <v>0.28125</v>
      </c>
      <c r="X62" s="227">
        <v>0.3854166666666663</v>
      </c>
      <c r="Y62" s="244"/>
      <c r="Z62" s="227">
        <v>0.30208333333333331</v>
      </c>
      <c r="AA62" s="230">
        <v>0.40625</v>
      </c>
      <c r="AC62" s="252"/>
      <c r="AD62" s="252"/>
      <c r="AE62" s="252"/>
      <c r="AF62" s="281"/>
      <c r="AG62" s="284"/>
      <c r="AH62" s="222"/>
      <c r="AI62" s="222"/>
      <c r="AP62" s="257"/>
      <c r="AQ62" s="134"/>
      <c r="AR62" s="135"/>
      <c r="AS62" s="137"/>
      <c r="AT62" s="137"/>
      <c r="AU62" s="134"/>
      <c r="AV62" s="134"/>
      <c r="AW62" s="54"/>
      <c r="AX62" s="139"/>
    </row>
    <row r="63" spans="1:50" ht="15.75" x14ac:dyDescent="0.25">
      <c r="A63" s="245" t="s">
        <v>503</v>
      </c>
      <c r="B63" s="245" t="s">
        <v>472</v>
      </c>
      <c r="C63" s="245"/>
      <c r="D63" s="246" t="s">
        <v>504</v>
      </c>
      <c r="E63" s="247">
        <v>0.21666666666666667</v>
      </c>
      <c r="F63" s="248">
        <v>0.22222222222222221</v>
      </c>
      <c r="G63" s="249" t="s">
        <v>104</v>
      </c>
      <c r="H63" s="247">
        <v>0.39583333333333331</v>
      </c>
      <c r="I63" s="263" t="s">
        <v>474</v>
      </c>
      <c r="J63" s="261">
        <v>0.4375</v>
      </c>
      <c r="K63" s="261">
        <v>0.4375</v>
      </c>
      <c r="L63" s="261" t="s">
        <v>474</v>
      </c>
      <c r="M63" s="260">
        <v>0.53125</v>
      </c>
      <c r="N63" s="261" t="s">
        <v>475</v>
      </c>
      <c r="O63" s="261">
        <v>0.53472222222222221</v>
      </c>
      <c r="P63" s="245">
        <f t="shared" si="0"/>
        <v>0.31805555555555554</v>
      </c>
      <c r="Q63" s="245">
        <f t="shared" si="1"/>
        <v>0.27638888888888885</v>
      </c>
      <c r="R63" s="251">
        <f t="shared" si="2"/>
        <v>4.1666666666666685E-2</v>
      </c>
      <c r="S63" s="251"/>
      <c r="T63" s="224"/>
      <c r="U63" s="244"/>
      <c r="V63" s="244"/>
      <c r="W63" s="226">
        <v>0.28680555555555554</v>
      </c>
      <c r="X63" s="230">
        <v>0.3923611111111111</v>
      </c>
      <c r="Y63" s="244"/>
      <c r="Z63" s="227">
        <v>0.30763888888888885</v>
      </c>
      <c r="AA63" s="230">
        <v>0.40833333333333333</v>
      </c>
      <c r="AC63" s="285" t="s">
        <v>505</v>
      </c>
      <c r="AD63" s="252"/>
      <c r="AE63" s="252"/>
      <c r="AF63" s="266">
        <v>2</v>
      </c>
      <c r="AG63" s="284"/>
      <c r="AH63" s="222"/>
      <c r="AI63" s="222"/>
      <c r="AQ63" s="88">
        <f>AQ61-AQ51</f>
        <v>0.15763888888888891</v>
      </c>
      <c r="AR63" s="88">
        <f t="shared" ref="AR63:AX63" si="3">AR61-AR51</f>
        <v>0.15763888888888888</v>
      </c>
      <c r="AS63" s="88">
        <f t="shared" si="3"/>
        <v>0.15972222222222221</v>
      </c>
      <c r="AT63" s="88">
        <f t="shared" si="3"/>
        <v>0.15763888888888888</v>
      </c>
      <c r="AU63" s="88">
        <f t="shared" si="3"/>
        <v>0.15763888888888888</v>
      </c>
      <c r="AV63" s="88">
        <f t="shared" si="3"/>
        <v>0.15763888888888894</v>
      </c>
      <c r="AW63" s="88">
        <f t="shared" si="3"/>
        <v>0.15069444444444446</v>
      </c>
      <c r="AX63" s="88">
        <f t="shared" si="3"/>
        <v>0.15069444444444446</v>
      </c>
    </row>
    <row r="64" spans="1:50" ht="16.5" thickBot="1" x14ac:dyDescent="0.3">
      <c r="A64" s="245" t="s">
        <v>506</v>
      </c>
      <c r="B64" s="245" t="s">
        <v>472</v>
      </c>
      <c r="C64" s="245"/>
      <c r="D64" s="246" t="s">
        <v>507</v>
      </c>
      <c r="E64" s="247">
        <v>0.22361111111111112</v>
      </c>
      <c r="F64" s="248">
        <v>0.22916666666666666</v>
      </c>
      <c r="G64" s="249" t="s">
        <v>104</v>
      </c>
      <c r="H64" s="247">
        <v>0.40138888888888891</v>
      </c>
      <c r="I64" s="263" t="s">
        <v>474</v>
      </c>
      <c r="J64" s="263">
        <v>0.44097222222222221</v>
      </c>
      <c r="K64" s="248">
        <v>0.44097222222222221</v>
      </c>
      <c r="L64" s="263" t="s">
        <v>475</v>
      </c>
      <c r="M64" s="247">
        <v>0.53472222222222221</v>
      </c>
      <c r="N64" s="248" t="s">
        <v>474</v>
      </c>
      <c r="O64" s="248">
        <v>0.53819444444444442</v>
      </c>
      <c r="P64" s="245">
        <f>O64-E64</f>
        <v>0.31458333333333333</v>
      </c>
      <c r="Q64" s="245">
        <f>P64-R64</f>
        <v>0.27500000000000002</v>
      </c>
      <c r="R64" s="251">
        <f>J64-H64</f>
        <v>3.9583333333333304E-2</v>
      </c>
      <c r="S64" s="251"/>
      <c r="T64" s="224"/>
      <c r="U64" s="244"/>
      <c r="V64" s="244"/>
      <c r="W64" s="286">
        <v>0.29166666666666669</v>
      </c>
      <c r="X64" s="287">
        <v>0.39236111111111133</v>
      </c>
      <c r="Y64" s="244"/>
      <c r="Z64" s="227">
        <v>0.3125</v>
      </c>
      <c r="AA64" s="253">
        <v>0.4131944444444442</v>
      </c>
      <c r="AC64" s="252"/>
      <c r="AD64" s="252"/>
      <c r="AE64" s="252"/>
      <c r="AF64" s="222"/>
      <c r="AG64" s="288"/>
      <c r="AH64" s="222"/>
      <c r="AI64" s="222"/>
      <c r="AQ64" s="142"/>
      <c r="AR64" s="140"/>
      <c r="AS64" s="122"/>
      <c r="AT64" s="122"/>
      <c r="AU64" s="142"/>
      <c r="AV64" s="140"/>
      <c r="AW64" s="142"/>
      <c r="AX64" s="143"/>
    </row>
    <row r="65" spans="1:50" ht="16.5" thickBot="1" x14ac:dyDescent="0.3">
      <c r="A65" s="245" t="s">
        <v>508</v>
      </c>
      <c r="B65" s="245" t="s">
        <v>472</v>
      </c>
      <c r="C65" s="245"/>
      <c r="D65" s="246" t="s">
        <v>509</v>
      </c>
      <c r="E65" s="247">
        <v>0.22361111111111112</v>
      </c>
      <c r="F65" s="248">
        <v>0.22916666666666666</v>
      </c>
      <c r="G65" s="249" t="s">
        <v>104</v>
      </c>
      <c r="H65" s="247">
        <v>0.41319444444444442</v>
      </c>
      <c r="I65" s="263" t="s">
        <v>475</v>
      </c>
      <c r="J65" s="263">
        <v>0.4548611111111111</v>
      </c>
      <c r="K65" s="248">
        <v>0.4548611111111111</v>
      </c>
      <c r="L65" s="263" t="s">
        <v>475</v>
      </c>
      <c r="M65" s="247">
        <v>0.54513888888888884</v>
      </c>
      <c r="N65" s="248" t="s">
        <v>474</v>
      </c>
      <c r="O65" s="248">
        <v>0.54861111111111116</v>
      </c>
      <c r="P65" s="245">
        <f t="shared" ref="P65:P115" si="4">O65-E65</f>
        <v>0.32500000000000007</v>
      </c>
      <c r="Q65" s="245">
        <f t="shared" ref="Q65:Q115" si="5">P65-R65</f>
        <v>0.28333333333333338</v>
      </c>
      <c r="R65" s="251">
        <f t="shared" ref="R65:R115" si="6">J65-H65</f>
        <v>4.1666666666666685E-2</v>
      </c>
      <c r="S65" s="251"/>
      <c r="T65" s="224"/>
      <c r="V65" s="289" t="s">
        <v>29</v>
      </c>
      <c r="W65" s="290">
        <v>0.29444444444444445</v>
      </c>
      <c r="X65" s="291">
        <v>0.36180555555555555</v>
      </c>
      <c r="Y65" s="292" t="s">
        <v>510</v>
      </c>
      <c r="Z65" s="227">
        <v>0.31736111111111109</v>
      </c>
      <c r="AA65" s="253">
        <v>0.42013888888888923</v>
      </c>
      <c r="AC65" s="252"/>
      <c r="AD65" s="252"/>
      <c r="AE65" s="252"/>
      <c r="AF65" s="293">
        <f>AF59+AF61+AF63</f>
        <v>116</v>
      </c>
      <c r="AH65" s="222"/>
      <c r="AI65" s="222"/>
      <c r="AJ65" s="222"/>
      <c r="AQ65" s="16" t="s">
        <v>29</v>
      </c>
      <c r="AR65" s="16" t="s">
        <v>31</v>
      </c>
      <c r="AS65" s="16" t="s">
        <v>34</v>
      </c>
      <c r="AT65" s="16" t="s">
        <v>36</v>
      </c>
      <c r="AU65" s="16" t="s">
        <v>38</v>
      </c>
      <c r="AV65" s="16" t="s">
        <v>40</v>
      </c>
      <c r="AW65" s="158" t="s">
        <v>42</v>
      </c>
      <c r="AX65" s="16" t="s">
        <v>44</v>
      </c>
    </row>
    <row r="66" spans="1:50" ht="16.5" thickBot="1" x14ac:dyDescent="0.3">
      <c r="A66" s="245" t="s">
        <v>511</v>
      </c>
      <c r="B66" s="245" t="s">
        <v>472</v>
      </c>
      <c r="C66" s="245"/>
      <c r="D66" s="246" t="s">
        <v>512</v>
      </c>
      <c r="E66" s="247">
        <v>0.23055555555555557</v>
      </c>
      <c r="F66" s="248">
        <v>0.2361111111111111</v>
      </c>
      <c r="G66" s="249" t="s">
        <v>104</v>
      </c>
      <c r="H66" s="705"/>
      <c r="I66" s="706"/>
      <c r="J66" s="706"/>
      <c r="K66" s="706"/>
      <c r="L66" s="707"/>
      <c r="M66" s="247">
        <v>0.4152777777777778</v>
      </c>
      <c r="N66" s="263" t="s">
        <v>475</v>
      </c>
      <c r="O66" s="248">
        <v>0.41875000000000001</v>
      </c>
      <c r="P66" s="245">
        <f t="shared" si="4"/>
        <v>0.18819444444444444</v>
      </c>
      <c r="Q66" s="245">
        <f t="shared" si="5"/>
        <v>0.18819444444444444</v>
      </c>
      <c r="R66" s="251">
        <f t="shared" si="6"/>
        <v>0</v>
      </c>
      <c r="S66" s="251"/>
      <c r="T66" s="224"/>
      <c r="W66" s="296">
        <v>0.29722222222222222</v>
      </c>
      <c r="X66" s="297">
        <v>0.3993055555555553</v>
      </c>
      <c r="Z66" s="227">
        <v>0.3222222222222223</v>
      </c>
      <c r="AA66" s="230">
        <v>0.4201388888888889</v>
      </c>
      <c r="AC66" s="252"/>
      <c r="AD66" s="252"/>
      <c r="AE66" s="252"/>
      <c r="AF66" s="252"/>
      <c r="AG66" s="252"/>
      <c r="AH66" s="222"/>
      <c r="AI66" s="222"/>
      <c r="AJ66" s="222"/>
      <c r="AQ66" s="32" t="s">
        <v>83</v>
      </c>
      <c r="AR66" s="32" t="s">
        <v>83</v>
      </c>
      <c r="AS66" s="32" t="s">
        <v>83</v>
      </c>
      <c r="AT66" s="32" t="s">
        <v>83</v>
      </c>
      <c r="AU66" s="32" t="s">
        <v>83</v>
      </c>
      <c r="AV66" s="32" t="s">
        <v>83</v>
      </c>
      <c r="AW66" s="161" t="s">
        <v>83</v>
      </c>
      <c r="AX66" s="32" t="s">
        <v>83</v>
      </c>
    </row>
    <row r="67" spans="1:50" ht="16.5" thickBot="1" x14ac:dyDescent="0.3">
      <c r="A67" s="245" t="s">
        <v>513</v>
      </c>
      <c r="B67" s="245" t="s">
        <v>472</v>
      </c>
      <c r="C67" s="245"/>
      <c r="D67" s="246" t="s">
        <v>514</v>
      </c>
      <c r="E67" s="247">
        <v>0.23055555555555557</v>
      </c>
      <c r="F67" s="248">
        <v>0.2361111111111111</v>
      </c>
      <c r="G67" s="249" t="s">
        <v>104</v>
      </c>
      <c r="H67" s="247">
        <v>0.40625</v>
      </c>
      <c r="I67" s="263" t="s">
        <v>474</v>
      </c>
      <c r="J67" s="263">
        <v>0.4513888888888889</v>
      </c>
      <c r="K67" s="248">
        <v>0.4513888888888889</v>
      </c>
      <c r="L67" s="263" t="s">
        <v>474</v>
      </c>
      <c r="M67" s="247">
        <v>0.54513888888888884</v>
      </c>
      <c r="N67" s="248" t="s">
        <v>475</v>
      </c>
      <c r="O67" s="248">
        <v>0.54861111111111116</v>
      </c>
      <c r="P67" s="245">
        <f t="shared" si="4"/>
        <v>0.31805555555555559</v>
      </c>
      <c r="Q67" s="245">
        <f t="shared" si="5"/>
        <v>0.2729166666666667</v>
      </c>
      <c r="R67" s="251">
        <f t="shared" si="6"/>
        <v>4.5138888888888895E-2</v>
      </c>
      <c r="S67" s="251"/>
      <c r="T67" s="224"/>
      <c r="V67" s="289" t="s">
        <v>31</v>
      </c>
      <c r="W67" s="290">
        <v>0.29930555555555555</v>
      </c>
      <c r="X67" s="291">
        <v>0.36666666666666664</v>
      </c>
      <c r="Y67" s="292" t="s">
        <v>510</v>
      </c>
      <c r="Z67" s="227">
        <v>0.3263888888888889</v>
      </c>
      <c r="AA67" s="253">
        <v>0.4270833333333332</v>
      </c>
      <c r="AC67" s="252"/>
      <c r="AD67" s="252"/>
      <c r="AE67" s="252"/>
      <c r="AF67" s="252"/>
      <c r="AG67" s="252"/>
      <c r="AH67" s="222"/>
      <c r="AI67" s="222"/>
      <c r="AJ67" s="222"/>
      <c r="AN67" s="298"/>
      <c r="AQ67" s="47">
        <v>0.61111111111111116</v>
      </c>
      <c r="AR67" s="47">
        <v>0.62152777777777779</v>
      </c>
      <c r="AS67" s="47">
        <v>0.63194444444444442</v>
      </c>
      <c r="AT67" s="47">
        <v>0.64236111111111116</v>
      </c>
      <c r="AU67" s="47">
        <v>0.65277777777777779</v>
      </c>
      <c r="AV67" s="47">
        <v>0.66319444444444442</v>
      </c>
      <c r="AW67" s="165">
        <v>0.67361111111111116</v>
      </c>
      <c r="AX67" s="47">
        <v>0.68402777777777779</v>
      </c>
    </row>
    <row r="68" spans="1:50" ht="16.5" thickBot="1" x14ac:dyDescent="0.3">
      <c r="A68" s="245" t="s">
        <v>515</v>
      </c>
      <c r="B68" s="245" t="s">
        <v>472</v>
      </c>
      <c r="C68" s="245"/>
      <c r="D68" s="246" t="s">
        <v>516</v>
      </c>
      <c r="E68" s="247">
        <v>0.23749999999999999</v>
      </c>
      <c r="F68" s="248">
        <v>0.24305555555555555</v>
      </c>
      <c r="G68" s="249" t="s">
        <v>104</v>
      </c>
      <c r="H68" s="247">
        <v>0.4236111111111111</v>
      </c>
      <c r="I68" s="263" t="s">
        <v>475</v>
      </c>
      <c r="J68" s="263">
        <v>0.46180555555555558</v>
      </c>
      <c r="K68" s="248">
        <v>0.46180555555555558</v>
      </c>
      <c r="L68" s="263" t="s">
        <v>475</v>
      </c>
      <c r="M68" s="247">
        <v>0.55208333333333337</v>
      </c>
      <c r="N68" s="248" t="s">
        <v>474</v>
      </c>
      <c r="O68" s="248">
        <v>0.55555555555555558</v>
      </c>
      <c r="P68" s="245">
        <f t="shared" si="4"/>
        <v>0.31805555555555559</v>
      </c>
      <c r="Q68" s="245">
        <f t="shared" si="5"/>
        <v>0.27986111111111112</v>
      </c>
      <c r="R68" s="251">
        <f>J68-H68</f>
        <v>3.8194444444444475E-2</v>
      </c>
      <c r="S68" s="251"/>
      <c r="T68" s="224"/>
      <c r="W68" s="296">
        <v>0.30208333333333331</v>
      </c>
      <c r="X68" s="297">
        <v>0.40625000000000033</v>
      </c>
      <c r="Z68" s="227">
        <v>0.33124999999999993</v>
      </c>
      <c r="AA68" s="253">
        <v>0.43402777777777724</v>
      </c>
      <c r="AC68" s="252"/>
      <c r="AD68" s="252"/>
      <c r="AE68" s="252"/>
      <c r="AF68" s="252"/>
      <c r="AG68" s="252"/>
      <c r="AH68" s="222"/>
      <c r="AI68" s="222"/>
      <c r="AJ68" s="222"/>
      <c r="AQ68" s="63" t="s">
        <v>159</v>
      </c>
      <c r="AR68" s="63" t="s">
        <v>159</v>
      </c>
      <c r="AS68" s="63" t="s">
        <v>159</v>
      </c>
      <c r="AT68" s="63" t="s">
        <v>159</v>
      </c>
      <c r="AU68" s="63" t="s">
        <v>159</v>
      </c>
      <c r="AV68" s="63" t="s">
        <v>159</v>
      </c>
      <c r="AW68" s="166" t="s">
        <v>159</v>
      </c>
      <c r="AX68" s="63" t="s">
        <v>159</v>
      </c>
    </row>
    <row r="69" spans="1:50" ht="16.5" thickBot="1" x14ac:dyDescent="0.3">
      <c r="A69" s="245" t="s">
        <v>517</v>
      </c>
      <c r="B69" s="245" t="s">
        <v>472</v>
      </c>
      <c r="C69" s="245"/>
      <c r="D69" s="246" t="s">
        <v>518</v>
      </c>
      <c r="E69" s="247">
        <v>0.23749999999999999</v>
      </c>
      <c r="F69" s="248">
        <v>0.24305555555555555</v>
      </c>
      <c r="G69" s="249" t="s">
        <v>104</v>
      </c>
      <c r="H69" s="247">
        <v>0.41319444444444442</v>
      </c>
      <c r="I69" s="263" t="s">
        <v>474</v>
      </c>
      <c r="J69" s="263">
        <v>0.45833333333333331</v>
      </c>
      <c r="K69" s="248">
        <v>0.45833333333333331</v>
      </c>
      <c r="L69" s="263" t="s">
        <v>474</v>
      </c>
      <c r="M69" s="247">
        <v>0.55208333333333337</v>
      </c>
      <c r="N69" s="248" t="s">
        <v>475</v>
      </c>
      <c r="O69" s="248">
        <v>0.55555555555555558</v>
      </c>
      <c r="P69" s="245">
        <f>O69-E69</f>
        <v>0.31805555555555559</v>
      </c>
      <c r="Q69" s="245">
        <f>P69-R69</f>
        <v>0.2729166666666667</v>
      </c>
      <c r="R69" s="251">
        <f>J69-H69</f>
        <v>4.5138888888888895E-2</v>
      </c>
      <c r="S69" s="251"/>
      <c r="T69" s="224"/>
      <c r="V69" s="289" t="s">
        <v>34</v>
      </c>
      <c r="W69" s="290">
        <v>0.30486111111111114</v>
      </c>
      <c r="X69" s="291">
        <v>0.37222222222222223</v>
      </c>
      <c r="Y69" s="292" t="s">
        <v>510</v>
      </c>
      <c r="Z69" s="227">
        <v>0.33611111111111108</v>
      </c>
      <c r="AA69" s="230">
        <v>0.43402777777777779</v>
      </c>
      <c r="AC69" s="252"/>
      <c r="AD69" s="252"/>
      <c r="AE69" s="252"/>
      <c r="AF69" s="252"/>
      <c r="AG69" s="252"/>
      <c r="AH69" s="222"/>
      <c r="AI69" s="222"/>
      <c r="AJ69" s="222"/>
      <c r="AQ69" s="168">
        <v>0.63541666666666663</v>
      </c>
      <c r="AR69" s="168">
        <v>0.64583333333333337</v>
      </c>
      <c r="AS69" s="168">
        <v>0.65625</v>
      </c>
      <c r="AT69" s="168">
        <v>0.66666666666666663</v>
      </c>
      <c r="AU69" s="168">
        <v>0.67708333333333337</v>
      </c>
      <c r="AV69" s="168">
        <v>0.6875</v>
      </c>
      <c r="AW69" s="170">
        <v>0.69791666666666663</v>
      </c>
      <c r="AX69" s="168">
        <v>0.70833333333333337</v>
      </c>
    </row>
    <row r="70" spans="1:50" ht="16.5" thickBot="1" x14ac:dyDescent="0.3">
      <c r="A70" s="245" t="s">
        <v>519</v>
      </c>
      <c r="B70" s="245" t="s">
        <v>472</v>
      </c>
      <c r="C70" s="245"/>
      <c r="D70" s="246" t="s">
        <v>520</v>
      </c>
      <c r="E70" s="247">
        <v>0.24097222222222223</v>
      </c>
      <c r="F70" s="248">
        <v>0.24652777777777779</v>
      </c>
      <c r="G70" s="249" t="s">
        <v>104</v>
      </c>
      <c r="H70" s="247">
        <v>0.4201388888888889</v>
      </c>
      <c r="I70" s="263" t="s">
        <v>474</v>
      </c>
      <c r="J70" s="263">
        <v>0.46527777777777779</v>
      </c>
      <c r="K70" s="248">
        <v>0.46527777777777779</v>
      </c>
      <c r="L70" s="263" t="s">
        <v>474</v>
      </c>
      <c r="M70" s="247">
        <v>0.55902777777777779</v>
      </c>
      <c r="N70" s="248" t="s">
        <v>475</v>
      </c>
      <c r="O70" s="248">
        <v>0.5625</v>
      </c>
      <c r="P70" s="245">
        <f>O70-E70</f>
        <v>0.32152777777777775</v>
      </c>
      <c r="Q70" s="245">
        <f>P70-R70</f>
        <v>0.27638888888888885</v>
      </c>
      <c r="R70" s="264">
        <f>J70-H70</f>
        <v>4.5138888888888895E-2</v>
      </c>
      <c r="S70" s="264"/>
      <c r="W70" s="296">
        <v>0.30763888888888885</v>
      </c>
      <c r="X70" s="297">
        <v>0.41319444444444431</v>
      </c>
      <c r="Z70" s="227">
        <v>0.34027777777777773</v>
      </c>
      <c r="AA70" s="253">
        <v>0.44097222222222221</v>
      </c>
      <c r="AC70" s="252"/>
      <c r="AD70" s="252"/>
      <c r="AE70" s="252"/>
      <c r="AF70" s="252"/>
      <c r="AG70" s="252"/>
      <c r="AH70" s="222"/>
      <c r="AI70" s="222"/>
      <c r="AJ70" s="222"/>
      <c r="AQ70" s="172">
        <v>0.65277777777777779</v>
      </c>
      <c r="AR70" s="172">
        <v>0.66319444444444453</v>
      </c>
      <c r="AS70" s="172">
        <v>0.67361111111111116</v>
      </c>
      <c r="AT70" s="172">
        <v>0.68402777777777779</v>
      </c>
      <c r="AU70" s="172">
        <v>0.69444444444444453</v>
      </c>
      <c r="AV70" s="172">
        <v>0.70833333333333337</v>
      </c>
      <c r="AW70" s="174">
        <v>0.71875</v>
      </c>
      <c r="AX70" s="172">
        <v>0.72916666666666674</v>
      </c>
    </row>
    <row r="71" spans="1:50" ht="16.5" thickBot="1" x14ac:dyDescent="0.3">
      <c r="A71" s="245" t="s">
        <v>521</v>
      </c>
      <c r="B71" s="245" t="s">
        <v>472</v>
      </c>
      <c r="C71" s="245"/>
      <c r="D71" s="246" t="s">
        <v>522</v>
      </c>
      <c r="E71" s="247">
        <v>0.24444444444444444</v>
      </c>
      <c r="F71" s="248">
        <v>0.25</v>
      </c>
      <c r="G71" s="249" t="s">
        <v>104</v>
      </c>
      <c r="H71" s="247">
        <v>0.42708333333333331</v>
      </c>
      <c r="I71" s="263" t="s">
        <v>475</v>
      </c>
      <c r="J71" s="263">
        <v>0.46875</v>
      </c>
      <c r="K71" s="248">
        <v>0.46875</v>
      </c>
      <c r="L71" s="263" t="s">
        <v>475</v>
      </c>
      <c r="M71" s="247">
        <v>0.55555555555555558</v>
      </c>
      <c r="N71" s="248" t="s">
        <v>474</v>
      </c>
      <c r="O71" s="248">
        <v>0.55902777777777779</v>
      </c>
      <c r="P71" s="245">
        <f t="shared" si="4"/>
        <v>0.31458333333333333</v>
      </c>
      <c r="Q71" s="245">
        <f t="shared" si="5"/>
        <v>0.27291666666666664</v>
      </c>
      <c r="R71" s="251">
        <f t="shared" si="6"/>
        <v>4.1666666666666685E-2</v>
      </c>
      <c r="S71" s="251"/>
      <c r="V71" s="16" t="s">
        <v>36</v>
      </c>
      <c r="W71" s="290">
        <v>0.30972222222222223</v>
      </c>
      <c r="X71" s="291">
        <v>0.37708333333333333</v>
      </c>
      <c r="Y71" s="292" t="s">
        <v>510</v>
      </c>
      <c r="Z71" s="227">
        <v>0.34513888888888888</v>
      </c>
      <c r="AA71" s="230">
        <v>0.44097222222222221</v>
      </c>
      <c r="AB71" s="224"/>
      <c r="AD71" s="252"/>
      <c r="AH71" s="222"/>
      <c r="AI71" s="222"/>
      <c r="AJ71" s="222"/>
      <c r="AQ71" s="178">
        <v>0.70416666666666661</v>
      </c>
      <c r="AR71" s="178">
        <v>0.71527777777777779</v>
      </c>
      <c r="AS71" s="178">
        <v>0.72569444444444442</v>
      </c>
      <c r="AT71" s="178">
        <v>0.73611111111111105</v>
      </c>
      <c r="AU71" s="178">
        <v>0.74652777777777779</v>
      </c>
      <c r="AV71" s="178">
        <v>0.75277777777777777</v>
      </c>
      <c r="AW71" s="180">
        <v>0.7631944444444444</v>
      </c>
      <c r="AX71" s="178">
        <v>0.77361111111111114</v>
      </c>
    </row>
    <row r="72" spans="1:50" ht="16.5" thickBot="1" x14ac:dyDescent="0.3">
      <c r="A72" s="245" t="s">
        <v>523</v>
      </c>
      <c r="B72" s="245" t="s">
        <v>472</v>
      </c>
      <c r="C72" s="245"/>
      <c r="D72" s="246" t="s">
        <v>524</v>
      </c>
      <c r="E72" s="247">
        <v>0.24652777777777779</v>
      </c>
      <c r="F72" s="248">
        <v>0.25208333333333333</v>
      </c>
      <c r="G72" s="249" t="s">
        <v>104</v>
      </c>
      <c r="H72" s="705"/>
      <c r="I72" s="706"/>
      <c r="J72" s="706"/>
      <c r="K72" s="706"/>
      <c r="L72" s="707"/>
      <c r="M72" s="247">
        <v>0.4201388888888889</v>
      </c>
      <c r="N72" s="248" t="s">
        <v>104</v>
      </c>
      <c r="O72" s="248">
        <v>0.4201388888888889</v>
      </c>
      <c r="P72" s="245">
        <f t="shared" si="4"/>
        <v>0.1736111111111111</v>
      </c>
      <c r="Q72" s="245">
        <f t="shared" si="5"/>
        <v>0.1736111111111111</v>
      </c>
      <c r="R72" s="251">
        <f t="shared" si="6"/>
        <v>0</v>
      </c>
      <c r="S72" s="251"/>
      <c r="W72" s="296">
        <v>0.3125</v>
      </c>
      <c r="X72" s="299">
        <v>0.41388888888888886</v>
      </c>
      <c r="Z72" s="227">
        <v>0.35</v>
      </c>
      <c r="AA72" s="230">
        <v>0.44305555555555554</v>
      </c>
      <c r="AB72" s="224"/>
      <c r="AD72" s="252"/>
      <c r="AH72" s="222"/>
      <c r="AI72" s="222"/>
      <c r="AJ72" s="222"/>
      <c r="AQ72" s="127">
        <v>0.75277777777777777</v>
      </c>
      <c r="AR72" s="127">
        <v>0.76388888888888884</v>
      </c>
      <c r="AS72" s="127">
        <v>0.77430555555555558</v>
      </c>
      <c r="AT72" s="127">
        <v>0.78472222222222221</v>
      </c>
      <c r="AU72" s="127">
        <v>0.79513888888888884</v>
      </c>
      <c r="AV72" s="127">
        <v>0.80138888888888893</v>
      </c>
      <c r="AW72" s="185">
        <v>0.81180555555555556</v>
      </c>
      <c r="AX72" s="127">
        <v>0.82222222222222219</v>
      </c>
    </row>
    <row r="73" spans="1:50" ht="16.5" thickBot="1" x14ac:dyDescent="0.3">
      <c r="A73" s="268" t="s">
        <v>525</v>
      </c>
      <c r="B73" s="268" t="s">
        <v>472</v>
      </c>
      <c r="C73" s="268"/>
      <c r="D73" s="269" t="s">
        <v>526</v>
      </c>
      <c r="E73" s="270">
        <v>0.24791666666666667</v>
      </c>
      <c r="F73" s="271">
        <v>0.25347222222222221</v>
      </c>
      <c r="G73" s="272" t="s">
        <v>104</v>
      </c>
      <c r="H73" s="270">
        <v>0.43055555555555558</v>
      </c>
      <c r="I73" s="271" t="s">
        <v>474</v>
      </c>
      <c r="J73" s="271">
        <v>0.47916666666666669</v>
      </c>
      <c r="K73" s="271">
        <v>0.47916666666666669</v>
      </c>
      <c r="L73" s="300" t="s">
        <v>475</v>
      </c>
      <c r="M73" s="270">
        <v>0.55902777777777779</v>
      </c>
      <c r="N73" s="271" t="s">
        <v>474</v>
      </c>
      <c r="O73" s="301">
        <v>0.5625</v>
      </c>
      <c r="P73" s="268">
        <f t="shared" si="4"/>
        <v>0.31458333333333333</v>
      </c>
      <c r="Q73" s="268">
        <f t="shared" si="5"/>
        <v>0.26597222222222222</v>
      </c>
      <c r="R73" s="275">
        <f t="shared" si="6"/>
        <v>4.8611111111111105E-2</v>
      </c>
      <c r="S73" s="275"/>
      <c r="V73" s="16" t="s">
        <v>38</v>
      </c>
      <c r="W73" s="290">
        <v>0.31527777777777777</v>
      </c>
      <c r="X73" s="291">
        <v>0.38263888888888886</v>
      </c>
      <c r="Y73" s="292" t="s">
        <v>510</v>
      </c>
      <c r="Z73" s="227">
        <v>0.35416666666666663</v>
      </c>
      <c r="AA73" s="253">
        <v>0.44791666666666619</v>
      </c>
      <c r="AB73" s="224"/>
      <c r="AD73" s="252"/>
      <c r="AH73" s="222"/>
      <c r="AI73" s="222"/>
      <c r="AJ73" s="222"/>
    </row>
    <row r="74" spans="1:50" ht="16.5" thickBot="1" x14ac:dyDescent="0.3">
      <c r="A74" s="258" t="s">
        <v>527</v>
      </c>
      <c r="B74" s="258" t="s">
        <v>472</v>
      </c>
      <c r="C74" s="258"/>
      <c r="D74" s="259" t="s">
        <v>528</v>
      </c>
      <c r="E74" s="260">
        <v>0.25</v>
      </c>
      <c r="F74" s="261">
        <v>0.25555555555555554</v>
      </c>
      <c r="G74" s="262" t="s">
        <v>104</v>
      </c>
      <c r="H74" s="260">
        <v>0.43402777777777779</v>
      </c>
      <c r="I74" s="261" t="s">
        <v>475</v>
      </c>
      <c r="J74" s="261">
        <v>0.4826388888888889</v>
      </c>
      <c r="K74" s="261">
        <v>0.4826388888888889</v>
      </c>
      <c r="L74" s="261" t="s">
        <v>475</v>
      </c>
      <c r="M74" s="260">
        <v>0.57638888888888884</v>
      </c>
      <c r="N74" s="261" t="s">
        <v>474</v>
      </c>
      <c r="O74" s="302">
        <v>0.57986111111111116</v>
      </c>
      <c r="P74" s="258">
        <f t="shared" si="4"/>
        <v>0.32986111111111116</v>
      </c>
      <c r="Q74" s="303">
        <f t="shared" si="5"/>
        <v>0.28125000000000006</v>
      </c>
      <c r="R74" s="264">
        <f t="shared" si="6"/>
        <v>4.8611111111111105E-2</v>
      </c>
      <c r="S74" s="264"/>
      <c r="W74" s="296">
        <v>0.31805555555555554</v>
      </c>
      <c r="X74" s="297">
        <v>0.42013888888888834</v>
      </c>
      <c r="Z74" s="227">
        <v>0.35972222222222217</v>
      </c>
      <c r="AA74" s="253">
        <v>0.45138888888888901</v>
      </c>
      <c r="AB74" s="224"/>
      <c r="AD74" s="252"/>
      <c r="AH74" s="222"/>
      <c r="AI74" s="222"/>
      <c r="AJ74" s="222"/>
      <c r="AQ74" s="304">
        <f>AQ72-AQ67</f>
        <v>0.14166666666666661</v>
      </c>
      <c r="AR74" s="304">
        <f t="shared" ref="AR74:AX74" si="7">AR72-AR67</f>
        <v>0.14236111111111105</v>
      </c>
      <c r="AS74" s="304">
        <f t="shared" si="7"/>
        <v>0.14236111111111116</v>
      </c>
      <c r="AT74" s="304">
        <f t="shared" si="7"/>
        <v>0.14236111111111105</v>
      </c>
      <c r="AU74" s="304">
        <f t="shared" si="7"/>
        <v>0.14236111111111105</v>
      </c>
      <c r="AV74" s="304">
        <f t="shared" si="7"/>
        <v>0.13819444444444451</v>
      </c>
      <c r="AW74" s="304">
        <f t="shared" si="7"/>
        <v>0.1381944444444444</v>
      </c>
      <c r="AX74" s="304">
        <f t="shared" si="7"/>
        <v>0.1381944444444444</v>
      </c>
    </row>
    <row r="75" spans="1:50" ht="16.5" thickBot="1" x14ac:dyDescent="0.3">
      <c r="A75" s="258" t="s">
        <v>529</v>
      </c>
      <c r="B75" s="258" t="s">
        <v>472</v>
      </c>
      <c r="C75" s="258"/>
      <c r="D75" s="259" t="s">
        <v>530</v>
      </c>
      <c r="E75" s="260">
        <v>0.25138888888888888</v>
      </c>
      <c r="F75" s="261">
        <v>0.25694444444444442</v>
      </c>
      <c r="G75" s="262" t="s">
        <v>104</v>
      </c>
      <c r="H75" s="260">
        <v>0.44097222222222221</v>
      </c>
      <c r="I75" s="261" t="s">
        <v>475</v>
      </c>
      <c r="J75" s="261">
        <v>0.50138888888888888</v>
      </c>
      <c r="K75" s="261">
        <v>0.50347222222222221</v>
      </c>
      <c r="L75" s="302" t="s">
        <v>104</v>
      </c>
      <c r="M75" s="260">
        <v>0.59027777777777779</v>
      </c>
      <c r="N75" s="261" t="s">
        <v>474</v>
      </c>
      <c r="O75" s="302">
        <v>0.59375</v>
      </c>
      <c r="P75" s="258">
        <f t="shared" si="4"/>
        <v>0.34236111111111112</v>
      </c>
      <c r="Q75" s="258">
        <f t="shared" si="5"/>
        <v>0.28194444444444444</v>
      </c>
      <c r="R75" s="264">
        <f t="shared" si="6"/>
        <v>6.0416666666666674E-2</v>
      </c>
      <c r="S75" s="264"/>
      <c r="V75" s="16" t="s">
        <v>40</v>
      </c>
      <c r="W75" s="290">
        <v>0.32083333333333336</v>
      </c>
      <c r="X75" s="291">
        <v>0.38819444444444445</v>
      </c>
      <c r="Y75" s="292" t="s">
        <v>510</v>
      </c>
      <c r="Z75" s="227">
        <v>0.36458333333333331</v>
      </c>
      <c r="AA75" s="253">
        <v>0.45833333333333298</v>
      </c>
      <c r="AB75" s="224"/>
      <c r="AD75" s="252"/>
      <c r="AH75" s="222"/>
      <c r="AI75" s="222"/>
      <c r="AJ75" s="222"/>
    </row>
    <row r="76" spans="1:50" ht="16.5" thickBot="1" x14ac:dyDescent="0.3">
      <c r="A76" s="258" t="s">
        <v>531</v>
      </c>
      <c r="B76" s="258" t="s">
        <v>472</v>
      </c>
      <c r="C76" s="258"/>
      <c r="D76" s="259" t="s">
        <v>532</v>
      </c>
      <c r="E76" s="260">
        <v>0.25138888888888888</v>
      </c>
      <c r="F76" s="261">
        <v>0.25694444444444442</v>
      </c>
      <c r="G76" s="262" t="s">
        <v>533</v>
      </c>
      <c r="H76" s="260">
        <v>0.38541666666666669</v>
      </c>
      <c r="I76" s="261" t="s">
        <v>533</v>
      </c>
      <c r="J76" s="263">
        <v>0.4201388888888889</v>
      </c>
      <c r="K76" s="248">
        <v>0.4201388888888889</v>
      </c>
      <c r="L76" s="263" t="s">
        <v>474</v>
      </c>
      <c r="M76" s="247">
        <v>0.61458333333333337</v>
      </c>
      <c r="N76" s="248" t="s">
        <v>474</v>
      </c>
      <c r="O76" s="261">
        <v>0.61805555555555558</v>
      </c>
      <c r="P76" s="258">
        <f t="shared" si="4"/>
        <v>0.3666666666666667</v>
      </c>
      <c r="Q76" s="258">
        <f t="shared" si="5"/>
        <v>0.33194444444444449</v>
      </c>
      <c r="R76" s="264">
        <f t="shared" si="6"/>
        <v>3.472222222222221E-2</v>
      </c>
      <c r="S76" s="264"/>
      <c r="W76" s="296">
        <v>0.3263888888888889</v>
      </c>
      <c r="X76" s="297">
        <v>0.42708333333333331</v>
      </c>
      <c r="Z76" s="227">
        <v>0.37152777777777773</v>
      </c>
      <c r="AA76" s="253">
        <v>0.46527777777777801</v>
      </c>
      <c r="AB76" s="224"/>
      <c r="AD76" s="252"/>
      <c r="AH76" s="222"/>
      <c r="AI76" s="222"/>
      <c r="AJ76" s="222"/>
    </row>
    <row r="77" spans="1:50" ht="16.5" thickBot="1" x14ac:dyDescent="0.3">
      <c r="A77" s="245" t="s">
        <v>534</v>
      </c>
      <c r="B77" s="245" t="s">
        <v>472</v>
      </c>
      <c r="C77" s="245"/>
      <c r="D77" s="246" t="s">
        <v>535</v>
      </c>
      <c r="E77" s="247">
        <v>0.25347222222222221</v>
      </c>
      <c r="F77" s="248">
        <v>0.2590277777777778</v>
      </c>
      <c r="G77" s="249" t="s">
        <v>104</v>
      </c>
      <c r="H77" s="247">
        <v>0.44791666666666669</v>
      </c>
      <c r="I77" s="248" t="s">
        <v>475</v>
      </c>
      <c r="J77" s="248">
        <v>0.52916666666666667</v>
      </c>
      <c r="K77" s="248">
        <v>0.53125</v>
      </c>
      <c r="L77" s="249" t="s">
        <v>104</v>
      </c>
      <c r="M77" s="247">
        <v>0.60763888888888884</v>
      </c>
      <c r="N77" s="248" t="s">
        <v>475</v>
      </c>
      <c r="O77" s="305">
        <v>0.61111111111111116</v>
      </c>
      <c r="P77" s="245">
        <f t="shared" si="4"/>
        <v>0.35763888888888895</v>
      </c>
      <c r="Q77" s="245">
        <f t="shared" si="5"/>
        <v>0.27638888888888896</v>
      </c>
      <c r="R77" s="251">
        <f t="shared" si="6"/>
        <v>8.1249999999999989E-2</v>
      </c>
      <c r="S77" s="251"/>
      <c r="V77" s="16" t="s">
        <v>42</v>
      </c>
      <c r="W77" s="290">
        <v>0.32916666666666666</v>
      </c>
      <c r="X77" s="291">
        <v>0.38958333333333334</v>
      </c>
      <c r="Y77" s="292" t="s">
        <v>510</v>
      </c>
      <c r="Z77" s="227">
        <v>0.37847222222222232</v>
      </c>
      <c r="AA77" s="253">
        <v>0.47222222222222199</v>
      </c>
      <c r="AB77" s="224"/>
      <c r="AD77" s="252"/>
      <c r="AH77" s="222"/>
      <c r="AI77" s="222"/>
      <c r="AJ77" s="222"/>
      <c r="AQ77" s="304">
        <f>AQ60-AQ57</f>
        <v>6.7361111111111094E-2</v>
      </c>
      <c r="AR77" s="304">
        <f t="shared" ref="AR77:AX77" si="8">AR60-AR57</f>
        <v>6.7361111111111094E-2</v>
      </c>
      <c r="AS77" s="304">
        <f t="shared" si="8"/>
        <v>6.7361111111111094E-2</v>
      </c>
      <c r="AT77" s="304">
        <f t="shared" si="8"/>
        <v>6.7361111111111094E-2</v>
      </c>
      <c r="AU77" s="304">
        <f t="shared" si="8"/>
        <v>6.7361111111111094E-2</v>
      </c>
      <c r="AV77" s="304">
        <f t="shared" si="8"/>
        <v>6.7361111111111094E-2</v>
      </c>
      <c r="AW77" s="304">
        <f t="shared" si="8"/>
        <v>6.0416666666666674E-2</v>
      </c>
      <c r="AX77" s="304">
        <f t="shared" si="8"/>
        <v>6.0416666666666674E-2</v>
      </c>
    </row>
    <row r="78" spans="1:50" ht="16.5" thickBot="1" x14ac:dyDescent="0.3">
      <c r="A78" s="245" t="s">
        <v>536</v>
      </c>
      <c r="B78" s="245" t="s">
        <v>472</v>
      </c>
      <c r="C78" s="245"/>
      <c r="D78" s="246" t="s">
        <v>537</v>
      </c>
      <c r="E78" s="247">
        <v>0.25347222222222221</v>
      </c>
      <c r="F78" s="248">
        <v>0.2590277777777778</v>
      </c>
      <c r="G78" s="249" t="s">
        <v>104</v>
      </c>
      <c r="H78" s="247">
        <v>0.42708333333333331</v>
      </c>
      <c r="I78" s="248" t="s">
        <v>104</v>
      </c>
      <c r="J78" s="261">
        <v>0.51041666666666663</v>
      </c>
      <c r="K78" s="261">
        <v>0.51041666666666663</v>
      </c>
      <c r="L78" s="261" t="s">
        <v>474</v>
      </c>
      <c r="M78" s="260">
        <v>0.61458333333333337</v>
      </c>
      <c r="N78" s="261" t="s">
        <v>475</v>
      </c>
      <c r="O78" s="250">
        <v>0.61805555555555558</v>
      </c>
      <c r="P78" s="245">
        <f t="shared" si="4"/>
        <v>0.36458333333333337</v>
      </c>
      <c r="Q78" s="245">
        <f t="shared" si="5"/>
        <v>0.28125000000000006</v>
      </c>
      <c r="R78" s="251">
        <f t="shared" si="6"/>
        <v>8.3333333333333315E-2</v>
      </c>
      <c r="S78" s="251"/>
      <c r="W78" s="296">
        <v>0.33194444444444443</v>
      </c>
      <c r="X78" s="306">
        <v>0.42708333333333331</v>
      </c>
      <c r="Z78" s="227">
        <v>0.3854166666666663</v>
      </c>
      <c r="AA78" s="253">
        <v>0.47916666666666596</v>
      </c>
      <c r="AB78" s="224"/>
      <c r="AD78" s="252"/>
      <c r="AH78" s="222"/>
      <c r="AI78" s="222"/>
      <c r="AJ78" s="222"/>
    </row>
    <row r="79" spans="1:50" ht="16.5" thickBot="1" x14ac:dyDescent="0.3">
      <c r="A79" s="245" t="s">
        <v>538</v>
      </c>
      <c r="B79" s="245" t="s">
        <v>472</v>
      </c>
      <c r="C79" s="245"/>
      <c r="D79" s="246" t="s">
        <v>539</v>
      </c>
      <c r="E79" s="247">
        <v>0.25486111111111109</v>
      </c>
      <c r="F79" s="248">
        <v>0.26041666666666669</v>
      </c>
      <c r="G79" s="249" t="s">
        <v>533</v>
      </c>
      <c r="H79" s="247">
        <v>0.39583333333333331</v>
      </c>
      <c r="I79" s="248" t="s">
        <v>533</v>
      </c>
      <c r="J79" s="248">
        <v>0.44444444444444442</v>
      </c>
      <c r="K79" s="248">
        <v>0.44444444444444442</v>
      </c>
      <c r="L79" s="248" t="s">
        <v>474</v>
      </c>
      <c r="M79" s="247">
        <v>0.63402777777777775</v>
      </c>
      <c r="N79" s="248" t="s">
        <v>474</v>
      </c>
      <c r="O79" s="305">
        <v>0.63749999999999996</v>
      </c>
      <c r="P79" s="245">
        <f>O79-E79</f>
        <v>0.38263888888888886</v>
      </c>
      <c r="Q79" s="245">
        <f t="shared" si="5"/>
        <v>0.33402777777777776</v>
      </c>
      <c r="R79" s="251">
        <f t="shared" si="6"/>
        <v>4.8611111111111105E-2</v>
      </c>
      <c r="S79" s="251"/>
      <c r="T79" s="224"/>
      <c r="V79" s="289" t="s">
        <v>44</v>
      </c>
      <c r="W79" s="290">
        <v>0.3347222222222222</v>
      </c>
      <c r="X79" s="291">
        <v>0.39513888888888887</v>
      </c>
      <c r="Y79" s="292" t="s">
        <v>510</v>
      </c>
      <c r="Z79" s="227">
        <v>0.39236111111111133</v>
      </c>
      <c r="AA79" s="253">
        <v>0.48611111111111105</v>
      </c>
      <c r="AB79" s="224"/>
      <c r="AD79" s="252"/>
      <c r="AQ79" s="304">
        <f>AQ71-AQ69</f>
        <v>6.8749999999999978E-2</v>
      </c>
      <c r="AR79" s="304">
        <f t="shared" ref="AR79:AX79" si="9">AR71-AR69</f>
        <v>6.944444444444442E-2</v>
      </c>
      <c r="AS79" s="304">
        <f t="shared" si="9"/>
        <v>6.944444444444442E-2</v>
      </c>
      <c r="AT79" s="304">
        <f t="shared" si="9"/>
        <v>6.944444444444442E-2</v>
      </c>
      <c r="AU79" s="304">
        <f t="shared" si="9"/>
        <v>6.944444444444442E-2</v>
      </c>
      <c r="AV79" s="304">
        <f t="shared" si="9"/>
        <v>6.5277777777777768E-2</v>
      </c>
      <c r="AW79" s="304">
        <f t="shared" si="9"/>
        <v>6.5277777777777768E-2</v>
      </c>
      <c r="AX79" s="304">
        <f t="shared" si="9"/>
        <v>6.5277777777777768E-2</v>
      </c>
    </row>
    <row r="80" spans="1:50" ht="15.75" x14ac:dyDescent="0.25">
      <c r="A80" s="245" t="s">
        <v>540</v>
      </c>
      <c r="B80" s="245" t="s">
        <v>472</v>
      </c>
      <c r="C80" s="245"/>
      <c r="D80" s="246" t="s">
        <v>541</v>
      </c>
      <c r="E80" s="247">
        <v>0.25833333333333336</v>
      </c>
      <c r="F80" s="248">
        <v>0.2638888888888889</v>
      </c>
      <c r="G80" s="249" t="s">
        <v>533</v>
      </c>
      <c r="H80" s="245">
        <v>0.40277777777777779</v>
      </c>
      <c r="I80" s="248" t="s">
        <v>533</v>
      </c>
      <c r="J80" s="261">
        <v>0.44791666666666669</v>
      </c>
      <c r="K80" s="261">
        <v>0.44791666666666669</v>
      </c>
      <c r="L80" s="261" t="s">
        <v>475</v>
      </c>
      <c r="M80" s="260">
        <v>0.64236111111111116</v>
      </c>
      <c r="N80" s="261" t="s">
        <v>475</v>
      </c>
      <c r="O80" s="261">
        <v>0.64583333333333337</v>
      </c>
      <c r="P80" s="245">
        <f t="shared" si="4"/>
        <v>0.38750000000000001</v>
      </c>
      <c r="Q80" s="245">
        <f t="shared" si="5"/>
        <v>0.34236111111111112</v>
      </c>
      <c r="R80" s="251">
        <f t="shared" si="6"/>
        <v>4.5138888888888895E-2</v>
      </c>
      <c r="S80" s="251"/>
      <c r="T80" s="224"/>
      <c r="W80" s="307">
        <v>0.33680555555555552</v>
      </c>
      <c r="X80" s="308">
        <v>0.43402777777777729</v>
      </c>
      <c r="Z80" s="227">
        <v>0.3993055555555553</v>
      </c>
      <c r="AA80" s="253">
        <v>0.49305555555555503</v>
      </c>
      <c r="AC80" s="244"/>
      <c r="AD80" s="252"/>
      <c r="AE80" s="244"/>
      <c r="AF80" s="244"/>
      <c r="AG80" s="244"/>
    </row>
    <row r="81" spans="1:33" ht="15.75" x14ac:dyDescent="0.25">
      <c r="A81" s="245" t="s">
        <v>542</v>
      </c>
      <c r="B81" s="245" t="s">
        <v>472</v>
      </c>
      <c r="C81" s="245"/>
      <c r="D81" s="246" t="s">
        <v>543</v>
      </c>
      <c r="E81" s="247">
        <v>0.25833333333333336</v>
      </c>
      <c r="F81" s="248">
        <v>0.2638888888888889</v>
      </c>
      <c r="G81" s="249" t="s">
        <v>104</v>
      </c>
      <c r="H81" s="247">
        <v>0.4375</v>
      </c>
      <c r="I81" s="248" t="s">
        <v>474</v>
      </c>
      <c r="J81" s="261">
        <v>0.51388888888888884</v>
      </c>
      <c r="K81" s="261">
        <v>0.51388888888888884</v>
      </c>
      <c r="L81" s="261" t="s">
        <v>474</v>
      </c>
      <c r="M81" s="260">
        <v>0.62152777777777779</v>
      </c>
      <c r="N81" s="261" t="s">
        <v>475</v>
      </c>
      <c r="O81" s="261">
        <v>0.625</v>
      </c>
      <c r="P81" s="245">
        <f t="shared" si="4"/>
        <v>0.36666666666666664</v>
      </c>
      <c r="Q81" s="245">
        <f t="shared" si="5"/>
        <v>0.2902777777777778</v>
      </c>
      <c r="R81" s="251">
        <f t="shared" si="6"/>
        <v>7.638888888888884E-2</v>
      </c>
      <c r="S81" s="251"/>
      <c r="T81" s="224"/>
      <c r="W81" s="226">
        <v>0.34236111111111106</v>
      </c>
      <c r="X81" s="230">
        <v>0.44097222222222221</v>
      </c>
      <c r="Z81" s="227">
        <v>0.40625000000000033</v>
      </c>
      <c r="AA81" s="253">
        <v>0.5</v>
      </c>
      <c r="AC81" s="244"/>
      <c r="AD81" s="252"/>
      <c r="AE81" s="244"/>
      <c r="AF81" s="244"/>
      <c r="AG81" s="244"/>
    </row>
    <row r="82" spans="1:33" ht="15.75" x14ac:dyDescent="0.25">
      <c r="A82" s="245" t="s">
        <v>544</v>
      </c>
      <c r="B82" s="245" t="s">
        <v>472</v>
      </c>
      <c r="C82" s="245"/>
      <c r="D82" s="246" t="s">
        <v>545</v>
      </c>
      <c r="E82" s="247">
        <v>0.26041666666666669</v>
      </c>
      <c r="F82" s="248">
        <v>0.26597222222222222</v>
      </c>
      <c r="G82" s="249" t="s">
        <v>104</v>
      </c>
      <c r="H82" s="247">
        <v>0.43263888888888891</v>
      </c>
      <c r="I82" s="248" t="s">
        <v>104</v>
      </c>
      <c r="J82" s="248">
        <v>0.51736111111111116</v>
      </c>
      <c r="K82" s="248">
        <v>0.51736111111111116</v>
      </c>
      <c r="L82" s="248" t="s">
        <v>474</v>
      </c>
      <c r="M82" s="247">
        <v>0.62847222222222221</v>
      </c>
      <c r="N82" s="248" t="s">
        <v>475</v>
      </c>
      <c r="O82" s="305">
        <v>0.63194444444444442</v>
      </c>
      <c r="P82" s="245">
        <f t="shared" si="4"/>
        <v>0.37152777777777773</v>
      </c>
      <c r="Q82" s="245">
        <f t="shared" si="5"/>
        <v>0.28680555555555548</v>
      </c>
      <c r="R82" s="251">
        <f t="shared" si="6"/>
        <v>8.4722222222222254E-2</v>
      </c>
      <c r="S82" s="251"/>
      <c r="T82" s="224"/>
      <c r="W82" s="226">
        <v>0.34722222222222221</v>
      </c>
      <c r="X82" s="227">
        <v>0.44097222222222232</v>
      </c>
      <c r="Z82" s="227">
        <v>0.41319444444444431</v>
      </c>
      <c r="AA82" s="253">
        <v>0.50694444444444398</v>
      </c>
      <c r="AC82" s="244"/>
      <c r="AD82" s="244"/>
      <c r="AE82" s="244"/>
      <c r="AF82" s="244"/>
      <c r="AG82" s="244"/>
    </row>
    <row r="83" spans="1:33" ht="16.5" thickBot="1" x14ac:dyDescent="0.3">
      <c r="A83" s="309" t="s">
        <v>546</v>
      </c>
      <c r="B83" s="268" t="s">
        <v>472</v>
      </c>
      <c r="C83" s="268"/>
      <c r="D83" s="269" t="s">
        <v>547</v>
      </c>
      <c r="E83" s="270">
        <v>0.2638888888888889</v>
      </c>
      <c r="F83" s="271">
        <v>0.26944444444444443</v>
      </c>
      <c r="G83" s="272" t="s">
        <v>104</v>
      </c>
      <c r="H83" s="270">
        <v>0.44444444444444442</v>
      </c>
      <c r="I83" s="271" t="s">
        <v>474</v>
      </c>
      <c r="J83" s="271">
        <v>0.53472222222222221</v>
      </c>
      <c r="K83" s="271">
        <v>0.53472222222222221</v>
      </c>
      <c r="L83" s="271" t="s">
        <v>474</v>
      </c>
      <c r="M83" s="270">
        <v>0.63541666666666663</v>
      </c>
      <c r="N83" s="271" t="s">
        <v>475</v>
      </c>
      <c r="O83" s="301">
        <v>0.63888888888888884</v>
      </c>
      <c r="P83" s="268">
        <f>O83-E83</f>
        <v>0.37499999999999994</v>
      </c>
      <c r="Q83" s="268">
        <f>P83-R83</f>
        <v>0.28472222222222215</v>
      </c>
      <c r="R83" s="275">
        <f>J83-H83</f>
        <v>9.027777777777779E-2</v>
      </c>
      <c r="S83" s="275"/>
      <c r="T83" s="224"/>
      <c r="W83" s="226">
        <v>0.35277777777777775</v>
      </c>
      <c r="X83" s="227">
        <v>0.4479166666666663</v>
      </c>
      <c r="Z83" s="227">
        <v>0.42013888888888834</v>
      </c>
      <c r="AA83" s="253">
        <v>0.51388888888888795</v>
      </c>
      <c r="AC83" s="244"/>
      <c r="AD83" s="244"/>
      <c r="AE83" s="244"/>
      <c r="AF83" s="244"/>
      <c r="AG83" s="244"/>
    </row>
    <row r="84" spans="1:33" ht="15.75" x14ac:dyDescent="0.25">
      <c r="A84" s="243" t="s">
        <v>548</v>
      </c>
      <c r="B84" s="258" t="s">
        <v>472</v>
      </c>
      <c r="C84" s="258"/>
      <c r="D84" s="259" t="s">
        <v>549</v>
      </c>
      <c r="E84" s="247">
        <f>F84-TIME(,8,)</f>
        <v>0.48055555555555557</v>
      </c>
      <c r="F84" s="261">
        <v>0.4861111111111111</v>
      </c>
      <c r="G84" s="302" t="s">
        <v>474</v>
      </c>
      <c r="H84" s="260">
        <v>0.68263888888888891</v>
      </c>
      <c r="I84" s="261" t="s">
        <v>474</v>
      </c>
      <c r="J84" s="261">
        <v>0.72013888888888888</v>
      </c>
      <c r="K84" s="261">
        <v>0.72222222222222221</v>
      </c>
      <c r="L84" s="310" t="s">
        <v>533</v>
      </c>
      <c r="M84" s="260">
        <v>0.85416666666666663</v>
      </c>
      <c r="N84" s="310" t="s">
        <v>533</v>
      </c>
      <c r="O84" s="261">
        <v>0.85416666666666663</v>
      </c>
      <c r="P84" s="258">
        <f t="shared" si="4"/>
        <v>0.37361111111111106</v>
      </c>
      <c r="Q84" s="258">
        <f t="shared" si="5"/>
        <v>0.33611111111111108</v>
      </c>
      <c r="R84" s="264">
        <f t="shared" si="6"/>
        <v>3.7499999999999978E-2</v>
      </c>
      <c r="S84" s="264"/>
      <c r="T84" s="224"/>
      <c r="W84" s="226">
        <v>0.3576388888888889</v>
      </c>
      <c r="X84" s="227">
        <v>0.45486111111111133</v>
      </c>
      <c r="Z84" s="227">
        <v>0.42708333333333331</v>
      </c>
      <c r="AA84" s="253">
        <v>0.52083333333333304</v>
      </c>
      <c r="AC84" s="244"/>
      <c r="AD84" s="244"/>
      <c r="AE84" s="244"/>
      <c r="AF84" s="244"/>
      <c r="AG84" s="244"/>
    </row>
    <row r="85" spans="1:33" ht="15.75" x14ac:dyDescent="0.25">
      <c r="A85" s="264" t="s">
        <v>550</v>
      </c>
      <c r="B85" s="245" t="s">
        <v>472</v>
      </c>
      <c r="C85" s="245"/>
      <c r="D85" s="246" t="s">
        <v>551</v>
      </c>
      <c r="E85" s="247">
        <v>0.48402777777777778</v>
      </c>
      <c r="F85" s="248">
        <v>0.48958333333333331</v>
      </c>
      <c r="G85" s="305" t="s">
        <v>475</v>
      </c>
      <c r="H85" s="247">
        <v>0.68611111111111112</v>
      </c>
      <c r="I85" s="248" t="s">
        <v>475</v>
      </c>
      <c r="J85" s="248">
        <v>0.73402777777777772</v>
      </c>
      <c r="K85" s="248">
        <v>0.73402777777777772</v>
      </c>
      <c r="L85" s="248" t="s">
        <v>475</v>
      </c>
      <c r="M85" s="247">
        <v>0.89583333333333337</v>
      </c>
      <c r="N85" s="248" t="s">
        <v>475</v>
      </c>
      <c r="O85" s="248">
        <v>0.89930555555555558</v>
      </c>
      <c r="P85" s="245">
        <f>O85-E85</f>
        <v>0.4152777777777778</v>
      </c>
      <c r="Q85" s="245">
        <f>P85-R85</f>
        <v>0.36736111111111119</v>
      </c>
      <c r="R85" s="251">
        <f>J85-H85</f>
        <v>4.7916666666666607E-2</v>
      </c>
      <c r="S85" s="251"/>
      <c r="T85" s="252"/>
      <c r="W85" s="226">
        <v>0.36319444444444443</v>
      </c>
      <c r="X85" s="230">
        <v>0.46180555555555558</v>
      </c>
      <c r="Z85" s="227">
        <v>0.43402777777777729</v>
      </c>
      <c r="AA85" s="253">
        <v>0.52777777777777701</v>
      </c>
    </row>
    <row r="86" spans="1:33" ht="15.75" x14ac:dyDescent="0.25">
      <c r="A86" s="264" t="s">
        <v>552</v>
      </c>
      <c r="B86" s="245" t="s">
        <v>472</v>
      </c>
      <c r="C86" s="245"/>
      <c r="D86" s="246" t="s">
        <v>553</v>
      </c>
      <c r="E86" s="247">
        <f>F86-TIME(,8,)</f>
        <v>0.49097222222222225</v>
      </c>
      <c r="F86" s="248">
        <v>0.49652777777777779</v>
      </c>
      <c r="G86" s="248" t="s">
        <v>474</v>
      </c>
      <c r="H86" s="247">
        <v>0.59375</v>
      </c>
      <c r="I86" s="248" t="s">
        <v>475</v>
      </c>
      <c r="J86" s="248">
        <v>0.63541666666666663</v>
      </c>
      <c r="K86" s="248">
        <v>0.63541666666666663</v>
      </c>
      <c r="L86" s="311" t="s">
        <v>475</v>
      </c>
      <c r="M86" s="247">
        <v>0.83333333333333337</v>
      </c>
      <c r="N86" s="311" t="s">
        <v>475</v>
      </c>
      <c r="O86" s="248">
        <v>0.83680555555555558</v>
      </c>
      <c r="P86" s="245">
        <f>O86-E86</f>
        <v>0.34583333333333333</v>
      </c>
      <c r="Q86" s="245">
        <f>P86-R86</f>
        <v>0.3041666666666667</v>
      </c>
      <c r="R86" s="251">
        <f>J86-H86</f>
        <v>4.166666666666663E-2</v>
      </c>
      <c r="S86" s="251"/>
      <c r="T86" s="252"/>
      <c r="W86" s="253">
        <v>0.36805555555555552</v>
      </c>
      <c r="X86" s="227">
        <v>0.4618055555555553</v>
      </c>
      <c r="Z86" s="227">
        <v>0.44097222222222232</v>
      </c>
      <c r="AA86" s="253">
        <v>0.53472222222222199</v>
      </c>
    </row>
    <row r="87" spans="1:33" ht="15.75" x14ac:dyDescent="0.25">
      <c r="A87" s="264" t="s">
        <v>554</v>
      </c>
      <c r="B87" s="245" t="s">
        <v>472</v>
      </c>
      <c r="C87" s="245"/>
      <c r="D87" s="246" t="s">
        <v>555</v>
      </c>
      <c r="E87" s="247">
        <v>0.4909722222222222</v>
      </c>
      <c r="F87" s="248">
        <v>0.49652777777777779</v>
      </c>
      <c r="G87" s="305" t="s">
        <v>475</v>
      </c>
      <c r="H87" s="247">
        <v>0.68263888888888891</v>
      </c>
      <c r="I87" s="248" t="s">
        <v>104</v>
      </c>
      <c r="J87" s="248">
        <v>0.72499999999999998</v>
      </c>
      <c r="K87" s="248">
        <v>0.72499999999999998</v>
      </c>
      <c r="L87" s="248" t="s">
        <v>475</v>
      </c>
      <c r="M87" s="247">
        <v>0.89236111111111116</v>
      </c>
      <c r="N87" s="248" t="s">
        <v>475</v>
      </c>
      <c r="O87" s="248">
        <v>0.89583333333333337</v>
      </c>
      <c r="P87" s="245">
        <f t="shared" si="4"/>
        <v>0.40486111111111117</v>
      </c>
      <c r="Q87" s="245">
        <f t="shared" si="5"/>
        <v>0.3625000000000001</v>
      </c>
      <c r="R87" s="251">
        <f t="shared" si="6"/>
        <v>4.2361111111111072E-2</v>
      </c>
      <c r="S87" s="312"/>
      <c r="T87" s="252"/>
      <c r="W87" s="253">
        <v>0.37361111111111106</v>
      </c>
      <c r="X87" s="230">
        <v>0.46875</v>
      </c>
      <c r="Z87" s="227">
        <v>0.4479166666666663</v>
      </c>
      <c r="AA87" s="253">
        <v>0.54166666666666663</v>
      </c>
    </row>
    <row r="88" spans="1:33" ht="15.75" x14ac:dyDescent="0.25">
      <c r="A88" s="264" t="s">
        <v>556</v>
      </c>
      <c r="B88" s="258" t="s">
        <v>472</v>
      </c>
      <c r="C88" s="258"/>
      <c r="D88" s="246" t="s">
        <v>557</v>
      </c>
      <c r="E88" s="260">
        <v>0.50486111111111109</v>
      </c>
      <c r="F88" s="261">
        <v>0.51041666666666663</v>
      </c>
      <c r="G88" s="302" t="s">
        <v>475</v>
      </c>
      <c r="H88" s="260">
        <v>0.71111111111111114</v>
      </c>
      <c r="I88" s="261" t="s">
        <v>475</v>
      </c>
      <c r="J88" s="261">
        <v>0.74791666666666667</v>
      </c>
      <c r="K88" s="261">
        <v>0.75</v>
      </c>
      <c r="L88" s="310" t="s">
        <v>533</v>
      </c>
      <c r="M88" s="260">
        <v>0.87152777777777779</v>
      </c>
      <c r="N88" s="310" t="s">
        <v>533</v>
      </c>
      <c r="O88" s="261">
        <v>0.87152777777777779</v>
      </c>
      <c r="P88" s="258">
        <f t="shared" si="4"/>
        <v>0.3666666666666667</v>
      </c>
      <c r="Q88" s="258">
        <f t="shared" si="5"/>
        <v>0.32986111111111116</v>
      </c>
      <c r="R88" s="264">
        <f>J88-H88</f>
        <v>3.6805555555555536E-2</v>
      </c>
      <c r="S88" s="313"/>
      <c r="T88" s="252"/>
      <c r="W88" s="253">
        <v>0.37847222222222221</v>
      </c>
      <c r="X88" s="227">
        <v>0.46874999999999933</v>
      </c>
      <c r="Z88" s="227">
        <v>0.45486111111111133</v>
      </c>
      <c r="AA88" s="253">
        <v>0.54861111111111005</v>
      </c>
    </row>
    <row r="89" spans="1:33" ht="15.75" x14ac:dyDescent="0.25">
      <c r="A89" s="264" t="s">
        <v>558</v>
      </c>
      <c r="B89" s="245" t="s">
        <v>472</v>
      </c>
      <c r="C89" s="245"/>
      <c r="D89" s="246" t="s">
        <v>559</v>
      </c>
      <c r="E89" s="247">
        <v>0.51875000000000004</v>
      </c>
      <c r="F89" s="248">
        <v>0.52430555555555558</v>
      </c>
      <c r="G89" s="305" t="s">
        <v>475</v>
      </c>
      <c r="H89" s="247">
        <v>0.72499999999999998</v>
      </c>
      <c r="I89" s="248" t="s">
        <v>475</v>
      </c>
      <c r="J89" s="261">
        <v>0.78819444444444442</v>
      </c>
      <c r="K89" s="261">
        <v>0.78819444444444442</v>
      </c>
      <c r="L89" s="261" t="s">
        <v>474</v>
      </c>
      <c r="M89" s="260">
        <v>0.93263888888888891</v>
      </c>
      <c r="N89" s="261" t="s">
        <v>104</v>
      </c>
      <c r="O89" s="261">
        <v>0.93263888888888891</v>
      </c>
      <c r="P89" s="245">
        <f t="shared" si="4"/>
        <v>0.41388888888888886</v>
      </c>
      <c r="Q89" s="245">
        <f t="shared" si="5"/>
        <v>0.35069444444444442</v>
      </c>
      <c r="R89" s="251">
        <f t="shared" si="6"/>
        <v>6.3194444444444442E-2</v>
      </c>
      <c r="S89" s="312"/>
      <c r="T89" s="252"/>
      <c r="W89" s="253">
        <v>0.38541666666666663</v>
      </c>
      <c r="X89" s="227">
        <v>0.47569444444444431</v>
      </c>
      <c r="Z89" s="227">
        <v>0.4618055555555553</v>
      </c>
      <c r="AA89" s="253">
        <v>0.55555555555555503</v>
      </c>
    </row>
    <row r="90" spans="1:33" ht="15.75" x14ac:dyDescent="0.25">
      <c r="A90" s="264" t="s">
        <v>560</v>
      </c>
      <c r="B90" s="245" t="s">
        <v>472</v>
      </c>
      <c r="C90" s="245"/>
      <c r="D90" s="246" t="s">
        <v>561</v>
      </c>
      <c r="E90" s="247">
        <v>0.52569444444444446</v>
      </c>
      <c r="F90" s="248">
        <v>0.53125</v>
      </c>
      <c r="G90" s="305" t="s">
        <v>475</v>
      </c>
      <c r="H90" s="247">
        <v>0.72916666666666663</v>
      </c>
      <c r="I90" s="248" t="s">
        <v>475</v>
      </c>
      <c r="J90" s="248">
        <v>0.77083333333333337</v>
      </c>
      <c r="K90" s="248">
        <v>0.77083333333333337</v>
      </c>
      <c r="L90" s="248" t="s">
        <v>474</v>
      </c>
      <c r="M90" s="247">
        <v>0.93055555555555558</v>
      </c>
      <c r="N90" s="248" t="s">
        <v>104</v>
      </c>
      <c r="O90" s="248">
        <v>0.93055555555555558</v>
      </c>
      <c r="P90" s="245">
        <f t="shared" si="4"/>
        <v>0.40486111111111112</v>
      </c>
      <c r="Q90" s="245">
        <f t="shared" si="5"/>
        <v>0.36319444444444438</v>
      </c>
      <c r="R90" s="251">
        <f t="shared" si="6"/>
        <v>4.1666666666666741E-2</v>
      </c>
      <c r="S90" s="312"/>
      <c r="T90" s="252"/>
      <c r="W90" s="253">
        <v>0.39236111111111122</v>
      </c>
      <c r="X90" s="227">
        <v>0.48263888888888834</v>
      </c>
      <c r="Z90" s="227">
        <v>0.46874999999999933</v>
      </c>
      <c r="AA90" s="253">
        <v>0.56944444444444398</v>
      </c>
    </row>
    <row r="91" spans="1:33" ht="15.75" x14ac:dyDescent="0.25">
      <c r="A91" s="264" t="s">
        <v>562</v>
      </c>
      <c r="B91" s="245" t="s">
        <v>472</v>
      </c>
      <c r="C91" s="245"/>
      <c r="D91" s="246" t="s">
        <v>563</v>
      </c>
      <c r="E91" s="247">
        <f>F91-TIME(,8,)</f>
        <v>0.5395833333333333</v>
      </c>
      <c r="F91" s="248">
        <v>0.54513888888888884</v>
      </c>
      <c r="G91" s="305" t="s">
        <v>474</v>
      </c>
      <c r="H91" s="247">
        <v>0.64930555555555558</v>
      </c>
      <c r="I91" s="248" t="s">
        <v>475</v>
      </c>
      <c r="J91" s="248">
        <v>0.69444444444444442</v>
      </c>
      <c r="K91" s="248">
        <v>0.69444444444444442</v>
      </c>
      <c r="L91" s="248" t="s">
        <v>474</v>
      </c>
      <c r="M91" s="247">
        <v>0.86805555555555558</v>
      </c>
      <c r="N91" s="248" t="s">
        <v>474</v>
      </c>
      <c r="O91" s="248">
        <v>0.87152777777777779</v>
      </c>
      <c r="P91" s="245">
        <f t="shared" si="4"/>
        <v>0.33194444444444449</v>
      </c>
      <c r="Q91" s="245">
        <f t="shared" si="5"/>
        <v>0.28680555555555565</v>
      </c>
      <c r="R91" s="251">
        <f t="shared" si="6"/>
        <v>4.513888888888884E-2</v>
      </c>
      <c r="S91" s="312"/>
      <c r="T91" s="252"/>
      <c r="W91" s="253">
        <v>0.39930555555555519</v>
      </c>
      <c r="X91" s="227">
        <v>0.48958333333333331</v>
      </c>
      <c r="Z91" s="227">
        <v>0.47569444444444431</v>
      </c>
      <c r="AA91" s="253">
        <v>0.57291666666666574</v>
      </c>
    </row>
    <row r="92" spans="1:33" ht="15.75" x14ac:dyDescent="0.25">
      <c r="A92" s="264" t="s">
        <v>564</v>
      </c>
      <c r="B92" s="245" t="s">
        <v>472</v>
      </c>
      <c r="C92" s="245"/>
      <c r="D92" s="246" t="s">
        <v>565</v>
      </c>
      <c r="E92" s="247">
        <v>0.55000000000000004</v>
      </c>
      <c r="F92" s="248">
        <v>0.55208333333333337</v>
      </c>
      <c r="G92" s="305" t="s">
        <v>104</v>
      </c>
      <c r="H92" s="247">
        <v>0.63888888888888884</v>
      </c>
      <c r="I92" s="248" t="s">
        <v>474</v>
      </c>
      <c r="J92" s="248">
        <v>0.68263888888888891</v>
      </c>
      <c r="K92" s="248">
        <v>0.68263888888888891</v>
      </c>
      <c r="L92" s="248" t="s">
        <v>474</v>
      </c>
      <c r="M92" s="247">
        <v>0.86388888888888893</v>
      </c>
      <c r="N92" s="248" t="s">
        <v>104</v>
      </c>
      <c r="O92" s="248">
        <v>0.86388888888888893</v>
      </c>
      <c r="P92" s="245">
        <f>O92-E92</f>
        <v>0.31388888888888888</v>
      </c>
      <c r="Q92" s="245">
        <f>P92-R92</f>
        <v>0.27013888888888882</v>
      </c>
      <c r="R92" s="251">
        <f>J92-H92</f>
        <v>4.3750000000000067E-2</v>
      </c>
      <c r="S92" s="312"/>
      <c r="T92" s="252"/>
      <c r="W92" s="253">
        <v>0.40625000000000022</v>
      </c>
      <c r="X92" s="227">
        <v>0.49652777777777729</v>
      </c>
      <c r="Z92" s="227">
        <v>0.48263888888888834</v>
      </c>
      <c r="AA92" s="253">
        <v>0.57986111111111083</v>
      </c>
    </row>
    <row r="93" spans="1:33" ht="15.75" x14ac:dyDescent="0.25">
      <c r="A93" s="264" t="s">
        <v>566</v>
      </c>
      <c r="B93" s="245" t="s">
        <v>472</v>
      </c>
      <c r="C93" s="245"/>
      <c r="D93" s="246" t="s">
        <v>567</v>
      </c>
      <c r="E93" s="247">
        <f>F93-TIME(,8,)</f>
        <v>0.55000000000000004</v>
      </c>
      <c r="F93" s="248">
        <v>0.55555555555555558</v>
      </c>
      <c r="G93" s="305" t="s">
        <v>474</v>
      </c>
      <c r="H93" s="247">
        <v>0.66527777777777775</v>
      </c>
      <c r="I93" s="248" t="s">
        <v>475</v>
      </c>
      <c r="J93" s="248">
        <v>0.71111111111111114</v>
      </c>
      <c r="K93" s="248">
        <v>0.71111111111111114</v>
      </c>
      <c r="L93" s="248" t="s">
        <v>475</v>
      </c>
      <c r="M93" s="247">
        <v>0.875</v>
      </c>
      <c r="N93" s="248" t="s">
        <v>104</v>
      </c>
      <c r="O93" s="248">
        <v>0.875</v>
      </c>
      <c r="P93" s="245">
        <f t="shared" si="4"/>
        <v>0.32499999999999996</v>
      </c>
      <c r="Q93" s="245">
        <f t="shared" si="5"/>
        <v>0.27916666666666656</v>
      </c>
      <c r="R93" s="251">
        <f t="shared" si="6"/>
        <v>4.5833333333333393E-2</v>
      </c>
      <c r="S93" s="312"/>
      <c r="T93" s="252"/>
      <c r="W93" s="253">
        <v>0.4131944444444442</v>
      </c>
      <c r="X93" s="227">
        <v>0.50347222222222132</v>
      </c>
      <c r="Z93" s="227">
        <v>0.48958333333333331</v>
      </c>
      <c r="AA93" s="253">
        <v>0.5868055555555548</v>
      </c>
    </row>
    <row r="94" spans="1:33" ht="15.75" x14ac:dyDescent="0.25">
      <c r="A94" s="264" t="s">
        <v>568</v>
      </c>
      <c r="B94" s="245" t="s">
        <v>472</v>
      </c>
      <c r="C94" s="245"/>
      <c r="D94" s="246" t="s">
        <v>569</v>
      </c>
      <c r="E94" s="247">
        <v>0.55347222222222225</v>
      </c>
      <c r="F94" s="248">
        <v>0.55902777777777779</v>
      </c>
      <c r="G94" s="314" t="s">
        <v>474</v>
      </c>
      <c r="H94" s="247">
        <v>0.67013888888888884</v>
      </c>
      <c r="I94" s="311" t="s">
        <v>475</v>
      </c>
      <c r="J94" s="248">
        <v>0.75347222222222221</v>
      </c>
      <c r="K94" s="248">
        <v>0.75347222222222221</v>
      </c>
      <c r="L94" s="311" t="s">
        <v>475</v>
      </c>
      <c r="M94" s="247">
        <v>0.91319444444444442</v>
      </c>
      <c r="N94" s="311" t="s">
        <v>475</v>
      </c>
      <c r="O94" s="248">
        <v>0.91666666666666663</v>
      </c>
      <c r="P94" s="245">
        <f>O94-E94</f>
        <v>0.36319444444444438</v>
      </c>
      <c r="Q94" s="245">
        <f>P94-R94</f>
        <v>0.27986111111111101</v>
      </c>
      <c r="R94" s="251">
        <f>J94-H94</f>
        <v>8.333333333333337E-2</v>
      </c>
      <c r="S94" s="251"/>
      <c r="T94" s="252"/>
      <c r="W94" s="253">
        <v>0.42013888888888923</v>
      </c>
      <c r="X94" s="227">
        <v>0.51041666666666641</v>
      </c>
      <c r="Z94" s="227">
        <v>0.49652777777777729</v>
      </c>
      <c r="AA94" s="253">
        <v>0.59374999999999878</v>
      </c>
    </row>
    <row r="95" spans="1:33" ht="15.75" x14ac:dyDescent="0.25">
      <c r="A95" s="264" t="s">
        <v>570</v>
      </c>
      <c r="B95" s="245" t="s">
        <v>472</v>
      </c>
      <c r="C95" s="245"/>
      <c r="D95" s="246" t="s">
        <v>571</v>
      </c>
      <c r="E95" s="247">
        <f>F95-TIME(,8,)</f>
        <v>0.5708333333333333</v>
      </c>
      <c r="F95" s="248">
        <v>0.57638888888888884</v>
      </c>
      <c r="G95" s="305" t="s">
        <v>474</v>
      </c>
      <c r="H95" s="247">
        <v>0.68055555555555558</v>
      </c>
      <c r="I95" s="248" t="s">
        <v>475</v>
      </c>
      <c r="J95" s="248">
        <v>0.76944444444444449</v>
      </c>
      <c r="K95" s="248">
        <v>0.76944444444444449</v>
      </c>
      <c r="L95" s="248" t="s">
        <v>475</v>
      </c>
      <c r="M95" s="247">
        <v>0.92708333333333337</v>
      </c>
      <c r="N95" s="248" t="s">
        <v>475</v>
      </c>
      <c r="O95" s="248">
        <v>0.93055555555555558</v>
      </c>
      <c r="P95" s="245">
        <f>O95-E95</f>
        <v>0.35972222222222228</v>
      </c>
      <c r="Q95" s="245">
        <f>P95-R95</f>
        <v>0.27083333333333337</v>
      </c>
      <c r="R95" s="251">
        <f>J95-H95</f>
        <v>8.8888888888888906E-2</v>
      </c>
      <c r="S95" s="251"/>
      <c r="T95" s="252"/>
      <c r="W95" s="253">
        <v>0.4270833333333332</v>
      </c>
      <c r="X95" s="227">
        <v>0.51736111111111038</v>
      </c>
      <c r="Z95" s="227">
        <v>0.50347222222222132</v>
      </c>
      <c r="AA95" s="253">
        <v>0.60069444444444375</v>
      </c>
    </row>
    <row r="96" spans="1:33" ht="15.75" x14ac:dyDescent="0.25">
      <c r="A96" s="264" t="s">
        <v>572</v>
      </c>
      <c r="B96" s="245" t="s">
        <v>472</v>
      </c>
      <c r="C96" s="245"/>
      <c r="D96" s="246" t="s">
        <v>573</v>
      </c>
      <c r="E96" s="260">
        <v>0.5708333333333333</v>
      </c>
      <c r="F96" s="261">
        <v>0.57291666666666663</v>
      </c>
      <c r="G96" s="302" t="s">
        <v>104</v>
      </c>
      <c r="H96" s="260">
        <v>0.65972222222222221</v>
      </c>
      <c r="I96" s="261" t="s">
        <v>474</v>
      </c>
      <c r="J96" s="248">
        <v>0.72013888888888888</v>
      </c>
      <c r="K96" s="248">
        <v>0.72013888888888888</v>
      </c>
      <c r="L96" s="311" t="s">
        <v>475</v>
      </c>
      <c r="M96" s="247">
        <v>0.88541666666666663</v>
      </c>
      <c r="N96" s="311" t="s">
        <v>475</v>
      </c>
      <c r="O96" s="248">
        <v>0.88888888888888884</v>
      </c>
      <c r="P96" s="245">
        <f t="shared" si="4"/>
        <v>0.31805555555555554</v>
      </c>
      <c r="Q96" s="245">
        <f t="shared" si="5"/>
        <v>0.25763888888888886</v>
      </c>
      <c r="R96" s="251">
        <f t="shared" si="6"/>
        <v>6.0416666666666674E-2</v>
      </c>
      <c r="S96" s="251"/>
      <c r="T96" s="252"/>
      <c r="W96" s="253">
        <v>0.43402777777777724</v>
      </c>
      <c r="X96" s="227">
        <v>0.52430555555555536</v>
      </c>
      <c r="Z96" s="227">
        <v>0.51041666666666641</v>
      </c>
      <c r="AA96" s="253">
        <v>0.60763888888888784</v>
      </c>
    </row>
    <row r="97" spans="1:27" ht="15.75" x14ac:dyDescent="0.25">
      <c r="A97" s="264" t="s">
        <v>574</v>
      </c>
      <c r="B97" s="258" t="s">
        <v>472</v>
      </c>
      <c r="C97" s="258"/>
      <c r="D97" s="246" t="s">
        <v>575</v>
      </c>
      <c r="E97" s="247">
        <v>0.57430555555555551</v>
      </c>
      <c r="F97" s="248">
        <v>0.57986111111111116</v>
      </c>
      <c r="G97" s="314" t="s">
        <v>475</v>
      </c>
      <c r="H97" s="247">
        <v>0.67569444444444449</v>
      </c>
      <c r="I97" s="311" t="s">
        <v>474</v>
      </c>
      <c r="J97" s="248">
        <v>0.75555555555555554</v>
      </c>
      <c r="K97" s="248">
        <v>0.75555555555555554</v>
      </c>
      <c r="L97" s="248" t="s">
        <v>474</v>
      </c>
      <c r="M97" s="247">
        <v>0.93055555555555558</v>
      </c>
      <c r="N97" s="248" t="s">
        <v>474</v>
      </c>
      <c r="O97" s="248">
        <v>0.93402777777777779</v>
      </c>
      <c r="P97" s="258">
        <f>O97-E97</f>
        <v>0.35972222222222228</v>
      </c>
      <c r="Q97" s="258">
        <f>P97-R97</f>
        <v>0.27986111111111123</v>
      </c>
      <c r="R97" s="264">
        <f>J97-H97</f>
        <v>7.9861111111111049E-2</v>
      </c>
      <c r="S97" s="264"/>
      <c r="T97" s="252"/>
      <c r="W97" s="253">
        <v>0.44097222222222221</v>
      </c>
      <c r="X97" s="227">
        <v>0.53124999999999933</v>
      </c>
      <c r="Z97" s="227">
        <v>0.51736111111111038</v>
      </c>
      <c r="AA97" s="253">
        <v>0.6166666666666667</v>
      </c>
    </row>
    <row r="98" spans="1:27" ht="15.75" x14ac:dyDescent="0.25">
      <c r="A98" s="264" t="s">
        <v>576</v>
      </c>
      <c r="B98" s="245" t="s">
        <v>472</v>
      </c>
      <c r="C98" s="245"/>
      <c r="D98" s="246" t="s">
        <v>577</v>
      </c>
      <c r="E98" s="247">
        <f>F98-TIME(,8,)</f>
        <v>0.58472222222222225</v>
      </c>
      <c r="F98" s="248">
        <v>0.59027777777777779</v>
      </c>
      <c r="G98" s="305" t="s">
        <v>474</v>
      </c>
      <c r="H98" s="247">
        <v>0.79166666666666663</v>
      </c>
      <c r="I98" s="248" t="s">
        <v>474</v>
      </c>
      <c r="J98" s="248">
        <v>0.83333333333333337</v>
      </c>
      <c r="K98" s="248">
        <v>0.83333333333333337</v>
      </c>
      <c r="L98" s="248" t="s">
        <v>475</v>
      </c>
      <c r="M98" s="247">
        <v>0.90972222222222221</v>
      </c>
      <c r="N98" s="248" t="s">
        <v>474</v>
      </c>
      <c r="O98" s="248">
        <v>0.91319444444444442</v>
      </c>
      <c r="P98" s="245">
        <f t="shared" si="4"/>
        <v>0.32847222222222217</v>
      </c>
      <c r="Q98" s="245">
        <f t="shared" si="5"/>
        <v>0.28680555555555542</v>
      </c>
      <c r="R98" s="251">
        <f t="shared" si="6"/>
        <v>4.1666666666666741E-2</v>
      </c>
      <c r="S98" s="251"/>
      <c r="T98" s="252"/>
      <c r="W98" s="253">
        <v>0.44791666666666619</v>
      </c>
      <c r="X98" s="227">
        <v>0.53819444444444342</v>
      </c>
      <c r="Z98" s="227">
        <v>0.52430555555555536</v>
      </c>
      <c r="AA98" s="253">
        <v>0.62152777777777779</v>
      </c>
    </row>
    <row r="99" spans="1:27" ht="16.5" thickBot="1" x14ac:dyDescent="0.3">
      <c r="A99" s="315" t="s">
        <v>578</v>
      </c>
      <c r="B99" s="309" t="s">
        <v>472</v>
      </c>
      <c r="C99" s="309"/>
      <c r="D99" s="316" t="s">
        <v>579</v>
      </c>
      <c r="E99" s="317">
        <v>0.58819444444444446</v>
      </c>
      <c r="F99" s="318">
        <v>0.59375</v>
      </c>
      <c r="G99" s="319" t="s">
        <v>475</v>
      </c>
      <c r="H99" s="317">
        <v>0.69444444444444442</v>
      </c>
      <c r="I99" s="318" t="s">
        <v>474</v>
      </c>
      <c r="J99" s="318">
        <v>0.77430555555555558</v>
      </c>
      <c r="K99" s="318">
        <v>0.77430555555555558</v>
      </c>
      <c r="L99" s="318" t="s">
        <v>475</v>
      </c>
      <c r="M99" s="317">
        <v>0.93402777777777779</v>
      </c>
      <c r="N99" s="318" t="s">
        <v>475</v>
      </c>
      <c r="O99" s="318">
        <v>0.9375</v>
      </c>
      <c r="P99" s="309">
        <f t="shared" si="4"/>
        <v>0.34930555555555554</v>
      </c>
      <c r="Q99" s="309">
        <f t="shared" si="5"/>
        <v>0.26944444444444438</v>
      </c>
      <c r="R99" s="320">
        <f t="shared" si="6"/>
        <v>7.986111111111116E-2</v>
      </c>
      <c r="S99" s="320"/>
      <c r="T99" s="252"/>
      <c r="W99" s="253">
        <v>0.45138888888888901</v>
      </c>
      <c r="X99" s="227">
        <v>0.55208333333333237</v>
      </c>
      <c r="Z99" s="227">
        <v>0.53124999999999933</v>
      </c>
      <c r="AA99" s="253">
        <v>0.63194444444444442</v>
      </c>
    </row>
    <row r="100" spans="1:27" ht="15.75" x14ac:dyDescent="0.25">
      <c r="A100" s="258" t="s">
        <v>580</v>
      </c>
      <c r="B100" s="237" t="s">
        <v>472</v>
      </c>
      <c r="C100" s="237"/>
      <c r="D100" s="321" t="s">
        <v>581</v>
      </c>
      <c r="E100" s="239">
        <v>0.61250000000000004</v>
      </c>
      <c r="F100" s="240">
        <v>0.61458333333333337</v>
      </c>
      <c r="G100" s="241" t="s">
        <v>104</v>
      </c>
      <c r="H100" s="322">
        <v>0.79861111111111116</v>
      </c>
      <c r="I100" s="323" t="s">
        <v>475</v>
      </c>
      <c r="J100" s="323">
        <v>0.84722222222222221</v>
      </c>
      <c r="K100" s="323">
        <v>0.84722222222222221</v>
      </c>
      <c r="L100" s="324" t="s">
        <v>475</v>
      </c>
      <c r="M100" s="322">
        <v>0.98055555555555551</v>
      </c>
      <c r="N100" s="240" t="s">
        <v>104</v>
      </c>
      <c r="O100" s="325">
        <v>0.98055555555555551</v>
      </c>
      <c r="P100" s="279">
        <f>O100-E100</f>
        <v>0.36805555555555547</v>
      </c>
      <c r="Q100" s="237">
        <f>P100-R100</f>
        <v>0.31944444444444442</v>
      </c>
      <c r="R100" s="243">
        <f>J100-H100</f>
        <v>4.8611111111111049E-2</v>
      </c>
      <c r="S100" s="243"/>
      <c r="T100" s="252"/>
      <c r="W100" s="253">
        <v>0.45833333333333298</v>
      </c>
      <c r="X100" s="227">
        <v>0.55902777777777735</v>
      </c>
      <c r="Z100" s="227">
        <v>0.53819444444444342</v>
      </c>
      <c r="AA100" s="253">
        <v>0.63749999999999996</v>
      </c>
    </row>
    <row r="101" spans="1:27" ht="15.75" x14ac:dyDescent="0.25">
      <c r="A101" s="258" t="s">
        <v>582</v>
      </c>
      <c r="B101" s="245" t="s">
        <v>472</v>
      </c>
      <c r="C101" s="245"/>
      <c r="D101" s="326" t="s">
        <v>583</v>
      </c>
      <c r="E101" s="247">
        <v>0.61597222222222225</v>
      </c>
      <c r="F101" s="248">
        <v>0.62152777777777779</v>
      </c>
      <c r="G101" s="249" t="s">
        <v>475</v>
      </c>
      <c r="H101" s="327">
        <v>0.80208333333333337</v>
      </c>
      <c r="I101" s="328" t="s">
        <v>104</v>
      </c>
      <c r="J101" s="328">
        <v>0.84027777777777779</v>
      </c>
      <c r="K101" s="328">
        <v>0.84027777777777779</v>
      </c>
      <c r="L101" s="328" t="s">
        <v>475</v>
      </c>
      <c r="M101" s="327">
        <v>0.97361111111111109</v>
      </c>
      <c r="N101" s="328" t="s">
        <v>104</v>
      </c>
      <c r="O101" s="329">
        <v>0.97361111111111109</v>
      </c>
      <c r="P101" s="294">
        <f>O101-E101</f>
        <v>0.35763888888888884</v>
      </c>
      <c r="Q101" s="245">
        <f>P101-R101</f>
        <v>0.31944444444444442</v>
      </c>
      <c r="R101" s="251">
        <f>J101-H101</f>
        <v>3.819444444444442E-2</v>
      </c>
      <c r="S101" s="251"/>
      <c r="T101" s="252"/>
      <c r="W101" s="253">
        <v>0.46527777777777801</v>
      </c>
      <c r="X101" s="227">
        <v>0.56597222222222132</v>
      </c>
      <c r="Z101" s="227">
        <v>0.5451388888888884</v>
      </c>
      <c r="AA101" s="253">
        <v>0.64236111111111116</v>
      </c>
    </row>
    <row r="102" spans="1:27" ht="15.75" x14ac:dyDescent="0.25">
      <c r="A102" s="258" t="s">
        <v>584</v>
      </c>
      <c r="B102" s="258" t="s">
        <v>472</v>
      </c>
      <c r="C102" s="258"/>
      <c r="D102" s="330" t="s">
        <v>585</v>
      </c>
      <c r="E102" s="247">
        <v>0.61597222222222225</v>
      </c>
      <c r="F102" s="248">
        <v>0.61805555555555558</v>
      </c>
      <c r="G102" s="249" t="s">
        <v>104</v>
      </c>
      <c r="H102" s="327">
        <v>0.78125</v>
      </c>
      <c r="I102" s="328" t="s">
        <v>104</v>
      </c>
      <c r="J102" s="328">
        <v>0.82638888888888884</v>
      </c>
      <c r="K102" s="328">
        <v>0.82638888888888884</v>
      </c>
      <c r="L102" s="328" t="s">
        <v>474</v>
      </c>
      <c r="M102" s="327">
        <v>0.97222222222222221</v>
      </c>
      <c r="N102" s="328" t="s">
        <v>474</v>
      </c>
      <c r="O102" s="329">
        <v>0.97569444444444442</v>
      </c>
      <c r="P102" s="331">
        <f t="shared" si="4"/>
        <v>0.35972222222222217</v>
      </c>
      <c r="Q102" s="258">
        <f t="shared" si="5"/>
        <v>0.31458333333333333</v>
      </c>
      <c r="R102" s="264">
        <f t="shared" si="6"/>
        <v>4.513888888888884E-2</v>
      </c>
      <c r="S102" s="264"/>
      <c r="T102" s="252"/>
      <c r="W102" s="253">
        <v>0.47222222222222199</v>
      </c>
      <c r="X102" s="227">
        <v>0.57291666666666641</v>
      </c>
      <c r="Z102" s="227">
        <v>0.55208333333333237</v>
      </c>
      <c r="AA102" s="332">
        <v>0.65187499999999909</v>
      </c>
    </row>
    <row r="103" spans="1:27" ht="15.75" x14ac:dyDescent="0.25">
      <c r="A103" s="258" t="s">
        <v>586</v>
      </c>
      <c r="B103" s="245" t="s">
        <v>472</v>
      </c>
      <c r="C103" s="258"/>
      <c r="D103" s="330" t="s">
        <v>587</v>
      </c>
      <c r="E103" s="247">
        <f>F103-TIME(,8,)</f>
        <v>0.62847222222222221</v>
      </c>
      <c r="F103" s="248">
        <v>0.63402777777777775</v>
      </c>
      <c r="G103" s="249" t="s">
        <v>474</v>
      </c>
      <c r="H103" s="327">
        <v>0.73402777777777772</v>
      </c>
      <c r="I103" s="328" t="s">
        <v>475</v>
      </c>
      <c r="J103" s="328">
        <v>0.80208333333333337</v>
      </c>
      <c r="K103" s="328">
        <v>0.80208333333333337</v>
      </c>
      <c r="L103" s="328" t="s">
        <v>475</v>
      </c>
      <c r="M103" s="327">
        <v>0.94791666666666663</v>
      </c>
      <c r="N103" s="328" t="s">
        <v>104</v>
      </c>
      <c r="O103" s="329">
        <v>0.94791666666666663</v>
      </c>
      <c r="P103" s="294">
        <f t="shared" si="4"/>
        <v>0.31944444444444442</v>
      </c>
      <c r="Q103" s="245">
        <f t="shared" si="5"/>
        <v>0.25138888888888877</v>
      </c>
      <c r="R103" s="251">
        <f t="shared" si="6"/>
        <v>6.8055555555555647E-2</v>
      </c>
      <c r="S103" s="251"/>
      <c r="T103" s="252"/>
      <c r="W103" s="253">
        <v>0.47916666666666596</v>
      </c>
      <c r="X103" s="227">
        <v>0.57847222222222228</v>
      </c>
      <c r="Z103" s="227">
        <v>0.55902777777777735</v>
      </c>
      <c r="AA103" s="253">
        <v>0.65625</v>
      </c>
    </row>
    <row r="104" spans="1:27" ht="15.75" x14ac:dyDescent="0.25">
      <c r="A104" s="258" t="s">
        <v>588</v>
      </c>
      <c r="B104" s="245" t="s">
        <v>472</v>
      </c>
      <c r="C104" s="258"/>
      <c r="D104" s="330" t="s">
        <v>589</v>
      </c>
      <c r="E104" s="247">
        <v>0.6381944444444444</v>
      </c>
      <c r="F104" s="248">
        <v>0.64027777777777772</v>
      </c>
      <c r="G104" s="249" t="s">
        <v>104</v>
      </c>
      <c r="H104" s="327">
        <v>0.72013888888888888</v>
      </c>
      <c r="I104" s="328" t="s">
        <v>475</v>
      </c>
      <c r="J104" s="328">
        <v>0.81944444444444442</v>
      </c>
      <c r="K104" s="328">
        <v>0.81944444444444442</v>
      </c>
      <c r="L104" s="328" t="s">
        <v>475</v>
      </c>
      <c r="M104" s="327">
        <v>1.0229166666666667</v>
      </c>
      <c r="N104" s="328" t="s">
        <v>104</v>
      </c>
      <c r="O104" s="329">
        <v>1.0229166666666667</v>
      </c>
      <c r="P104" s="294">
        <f>O104-E104</f>
        <v>0.3847222222222223</v>
      </c>
      <c r="Q104" s="245">
        <f>P104-R104</f>
        <v>0.28541666666666676</v>
      </c>
      <c r="R104" s="251">
        <f>J104-H104</f>
        <v>9.9305555555555536E-2</v>
      </c>
      <c r="S104" s="251"/>
      <c r="T104" s="252"/>
      <c r="W104" s="253">
        <v>0.48611111111111105</v>
      </c>
      <c r="X104" s="227">
        <v>0.58333333333333337</v>
      </c>
      <c r="Z104" s="227">
        <v>0.56597222222222132</v>
      </c>
      <c r="AA104" s="253">
        <v>0.6659722222222223</v>
      </c>
    </row>
    <row r="105" spans="1:27" ht="15.75" x14ac:dyDescent="0.25">
      <c r="A105" s="258" t="s">
        <v>590</v>
      </c>
      <c r="B105" s="245" t="s">
        <v>472</v>
      </c>
      <c r="C105" s="245"/>
      <c r="D105" s="326" t="s">
        <v>591</v>
      </c>
      <c r="E105" s="247">
        <v>0.64375000000000004</v>
      </c>
      <c r="F105" s="248">
        <v>0.64930555555555558</v>
      </c>
      <c r="G105" s="249" t="s">
        <v>475</v>
      </c>
      <c r="H105" s="327">
        <v>0.84027777777777779</v>
      </c>
      <c r="I105" s="328" t="s">
        <v>475</v>
      </c>
      <c r="J105" s="328">
        <v>0.92708333333333337</v>
      </c>
      <c r="K105" s="328">
        <v>0.92708333333333337</v>
      </c>
      <c r="L105" s="333" t="s">
        <v>475</v>
      </c>
      <c r="M105" s="327">
        <v>0.99375000000000002</v>
      </c>
      <c r="N105" s="328" t="s">
        <v>104</v>
      </c>
      <c r="O105" s="329">
        <v>0.99375000000000002</v>
      </c>
      <c r="P105" s="294">
        <f t="shared" si="4"/>
        <v>0.35</v>
      </c>
      <c r="Q105" s="245">
        <f t="shared" si="5"/>
        <v>0.2631944444444444</v>
      </c>
      <c r="R105" s="251">
        <f t="shared" si="6"/>
        <v>8.680555555555558E-2</v>
      </c>
      <c r="S105" s="251"/>
      <c r="T105" s="252"/>
      <c r="W105" s="253">
        <v>0.49305555555555503</v>
      </c>
      <c r="X105" s="227">
        <v>0.58888888888888891</v>
      </c>
      <c r="Z105" s="227">
        <v>0.57291666666666641</v>
      </c>
      <c r="AA105" s="253">
        <v>0.67013888888888884</v>
      </c>
    </row>
    <row r="106" spans="1:27" ht="15.75" x14ac:dyDescent="0.25">
      <c r="A106" s="258" t="s">
        <v>592</v>
      </c>
      <c r="B106" s="245" t="s">
        <v>472</v>
      </c>
      <c r="C106" s="245"/>
      <c r="D106" s="326" t="s">
        <v>593</v>
      </c>
      <c r="E106" s="247">
        <v>0.65069444444444446</v>
      </c>
      <c r="F106" s="248">
        <v>0.65625</v>
      </c>
      <c r="G106" s="249" t="s">
        <v>475</v>
      </c>
      <c r="H106" s="327">
        <v>0.75555555555555554</v>
      </c>
      <c r="I106" s="328" t="s">
        <v>474</v>
      </c>
      <c r="J106" s="328">
        <v>0.79513888888888884</v>
      </c>
      <c r="K106" s="328">
        <v>0.79513888888888884</v>
      </c>
      <c r="L106" s="328" t="s">
        <v>474</v>
      </c>
      <c r="M106" s="327">
        <v>1.0013888888888889</v>
      </c>
      <c r="N106" s="328" t="s">
        <v>104</v>
      </c>
      <c r="O106" s="329">
        <v>1.0013888888888889</v>
      </c>
      <c r="P106" s="294">
        <f>O106-E106</f>
        <v>0.35069444444444442</v>
      </c>
      <c r="Q106" s="245">
        <f>P106-R106</f>
        <v>0.31111111111111112</v>
      </c>
      <c r="R106" s="251">
        <f>J106-H106</f>
        <v>3.9583333333333304E-2</v>
      </c>
      <c r="S106" s="251"/>
      <c r="T106" s="252"/>
      <c r="W106" s="253">
        <v>0.5</v>
      </c>
      <c r="X106" s="227">
        <v>0.59930555555555554</v>
      </c>
      <c r="Z106" s="227">
        <v>0.57847222222222228</v>
      </c>
      <c r="AA106" s="253">
        <v>0.67986111111111114</v>
      </c>
    </row>
    <row r="107" spans="1:27" ht="15.75" x14ac:dyDescent="0.25">
      <c r="A107" s="258" t="s">
        <v>594</v>
      </c>
      <c r="B107" s="245" t="s">
        <v>472</v>
      </c>
      <c r="C107" s="245"/>
      <c r="D107" s="326" t="s">
        <v>595</v>
      </c>
      <c r="E107" s="247">
        <f>F107-TIME(,8,)</f>
        <v>0.65416666666666667</v>
      </c>
      <c r="F107" s="248">
        <v>0.65972222222222221</v>
      </c>
      <c r="G107" s="249" t="s">
        <v>474</v>
      </c>
      <c r="H107" s="327">
        <v>0.83958333333333335</v>
      </c>
      <c r="I107" s="328" t="s">
        <v>104</v>
      </c>
      <c r="J107" s="328">
        <v>0.88541666666666663</v>
      </c>
      <c r="K107" s="328">
        <v>0.88541666666666663</v>
      </c>
      <c r="L107" s="328" t="s">
        <v>475</v>
      </c>
      <c r="M107" s="327">
        <v>1.0083333333333333</v>
      </c>
      <c r="N107" s="328" t="s">
        <v>104</v>
      </c>
      <c r="O107" s="329">
        <v>1.0083333333333333</v>
      </c>
      <c r="P107" s="294">
        <f t="shared" si="4"/>
        <v>0.35416666666666663</v>
      </c>
      <c r="Q107" s="245">
        <f t="shared" si="5"/>
        <v>0.30833333333333335</v>
      </c>
      <c r="R107" s="251">
        <f t="shared" si="6"/>
        <v>4.5833333333333282E-2</v>
      </c>
      <c r="S107" s="251"/>
      <c r="T107" s="252"/>
      <c r="W107" s="253">
        <v>0.50694444444444398</v>
      </c>
      <c r="X107" s="227">
        <v>0.60416666666666674</v>
      </c>
      <c r="Z107" s="227">
        <v>0.58333333333333337</v>
      </c>
      <c r="AA107" s="253">
        <v>0.68402777777777779</v>
      </c>
    </row>
    <row r="108" spans="1:27" ht="15.75" x14ac:dyDescent="0.25">
      <c r="A108" s="258" t="s">
        <v>596</v>
      </c>
      <c r="B108" s="245" t="s">
        <v>472</v>
      </c>
      <c r="C108" s="245"/>
      <c r="D108" s="326" t="s">
        <v>597</v>
      </c>
      <c r="E108" s="247">
        <v>0.65763888888888888</v>
      </c>
      <c r="F108" s="248">
        <v>0.65972222222222221</v>
      </c>
      <c r="G108" s="249" t="s">
        <v>104</v>
      </c>
      <c r="H108" s="327">
        <v>0.84722222222222221</v>
      </c>
      <c r="I108" s="328" t="s">
        <v>475</v>
      </c>
      <c r="J108" s="328">
        <v>0.89236111111111116</v>
      </c>
      <c r="K108" s="328">
        <v>0.89236111111111116</v>
      </c>
      <c r="L108" s="328" t="s">
        <v>475</v>
      </c>
      <c r="M108" s="327">
        <v>1.0152777777777777</v>
      </c>
      <c r="N108" s="328" t="s">
        <v>104</v>
      </c>
      <c r="O108" s="329">
        <v>1.0152777777777777</v>
      </c>
      <c r="P108" s="294">
        <f t="shared" si="4"/>
        <v>0.35763888888888884</v>
      </c>
      <c r="Q108" s="245">
        <f t="shared" si="5"/>
        <v>0.31249999999999989</v>
      </c>
      <c r="R108" s="251">
        <f t="shared" si="6"/>
        <v>4.5138888888888951E-2</v>
      </c>
      <c r="S108" s="251"/>
      <c r="T108" s="252"/>
      <c r="W108" s="253">
        <v>0.51388888888888795</v>
      </c>
      <c r="X108" s="227">
        <v>0.60972222222222228</v>
      </c>
      <c r="Z108" s="227">
        <v>0.58888888888888891</v>
      </c>
      <c r="AA108" s="253">
        <v>0.68888888888888899</v>
      </c>
    </row>
    <row r="109" spans="1:27" ht="15.75" x14ac:dyDescent="0.25">
      <c r="A109" s="258" t="s">
        <v>598</v>
      </c>
      <c r="B109" s="245" t="s">
        <v>472</v>
      </c>
      <c r="C109" s="245"/>
      <c r="D109" s="326" t="s">
        <v>599</v>
      </c>
      <c r="E109" s="247">
        <v>0.65972222222222221</v>
      </c>
      <c r="F109" s="248">
        <v>0.66527777777777775</v>
      </c>
      <c r="G109" s="249" t="s">
        <v>475</v>
      </c>
      <c r="H109" s="327">
        <v>0.8354166666666667</v>
      </c>
      <c r="I109" s="328" t="s">
        <v>104</v>
      </c>
      <c r="J109" s="328">
        <v>0.89583333333333337</v>
      </c>
      <c r="K109" s="328">
        <v>0.89583333333333337</v>
      </c>
      <c r="L109" s="328" t="s">
        <v>475</v>
      </c>
      <c r="M109" s="327">
        <v>1.0222222222222221</v>
      </c>
      <c r="N109" s="328" t="s">
        <v>104</v>
      </c>
      <c r="O109" s="329">
        <v>1.0222222222222221</v>
      </c>
      <c r="P109" s="294">
        <f>O109-E109</f>
        <v>0.36249999999999993</v>
      </c>
      <c r="Q109" s="245">
        <f>P109-R109</f>
        <v>0.30208333333333326</v>
      </c>
      <c r="R109" s="251">
        <f>J109-H109</f>
        <v>6.0416666666666674E-2</v>
      </c>
      <c r="S109" s="251"/>
      <c r="T109" s="252"/>
      <c r="W109" s="253">
        <v>0.52083333333333304</v>
      </c>
      <c r="X109" s="227">
        <v>0.62013888888888891</v>
      </c>
      <c r="Z109" s="227">
        <v>0.59375</v>
      </c>
      <c r="AA109" s="253">
        <v>0.70138888888888884</v>
      </c>
    </row>
    <row r="110" spans="1:27" ht="15.75" x14ac:dyDescent="0.25">
      <c r="A110" s="258" t="s">
        <v>600</v>
      </c>
      <c r="B110" s="245" t="s">
        <v>472</v>
      </c>
      <c r="C110" s="245"/>
      <c r="D110" s="326" t="s">
        <v>601</v>
      </c>
      <c r="E110" s="247">
        <f>F110-TIME(,8,)</f>
        <v>0.6645833333333333</v>
      </c>
      <c r="F110" s="248">
        <v>0.67013888888888884</v>
      </c>
      <c r="G110" s="249" t="s">
        <v>474</v>
      </c>
      <c r="H110" s="327">
        <v>0.77430555555555558</v>
      </c>
      <c r="I110" s="328" t="s">
        <v>475</v>
      </c>
      <c r="J110" s="328">
        <v>0.8125</v>
      </c>
      <c r="K110" s="328">
        <v>0.8125</v>
      </c>
      <c r="L110" s="328" t="s">
        <v>475</v>
      </c>
      <c r="M110" s="327">
        <v>0.95486111111111116</v>
      </c>
      <c r="N110" s="328" t="s">
        <v>104</v>
      </c>
      <c r="O110" s="329">
        <v>0.95486111111111116</v>
      </c>
      <c r="P110" s="294">
        <f t="shared" si="4"/>
        <v>0.29027777777777786</v>
      </c>
      <c r="Q110" s="245">
        <f t="shared" si="5"/>
        <v>0.25208333333333344</v>
      </c>
      <c r="R110" s="251">
        <f t="shared" si="6"/>
        <v>3.819444444444442E-2</v>
      </c>
      <c r="S110" s="251"/>
      <c r="T110" s="252"/>
      <c r="W110" s="253">
        <v>0.52777777777777701</v>
      </c>
      <c r="X110" s="227">
        <v>0.625</v>
      </c>
      <c r="Z110" s="227">
        <v>0.59930555555555554</v>
      </c>
      <c r="AA110" s="253">
        <v>0.70694444444444438</v>
      </c>
    </row>
    <row r="111" spans="1:27" ht="15.75" x14ac:dyDescent="0.25">
      <c r="A111" s="258" t="s">
        <v>602</v>
      </c>
      <c r="B111" s="245" t="s">
        <v>472</v>
      </c>
      <c r="C111" s="245"/>
      <c r="D111" s="326" t="s">
        <v>603</v>
      </c>
      <c r="E111" s="247">
        <v>0.6645833333333333</v>
      </c>
      <c r="F111" s="248">
        <v>0.67013888888888884</v>
      </c>
      <c r="G111" s="249" t="s">
        <v>475</v>
      </c>
      <c r="H111" s="327">
        <v>0.84097222222222223</v>
      </c>
      <c r="I111" s="328" t="s">
        <v>104</v>
      </c>
      <c r="J111" s="328">
        <v>0.91319444444444442</v>
      </c>
      <c r="K111" s="328">
        <v>0.91319444444444442</v>
      </c>
      <c r="L111" s="328" t="s">
        <v>475</v>
      </c>
      <c r="M111" s="327">
        <v>1.0361111111111112</v>
      </c>
      <c r="N111" s="328" t="s">
        <v>104</v>
      </c>
      <c r="O111" s="329">
        <v>1.0361111111111112</v>
      </c>
      <c r="P111" s="294">
        <f t="shared" si="4"/>
        <v>0.3715277777777779</v>
      </c>
      <c r="Q111" s="245">
        <f t="shared" si="5"/>
        <v>0.29930555555555571</v>
      </c>
      <c r="R111" s="251">
        <f t="shared" si="6"/>
        <v>7.2222222222222188E-2</v>
      </c>
      <c r="S111" s="251"/>
      <c r="T111" s="252"/>
      <c r="W111" s="253">
        <v>0.53472222222222199</v>
      </c>
      <c r="X111" s="227">
        <v>0.63055555555555554</v>
      </c>
      <c r="Z111" s="227">
        <v>0.60416666666666674</v>
      </c>
      <c r="AA111" s="253">
        <v>0.71180555555555558</v>
      </c>
    </row>
    <row r="112" spans="1:27" ht="15.75" x14ac:dyDescent="0.25">
      <c r="A112" s="258" t="s">
        <v>604</v>
      </c>
      <c r="B112" s="245" t="s">
        <v>472</v>
      </c>
      <c r="C112" s="245"/>
      <c r="D112" s="326" t="s">
        <v>605</v>
      </c>
      <c r="E112" s="247">
        <f>F112-TIME(,8,)</f>
        <v>0.67013888888888895</v>
      </c>
      <c r="F112" s="248">
        <v>0.67569444444444449</v>
      </c>
      <c r="G112" s="249" t="s">
        <v>474</v>
      </c>
      <c r="H112" s="327">
        <v>0.86458333333333337</v>
      </c>
      <c r="I112" s="328" t="s">
        <v>474</v>
      </c>
      <c r="J112" s="328">
        <v>0.92013888888888884</v>
      </c>
      <c r="K112" s="328">
        <v>0.92013888888888884</v>
      </c>
      <c r="L112" s="328" t="s">
        <v>475</v>
      </c>
      <c r="M112" s="327">
        <v>1.0430555555555556</v>
      </c>
      <c r="N112" s="328" t="s">
        <v>104</v>
      </c>
      <c r="O112" s="329">
        <v>1.0430555555555556</v>
      </c>
      <c r="P112" s="294">
        <f t="shared" si="4"/>
        <v>0.37291666666666667</v>
      </c>
      <c r="Q112" s="245">
        <f t="shared" si="5"/>
        <v>0.3173611111111112</v>
      </c>
      <c r="R112" s="251">
        <f t="shared" si="6"/>
        <v>5.5555555555555469E-2</v>
      </c>
      <c r="S112" s="251"/>
      <c r="T112" s="252"/>
      <c r="W112" s="253">
        <v>0.54166666666666663</v>
      </c>
      <c r="X112" s="227">
        <v>0.64097222222222228</v>
      </c>
      <c r="Z112" s="227">
        <v>0.60972222222222228</v>
      </c>
      <c r="AA112" s="253">
        <v>0.71736111111111112</v>
      </c>
    </row>
    <row r="113" spans="1:28" ht="15.75" x14ac:dyDescent="0.25">
      <c r="A113" s="258" t="s">
        <v>606</v>
      </c>
      <c r="B113" s="245" t="s">
        <v>472</v>
      </c>
      <c r="C113" s="245"/>
      <c r="D113" s="326" t="s">
        <v>607</v>
      </c>
      <c r="E113" s="247">
        <v>0.67500000000000004</v>
      </c>
      <c r="F113" s="248">
        <v>0.68055555555555558</v>
      </c>
      <c r="G113" s="249" t="s">
        <v>475</v>
      </c>
      <c r="H113" s="327">
        <v>0.85138888888888886</v>
      </c>
      <c r="I113" s="328" t="s">
        <v>104</v>
      </c>
      <c r="J113" s="328">
        <v>0.90972222222222221</v>
      </c>
      <c r="K113" s="328">
        <v>0.90972222222222221</v>
      </c>
      <c r="L113" s="328" t="s">
        <v>474</v>
      </c>
      <c r="M113" s="327">
        <v>1.04375</v>
      </c>
      <c r="N113" s="328" t="s">
        <v>104</v>
      </c>
      <c r="O113" s="329">
        <v>1.04375</v>
      </c>
      <c r="P113" s="294">
        <f t="shared" si="4"/>
        <v>0.36874999999999991</v>
      </c>
      <c r="Q113" s="245">
        <f t="shared" si="5"/>
        <v>0.31041666666666656</v>
      </c>
      <c r="R113" s="251">
        <f t="shared" si="6"/>
        <v>5.8333333333333348E-2</v>
      </c>
      <c r="S113" s="251"/>
      <c r="T113" s="252"/>
      <c r="W113" s="253">
        <v>0.54861111111111005</v>
      </c>
      <c r="X113" s="227">
        <v>0.64583333333333337</v>
      </c>
      <c r="Z113" s="227">
        <v>0.61458333333333337</v>
      </c>
      <c r="AA113" s="253">
        <v>0.72222222222222221</v>
      </c>
    </row>
    <row r="114" spans="1:28" ht="15.75" x14ac:dyDescent="0.25">
      <c r="A114" s="258" t="s">
        <v>608</v>
      </c>
      <c r="B114" s="258" t="s">
        <v>472</v>
      </c>
      <c r="C114" s="258"/>
      <c r="D114" s="326" t="s">
        <v>609</v>
      </c>
      <c r="E114" s="260">
        <v>0.68055555555555558</v>
      </c>
      <c r="F114" s="261">
        <v>0.68611111111111112</v>
      </c>
      <c r="G114" s="262" t="s">
        <v>475</v>
      </c>
      <c r="H114" s="334">
        <v>0.78819444444444442</v>
      </c>
      <c r="I114" s="335" t="s">
        <v>474</v>
      </c>
      <c r="J114" s="335">
        <v>0.82638888888888884</v>
      </c>
      <c r="K114" s="335">
        <v>0.82638888888888884</v>
      </c>
      <c r="L114" s="335" t="s">
        <v>475</v>
      </c>
      <c r="M114" s="334">
        <v>1.0298611111111111</v>
      </c>
      <c r="N114" s="335" t="s">
        <v>104</v>
      </c>
      <c r="O114" s="336">
        <v>1.0298611111111111</v>
      </c>
      <c r="P114" s="331">
        <f t="shared" si="4"/>
        <v>0.34930555555555554</v>
      </c>
      <c r="Q114" s="258">
        <f t="shared" si="5"/>
        <v>0.31111111111111112</v>
      </c>
      <c r="R114" s="264">
        <f t="shared" si="6"/>
        <v>3.819444444444442E-2</v>
      </c>
      <c r="S114" s="264"/>
      <c r="T114" s="252"/>
      <c r="W114" s="253">
        <v>0.55555555555555503</v>
      </c>
      <c r="X114" s="227">
        <v>0.65138888888888891</v>
      </c>
      <c r="Z114" s="227">
        <v>0.62013888888888891</v>
      </c>
      <c r="AA114" s="253">
        <v>0.72777777777777775</v>
      </c>
    </row>
    <row r="115" spans="1:28" ht="16.5" thickBot="1" x14ac:dyDescent="0.3">
      <c r="A115" s="258" t="s">
        <v>610</v>
      </c>
      <c r="B115" s="268" t="s">
        <v>472</v>
      </c>
      <c r="C115" s="309"/>
      <c r="D115" s="326" t="s">
        <v>611</v>
      </c>
      <c r="E115" s="270">
        <v>0.70625000000000004</v>
      </c>
      <c r="F115" s="271">
        <v>0.70833333333333337</v>
      </c>
      <c r="G115" s="272" t="s">
        <v>533</v>
      </c>
      <c r="H115" s="337">
        <v>0.84375</v>
      </c>
      <c r="I115" s="338" t="s">
        <v>533</v>
      </c>
      <c r="J115" s="338">
        <v>0.93055555555555558</v>
      </c>
      <c r="K115" s="338">
        <v>0.93055555555555558</v>
      </c>
      <c r="L115" s="338" t="s">
        <v>474</v>
      </c>
      <c r="M115" s="337">
        <v>1.0576388888888888</v>
      </c>
      <c r="N115" s="338" t="s">
        <v>104</v>
      </c>
      <c r="O115" s="339">
        <v>1.0576388888888888</v>
      </c>
      <c r="P115" s="340">
        <f t="shared" si="4"/>
        <v>0.35138888888888875</v>
      </c>
      <c r="Q115" s="268">
        <f t="shared" si="5"/>
        <v>0.26458333333333317</v>
      </c>
      <c r="R115" s="275">
        <f t="shared" si="6"/>
        <v>8.680555555555558E-2</v>
      </c>
      <c r="S115" s="264"/>
      <c r="T115" s="252"/>
      <c r="W115" s="253">
        <v>0.562499999999999</v>
      </c>
      <c r="X115" s="227">
        <v>0.66180555555555554</v>
      </c>
      <c r="Z115" s="227">
        <v>0.625</v>
      </c>
      <c r="AA115" s="253">
        <v>0.73263888888888884</v>
      </c>
    </row>
    <row r="116" spans="1:28" ht="16.5" thickBot="1" x14ac:dyDescent="0.3">
      <c r="A116" s="341"/>
      <c r="B116" s="342"/>
      <c r="C116" s="342"/>
      <c r="D116" s="343"/>
      <c r="E116" s="344"/>
      <c r="F116" s="344"/>
      <c r="G116" s="344"/>
      <c r="H116" s="344"/>
      <c r="I116" s="344"/>
      <c r="J116" s="344"/>
      <c r="K116" s="344"/>
      <c r="L116" s="344"/>
      <c r="M116" s="344"/>
      <c r="N116" s="344"/>
      <c r="O116" s="344"/>
      <c r="P116" s="345">
        <f>COUNTIF(P52:P115,"&gt;9:00")/COUNT(P52:P115)</f>
        <v>0.109375</v>
      </c>
      <c r="Q116" s="346">
        <f>AVERAGE(Q52:Q115)</f>
        <v>0.28670789930555551</v>
      </c>
      <c r="R116" s="347"/>
      <c r="S116" s="347"/>
      <c r="T116" s="252"/>
      <c r="W116" s="253">
        <v>0.56944444444444398</v>
      </c>
      <c r="X116" s="227">
        <v>0.67222222222222228</v>
      </c>
      <c r="Z116" s="287">
        <v>0.63055555555555554</v>
      </c>
      <c r="AA116" s="348">
        <v>0.73819444444444438</v>
      </c>
    </row>
    <row r="117" spans="1:28" ht="16.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252"/>
      <c r="W117" s="253">
        <v>0.57291666666666574</v>
      </c>
      <c r="X117" s="227">
        <v>0.67708333333333337</v>
      </c>
      <c r="Y117" s="289" t="s">
        <v>29</v>
      </c>
      <c r="Z117" s="349">
        <v>0.63541666666666663</v>
      </c>
      <c r="AA117" s="350">
        <v>0.70416666666666661</v>
      </c>
      <c r="AB117" s="292" t="s">
        <v>510</v>
      </c>
    </row>
    <row r="118" spans="1:28" ht="16.5" thickBot="1" x14ac:dyDescent="0.3">
      <c r="A118" s="700" t="s">
        <v>457</v>
      </c>
      <c r="B118" s="223" t="s">
        <v>458</v>
      </c>
      <c r="C118" s="223"/>
      <c r="D118" s="703" t="s">
        <v>459</v>
      </c>
      <c r="E118" s="702" t="s">
        <v>460</v>
      </c>
      <c r="F118" s="702"/>
      <c r="G118" s="702"/>
      <c r="H118" s="702" t="s">
        <v>461</v>
      </c>
      <c r="I118" s="702"/>
      <c r="J118" s="702"/>
      <c r="K118" s="702"/>
      <c r="L118" s="702"/>
      <c r="M118" s="702" t="s">
        <v>462</v>
      </c>
      <c r="N118" s="702"/>
      <c r="O118" s="702"/>
      <c r="P118" s="700" t="s">
        <v>463</v>
      </c>
      <c r="Q118" s="700" t="s">
        <v>464</v>
      </c>
      <c r="R118" s="700" t="s">
        <v>465</v>
      </c>
      <c r="S118" s="700"/>
      <c r="T118" s="252"/>
      <c r="W118" s="253">
        <v>0.57986111111111083</v>
      </c>
      <c r="X118" s="227">
        <v>0.68263888888888891</v>
      </c>
      <c r="Z118" s="308">
        <v>0.63541666666666674</v>
      </c>
      <c r="AA118" s="351">
        <v>0.73819444444444449</v>
      </c>
    </row>
    <row r="119" spans="1:28" ht="16.5" thickBot="1" x14ac:dyDescent="0.3">
      <c r="A119" s="701"/>
      <c r="B119" s="352" t="s">
        <v>466</v>
      </c>
      <c r="C119" s="352"/>
      <c r="D119" s="704"/>
      <c r="E119" s="353" t="s">
        <v>467</v>
      </c>
      <c r="F119" s="354" t="s">
        <v>468</v>
      </c>
      <c r="G119" s="355" t="s">
        <v>469</v>
      </c>
      <c r="H119" s="353" t="s">
        <v>460</v>
      </c>
      <c r="I119" s="354" t="s">
        <v>469</v>
      </c>
      <c r="J119" s="354" t="s">
        <v>467</v>
      </c>
      <c r="K119" s="354" t="s">
        <v>460</v>
      </c>
      <c r="L119" s="354" t="s">
        <v>469</v>
      </c>
      <c r="M119" s="356" t="s">
        <v>462</v>
      </c>
      <c r="N119" s="357" t="s">
        <v>469</v>
      </c>
      <c r="O119" s="354" t="s">
        <v>470</v>
      </c>
      <c r="P119" s="701"/>
      <c r="Q119" s="701"/>
      <c r="R119" s="701"/>
      <c r="S119" s="701"/>
      <c r="T119" s="252"/>
      <c r="W119" s="253">
        <v>0.5868055555555548</v>
      </c>
      <c r="X119" s="227">
        <v>0.69305555555555554</v>
      </c>
      <c r="Z119" s="287">
        <v>0.64097222222222228</v>
      </c>
      <c r="AA119" s="348">
        <v>0.74652777777777779</v>
      </c>
    </row>
    <row r="120" spans="1:28" ht="16.5" thickBot="1" x14ac:dyDescent="0.3">
      <c r="A120" s="237" t="s">
        <v>612</v>
      </c>
      <c r="B120" s="237" t="s">
        <v>472</v>
      </c>
      <c r="C120" s="237"/>
      <c r="D120" s="238" t="s">
        <v>613</v>
      </c>
      <c r="E120" s="239">
        <v>0.26527777777777778</v>
      </c>
      <c r="F120" s="240">
        <v>0.27083333333333331</v>
      </c>
      <c r="G120" s="241" t="s">
        <v>104</v>
      </c>
      <c r="H120" s="239">
        <v>0.4548611111111111</v>
      </c>
      <c r="I120" s="240" t="s">
        <v>475</v>
      </c>
      <c r="J120" s="240">
        <v>0.54513888888888884</v>
      </c>
      <c r="K120" s="240">
        <v>0.54513888888888884</v>
      </c>
      <c r="L120" s="240" t="s">
        <v>475</v>
      </c>
      <c r="M120" s="239">
        <v>0.64236111111111116</v>
      </c>
      <c r="N120" s="240" t="s">
        <v>474</v>
      </c>
      <c r="O120" s="240">
        <v>0.64583333333333337</v>
      </c>
      <c r="P120" s="237">
        <f>O120-E120</f>
        <v>0.38055555555555559</v>
      </c>
      <c r="Q120" s="237">
        <f>P120-R120</f>
        <v>0.29027777777777786</v>
      </c>
      <c r="R120" s="243">
        <f>J120-H120</f>
        <v>9.0277777777777735E-2</v>
      </c>
      <c r="S120" s="243"/>
      <c r="T120" s="252"/>
      <c r="W120" s="253">
        <v>0.59374999999999878</v>
      </c>
      <c r="X120" s="227">
        <v>0.69791666666666674</v>
      </c>
      <c r="Y120" s="289" t="s">
        <v>31</v>
      </c>
      <c r="Z120" s="349">
        <v>0.64583333333333337</v>
      </c>
      <c r="AA120" s="350">
        <v>0.71527777777777779</v>
      </c>
      <c r="AB120" s="292" t="s">
        <v>510</v>
      </c>
    </row>
    <row r="121" spans="1:28" ht="15.75" x14ac:dyDescent="0.25">
      <c r="A121" s="264" t="s">
        <v>614</v>
      </c>
      <c r="B121" s="258" t="s">
        <v>472</v>
      </c>
      <c r="C121" s="258"/>
      <c r="D121" s="259" t="s">
        <v>615</v>
      </c>
      <c r="E121" s="260">
        <v>0.26527777777777778</v>
      </c>
      <c r="F121" s="261">
        <v>0.27083333333333331</v>
      </c>
      <c r="G121" s="262" t="s">
        <v>533</v>
      </c>
      <c r="H121" s="260">
        <v>0.41666666666666669</v>
      </c>
      <c r="I121" s="261" t="s">
        <v>533</v>
      </c>
      <c r="J121" s="262">
        <v>0.47569444444444442</v>
      </c>
      <c r="K121" s="261">
        <v>0.47569444444444442</v>
      </c>
      <c r="L121" s="358" t="s">
        <v>474</v>
      </c>
      <c r="M121" s="260">
        <v>0.67013888888888884</v>
      </c>
      <c r="N121" s="310" t="s">
        <v>474</v>
      </c>
      <c r="O121" s="359">
        <v>0.67361111111111116</v>
      </c>
      <c r="P121" s="258">
        <f>O121-E121</f>
        <v>0.40833333333333338</v>
      </c>
      <c r="Q121" s="258">
        <f>P121-R121</f>
        <v>0.34930555555555565</v>
      </c>
      <c r="R121" s="264">
        <f>J121-H121</f>
        <v>5.9027777777777735E-2</v>
      </c>
      <c r="S121" s="264"/>
      <c r="T121" s="252"/>
      <c r="W121" s="253">
        <v>0.60069444444444375</v>
      </c>
      <c r="X121" s="227">
        <v>0.70347222222222228</v>
      </c>
      <c r="Z121" s="308">
        <v>0.64583333333333337</v>
      </c>
      <c r="AA121" s="360">
        <v>0.75347222222222221</v>
      </c>
    </row>
    <row r="122" spans="1:28" ht="16.5" thickBot="1" x14ac:dyDescent="0.3">
      <c r="A122" s="258" t="s">
        <v>616</v>
      </c>
      <c r="B122" s="258" t="s">
        <v>472</v>
      </c>
      <c r="C122" s="258"/>
      <c r="D122" s="259" t="s">
        <v>617</v>
      </c>
      <c r="E122" s="260">
        <v>0.26874999999999999</v>
      </c>
      <c r="F122" s="261">
        <v>0.27430555555555558</v>
      </c>
      <c r="G122" s="358" t="s">
        <v>104</v>
      </c>
      <c r="H122" s="260">
        <v>0.4513888888888889</v>
      </c>
      <c r="I122" s="310" t="s">
        <v>474</v>
      </c>
      <c r="J122" s="261">
        <v>0.55208333333333337</v>
      </c>
      <c r="K122" s="261">
        <v>0.55208333333333337</v>
      </c>
      <c r="L122" s="262" t="s">
        <v>474</v>
      </c>
      <c r="M122" s="260">
        <v>0.65625</v>
      </c>
      <c r="N122" s="261" t="s">
        <v>475</v>
      </c>
      <c r="O122" s="261">
        <v>0.65972222222222221</v>
      </c>
      <c r="P122" s="258">
        <f>O122-E122</f>
        <v>0.39097222222222222</v>
      </c>
      <c r="Q122" s="258">
        <f>P122-R122</f>
        <v>0.29027777777777775</v>
      </c>
      <c r="R122" s="264">
        <f>J122-H122</f>
        <v>0.10069444444444448</v>
      </c>
      <c r="S122" s="264"/>
      <c r="T122" s="252"/>
      <c r="W122" s="253">
        <v>0.60763888888888784</v>
      </c>
      <c r="X122" s="227">
        <v>0.71388888888888891</v>
      </c>
      <c r="Z122" s="287">
        <v>0.65138888888888891</v>
      </c>
      <c r="AA122" s="361">
        <v>0.75347222222222221</v>
      </c>
    </row>
    <row r="123" spans="1:28" ht="16.5" thickBot="1" x14ac:dyDescent="0.3">
      <c r="A123" s="258" t="s">
        <v>618</v>
      </c>
      <c r="B123" s="258" t="s">
        <v>472</v>
      </c>
      <c r="C123" s="258"/>
      <c r="D123" s="259" t="s">
        <v>619</v>
      </c>
      <c r="E123" s="260">
        <v>0.2722222222222222</v>
      </c>
      <c r="F123" s="261">
        <v>0.27777777777777779</v>
      </c>
      <c r="G123" s="358" t="s">
        <v>533</v>
      </c>
      <c r="H123" s="260">
        <v>0.4236111111111111</v>
      </c>
      <c r="I123" s="310" t="s">
        <v>533</v>
      </c>
      <c r="J123" s="261">
        <v>0.55208333333333337</v>
      </c>
      <c r="K123" s="261">
        <v>0.55208333333333337</v>
      </c>
      <c r="L123" s="310" t="s">
        <v>475</v>
      </c>
      <c r="M123" s="260">
        <v>0.75347222222222221</v>
      </c>
      <c r="N123" s="310" t="s">
        <v>475</v>
      </c>
      <c r="O123" s="261">
        <v>0.75694444444444442</v>
      </c>
      <c r="P123" s="258">
        <f t="shared" ref="P123:P145" si="10">O123-E123</f>
        <v>0.48472222222222222</v>
      </c>
      <c r="Q123" s="258">
        <f t="shared" ref="Q123:Q145" si="11">P123-R123</f>
        <v>0.35624999999999996</v>
      </c>
      <c r="R123" s="264">
        <f t="shared" ref="R123:R145" si="12">J123-H123</f>
        <v>0.12847222222222227</v>
      </c>
      <c r="S123" s="264"/>
      <c r="T123" s="252"/>
      <c r="W123" s="253">
        <v>0.61111111111111116</v>
      </c>
      <c r="X123" s="230">
        <v>0.71388888888888891</v>
      </c>
      <c r="Y123" s="289" t="s">
        <v>34</v>
      </c>
      <c r="Z123" s="349">
        <v>0.65625</v>
      </c>
      <c r="AA123" s="350">
        <v>0.72569444444444442</v>
      </c>
      <c r="AB123" s="292" t="s">
        <v>510</v>
      </c>
    </row>
    <row r="124" spans="1:28" ht="15.75" x14ac:dyDescent="0.25">
      <c r="A124" s="245" t="s">
        <v>620</v>
      </c>
      <c r="B124" s="245" t="s">
        <v>472</v>
      </c>
      <c r="C124" s="245"/>
      <c r="D124" s="259" t="s">
        <v>621</v>
      </c>
      <c r="E124" s="247">
        <v>0.27430555555555558</v>
      </c>
      <c r="F124" s="248">
        <v>0.27986111111111112</v>
      </c>
      <c r="G124" s="362" t="s">
        <v>104</v>
      </c>
      <c r="H124" s="247">
        <v>0.45833333333333331</v>
      </c>
      <c r="I124" s="311" t="s">
        <v>474</v>
      </c>
      <c r="J124" s="261">
        <v>0.58125000000000004</v>
      </c>
      <c r="K124" s="261">
        <v>0.58333333333333337</v>
      </c>
      <c r="L124" s="310" t="s">
        <v>104</v>
      </c>
      <c r="M124" s="260">
        <v>0.74513888888888891</v>
      </c>
      <c r="N124" s="310" t="s">
        <v>104</v>
      </c>
      <c r="O124" s="261">
        <v>0.74513888888888891</v>
      </c>
      <c r="P124" s="245">
        <f>O124-E124</f>
        <v>0.47083333333333333</v>
      </c>
      <c r="Q124" s="245">
        <f>P124-R124</f>
        <v>0.3479166666666666</v>
      </c>
      <c r="R124" s="251">
        <f>J124-H124</f>
        <v>0.12291666666666673</v>
      </c>
      <c r="S124" s="251"/>
      <c r="T124" s="252"/>
      <c r="W124" s="253">
        <v>0.6166666666666667</v>
      </c>
      <c r="X124" s="227">
        <v>0.72222222222222221</v>
      </c>
      <c r="Z124" s="308">
        <v>0.65625</v>
      </c>
      <c r="AA124" s="360">
        <v>0.76041666666666641</v>
      </c>
    </row>
    <row r="125" spans="1:28" ht="16.5" thickBot="1" x14ac:dyDescent="0.3">
      <c r="A125" s="245" t="s">
        <v>622</v>
      </c>
      <c r="B125" s="245" t="s">
        <v>472</v>
      </c>
      <c r="C125" s="245"/>
      <c r="D125" s="259" t="s">
        <v>623</v>
      </c>
      <c r="E125" s="247">
        <v>0.27916666666666667</v>
      </c>
      <c r="F125" s="248">
        <v>0.28472222222222221</v>
      </c>
      <c r="G125" s="362" t="s">
        <v>104</v>
      </c>
      <c r="H125" s="247">
        <v>0.46875</v>
      </c>
      <c r="I125" s="311" t="s">
        <v>475</v>
      </c>
      <c r="J125" s="261">
        <v>0.59166666666666667</v>
      </c>
      <c r="K125" s="261">
        <v>0.59375</v>
      </c>
      <c r="L125" s="310" t="s">
        <v>104</v>
      </c>
      <c r="M125" s="260">
        <v>0.76249999999999996</v>
      </c>
      <c r="N125" s="310" t="s">
        <v>104</v>
      </c>
      <c r="O125" s="261">
        <v>0.76249999999999996</v>
      </c>
      <c r="P125" s="245">
        <f>O125-E125</f>
        <v>0.48333333333333328</v>
      </c>
      <c r="Q125" s="245">
        <f>P125-R125</f>
        <v>0.36041666666666661</v>
      </c>
      <c r="R125" s="251">
        <f>J125-H125</f>
        <v>0.12291666666666667</v>
      </c>
      <c r="S125" s="251"/>
      <c r="T125" s="252"/>
      <c r="W125" s="253">
        <v>0.62152777777777779</v>
      </c>
      <c r="X125" s="227">
        <v>0.72777777777777775</v>
      </c>
      <c r="Z125" s="287">
        <v>0.66180555555555554</v>
      </c>
      <c r="AA125" s="348">
        <v>0.76736111111111138</v>
      </c>
    </row>
    <row r="126" spans="1:28" ht="16.5" thickBot="1" x14ac:dyDescent="0.3">
      <c r="A126" s="245" t="s">
        <v>624</v>
      </c>
      <c r="B126" s="245" t="s">
        <v>472</v>
      </c>
      <c r="C126" s="245"/>
      <c r="D126" s="259" t="s">
        <v>625</v>
      </c>
      <c r="E126" s="247">
        <v>0.27916666666666667</v>
      </c>
      <c r="F126" s="248">
        <v>0.28472222222222221</v>
      </c>
      <c r="G126" s="362" t="s">
        <v>533</v>
      </c>
      <c r="H126" s="247">
        <v>0.43055555555555558</v>
      </c>
      <c r="I126" s="311" t="s">
        <v>533</v>
      </c>
      <c r="J126" s="248">
        <v>0.56597222222222221</v>
      </c>
      <c r="K126" s="248">
        <v>0.56597222222222221</v>
      </c>
      <c r="L126" s="311" t="s">
        <v>475</v>
      </c>
      <c r="M126" s="247">
        <v>0.76944444444444449</v>
      </c>
      <c r="N126" s="311" t="s">
        <v>475</v>
      </c>
      <c r="O126" s="305">
        <v>0.7729166666666667</v>
      </c>
      <c r="P126" s="245">
        <f t="shared" si="10"/>
        <v>0.49375000000000002</v>
      </c>
      <c r="Q126" s="245">
        <f t="shared" si="11"/>
        <v>0.35833333333333339</v>
      </c>
      <c r="R126" s="251">
        <f t="shared" si="12"/>
        <v>0.13541666666666663</v>
      </c>
      <c r="S126" s="251"/>
      <c r="T126" s="252"/>
      <c r="W126" s="253">
        <v>0.62708333333333333</v>
      </c>
      <c r="X126" s="227">
        <v>0.73263888888888895</v>
      </c>
      <c r="Y126" s="289" t="s">
        <v>36</v>
      </c>
      <c r="Z126" s="349">
        <v>0.66666666666666663</v>
      </c>
      <c r="AA126" s="350">
        <v>0.73611111111111105</v>
      </c>
      <c r="AB126" s="292" t="s">
        <v>510</v>
      </c>
    </row>
    <row r="127" spans="1:28" ht="15.75" x14ac:dyDescent="0.25">
      <c r="A127" s="245" t="s">
        <v>626</v>
      </c>
      <c r="B127" s="245" t="s">
        <v>472</v>
      </c>
      <c r="C127" s="245"/>
      <c r="D127" s="259" t="s">
        <v>627</v>
      </c>
      <c r="E127" s="247">
        <v>0.27916666666666667</v>
      </c>
      <c r="F127" s="248">
        <v>0.28472222222222221</v>
      </c>
      <c r="G127" s="362" t="s">
        <v>104</v>
      </c>
      <c r="H127" s="247">
        <v>0.44861111111111113</v>
      </c>
      <c r="I127" s="311" t="s">
        <v>104</v>
      </c>
      <c r="J127" s="248">
        <v>0.59375</v>
      </c>
      <c r="K127" s="248">
        <v>0.59583333333333333</v>
      </c>
      <c r="L127" s="311" t="s">
        <v>104</v>
      </c>
      <c r="M127" s="247">
        <v>0.77083333333333337</v>
      </c>
      <c r="N127" s="311" t="s">
        <v>474</v>
      </c>
      <c r="O127" s="248">
        <v>0.77430555555555558</v>
      </c>
      <c r="P127" s="245">
        <f t="shared" si="10"/>
        <v>0.49513888888888891</v>
      </c>
      <c r="Q127" s="245">
        <f t="shared" si="11"/>
        <v>0.35000000000000003</v>
      </c>
      <c r="R127" s="251">
        <f t="shared" si="12"/>
        <v>0.14513888888888887</v>
      </c>
      <c r="S127" s="251"/>
      <c r="T127" s="252"/>
      <c r="W127" s="253">
        <v>0.63194444444444442</v>
      </c>
      <c r="X127" s="227">
        <v>0.73819444444444449</v>
      </c>
      <c r="Z127" s="308">
        <v>0.66666666666666674</v>
      </c>
      <c r="AA127" s="363">
        <v>0.76736111111111116</v>
      </c>
    </row>
    <row r="128" spans="1:28" ht="16.5" thickBot="1" x14ac:dyDescent="0.3">
      <c r="A128" s="245" t="s">
        <v>628</v>
      </c>
      <c r="B128" s="245" t="s">
        <v>472</v>
      </c>
      <c r="C128" s="245"/>
      <c r="D128" s="259" t="s">
        <v>629</v>
      </c>
      <c r="E128" s="247">
        <v>0.28472222222222221</v>
      </c>
      <c r="F128" s="248">
        <v>0.2902777777777778</v>
      </c>
      <c r="G128" s="362" t="s">
        <v>104</v>
      </c>
      <c r="H128" s="247">
        <v>0.46527777777777779</v>
      </c>
      <c r="I128" s="311" t="s">
        <v>474</v>
      </c>
      <c r="J128" s="248">
        <v>0.60069444444444442</v>
      </c>
      <c r="K128" s="248">
        <v>0.60069444444444442</v>
      </c>
      <c r="L128" s="311" t="s">
        <v>475</v>
      </c>
      <c r="M128" s="247">
        <v>0.77777777777777779</v>
      </c>
      <c r="N128" s="311" t="s">
        <v>104</v>
      </c>
      <c r="O128" s="248">
        <v>0.77777777777777779</v>
      </c>
      <c r="P128" s="245">
        <f t="shared" si="10"/>
        <v>0.49305555555555558</v>
      </c>
      <c r="Q128" s="245">
        <f t="shared" si="11"/>
        <v>0.35763888888888895</v>
      </c>
      <c r="R128" s="251">
        <f t="shared" si="12"/>
        <v>0.13541666666666663</v>
      </c>
      <c r="S128" s="251"/>
      <c r="T128" s="252"/>
      <c r="W128" s="253">
        <v>0.63749999999999996</v>
      </c>
      <c r="X128" s="227">
        <v>0.74305555555555558</v>
      </c>
      <c r="Z128" s="287">
        <v>0.67222222222222228</v>
      </c>
      <c r="AA128" s="348">
        <v>0.77430555555555547</v>
      </c>
    </row>
    <row r="129" spans="1:28" ht="16.5" thickBot="1" x14ac:dyDescent="0.3">
      <c r="A129" s="245" t="s">
        <v>630</v>
      </c>
      <c r="B129" s="245" t="s">
        <v>472</v>
      </c>
      <c r="C129" s="245"/>
      <c r="D129" s="259" t="s">
        <v>631</v>
      </c>
      <c r="E129" s="247">
        <v>0.28888888888888886</v>
      </c>
      <c r="F129" s="248">
        <v>0.29444444444444445</v>
      </c>
      <c r="G129" s="362" t="s">
        <v>104</v>
      </c>
      <c r="H129" s="247">
        <v>0.45833333333333331</v>
      </c>
      <c r="I129" s="311" t="s">
        <v>104</v>
      </c>
      <c r="J129" s="248">
        <v>0.60416666666666663</v>
      </c>
      <c r="K129" s="248">
        <v>0.60416666666666663</v>
      </c>
      <c r="L129" s="311" t="s">
        <v>474</v>
      </c>
      <c r="M129" s="247">
        <v>0.78472222222222221</v>
      </c>
      <c r="N129" s="311" t="s">
        <v>104</v>
      </c>
      <c r="O129" s="248">
        <v>0.78472222222222221</v>
      </c>
      <c r="P129" s="245">
        <f t="shared" si="10"/>
        <v>0.49583333333333335</v>
      </c>
      <c r="Q129" s="245">
        <f t="shared" si="11"/>
        <v>0.35000000000000003</v>
      </c>
      <c r="R129" s="251">
        <f t="shared" si="12"/>
        <v>0.14583333333333331</v>
      </c>
      <c r="S129" s="251"/>
      <c r="T129" s="252"/>
      <c r="W129" s="253">
        <v>0.64236111111111116</v>
      </c>
      <c r="X129" s="227">
        <v>0.75000000000000011</v>
      </c>
      <c r="Y129" s="289" t="s">
        <v>38</v>
      </c>
      <c r="Z129" s="349">
        <v>0.67708333333333337</v>
      </c>
      <c r="AA129" s="350">
        <v>0.74652777777777779</v>
      </c>
      <c r="AB129" s="292" t="s">
        <v>510</v>
      </c>
    </row>
    <row r="130" spans="1:28" ht="15.75" x14ac:dyDescent="0.25">
      <c r="A130" s="364" t="s">
        <v>632</v>
      </c>
      <c r="B130" s="364" t="s">
        <v>472</v>
      </c>
      <c r="C130" s="364"/>
      <c r="D130" s="259" t="s">
        <v>633</v>
      </c>
      <c r="E130" s="365">
        <v>0.2986111111111111</v>
      </c>
      <c r="F130" s="366">
        <v>0.30416666666666664</v>
      </c>
      <c r="G130" s="367" t="s">
        <v>104</v>
      </c>
      <c r="H130" s="365">
        <v>0.46875</v>
      </c>
      <c r="I130" s="368" t="s">
        <v>104</v>
      </c>
      <c r="J130" s="248">
        <v>0.62291666666666667</v>
      </c>
      <c r="K130" s="248">
        <v>0.625</v>
      </c>
      <c r="L130" s="311" t="s">
        <v>104</v>
      </c>
      <c r="M130" s="247">
        <v>0.79166666666666663</v>
      </c>
      <c r="N130" s="311" t="s">
        <v>104</v>
      </c>
      <c r="O130" s="248">
        <v>0.79166666666666663</v>
      </c>
      <c r="P130" s="364">
        <f t="shared" si="10"/>
        <v>0.49305555555555552</v>
      </c>
      <c r="Q130" s="364">
        <f t="shared" si="11"/>
        <v>0.33888888888888885</v>
      </c>
      <c r="R130" s="369">
        <f t="shared" si="12"/>
        <v>0.15416666666666667</v>
      </c>
      <c r="S130" s="369"/>
      <c r="T130" s="252"/>
      <c r="W130" s="253">
        <v>0.6479166666666667</v>
      </c>
      <c r="X130" s="230">
        <v>0.75</v>
      </c>
      <c r="Z130" s="308">
        <v>0.67708333333333337</v>
      </c>
      <c r="AA130" s="351">
        <v>0.77833333333333332</v>
      </c>
    </row>
    <row r="131" spans="1:28" ht="16.5" thickBot="1" x14ac:dyDescent="0.3">
      <c r="A131" s="245" t="s">
        <v>634</v>
      </c>
      <c r="B131" s="245" t="s">
        <v>472</v>
      </c>
      <c r="C131" s="245"/>
      <c r="D131" s="259" t="s">
        <v>635</v>
      </c>
      <c r="E131" s="247">
        <v>0.30277777777777776</v>
      </c>
      <c r="F131" s="248">
        <v>0.30833333333333335</v>
      </c>
      <c r="G131" s="362" t="s">
        <v>104</v>
      </c>
      <c r="H131" s="247">
        <v>0.46736111111111112</v>
      </c>
      <c r="I131" s="311" t="s">
        <v>104</v>
      </c>
      <c r="J131" s="248">
        <v>0.62777777777777777</v>
      </c>
      <c r="K131" s="248">
        <v>0.62986111111111109</v>
      </c>
      <c r="L131" s="311" t="s">
        <v>104</v>
      </c>
      <c r="M131" s="247">
        <v>0.79513888888888884</v>
      </c>
      <c r="N131" s="311" t="s">
        <v>474</v>
      </c>
      <c r="O131" s="248">
        <v>0.79861111111111116</v>
      </c>
      <c r="P131" s="245">
        <f t="shared" si="10"/>
        <v>0.4958333333333334</v>
      </c>
      <c r="Q131" s="245">
        <f t="shared" si="11"/>
        <v>0.33541666666666675</v>
      </c>
      <c r="R131" s="251">
        <f t="shared" si="12"/>
        <v>0.16041666666666665</v>
      </c>
      <c r="S131" s="251"/>
      <c r="T131" s="252"/>
      <c r="W131" s="253">
        <v>0.65625</v>
      </c>
      <c r="X131" s="230">
        <v>0.75347222222222221</v>
      </c>
      <c r="Z131" s="287">
        <v>0.68263888888888891</v>
      </c>
      <c r="AA131" s="348">
        <v>0.78124999999999944</v>
      </c>
    </row>
    <row r="132" spans="1:28" ht="16.5" thickBot="1" x14ac:dyDescent="0.3">
      <c r="A132" s="245" t="s">
        <v>636</v>
      </c>
      <c r="B132" s="245" t="s">
        <v>472</v>
      </c>
      <c r="C132" s="245"/>
      <c r="D132" s="259" t="s">
        <v>637</v>
      </c>
      <c r="E132" s="247">
        <v>0.3034722222222222</v>
      </c>
      <c r="F132" s="248">
        <v>0.30902777777777779</v>
      </c>
      <c r="G132" s="362" t="s">
        <v>104</v>
      </c>
      <c r="H132" s="247">
        <v>0.47569444444444442</v>
      </c>
      <c r="I132" s="311" t="s">
        <v>474</v>
      </c>
      <c r="J132" s="366">
        <v>0.61458333333333337</v>
      </c>
      <c r="K132" s="366">
        <v>0.61458333333333337</v>
      </c>
      <c r="L132" s="368" t="s">
        <v>474</v>
      </c>
      <c r="M132" s="365">
        <v>0.79861111111111116</v>
      </c>
      <c r="N132" s="368" t="s">
        <v>104</v>
      </c>
      <c r="O132" s="366">
        <v>0.79861111111111116</v>
      </c>
      <c r="P132" s="245">
        <f t="shared" si="10"/>
        <v>0.49513888888888896</v>
      </c>
      <c r="Q132" s="245">
        <f t="shared" si="11"/>
        <v>0.35625000000000001</v>
      </c>
      <c r="R132" s="251">
        <f t="shared" si="12"/>
        <v>0.13888888888888895</v>
      </c>
      <c r="S132" s="251"/>
      <c r="T132" s="252"/>
      <c r="W132" s="253">
        <v>0.66111111111111109</v>
      </c>
      <c r="X132" s="227">
        <v>0.75694444444444453</v>
      </c>
      <c r="Y132" s="289" t="s">
        <v>40</v>
      </c>
      <c r="Z132" s="349">
        <v>0.6875</v>
      </c>
      <c r="AA132" s="350">
        <v>0.75277777777777777</v>
      </c>
      <c r="AB132" s="292" t="s">
        <v>510</v>
      </c>
    </row>
    <row r="133" spans="1:28" ht="15.75" x14ac:dyDescent="0.25">
      <c r="A133" s="245" t="s">
        <v>638</v>
      </c>
      <c r="B133" s="245" t="s">
        <v>472</v>
      </c>
      <c r="C133" s="245"/>
      <c r="D133" s="259" t="s">
        <v>639</v>
      </c>
      <c r="E133" s="247">
        <v>0.31944444444444442</v>
      </c>
      <c r="F133" s="248">
        <v>0.32500000000000001</v>
      </c>
      <c r="G133" s="362" t="s">
        <v>104</v>
      </c>
      <c r="H133" s="247">
        <v>0.4861111111111111</v>
      </c>
      <c r="I133" s="311" t="s">
        <v>474</v>
      </c>
      <c r="J133" s="248">
        <v>0.60763888888888884</v>
      </c>
      <c r="K133" s="248">
        <v>0.60763888888888884</v>
      </c>
      <c r="L133" s="311" t="s">
        <v>475</v>
      </c>
      <c r="M133" s="247">
        <v>0.80208333333333337</v>
      </c>
      <c r="N133" s="311" t="s">
        <v>475</v>
      </c>
      <c r="O133" s="248">
        <v>0.80555555555555558</v>
      </c>
      <c r="P133" s="245">
        <f t="shared" si="10"/>
        <v>0.48611111111111116</v>
      </c>
      <c r="Q133" s="245">
        <f t="shared" si="11"/>
        <v>0.36458333333333343</v>
      </c>
      <c r="R133" s="251">
        <f t="shared" si="12"/>
        <v>0.12152777777777773</v>
      </c>
      <c r="S133" s="251"/>
      <c r="T133" s="252"/>
      <c r="W133" s="253">
        <v>0.6659722222222223</v>
      </c>
      <c r="X133" s="227">
        <v>0.76388888888888962</v>
      </c>
      <c r="Z133" s="308">
        <v>0.6875</v>
      </c>
      <c r="AA133" s="360">
        <v>0.78819444444444442</v>
      </c>
    </row>
    <row r="134" spans="1:28" ht="16.5" thickBot="1" x14ac:dyDescent="0.3">
      <c r="A134" s="370" t="s">
        <v>640</v>
      </c>
      <c r="B134" s="370" t="s">
        <v>472</v>
      </c>
      <c r="C134" s="370"/>
      <c r="D134" s="259" t="s">
        <v>641</v>
      </c>
      <c r="E134" s="247">
        <v>0.34166666666666667</v>
      </c>
      <c r="F134" s="248">
        <v>0.34722222222222221</v>
      </c>
      <c r="G134" s="362" t="s">
        <v>474</v>
      </c>
      <c r="H134" s="247">
        <v>0.43055555555555558</v>
      </c>
      <c r="I134" s="311" t="s">
        <v>104</v>
      </c>
      <c r="J134" s="248">
        <v>0.55902777777777779</v>
      </c>
      <c r="K134" s="248">
        <v>0.55902777777777779</v>
      </c>
      <c r="L134" s="311" t="s">
        <v>475</v>
      </c>
      <c r="M134" s="247">
        <v>0.76249999999999996</v>
      </c>
      <c r="N134" s="311" t="s">
        <v>475</v>
      </c>
      <c r="O134" s="248">
        <v>0.76597222222222228</v>
      </c>
      <c r="P134" s="245">
        <f t="shared" si="10"/>
        <v>0.4243055555555556</v>
      </c>
      <c r="Q134" s="245">
        <f t="shared" si="11"/>
        <v>0.29583333333333339</v>
      </c>
      <c r="R134" s="251">
        <f t="shared" si="12"/>
        <v>0.12847222222222221</v>
      </c>
      <c r="S134" s="251"/>
      <c r="T134" s="252"/>
      <c r="W134" s="253">
        <v>0.67013888888888884</v>
      </c>
      <c r="X134" s="230">
        <v>0.76701388888888888</v>
      </c>
      <c r="Z134" s="287">
        <v>0.69305555555555554</v>
      </c>
      <c r="AA134" s="348">
        <v>0.7951388888888884</v>
      </c>
    </row>
    <row r="135" spans="1:28" ht="16.5" thickBot="1" x14ac:dyDescent="0.3">
      <c r="A135" s="245" t="s">
        <v>642</v>
      </c>
      <c r="B135" s="245" t="s">
        <v>472</v>
      </c>
      <c r="C135" s="245"/>
      <c r="D135" s="259" t="s">
        <v>643</v>
      </c>
      <c r="E135" s="247">
        <v>0.35694444444444445</v>
      </c>
      <c r="F135" s="261">
        <v>0.36249999999999999</v>
      </c>
      <c r="G135" s="358" t="s">
        <v>474</v>
      </c>
      <c r="H135" s="260">
        <v>0.46180555555555558</v>
      </c>
      <c r="I135" s="310" t="s">
        <v>475</v>
      </c>
      <c r="J135" s="248">
        <v>0.66041666666666665</v>
      </c>
      <c r="K135" s="248">
        <v>0.66249999999999998</v>
      </c>
      <c r="L135" s="311" t="s">
        <v>104</v>
      </c>
      <c r="M135" s="247">
        <v>0.82638888888888884</v>
      </c>
      <c r="N135" s="311" t="s">
        <v>474</v>
      </c>
      <c r="O135" s="248">
        <v>0.82986111111111116</v>
      </c>
      <c r="P135" s="245">
        <f t="shared" si="10"/>
        <v>0.47291666666666671</v>
      </c>
      <c r="Q135" s="245">
        <f t="shared" si="11"/>
        <v>0.27430555555555564</v>
      </c>
      <c r="R135" s="251">
        <f t="shared" si="12"/>
        <v>0.19861111111111107</v>
      </c>
      <c r="S135" s="251"/>
      <c r="T135" s="252"/>
      <c r="W135" s="253">
        <v>0.67499999999999993</v>
      </c>
      <c r="X135" s="227">
        <v>0.77083333333333359</v>
      </c>
      <c r="Y135" s="371" t="s">
        <v>42</v>
      </c>
      <c r="Z135" s="372">
        <v>0.69791666666666663</v>
      </c>
      <c r="AA135" s="373">
        <v>0.7631944444444444</v>
      </c>
      <c r="AB135" s="292" t="s">
        <v>510</v>
      </c>
    </row>
    <row r="136" spans="1:28" ht="15.75" x14ac:dyDescent="0.25">
      <c r="A136" s="245" t="s">
        <v>644</v>
      </c>
      <c r="B136" s="245" t="s">
        <v>472</v>
      </c>
      <c r="C136" s="245"/>
      <c r="D136" s="259" t="s">
        <v>645</v>
      </c>
      <c r="E136" s="247">
        <f>F136-TIME(,8,)</f>
        <v>0.36527777777777781</v>
      </c>
      <c r="F136" s="248">
        <v>0.37083333333333335</v>
      </c>
      <c r="G136" s="362" t="s">
        <v>474</v>
      </c>
      <c r="H136" s="247">
        <v>0.44444444444444442</v>
      </c>
      <c r="I136" s="311" t="s">
        <v>104</v>
      </c>
      <c r="J136" s="248">
        <v>0.64375000000000004</v>
      </c>
      <c r="K136" s="248">
        <v>0.64583333333333337</v>
      </c>
      <c r="L136" s="311" t="s">
        <v>104</v>
      </c>
      <c r="M136" s="247">
        <v>0.82638888888888884</v>
      </c>
      <c r="N136" s="311" t="s">
        <v>475</v>
      </c>
      <c r="O136" s="248">
        <v>0.82986111111111116</v>
      </c>
      <c r="P136" s="245">
        <f t="shared" si="10"/>
        <v>0.46458333333333335</v>
      </c>
      <c r="Q136" s="245">
        <f t="shared" si="11"/>
        <v>0.26527777777777772</v>
      </c>
      <c r="R136" s="264">
        <f t="shared" si="12"/>
        <v>0.19930555555555562</v>
      </c>
      <c r="S136" s="264"/>
      <c r="T136" s="252"/>
      <c r="W136" s="253">
        <v>0.67986111111111114</v>
      </c>
      <c r="X136" s="227">
        <v>0.77777777777777857</v>
      </c>
      <c r="Z136" s="308">
        <v>0.69791666666666674</v>
      </c>
      <c r="AA136" s="351">
        <v>0.79513888888888884</v>
      </c>
    </row>
    <row r="137" spans="1:28" ht="16.5" thickBot="1" x14ac:dyDescent="0.3">
      <c r="A137" s="245" t="s">
        <v>646</v>
      </c>
      <c r="B137" s="245" t="s">
        <v>472</v>
      </c>
      <c r="C137" s="245"/>
      <c r="D137" s="259" t="s">
        <v>647</v>
      </c>
      <c r="E137" s="247">
        <f>F137-TIME(,8,)</f>
        <v>0.36944444444444446</v>
      </c>
      <c r="F137" s="248">
        <v>0.375</v>
      </c>
      <c r="G137" s="362" t="s">
        <v>475</v>
      </c>
      <c r="H137" s="247">
        <v>0.56597222222222221</v>
      </c>
      <c r="I137" s="311" t="s">
        <v>475</v>
      </c>
      <c r="J137" s="248">
        <v>0.70277777777777772</v>
      </c>
      <c r="K137" s="248">
        <v>0.70486111111111116</v>
      </c>
      <c r="L137" s="311" t="s">
        <v>104</v>
      </c>
      <c r="M137" s="247">
        <v>0.80694444444444446</v>
      </c>
      <c r="N137" s="311" t="s">
        <v>104</v>
      </c>
      <c r="O137" s="248">
        <v>0.80694444444444446</v>
      </c>
      <c r="P137" s="245">
        <f t="shared" si="10"/>
        <v>0.4375</v>
      </c>
      <c r="Q137" s="245">
        <f t="shared" si="11"/>
        <v>0.30069444444444449</v>
      </c>
      <c r="R137" s="251">
        <f t="shared" si="12"/>
        <v>0.13680555555555551</v>
      </c>
      <c r="S137" s="251"/>
      <c r="T137" s="252"/>
      <c r="W137" s="253">
        <v>0.68402777777777779</v>
      </c>
      <c r="X137" s="230">
        <v>0.78090277777777783</v>
      </c>
      <c r="Z137" s="287">
        <v>0.70347222222222228</v>
      </c>
      <c r="AA137" s="348">
        <v>0.80208333333333337</v>
      </c>
    </row>
    <row r="138" spans="1:28" ht="16.5" thickBot="1" x14ac:dyDescent="0.3">
      <c r="A138" s="245" t="s">
        <v>648</v>
      </c>
      <c r="B138" s="245" t="s">
        <v>472</v>
      </c>
      <c r="C138" s="245"/>
      <c r="D138" s="259" t="s">
        <v>649</v>
      </c>
      <c r="E138" s="247">
        <v>0.37430555555555556</v>
      </c>
      <c r="F138" s="248">
        <v>0.37986111111111109</v>
      </c>
      <c r="G138" s="362" t="s">
        <v>474</v>
      </c>
      <c r="H138" s="247">
        <v>0.47916666666666669</v>
      </c>
      <c r="I138" s="311" t="s">
        <v>475</v>
      </c>
      <c r="J138" s="248">
        <v>0.63888888888888884</v>
      </c>
      <c r="K138" s="248">
        <v>0.63888888888888884</v>
      </c>
      <c r="L138" s="311" t="s">
        <v>474</v>
      </c>
      <c r="M138" s="247">
        <v>0.81805555555555554</v>
      </c>
      <c r="N138" s="311" t="s">
        <v>104</v>
      </c>
      <c r="O138" s="248">
        <v>0.81805555555555554</v>
      </c>
      <c r="P138" s="245">
        <f t="shared" si="10"/>
        <v>0.44374999999999998</v>
      </c>
      <c r="Q138" s="245">
        <f t="shared" si="11"/>
        <v>0.28402777777777782</v>
      </c>
      <c r="R138" s="251">
        <f t="shared" si="12"/>
        <v>0.15972222222222215</v>
      </c>
      <c r="S138" s="251"/>
      <c r="T138" s="252"/>
      <c r="W138" s="253">
        <v>0.68888888888888899</v>
      </c>
      <c r="X138" s="227">
        <v>0.78472222222222254</v>
      </c>
      <c r="Y138" s="16" t="s">
        <v>44</v>
      </c>
      <c r="Z138" s="349">
        <v>0.70833333333333337</v>
      </c>
      <c r="AA138" s="350">
        <v>0.77361111111111114</v>
      </c>
      <c r="AB138" s="292" t="s">
        <v>510</v>
      </c>
    </row>
    <row r="139" spans="1:28" ht="15.75" x14ac:dyDescent="0.25">
      <c r="A139" s="245" t="s">
        <v>650</v>
      </c>
      <c r="B139" s="245" t="s">
        <v>472</v>
      </c>
      <c r="C139" s="245"/>
      <c r="D139" s="259" t="s">
        <v>651</v>
      </c>
      <c r="E139" s="247">
        <f>F139-TIME(,8,)</f>
        <v>0.38333333333333336</v>
      </c>
      <c r="F139" s="248">
        <v>0.3888888888888889</v>
      </c>
      <c r="G139" s="362" t="s">
        <v>474</v>
      </c>
      <c r="H139" s="247">
        <v>0.4826388888888889</v>
      </c>
      <c r="I139" s="248" t="s">
        <v>475</v>
      </c>
      <c r="J139" s="248">
        <v>0.61458333333333337</v>
      </c>
      <c r="K139" s="248">
        <v>0.61458333333333337</v>
      </c>
      <c r="L139" s="311" t="s">
        <v>475</v>
      </c>
      <c r="M139" s="247">
        <v>0.8125</v>
      </c>
      <c r="N139" s="311" t="s">
        <v>475</v>
      </c>
      <c r="O139" s="248">
        <v>0.81597222222222221</v>
      </c>
      <c r="P139" s="245">
        <f t="shared" si="10"/>
        <v>0.43263888888888885</v>
      </c>
      <c r="Q139" s="245">
        <f t="shared" si="11"/>
        <v>0.30069444444444438</v>
      </c>
      <c r="R139" s="251">
        <f t="shared" si="12"/>
        <v>0.13194444444444448</v>
      </c>
      <c r="S139" s="251"/>
      <c r="T139" s="252"/>
      <c r="W139" s="253">
        <v>0.69374999999999998</v>
      </c>
      <c r="X139" s="227">
        <v>0.79166666666666763</v>
      </c>
      <c r="Z139" s="308">
        <v>0.70833333333333337</v>
      </c>
      <c r="AA139" s="360">
        <v>0.80902777777777746</v>
      </c>
    </row>
    <row r="140" spans="1:28" ht="16.5" thickBot="1" x14ac:dyDescent="0.3">
      <c r="A140" s="245" t="s">
        <v>652</v>
      </c>
      <c r="B140" s="245" t="s">
        <v>472</v>
      </c>
      <c r="C140" s="245"/>
      <c r="D140" s="259" t="s">
        <v>653</v>
      </c>
      <c r="E140" s="247">
        <v>0.38541666666666669</v>
      </c>
      <c r="F140" s="248">
        <v>0.39097222222222222</v>
      </c>
      <c r="G140" s="362" t="s">
        <v>474</v>
      </c>
      <c r="H140" s="247">
        <v>0.46527777777777779</v>
      </c>
      <c r="I140" s="311" t="s">
        <v>104</v>
      </c>
      <c r="J140" s="248">
        <v>0.64236111111111116</v>
      </c>
      <c r="K140" s="248">
        <v>0.64236111111111116</v>
      </c>
      <c r="L140" s="311" t="s">
        <v>474</v>
      </c>
      <c r="M140" s="247">
        <v>0.82430555555555551</v>
      </c>
      <c r="N140" s="311" t="s">
        <v>104</v>
      </c>
      <c r="O140" s="248">
        <v>0.82430555555555551</v>
      </c>
      <c r="P140" s="245">
        <f t="shared" si="10"/>
        <v>0.43888888888888883</v>
      </c>
      <c r="Q140" s="245">
        <f t="shared" si="11"/>
        <v>0.26180555555555546</v>
      </c>
      <c r="R140" s="251">
        <f t="shared" si="12"/>
        <v>0.17708333333333337</v>
      </c>
      <c r="S140" s="251"/>
      <c r="T140" s="252"/>
      <c r="W140" s="253">
        <v>0.70138888888888884</v>
      </c>
      <c r="X140" s="230">
        <v>0.78805555555555551</v>
      </c>
      <c r="Z140" s="287">
        <v>0.71388888888888891</v>
      </c>
      <c r="AA140" s="348">
        <v>0.81597222222222243</v>
      </c>
    </row>
    <row r="141" spans="1:28" ht="16.5" thickBot="1" x14ac:dyDescent="0.3">
      <c r="A141" s="251" t="s">
        <v>654</v>
      </c>
      <c r="B141" s="251" t="s">
        <v>472</v>
      </c>
      <c r="C141" s="251"/>
      <c r="D141" s="259" t="s">
        <v>655</v>
      </c>
      <c r="E141" s="245">
        <v>0.39027777777777778</v>
      </c>
      <c r="F141" s="248">
        <v>0.39583333333333331</v>
      </c>
      <c r="G141" s="362" t="s">
        <v>475</v>
      </c>
      <c r="H141" s="247">
        <v>0.57986111111111116</v>
      </c>
      <c r="I141" s="311" t="s">
        <v>475</v>
      </c>
      <c r="J141" s="263">
        <v>0.71319444444444446</v>
      </c>
      <c r="K141" s="248">
        <v>0.71527777777777779</v>
      </c>
      <c r="L141" s="311" t="s">
        <v>104</v>
      </c>
      <c r="M141" s="247">
        <v>0.81458333333333333</v>
      </c>
      <c r="N141" s="311" t="s">
        <v>104</v>
      </c>
      <c r="O141" s="248">
        <v>0.81458333333333333</v>
      </c>
      <c r="P141" s="245">
        <f t="shared" si="10"/>
        <v>0.42430555555555555</v>
      </c>
      <c r="Q141" s="245">
        <f t="shared" si="11"/>
        <v>0.29097222222222224</v>
      </c>
      <c r="R141" s="251">
        <f t="shared" si="12"/>
        <v>0.1333333333333333</v>
      </c>
      <c r="S141" s="251"/>
      <c r="T141" s="252"/>
      <c r="W141" s="253">
        <v>0.70694444444444438</v>
      </c>
      <c r="X141" s="230">
        <v>0.79361111111111104</v>
      </c>
      <c r="Z141" s="374">
        <v>0.71875</v>
      </c>
      <c r="AA141" s="375">
        <v>0.78402777777777777</v>
      </c>
      <c r="AB141" s="292" t="s">
        <v>656</v>
      </c>
    </row>
    <row r="142" spans="1:28" ht="15.75" x14ac:dyDescent="0.25">
      <c r="A142" s="245" t="s">
        <v>657</v>
      </c>
      <c r="B142" s="245" t="s">
        <v>472</v>
      </c>
      <c r="C142" s="245"/>
      <c r="D142" s="259" t="s">
        <v>658</v>
      </c>
      <c r="E142" s="247">
        <v>0.39027777777777778</v>
      </c>
      <c r="F142" s="248">
        <v>0.39583333333333331</v>
      </c>
      <c r="G142" s="248" t="s">
        <v>474</v>
      </c>
      <c r="H142" s="247">
        <v>0.48958333333333331</v>
      </c>
      <c r="I142" s="248" t="s">
        <v>475</v>
      </c>
      <c r="J142" s="248">
        <v>0.64236111111111116</v>
      </c>
      <c r="K142" s="248">
        <v>0.64236111111111116</v>
      </c>
      <c r="L142" s="311" t="s">
        <v>475</v>
      </c>
      <c r="M142" s="247">
        <v>0.81944444444444442</v>
      </c>
      <c r="N142" s="311" t="s">
        <v>104</v>
      </c>
      <c r="O142" s="248">
        <v>0.81944444444444442</v>
      </c>
      <c r="P142" s="245">
        <f t="shared" si="10"/>
        <v>0.42916666666666664</v>
      </c>
      <c r="Q142" s="245">
        <f t="shared" si="11"/>
        <v>0.2763888888888888</v>
      </c>
      <c r="R142" s="251">
        <f t="shared" si="12"/>
        <v>0.15277777777777785</v>
      </c>
      <c r="S142" s="251"/>
      <c r="T142" s="252"/>
      <c r="W142" s="253">
        <v>0.71180555555555558</v>
      </c>
      <c r="X142" s="227">
        <v>0.7986111111111116</v>
      </c>
      <c r="Z142" s="308">
        <v>0.72222222222222221</v>
      </c>
      <c r="AA142" s="351">
        <v>0.81111111111111112</v>
      </c>
    </row>
    <row r="143" spans="1:28" ht="15.75" x14ac:dyDescent="0.25">
      <c r="A143" s="251" t="s">
        <v>659</v>
      </c>
      <c r="B143" s="251" t="s">
        <v>472</v>
      </c>
      <c r="C143" s="251"/>
      <c r="D143" s="259" t="s">
        <v>660</v>
      </c>
      <c r="E143" s="247">
        <v>0.3972222222222222</v>
      </c>
      <c r="F143" s="248">
        <v>0.40277777777777779</v>
      </c>
      <c r="G143" s="248" t="s">
        <v>475</v>
      </c>
      <c r="H143" s="247">
        <v>0.49652777777777779</v>
      </c>
      <c r="I143" s="248" t="s">
        <v>474</v>
      </c>
      <c r="J143" s="248">
        <v>0.62847222222222221</v>
      </c>
      <c r="K143" s="248">
        <v>0.62847222222222221</v>
      </c>
      <c r="L143" s="311" t="s">
        <v>475</v>
      </c>
      <c r="M143" s="247">
        <v>0.81944444444444442</v>
      </c>
      <c r="N143" s="311" t="s">
        <v>475</v>
      </c>
      <c r="O143" s="248">
        <v>0.82291666666666663</v>
      </c>
      <c r="P143" s="245">
        <f t="shared" si="10"/>
        <v>0.42569444444444443</v>
      </c>
      <c r="Q143" s="245">
        <f t="shared" si="11"/>
        <v>0.29375000000000001</v>
      </c>
      <c r="R143" s="251">
        <f t="shared" si="12"/>
        <v>0.13194444444444442</v>
      </c>
      <c r="S143" s="251"/>
      <c r="T143" s="252"/>
      <c r="W143" s="253">
        <v>0.71736111111111112</v>
      </c>
      <c r="X143" s="227">
        <v>0.80555555555555658</v>
      </c>
      <c r="Z143" s="227">
        <v>0.72777777777777775</v>
      </c>
      <c r="AA143" s="230">
        <v>0.81666666666666665</v>
      </c>
    </row>
    <row r="144" spans="1:28" ht="15.75" x14ac:dyDescent="0.25">
      <c r="A144" s="264" t="s">
        <v>661</v>
      </c>
      <c r="B144" s="264" t="s">
        <v>472</v>
      </c>
      <c r="C144" s="264"/>
      <c r="D144" s="259" t="s">
        <v>662</v>
      </c>
      <c r="E144" s="260">
        <v>0.40069444444444446</v>
      </c>
      <c r="F144" s="261">
        <v>0.40625</v>
      </c>
      <c r="G144" s="358" t="s">
        <v>474</v>
      </c>
      <c r="H144" s="260">
        <v>0.60416666666666663</v>
      </c>
      <c r="I144" s="310" t="s">
        <v>474</v>
      </c>
      <c r="J144" s="248">
        <v>0.67847222222222225</v>
      </c>
      <c r="K144" s="248">
        <v>0.68055555555555558</v>
      </c>
      <c r="L144" s="311" t="s">
        <v>533</v>
      </c>
      <c r="M144" s="247">
        <v>0.81597222222222221</v>
      </c>
      <c r="N144" s="311" t="s">
        <v>533</v>
      </c>
      <c r="O144" s="248">
        <v>0.81597222222222221</v>
      </c>
      <c r="P144" s="258">
        <f t="shared" si="10"/>
        <v>0.41527777777777775</v>
      </c>
      <c r="Q144" s="258">
        <f t="shared" si="11"/>
        <v>0.34097222222222212</v>
      </c>
      <c r="R144" s="264">
        <f t="shared" si="12"/>
        <v>7.4305555555555625E-2</v>
      </c>
      <c r="S144" s="264"/>
      <c r="T144" s="252"/>
      <c r="W144" s="253">
        <v>0.72222222222222221</v>
      </c>
      <c r="X144" s="230">
        <v>0.80888888888888888</v>
      </c>
      <c r="Z144" s="376">
        <v>0.72916666666666663</v>
      </c>
      <c r="AA144" s="377">
        <v>0.78680555555555554</v>
      </c>
    </row>
    <row r="145" spans="1:27" ht="16.5" thickBot="1" x14ac:dyDescent="0.3">
      <c r="A145" s="251" t="s">
        <v>663</v>
      </c>
      <c r="B145" s="251" t="s">
        <v>472</v>
      </c>
      <c r="C145" s="251"/>
      <c r="D145" s="259" t="s">
        <v>664</v>
      </c>
      <c r="E145" s="247">
        <v>0.40763888888888888</v>
      </c>
      <c r="F145" s="248">
        <v>0.41319444444444442</v>
      </c>
      <c r="G145" s="362" t="s">
        <v>475</v>
      </c>
      <c r="H145" s="247">
        <v>0.60069444444444442</v>
      </c>
      <c r="I145" s="311" t="s">
        <v>475</v>
      </c>
      <c r="J145" s="248">
        <v>0.72916666666666663</v>
      </c>
      <c r="K145" s="248">
        <v>0.72916666666666663</v>
      </c>
      <c r="L145" s="311" t="s">
        <v>475</v>
      </c>
      <c r="M145" s="247">
        <v>0.81180555555555556</v>
      </c>
      <c r="N145" s="311" t="s">
        <v>104</v>
      </c>
      <c r="O145" s="248">
        <v>0.81180555555555556</v>
      </c>
      <c r="P145" s="245">
        <f t="shared" si="10"/>
        <v>0.40416666666666667</v>
      </c>
      <c r="Q145" s="245">
        <f t="shared" si="11"/>
        <v>0.27569444444444446</v>
      </c>
      <c r="R145" s="251">
        <f t="shared" si="12"/>
        <v>0.12847222222222221</v>
      </c>
      <c r="S145" s="251"/>
      <c r="T145" s="252"/>
      <c r="W145" s="253">
        <v>0.72777777777777775</v>
      </c>
      <c r="X145" s="227">
        <v>0.81250000000000056</v>
      </c>
      <c r="Z145" s="227">
        <v>0.73263888888888895</v>
      </c>
      <c r="AA145" s="253">
        <v>0.82291666666666641</v>
      </c>
    </row>
    <row r="146" spans="1:27" ht="16.5" thickBot="1" x14ac:dyDescent="0.3">
      <c r="A146" s="341"/>
      <c r="B146" s="342"/>
      <c r="C146" s="342"/>
      <c r="D146" s="343"/>
      <c r="E146" s="342"/>
      <c r="F146" s="342"/>
      <c r="G146" s="378"/>
      <c r="H146" s="342"/>
      <c r="I146" s="378"/>
      <c r="J146" s="342"/>
      <c r="K146" s="342"/>
      <c r="L146" s="378"/>
      <c r="M146" s="342"/>
      <c r="N146" s="378"/>
      <c r="O146" s="342"/>
      <c r="P146" s="342"/>
      <c r="Q146" s="379">
        <f>AVERAGE(Q120:Q145)</f>
        <v>0.31792200854700858</v>
      </c>
      <c r="R146" s="347"/>
      <c r="S146" s="347"/>
      <c r="T146" s="252"/>
      <c r="W146" s="253">
        <v>0.73263888888888884</v>
      </c>
      <c r="X146" s="227">
        <v>0.81944444444444553</v>
      </c>
      <c r="Z146" s="227">
        <v>0.73819444444444449</v>
      </c>
      <c r="AA146" s="230">
        <v>0.82708333333333328</v>
      </c>
    </row>
    <row r="147" spans="1:27" ht="16.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252"/>
      <c r="W147" s="253">
        <v>0.73819444444444438</v>
      </c>
      <c r="X147" s="227">
        <v>0.82638888888888962</v>
      </c>
      <c r="Z147" s="376">
        <v>0.73958333333333337</v>
      </c>
      <c r="AA147" s="377">
        <v>0.79374999999999996</v>
      </c>
    </row>
    <row r="148" spans="1:27" ht="16.5" thickBot="1" x14ac:dyDescent="0.3">
      <c r="A148" s="700" t="s">
        <v>457</v>
      </c>
      <c r="B148" s="223" t="s">
        <v>458</v>
      </c>
      <c r="C148" s="223"/>
      <c r="D148" s="703" t="s">
        <v>459</v>
      </c>
      <c r="E148" s="702" t="s">
        <v>460</v>
      </c>
      <c r="F148" s="702"/>
      <c r="G148" s="702"/>
      <c r="H148" s="702" t="s">
        <v>461</v>
      </c>
      <c r="I148" s="702"/>
      <c r="J148" s="702"/>
      <c r="K148" s="702"/>
      <c r="L148" s="702"/>
      <c r="M148" s="702" t="s">
        <v>462</v>
      </c>
      <c r="N148" s="702"/>
      <c r="O148" s="702"/>
      <c r="P148" s="700" t="s">
        <v>463</v>
      </c>
      <c r="Q148" s="700" t="s">
        <v>464</v>
      </c>
      <c r="R148" s="700" t="s">
        <v>465</v>
      </c>
      <c r="S148" s="700" t="s">
        <v>465</v>
      </c>
      <c r="T148" s="252"/>
      <c r="W148" s="253">
        <v>0.74652777777777779</v>
      </c>
      <c r="X148" s="230">
        <v>0.83333333333333337</v>
      </c>
      <c r="Z148" s="227">
        <v>0.74305555555555558</v>
      </c>
      <c r="AA148" s="253">
        <v>0.83333333333333259</v>
      </c>
    </row>
    <row r="149" spans="1:27" ht="16.5" thickBot="1" x14ac:dyDescent="0.3">
      <c r="A149" s="701"/>
      <c r="B149" s="352" t="s">
        <v>466</v>
      </c>
      <c r="C149" s="352"/>
      <c r="D149" s="704"/>
      <c r="E149" s="353" t="s">
        <v>467</v>
      </c>
      <c r="F149" s="354" t="s">
        <v>468</v>
      </c>
      <c r="G149" s="355" t="s">
        <v>469</v>
      </c>
      <c r="H149" s="353" t="s">
        <v>460</v>
      </c>
      <c r="I149" s="354" t="s">
        <v>469</v>
      </c>
      <c r="J149" s="354" t="s">
        <v>467</v>
      </c>
      <c r="K149" s="354" t="s">
        <v>460</v>
      </c>
      <c r="L149" s="354" t="s">
        <v>469</v>
      </c>
      <c r="M149" s="356" t="s">
        <v>462</v>
      </c>
      <c r="N149" s="357" t="s">
        <v>469</v>
      </c>
      <c r="O149" s="354" t="s">
        <v>470</v>
      </c>
      <c r="P149" s="701"/>
      <c r="Q149" s="701"/>
      <c r="R149" s="701"/>
      <c r="S149" s="701"/>
      <c r="T149" s="252"/>
      <c r="W149" s="253">
        <v>0.75347222222222221</v>
      </c>
      <c r="X149" s="227">
        <v>0.83333333333333459</v>
      </c>
      <c r="Z149" s="227">
        <v>0.75000000000000011</v>
      </c>
      <c r="AA149" s="253">
        <v>0.84027777777777768</v>
      </c>
    </row>
    <row r="150" spans="1:27" ht="15.75" x14ac:dyDescent="0.25">
      <c r="A150" s="237" t="s">
        <v>665</v>
      </c>
      <c r="B150" s="237" t="s">
        <v>472</v>
      </c>
      <c r="C150" s="237"/>
      <c r="D150" s="380" t="s">
        <v>666</v>
      </c>
      <c r="E150" s="239">
        <f>F150-TIME(,8,)</f>
        <v>0.75694444444444442</v>
      </c>
      <c r="F150" s="323">
        <v>0.76249999999999996</v>
      </c>
      <c r="G150" s="324" t="s">
        <v>475</v>
      </c>
      <c r="H150" s="322">
        <v>0.92013888888888884</v>
      </c>
      <c r="I150" s="240" t="s">
        <v>475</v>
      </c>
      <c r="J150" s="323">
        <v>0.95486111111111116</v>
      </c>
      <c r="K150" s="323">
        <v>0.95486111111111116</v>
      </c>
      <c r="L150" s="323" t="s">
        <v>475</v>
      </c>
      <c r="M150" s="322">
        <v>1.09375</v>
      </c>
      <c r="N150" s="323" t="s">
        <v>475</v>
      </c>
      <c r="O150" s="323">
        <v>1.0972222222222223</v>
      </c>
      <c r="P150" s="237">
        <f t="shared" ref="P150:P156" si="13">O150-E150</f>
        <v>0.3402777777777779</v>
      </c>
      <c r="Q150" s="237">
        <f t="shared" ref="Q150:Q156" si="14">P150-R150</f>
        <v>0.30555555555555558</v>
      </c>
      <c r="R150" s="243">
        <f t="shared" ref="R150:R156" si="15">J150-H150</f>
        <v>3.4722222222222321E-2</v>
      </c>
      <c r="S150" s="243"/>
      <c r="T150" s="252"/>
      <c r="W150" s="253">
        <v>0.76041666666666641</v>
      </c>
      <c r="X150" s="227">
        <v>0.84027777777777857</v>
      </c>
      <c r="Z150" s="227">
        <v>0.75694444444444453</v>
      </c>
      <c r="AA150" s="253">
        <v>0.84722222222222165</v>
      </c>
    </row>
    <row r="151" spans="1:27" ht="15.75" x14ac:dyDescent="0.25">
      <c r="A151" s="245" t="s">
        <v>667</v>
      </c>
      <c r="B151" s="245" t="s">
        <v>472</v>
      </c>
      <c r="C151" s="245"/>
      <c r="D151" s="381" t="s">
        <v>668</v>
      </c>
      <c r="E151" s="247">
        <f>F151-TIME(,8,)</f>
        <v>0.78611111111111109</v>
      </c>
      <c r="F151" s="328">
        <v>0.79166666666666663</v>
      </c>
      <c r="G151" s="333" t="s">
        <v>474</v>
      </c>
      <c r="H151" s="327">
        <v>0.9375</v>
      </c>
      <c r="I151" s="248" t="s">
        <v>474</v>
      </c>
      <c r="J151" s="328">
        <v>0.97222222222222221</v>
      </c>
      <c r="K151" s="328">
        <v>0.97222222222222221</v>
      </c>
      <c r="L151" s="328" t="s">
        <v>474</v>
      </c>
      <c r="M151" s="327">
        <v>1.1527777777777777</v>
      </c>
      <c r="N151" s="328" t="s">
        <v>474</v>
      </c>
      <c r="O151" s="328">
        <v>1.15625</v>
      </c>
      <c r="P151" s="245">
        <f>O151-E151</f>
        <v>0.37013888888888891</v>
      </c>
      <c r="Q151" s="245">
        <f t="shared" si="14"/>
        <v>0.3354166666666667</v>
      </c>
      <c r="R151" s="251">
        <f>J151-H151</f>
        <v>3.472222222222221E-2</v>
      </c>
      <c r="S151" s="251"/>
      <c r="T151" s="252"/>
      <c r="W151" s="253">
        <v>0.76736111111111138</v>
      </c>
      <c r="X151" s="227">
        <v>0.84722222222222354</v>
      </c>
      <c r="Z151" s="227">
        <v>0.76388888888888962</v>
      </c>
      <c r="AA151" s="332">
        <v>0.85069444444444442</v>
      </c>
    </row>
    <row r="152" spans="1:27" ht="15.75" x14ac:dyDescent="0.25">
      <c r="A152" s="245" t="s">
        <v>669</v>
      </c>
      <c r="B152" s="245" t="s">
        <v>472</v>
      </c>
      <c r="C152" s="245"/>
      <c r="D152" s="381" t="s">
        <v>670</v>
      </c>
      <c r="E152" s="247">
        <v>0.79305555555555551</v>
      </c>
      <c r="F152" s="328">
        <v>0.79861111111111116</v>
      </c>
      <c r="G152" s="333" t="s">
        <v>475</v>
      </c>
      <c r="H152" s="327">
        <v>0.95486111111111116</v>
      </c>
      <c r="I152" s="248" t="s">
        <v>475</v>
      </c>
      <c r="J152" s="328">
        <v>0.99791666666666667</v>
      </c>
      <c r="K152" s="328">
        <v>1</v>
      </c>
      <c r="L152" s="328" t="s">
        <v>104</v>
      </c>
      <c r="M152" s="327">
        <v>1.1354166666666667</v>
      </c>
      <c r="N152" s="328" t="s">
        <v>475</v>
      </c>
      <c r="O152" s="328">
        <v>1.1388888888888888</v>
      </c>
      <c r="P152" s="245">
        <f t="shared" si="13"/>
        <v>0.34583333333333333</v>
      </c>
      <c r="Q152" s="245">
        <f t="shared" si="14"/>
        <v>0.30277777777777781</v>
      </c>
      <c r="R152" s="251">
        <f t="shared" si="15"/>
        <v>4.3055555555555514E-2</v>
      </c>
      <c r="S152" s="251"/>
      <c r="T152" s="252"/>
      <c r="W152" s="253">
        <v>0.77430555555555547</v>
      </c>
      <c r="X152" s="227">
        <v>0.85416666666666763</v>
      </c>
      <c r="Z152" s="227">
        <v>0.77083333333333359</v>
      </c>
      <c r="AA152" s="253">
        <v>0.85416666666666563</v>
      </c>
    </row>
    <row r="153" spans="1:27" ht="15.75" x14ac:dyDescent="0.25">
      <c r="A153" s="245" t="s">
        <v>671</v>
      </c>
      <c r="B153" s="245" t="s">
        <v>472</v>
      </c>
      <c r="C153" s="245"/>
      <c r="D153" s="381" t="s">
        <v>672</v>
      </c>
      <c r="E153" s="247">
        <f>F153-TIME(,8,)</f>
        <v>0.85902777777777783</v>
      </c>
      <c r="F153" s="328">
        <v>0.86458333333333337</v>
      </c>
      <c r="G153" s="328" t="s">
        <v>474</v>
      </c>
      <c r="H153" s="327">
        <v>1.007638888888889</v>
      </c>
      <c r="I153" s="328" t="s">
        <v>104</v>
      </c>
      <c r="J153" s="328">
        <v>1.09375</v>
      </c>
      <c r="K153" s="328">
        <v>1.09375</v>
      </c>
      <c r="L153" s="328" t="s">
        <v>475</v>
      </c>
      <c r="M153" s="327">
        <v>1.25</v>
      </c>
      <c r="N153" s="328" t="s">
        <v>104</v>
      </c>
      <c r="O153" s="328">
        <v>1.25</v>
      </c>
      <c r="P153" s="245">
        <f t="shared" si="13"/>
        <v>0.39097222222222217</v>
      </c>
      <c r="Q153" s="245">
        <f t="shared" si="14"/>
        <v>0.30486111111111114</v>
      </c>
      <c r="R153" s="251">
        <f t="shared" si="15"/>
        <v>8.6111111111111027E-2</v>
      </c>
      <c r="S153" s="251"/>
      <c r="T153" s="252"/>
      <c r="W153" s="253">
        <v>0.78124999999999944</v>
      </c>
      <c r="X153" s="227">
        <v>0.8611111111111126</v>
      </c>
      <c r="Z153" s="227">
        <v>0.77777777777777857</v>
      </c>
      <c r="AA153" s="253">
        <v>0.86111111111111061</v>
      </c>
    </row>
    <row r="154" spans="1:27" ht="15.75" x14ac:dyDescent="0.25">
      <c r="A154" s="245" t="s">
        <v>673</v>
      </c>
      <c r="B154" s="245" t="s">
        <v>472</v>
      </c>
      <c r="C154" s="245"/>
      <c r="D154" s="381" t="s">
        <v>674</v>
      </c>
      <c r="E154" s="247">
        <v>0.86250000000000004</v>
      </c>
      <c r="F154" s="328">
        <v>0.86805555555555558</v>
      </c>
      <c r="G154" s="333" t="s">
        <v>474</v>
      </c>
      <c r="H154" s="327">
        <v>1.0708333333333333</v>
      </c>
      <c r="I154" s="248" t="s">
        <v>104</v>
      </c>
      <c r="J154" s="328">
        <v>1.1111111111111112</v>
      </c>
      <c r="K154" s="328">
        <v>1.1111111111111112</v>
      </c>
      <c r="L154" s="328" t="s">
        <v>474</v>
      </c>
      <c r="M154" s="327">
        <v>1.2375</v>
      </c>
      <c r="N154" s="328" t="s">
        <v>104</v>
      </c>
      <c r="O154" s="328">
        <v>1.2375</v>
      </c>
      <c r="P154" s="245">
        <f t="shared" si="13"/>
        <v>0.375</v>
      </c>
      <c r="Q154" s="245">
        <f t="shared" si="14"/>
        <v>0.33472222222222214</v>
      </c>
      <c r="R154" s="251">
        <f t="shared" si="15"/>
        <v>4.0277777777777857E-2</v>
      </c>
      <c r="S154" s="251"/>
      <c r="T154" s="252"/>
      <c r="W154" s="253">
        <v>0.78819444444444442</v>
      </c>
      <c r="X154" s="227">
        <v>0.86805555555555758</v>
      </c>
      <c r="Z154" s="227">
        <v>0.78472222222222254</v>
      </c>
      <c r="AA154" s="253">
        <v>0.86805555555555458</v>
      </c>
    </row>
    <row r="155" spans="1:27" ht="15.75" x14ac:dyDescent="0.25">
      <c r="A155" s="245" t="s">
        <v>675</v>
      </c>
      <c r="B155" s="245" t="s">
        <v>472</v>
      </c>
      <c r="C155" s="245"/>
      <c r="D155" s="381" t="s">
        <v>676</v>
      </c>
      <c r="E155" s="247">
        <v>0.92847222222222225</v>
      </c>
      <c r="F155" s="328">
        <v>0.93402777777777779</v>
      </c>
      <c r="G155" s="328" t="s">
        <v>475</v>
      </c>
      <c r="H155" s="327">
        <v>1.0569444444444445</v>
      </c>
      <c r="I155" s="328" t="s">
        <v>104</v>
      </c>
      <c r="J155" s="328">
        <v>1.1354166666666667</v>
      </c>
      <c r="K155" s="328">
        <v>1.1354166666666667</v>
      </c>
      <c r="L155" s="328" t="s">
        <v>475</v>
      </c>
      <c r="M155" s="327">
        <v>1.2916666666666667</v>
      </c>
      <c r="N155" s="328" t="s">
        <v>104</v>
      </c>
      <c r="O155" s="328">
        <v>1.2916666666666667</v>
      </c>
      <c r="P155" s="245">
        <f t="shared" si="13"/>
        <v>0.36319444444444449</v>
      </c>
      <c r="Q155" s="245">
        <f t="shared" si="14"/>
        <v>0.28472222222222221</v>
      </c>
      <c r="R155" s="251">
        <f t="shared" si="15"/>
        <v>7.8472222222222276E-2</v>
      </c>
      <c r="S155" s="251"/>
      <c r="T155" s="252"/>
      <c r="W155" s="253">
        <v>0.7951388888888884</v>
      </c>
      <c r="X155" s="227">
        <v>0.87500000000000155</v>
      </c>
      <c r="Z155" s="227">
        <v>0.79166666666666763</v>
      </c>
      <c r="AA155" s="253">
        <v>0.87499999999999967</v>
      </c>
    </row>
    <row r="156" spans="1:27" ht="16.5" thickBot="1" x14ac:dyDescent="0.3">
      <c r="A156" s="268" t="s">
        <v>677</v>
      </c>
      <c r="B156" s="268" t="s">
        <v>472</v>
      </c>
      <c r="C156" s="268"/>
      <c r="D156" s="382" t="s">
        <v>678</v>
      </c>
      <c r="E156" s="270">
        <v>0.93194444444444446</v>
      </c>
      <c r="F156" s="338">
        <v>0.9375</v>
      </c>
      <c r="G156" s="383" t="s">
        <v>474</v>
      </c>
      <c r="H156" s="337">
        <v>1.1111111111111112</v>
      </c>
      <c r="I156" s="271" t="s">
        <v>474</v>
      </c>
      <c r="J156" s="338">
        <v>1.1527777777777777</v>
      </c>
      <c r="K156" s="338">
        <v>1.1527777777777777</v>
      </c>
      <c r="L156" s="338" t="s">
        <v>474</v>
      </c>
      <c r="M156" s="337">
        <v>1.2798611111111111</v>
      </c>
      <c r="N156" s="338" t="s">
        <v>104</v>
      </c>
      <c r="O156" s="338">
        <v>1.2798611111111111</v>
      </c>
      <c r="P156" s="268">
        <f t="shared" si="13"/>
        <v>0.34791666666666665</v>
      </c>
      <c r="Q156" s="268">
        <f t="shared" si="14"/>
        <v>0.30625000000000013</v>
      </c>
      <c r="R156" s="275">
        <f t="shared" si="15"/>
        <v>4.1666666666666519E-2</v>
      </c>
      <c r="S156" s="275"/>
      <c r="T156" s="252"/>
      <c r="W156" s="253">
        <v>0.80208333333333337</v>
      </c>
      <c r="X156" s="227">
        <v>0.88194444444444653</v>
      </c>
      <c r="Z156" s="227">
        <v>0.7986111111111116</v>
      </c>
      <c r="AA156" s="253">
        <v>0.88194444444444364</v>
      </c>
    </row>
    <row r="157" spans="1:27" ht="16.5" thickBot="1" x14ac:dyDescent="0.3">
      <c r="A157" s="341"/>
      <c r="B157" s="343"/>
      <c r="C157" s="343"/>
      <c r="D157" s="342"/>
      <c r="E157" s="342"/>
      <c r="F157" s="342"/>
      <c r="G157" s="342"/>
      <c r="H157" s="342"/>
      <c r="I157" s="342"/>
      <c r="J157" s="342"/>
      <c r="K157" s="342"/>
      <c r="L157" s="342"/>
      <c r="M157" s="342"/>
      <c r="N157" s="342"/>
      <c r="O157" s="342"/>
      <c r="P157" s="345">
        <f>COUNTIF(P150:P156,"&gt;9:00")/COUNT(P150:P156)</f>
        <v>0.14285714285714285</v>
      </c>
      <c r="Q157" s="346">
        <f>AVERAGE(Q150:Q156)</f>
        <v>0.31061507936507937</v>
      </c>
      <c r="R157" s="347"/>
      <c r="S157" s="347"/>
      <c r="T157" s="1"/>
      <c r="W157" s="253">
        <v>0.80902777777777746</v>
      </c>
      <c r="X157" s="227">
        <v>0.88888888888889062</v>
      </c>
      <c r="Z157" s="227">
        <v>0.80555555555555658</v>
      </c>
      <c r="AA157" s="253">
        <v>0.88888888888888762</v>
      </c>
    </row>
    <row r="158" spans="1:27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W158" s="253">
        <v>0.81597222222222243</v>
      </c>
      <c r="X158" s="227">
        <v>0.89583333333333559</v>
      </c>
      <c r="Z158" s="227">
        <v>0.81250000000000056</v>
      </c>
      <c r="AA158" s="253">
        <v>0.89583333333333259</v>
      </c>
    </row>
    <row r="159" spans="1:27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384" t="s">
        <v>679</v>
      </c>
      <c r="Q159" s="385">
        <f>AVERAGE(Q52:Q115,Q120:Q145,Q150:Q156)</f>
        <v>0.29679982817869421</v>
      </c>
      <c r="R159" s="1"/>
      <c r="S159" s="1"/>
      <c r="T159" s="1"/>
      <c r="W159" s="253">
        <v>0.82291666666666641</v>
      </c>
      <c r="X159" s="230">
        <v>0.89864583333333314</v>
      </c>
      <c r="Z159" s="227">
        <v>0.81944444444444553</v>
      </c>
      <c r="AA159" s="253">
        <v>0.90277777777777668</v>
      </c>
    </row>
    <row r="160" spans="1:27" ht="15.75" x14ac:dyDescent="0.25">
      <c r="W160" s="253">
        <v>0.83333333333333259</v>
      </c>
      <c r="X160" s="230">
        <v>0.90138888888888891</v>
      </c>
      <c r="Z160" s="227">
        <v>0.82638888888888962</v>
      </c>
      <c r="AA160" s="253">
        <v>0.90972222222222165</v>
      </c>
    </row>
    <row r="161" spans="23:27" ht="15.75" x14ac:dyDescent="0.25">
      <c r="W161" s="253">
        <v>0.84027777777777768</v>
      </c>
      <c r="X161" s="227">
        <v>0.90277777777777957</v>
      </c>
      <c r="Z161" s="227">
        <v>0.83333333333333459</v>
      </c>
      <c r="AA161" s="253">
        <v>0.91666666666666563</v>
      </c>
    </row>
    <row r="162" spans="23:27" ht="15.75" x14ac:dyDescent="0.25">
      <c r="W162" s="253">
        <v>0.84722222222222165</v>
      </c>
      <c r="X162" s="227">
        <v>0.90972222222222454</v>
      </c>
      <c r="Z162" s="227">
        <v>0.84027777777777857</v>
      </c>
      <c r="AA162" s="253">
        <v>0.92361111111110961</v>
      </c>
    </row>
    <row r="163" spans="23:27" ht="15.75" x14ac:dyDescent="0.25">
      <c r="W163" s="253">
        <v>0.85416666666666563</v>
      </c>
      <c r="X163" s="227">
        <v>0.91666666666666863</v>
      </c>
      <c r="Z163" s="227">
        <v>0.84722222222222354</v>
      </c>
      <c r="AA163" s="230">
        <v>0.92361111111111116</v>
      </c>
    </row>
    <row r="164" spans="23:27" ht="15.75" x14ac:dyDescent="0.25">
      <c r="W164" s="253">
        <v>0.86111111111111061</v>
      </c>
      <c r="X164" s="227">
        <v>0.9236111111111136</v>
      </c>
      <c r="Z164" s="227">
        <v>0.85416666666666763</v>
      </c>
      <c r="AA164" s="230">
        <v>0.93055555555555558</v>
      </c>
    </row>
    <row r="165" spans="23:27" ht="15.75" x14ac:dyDescent="0.25">
      <c r="W165" s="253">
        <v>0.86805555555555458</v>
      </c>
      <c r="X165" s="227">
        <v>0.93055555555555758</v>
      </c>
      <c r="Z165" s="227">
        <v>0.8611111111111126</v>
      </c>
      <c r="AA165" s="253">
        <v>0.93055555555555458</v>
      </c>
    </row>
    <row r="166" spans="23:27" ht="15.75" x14ac:dyDescent="0.25">
      <c r="W166" s="253">
        <v>0.87499999999999967</v>
      </c>
      <c r="X166" s="227">
        <v>0.93750000000000255</v>
      </c>
      <c r="Z166" s="227">
        <v>0.86805555555555758</v>
      </c>
      <c r="AA166" s="253">
        <v>0.93749999999999867</v>
      </c>
    </row>
    <row r="167" spans="23:27" ht="15.75" x14ac:dyDescent="0.25">
      <c r="W167" s="253">
        <v>0.88194444444444364</v>
      </c>
      <c r="X167" s="227">
        <v>0.94444444444444653</v>
      </c>
      <c r="Z167" s="227">
        <v>0.87500000000000155</v>
      </c>
      <c r="AA167" s="253">
        <v>0.95138888888888884</v>
      </c>
    </row>
    <row r="168" spans="23:27" ht="15.75" x14ac:dyDescent="0.25">
      <c r="W168" s="253">
        <v>0.88888888888888762</v>
      </c>
      <c r="X168" s="227">
        <v>0.95138888888889162</v>
      </c>
      <c r="Z168" s="227">
        <v>0.88194444444444653</v>
      </c>
      <c r="AA168" s="230">
        <v>0.95329861111111325</v>
      </c>
    </row>
    <row r="169" spans="23:27" ht="15.75" x14ac:dyDescent="0.25">
      <c r="W169" s="253">
        <v>0.89583333333333259</v>
      </c>
      <c r="X169" s="230">
        <v>0.96319444444444446</v>
      </c>
      <c r="Z169" s="227">
        <v>0.88888888888889062</v>
      </c>
      <c r="AA169" s="230">
        <v>0.96024305555555733</v>
      </c>
    </row>
    <row r="170" spans="23:27" ht="15.75" x14ac:dyDescent="0.25">
      <c r="W170" s="253">
        <v>0.90277777777777668</v>
      </c>
      <c r="X170" s="227">
        <v>0.96527777777777779</v>
      </c>
      <c r="Z170" s="227">
        <v>0.89583333333333559</v>
      </c>
      <c r="AA170" s="253">
        <v>0.96527777777777868</v>
      </c>
    </row>
    <row r="171" spans="23:27" ht="15.75" x14ac:dyDescent="0.25">
      <c r="W171" s="253">
        <v>0.90972222222222165</v>
      </c>
      <c r="X171" s="230">
        <v>0.97638888888888886</v>
      </c>
      <c r="Z171" s="227">
        <v>0.90277777777777957</v>
      </c>
      <c r="AA171" s="253">
        <v>0.97916666666666663</v>
      </c>
    </row>
    <row r="172" spans="23:27" ht="15.75" x14ac:dyDescent="0.25">
      <c r="W172" s="253">
        <v>0.91666666666666563</v>
      </c>
      <c r="X172" s="227">
        <v>0.97916666666666363</v>
      </c>
      <c r="Z172" s="227">
        <v>0.90972222222222454</v>
      </c>
      <c r="AA172" s="230">
        <v>0.98107638888889126</v>
      </c>
    </row>
    <row r="173" spans="23:27" ht="15.75" x14ac:dyDescent="0.25">
      <c r="W173" s="253">
        <v>0.92361111111110961</v>
      </c>
      <c r="X173" s="227">
        <v>0.99305555555555058</v>
      </c>
      <c r="Z173" s="227">
        <v>0.91666666666666863</v>
      </c>
      <c r="AA173" s="230">
        <v>0.98802083333333535</v>
      </c>
    </row>
    <row r="174" spans="23:27" ht="15.75" x14ac:dyDescent="0.25">
      <c r="W174" s="253">
        <v>0.93055555555555458</v>
      </c>
      <c r="X174" s="230">
        <v>0.99170138888888792</v>
      </c>
      <c r="Z174" s="227">
        <v>0.9236111111111136</v>
      </c>
      <c r="AA174" s="230">
        <v>0.99496527777778032</v>
      </c>
    </row>
    <row r="175" spans="23:27" ht="15.75" x14ac:dyDescent="0.25">
      <c r="W175" s="253">
        <v>0.93749999999999867</v>
      </c>
      <c r="X175" s="230">
        <v>0.99864583333333201</v>
      </c>
      <c r="Z175" s="227">
        <v>0.93055555555555758</v>
      </c>
      <c r="AA175" s="230">
        <v>1.0019097222222242</v>
      </c>
    </row>
    <row r="176" spans="23:27" ht="15.75" x14ac:dyDescent="0.25">
      <c r="W176" s="253">
        <v>0.95138888888888884</v>
      </c>
      <c r="X176" s="230">
        <v>1.0125347222222221</v>
      </c>
      <c r="Z176" s="227">
        <v>0.93750000000000255</v>
      </c>
      <c r="AA176" s="253">
        <v>1.0208333333333333</v>
      </c>
    </row>
    <row r="177" spans="2:66" ht="15.75" x14ac:dyDescent="0.25">
      <c r="W177" s="253">
        <v>0.96527777777777868</v>
      </c>
      <c r="X177" s="230">
        <v>1.026423611111112</v>
      </c>
      <c r="Z177" s="227">
        <v>0.94444444444444653</v>
      </c>
      <c r="AA177" s="332">
        <v>1.0152777777777777</v>
      </c>
    </row>
    <row r="178" spans="2:66" ht="15.75" x14ac:dyDescent="0.25">
      <c r="W178" s="253">
        <v>0.97916666666666663</v>
      </c>
      <c r="X178" s="230">
        <v>1.0403125</v>
      </c>
      <c r="Z178" s="227">
        <v>0.95138888888889162</v>
      </c>
      <c r="AA178" s="332">
        <v>1.0227430555555583</v>
      </c>
    </row>
    <row r="179" spans="2:66" ht="15.75" x14ac:dyDescent="0.25">
      <c r="W179" s="253">
        <v>2.0833333333333332E-2</v>
      </c>
      <c r="X179" s="230">
        <v>8.1979166666666672E-2</v>
      </c>
      <c r="Z179" s="227">
        <v>0.96527777777777779</v>
      </c>
      <c r="AA179" s="230">
        <v>1.0366319444444445</v>
      </c>
    </row>
    <row r="180" spans="2:66" ht="15.75" x14ac:dyDescent="0.25">
      <c r="W180" s="253">
        <v>6.25E-2</v>
      </c>
      <c r="X180" s="227">
        <v>0.15972222222222221</v>
      </c>
      <c r="Z180" s="227">
        <v>0.97916666666666363</v>
      </c>
      <c r="AA180" s="230">
        <v>1.0505208333333302</v>
      </c>
    </row>
    <row r="181" spans="2:66" ht="15.75" x14ac:dyDescent="0.25">
      <c r="W181" s="100">
        <v>0.10416666666666667</v>
      </c>
      <c r="X181" s="83">
        <v>0.2013888888888889</v>
      </c>
      <c r="Z181" s="227">
        <v>0.99305555555555058</v>
      </c>
      <c r="AA181" s="253">
        <v>1.0625</v>
      </c>
    </row>
    <row r="182" spans="2:66" ht="15.75" x14ac:dyDescent="0.25">
      <c r="W182" s="253">
        <v>0.14583333333348567</v>
      </c>
      <c r="X182" s="230">
        <v>0.20697916666681901</v>
      </c>
      <c r="Z182" s="227">
        <v>3.4722222222222224E-2</v>
      </c>
      <c r="AA182" s="253">
        <v>0.10416666666666667</v>
      </c>
    </row>
    <row r="183" spans="2:66" ht="15.75" x14ac:dyDescent="0.25">
      <c r="W183" s="253">
        <v>0.18750000000020567</v>
      </c>
      <c r="X183" s="230">
        <v>0.24864583333353901</v>
      </c>
      <c r="Z183" s="227">
        <v>7.6388888888888895E-2</v>
      </c>
      <c r="AA183" s="253">
        <v>0.14583333333348567</v>
      </c>
    </row>
    <row r="184" spans="2:66" ht="15.75" x14ac:dyDescent="0.25">
      <c r="Z184" s="227">
        <v>0.11805555555555555</v>
      </c>
      <c r="AA184" s="253">
        <v>0.18750000000020567</v>
      </c>
    </row>
    <row r="185" spans="2:66" ht="15.75" x14ac:dyDescent="0.25">
      <c r="Z185" s="227">
        <v>0.15972222222222221</v>
      </c>
      <c r="AA185" s="230">
        <v>0.23107638888890725</v>
      </c>
    </row>
    <row r="186" spans="2:66" ht="15.75" x14ac:dyDescent="0.25">
      <c r="Z186" s="227">
        <v>0.2013888888888889</v>
      </c>
      <c r="AA186" s="230">
        <v>0.27274305555557721</v>
      </c>
    </row>
    <row r="189" spans="2:66" ht="15.75" x14ac:dyDescent="0.25">
      <c r="B189" s="386">
        <v>0.2590277777777778</v>
      </c>
      <c r="C189" s="386"/>
      <c r="D189" s="386">
        <v>0.1736111111111111</v>
      </c>
      <c r="E189" s="386">
        <v>0.26597222222222222</v>
      </c>
      <c r="F189" s="386">
        <v>0.27083333333333331</v>
      </c>
      <c r="G189" s="386">
        <v>0.65972222222222221</v>
      </c>
      <c r="H189" s="386">
        <v>0.1875</v>
      </c>
      <c r="I189" s="386">
        <v>0.19444444444444445</v>
      </c>
      <c r="J189" s="386">
        <v>0.71527777777777779</v>
      </c>
      <c r="K189" s="386">
        <v>0.28472222222222221</v>
      </c>
      <c r="L189" s="386">
        <v>0.2013888888888889</v>
      </c>
      <c r="M189" s="386">
        <v>0.29444444444444445</v>
      </c>
      <c r="N189" s="386">
        <v>0.20833333333333334</v>
      </c>
      <c r="O189" s="386">
        <v>0.21527777777777779</v>
      </c>
      <c r="P189" s="386">
        <v>0.30833333333333335</v>
      </c>
      <c r="Q189" s="386">
        <v>0.22222222222222221</v>
      </c>
      <c r="R189" s="386">
        <v>0.50347222222222221</v>
      </c>
      <c r="S189" s="386"/>
      <c r="T189" s="386">
        <v>0.62013888888888891</v>
      </c>
      <c r="U189" s="386">
        <v>0.22916666666666666</v>
      </c>
      <c r="V189" s="386">
        <v>0.2361111111111111</v>
      </c>
      <c r="W189" s="386">
        <v>0.6333333333333333</v>
      </c>
      <c r="X189" s="386">
        <v>0.24305555555555555</v>
      </c>
      <c r="Y189" s="386">
        <v>0.24652777777777779</v>
      </c>
      <c r="Z189" s="386">
        <v>0.25208333333333333</v>
      </c>
      <c r="AA189" s="386">
        <v>0.25347222222222221</v>
      </c>
      <c r="AB189" s="386">
        <v>0.2590277777777778</v>
      </c>
      <c r="AC189" s="386">
        <v>0.2638888888888889</v>
      </c>
      <c r="AD189" s="386"/>
      <c r="AE189" s="386">
        <v>0.26944444444444443</v>
      </c>
      <c r="AF189" s="386"/>
      <c r="AG189" s="386">
        <v>0.66249999999999998</v>
      </c>
      <c r="AH189" s="386"/>
      <c r="AI189" s="386"/>
      <c r="AJ189" s="386"/>
      <c r="AK189" s="386">
        <v>0.55208333333333337</v>
      </c>
      <c r="AL189" s="386">
        <v>0.27430555555555558</v>
      </c>
      <c r="AM189" s="386"/>
      <c r="AN189" s="386">
        <v>0.27986111111111112</v>
      </c>
      <c r="AO189" s="386"/>
      <c r="AP189" s="386">
        <v>0.28472222222222221</v>
      </c>
      <c r="AQ189" s="386"/>
      <c r="AR189" s="386">
        <v>0.2902777777777778</v>
      </c>
      <c r="AS189" s="386"/>
      <c r="AT189" s="386">
        <v>0.57291666666666663</v>
      </c>
      <c r="AU189" s="386">
        <v>0.1875</v>
      </c>
      <c r="AV189" s="386"/>
      <c r="AW189" s="386">
        <v>0.30416666666666664</v>
      </c>
      <c r="AX189" s="386"/>
      <c r="AY189" s="386">
        <v>0.30902777777777779</v>
      </c>
      <c r="AZ189" s="386">
        <v>0.19791666666666666</v>
      </c>
      <c r="BA189" s="386">
        <v>0.20833333333333334</v>
      </c>
      <c r="BB189" s="386">
        <v>0.59375</v>
      </c>
      <c r="BC189" s="386">
        <v>0.32500000000000001</v>
      </c>
      <c r="BD189" s="386">
        <v>0.21527777777777779</v>
      </c>
      <c r="BE189" s="386">
        <v>0.22222222222222221</v>
      </c>
      <c r="BF189" s="386">
        <v>0.22916666666666666</v>
      </c>
      <c r="BG189" s="386">
        <v>0.2361111111111111</v>
      </c>
      <c r="BH189" s="386">
        <v>0.53125</v>
      </c>
      <c r="BI189" s="386">
        <v>0.625</v>
      </c>
      <c r="BJ189" s="386">
        <v>0.24305555555555555</v>
      </c>
      <c r="BK189" s="386">
        <v>0.25</v>
      </c>
      <c r="BL189" s="386">
        <v>0.25555555555555554</v>
      </c>
      <c r="BM189" s="386">
        <v>0.64583333333333337</v>
      </c>
      <c r="BN189" s="386">
        <v>0.25694444444444442</v>
      </c>
    </row>
    <row r="190" spans="2:66" ht="15.75" x14ac:dyDescent="0.25">
      <c r="B190" s="387">
        <v>0.81944444444444442</v>
      </c>
      <c r="C190" s="386"/>
      <c r="D190" s="387">
        <v>0.43055555555555558</v>
      </c>
      <c r="E190" s="387">
        <v>0.43263888888888891</v>
      </c>
      <c r="F190" s="387">
        <v>0.97361111111111109</v>
      </c>
      <c r="G190" s="387">
        <v>0.98055555555555551</v>
      </c>
      <c r="H190" s="387">
        <v>1.0576388888888888</v>
      </c>
      <c r="I190" s="387">
        <v>0.44444444444444442</v>
      </c>
      <c r="J190" s="387">
        <v>0.81458333333333333</v>
      </c>
      <c r="K190" s="387">
        <v>0.8354166666666667</v>
      </c>
      <c r="L190" s="387">
        <v>0.84097222222222223</v>
      </c>
      <c r="M190" s="387">
        <v>0.45833333333333331</v>
      </c>
      <c r="N190" s="387">
        <v>0.85138888888888886</v>
      </c>
      <c r="O190" s="387">
        <v>0.46527777777777779</v>
      </c>
      <c r="P190" s="387">
        <v>0.46736111111111112</v>
      </c>
      <c r="Q190" s="387">
        <v>0.93263888888888891</v>
      </c>
      <c r="R190" s="387">
        <v>1.2375</v>
      </c>
      <c r="S190" s="386"/>
      <c r="T190" s="387">
        <v>0.78125</v>
      </c>
      <c r="U190" s="387">
        <v>0.68263888888888891</v>
      </c>
      <c r="V190" s="387">
        <v>0.78472222222222221</v>
      </c>
      <c r="W190" s="387">
        <v>1.0013888888888889</v>
      </c>
      <c r="X190" s="387">
        <v>0.875</v>
      </c>
      <c r="Y190" s="387">
        <v>0.79861111111111116</v>
      </c>
      <c r="Z190" s="387">
        <v>0.4201388888888889</v>
      </c>
      <c r="AA190" s="387">
        <v>1.0152777777777777</v>
      </c>
      <c r="AB190" s="387">
        <v>0.42708333333333331</v>
      </c>
      <c r="AC190" s="387">
        <v>0.81180555555555556</v>
      </c>
      <c r="AD190" s="386"/>
      <c r="AE190" s="387">
        <v>1.0222222222222221</v>
      </c>
      <c r="AF190" s="386"/>
      <c r="AG190" s="387">
        <v>1.2798611111111111</v>
      </c>
      <c r="AH190" s="386"/>
      <c r="AI190" s="386"/>
      <c r="AJ190" s="386"/>
      <c r="AK190" s="387">
        <v>0.81874999999999998</v>
      </c>
      <c r="AL190" s="387">
        <v>0.82430555555555551</v>
      </c>
      <c r="AM190" s="386"/>
      <c r="AN190" s="387">
        <v>1.0361111111111112</v>
      </c>
      <c r="AO190" s="386"/>
      <c r="AP190" s="387">
        <v>0.44861111111111113</v>
      </c>
      <c r="AQ190" s="386"/>
      <c r="AR190" s="387">
        <v>1.0430555555555556</v>
      </c>
      <c r="AS190" s="386"/>
      <c r="AT190" s="387">
        <v>0.83958333333333335</v>
      </c>
      <c r="AU190" s="387">
        <v>0.99375000000000002</v>
      </c>
      <c r="AV190" s="386"/>
      <c r="AW190" s="387">
        <v>0.46875</v>
      </c>
      <c r="AX190" s="386"/>
      <c r="AY190" s="387">
        <v>1.0569444444444445</v>
      </c>
      <c r="AZ190" s="387">
        <v>0.47222222222222221</v>
      </c>
      <c r="BA190" s="387">
        <v>1.007638888888889</v>
      </c>
      <c r="BB190" s="387">
        <v>0.76249999999999996</v>
      </c>
      <c r="BC190" s="387">
        <v>0.86388888888888893</v>
      </c>
      <c r="BD190" s="387">
        <v>1.0708333333333333</v>
      </c>
      <c r="BE190" s="387">
        <v>0.49305555555555558</v>
      </c>
      <c r="BF190" s="387">
        <v>0.77777777777777779</v>
      </c>
      <c r="BG190" s="387">
        <v>0.5</v>
      </c>
      <c r="BH190" s="387">
        <v>0.94791666666666663</v>
      </c>
      <c r="BI190" s="387">
        <v>0.79166666666666663</v>
      </c>
      <c r="BJ190" s="387">
        <v>0.95486111111111116</v>
      </c>
      <c r="BK190" s="387">
        <v>0.80208333333333337</v>
      </c>
      <c r="BL190" s="387">
        <v>1.0229166666666667</v>
      </c>
      <c r="BM190" s="387">
        <v>1.0298611111111111</v>
      </c>
      <c r="BN190" s="387">
        <v>1.04375</v>
      </c>
    </row>
    <row r="191" spans="2:66" ht="15.75" x14ac:dyDescent="0.25">
      <c r="B191" s="386">
        <f>B190-B189</f>
        <v>0.56041666666666656</v>
      </c>
      <c r="C191" s="386"/>
      <c r="D191" s="386">
        <f t="shared" ref="D191:R191" si="16">D190-D189</f>
        <v>0.25694444444444448</v>
      </c>
      <c r="E191" s="386">
        <f t="shared" si="16"/>
        <v>0.16666666666666669</v>
      </c>
      <c r="F191" s="386">
        <f t="shared" si="16"/>
        <v>0.70277777777777772</v>
      </c>
      <c r="G191" s="386">
        <f t="shared" si="16"/>
        <v>0.3208333333333333</v>
      </c>
      <c r="H191" s="386">
        <f t="shared" si="16"/>
        <v>0.8701388888888888</v>
      </c>
      <c r="I191" s="386">
        <f t="shared" si="16"/>
        <v>0.24999999999999997</v>
      </c>
      <c r="J191" s="386">
        <f t="shared" si="16"/>
        <v>9.9305555555555536E-2</v>
      </c>
      <c r="K191" s="386">
        <f t="shared" si="16"/>
        <v>0.55069444444444449</v>
      </c>
      <c r="L191" s="386">
        <f t="shared" si="16"/>
        <v>0.63958333333333339</v>
      </c>
      <c r="M191" s="386">
        <f t="shared" si="16"/>
        <v>0.16388888888888886</v>
      </c>
      <c r="N191" s="386">
        <f t="shared" si="16"/>
        <v>0.64305555555555549</v>
      </c>
      <c r="O191" s="386">
        <f t="shared" si="16"/>
        <v>0.25</v>
      </c>
      <c r="P191" s="386">
        <f t="shared" si="16"/>
        <v>0.15902777777777777</v>
      </c>
      <c r="Q191" s="386">
        <f t="shared" si="16"/>
        <v>0.7104166666666667</v>
      </c>
      <c r="R191" s="386">
        <f t="shared" si="16"/>
        <v>0.73402777777777783</v>
      </c>
      <c r="S191" s="386"/>
      <c r="T191" s="386">
        <f t="shared" ref="T191:AC191" si="17">T190-T189</f>
        <v>0.16111111111111109</v>
      </c>
      <c r="U191" s="386">
        <f t="shared" si="17"/>
        <v>0.45347222222222228</v>
      </c>
      <c r="V191" s="386">
        <f t="shared" si="17"/>
        <v>0.54861111111111116</v>
      </c>
      <c r="W191" s="386">
        <f t="shared" si="17"/>
        <v>0.36805555555555558</v>
      </c>
      <c r="X191" s="386">
        <f t="shared" si="17"/>
        <v>0.63194444444444442</v>
      </c>
      <c r="Y191" s="386">
        <f t="shared" si="17"/>
        <v>0.55208333333333337</v>
      </c>
      <c r="Z191" s="386">
        <f t="shared" si="17"/>
        <v>0.16805555555555557</v>
      </c>
      <c r="AA191" s="386">
        <f t="shared" si="17"/>
        <v>0.76180555555555551</v>
      </c>
      <c r="AB191" s="386">
        <f t="shared" si="17"/>
        <v>0.16805555555555551</v>
      </c>
      <c r="AC191" s="386">
        <f t="shared" si="17"/>
        <v>0.54791666666666661</v>
      </c>
      <c r="AD191" s="386"/>
      <c r="AE191" s="386">
        <f>AE190-AE189</f>
        <v>0.75277777777777777</v>
      </c>
      <c r="AF191" s="386"/>
      <c r="AG191" s="386">
        <f>AG190-AG189</f>
        <v>0.61736111111111114</v>
      </c>
      <c r="AH191" s="386"/>
      <c r="AI191" s="386"/>
      <c r="AJ191" s="386"/>
      <c r="AK191" s="386">
        <f>AK190-AK189</f>
        <v>0.26666666666666661</v>
      </c>
      <c r="AL191" s="386">
        <f>AL190-AL189</f>
        <v>0.54999999999999993</v>
      </c>
      <c r="AM191" s="386"/>
      <c r="AN191" s="386">
        <f>AN190-AN189</f>
        <v>0.75625000000000009</v>
      </c>
      <c r="AO191" s="386"/>
      <c r="AP191" s="386">
        <f>AP190-AP189</f>
        <v>0.16388888888888892</v>
      </c>
      <c r="AQ191" s="386"/>
      <c r="AR191" s="386">
        <f>AR190-AR189</f>
        <v>0.75277777777777777</v>
      </c>
      <c r="AS191" s="386"/>
      <c r="AT191" s="386">
        <f t="shared" ref="AT191:AU191" si="18">AT190-AT189</f>
        <v>0.26666666666666672</v>
      </c>
      <c r="AU191" s="386">
        <f t="shared" si="18"/>
        <v>0.80625000000000002</v>
      </c>
      <c r="AV191" s="386"/>
      <c r="AW191" s="386">
        <f>AW190-AW189</f>
        <v>0.16458333333333336</v>
      </c>
      <c r="AX191" s="386"/>
      <c r="AY191" s="386">
        <f>AY190-AY189</f>
        <v>0.74791666666666667</v>
      </c>
      <c r="AZ191" s="386">
        <f t="shared" ref="AZ191:BN191" si="19">AZ190-AZ189</f>
        <v>0.27430555555555558</v>
      </c>
      <c r="BA191" s="386">
        <f t="shared" si="19"/>
        <v>0.7993055555555556</v>
      </c>
      <c r="BB191" s="386">
        <f t="shared" si="19"/>
        <v>0.16874999999999996</v>
      </c>
      <c r="BC191" s="386">
        <f t="shared" si="19"/>
        <v>0.53888888888888897</v>
      </c>
      <c r="BD191" s="386">
        <f t="shared" si="19"/>
        <v>0.85555555555555551</v>
      </c>
      <c r="BE191" s="386">
        <f t="shared" si="19"/>
        <v>0.27083333333333337</v>
      </c>
      <c r="BF191" s="386">
        <f t="shared" si="19"/>
        <v>0.54861111111111116</v>
      </c>
      <c r="BG191" s="386">
        <f t="shared" si="19"/>
        <v>0.2638888888888889</v>
      </c>
      <c r="BH191" s="386">
        <f t="shared" si="19"/>
        <v>0.41666666666666663</v>
      </c>
      <c r="BI191" s="386">
        <f t="shared" si="19"/>
        <v>0.16666666666666663</v>
      </c>
      <c r="BJ191" s="386">
        <f t="shared" si="19"/>
        <v>0.71180555555555558</v>
      </c>
      <c r="BK191" s="386">
        <f t="shared" si="19"/>
        <v>0.55208333333333337</v>
      </c>
      <c r="BL191" s="386">
        <f t="shared" si="19"/>
        <v>0.76736111111111116</v>
      </c>
      <c r="BM191" s="386">
        <f t="shared" si="19"/>
        <v>0.38402777777777775</v>
      </c>
      <c r="BN191" s="386">
        <f t="shared" si="19"/>
        <v>0.78680555555555554</v>
      </c>
    </row>
    <row r="192" spans="2:66" ht="15.75" x14ac:dyDescent="0.25">
      <c r="B192" s="386"/>
      <c r="C192" s="386"/>
      <c r="D192" s="386"/>
      <c r="E192" s="386"/>
      <c r="F192" s="386"/>
      <c r="G192" s="386"/>
      <c r="H192" s="386"/>
      <c r="AA192" s="386"/>
      <c r="AB192" s="386"/>
      <c r="AC192" s="386"/>
      <c r="AD192" s="386"/>
      <c r="AE192" s="386"/>
      <c r="AF192" s="386"/>
      <c r="AG192" s="386"/>
      <c r="AH192" s="386"/>
      <c r="AI192" s="386"/>
      <c r="AJ192" s="386"/>
      <c r="AK192" s="386"/>
      <c r="AL192" s="386"/>
      <c r="AM192" s="386"/>
      <c r="AN192" s="386"/>
      <c r="AO192" s="386"/>
      <c r="AP192" s="386"/>
      <c r="AQ192" s="386"/>
      <c r="AR192" s="386"/>
      <c r="AS192" s="386"/>
      <c r="AT192" s="386"/>
      <c r="AU192" s="386"/>
      <c r="AV192" s="386"/>
      <c r="AW192" s="386"/>
      <c r="AX192" s="386"/>
      <c r="AY192" s="386"/>
      <c r="AZ192" s="386"/>
      <c r="BA192" s="386"/>
      <c r="BB192" s="386"/>
      <c r="BC192" s="386"/>
      <c r="BD192" s="386"/>
      <c r="BE192" s="386"/>
      <c r="BF192" s="386"/>
      <c r="BG192" s="386"/>
      <c r="BH192" s="386"/>
      <c r="BI192" s="386"/>
      <c r="BJ192" s="386"/>
      <c r="BK192" s="386"/>
      <c r="BL192" s="386"/>
      <c r="BM192" s="386"/>
      <c r="BN192" s="386"/>
    </row>
    <row r="193" spans="2:66" ht="15.75" x14ac:dyDescent="0.25">
      <c r="B193" s="386"/>
      <c r="C193" s="386"/>
      <c r="D193" s="386"/>
      <c r="E193" s="386">
        <v>0.70486111111111116</v>
      </c>
      <c r="F193" s="386"/>
      <c r="G193" s="386"/>
      <c r="H193" s="386"/>
      <c r="I193" s="386">
        <v>0.58333333333333337</v>
      </c>
      <c r="J193" s="386"/>
      <c r="K193" s="386"/>
      <c r="L193" s="386"/>
      <c r="M193" s="386">
        <v>0.59930555555555554</v>
      </c>
      <c r="N193" s="386"/>
      <c r="O193" s="386"/>
      <c r="P193" s="386"/>
      <c r="Q193" s="386"/>
      <c r="R193" s="386"/>
      <c r="S193" s="386"/>
      <c r="T193" s="386"/>
      <c r="U193" s="386"/>
      <c r="V193" s="386"/>
      <c r="W193" s="386"/>
      <c r="X193" s="386"/>
      <c r="Y193" s="386"/>
      <c r="Z193" s="386">
        <v>0.64375000000000004</v>
      </c>
      <c r="AA193" s="386"/>
      <c r="AB193" s="386"/>
      <c r="AC193" s="386"/>
      <c r="AD193" s="386"/>
      <c r="AE193" s="386"/>
      <c r="AF193" s="386"/>
      <c r="AG193" s="386"/>
      <c r="AH193" s="386"/>
      <c r="AI193" s="386"/>
      <c r="AJ193" s="386"/>
      <c r="AK193" s="386"/>
      <c r="AL193" s="386"/>
      <c r="AM193" s="386"/>
      <c r="AN193" s="386"/>
      <c r="AO193" s="386"/>
      <c r="AP193" s="386"/>
      <c r="AQ193" s="386"/>
      <c r="AR193" s="386"/>
      <c r="AS193" s="386"/>
      <c r="AT193" s="386"/>
      <c r="AU193" s="386"/>
      <c r="AV193" s="386"/>
      <c r="AW193" s="386"/>
      <c r="AX193" s="386"/>
      <c r="AY193" s="386"/>
      <c r="AZ193" s="386"/>
      <c r="BA193" s="386"/>
      <c r="BB193" s="386"/>
      <c r="BC193" s="386"/>
      <c r="BD193" s="386"/>
      <c r="BE193" s="386"/>
      <c r="BF193" s="386"/>
      <c r="BG193" s="386">
        <v>0.61458333333333337</v>
      </c>
      <c r="BH193" s="386"/>
      <c r="BI193" s="386"/>
      <c r="BJ193" s="386"/>
      <c r="BK193" s="386">
        <v>1</v>
      </c>
      <c r="BL193" s="386"/>
      <c r="BM193" s="386"/>
      <c r="BN193" s="386"/>
    </row>
    <row r="194" spans="2:66" ht="15.75" x14ac:dyDescent="0.25">
      <c r="B194" s="386"/>
      <c r="C194" s="386"/>
      <c r="D194" s="386"/>
      <c r="E194" s="387">
        <v>0.80763888888888891</v>
      </c>
      <c r="F194" s="386"/>
      <c r="G194" s="386"/>
      <c r="H194" s="386"/>
      <c r="I194" s="387">
        <v>0.74513888888888891</v>
      </c>
      <c r="J194" s="386"/>
      <c r="K194" s="386"/>
      <c r="L194" s="386"/>
      <c r="M194" s="387">
        <v>0.93055555555555558</v>
      </c>
      <c r="N194" s="386"/>
      <c r="O194" s="386"/>
      <c r="P194" s="386"/>
      <c r="Q194" s="386"/>
      <c r="R194" s="386"/>
      <c r="S194" s="386"/>
      <c r="T194" s="386"/>
      <c r="U194" s="386"/>
      <c r="V194" s="386"/>
      <c r="W194" s="386"/>
      <c r="X194" s="386"/>
      <c r="Y194" s="386"/>
      <c r="Z194" s="387">
        <v>1.0083333333333333</v>
      </c>
      <c r="AA194" s="386"/>
      <c r="AB194" s="386"/>
      <c r="AC194" s="386"/>
      <c r="AD194" s="386"/>
      <c r="AE194" s="386"/>
      <c r="AF194" s="386"/>
      <c r="AG194" s="386"/>
      <c r="AH194" s="386"/>
      <c r="AI194" s="386"/>
      <c r="AJ194" s="386"/>
      <c r="AK194" s="386"/>
      <c r="AL194" s="386"/>
      <c r="AM194" s="386"/>
      <c r="AN194" s="386"/>
      <c r="AO194" s="386"/>
      <c r="AP194" s="386"/>
      <c r="AQ194" s="386"/>
      <c r="AR194" s="386"/>
      <c r="AS194" s="386"/>
      <c r="AT194" s="386"/>
      <c r="AU194" s="386"/>
      <c r="AV194" s="386"/>
      <c r="AW194" s="386"/>
      <c r="AX194" s="386"/>
      <c r="AY194" s="386"/>
      <c r="AZ194" s="386"/>
      <c r="BA194" s="386"/>
      <c r="BB194" s="386"/>
      <c r="BC194" s="386"/>
      <c r="BD194" s="386"/>
      <c r="BE194" s="386"/>
      <c r="BF194" s="386"/>
      <c r="BG194" s="387">
        <v>1.25</v>
      </c>
      <c r="BH194" s="386"/>
      <c r="BI194" s="386"/>
      <c r="BJ194" s="386"/>
      <c r="BK194" s="387">
        <v>1.2916666666666667</v>
      </c>
      <c r="BL194" s="386"/>
      <c r="BM194" s="386"/>
      <c r="BN194" s="386"/>
    </row>
    <row r="195" spans="2:66" ht="15.75" x14ac:dyDescent="0.25">
      <c r="B195" s="386"/>
      <c r="C195" s="386"/>
      <c r="D195" s="386"/>
      <c r="E195" s="386">
        <f>E194-E193</f>
        <v>0.10277777777777775</v>
      </c>
      <c r="F195" s="386"/>
      <c r="G195" s="386"/>
      <c r="H195" s="386"/>
      <c r="I195" s="386">
        <f>I194-I193</f>
        <v>0.16180555555555554</v>
      </c>
      <c r="J195" s="386"/>
      <c r="K195" s="386"/>
      <c r="L195" s="386"/>
      <c r="M195" s="386">
        <f>M194-M193</f>
        <v>0.33125000000000004</v>
      </c>
      <c r="N195" s="386"/>
      <c r="O195" s="386"/>
      <c r="P195" s="386"/>
      <c r="Q195" s="386"/>
      <c r="R195" s="386"/>
      <c r="S195" s="386"/>
      <c r="T195" s="386"/>
      <c r="U195" s="386"/>
      <c r="V195" s="386"/>
      <c r="W195" s="386"/>
      <c r="X195" s="386"/>
      <c r="Y195" s="386"/>
      <c r="Z195" s="386">
        <f>Z194-Z193</f>
        <v>0.36458333333333326</v>
      </c>
      <c r="AA195" s="386"/>
      <c r="AB195" s="386"/>
      <c r="AC195" s="386"/>
      <c r="AD195" s="386"/>
      <c r="AE195" s="386"/>
      <c r="AF195" s="386"/>
      <c r="AG195" s="386"/>
      <c r="AH195" s="386"/>
      <c r="AI195" s="386"/>
      <c r="AJ195" s="386"/>
      <c r="AK195" s="386"/>
      <c r="AL195" s="386"/>
      <c r="AM195" s="386"/>
      <c r="AN195" s="386"/>
      <c r="AO195" s="386"/>
      <c r="AP195" s="386"/>
      <c r="AQ195" s="386"/>
      <c r="AR195" s="386"/>
      <c r="AS195" s="386"/>
      <c r="AT195" s="386"/>
      <c r="AU195" s="386"/>
      <c r="AV195" s="386"/>
      <c r="AW195" s="386"/>
      <c r="AX195" s="386"/>
      <c r="AY195" s="386"/>
      <c r="AZ195" s="386"/>
      <c r="BA195" s="386"/>
      <c r="BB195" s="386"/>
      <c r="BC195" s="386"/>
      <c r="BD195" s="386"/>
      <c r="BE195" s="386"/>
      <c r="BF195" s="386"/>
      <c r="BG195" s="386">
        <f>BG194-BG193</f>
        <v>0.63541666666666663</v>
      </c>
      <c r="BH195" s="386"/>
      <c r="BI195" s="386"/>
      <c r="BJ195" s="386"/>
      <c r="BK195" s="386">
        <f>BK194-BK193</f>
        <v>0.29166666666666674</v>
      </c>
      <c r="BL195" s="386"/>
      <c r="BM195" s="386"/>
      <c r="BN195" s="386"/>
    </row>
    <row r="196" spans="2:66" ht="15.75" x14ac:dyDescent="0.25">
      <c r="B196" s="386"/>
      <c r="C196" s="386"/>
      <c r="D196" s="386"/>
      <c r="E196" s="386"/>
      <c r="F196" s="386"/>
      <c r="G196" s="386"/>
      <c r="H196" s="386"/>
      <c r="AA196" s="386"/>
      <c r="AB196" s="386"/>
      <c r="AC196" s="386"/>
      <c r="AD196" s="386"/>
      <c r="AE196" s="386"/>
      <c r="AF196" s="386"/>
      <c r="AG196" s="386"/>
      <c r="AH196" s="386"/>
      <c r="AI196" s="386"/>
      <c r="AJ196" s="386"/>
      <c r="AK196" s="386"/>
      <c r="AL196" s="386"/>
      <c r="AM196" s="386"/>
      <c r="AN196" s="386"/>
      <c r="AO196" s="386"/>
      <c r="AP196" s="386"/>
      <c r="AQ196" s="386"/>
      <c r="AR196" s="386"/>
      <c r="AS196" s="386"/>
      <c r="AT196" s="386"/>
      <c r="AU196" s="386"/>
      <c r="AV196" s="386"/>
      <c r="AW196" s="386"/>
      <c r="AX196" s="386"/>
      <c r="AY196" s="386"/>
      <c r="AZ196" s="386"/>
      <c r="BA196" s="386"/>
      <c r="BB196" s="386"/>
      <c r="BC196" s="386"/>
      <c r="BD196" s="386"/>
      <c r="BE196" s="386"/>
      <c r="BF196" s="386"/>
      <c r="BG196" s="386"/>
      <c r="BH196" s="386"/>
      <c r="BI196" s="386"/>
      <c r="BJ196" s="386"/>
      <c r="BK196" s="386"/>
      <c r="BL196" s="386"/>
      <c r="BM196" s="386"/>
      <c r="BN196" s="386"/>
    </row>
    <row r="197" spans="2:66" ht="15.75" x14ac:dyDescent="0.25">
      <c r="B197" s="388" t="s">
        <v>680</v>
      </c>
      <c r="C197" s="389" t="s">
        <v>681</v>
      </c>
      <c r="D197" s="386"/>
      <c r="E197" s="386"/>
      <c r="F197" s="386"/>
      <c r="G197" s="386"/>
      <c r="H197" s="386"/>
      <c r="I197" s="386"/>
      <c r="J197" s="386"/>
      <c r="K197" s="386"/>
      <c r="L197" s="386"/>
      <c r="M197" s="386"/>
      <c r="N197" s="386"/>
      <c r="O197" s="386"/>
      <c r="P197" s="386"/>
      <c r="Q197" s="386"/>
      <c r="R197" s="386"/>
      <c r="S197" s="386"/>
      <c r="T197" s="386"/>
      <c r="U197" s="386"/>
      <c r="V197" s="386"/>
      <c r="W197" s="386"/>
      <c r="X197" s="386"/>
      <c r="Y197" s="386"/>
      <c r="Z197" s="386"/>
      <c r="AA197" s="386"/>
      <c r="AB197" s="386"/>
      <c r="AC197" s="386"/>
      <c r="AD197" s="386"/>
      <c r="AE197" s="386"/>
      <c r="AF197" s="386"/>
      <c r="AG197" s="386"/>
      <c r="AH197" s="386"/>
      <c r="AI197" s="386"/>
      <c r="AJ197" s="386"/>
      <c r="AK197" s="386"/>
      <c r="AL197" s="386"/>
      <c r="AM197" s="386"/>
      <c r="AN197" s="386"/>
      <c r="AO197" s="386"/>
      <c r="AP197" s="386"/>
      <c r="AQ197" s="386"/>
      <c r="AR197" s="386"/>
      <c r="AS197" s="386"/>
      <c r="AT197" s="386"/>
      <c r="AU197" s="386"/>
      <c r="AV197" s="386"/>
      <c r="AW197" s="386"/>
      <c r="AX197" s="386"/>
      <c r="AY197" s="386"/>
      <c r="AZ197" s="386"/>
      <c r="BA197" s="386"/>
      <c r="BB197" s="386"/>
      <c r="BC197" s="386"/>
      <c r="BD197" s="386"/>
      <c r="BE197" s="386"/>
      <c r="BF197" s="386"/>
      <c r="BG197" s="386"/>
      <c r="BH197" s="386"/>
      <c r="BI197" s="386"/>
      <c r="BJ197" s="386"/>
      <c r="BK197" s="386"/>
      <c r="BL197" s="386"/>
      <c r="BM197" s="386"/>
      <c r="BN197" s="386"/>
    </row>
    <row r="198" spans="2:66" ht="15.75" x14ac:dyDescent="0.25">
      <c r="B198" s="386"/>
      <c r="C198" s="386"/>
      <c r="D198" s="386"/>
      <c r="E198" s="386"/>
      <c r="F198" s="386"/>
      <c r="G198" s="386"/>
      <c r="H198" s="386"/>
      <c r="I198" s="386"/>
      <c r="J198" s="386"/>
      <c r="K198" s="386"/>
      <c r="L198" s="386"/>
      <c r="M198" s="386"/>
      <c r="N198" s="390"/>
      <c r="O198" s="386"/>
      <c r="P198" s="386"/>
      <c r="Q198" s="386"/>
      <c r="R198" s="386"/>
      <c r="S198" s="386"/>
      <c r="T198" s="386"/>
      <c r="U198" s="386"/>
      <c r="V198" s="386"/>
      <c r="W198" s="386"/>
      <c r="X198" s="386"/>
      <c r="Y198" s="386"/>
      <c r="Z198" s="386"/>
      <c r="AA198" s="386"/>
      <c r="AB198" s="386"/>
      <c r="AC198" s="386"/>
      <c r="AD198" s="386"/>
      <c r="AE198" s="386"/>
      <c r="AF198" s="386"/>
      <c r="AG198" s="386"/>
      <c r="AH198" s="386"/>
      <c r="AI198" s="386"/>
      <c r="AJ198" s="386"/>
      <c r="AK198" s="386"/>
      <c r="AL198" s="386"/>
      <c r="AM198" s="386"/>
      <c r="AN198" s="386"/>
      <c r="AO198" s="386"/>
      <c r="AP198" s="386"/>
      <c r="AQ198" s="386"/>
      <c r="AR198" s="386"/>
      <c r="AS198" s="386"/>
      <c r="AT198" s="386"/>
      <c r="AU198" s="386"/>
      <c r="AV198" s="386"/>
      <c r="AW198" s="386"/>
      <c r="AX198" s="386"/>
      <c r="AY198" s="386"/>
      <c r="AZ198" s="386"/>
      <c r="BA198" s="386"/>
      <c r="BB198" s="386"/>
      <c r="BC198" s="386"/>
      <c r="BD198" s="386"/>
      <c r="BE198" s="386"/>
      <c r="BF198" s="386"/>
      <c r="BG198" s="386"/>
      <c r="BH198" s="386"/>
      <c r="BI198" s="386"/>
      <c r="BJ198" s="386"/>
      <c r="BK198" s="386"/>
      <c r="BL198" s="386"/>
      <c r="BM198" s="386"/>
      <c r="BN198" s="386"/>
    </row>
    <row r="199" spans="2:66" ht="15.75" x14ac:dyDescent="0.25">
      <c r="B199" s="386"/>
      <c r="C199" s="386"/>
      <c r="D199" s="386"/>
      <c r="E199" s="386"/>
      <c r="F199" s="386"/>
      <c r="G199" s="386"/>
      <c r="H199" s="386"/>
      <c r="I199" s="386"/>
      <c r="J199" s="386"/>
      <c r="K199" s="386"/>
      <c r="L199" s="386"/>
      <c r="M199" s="386"/>
      <c r="N199" s="386"/>
      <c r="O199" s="386"/>
      <c r="P199" s="386"/>
      <c r="Q199" s="386"/>
      <c r="R199" s="386"/>
      <c r="S199" s="386"/>
      <c r="T199" s="386"/>
      <c r="U199" s="386"/>
      <c r="V199" s="386"/>
      <c r="W199" s="386"/>
      <c r="X199" s="386"/>
      <c r="Y199" s="386"/>
      <c r="Z199" s="386"/>
      <c r="AA199" s="386"/>
      <c r="AB199" s="386"/>
      <c r="AC199" s="386"/>
      <c r="AD199" s="386"/>
      <c r="AE199" s="386"/>
      <c r="AF199" s="386"/>
      <c r="AG199" s="386"/>
      <c r="AH199" s="386"/>
      <c r="AI199" s="386"/>
      <c r="AJ199" s="386"/>
      <c r="AK199" s="386"/>
      <c r="AL199" s="386"/>
      <c r="AM199" s="386"/>
      <c r="AN199" s="386"/>
      <c r="AO199" s="386"/>
      <c r="AP199" s="386"/>
      <c r="AQ199" s="386"/>
      <c r="AR199" s="386"/>
      <c r="AS199" s="386"/>
      <c r="AT199" s="386"/>
      <c r="AU199" s="386"/>
      <c r="AV199" s="386"/>
      <c r="AW199" s="386"/>
      <c r="AX199" s="386"/>
      <c r="AY199" s="386"/>
      <c r="AZ199" s="386"/>
      <c r="BA199" s="386"/>
      <c r="BB199" s="386"/>
      <c r="BC199" s="386"/>
      <c r="BD199" s="386"/>
      <c r="BE199" s="386"/>
      <c r="BF199" s="386"/>
      <c r="BG199" s="386"/>
      <c r="BH199" s="386"/>
      <c r="BI199" s="386"/>
      <c r="BJ199" s="386"/>
      <c r="BK199" s="386"/>
      <c r="BL199" s="386"/>
      <c r="BM199" s="386"/>
      <c r="BN199" s="386"/>
    </row>
    <row r="200" spans="2:66" ht="15.75" x14ac:dyDescent="0.25">
      <c r="B200" s="386"/>
      <c r="C200" s="386"/>
      <c r="D200" s="386"/>
      <c r="E200" s="386"/>
      <c r="F200" s="386"/>
      <c r="G200" s="386"/>
      <c r="H200" s="386"/>
      <c r="I200" s="386"/>
      <c r="J200" s="386"/>
      <c r="K200" s="386"/>
      <c r="L200" s="386"/>
      <c r="M200" s="386"/>
      <c r="N200" s="386"/>
      <c r="O200" s="386"/>
      <c r="P200" s="386"/>
      <c r="Q200" s="386"/>
      <c r="R200" s="386"/>
      <c r="S200" s="386"/>
      <c r="T200" s="386"/>
      <c r="U200" s="386"/>
      <c r="V200" s="386"/>
      <c r="W200" s="386"/>
      <c r="X200" s="386"/>
      <c r="Y200" s="386"/>
      <c r="Z200" s="386"/>
      <c r="AA200" s="386"/>
      <c r="AB200" s="386"/>
      <c r="AC200" s="386"/>
      <c r="AD200" s="386"/>
      <c r="AE200" s="386"/>
      <c r="AF200" s="386"/>
      <c r="AG200" s="386"/>
      <c r="AH200" s="386"/>
      <c r="AI200" s="386"/>
      <c r="AJ200" s="386"/>
      <c r="AK200" s="386"/>
      <c r="AL200" s="386"/>
      <c r="AM200" s="386"/>
      <c r="AN200" s="386"/>
      <c r="AO200" s="386"/>
      <c r="AP200" s="386"/>
      <c r="AQ200" s="386"/>
      <c r="AR200" s="386"/>
      <c r="AS200" s="386"/>
      <c r="AT200" s="386"/>
      <c r="AU200" s="386"/>
      <c r="AV200" s="386"/>
      <c r="AW200" s="386"/>
      <c r="AX200" s="386"/>
      <c r="AY200" s="386"/>
      <c r="AZ200" s="386"/>
      <c r="BA200" s="386"/>
      <c r="BB200" s="386"/>
      <c r="BC200" s="386"/>
      <c r="BD200" s="386"/>
      <c r="BE200" s="386"/>
      <c r="BF200" s="386"/>
      <c r="BG200" s="386"/>
      <c r="BH200" s="386"/>
      <c r="BI200" s="386"/>
      <c r="BJ200" s="386"/>
      <c r="BK200" s="386"/>
      <c r="BL200" s="386"/>
      <c r="BM200" s="386"/>
      <c r="BN200" s="386"/>
    </row>
    <row r="201" spans="2:66" ht="15.75" x14ac:dyDescent="0.25">
      <c r="B201" s="386"/>
      <c r="C201" s="386"/>
      <c r="D201" s="386"/>
      <c r="E201" s="386"/>
      <c r="F201" s="386"/>
      <c r="G201" s="386"/>
      <c r="H201" s="386"/>
      <c r="I201" s="386"/>
      <c r="J201" s="386"/>
      <c r="K201" s="386"/>
      <c r="L201" s="386"/>
      <c r="M201" s="386"/>
      <c r="N201" s="386"/>
      <c r="O201" s="386"/>
      <c r="P201" s="386"/>
      <c r="Q201" s="386"/>
      <c r="R201" s="386"/>
      <c r="S201" s="386"/>
      <c r="T201" s="386"/>
      <c r="U201" s="386"/>
      <c r="V201" s="386"/>
      <c r="W201" s="386"/>
      <c r="X201" s="386"/>
      <c r="Y201" s="386"/>
      <c r="Z201" s="386"/>
      <c r="AA201" s="386"/>
      <c r="AB201" s="386"/>
      <c r="AC201" s="386"/>
      <c r="AD201" s="386"/>
      <c r="AE201" s="386"/>
      <c r="AF201" s="386"/>
      <c r="AG201" s="386"/>
      <c r="AH201" s="386"/>
      <c r="AI201" s="386"/>
      <c r="AJ201" s="386"/>
      <c r="AK201" s="386"/>
      <c r="AL201" s="386"/>
      <c r="AM201" s="386"/>
      <c r="AN201" s="386"/>
      <c r="AO201" s="386"/>
      <c r="AP201" s="386"/>
      <c r="AQ201" s="386"/>
      <c r="AR201" s="386"/>
      <c r="AS201" s="386"/>
      <c r="AT201" s="386"/>
      <c r="AU201" s="386"/>
      <c r="AV201" s="386"/>
      <c r="AW201" s="386"/>
      <c r="AX201" s="386"/>
      <c r="AY201" s="386"/>
      <c r="AZ201" s="386"/>
      <c r="BA201" s="386"/>
      <c r="BB201" s="386"/>
      <c r="BC201" s="386"/>
      <c r="BD201" s="386"/>
      <c r="BE201" s="386"/>
      <c r="BF201" s="386"/>
      <c r="BG201" s="386"/>
      <c r="BH201" s="386"/>
      <c r="BI201" s="386"/>
      <c r="BJ201" s="386"/>
      <c r="BK201" s="386"/>
      <c r="BL201" s="281"/>
      <c r="BM201" s="281"/>
      <c r="BN201" s="281"/>
    </row>
    <row r="202" spans="2:66" ht="15.75" x14ac:dyDescent="0.25">
      <c r="B202" s="386"/>
      <c r="C202" s="386"/>
      <c r="D202" s="386"/>
      <c r="E202" s="386"/>
      <c r="F202" s="386"/>
      <c r="G202" s="386"/>
      <c r="H202" s="386"/>
      <c r="I202" s="386"/>
      <c r="J202" s="386"/>
      <c r="K202" s="386"/>
      <c r="L202" s="386"/>
      <c r="M202" s="386"/>
      <c r="N202" s="386"/>
      <c r="O202" s="386"/>
      <c r="P202" s="386"/>
      <c r="Q202" s="386"/>
      <c r="R202" s="386"/>
      <c r="S202" s="386"/>
      <c r="T202" s="386"/>
      <c r="U202" s="386"/>
      <c r="V202" s="386"/>
      <c r="W202" s="386"/>
      <c r="X202" s="386"/>
      <c r="Y202" s="386"/>
      <c r="Z202" s="386"/>
      <c r="AA202" s="386"/>
      <c r="AB202" s="386"/>
      <c r="AC202" s="386"/>
      <c r="AD202" s="386"/>
      <c r="AE202" s="386"/>
      <c r="AF202" s="386"/>
      <c r="AG202" s="386"/>
      <c r="AH202" s="386"/>
      <c r="AI202" s="386"/>
      <c r="AJ202" s="386"/>
      <c r="AK202" s="386"/>
      <c r="AL202" s="386"/>
      <c r="AM202" s="386"/>
      <c r="AN202" s="386"/>
      <c r="AO202" s="386"/>
      <c r="AP202" s="386"/>
      <c r="AQ202" s="386"/>
      <c r="AR202" s="386"/>
      <c r="AS202" s="386"/>
      <c r="AT202" s="386"/>
      <c r="AU202" s="386"/>
      <c r="AV202" s="386"/>
      <c r="AW202" s="386"/>
      <c r="AX202" s="386"/>
      <c r="AY202" s="386"/>
      <c r="AZ202" s="386"/>
      <c r="BA202" s="386"/>
      <c r="BB202" s="386"/>
      <c r="BC202" s="386"/>
      <c r="BD202" s="386"/>
      <c r="BE202" s="386"/>
      <c r="BF202" s="386"/>
      <c r="BG202" s="386"/>
      <c r="BH202" s="386"/>
      <c r="BI202" s="386"/>
      <c r="BJ202" s="386"/>
      <c r="BK202" s="386"/>
      <c r="BL202" s="281"/>
      <c r="BM202" s="281"/>
      <c r="BN202" s="281"/>
    </row>
    <row r="203" spans="2:66" ht="15.75" x14ac:dyDescent="0.25">
      <c r="B203" s="386"/>
      <c r="C203" s="386"/>
      <c r="D203" s="386"/>
      <c r="E203" s="386"/>
      <c r="F203" s="386"/>
      <c r="G203" s="386"/>
      <c r="H203" s="386"/>
      <c r="I203" s="386"/>
      <c r="J203" s="386"/>
      <c r="K203" s="386"/>
      <c r="L203" s="386"/>
      <c r="M203" s="386"/>
      <c r="N203" s="386"/>
      <c r="O203" s="386"/>
      <c r="P203" s="386"/>
      <c r="Q203" s="386"/>
      <c r="R203" s="386"/>
      <c r="S203" s="386"/>
      <c r="T203" s="386"/>
      <c r="U203" s="386"/>
      <c r="V203" s="386"/>
      <c r="W203" s="386"/>
      <c r="X203" s="386"/>
      <c r="Y203" s="386"/>
      <c r="Z203" s="386"/>
      <c r="AA203" s="386"/>
      <c r="AB203" s="386"/>
      <c r="AC203" s="386"/>
      <c r="AD203" s="386"/>
      <c r="AE203" s="386"/>
      <c r="AF203" s="386"/>
      <c r="AG203" s="386"/>
      <c r="AH203" s="386"/>
      <c r="AI203" s="386"/>
      <c r="AJ203" s="386"/>
      <c r="AK203" s="386"/>
      <c r="AL203" s="386"/>
      <c r="AM203" s="386"/>
      <c r="AN203" s="386"/>
      <c r="AO203" s="386"/>
      <c r="AP203" s="386"/>
      <c r="AQ203" s="386"/>
      <c r="AR203" s="386"/>
      <c r="AS203" s="386"/>
      <c r="AT203" s="386"/>
      <c r="AU203" s="386"/>
      <c r="AV203" s="386"/>
      <c r="AW203" s="386"/>
      <c r="AX203" s="386"/>
      <c r="AY203" s="386"/>
      <c r="AZ203" s="386"/>
      <c r="BA203" s="386"/>
      <c r="BB203" s="386"/>
      <c r="BC203" s="386"/>
      <c r="BD203" s="386"/>
      <c r="BE203" s="386"/>
      <c r="BF203" s="386"/>
      <c r="BG203" s="386"/>
      <c r="BH203" s="386"/>
      <c r="BI203" s="386"/>
      <c r="BJ203" s="386"/>
      <c r="BK203" s="386"/>
      <c r="BL203" s="281"/>
      <c r="BM203" s="281"/>
      <c r="BN203" s="281"/>
    </row>
    <row r="204" spans="2:66" ht="15.75" x14ac:dyDescent="0.25">
      <c r="B204" s="386"/>
      <c r="C204" s="386"/>
      <c r="D204" s="386"/>
      <c r="E204" s="386"/>
      <c r="F204" s="386"/>
      <c r="G204" s="386"/>
      <c r="H204" s="386"/>
      <c r="I204" s="386"/>
      <c r="J204" s="386"/>
      <c r="K204" s="386"/>
      <c r="L204" s="386"/>
      <c r="M204" s="386"/>
      <c r="N204" s="386"/>
      <c r="O204" s="386"/>
      <c r="P204" s="386"/>
      <c r="Q204" s="386"/>
      <c r="R204" s="386"/>
      <c r="S204" s="386"/>
      <c r="T204" s="386"/>
      <c r="U204" s="386"/>
      <c r="V204" s="386"/>
      <c r="W204" s="386"/>
      <c r="X204" s="386"/>
      <c r="Y204" s="386"/>
      <c r="Z204" s="386"/>
      <c r="AA204" s="386"/>
      <c r="AB204" s="386"/>
      <c r="AC204" s="386"/>
      <c r="AD204" s="386"/>
      <c r="AE204" s="386"/>
      <c r="AF204" s="386"/>
      <c r="AG204" s="386"/>
      <c r="AH204" s="386"/>
      <c r="AI204" s="386"/>
      <c r="AJ204" s="386"/>
      <c r="AK204" s="386"/>
      <c r="AL204" s="386"/>
      <c r="AM204" s="386"/>
      <c r="AN204" s="386"/>
      <c r="AO204" s="386"/>
      <c r="AP204" s="386"/>
      <c r="AQ204" s="386"/>
      <c r="AR204" s="386"/>
      <c r="AS204" s="386"/>
      <c r="AT204" s="386"/>
      <c r="AU204" s="386"/>
      <c r="AV204" s="386"/>
      <c r="AW204" s="386"/>
      <c r="AX204" s="386"/>
      <c r="AY204" s="386"/>
      <c r="AZ204" s="386"/>
      <c r="BA204" s="386"/>
      <c r="BB204" s="386"/>
      <c r="BC204" s="386"/>
      <c r="BD204" s="386"/>
      <c r="BE204" s="386"/>
      <c r="BF204" s="386"/>
      <c r="BG204" s="386"/>
      <c r="BH204" s="386"/>
      <c r="BI204" s="386"/>
      <c r="BJ204" s="386"/>
      <c r="BK204" s="386"/>
      <c r="BL204" s="281"/>
      <c r="BM204" s="281"/>
      <c r="BN204" s="281"/>
    </row>
    <row r="205" spans="2:66" ht="15.75" x14ac:dyDescent="0.25">
      <c r="B205" s="386"/>
      <c r="C205" s="386"/>
      <c r="D205" s="386"/>
      <c r="E205" s="386"/>
      <c r="F205" s="386"/>
      <c r="G205" s="386"/>
      <c r="H205" s="386"/>
      <c r="I205" s="386"/>
      <c r="J205" s="386"/>
      <c r="K205" s="386"/>
      <c r="L205" s="386"/>
      <c r="M205" s="386"/>
      <c r="N205" s="386"/>
      <c r="O205" s="386"/>
      <c r="P205" s="386"/>
      <c r="Q205" s="386"/>
      <c r="R205" s="386"/>
      <c r="S205" s="386"/>
      <c r="T205" s="386"/>
      <c r="U205" s="386"/>
      <c r="V205" s="386"/>
      <c r="W205" s="386"/>
      <c r="X205" s="386"/>
      <c r="Y205" s="386"/>
      <c r="Z205" s="386"/>
      <c r="AA205" s="386"/>
      <c r="AB205" s="386"/>
      <c r="AC205" s="386"/>
      <c r="AD205" s="386"/>
      <c r="AE205" s="386"/>
      <c r="AF205" s="386"/>
      <c r="AG205" s="386"/>
      <c r="AH205" s="386"/>
      <c r="AI205" s="386"/>
      <c r="AJ205" s="386"/>
      <c r="AK205" s="386"/>
      <c r="AL205" s="386"/>
      <c r="AM205" s="386"/>
      <c r="AN205" s="386"/>
      <c r="AO205" s="386"/>
      <c r="AP205" s="386"/>
      <c r="AQ205" s="386"/>
      <c r="AR205" s="386"/>
      <c r="AS205" s="386"/>
      <c r="AT205" s="386"/>
      <c r="AU205" s="386"/>
      <c r="AV205" s="386"/>
      <c r="AW205" s="386"/>
      <c r="AX205" s="386"/>
      <c r="AY205" s="386"/>
      <c r="AZ205" s="386"/>
      <c r="BA205" s="386"/>
      <c r="BB205" s="386"/>
      <c r="BC205" s="386"/>
      <c r="BD205" s="386"/>
      <c r="BE205" s="386"/>
      <c r="BF205" s="386"/>
      <c r="BG205" s="386"/>
      <c r="BH205" s="386"/>
      <c r="BI205" s="386"/>
      <c r="BJ205" s="386"/>
      <c r="BK205" s="386"/>
      <c r="BL205" s="281"/>
      <c r="BM205" s="281"/>
      <c r="BN205" s="281"/>
    </row>
    <row r="206" spans="2:66" ht="15.75" x14ac:dyDescent="0.25">
      <c r="B206" s="386"/>
      <c r="C206" s="386"/>
      <c r="D206" s="386"/>
      <c r="E206" s="386"/>
      <c r="F206" s="386"/>
      <c r="G206" s="386"/>
      <c r="H206" s="386"/>
      <c r="I206" s="386"/>
      <c r="J206" s="386"/>
      <c r="K206" s="386"/>
      <c r="L206" s="386"/>
      <c r="M206" s="386"/>
      <c r="N206" s="386"/>
      <c r="O206" s="386"/>
      <c r="P206" s="386"/>
      <c r="Q206" s="386"/>
      <c r="R206" s="386"/>
      <c r="S206" s="386"/>
      <c r="T206" s="386"/>
      <c r="U206" s="386"/>
      <c r="V206" s="386"/>
      <c r="W206" s="386"/>
      <c r="X206" s="386"/>
      <c r="Y206" s="386"/>
      <c r="Z206" s="386"/>
      <c r="AA206" s="386"/>
      <c r="AB206" s="386"/>
      <c r="AC206" s="386"/>
      <c r="AD206" s="386"/>
      <c r="AE206" s="386"/>
      <c r="AF206" s="386"/>
      <c r="AG206" s="386"/>
      <c r="AH206" s="386"/>
      <c r="AI206" s="386"/>
      <c r="AJ206" s="386"/>
      <c r="AK206" s="386"/>
      <c r="AL206" s="386"/>
      <c r="AM206" s="386"/>
      <c r="AN206" s="386"/>
      <c r="AO206" s="386"/>
      <c r="AP206" s="386"/>
      <c r="AQ206" s="386"/>
      <c r="AR206" s="386"/>
      <c r="AS206" s="386"/>
      <c r="AT206" s="386"/>
      <c r="AU206" s="386"/>
      <c r="AV206" s="386"/>
      <c r="AW206" s="386"/>
      <c r="AX206" s="386"/>
      <c r="AY206" s="386"/>
      <c r="AZ206" s="386"/>
      <c r="BA206" s="386"/>
      <c r="BB206" s="386"/>
      <c r="BC206" s="386"/>
      <c r="BD206" s="386"/>
      <c r="BE206" s="386"/>
      <c r="BF206" s="386"/>
      <c r="BG206" s="386"/>
      <c r="BH206" s="386"/>
      <c r="BI206" s="386"/>
      <c r="BJ206" s="386"/>
      <c r="BK206" s="386"/>
      <c r="BL206" s="281"/>
      <c r="BM206" s="281"/>
      <c r="BN206" s="281"/>
    </row>
    <row r="207" spans="2:66" ht="15.75" x14ac:dyDescent="0.25">
      <c r="B207" s="386"/>
      <c r="C207" s="386"/>
      <c r="D207" s="386"/>
      <c r="E207" s="386"/>
      <c r="F207" s="386"/>
      <c r="G207" s="386"/>
      <c r="H207" s="386"/>
      <c r="I207" s="386"/>
      <c r="J207" s="386"/>
      <c r="K207" s="386"/>
      <c r="L207" s="386"/>
      <c r="M207" s="386"/>
      <c r="N207" s="386"/>
      <c r="O207" s="386"/>
      <c r="P207" s="386"/>
      <c r="Q207" s="386"/>
      <c r="R207" s="386"/>
      <c r="S207" s="386"/>
      <c r="T207" s="386"/>
      <c r="U207" s="386"/>
      <c r="V207" s="386"/>
      <c r="W207" s="386"/>
      <c r="X207" s="386"/>
      <c r="Y207" s="386"/>
      <c r="Z207" s="386"/>
      <c r="AA207" s="386"/>
      <c r="AB207" s="386"/>
      <c r="AC207" s="386"/>
      <c r="AD207" s="386"/>
      <c r="AE207" s="386"/>
      <c r="AF207" s="386"/>
      <c r="AG207" s="386"/>
      <c r="AH207" s="386"/>
      <c r="AI207" s="386"/>
      <c r="AJ207" s="386"/>
      <c r="AK207" s="386"/>
      <c r="AL207" s="386"/>
      <c r="AM207" s="386"/>
      <c r="AN207" s="386"/>
      <c r="AO207" s="386"/>
      <c r="AP207" s="386"/>
      <c r="AQ207" s="386"/>
      <c r="AR207" s="386"/>
      <c r="AS207" s="386"/>
      <c r="AT207" s="386"/>
      <c r="AU207" s="386"/>
      <c r="AV207" s="386"/>
      <c r="AW207" s="386"/>
      <c r="AX207" s="386"/>
      <c r="AY207" s="386"/>
      <c r="AZ207" s="386"/>
      <c r="BA207" s="386"/>
      <c r="BB207" s="386"/>
      <c r="BC207" s="386"/>
      <c r="BD207" s="386"/>
      <c r="BE207" s="386"/>
      <c r="BF207" s="386"/>
      <c r="BG207" s="386"/>
      <c r="BH207" s="386"/>
      <c r="BI207" s="386"/>
      <c r="BJ207" s="386"/>
      <c r="BK207" s="386"/>
      <c r="BL207" s="281"/>
      <c r="BM207" s="281"/>
      <c r="BN207" s="281"/>
    </row>
    <row r="208" spans="2:66" ht="15.75" x14ac:dyDescent="0.25">
      <c r="B208" s="386"/>
      <c r="C208" s="386"/>
      <c r="D208" s="386"/>
      <c r="E208" s="386"/>
      <c r="F208" s="386"/>
      <c r="G208" s="386"/>
      <c r="H208" s="386"/>
      <c r="I208" s="386"/>
      <c r="J208" s="386"/>
      <c r="K208" s="386"/>
      <c r="L208" s="386"/>
      <c r="M208" s="386"/>
      <c r="N208" s="386"/>
      <c r="O208" s="386"/>
      <c r="P208" s="386"/>
      <c r="Q208" s="386"/>
      <c r="R208" s="386"/>
      <c r="S208" s="386"/>
      <c r="T208" s="386"/>
      <c r="U208" s="386"/>
      <c r="V208" s="386"/>
      <c r="W208" s="386"/>
      <c r="X208" s="386"/>
      <c r="Y208" s="386"/>
      <c r="Z208" s="386"/>
      <c r="AA208" s="386"/>
      <c r="AB208" s="386"/>
      <c r="AC208" s="386"/>
      <c r="AD208" s="386"/>
      <c r="AE208" s="386"/>
      <c r="AF208" s="386"/>
      <c r="AG208" s="386"/>
      <c r="AH208" s="386"/>
      <c r="AI208" s="386"/>
      <c r="AJ208" s="386"/>
      <c r="AK208" s="386"/>
      <c r="AL208" s="386"/>
      <c r="AM208" s="386"/>
      <c r="AN208" s="386"/>
      <c r="AO208" s="386"/>
      <c r="AP208" s="386"/>
      <c r="AQ208" s="386"/>
      <c r="AR208" s="386"/>
      <c r="AS208" s="386"/>
      <c r="AT208" s="386"/>
      <c r="AU208" s="386"/>
      <c r="AV208" s="386"/>
      <c r="AW208" s="386"/>
      <c r="AX208" s="386"/>
      <c r="AY208" s="386"/>
      <c r="AZ208" s="386"/>
      <c r="BA208" s="386"/>
      <c r="BB208" s="386"/>
      <c r="BC208" s="386"/>
      <c r="BD208" s="386"/>
      <c r="BE208" s="386"/>
      <c r="BF208" s="386"/>
      <c r="BG208" s="386"/>
      <c r="BH208" s="386"/>
      <c r="BI208" s="386"/>
      <c r="BJ208" s="386"/>
      <c r="BK208" s="386"/>
      <c r="BL208" s="281"/>
      <c r="BM208" s="281"/>
      <c r="BN208" s="281"/>
    </row>
    <row r="209" spans="2:66" ht="15.75" x14ac:dyDescent="0.25">
      <c r="B209" s="386"/>
      <c r="C209" s="386"/>
      <c r="D209" s="386"/>
      <c r="E209" s="386"/>
      <c r="F209" s="386"/>
      <c r="G209" s="386"/>
      <c r="H209" s="386"/>
      <c r="I209" s="386"/>
      <c r="J209" s="386"/>
      <c r="K209" s="386"/>
      <c r="L209" s="386"/>
      <c r="M209" s="386"/>
      <c r="N209" s="386"/>
      <c r="O209" s="386"/>
      <c r="P209" s="386"/>
      <c r="Q209" s="386"/>
      <c r="R209" s="386"/>
      <c r="S209" s="386"/>
      <c r="T209" s="386"/>
      <c r="U209" s="386"/>
      <c r="V209" s="386"/>
      <c r="W209" s="386"/>
      <c r="X209" s="386"/>
      <c r="Y209" s="386"/>
      <c r="Z209" s="386"/>
      <c r="AA209" s="386"/>
      <c r="AB209" s="386"/>
      <c r="AC209" s="386"/>
      <c r="AD209" s="386"/>
      <c r="AE209" s="386"/>
      <c r="AF209" s="386"/>
      <c r="AG209" s="386"/>
      <c r="AH209" s="386"/>
      <c r="AI209" s="386"/>
      <c r="AJ209" s="386"/>
      <c r="AK209" s="386"/>
      <c r="AL209" s="386"/>
      <c r="AM209" s="386"/>
      <c r="AN209" s="386"/>
      <c r="AO209" s="386"/>
      <c r="AP209" s="386"/>
      <c r="AQ209" s="386"/>
      <c r="AR209" s="386"/>
      <c r="AS209" s="386"/>
      <c r="AT209" s="386"/>
      <c r="AU209" s="386"/>
      <c r="AV209" s="386"/>
      <c r="AW209" s="386"/>
      <c r="AX209" s="386"/>
      <c r="AY209" s="386"/>
      <c r="AZ209" s="386"/>
      <c r="BA209" s="386"/>
      <c r="BB209" s="386"/>
      <c r="BC209" s="386"/>
      <c r="BD209" s="386"/>
      <c r="BE209" s="386"/>
      <c r="BF209" s="386"/>
      <c r="BG209" s="386"/>
      <c r="BH209" s="386"/>
      <c r="BI209" s="386"/>
      <c r="BJ209" s="386"/>
      <c r="BK209" s="386"/>
      <c r="BL209" s="281"/>
      <c r="BM209" s="281"/>
      <c r="BN209" s="281"/>
    </row>
    <row r="210" spans="2:66" ht="15.75" x14ac:dyDescent="0.25">
      <c r="B210" s="386"/>
      <c r="C210" s="386"/>
      <c r="D210" s="386"/>
      <c r="E210" s="386"/>
      <c r="F210" s="386"/>
      <c r="G210" s="386"/>
      <c r="H210" s="386"/>
      <c r="I210" s="386"/>
      <c r="J210" s="386"/>
      <c r="K210" s="386"/>
      <c r="L210" s="386"/>
      <c r="M210" s="386"/>
      <c r="N210" s="386"/>
      <c r="O210" s="386"/>
      <c r="P210" s="386"/>
      <c r="Q210" s="386"/>
      <c r="R210" s="386"/>
      <c r="S210" s="386"/>
      <c r="T210" s="386"/>
      <c r="U210" s="386"/>
      <c r="V210" s="386"/>
      <c r="W210" s="386"/>
      <c r="X210" s="386"/>
      <c r="Y210" s="386"/>
      <c r="Z210" s="386"/>
      <c r="AA210" s="386"/>
      <c r="AB210" s="386"/>
      <c r="AC210" s="386"/>
      <c r="AD210" s="386"/>
      <c r="AE210" s="386"/>
      <c r="AF210" s="386"/>
      <c r="AG210" s="386"/>
      <c r="AH210" s="386"/>
      <c r="AI210" s="386"/>
      <c r="AJ210" s="386"/>
      <c r="AK210" s="386"/>
      <c r="AL210" s="386"/>
      <c r="AM210" s="386"/>
      <c r="AN210" s="386"/>
      <c r="AO210" s="386"/>
      <c r="AP210" s="386"/>
      <c r="AQ210" s="386"/>
      <c r="AR210" s="386"/>
      <c r="AS210" s="386"/>
      <c r="AT210" s="386"/>
      <c r="AU210" s="386"/>
      <c r="AV210" s="386"/>
      <c r="AW210" s="386"/>
      <c r="AX210" s="386"/>
      <c r="AY210" s="386"/>
      <c r="AZ210" s="386"/>
      <c r="BA210" s="386"/>
      <c r="BB210" s="386"/>
      <c r="BC210" s="386"/>
      <c r="BD210" s="386"/>
      <c r="BE210" s="386"/>
      <c r="BF210" s="386"/>
      <c r="BG210" s="386"/>
      <c r="BH210" s="386"/>
      <c r="BI210" s="386"/>
      <c r="BJ210" s="386"/>
      <c r="BK210" s="386"/>
      <c r="BL210" s="281"/>
      <c r="BM210" s="281"/>
      <c r="BN210" s="281"/>
    </row>
    <row r="211" spans="2:66" ht="15.75" x14ac:dyDescent="0.25">
      <c r="B211" s="386"/>
      <c r="C211" s="386"/>
      <c r="D211" s="386"/>
      <c r="E211" s="386"/>
      <c r="F211" s="386"/>
      <c r="G211" s="386"/>
      <c r="H211" s="386"/>
      <c r="I211" s="386"/>
      <c r="J211" s="386"/>
      <c r="K211" s="386"/>
      <c r="L211" s="386"/>
      <c r="M211" s="386"/>
      <c r="N211" s="386"/>
      <c r="O211" s="386"/>
      <c r="P211" s="386"/>
      <c r="Q211" s="386"/>
      <c r="R211" s="386"/>
      <c r="S211" s="386"/>
      <c r="T211" s="386"/>
      <c r="U211" s="386"/>
      <c r="V211" s="386"/>
      <c r="W211" s="386"/>
      <c r="X211" s="386"/>
      <c r="Y211" s="386"/>
      <c r="Z211" s="386"/>
      <c r="AA211" s="386"/>
      <c r="AB211" s="386"/>
      <c r="AC211" s="386"/>
      <c r="AD211" s="386"/>
      <c r="AE211" s="386"/>
      <c r="AF211" s="386"/>
      <c r="AG211" s="386"/>
      <c r="AH211" s="386"/>
      <c r="AI211" s="386"/>
      <c r="AJ211" s="386"/>
      <c r="AK211" s="386"/>
      <c r="AL211" s="386"/>
      <c r="AM211" s="386"/>
      <c r="AN211" s="386"/>
      <c r="AO211" s="386"/>
      <c r="AP211" s="386"/>
      <c r="AQ211" s="386"/>
      <c r="AR211" s="386"/>
      <c r="AS211" s="386"/>
      <c r="AT211" s="386"/>
      <c r="AU211" s="386"/>
      <c r="AV211" s="386"/>
      <c r="AW211" s="386"/>
      <c r="AX211" s="386"/>
      <c r="AY211" s="386"/>
      <c r="AZ211" s="386"/>
      <c r="BA211" s="386"/>
      <c r="BB211" s="386"/>
      <c r="BC211" s="386"/>
      <c r="BD211" s="386"/>
      <c r="BE211" s="386"/>
      <c r="BF211" s="386"/>
      <c r="BG211" s="386"/>
      <c r="BH211" s="386"/>
      <c r="BI211" s="386"/>
      <c r="BJ211" s="386"/>
      <c r="BK211" s="386"/>
      <c r="BL211" s="281"/>
      <c r="BM211" s="281"/>
      <c r="BN211" s="281"/>
    </row>
    <row r="212" spans="2:66" ht="15.75" x14ac:dyDescent="0.25">
      <c r="B212" s="386"/>
      <c r="C212" s="386"/>
      <c r="D212" s="386"/>
      <c r="E212" s="386"/>
      <c r="F212" s="386"/>
      <c r="G212" s="386"/>
      <c r="H212" s="386"/>
      <c r="I212" s="386"/>
      <c r="J212" s="386"/>
      <c r="K212" s="386"/>
      <c r="L212" s="386"/>
      <c r="M212" s="386"/>
      <c r="N212" s="386"/>
      <c r="O212" s="386"/>
      <c r="P212" s="386"/>
      <c r="Q212" s="386"/>
      <c r="R212" s="386"/>
      <c r="S212" s="386"/>
      <c r="T212" s="386"/>
      <c r="U212" s="386"/>
      <c r="V212" s="386"/>
      <c r="W212" s="386"/>
      <c r="X212" s="386"/>
      <c r="Y212" s="386"/>
      <c r="Z212" s="386"/>
      <c r="AA212" s="386"/>
      <c r="AB212" s="386"/>
      <c r="AC212" s="386"/>
      <c r="AD212" s="386"/>
      <c r="AE212" s="386"/>
      <c r="AF212" s="386"/>
      <c r="AG212" s="386"/>
      <c r="AH212" s="386"/>
      <c r="AI212" s="386"/>
      <c r="AJ212" s="386"/>
      <c r="AK212" s="386"/>
      <c r="AL212" s="386"/>
      <c r="AM212" s="386"/>
      <c r="AN212" s="386"/>
      <c r="AO212" s="386"/>
      <c r="AP212" s="386"/>
      <c r="AQ212" s="386"/>
      <c r="AR212" s="386"/>
      <c r="AS212" s="386"/>
      <c r="AT212" s="386"/>
      <c r="AU212" s="386"/>
      <c r="AV212" s="386"/>
      <c r="AW212" s="386"/>
      <c r="AX212" s="386"/>
      <c r="AY212" s="386"/>
      <c r="AZ212" s="386"/>
      <c r="BA212" s="386"/>
      <c r="BB212" s="386"/>
      <c r="BC212" s="386"/>
      <c r="BD212" s="386"/>
      <c r="BE212" s="386"/>
      <c r="BF212" s="386"/>
      <c r="BG212" s="386"/>
      <c r="BH212" s="386"/>
      <c r="BI212" s="386"/>
      <c r="BJ212" s="386"/>
      <c r="BK212" s="386"/>
      <c r="BL212" s="281"/>
      <c r="BM212" s="281"/>
      <c r="BN212" s="281"/>
    </row>
    <row r="213" spans="2:66" ht="15.75" x14ac:dyDescent="0.25">
      <c r="B213" s="386"/>
      <c r="C213" s="386"/>
      <c r="D213" s="386"/>
      <c r="E213" s="386"/>
      <c r="F213" s="386"/>
      <c r="G213" s="386"/>
      <c r="H213" s="386"/>
      <c r="I213" s="386"/>
      <c r="J213" s="386"/>
      <c r="K213" s="386"/>
      <c r="L213" s="386"/>
      <c r="M213" s="386"/>
      <c r="N213" s="386"/>
      <c r="O213" s="386"/>
      <c r="P213" s="386"/>
      <c r="Q213" s="386"/>
      <c r="R213" s="386"/>
      <c r="S213" s="386"/>
      <c r="T213" s="386"/>
      <c r="U213" s="386"/>
      <c r="V213" s="386"/>
      <c r="W213" s="386"/>
      <c r="X213" s="386"/>
      <c r="Y213" s="386"/>
      <c r="Z213" s="386"/>
      <c r="AA213" s="386"/>
      <c r="AB213" s="386"/>
      <c r="AC213" s="386"/>
      <c r="AD213" s="386"/>
      <c r="AE213" s="386"/>
      <c r="AF213" s="386"/>
      <c r="AG213" s="386"/>
      <c r="AH213" s="386"/>
      <c r="AI213" s="386"/>
      <c r="AJ213" s="386"/>
      <c r="AK213" s="386"/>
      <c r="AL213" s="386"/>
      <c r="AM213" s="386"/>
      <c r="AN213" s="386"/>
      <c r="AO213" s="386"/>
      <c r="AP213" s="386"/>
      <c r="AQ213" s="386"/>
      <c r="AR213" s="386"/>
      <c r="AS213" s="386"/>
      <c r="AT213" s="386"/>
      <c r="AU213" s="386"/>
      <c r="AV213" s="386"/>
      <c r="AW213" s="386"/>
      <c r="AX213" s="386"/>
      <c r="AY213" s="386"/>
      <c r="AZ213" s="386"/>
      <c r="BA213" s="386"/>
      <c r="BB213" s="386"/>
      <c r="BC213" s="386"/>
      <c r="BD213" s="386"/>
      <c r="BE213" s="386"/>
      <c r="BF213" s="386"/>
      <c r="BG213" s="386"/>
      <c r="BH213" s="386"/>
      <c r="BI213" s="386"/>
      <c r="BJ213" s="386"/>
      <c r="BK213" s="386"/>
      <c r="BL213" s="281"/>
      <c r="BM213" s="281"/>
      <c r="BN213" s="281"/>
    </row>
    <row r="214" spans="2:66" ht="15.75" x14ac:dyDescent="0.25">
      <c r="B214" s="386"/>
      <c r="C214" s="386"/>
      <c r="D214" s="386"/>
      <c r="E214" s="386"/>
      <c r="F214" s="386"/>
      <c r="G214" s="386"/>
      <c r="H214" s="386"/>
      <c r="I214" s="386"/>
      <c r="J214" s="386"/>
      <c r="K214" s="386"/>
      <c r="L214" s="386"/>
      <c r="M214" s="386"/>
      <c r="N214" s="386"/>
      <c r="O214" s="386"/>
      <c r="P214" s="386"/>
      <c r="Q214" s="386"/>
      <c r="R214" s="386"/>
      <c r="S214" s="386"/>
      <c r="T214" s="386"/>
      <c r="U214" s="386"/>
      <c r="V214" s="386"/>
      <c r="W214" s="386"/>
      <c r="X214" s="386"/>
      <c r="Y214" s="386"/>
      <c r="Z214" s="386"/>
      <c r="AA214" s="386"/>
      <c r="AB214" s="386"/>
      <c r="AC214" s="386"/>
      <c r="AD214" s="386"/>
      <c r="AE214" s="386"/>
      <c r="AF214" s="386"/>
      <c r="AG214" s="386"/>
      <c r="AH214" s="386"/>
      <c r="AI214" s="386"/>
      <c r="AJ214" s="386"/>
      <c r="AK214" s="386"/>
      <c r="AL214" s="386"/>
      <c r="AM214" s="386"/>
      <c r="AN214" s="386"/>
      <c r="AO214" s="386"/>
      <c r="AP214" s="386"/>
      <c r="AQ214" s="386"/>
      <c r="AR214" s="386"/>
      <c r="AS214" s="386"/>
      <c r="AT214" s="386"/>
      <c r="AU214" s="386"/>
      <c r="AV214" s="386"/>
      <c r="AW214" s="386"/>
      <c r="AX214" s="386"/>
      <c r="AY214" s="386"/>
      <c r="AZ214" s="386"/>
      <c r="BA214" s="386"/>
      <c r="BB214" s="386"/>
      <c r="BC214" s="386"/>
      <c r="BD214" s="386"/>
      <c r="BE214" s="386"/>
      <c r="BF214" s="386"/>
      <c r="BG214" s="386"/>
      <c r="BH214" s="386"/>
      <c r="BI214" s="386"/>
      <c r="BJ214" s="386"/>
      <c r="BK214" s="386"/>
      <c r="BL214" s="281"/>
      <c r="BM214" s="281"/>
      <c r="BN214" s="281"/>
    </row>
    <row r="215" spans="2:66" ht="15.75" x14ac:dyDescent="0.25">
      <c r="B215" s="386"/>
      <c r="C215" s="386"/>
      <c r="D215" s="386"/>
      <c r="E215" s="386"/>
      <c r="F215" s="386"/>
      <c r="G215" s="386"/>
      <c r="H215" s="386"/>
      <c r="I215" s="386"/>
      <c r="J215" s="386"/>
      <c r="K215" s="386"/>
      <c r="L215" s="386"/>
      <c r="M215" s="386"/>
      <c r="N215" s="386"/>
      <c r="O215" s="386"/>
      <c r="P215" s="386"/>
      <c r="Q215" s="386"/>
      <c r="R215" s="386"/>
      <c r="S215" s="386"/>
      <c r="T215" s="386"/>
      <c r="U215" s="386"/>
      <c r="V215" s="386"/>
      <c r="W215" s="386"/>
      <c r="X215" s="386"/>
      <c r="Y215" s="386"/>
      <c r="Z215" s="386"/>
      <c r="AA215" s="386"/>
      <c r="AB215" s="386"/>
      <c r="AC215" s="386"/>
      <c r="AD215" s="386"/>
      <c r="AE215" s="386"/>
      <c r="AF215" s="386"/>
      <c r="AG215" s="386"/>
      <c r="AH215" s="386"/>
      <c r="AI215" s="386"/>
      <c r="AJ215" s="386"/>
      <c r="AK215" s="386"/>
      <c r="AL215" s="386"/>
      <c r="AM215" s="386"/>
      <c r="AN215" s="386"/>
      <c r="AO215" s="386"/>
      <c r="AP215" s="386"/>
      <c r="AQ215" s="386"/>
      <c r="AR215" s="386"/>
      <c r="AS215" s="386"/>
      <c r="AT215" s="386"/>
      <c r="AU215" s="386"/>
      <c r="AV215" s="386"/>
      <c r="AW215" s="386"/>
      <c r="AX215" s="386"/>
      <c r="AY215" s="386"/>
      <c r="AZ215" s="386"/>
      <c r="BA215" s="386"/>
      <c r="BB215" s="386"/>
      <c r="BC215" s="386"/>
      <c r="BD215" s="386"/>
      <c r="BE215" s="386"/>
      <c r="BF215" s="386"/>
      <c r="BG215" s="386"/>
      <c r="BH215" s="386"/>
      <c r="BI215" s="386"/>
      <c r="BJ215" s="386"/>
      <c r="BK215" s="386"/>
      <c r="BL215" s="281"/>
      <c r="BM215" s="281"/>
      <c r="BN215" s="281"/>
    </row>
    <row r="216" spans="2:66" ht="15.75" x14ac:dyDescent="0.25">
      <c r="B216" s="386"/>
      <c r="C216" s="386"/>
      <c r="D216" s="386"/>
      <c r="E216" s="386"/>
      <c r="F216" s="386"/>
      <c r="G216" s="386"/>
      <c r="H216" s="386"/>
      <c r="I216" s="386"/>
      <c r="J216" s="386"/>
      <c r="K216" s="386"/>
      <c r="L216" s="386"/>
      <c r="M216" s="386"/>
      <c r="N216" s="386"/>
      <c r="O216" s="386"/>
      <c r="P216" s="386"/>
      <c r="Q216" s="386"/>
      <c r="R216" s="386"/>
      <c r="S216" s="386"/>
      <c r="T216" s="386"/>
      <c r="U216" s="386"/>
      <c r="V216" s="386"/>
      <c r="W216" s="386"/>
      <c r="X216" s="386"/>
      <c r="Y216" s="386"/>
      <c r="Z216" s="386"/>
      <c r="AA216" s="386"/>
      <c r="AB216" s="386"/>
      <c r="AC216" s="386"/>
      <c r="AD216" s="386"/>
      <c r="AE216" s="386"/>
      <c r="AF216" s="386"/>
      <c r="AG216" s="386"/>
      <c r="AH216" s="386"/>
      <c r="AI216" s="386"/>
      <c r="AJ216" s="386"/>
      <c r="AK216" s="386"/>
      <c r="AL216" s="386"/>
      <c r="AM216" s="386"/>
      <c r="AN216" s="386"/>
      <c r="AO216" s="386"/>
      <c r="AP216" s="386"/>
      <c r="AQ216" s="386"/>
      <c r="AR216" s="386"/>
      <c r="AS216" s="386"/>
      <c r="AT216" s="386"/>
      <c r="AU216" s="386"/>
      <c r="AV216" s="386"/>
      <c r="AW216" s="386"/>
      <c r="AX216" s="386"/>
      <c r="AY216" s="386"/>
      <c r="AZ216" s="386"/>
      <c r="BA216" s="386"/>
      <c r="BB216" s="386"/>
      <c r="BC216" s="386"/>
      <c r="BD216" s="386"/>
      <c r="BE216" s="386"/>
      <c r="BF216" s="386"/>
      <c r="BG216" s="386"/>
      <c r="BH216" s="386"/>
      <c r="BI216" s="386"/>
      <c r="BJ216" s="386"/>
      <c r="BK216" s="386"/>
      <c r="BL216" s="281"/>
      <c r="BM216" s="281"/>
      <c r="BN216" s="281"/>
    </row>
    <row r="217" spans="2:66" ht="15.75" x14ac:dyDescent="0.25">
      <c r="B217" s="386"/>
      <c r="C217" s="386"/>
      <c r="D217" s="386"/>
      <c r="E217" s="386"/>
      <c r="F217" s="386"/>
      <c r="G217" s="386"/>
      <c r="H217" s="386"/>
      <c r="I217" s="386"/>
      <c r="J217" s="386"/>
      <c r="K217" s="386"/>
      <c r="L217" s="386"/>
      <c r="M217" s="386"/>
      <c r="N217" s="386"/>
      <c r="O217" s="386"/>
      <c r="P217" s="386"/>
      <c r="Q217" s="386"/>
      <c r="R217" s="386"/>
      <c r="S217" s="386"/>
      <c r="T217" s="386"/>
      <c r="U217" s="386"/>
      <c r="V217" s="386"/>
      <c r="W217" s="386"/>
      <c r="X217" s="386"/>
      <c r="Y217" s="386"/>
      <c r="Z217" s="386"/>
      <c r="AA217" s="386"/>
      <c r="AB217" s="386"/>
      <c r="AC217" s="386"/>
      <c r="AD217" s="386"/>
      <c r="AE217" s="386"/>
      <c r="AF217" s="386"/>
      <c r="AG217" s="386"/>
      <c r="AH217" s="386"/>
      <c r="AI217" s="386"/>
      <c r="AJ217" s="386"/>
      <c r="AK217" s="386"/>
      <c r="AL217" s="386"/>
      <c r="AM217" s="386"/>
      <c r="AN217" s="386"/>
      <c r="AO217" s="386"/>
      <c r="AP217" s="386"/>
      <c r="AQ217" s="386"/>
      <c r="AR217" s="386"/>
      <c r="AS217" s="386"/>
      <c r="AT217" s="386"/>
      <c r="AU217" s="386"/>
      <c r="AV217" s="386"/>
      <c r="AW217" s="386"/>
      <c r="AX217" s="386"/>
      <c r="AY217" s="386"/>
      <c r="AZ217" s="386"/>
      <c r="BA217" s="386"/>
      <c r="BB217" s="386"/>
      <c r="BC217" s="386"/>
      <c r="BD217" s="386"/>
      <c r="BE217" s="386"/>
      <c r="BF217" s="386"/>
      <c r="BG217" s="386"/>
      <c r="BH217" s="386"/>
      <c r="BI217" s="386"/>
      <c r="BJ217" s="386"/>
      <c r="BK217" s="386"/>
      <c r="BL217" s="281"/>
      <c r="BM217" s="281"/>
      <c r="BN217" s="281"/>
    </row>
    <row r="218" spans="2:66" ht="15.75" x14ac:dyDescent="0.25">
      <c r="B218" s="386"/>
      <c r="C218" s="386"/>
      <c r="D218" s="386"/>
      <c r="E218" s="386"/>
      <c r="F218" s="386"/>
      <c r="G218" s="386"/>
      <c r="H218" s="386"/>
      <c r="I218" s="386"/>
      <c r="J218" s="386"/>
      <c r="K218" s="386"/>
      <c r="L218" s="386"/>
      <c r="M218" s="386"/>
      <c r="N218" s="386"/>
      <c r="O218" s="386"/>
      <c r="P218" s="386"/>
      <c r="Q218" s="386"/>
      <c r="R218" s="386"/>
      <c r="S218" s="386"/>
      <c r="T218" s="386"/>
      <c r="U218" s="386"/>
      <c r="V218" s="386"/>
      <c r="W218" s="386"/>
      <c r="X218" s="386"/>
      <c r="Y218" s="386"/>
      <c r="Z218" s="386"/>
      <c r="AA218" s="386"/>
      <c r="AB218" s="386"/>
      <c r="AC218" s="386"/>
      <c r="AD218" s="386"/>
      <c r="AE218" s="386"/>
      <c r="AF218" s="386"/>
      <c r="AG218" s="386"/>
      <c r="AH218" s="386"/>
      <c r="AI218" s="386"/>
      <c r="AJ218" s="386"/>
      <c r="AK218" s="386"/>
      <c r="AL218" s="386"/>
      <c r="AM218" s="386"/>
      <c r="AN218" s="386"/>
      <c r="AO218" s="386"/>
      <c r="AP218" s="386"/>
      <c r="AQ218" s="386"/>
      <c r="AR218" s="386"/>
      <c r="AS218" s="386"/>
      <c r="AT218" s="386"/>
      <c r="AU218" s="386"/>
      <c r="AV218" s="386"/>
      <c r="AW218" s="386"/>
      <c r="AX218" s="386"/>
      <c r="AY218" s="386"/>
      <c r="AZ218" s="386"/>
      <c r="BA218" s="386"/>
      <c r="BB218" s="386"/>
      <c r="BC218" s="386"/>
      <c r="BD218" s="386"/>
      <c r="BE218" s="386"/>
      <c r="BF218" s="386"/>
      <c r="BG218" s="386"/>
      <c r="BH218" s="386"/>
      <c r="BI218" s="386"/>
      <c r="BJ218" s="386"/>
      <c r="BK218" s="386"/>
      <c r="BL218" s="281"/>
      <c r="BM218" s="281"/>
      <c r="BN218" s="281"/>
    </row>
    <row r="219" spans="2:66" ht="15.75" x14ac:dyDescent="0.25">
      <c r="B219" s="386"/>
      <c r="C219" s="386"/>
      <c r="D219" s="386"/>
      <c r="E219" s="386"/>
      <c r="F219" s="386"/>
      <c r="G219" s="386"/>
      <c r="H219" s="386"/>
      <c r="I219" s="386"/>
      <c r="J219" s="386"/>
      <c r="K219" s="386"/>
      <c r="L219" s="386"/>
      <c r="M219" s="386"/>
      <c r="N219" s="386"/>
      <c r="O219" s="386"/>
      <c r="P219" s="386"/>
      <c r="Q219" s="386"/>
      <c r="R219" s="386"/>
      <c r="S219" s="386"/>
      <c r="T219" s="386"/>
      <c r="U219" s="386"/>
      <c r="V219" s="386"/>
      <c r="W219" s="386"/>
      <c r="X219" s="386"/>
      <c r="Y219" s="386"/>
      <c r="Z219" s="386"/>
      <c r="AA219" s="386"/>
      <c r="AB219" s="386"/>
      <c r="AC219" s="386"/>
      <c r="AD219" s="386"/>
      <c r="AE219" s="386"/>
      <c r="AF219" s="386"/>
      <c r="AG219" s="386"/>
      <c r="AH219" s="386"/>
      <c r="AI219" s="386"/>
      <c r="AJ219" s="386"/>
      <c r="AK219" s="386"/>
      <c r="AL219" s="386"/>
      <c r="AM219" s="386"/>
      <c r="AN219" s="386"/>
      <c r="AO219" s="386"/>
      <c r="AP219" s="386"/>
      <c r="AQ219" s="386"/>
      <c r="AR219" s="386"/>
      <c r="AS219" s="386"/>
      <c r="AT219" s="386"/>
      <c r="AU219" s="386"/>
      <c r="AV219" s="386"/>
      <c r="AW219" s="386"/>
      <c r="AX219" s="386"/>
      <c r="AY219" s="386"/>
      <c r="AZ219" s="386"/>
      <c r="BA219" s="386"/>
      <c r="BB219" s="386"/>
      <c r="BC219" s="386"/>
      <c r="BD219" s="386"/>
      <c r="BE219" s="386"/>
      <c r="BF219" s="386"/>
      <c r="BG219" s="386"/>
      <c r="BH219" s="386"/>
      <c r="BI219" s="386"/>
      <c r="BJ219" s="386"/>
      <c r="BK219" s="386"/>
      <c r="BL219" s="281"/>
      <c r="BM219" s="281"/>
      <c r="BN219" s="281"/>
    </row>
    <row r="220" spans="2:66" ht="15.75" x14ac:dyDescent="0.25">
      <c r="B220" s="386"/>
      <c r="C220" s="386"/>
      <c r="D220" s="386"/>
      <c r="E220" s="386"/>
      <c r="F220" s="386"/>
      <c r="G220" s="386"/>
      <c r="H220" s="386"/>
      <c r="I220" s="386"/>
      <c r="J220" s="386"/>
      <c r="K220" s="386"/>
      <c r="L220" s="386"/>
      <c r="M220" s="386"/>
      <c r="N220" s="386"/>
      <c r="O220" s="386"/>
      <c r="P220" s="386"/>
      <c r="Q220" s="386"/>
      <c r="R220" s="386"/>
      <c r="S220" s="386"/>
      <c r="T220" s="386"/>
      <c r="U220" s="386"/>
      <c r="V220" s="386"/>
      <c r="W220" s="386"/>
      <c r="X220" s="386"/>
      <c r="Y220" s="386"/>
      <c r="Z220" s="386"/>
      <c r="AA220" s="386"/>
      <c r="AB220" s="386"/>
      <c r="AC220" s="386"/>
      <c r="AD220" s="386"/>
      <c r="AE220" s="386"/>
      <c r="AF220" s="386"/>
      <c r="AG220" s="386"/>
      <c r="AH220" s="386"/>
      <c r="AI220" s="386"/>
      <c r="AJ220" s="386"/>
      <c r="AK220" s="386"/>
      <c r="AL220" s="386"/>
      <c r="AM220" s="386"/>
      <c r="AN220" s="386"/>
      <c r="AO220" s="386"/>
      <c r="AP220" s="386"/>
      <c r="AQ220" s="386"/>
      <c r="AR220" s="386"/>
      <c r="AS220" s="386"/>
      <c r="AT220" s="386"/>
      <c r="AU220" s="386"/>
      <c r="AV220" s="386"/>
      <c r="AW220" s="386"/>
      <c r="AX220" s="386"/>
      <c r="AY220" s="386"/>
      <c r="AZ220" s="386"/>
      <c r="BA220" s="386"/>
      <c r="BB220" s="386"/>
      <c r="BC220" s="386"/>
      <c r="BD220" s="386"/>
      <c r="BE220" s="386"/>
      <c r="BF220" s="386"/>
      <c r="BG220" s="386"/>
      <c r="BH220" s="386"/>
      <c r="BI220" s="386"/>
      <c r="BJ220" s="386"/>
      <c r="BK220" s="386"/>
      <c r="BL220" s="281"/>
      <c r="BM220" s="281"/>
      <c r="BN220" s="281"/>
    </row>
    <row r="221" spans="2:66" ht="15.75" x14ac:dyDescent="0.25">
      <c r="B221" s="386"/>
      <c r="C221" s="386"/>
      <c r="D221" s="386"/>
      <c r="E221" s="386"/>
      <c r="F221" s="386"/>
      <c r="G221" s="386"/>
      <c r="H221" s="386"/>
      <c r="I221" s="386"/>
      <c r="J221" s="386"/>
      <c r="K221" s="386"/>
      <c r="L221" s="386"/>
      <c r="M221" s="386"/>
      <c r="N221" s="386"/>
      <c r="O221" s="386"/>
      <c r="P221" s="386"/>
      <c r="Q221" s="386"/>
      <c r="R221" s="386"/>
      <c r="S221" s="386"/>
      <c r="T221" s="386"/>
      <c r="U221" s="386"/>
      <c r="V221" s="386"/>
      <c r="W221" s="386"/>
      <c r="X221" s="386"/>
      <c r="Y221" s="386"/>
      <c r="Z221" s="386"/>
      <c r="AA221" s="386"/>
      <c r="AB221" s="386"/>
      <c r="AC221" s="386"/>
      <c r="AD221" s="386"/>
      <c r="AE221" s="386"/>
      <c r="AF221" s="386"/>
      <c r="AG221" s="386"/>
      <c r="AH221" s="386"/>
      <c r="AI221" s="386"/>
      <c r="AJ221" s="386"/>
      <c r="AK221" s="386"/>
      <c r="AL221" s="386"/>
      <c r="AM221" s="386"/>
      <c r="AN221" s="386"/>
      <c r="AO221" s="386"/>
      <c r="AP221" s="386"/>
      <c r="AQ221" s="386"/>
      <c r="AR221" s="386"/>
      <c r="AS221" s="386"/>
      <c r="AT221" s="386"/>
      <c r="AU221" s="386"/>
      <c r="AV221" s="386"/>
      <c r="AW221" s="386"/>
      <c r="AX221" s="386"/>
      <c r="AY221" s="386"/>
      <c r="AZ221" s="386"/>
      <c r="BA221" s="386"/>
      <c r="BB221" s="386"/>
      <c r="BC221" s="386"/>
      <c r="BD221" s="386"/>
      <c r="BE221" s="386"/>
      <c r="BF221" s="386"/>
      <c r="BG221" s="386"/>
      <c r="BH221" s="386"/>
      <c r="BI221" s="386"/>
      <c r="BJ221" s="386"/>
      <c r="BK221" s="386"/>
      <c r="BL221" s="281"/>
      <c r="BM221" s="281"/>
      <c r="BN221" s="281"/>
    </row>
    <row r="222" spans="2:66" ht="15.75" x14ac:dyDescent="0.25">
      <c r="B222" s="386"/>
      <c r="C222" s="386"/>
      <c r="D222" s="386"/>
      <c r="E222" s="386"/>
      <c r="F222" s="386"/>
      <c r="G222" s="386"/>
      <c r="H222" s="386"/>
      <c r="I222" s="386"/>
      <c r="J222" s="386"/>
      <c r="K222" s="386"/>
      <c r="L222" s="386"/>
      <c r="M222" s="386"/>
      <c r="N222" s="386"/>
      <c r="O222" s="386"/>
      <c r="P222" s="386"/>
      <c r="Q222" s="386"/>
      <c r="R222" s="386"/>
      <c r="S222" s="386"/>
      <c r="T222" s="386"/>
      <c r="U222" s="386"/>
      <c r="V222" s="386"/>
      <c r="W222" s="386"/>
      <c r="X222" s="386"/>
      <c r="Y222" s="386"/>
      <c r="Z222" s="386"/>
      <c r="AA222" s="386"/>
      <c r="AB222" s="386"/>
      <c r="AC222" s="386"/>
      <c r="AD222" s="386"/>
      <c r="AE222" s="386"/>
      <c r="AF222" s="386"/>
      <c r="AG222" s="386"/>
      <c r="AH222" s="386"/>
      <c r="AI222" s="386"/>
      <c r="AJ222" s="386"/>
      <c r="AK222" s="386"/>
      <c r="AL222" s="386"/>
      <c r="AM222" s="386"/>
      <c r="AN222" s="386"/>
      <c r="AO222" s="386"/>
      <c r="AP222" s="386"/>
      <c r="AQ222" s="386"/>
      <c r="AR222" s="386"/>
      <c r="AS222" s="386"/>
      <c r="AT222" s="386"/>
      <c r="AU222" s="386"/>
      <c r="AV222" s="386"/>
      <c r="AW222" s="386"/>
      <c r="AX222" s="386"/>
      <c r="AY222" s="386"/>
      <c r="AZ222" s="386"/>
      <c r="BA222" s="386"/>
      <c r="BB222" s="386"/>
      <c r="BC222" s="386"/>
      <c r="BD222" s="386"/>
      <c r="BE222" s="386"/>
      <c r="BF222" s="386"/>
      <c r="BG222" s="386"/>
      <c r="BH222" s="386"/>
      <c r="BI222" s="386"/>
      <c r="BJ222" s="386"/>
      <c r="BK222" s="386"/>
      <c r="BL222" s="281"/>
      <c r="BM222" s="281"/>
      <c r="BN222" s="281"/>
    </row>
    <row r="223" spans="2:66" ht="15.75" x14ac:dyDescent="0.25">
      <c r="B223" s="386"/>
      <c r="C223" s="386"/>
      <c r="D223" s="386"/>
      <c r="E223" s="386"/>
      <c r="F223" s="386"/>
      <c r="G223" s="386"/>
      <c r="H223" s="386"/>
      <c r="I223" s="386"/>
      <c r="J223" s="386"/>
      <c r="K223" s="386"/>
      <c r="L223" s="386"/>
      <c r="M223" s="386"/>
      <c r="N223" s="386"/>
      <c r="O223" s="386"/>
      <c r="P223" s="386"/>
      <c r="Q223" s="386"/>
      <c r="R223" s="386"/>
      <c r="S223" s="386"/>
      <c r="T223" s="386"/>
      <c r="U223" s="386"/>
      <c r="V223" s="386"/>
      <c r="W223" s="386"/>
      <c r="X223" s="386"/>
      <c r="Y223" s="386"/>
      <c r="Z223" s="386"/>
      <c r="AA223" s="386"/>
      <c r="AB223" s="386"/>
      <c r="AC223" s="386"/>
      <c r="AD223" s="386"/>
      <c r="AE223" s="386"/>
      <c r="AF223" s="386"/>
      <c r="AG223" s="386"/>
      <c r="AH223" s="386"/>
      <c r="AI223" s="386"/>
      <c r="AJ223" s="386"/>
      <c r="AK223" s="386"/>
      <c r="AL223" s="386"/>
      <c r="AM223" s="386"/>
      <c r="AN223" s="386"/>
      <c r="AO223" s="386"/>
      <c r="AP223" s="386"/>
      <c r="AQ223" s="386"/>
      <c r="AR223" s="386"/>
      <c r="AS223" s="386"/>
      <c r="AT223" s="386"/>
      <c r="AU223" s="386"/>
      <c r="AV223" s="386"/>
      <c r="AW223" s="386"/>
      <c r="AX223" s="386"/>
      <c r="AY223" s="386"/>
      <c r="AZ223" s="386"/>
      <c r="BA223" s="386"/>
      <c r="BB223" s="386"/>
      <c r="BC223" s="386"/>
      <c r="BD223" s="386"/>
      <c r="BE223" s="386"/>
      <c r="BF223" s="386"/>
      <c r="BG223" s="386"/>
      <c r="BH223" s="386"/>
      <c r="BI223" s="386"/>
      <c r="BJ223" s="386"/>
      <c r="BK223" s="386"/>
      <c r="BL223" s="281"/>
      <c r="BM223" s="281"/>
      <c r="BN223" s="281"/>
    </row>
    <row r="224" spans="2:66" ht="15.75" x14ac:dyDescent="0.25">
      <c r="B224" s="386"/>
      <c r="C224" s="386"/>
      <c r="D224" s="386"/>
      <c r="E224" s="386"/>
      <c r="F224" s="386"/>
      <c r="G224" s="386"/>
      <c r="H224" s="386"/>
      <c r="I224" s="386"/>
      <c r="J224" s="386"/>
      <c r="K224" s="386"/>
      <c r="L224" s="386"/>
      <c r="M224" s="386"/>
      <c r="N224" s="386"/>
      <c r="O224" s="386"/>
      <c r="P224" s="386"/>
      <c r="Q224" s="386"/>
      <c r="R224" s="386"/>
      <c r="S224" s="386"/>
      <c r="T224" s="386"/>
      <c r="U224" s="386"/>
      <c r="V224" s="386"/>
      <c r="W224" s="386"/>
      <c r="X224" s="386"/>
      <c r="Y224" s="386"/>
      <c r="Z224" s="386"/>
      <c r="AA224" s="386"/>
      <c r="AB224" s="386"/>
      <c r="AC224" s="386"/>
      <c r="AD224" s="386"/>
      <c r="AE224" s="386"/>
      <c r="AF224" s="386"/>
      <c r="AG224" s="386"/>
      <c r="AH224" s="386"/>
      <c r="AI224" s="386"/>
      <c r="AJ224" s="386"/>
      <c r="AK224" s="386"/>
      <c r="AL224" s="386"/>
      <c r="AM224" s="386"/>
      <c r="AN224" s="386"/>
      <c r="AO224" s="386"/>
      <c r="AP224" s="386"/>
      <c r="AQ224" s="386"/>
      <c r="AR224" s="386"/>
      <c r="AS224" s="386"/>
      <c r="AT224" s="386"/>
      <c r="AU224" s="386"/>
      <c r="AV224" s="386"/>
      <c r="AW224" s="386"/>
      <c r="AX224" s="386"/>
      <c r="AY224" s="386"/>
      <c r="AZ224" s="386"/>
      <c r="BA224" s="386"/>
      <c r="BB224" s="386"/>
      <c r="BC224" s="386"/>
      <c r="BD224" s="386"/>
      <c r="BE224" s="386"/>
      <c r="BF224" s="386"/>
      <c r="BG224" s="386"/>
      <c r="BH224" s="386"/>
      <c r="BI224" s="386"/>
      <c r="BJ224" s="386"/>
      <c r="BK224" s="386"/>
      <c r="BL224" s="281"/>
      <c r="BM224" s="281"/>
      <c r="BN224" s="281"/>
    </row>
    <row r="225" spans="2:66" ht="15.75" x14ac:dyDescent="0.25">
      <c r="B225" s="386"/>
      <c r="C225" s="386"/>
      <c r="D225" s="386"/>
      <c r="E225" s="386"/>
      <c r="F225" s="386"/>
      <c r="G225" s="386"/>
      <c r="H225" s="386"/>
      <c r="I225" s="386"/>
      <c r="J225" s="386"/>
      <c r="K225" s="386"/>
      <c r="L225" s="386"/>
      <c r="M225" s="386"/>
      <c r="N225" s="386"/>
      <c r="O225" s="386"/>
      <c r="P225" s="386"/>
      <c r="Q225" s="386"/>
      <c r="R225" s="386"/>
      <c r="S225" s="386"/>
      <c r="T225" s="386"/>
      <c r="U225" s="386"/>
      <c r="V225" s="386"/>
      <c r="W225" s="386"/>
      <c r="X225" s="386"/>
      <c r="Y225" s="386"/>
      <c r="Z225" s="386"/>
      <c r="AA225" s="386"/>
      <c r="AB225" s="386"/>
      <c r="AC225" s="386"/>
      <c r="AD225" s="386"/>
      <c r="AE225" s="386"/>
      <c r="AF225" s="386"/>
      <c r="AG225" s="386"/>
      <c r="AH225" s="386"/>
      <c r="AI225" s="386"/>
      <c r="AJ225" s="386"/>
      <c r="AK225" s="386"/>
      <c r="AL225" s="386"/>
      <c r="AM225" s="386"/>
      <c r="AN225" s="386"/>
      <c r="AO225" s="386"/>
      <c r="AP225" s="386"/>
      <c r="AQ225" s="386"/>
      <c r="AR225" s="386"/>
      <c r="AS225" s="386"/>
      <c r="AT225" s="386"/>
      <c r="AU225" s="386"/>
      <c r="AV225" s="386"/>
      <c r="AW225" s="386"/>
      <c r="AX225" s="386"/>
      <c r="AY225" s="386"/>
      <c r="AZ225" s="386"/>
      <c r="BA225" s="386"/>
      <c r="BB225" s="386"/>
      <c r="BC225" s="386"/>
      <c r="BD225" s="386"/>
      <c r="BE225" s="386"/>
      <c r="BF225" s="386"/>
      <c r="BG225" s="386"/>
      <c r="BH225" s="386"/>
      <c r="BI225" s="386"/>
      <c r="BJ225" s="386"/>
      <c r="BK225" s="386"/>
      <c r="BL225" s="281"/>
      <c r="BM225" s="281"/>
      <c r="BN225" s="281"/>
    </row>
    <row r="226" spans="2:66" ht="15.75" x14ac:dyDescent="0.25">
      <c r="B226" s="386"/>
      <c r="C226" s="386"/>
      <c r="D226" s="386"/>
      <c r="E226" s="386"/>
      <c r="F226" s="386"/>
      <c r="G226" s="386"/>
      <c r="H226" s="386"/>
      <c r="I226" s="386"/>
      <c r="J226" s="386"/>
      <c r="K226" s="386"/>
      <c r="L226" s="386"/>
      <c r="M226" s="386"/>
      <c r="N226" s="386"/>
      <c r="O226" s="386"/>
      <c r="P226" s="386"/>
      <c r="Q226" s="386"/>
      <c r="R226" s="386"/>
      <c r="S226" s="386"/>
      <c r="T226" s="386"/>
      <c r="U226" s="386"/>
      <c r="V226" s="386"/>
      <c r="W226" s="386"/>
      <c r="X226" s="386"/>
      <c r="Y226" s="386"/>
      <c r="Z226" s="386"/>
      <c r="AA226" s="386"/>
      <c r="AB226" s="386"/>
      <c r="AC226" s="386"/>
      <c r="AD226" s="386"/>
      <c r="AE226" s="386"/>
      <c r="AF226" s="386"/>
      <c r="AG226" s="386"/>
      <c r="AH226" s="386"/>
      <c r="AI226" s="386"/>
      <c r="AJ226" s="386"/>
      <c r="AK226" s="386"/>
      <c r="AL226" s="386"/>
      <c r="AM226" s="386"/>
      <c r="AN226" s="386"/>
      <c r="AO226" s="386"/>
      <c r="AP226" s="386"/>
      <c r="AQ226" s="386"/>
      <c r="AR226" s="386"/>
      <c r="AS226" s="386"/>
      <c r="AT226" s="386"/>
      <c r="AU226" s="386"/>
      <c r="AV226" s="386"/>
      <c r="AW226" s="386"/>
      <c r="AX226" s="386"/>
      <c r="AY226" s="386"/>
      <c r="AZ226" s="386"/>
      <c r="BA226" s="386"/>
      <c r="BB226" s="386"/>
      <c r="BC226" s="386"/>
      <c r="BD226" s="386"/>
      <c r="BE226" s="386"/>
      <c r="BF226" s="386"/>
      <c r="BG226" s="386"/>
      <c r="BH226" s="386"/>
      <c r="BI226" s="386"/>
      <c r="BJ226" s="386"/>
      <c r="BK226" s="386"/>
      <c r="BL226" s="281"/>
      <c r="BM226" s="281"/>
      <c r="BN226" s="281"/>
    </row>
    <row r="227" spans="2:66" ht="15.75" x14ac:dyDescent="0.25">
      <c r="B227" s="386"/>
      <c r="C227" s="386"/>
      <c r="D227" s="386"/>
      <c r="E227" s="386"/>
      <c r="F227" s="386"/>
      <c r="G227" s="386"/>
      <c r="H227" s="386"/>
      <c r="I227" s="386"/>
      <c r="J227" s="386"/>
      <c r="K227" s="386"/>
      <c r="L227" s="386"/>
      <c r="M227" s="386"/>
      <c r="N227" s="386"/>
      <c r="O227" s="386"/>
      <c r="P227" s="386"/>
      <c r="Q227" s="386"/>
      <c r="R227" s="386"/>
      <c r="S227" s="386"/>
      <c r="T227" s="386"/>
      <c r="U227" s="386"/>
      <c r="V227" s="386"/>
      <c r="W227" s="386"/>
      <c r="X227" s="386"/>
      <c r="Y227" s="386"/>
      <c r="Z227" s="386"/>
      <c r="AA227" s="386"/>
      <c r="AB227" s="386"/>
      <c r="AC227" s="386"/>
      <c r="AD227" s="386"/>
      <c r="AE227" s="386"/>
      <c r="AF227" s="386"/>
      <c r="AG227" s="386"/>
      <c r="AH227" s="386"/>
      <c r="AI227" s="386"/>
      <c r="AJ227" s="386"/>
      <c r="AK227" s="386"/>
      <c r="AL227" s="386"/>
      <c r="AM227" s="386"/>
      <c r="AN227" s="386"/>
      <c r="AO227" s="386"/>
      <c r="AP227" s="386"/>
      <c r="AQ227" s="386"/>
      <c r="AR227" s="386"/>
      <c r="AS227" s="386"/>
      <c r="AT227" s="386"/>
      <c r="AU227" s="386"/>
      <c r="AV227" s="386"/>
      <c r="AW227" s="386"/>
      <c r="AX227" s="386"/>
      <c r="AY227" s="386"/>
      <c r="AZ227" s="386"/>
      <c r="BA227" s="386"/>
      <c r="BB227" s="386"/>
      <c r="BC227" s="386"/>
      <c r="BD227" s="386"/>
      <c r="BE227" s="386"/>
      <c r="BF227" s="386"/>
      <c r="BG227" s="386"/>
      <c r="BH227" s="386"/>
      <c r="BI227" s="386"/>
      <c r="BJ227" s="386"/>
      <c r="BK227" s="386"/>
      <c r="BL227" s="281"/>
      <c r="BM227" s="281"/>
      <c r="BN227" s="281"/>
    </row>
    <row r="228" spans="2:66" ht="15.75" x14ac:dyDescent="0.25">
      <c r="B228" s="386"/>
      <c r="C228" s="386"/>
      <c r="D228" s="386"/>
      <c r="E228" s="386"/>
      <c r="F228" s="386"/>
      <c r="G228" s="386"/>
      <c r="H228" s="386"/>
      <c r="I228" s="386"/>
      <c r="J228" s="386"/>
      <c r="K228" s="386"/>
      <c r="L228" s="386"/>
      <c r="M228" s="386"/>
      <c r="N228" s="386"/>
      <c r="O228" s="386"/>
      <c r="P228" s="386"/>
      <c r="Q228" s="386"/>
      <c r="R228" s="386"/>
      <c r="S228" s="386"/>
      <c r="T228" s="386"/>
      <c r="U228" s="386"/>
      <c r="V228" s="386"/>
      <c r="W228" s="386"/>
      <c r="X228" s="386"/>
      <c r="Y228" s="386"/>
      <c r="Z228" s="386"/>
      <c r="AA228" s="386"/>
      <c r="AB228" s="386"/>
      <c r="AC228" s="386"/>
      <c r="AD228" s="386"/>
      <c r="AE228" s="386"/>
      <c r="AF228" s="386"/>
      <c r="AG228" s="386"/>
      <c r="AH228" s="386"/>
      <c r="AI228" s="386"/>
      <c r="AJ228" s="386"/>
      <c r="AK228" s="386"/>
      <c r="AL228" s="386"/>
      <c r="AM228" s="386"/>
      <c r="AN228" s="386"/>
      <c r="AO228" s="386"/>
      <c r="AP228" s="386"/>
      <c r="AQ228" s="386"/>
      <c r="AR228" s="386"/>
      <c r="AS228" s="386"/>
      <c r="AT228" s="386"/>
      <c r="AU228" s="386"/>
      <c r="AV228" s="386"/>
      <c r="AW228" s="386"/>
      <c r="AX228" s="386"/>
      <c r="AY228" s="386"/>
      <c r="AZ228" s="386"/>
      <c r="BA228" s="386"/>
      <c r="BB228" s="386"/>
      <c r="BC228" s="386"/>
      <c r="BD228" s="386"/>
      <c r="BE228" s="386"/>
      <c r="BF228" s="386"/>
      <c r="BG228" s="386"/>
      <c r="BH228" s="386"/>
      <c r="BI228" s="386"/>
      <c r="BJ228" s="386"/>
      <c r="BK228" s="386"/>
      <c r="BL228" s="281"/>
      <c r="BM228" s="281"/>
      <c r="BN228" s="281"/>
    </row>
    <row r="229" spans="2:66" ht="15.75" x14ac:dyDescent="0.25">
      <c r="B229" s="386"/>
      <c r="C229" s="386"/>
      <c r="D229" s="386"/>
      <c r="E229" s="386"/>
      <c r="F229" s="386"/>
      <c r="G229" s="386"/>
      <c r="H229" s="386"/>
      <c r="I229" s="386"/>
      <c r="J229" s="386"/>
      <c r="K229" s="386"/>
      <c r="L229" s="386"/>
      <c r="M229" s="386"/>
      <c r="N229" s="386"/>
      <c r="O229" s="386"/>
      <c r="P229" s="386"/>
      <c r="Q229" s="386"/>
      <c r="R229" s="386"/>
      <c r="S229" s="386"/>
      <c r="T229" s="386"/>
      <c r="U229" s="386"/>
      <c r="V229" s="386"/>
      <c r="W229" s="386"/>
      <c r="X229" s="386"/>
      <c r="Y229" s="386"/>
      <c r="Z229" s="386"/>
      <c r="AA229" s="386"/>
      <c r="AB229" s="386"/>
      <c r="AC229" s="386"/>
      <c r="AD229" s="386"/>
      <c r="AE229" s="386"/>
      <c r="AF229" s="386"/>
      <c r="AG229" s="386"/>
      <c r="AH229" s="386"/>
      <c r="AI229" s="386"/>
      <c r="AJ229" s="386"/>
      <c r="AK229" s="386"/>
      <c r="AL229" s="386"/>
      <c r="AM229" s="386"/>
      <c r="AN229" s="386"/>
      <c r="AO229" s="386"/>
      <c r="AP229" s="386"/>
      <c r="AQ229" s="386"/>
      <c r="AR229" s="386"/>
      <c r="AS229" s="386"/>
      <c r="AT229" s="386"/>
      <c r="AU229" s="386"/>
      <c r="AV229" s="386"/>
      <c r="AW229" s="386"/>
      <c r="AX229" s="386"/>
      <c r="AY229" s="386"/>
      <c r="AZ229" s="386"/>
      <c r="BA229" s="386"/>
      <c r="BB229" s="386"/>
      <c r="BC229" s="386"/>
      <c r="BD229" s="386"/>
      <c r="BE229" s="386"/>
      <c r="BF229" s="386"/>
      <c r="BG229" s="386"/>
      <c r="BH229" s="386"/>
      <c r="BI229" s="386"/>
      <c r="BJ229" s="386"/>
      <c r="BK229" s="386"/>
      <c r="BL229" s="281"/>
      <c r="BM229" s="281"/>
      <c r="BN229" s="281"/>
    </row>
    <row r="230" spans="2:66" ht="15.75" x14ac:dyDescent="0.25">
      <c r="B230" s="386"/>
      <c r="C230" s="386"/>
      <c r="D230" s="386"/>
      <c r="E230" s="386"/>
      <c r="F230" s="386"/>
      <c r="G230" s="386"/>
      <c r="H230" s="386"/>
      <c r="I230" s="386"/>
      <c r="J230" s="386"/>
      <c r="K230" s="386"/>
      <c r="L230" s="386"/>
      <c r="M230" s="386"/>
      <c r="N230" s="386"/>
      <c r="O230" s="386"/>
      <c r="P230" s="386"/>
      <c r="Q230" s="386"/>
      <c r="R230" s="386"/>
      <c r="S230" s="386"/>
      <c r="T230" s="386"/>
      <c r="U230" s="386"/>
      <c r="V230" s="386"/>
      <c r="W230" s="386"/>
      <c r="X230" s="386"/>
      <c r="Y230" s="386"/>
      <c r="Z230" s="386"/>
      <c r="AA230" s="386"/>
      <c r="AB230" s="386"/>
      <c r="AC230" s="386"/>
      <c r="AD230" s="386"/>
      <c r="AE230" s="386"/>
      <c r="AF230" s="386"/>
      <c r="AG230" s="386"/>
      <c r="AH230" s="386"/>
      <c r="AI230" s="386"/>
      <c r="AJ230" s="386"/>
      <c r="AK230" s="386"/>
      <c r="AL230" s="386"/>
      <c r="AM230" s="386"/>
      <c r="AN230" s="386"/>
      <c r="AO230" s="386"/>
      <c r="AP230" s="386"/>
      <c r="AQ230" s="386"/>
      <c r="AR230" s="386"/>
      <c r="AS230" s="386"/>
      <c r="AT230" s="386"/>
      <c r="AU230" s="386"/>
      <c r="AV230" s="386"/>
      <c r="AW230" s="386"/>
      <c r="AX230" s="386"/>
      <c r="AY230" s="386"/>
      <c r="AZ230" s="386"/>
      <c r="BA230" s="386"/>
      <c r="BB230" s="386"/>
      <c r="BC230" s="386"/>
      <c r="BD230" s="386"/>
      <c r="BE230" s="386"/>
      <c r="BF230" s="386"/>
      <c r="BG230" s="386"/>
      <c r="BH230" s="386"/>
      <c r="BI230" s="386"/>
      <c r="BJ230" s="386"/>
      <c r="BK230" s="386"/>
      <c r="BL230" s="281"/>
      <c r="BM230" s="281"/>
      <c r="BN230" s="281"/>
    </row>
    <row r="231" spans="2:66" ht="15.75" x14ac:dyDescent="0.25">
      <c r="B231" s="386"/>
      <c r="C231" s="386"/>
      <c r="D231" s="386"/>
      <c r="E231" s="386"/>
      <c r="F231" s="386"/>
      <c r="G231" s="386"/>
      <c r="H231" s="386"/>
      <c r="I231" s="386"/>
      <c r="J231" s="386"/>
      <c r="K231" s="386"/>
      <c r="L231" s="386"/>
      <c r="M231" s="386"/>
      <c r="N231" s="386"/>
      <c r="O231" s="386"/>
      <c r="P231" s="386"/>
      <c r="Q231" s="386"/>
      <c r="R231" s="386"/>
      <c r="S231" s="386"/>
      <c r="T231" s="386"/>
      <c r="U231" s="386"/>
      <c r="V231" s="386"/>
      <c r="W231" s="386"/>
      <c r="X231" s="386"/>
      <c r="Y231" s="386"/>
      <c r="Z231" s="386"/>
      <c r="AA231" s="386"/>
      <c r="AB231" s="386"/>
      <c r="AC231" s="386"/>
      <c r="AD231" s="386"/>
      <c r="AE231" s="386"/>
      <c r="AF231" s="386"/>
      <c r="AG231" s="386"/>
      <c r="AH231" s="386"/>
      <c r="AI231" s="386"/>
      <c r="AJ231" s="386"/>
      <c r="AK231" s="386"/>
      <c r="AL231" s="386"/>
      <c r="AM231" s="386"/>
      <c r="AN231" s="386"/>
      <c r="AO231" s="386"/>
      <c r="AP231" s="386"/>
      <c r="AQ231" s="386"/>
      <c r="AR231" s="386"/>
      <c r="AS231" s="386"/>
      <c r="AT231" s="386"/>
      <c r="AU231" s="386"/>
      <c r="AV231" s="386"/>
      <c r="AW231" s="386"/>
      <c r="AX231" s="386"/>
      <c r="AY231" s="386"/>
      <c r="AZ231" s="386"/>
      <c r="BA231" s="386"/>
      <c r="BB231" s="386"/>
      <c r="BC231" s="386"/>
      <c r="BD231" s="386"/>
      <c r="BE231" s="386"/>
      <c r="BF231" s="386"/>
      <c r="BG231" s="386"/>
      <c r="BH231" s="386"/>
      <c r="BI231" s="386"/>
      <c r="BJ231" s="386"/>
      <c r="BK231" s="386"/>
      <c r="BL231" s="281"/>
      <c r="BM231" s="281"/>
      <c r="BN231" s="281"/>
    </row>
    <row r="232" spans="2:66" ht="15.75" x14ac:dyDescent="0.25">
      <c r="B232" s="386"/>
      <c r="C232" s="386"/>
      <c r="D232" s="386"/>
      <c r="E232" s="386"/>
      <c r="F232" s="386"/>
      <c r="G232" s="386"/>
      <c r="H232" s="386"/>
      <c r="I232" s="386"/>
      <c r="J232" s="386"/>
      <c r="K232" s="386"/>
      <c r="L232" s="386"/>
      <c r="M232" s="386"/>
      <c r="N232" s="386"/>
      <c r="O232" s="386"/>
      <c r="P232" s="386"/>
      <c r="Q232" s="386"/>
      <c r="R232" s="386"/>
      <c r="S232" s="386"/>
      <c r="T232" s="386"/>
      <c r="U232" s="386"/>
      <c r="V232" s="386"/>
      <c r="W232" s="386"/>
      <c r="X232" s="386"/>
      <c r="Y232" s="386"/>
      <c r="Z232" s="386"/>
      <c r="AA232" s="386"/>
      <c r="AB232" s="386"/>
      <c r="AC232" s="386"/>
      <c r="AD232" s="386"/>
      <c r="AE232" s="386"/>
      <c r="AF232" s="386"/>
      <c r="AG232" s="386"/>
      <c r="AH232" s="386"/>
      <c r="AI232" s="386"/>
      <c r="AJ232" s="386"/>
      <c r="AK232" s="386"/>
      <c r="AL232" s="386"/>
      <c r="AM232" s="386"/>
      <c r="AN232" s="386"/>
      <c r="AO232" s="386"/>
      <c r="AP232" s="386"/>
      <c r="AQ232" s="386"/>
      <c r="AR232" s="386"/>
      <c r="AS232" s="386"/>
      <c r="AT232" s="386"/>
      <c r="AU232" s="386"/>
      <c r="AV232" s="386"/>
      <c r="AW232" s="386"/>
      <c r="AX232" s="386"/>
      <c r="AY232" s="386"/>
      <c r="AZ232" s="386"/>
      <c r="BA232" s="386"/>
      <c r="BB232" s="386"/>
      <c r="BC232" s="386"/>
      <c r="BD232" s="386"/>
      <c r="BE232" s="386"/>
      <c r="BF232" s="386"/>
      <c r="BG232" s="386"/>
      <c r="BH232" s="386"/>
      <c r="BI232" s="386"/>
      <c r="BJ232" s="386"/>
      <c r="BK232" s="386"/>
      <c r="BL232" s="281"/>
      <c r="BM232" s="281"/>
      <c r="BN232" s="281"/>
    </row>
    <row r="233" spans="2:66" ht="15.75" x14ac:dyDescent="0.25">
      <c r="B233" s="386"/>
      <c r="C233" s="386"/>
      <c r="D233" s="386"/>
      <c r="E233" s="386"/>
      <c r="F233" s="386"/>
      <c r="G233" s="386"/>
      <c r="H233" s="386"/>
      <c r="I233" s="386"/>
      <c r="J233" s="386"/>
      <c r="K233" s="386"/>
      <c r="L233" s="386"/>
      <c r="M233" s="386"/>
      <c r="N233" s="386"/>
      <c r="O233" s="386"/>
      <c r="P233" s="386"/>
      <c r="Q233" s="386"/>
      <c r="R233" s="386"/>
      <c r="S233" s="386"/>
      <c r="T233" s="386"/>
      <c r="U233" s="386"/>
      <c r="V233" s="386"/>
      <c r="W233" s="386"/>
      <c r="X233" s="386"/>
      <c r="Y233" s="386"/>
      <c r="Z233" s="386"/>
      <c r="AA233" s="386"/>
      <c r="AB233" s="386"/>
      <c r="AC233" s="386"/>
      <c r="AD233" s="386"/>
      <c r="AE233" s="386"/>
      <c r="AF233" s="386"/>
      <c r="AG233" s="386"/>
      <c r="AH233" s="386"/>
      <c r="AI233" s="386"/>
      <c r="AJ233" s="386"/>
      <c r="AK233" s="386"/>
      <c r="AL233" s="386"/>
      <c r="AM233" s="386"/>
      <c r="AN233" s="386"/>
      <c r="AO233" s="386"/>
      <c r="AP233" s="386"/>
      <c r="AQ233" s="386"/>
      <c r="AR233" s="386"/>
      <c r="AS233" s="386"/>
      <c r="AT233" s="386"/>
      <c r="AU233" s="386"/>
      <c r="AV233" s="386"/>
      <c r="AW233" s="386"/>
      <c r="AX233" s="386"/>
      <c r="AY233" s="386"/>
      <c r="AZ233" s="386"/>
      <c r="BA233" s="386"/>
      <c r="BB233" s="386"/>
      <c r="BC233" s="386"/>
      <c r="BD233" s="386"/>
      <c r="BE233" s="386"/>
      <c r="BF233" s="386"/>
      <c r="BG233" s="386"/>
      <c r="BH233" s="386"/>
      <c r="BI233" s="386"/>
      <c r="BJ233" s="386"/>
      <c r="BK233" s="386"/>
      <c r="BL233" s="281"/>
      <c r="BM233" s="281"/>
      <c r="BN233" s="281"/>
    </row>
    <row r="234" spans="2:66" ht="15.75" x14ac:dyDescent="0.25">
      <c r="B234" s="386"/>
      <c r="C234" s="386"/>
      <c r="D234" s="386"/>
      <c r="E234" s="386"/>
      <c r="F234" s="386"/>
      <c r="G234" s="386"/>
      <c r="H234" s="386"/>
      <c r="I234" s="386"/>
      <c r="J234" s="386"/>
      <c r="K234" s="386"/>
      <c r="L234" s="386"/>
      <c r="M234" s="386"/>
      <c r="N234" s="386"/>
      <c r="O234" s="386"/>
      <c r="P234" s="386"/>
      <c r="Q234" s="386"/>
      <c r="R234" s="386"/>
      <c r="S234" s="386"/>
      <c r="T234" s="386"/>
      <c r="U234" s="386"/>
      <c r="V234" s="386"/>
      <c r="W234" s="386"/>
      <c r="X234" s="386"/>
      <c r="Y234" s="386"/>
      <c r="Z234" s="386"/>
      <c r="AA234" s="386"/>
      <c r="AB234" s="386"/>
      <c r="AC234" s="386"/>
      <c r="AD234" s="386"/>
      <c r="AE234" s="386"/>
      <c r="AF234" s="386"/>
      <c r="AG234" s="386"/>
      <c r="AH234" s="386"/>
      <c r="AI234" s="386"/>
      <c r="AJ234" s="386"/>
      <c r="AK234" s="386"/>
      <c r="AL234" s="386"/>
      <c r="AM234" s="386"/>
      <c r="AN234" s="386"/>
      <c r="AO234" s="386"/>
      <c r="AP234" s="386"/>
      <c r="AQ234" s="386"/>
      <c r="AR234" s="386"/>
      <c r="AS234" s="386"/>
      <c r="AT234" s="386"/>
      <c r="AU234" s="386"/>
      <c r="AV234" s="386"/>
      <c r="AW234" s="386"/>
      <c r="AX234" s="386"/>
      <c r="AY234" s="386"/>
      <c r="AZ234" s="386"/>
      <c r="BA234" s="386"/>
      <c r="BB234" s="386"/>
      <c r="BC234" s="386"/>
      <c r="BD234" s="386"/>
      <c r="BE234" s="386"/>
      <c r="BF234" s="386"/>
      <c r="BG234" s="386"/>
      <c r="BH234" s="386"/>
      <c r="BI234" s="386"/>
      <c r="BJ234" s="386"/>
      <c r="BK234" s="386"/>
      <c r="BL234" s="281"/>
      <c r="BM234" s="281"/>
      <c r="BN234" s="281"/>
    </row>
    <row r="235" spans="2:66" ht="15.75" x14ac:dyDescent="0.25">
      <c r="B235" s="386"/>
      <c r="C235" s="386"/>
      <c r="D235" s="386"/>
      <c r="E235" s="386"/>
      <c r="F235" s="386"/>
      <c r="G235" s="386"/>
      <c r="H235" s="386"/>
      <c r="I235" s="386"/>
      <c r="J235" s="386"/>
      <c r="K235" s="386"/>
      <c r="L235" s="386"/>
      <c r="M235" s="386"/>
      <c r="N235" s="386"/>
      <c r="O235" s="386"/>
      <c r="P235" s="386"/>
      <c r="Q235" s="386"/>
      <c r="R235" s="386"/>
      <c r="S235" s="386"/>
      <c r="T235" s="386"/>
      <c r="U235" s="386"/>
      <c r="V235" s="386"/>
      <c r="W235" s="386"/>
      <c r="X235" s="386"/>
      <c r="Y235" s="386"/>
      <c r="Z235" s="386"/>
      <c r="AA235" s="386"/>
      <c r="AB235" s="386"/>
      <c r="AC235" s="386"/>
      <c r="AD235" s="386"/>
      <c r="AE235" s="386"/>
      <c r="AF235" s="386"/>
      <c r="AG235" s="386"/>
      <c r="AH235" s="386"/>
      <c r="AI235" s="386"/>
      <c r="AJ235" s="386"/>
      <c r="AK235" s="386"/>
      <c r="AL235" s="386"/>
      <c r="AM235" s="386"/>
      <c r="AN235" s="386"/>
      <c r="AO235" s="386"/>
      <c r="AP235" s="386"/>
      <c r="AQ235" s="386"/>
      <c r="AR235" s="386"/>
      <c r="AS235" s="386"/>
      <c r="AT235" s="386"/>
      <c r="AU235" s="386"/>
      <c r="AV235" s="386"/>
      <c r="AW235" s="386"/>
      <c r="AX235" s="386"/>
      <c r="AY235" s="386"/>
      <c r="AZ235" s="386"/>
      <c r="BA235" s="386"/>
      <c r="BB235" s="386"/>
      <c r="BC235" s="386"/>
      <c r="BD235" s="386"/>
      <c r="BE235" s="386"/>
      <c r="BF235" s="386"/>
      <c r="BG235" s="386"/>
      <c r="BH235" s="386"/>
      <c r="BI235" s="386"/>
      <c r="BJ235" s="386"/>
      <c r="BK235" s="386"/>
      <c r="BL235" s="281"/>
      <c r="BM235" s="281"/>
      <c r="BN235" s="281"/>
    </row>
    <row r="236" spans="2:66" ht="15.75" x14ac:dyDescent="0.25">
      <c r="B236" s="386"/>
      <c r="C236" s="386"/>
      <c r="D236" s="386"/>
      <c r="E236" s="386"/>
      <c r="F236" s="386"/>
      <c r="G236" s="386"/>
      <c r="H236" s="386"/>
      <c r="I236" s="386"/>
      <c r="J236" s="386"/>
      <c r="K236" s="386"/>
      <c r="L236" s="386"/>
      <c r="M236" s="386"/>
      <c r="N236" s="386"/>
      <c r="O236" s="386"/>
      <c r="P236" s="386"/>
      <c r="Q236" s="386"/>
      <c r="R236" s="386"/>
      <c r="S236" s="386"/>
      <c r="T236" s="386"/>
      <c r="U236" s="386"/>
      <c r="V236" s="386"/>
      <c r="W236" s="386"/>
      <c r="X236" s="386"/>
      <c r="Y236" s="386"/>
      <c r="Z236" s="386"/>
      <c r="AA236" s="386"/>
      <c r="AB236" s="386"/>
      <c r="AC236" s="386"/>
      <c r="AD236" s="386"/>
      <c r="AE236" s="386"/>
      <c r="AF236" s="386"/>
      <c r="AG236" s="386"/>
      <c r="AH236" s="386"/>
      <c r="AI236" s="386"/>
      <c r="AJ236" s="386"/>
      <c r="AK236" s="386"/>
      <c r="AL236" s="386"/>
      <c r="AM236" s="386"/>
      <c r="AN236" s="386"/>
      <c r="AO236" s="386"/>
      <c r="AP236" s="386"/>
      <c r="AQ236" s="386"/>
      <c r="AR236" s="386"/>
      <c r="AS236" s="386"/>
      <c r="AT236" s="386"/>
      <c r="AU236" s="386"/>
      <c r="AV236" s="386"/>
      <c r="AW236" s="386"/>
      <c r="AX236" s="386"/>
      <c r="AY236" s="386"/>
      <c r="AZ236" s="386"/>
      <c r="BA236" s="386"/>
      <c r="BB236" s="386"/>
      <c r="BC236" s="386"/>
      <c r="BD236" s="386"/>
      <c r="BE236" s="386"/>
      <c r="BF236" s="386"/>
      <c r="BG236" s="386"/>
      <c r="BH236" s="386"/>
      <c r="BI236" s="386"/>
      <c r="BJ236" s="386"/>
      <c r="BK236" s="386"/>
      <c r="BL236" s="281"/>
      <c r="BM236" s="281"/>
      <c r="BN236" s="281"/>
    </row>
    <row r="237" spans="2:66" ht="15.75" x14ac:dyDescent="0.25">
      <c r="B237" s="386"/>
      <c r="C237" s="386"/>
      <c r="D237" s="386"/>
      <c r="E237" s="386"/>
      <c r="F237" s="386"/>
      <c r="G237" s="386"/>
      <c r="H237" s="386"/>
      <c r="I237" s="386"/>
      <c r="J237" s="386"/>
      <c r="K237" s="386"/>
      <c r="L237" s="386"/>
      <c r="M237" s="386"/>
      <c r="N237" s="386"/>
      <c r="O237" s="386"/>
      <c r="P237" s="386"/>
      <c r="Q237" s="386"/>
      <c r="R237" s="386"/>
      <c r="S237" s="386"/>
      <c r="T237" s="386"/>
      <c r="U237" s="386"/>
      <c r="V237" s="386"/>
      <c r="W237" s="386"/>
      <c r="X237" s="386"/>
      <c r="Y237" s="386"/>
      <c r="Z237" s="386"/>
      <c r="AA237" s="386"/>
      <c r="AB237" s="386"/>
      <c r="AC237" s="386"/>
      <c r="AD237" s="386"/>
      <c r="AE237" s="386"/>
      <c r="AF237" s="386"/>
      <c r="AG237" s="386"/>
      <c r="AH237" s="386"/>
      <c r="AI237" s="386"/>
      <c r="AJ237" s="386"/>
      <c r="AK237" s="386"/>
      <c r="AL237" s="386"/>
      <c r="AM237" s="386"/>
      <c r="AN237" s="386"/>
      <c r="AO237" s="386"/>
      <c r="AP237" s="386"/>
      <c r="AQ237" s="386"/>
      <c r="AR237" s="386"/>
      <c r="AS237" s="386"/>
      <c r="AT237" s="386"/>
      <c r="AU237" s="386"/>
      <c r="AV237" s="386"/>
      <c r="AW237" s="386"/>
      <c r="AX237" s="386"/>
      <c r="AY237" s="386"/>
      <c r="AZ237" s="386"/>
      <c r="BA237" s="386"/>
      <c r="BB237" s="386"/>
      <c r="BC237" s="386"/>
      <c r="BD237" s="386"/>
      <c r="BE237" s="386"/>
      <c r="BF237" s="386"/>
      <c r="BG237" s="386"/>
      <c r="BH237" s="386"/>
      <c r="BI237" s="386"/>
      <c r="BJ237" s="386"/>
      <c r="BK237" s="386"/>
      <c r="BL237" s="281"/>
      <c r="BM237" s="281"/>
      <c r="BN237" s="281"/>
    </row>
    <row r="238" spans="2:66" ht="15.75" x14ac:dyDescent="0.25">
      <c r="B238" s="386"/>
      <c r="C238" s="386"/>
      <c r="D238" s="386"/>
      <c r="E238" s="386"/>
      <c r="F238" s="386"/>
      <c r="G238" s="386"/>
      <c r="H238" s="386"/>
      <c r="I238" s="386"/>
      <c r="J238" s="386"/>
      <c r="K238" s="386"/>
      <c r="L238" s="386"/>
      <c r="M238" s="386"/>
      <c r="N238" s="386"/>
      <c r="O238" s="386"/>
      <c r="P238" s="386"/>
      <c r="Q238" s="386"/>
      <c r="R238" s="386"/>
      <c r="S238" s="386"/>
      <c r="T238" s="386"/>
      <c r="U238" s="386"/>
      <c r="V238" s="386"/>
      <c r="W238" s="386"/>
      <c r="X238" s="386"/>
      <c r="Y238" s="386"/>
      <c r="Z238" s="386"/>
      <c r="AA238" s="386"/>
      <c r="AB238" s="386"/>
      <c r="AC238" s="386"/>
      <c r="AD238" s="386"/>
      <c r="AE238" s="386"/>
      <c r="AF238" s="386"/>
      <c r="AG238" s="386"/>
      <c r="AH238" s="386"/>
      <c r="AI238" s="386"/>
      <c r="AJ238" s="386"/>
      <c r="AK238" s="386"/>
      <c r="AL238" s="386"/>
      <c r="AM238" s="386"/>
      <c r="AN238" s="386"/>
      <c r="AO238" s="386"/>
      <c r="AP238" s="386"/>
      <c r="AQ238" s="386"/>
      <c r="AR238" s="386"/>
      <c r="AS238" s="386"/>
      <c r="AT238" s="386"/>
      <c r="AU238" s="386"/>
      <c r="AV238" s="386"/>
      <c r="AW238" s="386"/>
      <c r="AX238" s="386"/>
      <c r="AY238" s="386"/>
      <c r="AZ238" s="386"/>
      <c r="BA238" s="386"/>
      <c r="BB238" s="386"/>
      <c r="BC238" s="386"/>
      <c r="BD238" s="386"/>
      <c r="BE238" s="386"/>
      <c r="BF238" s="386"/>
      <c r="BG238" s="386"/>
      <c r="BH238" s="386"/>
      <c r="BI238" s="386"/>
      <c r="BJ238" s="386"/>
      <c r="BK238" s="386"/>
      <c r="BL238" s="281"/>
      <c r="BM238" s="281"/>
      <c r="BN238" s="281"/>
    </row>
    <row r="239" spans="2:66" ht="15.75" x14ac:dyDescent="0.25">
      <c r="B239" s="386"/>
      <c r="C239" s="386"/>
      <c r="D239" s="386"/>
      <c r="E239" s="386"/>
      <c r="F239" s="386"/>
      <c r="G239" s="386"/>
      <c r="H239" s="386"/>
      <c r="I239" s="386"/>
      <c r="J239" s="386"/>
      <c r="K239" s="386"/>
      <c r="L239" s="386"/>
      <c r="M239" s="386"/>
      <c r="N239" s="386"/>
      <c r="O239" s="386"/>
      <c r="P239" s="386"/>
      <c r="Q239" s="386"/>
      <c r="R239" s="386"/>
      <c r="S239" s="386"/>
      <c r="T239" s="386"/>
      <c r="U239" s="386"/>
      <c r="V239" s="386"/>
      <c r="W239" s="386"/>
      <c r="X239" s="386"/>
      <c r="Y239" s="386"/>
      <c r="Z239" s="386"/>
      <c r="AA239" s="386"/>
      <c r="AB239" s="386"/>
      <c r="AC239" s="386"/>
      <c r="AD239" s="386"/>
      <c r="AE239" s="386"/>
      <c r="AF239" s="386"/>
      <c r="AG239" s="386"/>
      <c r="AH239" s="386"/>
      <c r="AI239" s="386"/>
      <c r="AJ239" s="386"/>
      <c r="AK239" s="386"/>
      <c r="AL239" s="386"/>
      <c r="AM239" s="386"/>
      <c r="AN239" s="386"/>
      <c r="AO239" s="386"/>
      <c r="AP239" s="386"/>
      <c r="AQ239" s="386"/>
      <c r="AR239" s="386"/>
      <c r="AS239" s="386"/>
      <c r="AT239" s="386"/>
      <c r="AU239" s="386"/>
      <c r="AV239" s="386"/>
      <c r="AW239" s="386"/>
      <c r="AX239" s="386"/>
      <c r="AY239" s="386"/>
      <c r="AZ239" s="386"/>
      <c r="BA239" s="386"/>
      <c r="BB239" s="386"/>
      <c r="BC239" s="386"/>
      <c r="BD239" s="386"/>
      <c r="BE239" s="386"/>
      <c r="BF239" s="386"/>
      <c r="BG239" s="386"/>
      <c r="BH239" s="386"/>
      <c r="BI239" s="386"/>
      <c r="BJ239" s="386"/>
      <c r="BK239" s="386"/>
      <c r="BL239" s="281"/>
      <c r="BM239" s="281"/>
      <c r="BN239" s="281"/>
    </row>
    <row r="240" spans="2:66" ht="15.75" x14ac:dyDescent="0.25">
      <c r="B240" s="386"/>
      <c r="C240" s="386"/>
      <c r="D240" s="386"/>
      <c r="E240" s="386"/>
      <c r="F240" s="386"/>
      <c r="G240" s="386"/>
      <c r="H240" s="386"/>
      <c r="I240" s="386"/>
      <c r="J240" s="386"/>
      <c r="K240" s="386"/>
      <c r="L240" s="386"/>
      <c r="M240" s="386"/>
      <c r="N240" s="386"/>
      <c r="O240" s="386"/>
      <c r="P240" s="386"/>
      <c r="Q240" s="386"/>
      <c r="R240" s="386"/>
      <c r="S240" s="386"/>
      <c r="T240" s="386"/>
      <c r="U240" s="386"/>
      <c r="V240" s="386"/>
      <c r="W240" s="386"/>
      <c r="X240" s="386"/>
      <c r="Y240" s="386"/>
      <c r="Z240" s="386"/>
      <c r="AA240" s="386"/>
      <c r="AB240" s="386"/>
      <c r="AC240" s="386"/>
      <c r="AD240" s="386"/>
      <c r="AE240" s="386"/>
      <c r="AF240" s="386"/>
      <c r="AG240" s="386"/>
      <c r="AH240" s="386"/>
      <c r="AI240" s="386"/>
      <c r="AJ240" s="386"/>
      <c r="AK240" s="386"/>
      <c r="AL240" s="386"/>
      <c r="AM240" s="386"/>
      <c r="AN240" s="386"/>
      <c r="AO240" s="386"/>
      <c r="AP240" s="386"/>
      <c r="AQ240" s="386"/>
      <c r="AR240" s="386"/>
      <c r="AS240" s="386"/>
      <c r="AT240" s="386"/>
      <c r="AU240" s="386"/>
      <c r="AV240" s="386"/>
      <c r="AW240" s="386"/>
      <c r="AX240" s="386"/>
      <c r="AY240" s="386"/>
      <c r="AZ240" s="386"/>
      <c r="BA240" s="386"/>
      <c r="BB240" s="386"/>
      <c r="BC240" s="386"/>
      <c r="BD240" s="386"/>
      <c r="BE240" s="386"/>
      <c r="BF240" s="386"/>
      <c r="BG240" s="386"/>
      <c r="BH240" s="386"/>
      <c r="BI240" s="386"/>
      <c r="BJ240" s="386"/>
      <c r="BK240" s="386"/>
      <c r="BL240" s="281"/>
      <c r="BM240" s="281"/>
      <c r="BN240" s="281"/>
    </row>
    <row r="241" spans="2:66" ht="15.75" x14ac:dyDescent="0.25">
      <c r="B241" s="386"/>
      <c r="C241" s="386"/>
      <c r="D241" s="386"/>
      <c r="E241" s="386"/>
      <c r="F241" s="386"/>
      <c r="G241" s="386"/>
      <c r="H241" s="386"/>
      <c r="I241" s="386"/>
      <c r="J241" s="386"/>
      <c r="K241" s="386"/>
      <c r="L241" s="386"/>
      <c r="M241" s="386"/>
      <c r="N241" s="386"/>
      <c r="O241" s="386"/>
      <c r="P241" s="386"/>
      <c r="Q241" s="386"/>
      <c r="R241" s="386"/>
      <c r="S241" s="386"/>
      <c r="T241" s="386"/>
      <c r="U241" s="386"/>
      <c r="V241" s="386"/>
      <c r="W241" s="386"/>
      <c r="X241" s="386"/>
      <c r="Y241" s="386"/>
      <c r="Z241" s="386"/>
      <c r="AA241" s="386"/>
      <c r="AB241" s="386"/>
      <c r="AC241" s="386"/>
      <c r="AD241" s="386"/>
      <c r="AE241" s="386"/>
      <c r="AF241" s="386"/>
      <c r="AG241" s="386"/>
      <c r="AH241" s="386"/>
      <c r="AI241" s="386"/>
      <c r="AJ241" s="386"/>
      <c r="AK241" s="386"/>
      <c r="AL241" s="386"/>
      <c r="AM241" s="386"/>
      <c r="AN241" s="386"/>
      <c r="AO241" s="386"/>
      <c r="AP241" s="386"/>
      <c r="AQ241" s="386"/>
      <c r="AR241" s="386"/>
      <c r="AS241" s="386"/>
      <c r="AT241" s="386"/>
      <c r="AU241" s="386"/>
      <c r="AV241" s="386"/>
      <c r="AW241" s="386"/>
      <c r="AX241" s="386"/>
      <c r="AY241" s="386"/>
      <c r="AZ241" s="386"/>
      <c r="BA241" s="386"/>
      <c r="BB241" s="386"/>
      <c r="BC241" s="386"/>
      <c r="BD241" s="386"/>
      <c r="BE241" s="386"/>
      <c r="BF241" s="386"/>
      <c r="BG241" s="386"/>
      <c r="BH241" s="386"/>
      <c r="BI241" s="386"/>
      <c r="BJ241" s="386"/>
      <c r="BK241" s="386"/>
      <c r="BL241" s="281"/>
      <c r="BM241" s="281"/>
      <c r="BN241" s="281"/>
    </row>
    <row r="242" spans="2:66" ht="15.75" x14ac:dyDescent="0.25">
      <c r="B242" s="386"/>
      <c r="C242" s="386"/>
      <c r="D242" s="386"/>
      <c r="E242" s="386"/>
      <c r="F242" s="386"/>
      <c r="G242" s="386"/>
      <c r="H242" s="386"/>
      <c r="I242" s="386"/>
      <c r="J242" s="386"/>
      <c r="K242" s="386"/>
      <c r="L242" s="386"/>
      <c r="M242" s="386"/>
      <c r="N242" s="386"/>
      <c r="O242" s="386"/>
      <c r="P242" s="386"/>
      <c r="Q242" s="386"/>
      <c r="R242" s="386"/>
      <c r="S242" s="386"/>
      <c r="T242" s="386"/>
      <c r="U242" s="386"/>
      <c r="V242" s="386"/>
      <c r="W242" s="386"/>
      <c r="X242" s="386"/>
      <c r="Y242" s="386"/>
      <c r="Z242" s="386"/>
      <c r="AA242" s="386"/>
      <c r="AB242" s="386"/>
      <c r="AC242" s="386"/>
      <c r="AD242" s="386"/>
      <c r="AE242" s="386"/>
      <c r="AF242" s="386"/>
      <c r="AG242" s="386"/>
      <c r="AH242" s="386"/>
      <c r="AI242" s="386"/>
      <c r="AJ242" s="386"/>
      <c r="AK242" s="386"/>
      <c r="AL242" s="386"/>
      <c r="AM242" s="386"/>
      <c r="AN242" s="386"/>
      <c r="AO242" s="386"/>
      <c r="AP242" s="386"/>
      <c r="AQ242" s="386"/>
      <c r="AR242" s="386"/>
      <c r="AS242" s="386"/>
      <c r="AT242" s="386"/>
      <c r="AU242" s="386"/>
      <c r="AV242" s="386"/>
      <c r="AW242" s="386"/>
      <c r="AX242" s="386"/>
      <c r="AY242" s="386"/>
      <c r="AZ242" s="386"/>
      <c r="BA242" s="386"/>
      <c r="BB242" s="386"/>
      <c r="BC242" s="386"/>
      <c r="BD242" s="386"/>
      <c r="BE242" s="386"/>
      <c r="BF242" s="386"/>
      <c r="BG242" s="386"/>
      <c r="BH242" s="386"/>
      <c r="BI242" s="386"/>
      <c r="BJ242" s="386"/>
      <c r="BK242" s="386"/>
      <c r="BL242" s="281"/>
      <c r="BM242" s="281"/>
      <c r="BN242" s="281"/>
    </row>
    <row r="243" spans="2:66" ht="15.75" x14ac:dyDescent="0.25">
      <c r="B243" s="386"/>
      <c r="C243" s="386"/>
      <c r="D243" s="386"/>
      <c r="E243" s="386"/>
      <c r="F243" s="386"/>
      <c r="G243" s="386"/>
      <c r="H243" s="386"/>
      <c r="I243" s="386"/>
      <c r="J243" s="386"/>
      <c r="K243" s="386"/>
      <c r="L243" s="386"/>
      <c r="M243" s="386"/>
      <c r="N243" s="386"/>
      <c r="O243" s="386"/>
      <c r="P243" s="386"/>
      <c r="Q243" s="386"/>
      <c r="R243" s="386"/>
      <c r="S243" s="386"/>
      <c r="T243" s="386"/>
      <c r="U243" s="386"/>
      <c r="V243" s="386"/>
      <c r="W243" s="386"/>
      <c r="X243" s="386"/>
      <c r="Y243" s="386"/>
      <c r="Z243" s="386"/>
      <c r="AA243" s="386"/>
      <c r="AB243" s="386"/>
      <c r="AC243" s="386"/>
      <c r="AD243" s="386"/>
      <c r="AE243" s="386"/>
      <c r="AF243" s="386"/>
      <c r="AG243" s="386"/>
      <c r="AH243" s="386"/>
      <c r="AI243" s="386"/>
      <c r="AJ243" s="386"/>
      <c r="AK243" s="386"/>
      <c r="AL243" s="386"/>
      <c r="AM243" s="386"/>
      <c r="AN243" s="386"/>
      <c r="AO243" s="386"/>
      <c r="AP243" s="386"/>
      <c r="AQ243" s="386"/>
      <c r="AR243" s="386"/>
      <c r="AS243" s="386"/>
      <c r="AT243" s="386"/>
      <c r="AU243" s="386"/>
      <c r="AV243" s="386"/>
      <c r="AW243" s="386"/>
      <c r="AX243" s="386"/>
      <c r="AY243" s="386"/>
      <c r="AZ243" s="386"/>
      <c r="BA243" s="386"/>
      <c r="BB243" s="386"/>
      <c r="BC243" s="386"/>
      <c r="BD243" s="386"/>
      <c r="BE243" s="386"/>
      <c r="BF243" s="386"/>
      <c r="BG243" s="386"/>
      <c r="BH243" s="386"/>
      <c r="BI243" s="386"/>
      <c r="BJ243" s="386"/>
      <c r="BK243" s="386"/>
      <c r="BL243" s="281"/>
      <c r="BM243" s="281"/>
      <c r="BN243" s="281"/>
    </row>
    <row r="244" spans="2:66" ht="15.75" x14ac:dyDescent="0.25">
      <c r="B244" s="386"/>
      <c r="C244" s="386"/>
      <c r="D244" s="386"/>
      <c r="E244" s="386"/>
      <c r="F244" s="386"/>
      <c r="G244" s="386"/>
      <c r="H244" s="386"/>
      <c r="I244" s="386"/>
      <c r="J244" s="386"/>
      <c r="K244" s="386"/>
      <c r="L244" s="386"/>
      <c r="M244" s="386"/>
      <c r="N244" s="386"/>
      <c r="O244" s="386"/>
      <c r="P244" s="386"/>
      <c r="Q244" s="386"/>
      <c r="R244" s="386"/>
      <c r="S244" s="386"/>
      <c r="T244" s="386"/>
      <c r="U244" s="386"/>
      <c r="V244" s="386"/>
      <c r="W244" s="386"/>
      <c r="X244" s="386"/>
      <c r="Y244" s="386"/>
      <c r="Z244" s="386"/>
      <c r="AA244" s="386"/>
      <c r="AB244" s="386"/>
      <c r="AC244" s="386"/>
      <c r="AD244" s="386"/>
      <c r="AE244" s="386"/>
      <c r="AF244" s="386"/>
      <c r="AG244" s="386"/>
      <c r="AH244" s="386"/>
      <c r="AI244" s="386"/>
      <c r="AJ244" s="386"/>
      <c r="AK244" s="386"/>
      <c r="AL244" s="386"/>
      <c r="AM244" s="386"/>
      <c r="AN244" s="386"/>
      <c r="AO244" s="386"/>
      <c r="AP244" s="386"/>
      <c r="AQ244" s="386"/>
      <c r="AR244" s="386"/>
      <c r="AS244" s="386"/>
      <c r="AT244" s="386"/>
      <c r="AU244" s="386"/>
      <c r="AV244" s="386"/>
      <c r="AW244" s="386"/>
      <c r="AX244" s="386"/>
      <c r="AY244" s="386"/>
      <c r="AZ244" s="386"/>
      <c r="BA244" s="386"/>
      <c r="BB244" s="386"/>
      <c r="BC244" s="386"/>
      <c r="BD244" s="386"/>
      <c r="BE244" s="386"/>
      <c r="BF244" s="386"/>
      <c r="BG244" s="386"/>
      <c r="BH244" s="386"/>
      <c r="BI244" s="386"/>
      <c r="BJ244" s="386"/>
      <c r="BK244" s="386"/>
      <c r="BL244" s="281"/>
      <c r="BM244" s="281"/>
      <c r="BN244" s="281"/>
    </row>
    <row r="245" spans="2:66" ht="15.75" x14ac:dyDescent="0.25">
      <c r="B245" s="386"/>
      <c r="C245" s="386"/>
      <c r="D245" s="386"/>
      <c r="E245" s="386"/>
      <c r="F245" s="386"/>
      <c r="G245" s="386"/>
      <c r="H245" s="386"/>
      <c r="I245" s="386"/>
      <c r="J245" s="386"/>
      <c r="K245" s="386"/>
      <c r="L245" s="386"/>
      <c r="M245" s="386"/>
      <c r="N245" s="386"/>
      <c r="O245" s="386"/>
      <c r="P245" s="386"/>
      <c r="Q245" s="386"/>
      <c r="R245" s="386"/>
      <c r="S245" s="386"/>
      <c r="T245" s="386"/>
      <c r="U245" s="386"/>
      <c r="V245" s="386"/>
      <c r="W245" s="386"/>
      <c r="X245" s="386"/>
      <c r="Y245" s="386"/>
      <c r="Z245" s="386"/>
      <c r="AA245" s="386"/>
      <c r="AB245" s="386"/>
      <c r="AC245" s="386"/>
      <c r="AD245" s="386"/>
      <c r="AE245" s="386"/>
      <c r="AF245" s="386"/>
      <c r="AG245" s="386"/>
      <c r="AH245" s="386"/>
      <c r="AI245" s="386"/>
      <c r="AJ245" s="386"/>
      <c r="AK245" s="386"/>
      <c r="AL245" s="386"/>
      <c r="AM245" s="386"/>
      <c r="AN245" s="386"/>
      <c r="AO245" s="386"/>
      <c r="AP245" s="386"/>
      <c r="AQ245" s="386"/>
      <c r="AR245" s="386"/>
      <c r="AS245" s="386"/>
      <c r="AT245" s="386"/>
      <c r="AU245" s="386"/>
      <c r="AV245" s="386"/>
      <c r="AW245" s="386"/>
      <c r="AX245" s="386"/>
      <c r="AY245" s="386"/>
      <c r="AZ245" s="386"/>
      <c r="BA245" s="386"/>
      <c r="BB245" s="386"/>
      <c r="BC245" s="386"/>
      <c r="BD245" s="386"/>
      <c r="BE245" s="386"/>
      <c r="BF245" s="386"/>
      <c r="BG245" s="386"/>
      <c r="BH245" s="386"/>
      <c r="BI245" s="386"/>
      <c r="BJ245" s="386"/>
      <c r="BK245" s="386"/>
      <c r="BL245" s="281"/>
      <c r="BM245" s="281"/>
      <c r="BN245" s="281"/>
    </row>
    <row r="246" spans="2:66" ht="15.75" x14ac:dyDescent="0.25">
      <c r="B246" s="386"/>
      <c r="C246" s="386"/>
      <c r="D246" s="386"/>
      <c r="E246" s="386"/>
      <c r="F246" s="386"/>
      <c r="G246" s="386"/>
      <c r="H246" s="386"/>
      <c r="I246" s="386"/>
      <c r="J246" s="386"/>
      <c r="K246" s="386"/>
      <c r="L246" s="386"/>
      <c r="M246" s="386"/>
      <c r="N246" s="386"/>
      <c r="O246" s="386"/>
      <c r="P246" s="386"/>
      <c r="Q246" s="386"/>
      <c r="R246" s="386"/>
      <c r="S246" s="386"/>
      <c r="T246" s="386"/>
      <c r="U246" s="386"/>
      <c r="V246" s="386"/>
      <c r="W246" s="386"/>
      <c r="X246" s="386"/>
      <c r="Y246" s="386"/>
      <c r="Z246" s="386"/>
      <c r="AA246" s="386"/>
      <c r="AB246" s="386"/>
      <c r="AC246" s="386"/>
      <c r="AD246" s="386"/>
      <c r="AE246" s="386"/>
      <c r="AF246" s="386"/>
      <c r="AG246" s="386"/>
      <c r="AH246" s="386"/>
      <c r="AI246" s="386"/>
      <c r="AJ246" s="386"/>
      <c r="AK246" s="386"/>
      <c r="AL246" s="386"/>
      <c r="AM246" s="386"/>
      <c r="AN246" s="386"/>
      <c r="AO246" s="386"/>
      <c r="AP246" s="386"/>
      <c r="AQ246" s="386"/>
      <c r="AR246" s="386"/>
      <c r="AS246" s="386"/>
      <c r="AT246" s="386"/>
      <c r="AU246" s="386"/>
      <c r="AV246" s="386"/>
      <c r="AW246" s="386"/>
      <c r="AX246" s="386"/>
      <c r="AY246" s="386"/>
      <c r="AZ246" s="386"/>
      <c r="BA246" s="386"/>
      <c r="BB246" s="386"/>
      <c r="BC246" s="386"/>
      <c r="BD246" s="386"/>
      <c r="BE246" s="386"/>
      <c r="BF246" s="386"/>
      <c r="BG246" s="386"/>
      <c r="BH246" s="386"/>
      <c r="BI246" s="386"/>
      <c r="BJ246" s="386"/>
      <c r="BK246" s="386"/>
      <c r="BL246" s="281"/>
      <c r="BM246" s="281"/>
      <c r="BN246" s="281"/>
    </row>
    <row r="247" spans="2:66" ht="15.75" x14ac:dyDescent="0.25">
      <c r="B247" s="386"/>
      <c r="C247" s="386"/>
      <c r="D247" s="386"/>
      <c r="E247" s="386"/>
      <c r="F247" s="386"/>
      <c r="G247" s="386"/>
      <c r="H247" s="386"/>
      <c r="I247" s="386"/>
      <c r="J247" s="386"/>
      <c r="K247" s="386"/>
      <c r="L247" s="386"/>
      <c r="M247" s="386"/>
      <c r="N247" s="386"/>
      <c r="O247" s="386"/>
      <c r="P247" s="386"/>
      <c r="Q247" s="386"/>
      <c r="R247" s="386"/>
      <c r="S247" s="386"/>
      <c r="T247" s="386"/>
      <c r="U247" s="386"/>
      <c r="V247" s="386"/>
      <c r="W247" s="386"/>
      <c r="X247" s="386"/>
      <c r="Y247" s="386"/>
      <c r="Z247" s="386"/>
      <c r="AA247" s="386"/>
      <c r="AB247" s="386"/>
      <c r="AC247" s="386"/>
      <c r="AD247" s="386"/>
      <c r="AE247" s="386"/>
      <c r="AF247" s="386"/>
      <c r="AG247" s="386"/>
      <c r="AH247" s="386"/>
      <c r="AI247" s="386"/>
      <c r="AJ247" s="386"/>
      <c r="AK247" s="386"/>
      <c r="AL247" s="386"/>
      <c r="AM247" s="386"/>
      <c r="AN247" s="386"/>
      <c r="AO247" s="386"/>
      <c r="AP247" s="386"/>
      <c r="AQ247" s="386"/>
      <c r="AR247" s="386"/>
      <c r="AS247" s="386"/>
      <c r="AT247" s="386"/>
      <c r="AU247" s="386"/>
      <c r="AV247" s="386"/>
      <c r="AW247" s="386"/>
      <c r="AX247" s="386"/>
      <c r="AY247" s="386"/>
      <c r="AZ247" s="386"/>
      <c r="BA247" s="386"/>
      <c r="BB247" s="386"/>
      <c r="BC247" s="386"/>
      <c r="BD247" s="386"/>
      <c r="BE247" s="386"/>
      <c r="BF247" s="386"/>
      <c r="BG247" s="386"/>
      <c r="BH247" s="386"/>
      <c r="BI247" s="386"/>
      <c r="BJ247" s="386"/>
      <c r="BK247" s="386"/>
      <c r="BL247" s="281"/>
      <c r="BM247" s="281"/>
      <c r="BN247" s="281"/>
    </row>
    <row r="248" spans="2:66" ht="15.75" x14ac:dyDescent="0.25">
      <c r="B248" s="386"/>
      <c r="C248" s="386"/>
      <c r="D248" s="386"/>
      <c r="E248" s="386"/>
      <c r="F248" s="386"/>
      <c r="G248" s="386"/>
      <c r="H248" s="386"/>
      <c r="I248" s="386"/>
      <c r="J248" s="386"/>
      <c r="K248" s="386"/>
      <c r="L248" s="386"/>
      <c r="M248" s="386"/>
      <c r="N248" s="386"/>
      <c r="O248" s="386"/>
      <c r="P248" s="386"/>
      <c r="Q248" s="386"/>
      <c r="R248" s="386"/>
      <c r="S248" s="386"/>
      <c r="T248" s="386"/>
      <c r="U248" s="386"/>
      <c r="V248" s="386"/>
      <c r="W248" s="386"/>
      <c r="X248" s="386"/>
      <c r="Y248" s="386"/>
      <c r="Z248" s="386"/>
      <c r="AA248" s="386"/>
      <c r="AB248" s="386"/>
      <c r="AC248" s="386"/>
      <c r="AD248" s="386"/>
      <c r="AE248" s="386"/>
      <c r="AF248" s="386"/>
      <c r="AG248" s="386"/>
      <c r="AH248" s="386"/>
      <c r="AI248" s="386"/>
      <c r="AJ248" s="386"/>
      <c r="AK248" s="386"/>
      <c r="AL248" s="386"/>
      <c r="AM248" s="386"/>
      <c r="AN248" s="386"/>
      <c r="AO248" s="386"/>
      <c r="AP248" s="386"/>
      <c r="AQ248" s="386"/>
      <c r="AR248" s="386"/>
      <c r="AS248" s="386"/>
      <c r="AT248" s="386"/>
      <c r="AU248" s="386"/>
      <c r="AV248" s="386"/>
      <c r="AW248" s="386"/>
      <c r="AX248" s="386"/>
      <c r="AY248" s="386"/>
      <c r="AZ248" s="386"/>
      <c r="BA248" s="386"/>
      <c r="BB248" s="386"/>
      <c r="BC248" s="386"/>
      <c r="BD248" s="386"/>
      <c r="BE248" s="386"/>
      <c r="BF248" s="386"/>
      <c r="BG248" s="386"/>
      <c r="BH248" s="386"/>
      <c r="BI248" s="386"/>
      <c r="BJ248" s="386"/>
      <c r="BK248" s="386"/>
      <c r="BL248" s="281"/>
      <c r="BM248" s="281"/>
      <c r="BN248" s="281"/>
    </row>
    <row r="249" spans="2:66" ht="15.75" x14ac:dyDescent="0.25">
      <c r="B249" s="386"/>
      <c r="C249" s="386"/>
      <c r="D249" s="386"/>
      <c r="E249" s="386"/>
      <c r="F249" s="386"/>
      <c r="G249" s="386"/>
      <c r="H249" s="386"/>
      <c r="I249" s="386"/>
      <c r="J249" s="386"/>
      <c r="K249" s="386"/>
      <c r="L249" s="386"/>
      <c r="M249" s="386"/>
      <c r="N249" s="386"/>
      <c r="O249" s="386"/>
      <c r="P249" s="386"/>
      <c r="Q249" s="386"/>
      <c r="R249" s="386"/>
      <c r="S249" s="386"/>
      <c r="T249" s="386"/>
      <c r="U249" s="386"/>
      <c r="V249" s="386"/>
      <c r="W249" s="386"/>
      <c r="X249" s="386"/>
      <c r="Y249" s="386"/>
      <c r="Z249" s="386"/>
      <c r="AA249" s="386"/>
      <c r="AB249" s="386"/>
      <c r="AC249" s="386"/>
      <c r="AD249" s="386"/>
      <c r="AE249" s="386"/>
      <c r="AF249" s="386"/>
      <c r="AG249" s="386"/>
      <c r="AH249" s="386"/>
      <c r="AI249" s="386"/>
      <c r="AJ249" s="386"/>
      <c r="AK249" s="386"/>
      <c r="AL249" s="386"/>
      <c r="AM249" s="386"/>
      <c r="AN249" s="386"/>
      <c r="AO249" s="386"/>
      <c r="AP249" s="386"/>
      <c r="AQ249" s="386"/>
      <c r="AR249" s="386"/>
      <c r="AS249" s="386"/>
      <c r="AT249" s="386"/>
      <c r="AU249" s="386"/>
      <c r="AV249" s="386"/>
      <c r="AW249" s="386"/>
      <c r="AX249" s="386"/>
      <c r="AY249" s="386"/>
      <c r="AZ249" s="386"/>
      <c r="BA249" s="386"/>
      <c r="BB249" s="386"/>
      <c r="BC249" s="386"/>
      <c r="BD249" s="386"/>
      <c r="BE249" s="386"/>
      <c r="BF249" s="386"/>
      <c r="BG249" s="386"/>
      <c r="BH249" s="386"/>
      <c r="BI249" s="386"/>
      <c r="BJ249" s="386"/>
      <c r="BK249" s="386"/>
      <c r="BL249" s="281"/>
      <c r="BM249" s="281"/>
      <c r="BN249" s="281"/>
    </row>
    <row r="250" spans="2:66" ht="15.75" x14ac:dyDescent="0.25">
      <c r="B250" s="386"/>
      <c r="C250" s="386"/>
      <c r="D250" s="386"/>
      <c r="E250" s="386"/>
      <c r="F250" s="386"/>
      <c r="G250" s="386"/>
      <c r="H250" s="386"/>
      <c r="I250" s="386"/>
      <c r="J250" s="386"/>
      <c r="K250" s="386"/>
      <c r="L250" s="386"/>
      <c r="M250" s="386"/>
      <c r="N250" s="386"/>
      <c r="O250" s="386"/>
      <c r="P250" s="386"/>
      <c r="Q250" s="386"/>
      <c r="R250" s="386"/>
      <c r="S250" s="386"/>
      <c r="T250" s="386"/>
      <c r="U250" s="386"/>
      <c r="V250" s="386"/>
      <c r="W250" s="386"/>
      <c r="X250" s="386"/>
      <c r="Y250" s="386"/>
      <c r="Z250" s="386"/>
      <c r="AA250" s="386"/>
      <c r="AB250" s="386"/>
      <c r="AC250" s="386"/>
      <c r="AD250" s="386"/>
      <c r="AE250" s="386"/>
      <c r="AF250" s="386"/>
      <c r="AG250" s="386"/>
      <c r="AH250" s="386"/>
      <c r="AI250" s="386"/>
      <c r="AJ250" s="386"/>
      <c r="AK250" s="386"/>
      <c r="AL250" s="386"/>
      <c r="AM250" s="386"/>
      <c r="AN250" s="386"/>
      <c r="AO250" s="386"/>
      <c r="AP250" s="386"/>
      <c r="AQ250" s="386"/>
      <c r="AR250" s="386"/>
      <c r="AS250" s="386"/>
      <c r="AT250" s="386"/>
      <c r="AU250" s="386"/>
      <c r="AV250" s="386"/>
      <c r="AW250" s="386"/>
      <c r="AX250" s="386"/>
      <c r="AY250" s="386"/>
      <c r="AZ250" s="386"/>
      <c r="BA250" s="386"/>
      <c r="BB250" s="386"/>
      <c r="BC250" s="386"/>
      <c r="BD250" s="386"/>
      <c r="BE250" s="386"/>
      <c r="BF250" s="386"/>
      <c r="BG250" s="386"/>
      <c r="BH250" s="386"/>
      <c r="BI250" s="386"/>
      <c r="BJ250" s="386"/>
      <c r="BK250" s="386"/>
      <c r="BL250" s="281"/>
      <c r="BM250" s="281"/>
      <c r="BN250" s="281"/>
    </row>
    <row r="251" spans="2:66" ht="15.75" x14ac:dyDescent="0.25">
      <c r="B251" s="386"/>
      <c r="C251" s="386"/>
      <c r="D251" s="386"/>
      <c r="E251" s="386"/>
      <c r="F251" s="386"/>
      <c r="G251" s="386"/>
      <c r="H251" s="386"/>
      <c r="I251" s="386"/>
      <c r="J251" s="386"/>
      <c r="K251" s="386"/>
      <c r="L251" s="386"/>
      <c r="M251" s="386"/>
      <c r="N251" s="386"/>
      <c r="O251" s="386"/>
      <c r="P251" s="386"/>
      <c r="Q251" s="386"/>
      <c r="R251" s="386"/>
      <c r="S251" s="386"/>
      <c r="T251" s="386"/>
      <c r="U251" s="386"/>
      <c r="V251" s="386"/>
      <c r="W251" s="386"/>
      <c r="X251" s="386"/>
      <c r="Y251" s="386"/>
      <c r="Z251" s="386"/>
      <c r="AA251" s="386"/>
      <c r="AB251" s="386"/>
      <c r="AC251" s="386"/>
      <c r="AD251" s="386"/>
      <c r="AE251" s="386"/>
      <c r="AF251" s="386"/>
      <c r="AG251" s="386"/>
      <c r="AH251" s="386"/>
      <c r="AI251" s="386"/>
      <c r="AJ251" s="386"/>
      <c r="AK251" s="386"/>
      <c r="AL251" s="386"/>
      <c r="AM251" s="386"/>
      <c r="AN251" s="386"/>
      <c r="AO251" s="386"/>
      <c r="AP251" s="386"/>
      <c r="AQ251" s="386"/>
      <c r="AR251" s="386"/>
      <c r="AS251" s="386"/>
      <c r="AT251" s="386"/>
      <c r="AU251" s="386"/>
      <c r="AV251" s="386"/>
      <c r="AW251" s="386"/>
      <c r="AX251" s="386"/>
      <c r="AY251" s="386"/>
      <c r="AZ251" s="386"/>
      <c r="BA251" s="386"/>
      <c r="BB251" s="386"/>
      <c r="BC251" s="386"/>
      <c r="BD251" s="386"/>
      <c r="BE251" s="386"/>
      <c r="BF251" s="386"/>
      <c r="BG251" s="386"/>
      <c r="BH251" s="386"/>
      <c r="BI251" s="386"/>
      <c r="BJ251" s="386"/>
      <c r="BK251" s="386"/>
      <c r="BL251" s="281"/>
      <c r="BM251" s="281"/>
      <c r="BN251" s="281"/>
    </row>
    <row r="252" spans="2:66" ht="15.75" x14ac:dyDescent="0.25">
      <c r="B252" s="386"/>
      <c r="C252" s="386"/>
      <c r="D252" s="386"/>
      <c r="E252" s="386"/>
      <c r="F252" s="386"/>
      <c r="G252" s="386"/>
      <c r="H252" s="386"/>
      <c r="I252" s="386"/>
      <c r="J252" s="386"/>
      <c r="K252" s="386"/>
      <c r="L252" s="386"/>
      <c r="M252" s="386"/>
      <c r="N252" s="386"/>
      <c r="O252" s="386"/>
      <c r="P252" s="386"/>
      <c r="Q252" s="386"/>
      <c r="R252" s="386"/>
      <c r="S252" s="386"/>
      <c r="T252" s="386"/>
      <c r="U252" s="386"/>
      <c r="V252" s="386"/>
      <c r="W252" s="386"/>
      <c r="X252" s="386"/>
      <c r="Y252" s="386"/>
      <c r="Z252" s="386"/>
      <c r="AA252" s="386"/>
      <c r="AB252" s="386"/>
      <c r="AC252" s="386"/>
      <c r="AD252" s="386"/>
      <c r="AE252" s="386"/>
      <c r="AF252" s="386"/>
      <c r="AG252" s="386"/>
      <c r="AH252" s="386"/>
      <c r="AI252" s="386"/>
      <c r="AJ252" s="386"/>
      <c r="AK252" s="386"/>
      <c r="AL252" s="386"/>
      <c r="AM252" s="386"/>
      <c r="AN252" s="386"/>
      <c r="AO252" s="386"/>
      <c r="AP252" s="386"/>
      <c r="AQ252" s="386"/>
      <c r="AR252" s="386"/>
      <c r="AS252" s="386"/>
      <c r="AT252" s="386"/>
      <c r="AU252" s="386"/>
      <c r="AV252" s="386"/>
      <c r="AW252" s="386"/>
      <c r="AX252" s="386"/>
      <c r="AY252" s="386"/>
      <c r="AZ252" s="386"/>
      <c r="BA252" s="386"/>
      <c r="BB252" s="386"/>
      <c r="BC252" s="386"/>
      <c r="BD252" s="386"/>
      <c r="BE252" s="386"/>
      <c r="BF252" s="386"/>
      <c r="BG252" s="386"/>
      <c r="BH252" s="386"/>
      <c r="BI252" s="386"/>
      <c r="BJ252" s="386"/>
      <c r="BK252" s="386"/>
      <c r="BL252" s="281"/>
      <c r="BM252" s="281"/>
      <c r="BN252" s="281"/>
    </row>
    <row r="253" spans="2:66" ht="15.75" x14ac:dyDescent="0.25">
      <c r="B253" s="386"/>
      <c r="C253" s="386"/>
      <c r="D253" s="386"/>
      <c r="E253" s="386"/>
      <c r="F253" s="386"/>
      <c r="G253" s="386"/>
      <c r="H253" s="386"/>
      <c r="I253" s="386"/>
      <c r="J253" s="386"/>
      <c r="K253" s="386"/>
      <c r="L253" s="386"/>
      <c r="M253" s="386"/>
      <c r="N253" s="386"/>
      <c r="O253" s="386"/>
      <c r="P253" s="386"/>
      <c r="Q253" s="386"/>
      <c r="R253" s="386"/>
      <c r="S253" s="386"/>
      <c r="T253" s="386"/>
      <c r="U253" s="386"/>
      <c r="V253" s="386"/>
      <c r="W253" s="386"/>
      <c r="X253" s="386"/>
      <c r="Y253" s="386"/>
      <c r="Z253" s="386"/>
      <c r="AA253" s="386"/>
      <c r="AB253" s="386"/>
      <c r="AC253" s="386"/>
      <c r="AD253" s="386"/>
      <c r="AE253" s="386"/>
      <c r="AF253" s="386"/>
      <c r="AG253" s="386"/>
      <c r="AH253" s="386"/>
      <c r="AI253" s="386"/>
      <c r="AJ253" s="386"/>
      <c r="AK253" s="386"/>
      <c r="AL253" s="386"/>
      <c r="AM253" s="386"/>
      <c r="AN253" s="386"/>
      <c r="AO253" s="386"/>
      <c r="AP253" s="386"/>
      <c r="AQ253" s="386"/>
      <c r="AR253" s="386"/>
      <c r="AS253" s="386"/>
      <c r="AT253" s="386"/>
      <c r="AU253" s="386"/>
      <c r="AV253" s="386"/>
      <c r="AW253" s="386"/>
      <c r="AX253" s="386"/>
      <c r="AY253" s="386"/>
      <c r="AZ253" s="386"/>
      <c r="BA253" s="386"/>
      <c r="BB253" s="386"/>
      <c r="BC253" s="386"/>
      <c r="BD253" s="386"/>
      <c r="BE253" s="386"/>
      <c r="BF253" s="386"/>
      <c r="BG253" s="386"/>
      <c r="BH253" s="386"/>
      <c r="BI253" s="386"/>
      <c r="BJ253" s="386"/>
      <c r="BK253" s="386"/>
      <c r="BL253" s="281"/>
      <c r="BM253" s="281"/>
      <c r="BN253" s="281"/>
    </row>
    <row r="254" spans="2:66" ht="15.75" x14ac:dyDescent="0.25">
      <c r="B254" s="386"/>
      <c r="C254" s="386"/>
      <c r="D254" s="386"/>
      <c r="E254" s="386"/>
      <c r="F254" s="386"/>
      <c r="G254" s="386"/>
      <c r="H254" s="386"/>
      <c r="I254" s="386"/>
      <c r="J254" s="386"/>
      <c r="K254" s="386"/>
      <c r="L254" s="386"/>
      <c r="M254" s="386"/>
      <c r="N254" s="386"/>
      <c r="O254" s="386"/>
      <c r="P254" s="386"/>
      <c r="Q254" s="386"/>
      <c r="R254" s="386"/>
      <c r="S254" s="386"/>
      <c r="T254" s="386"/>
      <c r="U254" s="386"/>
      <c r="V254" s="386"/>
      <c r="W254" s="386"/>
      <c r="X254" s="386"/>
      <c r="Y254" s="386"/>
      <c r="Z254" s="386"/>
      <c r="AA254" s="386"/>
      <c r="AB254" s="386"/>
      <c r="AC254" s="386"/>
      <c r="AD254" s="386"/>
      <c r="AE254" s="386"/>
      <c r="AF254" s="386"/>
      <c r="AG254" s="386"/>
      <c r="AH254" s="386"/>
      <c r="AI254" s="386"/>
      <c r="AJ254" s="386"/>
      <c r="AK254" s="386"/>
      <c r="AL254" s="386"/>
      <c r="AM254" s="386"/>
      <c r="AN254" s="386"/>
      <c r="AO254" s="386"/>
      <c r="AP254" s="386"/>
      <c r="AQ254" s="386"/>
      <c r="AR254" s="386"/>
      <c r="AS254" s="386"/>
      <c r="AT254" s="386"/>
      <c r="AU254" s="386"/>
      <c r="AV254" s="386"/>
      <c r="AW254" s="386"/>
      <c r="AX254" s="386"/>
      <c r="AY254" s="386"/>
      <c r="AZ254" s="386"/>
      <c r="BA254" s="386"/>
      <c r="BB254" s="386"/>
      <c r="BC254" s="386"/>
      <c r="BD254" s="386"/>
      <c r="BE254" s="386"/>
      <c r="BF254" s="386"/>
      <c r="BG254" s="386"/>
      <c r="BH254" s="386"/>
      <c r="BI254" s="386"/>
      <c r="BJ254" s="386"/>
      <c r="BK254" s="386"/>
      <c r="BL254" s="281"/>
      <c r="BM254" s="281"/>
      <c r="BN254" s="281"/>
    </row>
    <row r="255" spans="2:66" ht="15.75" x14ac:dyDescent="0.25">
      <c r="B255" s="386"/>
      <c r="C255" s="386"/>
      <c r="D255" s="386"/>
      <c r="E255" s="386"/>
      <c r="F255" s="386"/>
      <c r="G255" s="386"/>
      <c r="H255" s="386"/>
      <c r="I255" s="386"/>
      <c r="J255" s="386"/>
      <c r="K255" s="386"/>
      <c r="L255" s="386"/>
      <c r="M255" s="386"/>
      <c r="N255" s="386"/>
      <c r="O255" s="386"/>
      <c r="P255" s="386"/>
      <c r="Q255" s="386"/>
      <c r="R255" s="386"/>
      <c r="S255" s="386"/>
      <c r="T255" s="386"/>
      <c r="U255" s="386"/>
      <c r="V255" s="386"/>
      <c r="W255" s="386"/>
      <c r="X255" s="386"/>
      <c r="Y255" s="386"/>
      <c r="Z255" s="386"/>
      <c r="AA255" s="386"/>
      <c r="AB255" s="386"/>
      <c r="AC255" s="386"/>
      <c r="AD255" s="386"/>
      <c r="AE255" s="386"/>
      <c r="AF255" s="386"/>
      <c r="AG255" s="386"/>
      <c r="AH255" s="386"/>
      <c r="AI255" s="386"/>
      <c r="AJ255" s="386"/>
      <c r="AK255" s="386"/>
      <c r="AL255" s="386"/>
      <c r="AM255" s="386"/>
      <c r="AN255" s="386"/>
      <c r="AO255" s="386"/>
      <c r="AP255" s="386"/>
      <c r="AQ255" s="386"/>
      <c r="AR255" s="386"/>
      <c r="AS255" s="386"/>
      <c r="AT255" s="386"/>
      <c r="AU255" s="386"/>
      <c r="AV255" s="386"/>
      <c r="AW255" s="386"/>
      <c r="AX255" s="386"/>
      <c r="AY255" s="386"/>
      <c r="AZ255" s="386"/>
      <c r="BA255" s="386"/>
      <c r="BB255" s="386"/>
      <c r="BC255" s="386"/>
      <c r="BD255" s="386"/>
      <c r="BE255" s="386"/>
      <c r="BF255" s="386"/>
      <c r="BG255" s="386"/>
      <c r="BH255" s="386"/>
      <c r="BI255" s="386"/>
      <c r="BJ255" s="386"/>
      <c r="BK255" s="386"/>
      <c r="BL255" s="281"/>
      <c r="BM255" s="281"/>
      <c r="BN255" s="281"/>
    </row>
    <row r="256" spans="2:66" ht="15.75" x14ac:dyDescent="0.25">
      <c r="B256" s="386"/>
      <c r="C256" s="386"/>
      <c r="D256" s="386"/>
      <c r="E256" s="386"/>
      <c r="F256" s="386"/>
      <c r="G256" s="386"/>
      <c r="H256" s="386"/>
      <c r="I256" s="386"/>
      <c r="J256" s="386"/>
      <c r="K256" s="386"/>
      <c r="L256" s="386"/>
      <c r="M256" s="386"/>
      <c r="N256" s="386"/>
      <c r="O256" s="386"/>
      <c r="P256" s="386"/>
      <c r="Q256" s="386"/>
      <c r="R256" s="386"/>
      <c r="S256" s="386"/>
      <c r="T256" s="386"/>
      <c r="U256" s="386"/>
      <c r="V256" s="386"/>
      <c r="W256" s="386"/>
      <c r="X256" s="386"/>
      <c r="Y256" s="386"/>
      <c r="Z256" s="386"/>
      <c r="AA256" s="386"/>
      <c r="AB256" s="386"/>
      <c r="AC256" s="386"/>
      <c r="AD256" s="386"/>
      <c r="AE256" s="386"/>
      <c r="AF256" s="386"/>
      <c r="AG256" s="386"/>
      <c r="AH256" s="386"/>
      <c r="AI256" s="386"/>
      <c r="AJ256" s="386"/>
      <c r="AK256" s="386"/>
      <c r="AL256" s="386"/>
      <c r="AM256" s="386"/>
      <c r="AN256" s="386"/>
      <c r="AO256" s="386"/>
      <c r="AP256" s="386"/>
      <c r="AQ256" s="386"/>
      <c r="AR256" s="386"/>
      <c r="AS256" s="386"/>
      <c r="AT256" s="386"/>
      <c r="AU256" s="386"/>
      <c r="AV256" s="386"/>
      <c r="AW256" s="386"/>
      <c r="AX256" s="386"/>
      <c r="AY256" s="386"/>
      <c r="AZ256" s="386"/>
      <c r="BA256" s="386"/>
      <c r="BB256" s="386"/>
      <c r="BC256" s="386"/>
      <c r="BD256" s="386"/>
      <c r="BE256" s="386"/>
      <c r="BF256" s="386"/>
      <c r="BG256" s="386"/>
      <c r="BH256" s="386"/>
      <c r="BI256" s="386"/>
      <c r="BJ256" s="386"/>
      <c r="BK256" s="386"/>
      <c r="BL256" s="281"/>
      <c r="BM256" s="281"/>
      <c r="BN256" s="281"/>
    </row>
    <row r="257" spans="2:66" ht="15.75" x14ac:dyDescent="0.25">
      <c r="B257" s="386"/>
      <c r="C257" s="386"/>
      <c r="D257" s="386"/>
      <c r="E257" s="386"/>
      <c r="F257" s="386"/>
      <c r="G257" s="386"/>
      <c r="H257" s="386"/>
      <c r="I257" s="386"/>
      <c r="J257" s="386"/>
      <c r="K257" s="386"/>
      <c r="L257" s="386"/>
      <c r="M257" s="386"/>
      <c r="N257" s="386"/>
      <c r="O257" s="386"/>
      <c r="P257" s="386"/>
      <c r="Q257" s="386"/>
      <c r="R257" s="386"/>
      <c r="S257" s="386"/>
      <c r="T257" s="386"/>
      <c r="U257" s="386"/>
      <c r="V257" s="386"/>
      <c r="W257" s="386"/>
      <c r="X257" s="386"/>
      <c r="Y257" s="386"/>
      <c r="Z257" s="386"/>
      <c r="AA257" s="386"/>
      <c r="AB257" s="386"/>
      <c r="AC257" s="386"/>
      <c r="AD257" s="386"/>
      <c r="AE257" s="386"/>
      <c r="AF257" s="386"/>
      <c r="AG257" s="386"/>
      <c r="AH257" s="386"/>
      <c r="AI257" s="386"/>
      <c r="AJ257" s="386"/>
      <c r="AK257" s="386"/>
      <c r="AL257" s="386"/>
      <c r="AM257" s="386"/>
      <c r="AN257" s="386"/>
      <c r="AO257" s="386"/>
      <c r="AP257" s="386"/>
      <c r="AQ257" s="386"/>
      <c r="AR257" s="386"/>
      <c r="AS257" s="386"/>
      <c r="AT257" s="386"/>
      <c r="AU257" s="386"/>
      <c r="AV257" s="386"/>
      <c r="AW257" s="386"/>
      <c r="AX257" s="386"/>
      <c r="AY257" s="386"/>
      <c r="AZ257" s="386"/>
      <c r="BA257" s="386"/>
      <c r="BB257" s="386"/>
      <c r="BC257" s="386"/>
      <c r="BD257" s="386"/>
      <c r="BE257" s="386"/>
      <c r="BF257" s="386"/>
      <c r="BG257" s="386"/>
      <c r="BH257" s="386"/>
      <c r="BI257" s="386"/>
      <c r="BJ257" s="386"/>
      <c r="BK257" s="386"/>
      <c r="BL257" s="281"/>
      <c r="BM257" s="281"/>
      <c r="BN257" s="281"/>
    </row>
    <row r="258" spans="2:66" ht="15.75" x14ac:dyDescent="0.25">
      <c r="B258" s="386"/>
      <c r="C258" s="386"/>
      <c r="D258" s="386"/>
      <c r="E258" s="386"/>
      <c r="F258" s="386"/>
      <c r="G258" s="386"/>
      <c r="H258" s="386"/>
      <c r="I258" s="386"/>
      <c r="J258" s="386"/>
      <c r="K258" s="386"/>
      <c r="L258" s="386"/>
      <c r="M258" s="386"/>
      <c r="N258" s="386"/>
      <c r="O258" s="386"/>
      <c r="P258" s="386"/>
      <c r="Q258" s="386"/>
      <c r="R258" s="386"/>
      <c r="S258" s="386"/>
      <c r="T258" s="386"/>
      <c r="U258" s="386"/>
      <c r="V258" s="386"/>
      <c r="W258" s="386"/>
      <c r="X258" s="386"/>
      <c r="Y258" s="386"/>
      <c r="Z258" s="386"/>
      <c r="AA258" s="386"/>
      <c r="AB258" s="386"/>
      <c r="AC258" s="386"/>
      <c r="AD258" s="386"/>
      <c r="AE258" s="386"/>
      <c r="AF258" s="386"/>
      <c r="AG258" s="386"/>
      <c r="AH258" s="386"/>
      <c r="AI258" s="386"/>
      <c r="AJ258" s="386"/>
      <c r="AK258" s="386"/>
      <c r="AL258" s="386"/>
      <c r="AM258" s="386"/>
      <c r="AN258" s="386"/>
      <c r="AO258" s="386"/>
      <c r="AP258" s="386"/>
      <c r="AQ258" s="386"/>
      <c r="AR258" s="386"/>
      <c r="AS258" s="386"/>
      <c r="AT258" s="386"/>
      <c r="AU258" s="386"/>
      <c r="AV258" s="386"/>
      <c r="AW258" s="386"/>
      <c r="AX258" s="386"/>
      <c r="AY258" s="386"/>
      <c r="AZ258" s="386"/>
      <c r="BA258" s="386"/>
      <c r="BB258" s="386"/>
      <c r="BC258" s="386"/>
      <c r="BD258" s="386"/>
      <c r="BE258" s="386"/>
      <c r="BF258" s="386"/>
      <c r="BG258" s="386"/>
      <c r="BH258" s="386"/>
      <c r="BI258" s="386"/>
      <c r="BJ258" s="386"/>
      <c r="BK258" s="386"/>
      <c r="BL258" s="281"/>
      <c r="BM258" s="281"/>
      <c r="BN258" s="281"/>
    </row>
    <row r="259" spans="2:66" ht="15.75" x14ac:dyDescent="0.25">
      <c r="B259" s="386"/>
      <c r="C259" s="386"/>
      <c r="D259" s="386"/>
      <c r="E259" s="386"/>
      <c r="F259" s="386"/>
      <c r="G259" s="386"/>
      <c r="H259" s="386"/>
      <c r="I259" s="386"/>
      <c r="J259" s="386"/>
      <c r="K259" s="386"/>
      <c r="L259" s="386"/>
      <c r="M259" s="386"/>
      <c r="N259" s="386"/>
      <c r="O259" s="386"/>
      <c r="P259" s="386"/>
      <c r="Q259" s="386"/>
      <c r="R259" s="386"/>
      <c r="S259" s="386"/>
      <c r="T259" s="386"/>
      <c r="U259" s="386"/>
      <c r="V259" s="386"/>
      <c r="W259" s="386"/>
      <c r="X259" s="386"/>
      <c r="Y259" s="386"/>
      <c r="Z259" s="386"/>
      <c r="AA259" s="386"/>
      <c r="AB259" s="386"/>
      <c r="AC259" s="386"/>
      <c r="AD259" s="386"/>
      <c r="AE259" s="386"/>
      <c r="AF259" s="386"/>
      <c r="AG259" s="386"/>
      <c r="AH259" s="386"/>
      <c r="AI259" s="386"/>
      <c r="AJ259" s="386"/>
      <c r="AK259" s="386"/>
      <c r="AL259" s="386"/>
      <c r="AM259" s="386"/>
      <c r="AN259" s="386"/>
      <c r="AO259" s="386"/>
      <c r="AP259" s="386"/>
      <c r="AQ259" s="386"/>
      <c r="AR259" s="386"/>
      <c r="AS259" s="386"/>
      <c r="AT259" s="386"/>
      <c r="AU259" s="386"/>
      <c r="AV259" s="386"/>
      <c r="AW259" s="386"/>
      <c r="AX259" s="386"/>
      <c r="AY259" s="386"/>
      <c r="AZ259" s="386"/>
      <c r="BA259" s="386"/>
      <c r="BB259" s="386"/>
      <c r="BC259" s="386"/>
      <c r="BD259" s="386"/>
      <c r="BE259" s="386"/>
      <c r="BF259" s="386"/>
      <c r="BG259" s="386"/>
      <c r="BH259" s="386"/>
      <c r="BI259" s="386"/>
      <c r="BJ259" s="386"/>
      <c r="BK259" s="386"/>
      <c r="BL259" s="281"/>
      <c r="BM259" s="281"/>
      <c r="BN259" s="281"/>
    </row>
    <row r="260" spans="2:66" ht="15.75" x14ac:dyDescent="0.25">
      <c r="B260" s="386"/>
      <c r="C260" s="386"/>
      <c r="D260" s="386"/>
      <c r="E260" s="386"/>
      <c r="F260" s="386"/>
      <c r="G260" s="386"/>
      <c r="H260" s="386"/>
      <c r="I260" s="386"/>
      <c r="J260" s="386"/>
      <c r="K260" s="386"/>
      <c r="L260" s="386"/>
      <c r="M260" s="386"/>
      <c r="N260" s="386"/>
      <c r="O260" s="386"/>
      <c r="P260" s="386"/>
      <c r="Q260" s="386"/>
      <c r="R260" s="386"/>
      <c r="S260" s="386"/>
      <c r="T260" s="386"/>
      <c r="U260" s="386"/>
      <c r="V260" s="386"/>
      <c r="W260" s="386"/>
      <c r="X260" s="386"/>
      <c r="Y260" s="386"/>
      <c r="Z260" s="386"/>
      <c r="AA260" s="386"/>
      <c r="AB260" s="386"/>
      <c r="AC260" s="386"/>
      <c r="AD260" s="386"/>
      <c r="AE260" s="386"/>
      <c r="AF260" s="386"/>
      <c r="AG260" s="386"/>
      <c r="AH260" s="386"/>
      <c r="AI260" s="386"/>
      <c r="AJ260" s="386"/>
      <c r="AK260" s="386"/>
      <c r="AL260" s="386"/>
      <c r="AM260" s="386"/>
      <c r="AN260" s="386"/>
      <c r="AO260" s="386"/>
      <c r="AP260" s="386"/>
      <c r="AQ260" s="386"/>
      <c r="AR260" s="386"/>
      <c r="AS260" s="386"/>
      <c r="AT260" s="386"/>
      <c r="AU260" s="386"/>
      <c r="AV260" s="386"/>
      <c r="AW260" s="386"/>
      <c r="AX260" s="386"/>
      <c r="AY260" s="386"/>
      <c r="AZ260" s="386"/>
      <c r="BA260" s="386"/>
      <c r="BB260" s="386"/>
      <c r="BC260" s="386"/>
      <c r="BD260" s="386"/>
      <c r="BE260" s="386"/>
      <c r="BF260" s="386"/>
      <c r="BG260" s="386"/>
      <c r="BH260" s="386"/>
      <c r="BI260" s="386"/>
      <c r="BJ260" s="386"/>
      <c r="BK260" s="386"/>
      <c r="BL260" s="281"/>
      <c r="BM260" s="281"/>
      <c r="BN260" s="281"/>
    </row>
    <row r="261" spans="2:66" ht="15.75" x14ac:dyDescent="0.25">
      <c r="B261" s="386"/>
      <c r="C261" s="386"/>
      <c r="D261" s="386"/>
      <c r="E261" s="386"/>
      <c r="F261" s="386"/>
      <c r="G261" s="386"/>
      <c r="H261" s="386"/>
      <c r="I261" s="386"/>
      <c r="J261" s="386"/>
      <c r="K261" s="386"/>
      <c r="L261" s="386"/>
      <c r="M261" s="386"/>
      <c r="N261" s="386"/>
      <c r="O261" s="386"/>
      <c r="P261" s="386"/>
      <c r="Q261" s="386"/>
      <c r="R261" s="386"/>
      <c r="S261" s="386"/>
      <c r="T261" s="386"/>
      <c r="U261" s="386"/>
      <c r="V261" s="386"/>
      <c r="W261" s="386"/>
      <c r="X261" s="386"/>
      <c r="Y261" s="386"/>
      <c r="Z261" s="386"/>
      <c r="AA261" s="386"/>
      <c r="AB261" s="386"/>
      <c r="AC261" s="386"/>
      <c r="AD261" s="386"/>
      <c r="AE261" s="386"/>
      <c r="AF261" s="386"/>
      <c r="AG261" s="386"/>
      <c r="AH261" s="386"/>
      <c r="AI261" s="386"/>
      <c r="AJ261" s="386"/>
      <c r="AK261" s="386"/>
      <c r="AL261" s="386"/>
      <c r="AM261" s="386"/>
      <c r="AN261" s="386"/>
      <c r="AO261" s="386"/>
      <c r="AP261" s="386"/>
      <c r="AQ261" s="386"/>
      <c r="AR261" s="386"/>
      <c r="AS261" s="386"/>
      <c r="AT261" s="386"/>
      <c r="AU261" s="386"/>
      <c r="AV261" s="386"/>
      <c r="AW261" s="386"/>
      <c r="AX261" s="386"/>
      <c r="AY261" s="386"/>
      <c r="AZ261" s="386"/>
      <c r="BA261" s="386"/>
      <c r="BB261" s="386"/>
      <c r="BC261" s="386"/>
      <c r="BD261" s="386"/>
      <c r="BE261" s="386"/>
      <c r="BF261" s="386"/>
      <c r="BG261" s="386"/>
      <c r="BH261" s="386"/>
      <c r="BI261" s="386"/>
      <c r="BJ261" s="386"/>
      <c r="BK261" s="386"/>
      <c r="BL261" s="281"/>
      <c r="BM261" s="281"/>
      <c r="BN261" s="281"/>
    </row>
    <row r="262" spans="2:66" ht="15.75" x14ac:dyDescent="0.25">
      <c r="B262" s="386"/>
      <c r="C262" s="386"/>
      <c r="D262" s="386"/>
      <c r="E262" s="386"/>
      <c r="F262" s="386"/>
      <c r="G262" s="386"/>
      <c r="H262" s="386"/>
      <c r="I262" s="386"/>
      <c r="J262" s="386"/>
      <c r="K262" s="386"/>
      <c r="L262" s="386"/>
      <c r="M262" s="386"/>
      <c r="N262" s="386"/>
      <c r="O262" s="386"/>
      <c r="P262" s="386"/>
      <c r="Q262" s="386"/>
      <c r="R262" s="386"/>
      <c r="S262" s="386"/>
      <c r="T262" s="386"/>
      <c r="U262" s="386"/>
      <c r="V262" s="386"/>
      <c r="W262" s="386"/>
      <c r="X262" s="386"/>
      <c r="Y262" s="386"/>
      <c r="Z262" s="386"/>
      <c r="AA262" s="386"/>
      <c r="AB262" s="386"/>
      <c r="AC262" s="386"/>
      <c r="AD262" s="386"/>
      <c r="AE262" s="386"/>
      <c r="AF262" s="386"/>
      <c r="AG262" s="386"/>
      <c r="AH262" s="386"/>
      <c r="AI262" s="386"/>
      <c r="AJ262" s="386"/>
      <c r="AK262" s="386"/>
      <c r="AL262" s="386"/>
      <c r="AM262" s="386"/>
      <c r="AN262" s="386"/>
      <c r="AO262" s="386"/>
      <c r="AP262" s="386"/>
      <c r="AQ262" s="386"/>
      <c r="AR262" s="386"/>
      <c r="AS262" s="386"/>
      <c r="AT262" s="386"/>
      <c r="AU262" s="386"/>
      <c r="AV262" s="386"/>
      <c r="AW262" s="386"/>
      <c r="AX262" s="386"/>
      <c r="AY262" s="386"/>
      <c r="AZ262" s="386"/>
      <c r="BA262" s="386"/>
      <c r="BB262" s="386"/>
      <c r="BC262" s="386"/>
      <c r="BD262" s="386"/>
      <c r="BE262" s="386"/>
      <c r="BF262" s="386"/>
      <c r="BG262" s="386"/>
      <c r="BH262" s="386"/>
      <c r="BI262" s="386"/>
      <c r="BJ262" s="386"/>
      <c r="BK262" s="386"/>
      <c r="BL262" s="281"/>
      <c r="BM262" s="281"/>
      <c r="BN262" s="281"/>
    </row>
    <row r="263" spans="2:66" ht="15.75" x14ac:dyDescent="0.25">
      <c r="B263" s="386"/>
      <c r="C263" s="386"/>
      <c r="D263" s="386"/>
      <c r="E263" s="386"/>
      <c r="F263" s="386"/>
      <c r="G263" s="386"/>
      <c r="H263" s="386"/>
      <c r="I263" s="386"/>
      <c r="J263" s="386"/>
      <c r="K263" s="386"/>
      <c r="L263" s="386"/>
      <c r="M263" s="386"/>
      <c r="N263" s="386"/>
      <c r="O263" s="386"/>
      <c r="P263" s="386"/>
      <c r="Q263" s="386"/>
      <c r="R263" s="386"/>
      <c r="S263" s="386"/>
      <c r="T263" s="386"/>
      <c r="U263" s="386"/>
      <c r="V263" s="386"/>
      <c r="W263" s="386"/>
      <c r="X263" s="386"/>
      <c r="Y263" s="386"/>
      <c r="Z263" s="386"/>
      <c r="AA263" s="386"/>
      <c r="AB263" s="386"/>
      <c r="AC263" s="386"/>
      <c r="AD263" s="386"/>
      <c r="AE263" s="386"/>
      <c r="AF263" s="386"/>
      <c r="AG263" s="386"/>
      <c r="AH263" s="386"/>
      <c r="AI263" s="386"/>
      <c r="AJ263" s="386"/>
      <c r="AK263" s="386"/>
      <c r="AL263" s="386"/>
      <c r="AM263" s="386"/>
      <c r="AN263" s="386"/>
      <c r="AO263" s="386"/>
      <c r="AP263" s="386"/>
      <c r="AQ263" s="386"/>
      <c r="AR263" s="386"/>
      <c r="AS263" s="386"/>
      <c r="AT263" s="386"/>
      <c r="AU263" s="386"/>
      <c r="AV263" s="386"/>
      <c r="AW263" s="386"/>
      <c r="AX263" s="386"/>
      <c r="AY263" s="386"/>
      <c r="AZ263" s="386"/>
      <c r="BA263" s="386"/>
      <c r="BB263" s="386"/>
      <c r="BC263" s="386"/>
      <c r="BD263" s="386"/>
      <c r="BE263" s="386"/>
      <c r="BF263" s="386"/>
      <c r="BG263" s="386"/>
      <c r="BH263" s="386"/>
      <c r="BI263" s="386"/>
      <c r="BJ263" s="386"/>
      <c r="BK263" s="386"/>
      <c r="BL263" s="281"/>
      <c r="BM263" s="281"/>
      <c r="BN263" s="281"/>
    </row>
    <row r="264" spans="2:66" ht="15.75" x14ac:dyDescent="0.25">
      <c r="B264" s="386"/>
      <c r="C264" s="386"/>
      <c r="D264" s="386"/>
      <c r="E264" s="386"/>
      <c r="F264" s="386"/>
      <c r="G264" s="386"/>
      <c r="H264" s="386"/>
      <c r="I264" s="386"/>
      <c r="J264" s="386"/>
      <c r="K264" s="386"/>
      <c r="L264" s="386"/>
      <c r="M264" s="386"/>
      <c r="N264" s="386"/>
      <c r="O264" s="386"/>
      <c r="P264" s="386"/>
      <c r="Q264" s="386"/>
      <c r="R264" s="386"/>
      <c r="S264" s="386"/>
      <c r="T264" s="386"/>
      <c r="U264" s="386"/>
      <c r="V264" s="386"/>
      <c r="W264" s="386"/>
      <c r="X264" s="386"/>
      <c r="Y264" s="386"/>
      <c r="Z264" s="386"/>
      <c r="AA264" s="386"/>
      <c r="AB264" s="386"/>
      <c r="AC264" s="386"/>
      <c r="AD264" s="386"/>
      <c r="AE264" s="386"/>
      <c r="AF264" s="386"/>
      <c r="AG264" s="386"/>
      <c r="AH264" s="386"/>
      <c r="AI264" s="386"/>
      <c r="AJ264" s="386"/>
      <c r="AK264" s="386"/>
      <c r="AL264" s="386"/>
      <c r="AM264" s="386"/>
      <c r="AN264" s="386"/>
      <c r="AO264" s="386"/>
      <c r="AP264" s="386"/>
      <c r="AQ264" s="386"/>
      <c r="AR264" s="386"/>
      <c r="AS264" s="386"/>
      <c r="AT264" s="386"/>
      <c r="AU264" s="386"/>
      <c r="AV264" s="386"/>
      <c r="AW264" s="386"/>
      <c r="AX264" s="386"/>
      <c r="AY264" s="386"/>
      <c r="AZ264" s="386"/>
      <c r="BA264" s="386"/>
      <c r="BB264" s="386"/>
      <c r="BC264" s="386"/>
      <c r="BD264" s="386"/>
      <c r="BE264" s="386"/>
      <c r="BF264" s="386"/>
      <c r="BG264" s="386"/>
      <c r="BH264" s="386"/>
      <c r="BI264" s="386"/>
      <c r="BJ264" s="386"/>
      <c r="BK264" s="386"/>
      <c r="BL264" s="281"/>
      <c r="BM264" s="281"/>
      <c r="BN264" s="281"/>
    </row>
    <row r="265" spans="2:66" ht="15.75" x14ac:dyDescent="0.25">
      <c r="B265" s="386"/>
      <c r="C265" s="386"/>
      <c r="D265" s="386"/>
      <c r="E265" s="386"/>
      <c r="F265" s="386"/>
      <c r="G265" s="386"/>
      <c r="H265" s="386"/>
      <c r="I265" s="386"/>
      <c r="J265" s="386"/>
      <c r="K265" s="386"/>
      <c r="L265" s="386"/>
      <c r="M265" s="386"/>
      <c r="N265" s="386"/>
      <c r="O265" s="386"/>
      <c r="P265" s="386"/>
      <c r="Q265" s="386"/>
      <c r="R265" s="386"/>
      <c r="S265" s="386"/>
      <c r="T265" s="386"/>
      <c r="U265" s="386"/>
      <c r="V265" s="386"/>
      <c r="W265" s="386"/>
      <c r="X265" s="386"/>
      <c r="Y265" s="386"/>
      <c r="Z265" s="386"/>
      <c r="AA265" s="386"/>
      <c r="AB265" s="386"/>
      <c r="AC265" s="386"/>
      <c r="AD265" s="386"/>
      <c r="AE265" s="386"/>
      <c r="AF265" s="386"/>
      <c r="AG265" s="386"/>
      <c r="AH265" s="386"/>
      <c r="AI265" s="386"/>
      <c r="AJ265" s="386"/>
      <c r="AK265" s="386"/>
      <c r="AL265" s="386"/>
      <c r="AM265" s="386"/>
      <c r="AN265" s="386"/>
      <c r="AO265" s="386"/>
      <c r="AP265" s="386"/>
      <c r="AQ265" s="386"/>
      <c r="AR265" s="386"/>
      <c r="AS265" s="386"/>
      <c r="AT265" s="386"/>
      <c r="AU265" s="386"/>
      <c r="AV265" s="386"/>
      <c r="AW265" s="386"/>
      <c r="AX265" s="386"/>
      <c r="AY265" s="386"/>
      <c r="AZ265" s="386"/>
      <c r="BA265" s="386"/>
      <c r="BB265" s="386"/>
      <c r="BC265" s="386"/>
      <c r="BD265" s="386"/>
      <c r="BE265" s="386"/>
      <c r="BF265" s="386"/>
      <c r="BG265" s="386"/>
      <c r="BH265" s="386"/>
      <c r="BI265" s="386"/>
      <c r="BJ265" s="386"/>
      <c r="BK265" s="386"/>
      <c r="BL265" s="281"/>
      <c r="BM265" s="281"/>
      <c r="BN265" s="281"/>
    </row>
    <row r="266" spans="2:66" ht="15.75" x14ac:dyDescent="0.25">
      <c r="B266" s="386"/>
      <c r="C266" s="386"/>
      <c r="D266" s="386"/>
      <c r="E266" s="386"/>
      <c r="F266" s="386"/>
      <c r="G266" s="386"/>
      <c r="H266" s="386"/>
      <c r="I266" s="386"/>
      <c r="J266" s="386"/>
      <c r="K266" s="386"/>
      <c r="L266" s="386"/>
      <c r="M266" s="386"/>
      <c r="N266" s="386"/>
      <c r="O266" s="386"/>
      <c r="P266" s="386"/>
      <c r="Q266" s="386"/>
      <c r="R266" s="386"/>
      <c r="S266" s="386"/>
      <c r="T266" s="386"/>
      <c r="U266" s="386"/>
      <c r="V266" s="386"/>
      <c r="W266" s="386"/>
      <c r="X266" s="386"/>
      <c r="Y266" s="386"/>
      <c r="Z266" s="386"/>
      <c r="AA266" s="386"/>
      <c r="AB266" s="386"/>
      <c r="AC266" s="386"/>
      <c r="AD266" s="386"/>
      <c r="AE266" s="386"/>
      <c r="AF266" s="386"/>
      <c r="AG266" s="386"/>
      <c r="AH266" s="386"/>
      <c r="AI266" s="386"/>
      <c r="AJ266" s="386"/>
      <c r="AK266" s="386"/>
      <c r="AL266" s="386"/>
      <c r="AM266" s="386"/>
      <c r="AN266" s="386"/>
      <c r="AO266" s="386"/>
      <c r="AP266" s="386"/>
      <c r="AQ266" s="386"/>
      <c r="AR266" s="386"/>
      <c r="AS266" s="386"/>
      <c r="AT266" s="386"/>
      <c r="AU266" s="386"/>
      <c r="AV266" s="386"/>
      <c r="AW266" s="386"/>
      <c r="AX266" s="386"/>
      <c r="AY266" s="386"/>
      <c r="AZ266" s="386"/>
      <c r="BA266" s="386"/>
      <c r="BB266" s="386"/>
      <c r="BC266" s="386"/>
      <c r="BD266" s="386"/>
      <c r="BE266" s="386"/>
      <c r="BF266" s="386"/>
      <c r="BG266" s="386"/>
      <c r="BH266" s="386"/>
      <c r="BI266" s="386"/>
      <c r="BJ266" s="386"/>
      <c r="BK266" s="386"/>
      <c r="BL266" s="281"/>
      <c r="BM266" s="281"/>
      <c r="BN266" s="281"/>
    </row>
    <row r="267" spans="2:66" ht="15.75" x14ac:dyDescent="0.25">
      <c r="B267" s="386"/>
      <c r="C267" s="386"/>
      <c r="D267" s="386"/>
      <c r="E267" s="386"/>
      <c r="F267" s="386"/>
      <c r="G267" s="386"/>
      <c r="H267" s="386"/>
      <c r="I267" s="386"/>
      <c r="J267" s="386"/>
      <c r="K267" s="386"/>
      <c r="L267" s="386"/>
      <c r="M267" s="386"/>
      <c r="N267" s="386"/>
      <c r="O267" s="386"/>
      <c r="P267" s="386"/>
      <c r="Q267" s="386"/>
      <c r="R267" s="386"/>
      <c r="S267" s="386"/>
      <c r="T267" s="386"/>
      <c r="U267" s="386"/>
      <c r="V267" s="386"/>
      <c r="W267" s="386"/>
      <c r="X267" s="386"/>
      <c r="Y267" s="386"/>
      <c r="Z267" s="386"/>
      <c r="AA267" s="386"/>
      <c r="AB267" s="386"/>
      <c r="AC267" s="386"/>
      <c r="AD267" s="386"/>
      <c r="AE267" s="386"/>
      <c r="AF267" s="386"/>
      <c r="AG267" s="386"/>
      <c r="AH267" s="386"/>
      <c r="AI267" s="386"/>
      <c r="AJ267" s="386"/>
      <c r="AK267" s="386"/>
      <c r="AL267" s="386"/>
      <c r="AM267" s="386"/>
      <c r="AN267" s="386"/>
      <c r="AO267" s="386"/>
      <c r="AP267" s="386"/>
      <c r="AQ267" s="386"/>
      <c r="AR267" s="386"/>
      <c r="AS267" s="386"/>
      <c r="AT267" s="386"/>
      <c r="AU267" s="386"/>
      <c r="AV267" s="386"/>
      <c r="AW267" s="386"/>
      <c r="AX267" s="386"/>
      <c r="AY267" s="386"/>
      <c r="AZ267" s="386"/>
      <c r="BA267" s="386"/>
      <c r="BB267" s="386"/>
      <c r="BC267" s="386"/>
      <c r="BD267" s="386"/>
      <c r="BE267" s="386"/>
      <c r="BF267" s="386"/>
      <c r="BG267" s="386"/>
      <c r="BH267" s="386"/>
      <c r="BI267" s="386"/>
      <c r="BJ267" s="386"/>
      <c r="BK267" s="386"/>
      <c r="BL267" s="281"/>
      <c r="BM267" s="281"/>
      <c r="BN267" s="281"/>
    </row>
    <row r="268" spans="2:66" ht="15.75" x14ac:dyDescent="0.25">
      <c r="B268" s="386"/>
      <c r="C268" s="386"/>
      <c r="D268" s="386"/>
      <c r="E268" s="386"/>
      <c r="F268" s="386"/>
      <c r="G268" s="386"/>
      <c r="H268" s="386"/>
      <c r="I268" s="386"/>
      <c r="J268" s="386"/>
      <c r="K268" s="386"/>
      <c r="L268" s="386"/>
      <c r="M268" s="386"/>
      <c r="N268" s="386"/>
      <c r="O268" s="386"/>
      <c r="P268" s="386"/>
      <c r="Q268" s="386"/>
      <c r="R268" s="386"/>
      <c r="S268" s="386"/>
      <c r="T268" s="386"/>
      <c r="U268" s="386"/>
      <c r="V268" s="386"/>
      <c r="W268" s="386"/>
      <c r="X268" s="386"/>
      <c r="Y268" s="386"/>
      <c r="Z268" s="386"/>
      <c r="AA268" s="386"/>
      <c r="AB268" s="386"/>
      <c r="AC268" s="386"/>
      <c r="AD268" s="386"/>
      <c r="AE268" s="386"/>
      <c r="AF268" s="386"/>
      <c r="AG268" s="386"/>
      <c r="AH268" s="386"/>
      <c r="AI268" s="386"/>
      <c r="AJ268" s="386"/>
      <c r="AK268" s="386"/>
      <c r="AL268" s="386"/>
      <c r="AM268" s="386"/>
      <c r="AN268" s="386"/>
      <c r="AO268" s="386"/>
      <c r="AP268" s="386"/>
      <c r="AQ268" s="386"/>
      <c r="AR268" s="386"/>
      <c r="AS268" s="386"/>
      <c r="AT268" s="386"/>
      <c r="AU268" s="386"/>
      <c r="AV268" s="386"/>
      <c r="AW268" s="386"/>
      <c r="AX268" s="386"/>
      <c r="AY268" s="386"/>
      <c r="AZ268" s="386"/>
      <c r="BA268" s="386"/>
      <c r="BB268" s="386"/>
      <c r="BC268" s="386"/>
      <c r="BD268" s="386"/>
      <c r="BE268" s="386"/>
      <c r="BF268" s="386"/>
      <c r="BG268" s="386"/>
      <c r="BH268" s="386"/>
      <c r="BI268" s="386"/>
      <c r="BJ268" s="386"/>
      <c r="BK268" s="386"/>
      <c r="BL268" s="281"/>
      <c r="BM268" s="281"/>
      <c r="BN268" s="281"/>
    </row>
    <row r="269" spans="2:66" ht="15.75" x14ac:dyDescent="0.25">
      <c r="B269" s="386"/>
      <c r="C269" s="386"/>
      <c r="D269" s="386"/>
      <c r="E269" s="386"/>
      <c r="F269" s="386"/>
      <c r="G269" s="386"/>
      <c r="H269" s="386"/>
      <c r="I269" s="386"/>
      <c r="J269" s="386"/>
      <c r="K269" s="386"/>
      <c r="L269" s="386"/>
      <c r="M269" s="386"/>
      <c r="N269" s="386"/>
      <c r="O269" s="386"/>
      <c r="P269" s="386"/>
      <c r="Q269" s="386"/>
      <c r="R269" s="386"/>
      <c r="S269" s="386"/>
      <c r="T269" s="386"/>
      <c r="U269" s="386"/>
      <c r="V269" s="386"/>
      <c r="W269" s="386"/>
      <c r="X269" s="386"/>
      <c r="Y269" s="386"/>
      <c r="Z269" s="386"/>
      <c r="AA269" s="386"/>
      <c r="AB269" s="386"/>
      <c r="AC269" s="386"/>
      <c r="AD269" s="386"/>
      <c r="AE269" s="386"/>
      <c r="AF269" s="386"/>
      <c r="AG269" s="386"/>
      <c r="AH269" s="386"/>
      <c r="AI269" s="386"/>
      <c r="AJ269" s="386"/>
      <c r="AK269" s="386"/>
      <c r="AL269" s="386"/>
      <c r="AM269" s="386"/>
      <c r="AN269" s="386"/>
      <c r="AO269" s="386"/>
      <c r="AP269" s="386"/>
      <c r="AQ269" s="386"/>
      <c r="AR269" s="386"/>
      <c r="AS269" s="386"/>
      <c r="AT269" s="386"/>
      <c r="AU269" s="386"/>
      <c r="AV269" s="386"/>
      <c r="AW269" s="386"/>
      <c r="AX269" s="386"/>
      <c r="AY269" s="386"/>
      <c r="AZ269" s="386"/>
      <c r="BA269" s="386"/>
      <c r="BB269" s="386"/>
      <c r="BC269" s="386"/>
      <c r="BD269" s="386"/>
      <c r="BE269" s="386"/>
      <c r="BF269" s="386"/>
      <c r="BG269" s="386"/>
      <c r="BH269" s="386"/>
      <c r="BI269" s="386"/>
      <c r="BJ269" s="386"/>
      <c r="BK269" s="386"/>
      <c r="BL269" s="281"/>
      <c r="BM269" s="281"/>
      <c r="BN269" s="281"/>
    </row>
    <row r="270" spans="2:66" ht="15.75" x14ac:dyDescent="0.25">
      <c r="B270" s="386"/>
      <c r="C270" s="386"/>
      <c r="D270" s="386"/>
      <c r="E270" s="386"/>
      <c r="F270" s="386"/>
      <c r="G270" s="386"/>
      <c r="H270" s="386"/>
      <c r="I270" s="386"/>
      <c r="J270" s="386"/>
      <c r="K270" s="386"/>
      <c r="L270" s="386"/>
      <c r="M270" s="386"/>
      <c r="N270" s="386"/>
      <c r="O270" s="386"/>
      <c r="P270" s="386"/>
      <c r="Q270" s="386"/>
      <c r="R270" s="386"/>
      <c r="S270" s="386"/>
      <c r="T270" s="386"/>
      <c r="U270" s="386"/>
      <c r="V270" s="386"/>
      <c r="W270" s="386"/>
      <c r="X270" s="386"/>
      <c r="Y270" s="386"/>
      <c r="Z270" s="386"/>
      <c r="AA270" s="386"/>
      <c r="AB270" s="386"/>
      <c r="AC270" s="386"/>
      <c r="AD270" s="386"/>
      <c r="AE270" s="386"/>
      <c r="AF270" s="386"/>
      <c r="AG270" s="386"/>
      <c r="AH270" s="386"/>
      <c r="AI270" s="386"/>
      <c r="AJ270" s="386"/>
      <c r="AK270" s="386"/>
      <c r="AL270" s="386"/>
      <c r="AM270" s="386"/>
      <c r="AN270" s="386"/>
      <c r="AO270" s="386"/>
      <c r="AP270" s="386"/>
      <c r="AQ270" s="386"/>
      <c r="AR270" s="386"/>
      <c r="AS270" s="386"/>
      <c r="AT270" s="386"/>
      <c r="AU270" s="386"/>
      <c r="AV270" s="386"/>
      <c r="AW270" s="386"/>
      <c r="AX270" s="386"/>
      <c r="AY270" s="386"/>
      <c r="AZ270" s="386"/>
      <c r="BA270" s="386"/>
      <c r="BB270" s="386"/>
      <c r="BC270" s="386"/>
      <c r="BD270" s="386"/>
      <c r="BE270" s="386"/>
      <c r="BF270" s="386"/>
      <c r="BG270" s="386"/>
      <c r="BH270" s="386"/>
      <c r="BI270" s="386"/>
      <c r="BJ270" s="386"/>
      <c r="BK270" s="386"/>
      <c r="BL270" s="281"/>
      <c r="BM270" s="281"/>
      <c r="BN270" s="281"/>
    </row>
    <row r="271" spans="2:66" ht="15.75" x14ac:dyDescent="0.25">
      <c r="B271" s="386"/>
      <c r="C271" s="386"/>
      <c r="D271" s="386"/>
      <c r="E271" s="386"/>
      <c r="F271" s="386"/>
      <c r="G271" s="386"/>
      <c r="H271" s="386"/>
      <c r="I271" s="386"/>
      <c r="J271" s="386"/>
      <c r="K271" s="386"/>
      <c r="L271" s="386"/>
      <c r="M271" s="386"/>
      <c r="N271" s="386"/>
      <c r="O271" s="386"/>
      <c r="P271" s="386"/>
      <c r="Q271" s="386"/>
      <c r="R271" s="386"/>
      <c r="S271" s="386"/>
      <c r="T271" s="386"/>
      <c r="U271" s="386"/>
      <c r="V271" s="386"/>
      <c r="W271" s="386"/>
      <c r="X271" s="386"/>
      <c r="Y271" s="386"/>
      <c r="Z271" s="386"/>
      <c r="AA271" s="386"/>
      <c r="AB271" s="386"/>
      <c r="AC271" s="386"/>
      <c r="AD271" s="386"/>
      <c r="AE271" s="386"/>
      <c r="AF271" s="386"/>
      <c r="AG271" s="386"/>
      <c r="AH271" s="386"/>
      <c r="AI271" s="386"/>
      <c r="AJ271" s="386"/>
      <c r="AK271" s="386"/>
      <c r="AL271" s="386"/>
      <c r="AM271" s="386"/>
      <c r="AN271" s="386"/>
      <c r="AO271" s="386"/>
      <c r="AP271" s="386"/>
      <c r="AQ271" s="386"/>
      <c r="AR271" s="386"/>
      <c r="AS271" s="386"/>
      <c r="AT271" s="386"/>
      <c r="AU271" s="386"/>
      <c r="AV271" s="386"/>
      <c r="AW271" s="386"/>
      <c r="AX271" s="386"/>
      <c r="AY271" s="386"/>
      <c r="AZ271" s="386"/>
      <c r="BA271" s="386"/>
      <c r="BB271" s="386"/>
      <c r="BC271" s="386"/>
      <c r="BD271" s="386"/>
      <c r="BE271" s="386"/>
      <c r="BF271" s="386"/>
      <c r="BG271" s="386"/>
      <c r="BH271" s="386"/>
      <c r="BI271" s="386"/>
      <c r="BJ271" s="386"/>
      <c r="BK271" s="386"/>
      <c r="BL271" s="281"/>
      <c r="BM271" s="281"/>
      <c r="BN271" s="281"/>
    </row>
    <row r="272" spans="2:66" ht="15.75" x14ac:dyDescent="0.25">
      <c r="B272" s="386"/>
      <c r="C272" s="386"/>
      <c r="D272" s="386"/>
      <c r="E272" s="386"/>
      <c r="F272" s="386"/>
      <c r="G272" s="386"/>
      <c r="H272" s="386"/>
      <c r="I272" s="386"/>
      <c r="J272" s="386"/>
      <c r="K272" s="386"/>
      <c r="L272" s="386"/>
      <c r="M272" s="386"/>
      <c r="N272" s="386"/>
      <c r="O272" s="386"/>
      <c r="P272" s="386"/>
      <c r="Q272" s="386"/>
      <c r="R272" s="386"/>
      <c r="S272" s="386"/>
      <c r="T272" s="386"/>
      <c r="U272" s="386"/>
      <c r="V272" s="386"/>
      <c r="W272" s="386"/>
      <c r="X272" s="386"/>
      <c r="Y272" s="386"/>
      <c r="Z272" s="386"/>
      <c r="AA272" s="386"/>
      <c r="AB272" s="386"/>
      <c r="AC272" s="386"/>
      <c r="AD272" s="386"/>
      <c r="AE272" s="386"/>
      <c r="AF272" s="386"/>
      <c r="AG272" s="386"/>
      <c r="AH272" s="386"/>
      <c r="AI272" s="386"/>
      <c r="AJ272" s="386"/>
      <c r="AK272" s="386"/>
      <c r="AL272" s="386"/>
      <c r="AM272" s="386"/>
      <c r="AN272" s="386"/>
      <c r="AO272" s="386"/>
      <c r="AP272" s="386"/>
      <c r="AQ272" s="386"/>
      <c r="AR272" s="386"/>
      <c r="AS272" s="386"/>
      <c r="AT272" s="386"/>
      <c r="AU272" s="386"/>
      <c r="AV272" s="386"/>
      <c r="AW272" s="386"/>
      <c r="AX272" s="386"/>
      <c r="AY272" s="386"/>
      <c r="AZ272" s="386"/>
      <c r="BA272" s="386"/>
      <c r="BB272" s="386"/>
      <c r="BC272" s="386"/>
      <c r="BD272" s="386"/>
      <c r="BE272" s="386"/>
      <c r="BF272" s="386"/>
      <c r="BG272" s="386"/>
      <c r="BH272" s="386"/>
      <c r="BI272" s="386"/>
      <c r="BJ272" s="386"/>
      <c r="BK272" s="386"/>
      <c r="BL272" s="281"/>
      <c r="BM272" s="281"/>
      <c r="BN272" s="281"/>
    </row>
    <row r="273" spans="2:66" ht="15.75" x14ac:dyDescent="0.25">
      <c r="B273" s="386"/>
      <c r="C273" s="386"/>
      <c r="D273" s="386"/>
      <c r="E273" s="386"/>
      <c r="F273" s="386"/>
      <c r="G273" s="386"/>
      <c r="H273" s="386"/>
      <c r="I273" s="386"/>
      <c r="J273" s="386"/>
      <c r="K273" s="386"/>
      <c r="L273" s="386"/>
      <c r="M273" s="386"/>
      <c r="N273" s="386"/>
      <c r="O273" s="386"/>
      <c r="P273" s="386"/>
      <c r="Q273" s="386"/>
      <c r="R273" s="386"/>
      <c r="S273" s="386"/>
      <c r="T273" s="386"/>
      <c r="U273" s="386"/>
      <c r="V273" s="386"/>
      <c r="W273" s="386"/>
      <c r="X273" s="386"/>
      <c r="Y273" s="386"/>
      <c r="Z273" s="386"/>
      <c r="AA273" s="386"/>
      <c r="AB273" s="386"/>
      <c r="AC273" s="386"/>
      <c r="AD273" s="386"/>
      <c r="AE273" s="386"/>
      <c r="AF273" s="386"/>
      <c r="AG273" s="386"/>
      <c r="AH273" s="386"/>
      <c r="AI273" s="386"/>
      <c r="AJ273" s="386"/>
      <c r="AK273" s="386"/>
      <c r="AL273" s="386"/>
      <c r="AM273" s="386"/>
      <c r="AN273" s="386"/>
      <c r="AO273" s="386"/>
      <c r="AP273" s="386"/>
      <c r="AQ273" s="386"/>
      <c r="AR273" s="386"/>
      <c r="AS273" s="386"/>
      <c r="AT273" s="386"/>
      <c r="AU273" s="386"/>
      <c r="AV273" s="386"/>
      <c r="AW273" s="386"/>
      <c r="AX273" s="386"/>
      <c r="AY273" s="386"/>
      <c r="AZ273" s="386"/>
      <c r="BA273" s="386"/>
      <c r="BB273" s="386"/>
      <c r="BC273" s="386"/>
      <c r="BD273" s="386"/>
      <c r="BE273" s="386"/>
      <c r="BF273" s="386"/>
      <c r="BG273" s="386"/>
      <c r="BH273" s="386"/>
      <c r="BI273" s="386"/>
      <c r="BJ273" s="386"/>
      <c r="BK273" s="386"/>
      <c r="BL273" s="281"/>
      <c r="BM273" s="281"/>
      <c r="BN273" s="281"/>
    </row>
    <row r="274" spans="2:66" ht="15.75" x14ac:dyDescent="0.25">
      <c r="B274" s="386"/>
      <c r="C274" s="386"/>
      <c r="D274" s="386"/>
      <c r="E274" s="386"/>
      <c r="F274" s="386"/>
      <c r="G274" s="386"/>
      <c r="H274" s="386"/>
      <c r="I274" s="386"/>
      <c r="J274" s="386"/>
      <c r="K274" s="386"/>
      <c r="L274" s="386"/>
      <c r="M274" s="386"/>
      <c r="N274" s="386"/>
      <c r="O274" s="386"/>
      <c r="P274" s="386"/>
      <c r="Q274" s="386"/>
      <c r="R274" s="386"/>
      <c r="S274" s="386"/>
      <c r="T274" s="386"/>
      <c r="U274" s="386"/>
      <c r="V274" s="386"/>
      <c r="W274" s="386"/>
      <c r="X274" s="386"/>
      <c r="Y274" s="386"/>
      <c r="Z274" s="386"/>
      <c r="AA274" s="386"/>
      <c r="AB274" s="386"/>
      <c r="AC274" s="386"/>
      <c r="AD274" s="386"/>
      <c r="AE274" s="386"/>
      <c r="AF274" s="386"/>
      <c r="AG274" s="386"/>
      <c r="AH274" s="386"/>
      <c r="AI274" s="386"/>
      <c r="AJ274" s="386"/>
      <c r="AK274" s="386"/>
      <c r="AL274" s="386"/>
      <c r="AM274" s="386"/>
      <c r="AN274" s="386"/>
      <c r="AO274" s="386"/>
      <c r="AP274" s="386"/>
      <c r="AQ274" s="386"/>
      <c r="AR274" s="386"/>
      <c r="AS274" s="386"/>
      <c r="AT274" s="386"/>
      <c r="AU274" s="386"/>
      <c r="AV274" s="386"/>
      <c r="AW274" s="386"/>
      <c r="AX274" s="386"/>
      <c r="AY274" s="386"/>
      <c r="AZ274" s="386"/>
      <c r="BA274" s="386"/>
      <c r="BB274" s="386"/>
      <c r="BC274" s="386"/>
      <c r="BD274" s="386"/>
      <c r="BE274" s="386"/>
      <c r="BF274" s="386"/>
      <c r="BG274" s="386"/>
      <c r="BH274" s="386"/>
      <c r="BI274" s="386"/>
      <c r="BJ274" s="386"/>
      <c r="BK274" s="386"/>
      <c r="BL274" s="281"/>
      <c r="BM274" s="281"/>
      <c r="BN274" s="281"/>
    </row>
    <row r="275" spans="2:66" ht="15.75" x14ac:dyDescent="0.25">
      <c r="B275" s="386"/>
      <c r="C275" s="386"/>
      <c r="D275" s="386"/>
      <c r="E275" s="386"/>
      <c r="F275" s="386"/>
      <c r="G275" s="386"/>
      <c r="H275" s="386"/>
      <c r="I275" s="386"/>
      <c r="J275" s="386"/>
      <c r="K275" s="386"/>
      <c r="L275" s="386"/>
      <c r="M275" s="386"/>
      <c r="N275" s="386"/>
      <c r="O275" s="386"/>
      <c r="P275" s="386"/>
      <c r="Q275" s="386"/>
      <c r="R275" s="386"/>
      <c r="S275" s="386"/>
      <c r="T275" s="386"/>
      <c r="U275" s="386"/>
      <c r="V275" s="386"/>
      <c r="W275" s="386"/>
      <c r="X275" s="386"/>
      <c r="Y275" s="386"/>
      <c r="Z275" s="386"/>
      <c r="AA275" s="386"/>
      <c r="AB275" s="386"/>
      <c r="AC275" s="386"/>
      <c r="AD275" s="386"/>
      <c r="AE275" s="386"/>
      <c r="AF275" s="386"/>
      <c r="AG275" s="386"/>
      <c r="AH275" s="386"/>
      <c r="AI275" s="386"/>
      <c r="AJ275" s="386"/>
      <c r="AK275" s="386"/>
      <c r="AL275" s="386"/>
      <c r="AM275" s="386"/>
      <c r="AN275" s="386"/>
      <c r="AO275" s="386"/>
      <c r="AP275" s="386"/>
      <c r="AQ275" s="386"/>
      <c r="AR275" s="386"/>
      <c r="AS275" s="386"/>
      <c r="AT275" s="386"/>
      <c r="AU275" s="386"/>
      <c r="AV275" s="386"/>
      <c r="AW275" s="386"/>
      <c r="AX275" s="386"/>
      <c r="AY275" s="386"/>
      <c r="AZ275" s="386"/>
      <c r="BA275" s="386"/>
      <c r="BB275" s="386"/>
      <c r="BC275" s="386"/>
      <c r="BD275" s="386"/>
      <c r="BE275" s="386"/>
      <c r="BF275" s="386"/>
      <c r="BG275" s="386"/>
      <c r="BH275" s="386"/>
      <c r="BI275" s="386"/>
      <c r="BJ275" s="386"/>
      <c r="BK275" s="386"/>
      <c r="BL275" s="281"/>
      <c r="BM275" s="281"/>
      <c r="BN275" s="281"/>
    </row>
    <row r="276" spans="2:66" ht="15.75" x14ac:dyDescent="0.25">
      <c r="B276" s="386"/>
      <c r="C276" s="386"/>
      <c r="D276" s="386"/>
      <c r="E276" s="386"/>
      <c r="F276" s="386"/>
      <c r="G276" s="386"/>
      <c r="H276" s="386"/>
      <c r="I276" s="386"/>
      <c r="J276" s="386"/>
      <c r="K276" s="386"/>
      <c r="L276" s="386"/>
      <c r="M276" s="386"/>
      <c r="N276" s="386"/>
      <c r="O276" s="386"/>
      <c r="P276" s="386"/>
      <c r="Q276" s="386"/>
      <c r="R276" s="386"/>
      <c r="S276" s="386"/>
      <c r="T276" s="386"/>
      <c r="U276" s="386"/>
      <c r="V276" s="386"/>
      <c r="W276" s="386"/>
      <c r="X276" s="386"/>
      <c r="Y276" s="386"/>
      <c r="Z276" s="386"/>
      <c r="AA276" s="386"/>
      <c r="AB276" s="386"/>
      <c r="AC276" s="386"/>
      <c r="AD276" s="386"/>
      <c r="AE276" s="386"/>
      <c r="AF276" s="386"/>
      <c r="AG276" s="386"/>
      <c r="AH276" s="386"/>
      <c r="AI276" s="386"/>
      <c r="AJ276" s="386"/>
      <c r="AK276" s="386"/>
      <c r="AL276" s="386"/>
      <c r="AM276" s="386"/>
      <c r="AN276" s="386"/>
      <c r="AO276" s="386"/>
      <c r="AP276" s="386"/>
      <c r="AQ276" s="386"/>
      <c r="AR276" s="386"/>
      <c r="AS276" s="386"/>
      <c r="AT276" s="386"/>
      <c r="AU276" s="386"/>
      <c r="AV276" s="386"/>
      <c r="AW276" s="386"/>
      <c r="AX276" s="386"/>
      <c r="AY276" s="386"/>
      <c r="AZ276" s="386"/>
      <c r="BA276" s="386"/>
      <c r="BB276" s="386"/>
      <c r="BC276" s="386"/>
      <c r="BD276" s="386"/>
      <c r="BE276" s="386"/>
      <c r="BF276" s="386"/>
      <c r="BG276" s="386"/>
      <c r="BH276" s="386"/>
      <c r="BI276" s="386"/>
      <c r="BJ276" s="386"/>
      <c r="BK276" s="386"/>
      <c r="BL276" s="281"/>
      <c r="BM276" s="281"/>
      <c r="BN276" s="281"/>
    </row>
    <row r="277" spans="2:66" ht="15.75" x14ac:dyDescent="0.25">
      <c r="B277" s="386"/>
      <c r="C277" s="386"/>
      <c r="D277" s="386"/>
      <c r="E277" s="386"/>
      <c r="F277" s="386"/>
      <c r="G277" s="386"/>
      <c r="H277" s="386"/>
      <c r="I277" s="386"/>
      <c r="J277" s="386"/>
      <c r="K277" s="386"/>
      <c r="L277" s="386"/>
      <c r="M277" s="386"/>
      <c r="N277" s="386"/>
      <c r="O277" s="386"/>
      <c r="P277" s="386"/>
      <c r="Q277" s="386"/>
      <c r="R277" s="386"/>
      <c r="S277" s="386"/>
      <c r="T277" s="386"/>
      <c r="U277" s="386"/>
      <c r="V277" s="386"/>
      <c r="W277" s="386"/>
      <c r="X277" s="386"/>
      <c r="Y277" s="386"/>
      <c r="Z277" s="386"/>
      <c r="AA277" s="386"/>
      <c r="AB277" s="386"/>
      <c r="AC277" s="386"/>
      <c r="AD277" s="386"/>
      <c r="AE277" s="386"/>
      <c r="AF277" s="386"/>
      <c r="AG277" s="386"/>
      <c r="AH277" s="386"/>
      <c r="AI277" s="386"/>
      <c r="AJ277" s="386"/>
      <c r="AK277" s="386"/>
      <c r="AL277" s="386"/>
      <c r="AM277" s="386"/>
      <c r="AN277" s="386"/>
      <c r="AO277" s="386"/>
      <c r="AP277" s="386"/>
      <c r="AQ277" s="386"/>
      <c r="AR277" s="386"/>
      <c r="AS277" s="386"/>
      <c r="AT277" s="386"/>
      <c r="AU277" s="386"/>
      <c r="AV277" s="386"/>
      <c r="AW277" s="386"/>
      <c r="AX277" s="386"/>
      <c r="AY277" s="386"/>
      <c r="AZ277" s="386"/>
      <c r="BA277" s="386"/>
      <c r="BB277" s="386"/>
      <c r="BC277" s="386"/>
      <c r="BD277" s="386"/>
      <c r="BE277" s="386"/>
      <c r="BF277" s="386"/>
      <c r="BG277" s="386"/>
      <c r="BH277" s="386"/>
      <c r="BI277" s="386"/>
      <c r="BJ277" s="386"/>
      <c r="BK277" s="386"/>
      <c r="BL277" s="281"/>
      <c r="BM277" s="281"/>
      <c r="BN277" s="281"/>
    </row>
    <row r="278" spans="2:66" ht="15.75" x14ac:dyDescent="0.25">
      <c r="B278" s="386"/>
      <c r="C278" s="386"/>
      <c r="D278" s="386"/>
      <c r="E278" s="386"/>
      <c r="F278" s="386"/>
      <c r="G278" s="386"/>
      <c r="H278" s="386"/>
      <c r="I278" s="386"/>
      <c r="J278" s="386"/>
      <c r="K278" s="386"/>
      <c r="L278" s="386"/>
      <c r="M278" s="386"/>
      <c r="N278" s="386"/>
      <c r="O278" s="386"/>
      <c r="P278" s="386"/>
      <c r="Q278" s="386"/>
      <c r="R278" s="386"/>
      <c r="S278" s="386"/>
      <c r="T278" s="386"/>
      <c r="U278" s="386"/>
      <c r="V278" s="386"/>
      <c r="W278" s="386"/>
      <c r="X278" s="386"/>
      <c r="Y278" s="386"/>
      <c r="Z278" s="386"/>
      <c r="AA278" s="386"/>
      <c r="AB278" s="386"/>
      <c r="AC278" s="386"/>
      <c r="AD278" s="386"/>
      <c r="AE278" s="386"/>
      <c r="AF278" s="386"/>
      <c r="AG278" s="386"/>
      <c r="AH278" s="386"/>
      <c r="AI278" s="386"/>
      <c r="AJ278" s="386"/>
      <c r="AK278" s="386"/>
      <c r="AL278" s="386"/>
      <c r="AM278" s="386"/>
      <c r="AN278" s="386"/>
      <c r="AO278" s="386"/>
      <c r="AP278" s="386"/>
      <c r="AQ278" s="386"/>
      <c r="AR278" s="386"/>
      <c r="AS278" s="386"/>
      <c r="AT278" s="386"/>
      <c r="AU278" s="386"/>
      <c r="AV278" s="386"/>
      <c r="AW278" s="386"/>
      <c r="AX278" s="386"/>
      <c r="AY278" s="386"/>
      <c r="AZ278" s="386"/>
      <c r="BA278" s="386"/>
      <c r="BB278" s="386"/>
      <c r="BC278" s="386"/>
      <c r="BD278" s="386"/>
      <c r="BE278" s="386"/>
      <c r="BF278" s="386"/>
      <c r="BG278" s="386"/>
      <c r="BH278" s="386"/>
      <c r="BI278" s="386"/>
      <c r="BJ278" s="386"/>
      <c r="BK278" s="386"/>
      <c r="BL278" s="281"/>
      <c r="BM278" s="281"/>
      <c r="BN278" s="281"/>
    </row>
    <row r="279" spans="2:66" ht="15.75" x14ac:dyDescent="0.25">
      <c r="B279" s="386"/>
      <c r="C279" s="386"/>
      <c r="D279" s="386"/>
      <c r="E279" s="386"/>
      <c r="F279" s="386"/>
      <c r="G279" s="386"/>
      <c r="H279" s="386"/>
      <c r="I279" s="386"/>
      <c r="J279" s="386"/>
      <c r="K279" s="386"/>
      <c r="L279" s="386"/>
      <c r="M279" s="386"/>
      <c r="N279" s="386"/>
      <c r="O279" s="386"/>
      <c r="P279" s="386"/>
      <c r="Q279" s="386"/>
      <c r="R279" s="386"/>
      <c r="S279" s="386"/>
      <c r="T279" s="386"/>
      <c r="U279" s="386"/>
      <c r="V279" s="386"/>
      <c r="W279" s="386"/>
      <c r="X279" s="386"/>
      <c r="Y279" s="386"/>
      <c r="Z279" s="386"/>
      <c r="AA279" s="386"/>
      <c r="AB279" s="386"/>
      <c r="AC279" s="386"/>
      <c r="AD279" s="386"/>
      <c r="AE279" s="386"/>
      <c r="AF279" s="386"/>
      <c r="AG279" s="386"/>
      <c r="AH279" s="386"/>
      <c r="AI279" s="386"/>
      <c r="AJ279" s="386"/>
      <c r="AK279" s="386"/>
      <c r="AL279" s="386"/>
      <c r="AM279" s="386"/>
      <c r="AN279" s="386"/>
      <c r="AO279" s="386"/>
      <c r="AP279" s="386"/>
      <c r="AQ279" s="386"/>
      <c r="AR279" s="386"/>
      <c r="AS279" s="386"/>
      <c r="AT279" s="386"/>
      <c r="AU279" s="386"/>
      <c r="AV279" s="386"/>
      <c r="AW279" s="386"/>
      <c r="AX279" s="386"/>
      <c r="AY279" s="386"/>
      <c r="AZ279" s="386"/>
      <c r="BA279" s="386"/>
      <c r="BB279" s="386"/>
      <c r="BC279" s="386"/>
      <c r="BD279" s="386"/>
      <c r="BE279" s="386"/>
      <c r="BF279" s="386"/>
      <c r="BG279" s="386"/>
      <c r="BH279" s="386"/>
      <c r="BI279" s="386"/>
      <c r="BJ279" s="386"/>
      <c r="BK279" s="386"/>
      <c r="BL279" s="281"/>
      <c r="BM279" s="281"/>
      <c r="BN279" s="281"/>
    </row>
    <row r="280" spans="2:66" ht="15.75" x14ac:dyDescent="0.25">
      <c r="B280" s="386"/>
      <c r="C280" s="386"/>
      <c r="D280" s="386"/>
      <c r="E280" s="386"/>
      <c r="F280" s="386"/>
      <c r="G280" s="386"/>
      <c r="H280" s="386"/>
      <c r="I280" s="386"/>
      <c r="J280" s="386"/>
      <c r="K280" s="386"/>
      <c r="L280" s="386"/>
      <c r="M280" s="386"/>
      <c r="N280" s="386"/>
      <c r="O280" s="386"/>
      <c r="P280" s="386"/>
      <c r="Q280" s="386"/>
      <c r="R280" s="386"/>
      <c r="S280" s="386"/>
      <c r="T280" s="386"/>
      <c r="U280" s="386"/>
      <c r="V280" s="386"/>
      <c r="W280" s="386"/>
      <c r="X280" s="386"/>
      <c r="Y280" s="386"/>
      <c r="Z280" s="386"/>
      <c r="AA280" s="386"/>
      <c r="AB280" s="386"/>
      <c r="AC280" s="386"/>
      <c r="AD280" s="386"/>
      <c r="AE280" s="386"/>
      <c r="AF280" s="386"/>
      <c r="AG280" s="386"/>
      <c r="AH280" s="386"/>
      <c r="AI280" s="386"/>
      <c r="AJ280" s="386"/>
      <c r="AK280" s="386"/>
      <c r="AL280" s="386"/>
      <c r="AM280" s="386"/>
      <c r="AN280" s="386"/>
      <c r="AO280" s="386"/>
      <c r="AP280" s="386"/>
      <c r="AQ280" s="386"/>
      <c r="AR280" s="386"/>
      <c r="AS280" s="386"/>
      <c r="AT280" s="386"/>
      <c r="AU280" s="386"/>
      <c r="AV280" s="386"/>
      <c r="AW280" s="386"/>
      <c r="AX280" s="386"/>
      <c r="AY280" s="386"/>
      <c r="AZ280" s="386"/>
      <c r="BA280" s="386"/>
      <c r="BB280" s="386"/>
      <c r="BC280" s="386"/>
      <c r="BD280" s="386"/>
      <c r="BE280" s="386"/>
      <c r="BF280" s="386"/>
      <c r="BG280" s="386"/>
      <c r="BH280" s="386"/>
      <c r="BI280" s="386"/>
      <c r="BJ280" s="386"/>
      <c r="BK280" s="386"/>
      <c r="BL280" s="281"/>
      <c r="BM280" s="281"/>
      <c r="BN280" s="281"/>
    </row>
    <row r="281" spans="2:66" ht="15.75" x14ac:dyDescent="0.25">
      <c r="B281" s="386"/>
      <c r="C281" s="386"/>
      <c r="D281" s="386"/>
      <c r="E281" s="386"/>
      <c r="F281" s="386"/>
      <c r="G281" s="386"/>
      <c r="H281" s="386"/>
      <c r="I281" s="386"/>
      <c r="J281" s="386"/>
      <c r="K281" s="386"/>
      <c r="L281" s="386"/>
      <c r="M281" s="386"/>
      <c r="N281" s="386"/>
      <c r="O281" s="386"/>
      <c r="P281" s="386"/>
      <c r="Q281" s="386"/>
      <c r="R281" s="386"/>
      <c r="S281" s="386"/>
      <c r="T281" s="386"/>
      <c r="U281" s="386"/>
      <c r="V281" s="386"/>
      <c r="W281" s="386"/>
      <c r="X281" s="386"/>
      <c r="Y281" s="386"/>
      <c r="Z281" s="386"/>
      <c r="AA281" s="386"/>
      <c r="AB281" s="386"/>
      <c r="AC281" s="386"/>
      <c r="AD281" s="386"/>
      <c r="AE281" s="386"/>
      <c r="AF281" s="386"/>
      <c r="AG281" s="386"/>
      <c r="AH281" s="386"/>
      <c r="AI281" s="386"/>
      <c r="AJ281" s="386"/>
      <c r="AK281" s="386"/>
      <c r="AL281" s="386"/>
      <c r="AM281" s="386"/>
      <c r="AN281" s="386"/>
      <c r="AO281" s="386"/>
      <c r="AP281" s="386"/>
      <c r="AQ281" s="386"/>
      <c r="AR281" s="386"/>
      <c r="AS281" s="386"/>
      <c r="AT281" s="386"/>
      <c r="AU281" s="386"/>
      <c r="AV281" s="386"/>
      <c r="AW281" s="386"/>
      <c r="AX281" s="386"/>
      <c r="AY281" s="386"/>
      <c r="AZ281" s="386"/>
      <c r="BA281" s="386"/>
      <c r="BB281" s="386"/>
      <c r="BC281" s="386"/>
      <c r="BD281" s="386"/>
      <c r="BE281" s="386"/>
      <c r="BF281" s="386"/>
      <c r="BG281" s="386"/>
      <c r="BH281" s="386"/>
      <c r="BI281" s="386"/>
      <c r="BJ281" s="386"/>
      <c r="BK281" s="386"/>
      <c r="BL281" s="281"/>
      <c r="BM281" s="281"/>
      <c r="BN281" s="281"/>
    </row>
    <row r="282" spans="2:66" ht="15.75" x14ac:dyDescent="0.25">
      <c r="B282" s="386"/>
      <c r="C282" s="386"/>
      <c r="D282" s="386"/>
      <c r="E282" s="386"/>
      <c r="F282" s="386"/>
      <c r="G282" s="386"/>
      <c r="H282" s="386"/>
      <c r="I282" s="386"/>
      <c r="J282" s="386"/>
      <c r="K282" s="386"/>
      <c r="L282" s="386"/>
      <c r="M282" s="386"/>
      <c r="N282" s="386"/>
      <c r="O282" s="386"/>
      <c r="P282" s="386"/>
      <c r="Q282" s="386"/>
      <c r="R282" s="386"/>
      <c r="S282" s="386"/>
      <c r="T282" s="386"/>
      <c r="U282" s="386"/>
      <c r="V282" s="386"/>
      <c r="W282" s="386"/>
      <c r="X282" s="386"/>
      <c r="Y282" s="386"/>
      <c r="Z282" s="386"/>
      <c r="AA282" s="386"/>
      <c r="AB282" s="386"/>
      <c r="AC282" s="386"/>
      <c r="AD282" s="386"/>
      <c r="AE282" s="386"/>
      <c r="AF282" s="386"/>
      <c r="AG282" s="386"/>
      <c r="AH282" s="386"/>
      <c r="AI282" s="386"/>
      <c r="AJ282" s="386"/>
      <c r="AK282" s="386"/>
      <c r="AL282" s="386"/>
      <c r="AM282" s="386"/>
      <c r="AN282" s="386"/>
      <c r="AO282" s="386"/>
      <c r="AP282" s="386"/>
      <c r="AQ282" s="386"/>
      <c r="AR282" s="386"/>
      <c r="AS282" s="386"/>
      <c r="AT282" s="386"/>
      <c r="AU282" s="386"/>
      <c r="AV282" s="386"/>
      <c r="AW282" s="386"/>
      <c r="AX282" s="386"/>
      <c r="AY282" s="386"/>
      <c r="AZ282" s="386"/>
      <c r="BA282" s="386"/>
      <c r="BB282" s="386"/>
      <c r="BC282" s="386"/>
      <c r="BD282" s="386"/>
      <c r="BE282" s="386"/>
      <c r="BF282" s="386"/>
      <c r="BG282" s="386"/>
      <c r="BH282" s="386"/>
      <c r="BI282" s="386"/>
      <c r="BJ282" s="386"/>
      <c r="BK282" s="386"/>
      <c r="BL282" s="281"/>
      <c r="BM282" s="281"/>
      <c r="BN282" s="281"/>
    </row>
    <row r="283" spans="2:66" ht="15.75" x14ac:dyDescent="0.25">
      <c r="B283" s="386"/>
      <c r="C283" s="386"/>
      <c r="D283" s="386"/>
      <c r="E283" s="386"/>
      <c r="F283" s="386"/>
      <c r="G283" s="386"/>
      <c r="H283" s="386"/>
      <c r="I283" s="386"/>
      <c r="J283" s="386"/>
      <c r="K283" s="386"/>
      <c r="L283" s="386"/>
      <c r="M283" s="386"/>
      <c r="N283" s="386"/>
      <c r="O283" s="386"/>
      <c r="P283" s="386"/>
      <c r="Q283" s="386"/>
      <c r="R283" s="386"/>
      <c r="S283" s="386"/>
      <c r="T283" s="386"/>
      <c r="U283" s="386"/>
      <c r="V283" s="386"/>
      <c r="W283" s="386"/>
      <c r="X283" s="386"/>
      <c r="Y283" s="386"/>
      <c r="Z283" s="386"/>
      <c r="AA283" s="386"/>
      <c r="AB283" s="386"/>
      <c r="AC283" s="386"/>
      <c r="AD283" s="386"/>
      <c r="AE283" s="386"/>
      <c r="AF283" s="386"/>
      <c r="AG283" s="386"/>
      <c r="AH283" s="386"/>
      <c r="AI283" s="386"/>
      <c r="AJ283" s="386"/>
      <c r="AK283" s="386"/>
      <c r="AL283" s="386"/>
      <c r="AM283" s="386"/>
      <c r="AN283" s="386"/>
      <c r="AO283" s="386"/>
      <c r="AP283" s="386"/>
      <c r="AQ283" s="386"/>
      <c r="AR283" s="386"/>
      <c r="AS283" s="386"/>
      <c r="AT283" s="386"/>
      <c r="AU283" s="386"/>
      <c r="AV283" s="386"/>
      <c r="AW283" s="386"/>
      <c r="AX283" s="386"/>
      <c r="AY283" s="386"/>
      <c r="AZ283" s="386"/>
      <c r="BA283" s="386"/>
      <c r="BB283" s="386"/>
      <c r="BC283" s="386"/>
      <c r="BD283" s="386"/>
      <c r="BE283" s="386"/>
      <c r="BF283" s="386"/>
      <c r="BG283" s="386"/>
      <c r="BH283" s="386"/>
      <c r="BI283" s="386"/>
      <c r="BJ283" s="386"/>
      <c r="BK283" s="386"/>
      <c r="BL283" s="281"/>
      <c r="BM283" s="281"/>
      <c r="BN283" s="281"/>
    </row>
    <row r="284" spans="2:66" ht="15.75" x14ac:dyDescent="0.25">
      <c r="B284" s="386"/>
      <c r="C284" s="386"/>
      <c r="D284" s="386"/>
      <c r="E284" s="386"/>
      <c r="F284" s="386"/>
      <c r="G284" s="386"/>
      <c r="H284" s="386"/>
      <c r="I284" s="386"/>
      <c r="J284" s="386"/>
      <c r="K284" s="386"/>
      <c r="L284" s="386"/>
      <c r="M284" s="386"/>
      <c r="N284" s="386"/>
      <c r="O284" s="386"/>
      <c r="P284" s="386"/>
      <c r="Q284" s="386"/>
      <c r="R284" s="386"/>
      <c r="S284" s="386"/>
      <c r="T284" s="386"/>
      <c r="U284" s="386"/>
      <c r="V284" s="386"/>
      <c r="W284" s="386"/>
      <c r="X284" s="386"/>
      <c r="Y284" s="386"/>
      <c r="Z284" s="386"/>
      <c r="AA284" s="386"/>
      <c r="AB284" s="386"/>
      <c r="AC284" s="386"/>
      <c r="AD284" s="386"/>
      <c r="AE284" s="386"/>
      <c r="AF284" s="386"/>
      <c r="AG284" s="386"/>
      <c r="AH284" s="386"/>
      <c r="AI284" s="386"/>
      <c r="AJ284" s="386"/>
      <c r="AK284" s="386"/>
      <c r="AL284" s="386"/>
      <c r="AM284" s="386"/>
      <c r="AN284" s="386"/>
      <c r="AO284" s="386"/>
      <c r="AP284" s="386"/>
      <c r="AQ284" s="386"/>
      <c r="AR284" s="386"/>
      <c r="AS284" s="386"/>
      <c r="AT284" s="386"/>
      <c r="AU284" s="386"/>
      <c r="AV284" s="386"/>
      <c r="AW284" s="386"/>
      <c r="AX284" s="386"/>
      <c r="AY284" s="386"/>
      <c r="AZ284" s="386"/>
      <c r="BA284" s="386"/>
      <c r="BB284" s="386"/>
      <c r="BC284" s="386"/>
      <c r="BD284" s="386"/>
      <c r="BE284" s="386"/>
      <c r="BF284" s="386"/>
      <c r="BG284" s="386"/>
      <c r="BH284" s="386"/>
      <c r="BI284" s="386"/>
      <c r="BJ284" s="386"/>
      <c r="BK284" s="386"/>
      <c r="BL284" s="281"/>
      <c r="BM284" s="281"/>
      <c r="BN284" s="281"/>
    </row>
    <row r="285" spans="2:66" ht="15.75" x14ac:dyDescent="0.25">
      <c r="B285" s="386"/>
      <c r="C285" s="386"/>
      <c r="D285" s="386"/>
      <c r="E285" s="386"/>
      <c r="F285" s="386"/>
      <c r="G285" s="386"/>
      <c r="H285" s="386"/>
      <c r="I285" s="386"/>
      <c r="J285" s="386"/>
      <c r="K285" s="386"/>
      <c r="L285" s="386"/>
      <c r="M285" s="386"/>
      <c r="N285" s="386"/>
      <c r="O285" s="386"/>
      <c r="P285" s="386"/>
      <c r="Q285" s="386"/>
      <c r="R285" s="386"/>
      <c r="S285" s="386"/>
      <c r="T285" s="386"/>
      <c r="U285" s="386"/>
      <c r="V285" s="386"/>
      <c r="W285" s="386"/>
      <c r="X285" s="386"/>
      <c r="Y285" s="386"/>
      <c r="Z285" s="386"/>
      <c r="AA285" s="386"/>
      <c r="AB285" s="386"/>
      <c r="AC285" s="386"/>
      <c r="AD285" s="386"/>
      <c r="AE285" s="386"/>
      <c r="AF285" s="386"/>
      <c r="AG285" s="386"/>
      <c r="AH285" s="386"/>
      <c r="AI285" s="386"/>
      <c r="AJ285" s="386"/>
      <c r="AK285" s="386"/>
      <c r="AL285" s="386"/>
      <c r="AM285" s="386"/>
      <c r="AN285" s="386"/>
      <c r="AO285" s="386"/>
      <c r="AP285" s="386"/>
      <c r="AQ285" s="386"/>
      <c r="AR285" s="386"/>
      <c r="AS285" s="386"/>
      <c r="AT285" s="386"/>
      <c r="AU285" s="386"/>
      <c r="AV285" s="386"/>
      <c r="AW285" s="386"/>
      <c r="AX285" s="386"/>
      <c r="AY285" s="386"/>
      <c r="AZ285" s="386"/>
      <c r="BA285" s="386"/>
      <c r="BB285" s="386"/>
      <c r="BC285" s="386"/>
      <c r="BD285" s="386"/>
      <c r="BE285" s="386"/>
      <c r="BF285" s="386"/>
      <c r="BG285" s="386"/>
      <c r="BH285" s="386"/>
      <c r="BI285" s="386"/>
      <c r="BJ285" s="386"/>
      <c r="BK285" s="386"/>
      <c r="BL285" s="281"/>
      <c r="BM285" s="281"/>
      <c r="BN285" s="281"/>
    </row>
    <row r="286" spans="2:66" ht="15.75" x14ac:dyDescent="0.25">
      <c r="B286" s="386"/>
      <c r="C286" s="386"/>
      <c r="D286" s="386"/>
      <c r="E286" s="386"/>
      <c r="F286" s="386"/>
      <c r="G286" s="386"/>
      <c r="H286" s="386"/>
      <c r="I286" s="386"/>
      <c r="J286" s="386"/>
      <c r="K286" s="386"/>
      <c r="L286" s="386"/>
      <c r="M286" s="386"/>
      <c r="N286" s="386"/>
      <c r="O286" s="386"/>
      <c r="P286" s="386"/>
      <c r="Q286" s="386"/>
      <c r="R286" s="386"/>
      <c r="S286" s="386"/>
      <c r="T286" s="386"/>
      <c r="U286" s="386"/>
      <c r="V286" s="386"/>
      <c r="W286" s="386"/>
      <c r="X286" s="386"/>
      <c r="Y286" s="386"/>
      <c r="Z286" s="386"/>
      <c r="AA286" s="386"/>
      <c r="AB286" s="386"/>
      <c r="AC286" s="386"/>
      <c r="AD286" s="386"/>
      <c r="AE286" s="386"/>
      <c r="AF286" s="386"/>
      <c r="AG286" s="386"/>
      <c r="AH286" s="386"/>
      <c r="AI286" s="386"/>
      <c r="AJ286" s="386"/>
      <c r="AK286" s="386"/>
      <c r="AL286" s="386"/>
      <c r="AM286" s="386"/>
      <c r="AN286" s="386"/>
      <c r="AO286" s="386"/>
      <c r="AP286" s="386"/>
      <c r="AQ286" s="386"/>
      <c r="AR286" s="386"/>
      <c r="AS286" s="386"/>
      <c r="AT286" s="386"/>
      <c r="AU286" s="386"/>
      <c r="AV286" s="386"/>
      <c r="AW286" s="386"/>
      <c r="AX286" s="386"/>
      <c r="AY286" s="386"/>
      <c r="AZ286" s="386"/>
      <c r="BA286" s="386"/>
      <c r="BB286" s="386"/>
      <c r="BC286" s="386"/>
      <c r="BD286" s="386"/>
      <c r="BE286" s="386"/>
      <c r="BF286" s="386"/>
      <c r="BG286" s="386"/>
      <c r="BH286" s="386"/>
      <c r="BI286" s="386"/>
      <c r="BJ286" s="386"/>
      <c r="BK286" s="386"/>
      <c r="BL286" s="281"/>
      <c r="BM286" s="281"/>
      <c r="BN286" s="281"/>
    </row>
  </sheetData>
  <mergeCells count="42">
    <mergeCell ref="A50:A51"/>
    <mergeCell ref="D50:D51"/>
    <mergeCell ref="E50:G50"/>
    <mergeCell ref="H50:L50"/>
    <mergeCell ref="M50:O50"/>
    <mergeCell ref="H62:L62"/>
    <mergeCell ref="BK1:BO1"/>
    <mergeCell ref="C23:C24"/>
    <mergeCell ref="B49:G49"/>
    <mergeCell ref="H49:L49"/>
    <mergeCell ref="M49:S49"/>
    <mergeCell ref="A1:F1"/>
    <mergeCell ref="G1:AC1"/>
    <mergeCell ref="AD1:AH1"/>
    <mergeCell ref="AI1:AI47"/>
    <mergeCell ref="AJ1:AN1"/>
    <mergeCell ref="AO1:BJ1"/>
    <mergeCell ref="P50:P51"/>
    <mergeCell ref="Q50:Q51"/>
    <mergeCell ref="R50:R51"/>
    <mergeCell ref="S50:S51"/>
    <mergeCell ref="H60:L60"/>
    <mergeCell ref="H66:L66"/>
    <mergeCell ref="H72:L72"/>
    <mergeCell ref="A118:A119"/>
    <mergeCell ref="D118:D119"/>
    <mergeCell ref="E118:G118"/>
    <mergeCell ref="H118:L118"/>
    <mergeCell ref="A148:A149"/>
    <mergeCell ref="D148:D149"/>
    <mergeCell ref="E148:G148"/>
    <mergeCell ref="H148:L148"/>
    <mergeCell ref="M148:O148"/>
    <mergeCell ref="P148:P149"/>
    <mergeCell ref="Q148:Q149"/>
    <mergeCell ref="R148:R149"/>
    <mergeCell ref="S148:S149"/>
    <mergeCell ref="M118:O118"/>
    <mergeCell ref="P118:P119"/>
    <mergeCell ref="Q118:Q119"/>
    <mergeCell ref="R118:R119"/>
    <mergeCell ref="S118:S119"/>
  </mergeCells>
  <conditionalFormatting sqref="O52:O60">
    <cfRule type="cellIs" dxfId="35" priority="18" operator="greaterThan">
      <formula>0.520833333333333</formula>
    </cfRule>
  </conditionalFormatting>
  <conditionalFormatting sqref="O52:O83">
    <cfRule type="cellIs" dxfId="34" priority="1" operator="greaterThan">
      <formula>0.659722222222222</formula>
    </cfRule>
  </conditionalFormatting>
  <conditionalFormatting sqref="O59:O73">
    <cfRule type="cellIs" dxfId="33" priority="17" operator="greaterThan">
      <formula>0.5625</formula>
    </cfRule>
  </conditionalFormatting>
  <conditionalFormatting sqref="O72:O83">
    <cfRule type="cellIs" dxfId="32" priority="2" operator="greaterThan">
      <formula>0.666666666666667</formula>
    </cfRule>
  </conditionalFormatting>
  <conditionalFormatting sqref="O84:O99">
    <cfRule type="cellIs" dxfId="31" priority="3" operator="greaterThan">
      <formula>0.9375</formula>
    </cfRule>
  </conditionalFormatting>
  <conditionalFormatting sqref="O100:O115">
    <cfRule type="cellIs" dxfId="30" priority="4" operator="greaterThan">
      <formula>1.0625</formula>
    </cfRule>
  </conditionalFormatting>
  <conditionalFormatting sqref="O120">
    <cfRule type="cellIs" dxfId="29" priority="7" operator="greaterThan">
      <formula>0.659722222222222</formula>
    </cfRule>
    <cfRule type="cellIs" dxfId="28" priority="8" operator="greaterThan">
      <formula>0.666666666666667</formula>
    </cfRule>
  </conditionalFormatting>
  <conditionalFormatting sqref="O121:O145">
    <cfRule type="cellIs" dxfId="27" priority="9" operator="greaterThan">
      <formula>0.833333333333333</formula>
    </cfRule>
  </conditionalFormatting>
  <conditionalFormatting sqref="O122">
    <cfRule type="cellIs" dxfId="26" priority="12" operator="greaterThan">
      <formula>0.666666666666667</formula>
    </cfRule>
  </conditionalFormatting>
  <conditionalFormatting sqref="P52">
    <cfRule type="cellIs" dxfId="25" priority="20" operator="greaterThan">
      <formula>0.5</formula>
    </cfRule>
  </conditionalFormatting>
  <conditionalFormatting sqref="P52:P115 P150:P156">
    <cfRule type="cellIs" dxfId="24" priority="10" operator="greaterThan">
      <formula>0.375</formula>
    </cfRule>
  </conditionalFormatting>
  <conditionalFormatting sqref="P121:P145">
    <cfRule type="cellIs" dxfId="23" priority="11" operator="greaterThan">
      <formula>0.499305555555556</formula>
    </cfRule>
  </conditionalFormatting>
  <conditionalFormatting sqref="Q52:Q115 Q120:Q145 Q150:Q156">
    <cfRule type="cellIs" dxfId="22" priority="6" operator="greaterThan">
      <formula>0.368055555555556</formula>
    </cfRule>
  </conditionalFormatting>
  <conditionalFormatting sqref="Q54">
    <cfRule type="cellIs" dxfId="21" priority="21" operator="lessThan">
      <formula>0.25</formula>
    </cfRule>
  </conditionalFormatting>
  <conditionalFormatting sqref="Q115">
    <cfRule type="cellIs" dxfId="20" priority="22" operator="lessThan">
      <formula>0.25</formula>
    </cfRule>
  </conditionalFormatting>
  <conditionalFormatting sqref="Q116">
    <cfRule type="cellIs" dxfId="19" priority="24" operator="greaterThan">
      <formula>0.318055555555556</formula>
    </cfRule>
  </conditionalFormatting>
  <conditionalFormatting sqref="Q123:Q145">
    <cfRule type="cellIs" dxfId="18" priority="16" operator="lessThan">
      <formula>0.25</formula>
    </cfRule>
  </conditionalFormatting>
  <conditionalFormatting sqref="Q146">
    <cfRule type="cellIs" dxfId="17" priority="13" operator="greaterThan">
      <formula>0.318055555555556</formula>
    </cfRule>
  </conditionalFormatting>
  <conditionalFormatting sqref="Q157">
    <cfRule type="cellIs" dxfId="16" priority="14" operator="greaterThan">
      <formula>0.318055555555556</formula>
    </cfRule>
  </conditionalFormatting>
  <conditionalFormatting sqref="R52:R54">
    <cfRule type="cellIs" dxfId="15" priority="19" operator="lessThan">
      <formula>0.0381944444444444</formula>
    </cfRule>
  </conditionalFormatting>
  <conditionalFormatting sqref="R115">
    <cfRule type="cellIs" dxfId="14" priority="23" operator="lessThan">
      <formula>0.0381944444444444</formula>
    </cfRule>
  </conditionalFormatting>
  <conditionalFormatting sqref="R152:R156">
    <cfRule type="cellIs" dxfId="13" priority="15" operator="lessThan">
      <formula>0.0381944444444444</formula>
    </cfRule>
  </conditionalFormatting>
  <conditionalFormatting sqref="R123:S145">
    <cfRule type="cellIs" dxfId="12" priority="5" operator="greaterThan">
      <formula>0.208333333333333</formula>
    </cfRule>
  </conditionalFormatting>
  <pageMargins left="0.7" right="0.7" top="0.75" bottom="0.75" header="0.3" footer="0.3"/>
  <pageSetup paperSize="8" scale="52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D07DB-11CD-4E0C-85E6-1445E39FF41C}">
  <sheetPr>
    <tabColor rgb="FFFFFF00"/>
    <pageSetUpPr fitToPage="1"/>
  </sheetPr>
  <dimension ref="A1:AV257"/>
  <sheetViews>
    <sheetView view="pageBreakPreview" topLeftCell="A23" zoomScale="60" zoomScaleNormal="100" workbookViewId="0">
      <selection activeCell="A51" sqref="A51:R125"/>
    </sheetView>
  </sheetViews>
  <sheetFormatPr defaultColWidth="9.28515625" defaultRowHeight="15.75" x14ac:dyDescent="0.25"/>
  <cols>
    <col min="1" max="1" width="25.7109375" style="1" customWidth="1"/>
    <col min="2" max="32" width="12.7109375" style="1" customWidth="1"/>
    <col min="33" max="33" width="18.7109375" style="1" bestFit="1" customWidth="1"/>
    <col min="34" max="34" width="9.28515625" style="1"/>
    <col min="35" max="38" width="10.7109375" style="1" hidden="1" customWidth="1"/>
    <col min="39" max="39" width="0" style="1" hidden="1" customWidth="1"/>
    <col min="40" max="43" width="10.7109375" style="1" hidden="1" customWidth="1"/>
    <col min="44" max="49" width="0" style="1" hidden="1" customWidth="1"/>
    <col min="50" max="16384" width="9.28515625" style="1"/>
  </cols>
  <sheetData>
    <row r="1" spans="1:48" s="393" customFormat="1" ht="50.1" customHeight="1" thickBot="1" x14ac:dyDescent="0.55000000000000004">
      <c r="A1" s="391" t="s">
        <v>682</v>
      </c>
      <c r="B1" s="392"/>
      <c r="C1" s="392"/>
      <c r="D1" s="392"/>
      <c r="E1" s="392"/>
      <c r="F1" s="392"/>
      <c r="G1" s="751" t="s">
        <v>683</v>
      </c>
      <c r="H1" s="751"/>
      <c r="I1" s="751"/>
      <c r="J1" s="751"/>
      <c r="K1" s="751"/>
      <c r="L1" s="751"/>
      <c r="M1" s="751"/>
      <c r="N1" s="751"/>
      <c r="O1" s="751"/>
      <c r="P1" s="751"/>
      <c r="Q1" s="751"/>
      <c r="R1" s="751"/>
      <c r="S1" s="751"/>
      <c r="T1" s="751"/>
      <c r="U1" s="751"/>
      <c r="V1" s="751"/>
      <c r="W1" s="751"/>
      <c r="X1" s="751"/>
      <c r="Y1" s="751"/>
      <c r="Z1" s="751"/>
      <c r="AA1" s="751"/>
      <c r="AB1" s="751"/>
      <c r="AC1" s="752">
        <v>44469</v>
      </c>
      <c r="AD1" s="753"/>
      <c r="AE1" s="753"/>
      <c r="AF1" s="753"/>
      <c r="AG1" s="754"/>
      <c r="AI1" s="394" t="s">
        <v>160</v>
      </c>
      <c r="AJ1" s="395" t="s">
        <v>161</v>
      </c>
      <c r="AK1" s="396" t="s">
        <v>162</v>
      </c>
      <c r="AL1" s="397" t="s">
        <v>163</v>
      </c>
      <c r="AM1" s="1"/>
      <c r="AN1" s="397" t="s">
        <v>163</v>
      </c>
      <c r="AO1" s="395" t="s">
        <v>164</v>
      </c>
      <c r="AP1" s="396" t="s">
        <v>166</v>
      </c>
      <c r="AQ1" s="394" t="s">
        <v>160</v>
      </c>
    </row>
    <row r="2" spans="1:48" ht="16.5" customHeight="1" thickBot="1" x14ac:dyDescent="0.3">
      <c r="A2" s="398"/>
      <c r="B2" s="399" t="s">
        <v>4</v>
      </c>
      <c r="C2" s="400"/>
      <c r="D2" s="401"/>
      <c r="E2" s="399" t="s">
        <v>21</v>
      </c>
      <c r="F2" s="399" t="s">
        <v>53</v>
      </c>
      <c r="G2" s="399" t="s">
        <v>8</v>
      </c>
      <c r="H2" s="399" t="s">
        <v>24</v>
      </c>
      <c r="I2" s="399" t="s">
        <v>684</v>
      </c>
      <c r="J2" s="399" t="s">
        <v>47</v>
      </c>
      <c r="K2" s="402"/>
      <c r="L2" s="400"/>
      <c r="M2" s="399" t="s">
        <v>49</v>
      </c>
      <c r="N2" s="403"/>
      <c r="O2" s="399" t="s">
        <v>685</v>
      </c>
      <c r="P2" s="403"/>
      <c r="Q2" s="399" t="s">
        <v>17</v>
      </c>
      <c r="R2" s="403"/>
      <c r="S2" s="404"/>
      <c r="T2" s="399" t="s">
        <v>686</v>
      </c>
      <c r="U2" s="399" t="s">
        <v>51</v>
      </c>
      <c r="V2" s="399" t="s">
        <v>687</v>
      </c>
      <c r="W2" s="400"/>
      <c r="X2" s="399" t="s">
        <v>23</v>
      </c>
      <c r="Y2" s="399" t="s">
        <v>41</v>
      </c>
      <c r="Z2" s="399" t="s">
        <v>54</v>
      </c>
      <c r="AA2" s="399" t="s">
        <v>688</v>
      </c>
      <c r="AB2" s="400"/>
      <c r="AC2" s="399" t="s">
        <v>689</v>
      </c>
      <c r="AD2" s="399" t="s">
        <v>12</v>
      </c>
      <c r="AE2" s="399" t="s">
        <v>14</v>
      </c>
      <c r="AF2" s="399" t="s">
        <v>690</v>
      </c>
      <c r="AG2" s="405"/>
      <c r="AI2" s="406">
        <v>0.24305555555555555</v>
      </c>
      <c r="AJ2" s="407">
        <v>0.25</v>
      </c>
      <c r="AK2" s="407">
        <v>0.2673611111111111</v>
      </c>
      <c r="AL2" s="226">
        <v>0.31944444444444442</v>
      </c>
      <c r="AN2" s="226">
        <v>0.22916666666666666</v>
      </c>
      <c r="AO2" s="407">
        <v>0.25</v>
      </c>
      <c r="AP2" s="407">
        <v>0.26041666666666669</v>
      </c>
      <c r="AQ2" s="406">
        <v>0.2951388888888889</v>
      </c>
      <c r="AU2" s="408">
        <f>AL2-AI2</f>
        <v>7.6388888888888867E-2</v>
      </c>
      <c r="AV2" s="408">
        <f>AQ2-AN2</f>
        <v>6.5972222222222238E-2</v>
      </c>
    </row>
    <row r="3" spans="1:48" ht="16.5" customHeight="1" thickBot="1" x14ac:dyDescent="0.3">
      <c r="A3" s="398"/>
      <c r="B3" s="409" t="s">
        <v>58</v>
      </c>
      <c r="C3" s="410"/>
      <c r="D3" s="401"/>
      <c r="E3" s="409" t="s">
        <v>75</v>
      </c>
      <c r="F3" s="409" t="s">
        <v>100</v>
      </c>
      <c r="G3" s="409" t="s">
        <v>62</v>
      </c>
      <c r="H3" s="409" t="s">
        <v>78</v>
      </c>
      <c r="I3" s="409" t="s">
        <v>93</v>
      </c>
      <c r="J3" s="409" t="s">
        <v>94</v>
      </c>
      <c r="K3" s="402"/>
      <c r="L3" s="410"/>
      <c r="M3" s="409" t="s">
        <v>96</v>
      </c>
      <c r="N3" s="411"/>
      <c r="O3" s="409" t="s">
        <v>97</v>
      </c>
      <c r="P3" s="411"/>
      <c r="Q3" s="409" t="s">
        <v>71</v>
      </c>
      <c r="R3" s="411"/>
      <c r="S3" s="412"/>
      <c r="T3" s="409" t="s">
        <v>99</v>
      </c>
      <c r="U3" s="409" t="s">
        <v>98</v>
      </c>
      <c r="V3" s="409" t="s">
        <v>74</v>
      </c>
      <c r="W3" s="410"/>
      <c r="X3" s="409" t="s">
        <v>77</v>
      </c>
      <c r="Y3" s="409" t="s">
        <v>90</v>
      </c>
      <c r="Z3" s="409" t="s">
        <v>101</v>
      </c>
      <c r="AA3" s="409" t="s">
        <v>63</v>
      </c>
      <c r="AB3" s="410"/>
      <c r="AC3" s="409" t="s">
        <v>79</v>
      </c>
      <c r="AD3" s="409" t="s">
        <v>66</v>
      </c>
      <c r="AE3" s="409" t="s">
        <v>68</v>
      </c>
      <c r="AF3" s="409" t="s">
        <v>69</v>
      </c>
      <c r="AG3" s="405"/>
      <c r="AI3" s="406">
        <v>0.25347222222222221</v>
      </c>
      <c r="AJ3" s="407">
        <v>0.26041666666666669</v>
      </c>
      <c r="AK3" s="407">
        <v>0.27777777777777779</v>
      </c>
      <c r="AL3" s="226">
        <v>0.3298611111111111</v>
      </c>
      <c r="AN3" s="226">
        <v>0.23958333333333334</v>
      </c>
      <c r="AO3" s="407">
        <v>0.26041666666666669</v>
      </c>
      <c r="AP3" s="407">
        <v>0.27083333333333331</v>
      </c>
      <c r="AQ3" s="406">
        <v>0.30555555555555558</v>
      </c>
      <c r="AU3" s="408">
        <f t="shared" ref="AU3:AU50" si="0">AL3-AI3</f>
        <v>7.6388888888888895E-2</v>
      </c>
      <c r="AV3" s="408">
        <f t="shared" ref="AV3:AV66" si="1">AQ3-AN3</f>
        <v>6.5972222222222238E-2</v>
      </c>
    </row>
    <row r="4" spans="1:48" ht="16.5" customHeight="1" x14ac:dyDescent="0.25">
      <c r="A4" s="413" t="s">
        <v>104</v>
      </c>
      <c r="B4" s="414" t="s">
        <v>691</v>
      </c>
      <c r="C4" s="415"/>
      <c r="D4" s="401"/>
      <c r="E4" s="416" t="s">
        <v>692</v>
      </c>
      <c r="F4" s="416" t="s">
        <v>693</v>
      </c>
      <c r="G4" s="416" t="s">
        <v>694</v>
      </c>
      <c r="H4" s="417" t="s">
        <v>695</v>
      </c>
      <c r="I4" s="418" t="s">
        <v>696</v>
      </c>
      <c r="J4" s="416" t="s">
        <v>697</v>
      </c>
      <c r="K4" s="402"/>
      <c r="L4" s="402"/>
      <c r="M4" s="416" t="s">
        <v>698</v>
      </c>
      <c r="N4" s="402"/>
      <c r="O4" s="416" t="s">
        <v>699</v>
      </c>
      <c r="P4" s="402"/>
      <c r="Q4" s="416" t="s">
        <v>700</v>
      </c>
      <c r="R4" s="402"/>
      <c r="S4" s="402"/>
      <c r="T4" s="417" t="s">
        <v>701</v>
      </c>
      <c r="U4" s="416" t="s">
        <v>702</v>
      </c>
      <c r="V4" s="417" t="s">
        <v>703</v>
      </c>
      <c r="W4" s="411"/>
      <c r="X4" s="416" t="s">
        <v>704</v>
      </c>
      <c r="Y4" s="416" t="s">
        <v>705</v>
      </c>
      <c r="Z4" s="416" t="s">
        <v>706</v>
      </c>
      <c r="AA4" s="416" t="s">
        <v>707</v>
      </c>
      <c r="AB4" s="402"/>
      <c r="AC4" s="416" t="s">
        <v>708</v>
      </c>
      <c r="AD4" s="416" t="s">
        <v>709</v>
      </c>
      <c r="AE4" s="416" t="s">
        <v>710</v>
      </c>
      <c r="AF4" s="419" t="s">
        <v>711</v>
      </c>
      <c r="AG4" s="420" t="s">
        <v>104</v>
      </c>
      <c r="AI4" s="406">
        <v>0.2638888888888889</v>
      </c>
      <c r="AJ4" s="407">
        <v>0.27083333333333331</v>
      </c>
      <c r="AK4" s="407">
        <v>0.28819444444444442</v>
      </c>
      <c r="AL4" s="226">
        <v>0.34027777777777779</v>
      </c>
      <c r="AN4" s="226">
        <v>0.25</v>
      </c>
      <c r="AO4" s="407">
        <v>0.27083333333333331</v>
      </c>
      <c r="AP4" s="421">
        <v>0.28125</v>
      </c>
      <c r="AQ4" s="406">
        <v>0.31597222222222221</v>
      </c>
      <c r="AU4" s="408">
        <f t="shared" si="0"/>
        <v>7.6388888888888895E-2</v>
      </c>
      <c r="AV4" s="408">
        <f t="shared" si="1"/>
        <v>6.597222222222221E-2</v>
      </c>
    </row>
    <row r="5" spans="1:48" ht="16.5" customHeight="1" x14ac:dyDescent="0.25">
      <c r="A5" s="413"/>
      <c r="B5" s="414"/>
      <c r="C5" s="415"/>
      <c r="D5" s="401"/>
      <c r="E5" s="416"/>
      <c r="F5" s="416"/>
      <c r="G5" s="416"/>
      <c r="H5" s="416"/>
      <c r="I5" s="422"/>
      <c r="J5" s="416"/>
      <c r="K5" s="402"/>
      <c r="L5" s="402"/>
      <c r="M5" s="416"/>
      <c r="N5" s="423"/>
      <c r="O5" s="416"/>
      <c r="P5" s="423"/>
      <c r="Q5" s="416"/>
      <c r="R5" s="402"/>
      <c r="S5" s="402"/>
      <c r="T5" s="416"/>
      <c r="U5" s="416"/>
      <c r="V5" s="416"/>
      <c r="W5" s="411"/>
      <c r="X5" s="416"/>
      <c r="Y5" s="416"/>
      <c r="Z5" s="416"/>
      <c r="AA5" s="416"/>
      <c r="AB5" s="402"/>
      <c r="AC5" s="416"/>
      <c r="AD5" s="416"/>
      <c r="AE5" s="416"/>
      <c r="AF5" s="419"/>
      <c r="AG5" s="420"/>
      <c r="AI5" s="406">
        <v>0.27430555555555558</v>
      </c>
      <c r="AJ5" s="407">
        <v>0.28125</v>
      </c>
      <c r="AK5" s="407">
        <v>0.2986111111111111</v>
      </c>
      <c r="AL5" s="226">
        <v>0.35069444444444442</v>
      </c>
      <c r="AN5" s="226">
        <v>0.26041666666666669</v>
      </c>
      <c r="AO5" s="407">
        <v>0.28125</v>
      </c>
      <c r="AP5" s="407">
        <v>0.29166666666666669</v>
      </c>
      <c r="AQ5" s="406">
        <v>0.3263888888888889</v>
      </c>
      <c r="AU5" s="408">
        <f t="shared" si="0"/>
        <v>7.638888888888884E-2</v>
      </c>
      <c r="AV5" s="408">
        <f t="shared" si="1"/>
        <v>6.597222222222221E-2</v>
      </c>
    </row>
    <row r="6" spans="1:48" ht="16.5" customHeight="1" x14ac:dyDescent="0.25">
      <c r="A6" s="413"/>
      <c r="B6" s="414"/>
      <c r="C6" s="415"/>
      <c r="D6" s="401"/>
      <c r="E6" s="416"/>
      <c r="F6" s="416"/>
      <c r="G6" s="416"/>
      <c r="H6" s="416"/>
      <c r="I6" s="416"/>
      <c r="J6" s="416"/>
      <c r="K6" s="402"/>
      <c r="L6" s="402"/>
      <c r="M6" s="416"/>
      <c r="N6" s="416"/>
      <c r="O6" s="416"/>
      <c r="P6" s="416"/>
      <c r="Q6" s="416"/>
      <c r="R6" s="402"/>
      <c r="S6" s="402"/>
      <c r="T6" s="402"/>
      <c r="U6" s="416"/>
      <c r="V6" s="416"/>
      <c r="W6" s="402"/>
      <c r="X6" s="416"/>
      <c r="Y6" s="416"/>
      <c r="Z6" s="416"/>
      <c r="AA6" s="416"/>
      <c r="AB6" s="402"/>
      <c r="AC6" s="416"/>
      <c r="AD6" s="416"/>
      <c r="AE6" s="416"/>
      <c r="AF6" s="419"/>
      <c r="AG6" s="420"/>
      <c r="AI6" s="406">
        <v>0.28472222222222221</v>
      </c>
      <c r="AJ6" s="407">
        <v>0.29166666666666669</v>
      </c>
      <c r="AK6" s="407">
        <v>0.30902777777777779</v>
      </c>
      <c r="AL6" s="226">
        <v>0.3576388888888889</v>
      </c>
      <c r="AN6" s="226">
        <v>0.27083333333333331</v>
      </c>
      <c r="AO6" s="407">
        <v>0.29166666666666669</v>
      </c>
      <c r="AP6" s="407">
        <v>0.30208333333333331</v>
      </c>
      <c r="AQ6" s="406">
        <v>0.33680555555555558</v>
      </c>
      <c r="AU6" s="408">
        <f t="shared" si="0"/>
        <v>7.2916666666666685E-2</v>
      </c>
      <c r="AV6" s="408">
        <f t="shared" si="1"/>
        <v>6.5972222222222265E-2</v>
      </c>
    </row>
    <row r="7" spans="1:48" ht="16.5" customHeight="1" x14ac:dyDescent="0.25">
      <c r="A7" s="424"/>
      <c r="B7" s="425"/>
      <c r="C7" s="415"/>
      <c r="D7" s="415"/>
      <c r="E7" s="415"/>
      <c r="F7" s="415"/>
      <c r="G7" s="402"/>
      <c r="H7" s="402"/>
      <c r="I7" s="402"/>
      <c r="J7" s="402"/>
      <c r="K7" s="402"/>
      <c r="L7" s="402"/>
      <c r="M7" s="402"/>
      <c r="N7" s="402"/>
      <c r="O7" s="402"/>
      <c r="P7" s="402"/>
      <c r="Q7" s="402"/>
      <c r="R7" s="426"/>
      <c r="S7" s="426"/>
      <c r="T7" s="402"/>
      <c r="U7" s="402"/>
      <c r="V7" s="402"/>
      <c r="W7" s="402"/>
      <c r="X7" s="402"/>
      <c r="Y7" s="402"/>
      <c r="Z7" s="402"/>
      <c r="AA7" s="402"/>
      <c r="AB7" s="402"/>
      <c r="AC7" s="402"/>
      <c r="AD7" s="402"/>
      <c r="AE7" s="402"/>
      <c r="AF7" s="427"/>
      <c r="AG7" s="428"/>
      <c r="AI7" s="406">
        <v>0.2951388888888889</v>
      </c>
      <c r="AJ7" s="407">
        <v>0.30208333333333331</v>
      </c>
      <c r="AK7" s="407">
        <v>0.31944444444444442</v>
      </c>
      <c r="AL7" s="226">
        <v>0.36458333333333331</v>
      </c>
      <c r="AN7" s="226">
        <v>0.28125</v>
      </c>
      <c r="AO7" s="407">
        <v>0.30208333333333331</v>
      </c>
      <c r="AP7" s="407">
        <v>0.3125</v>
      </c>
      <c r="AQ7" s="406">
        <v>0.34722222222222221</v>
      </c>
      <c r="AU7" s="408">
        <f t="shared" si="0"/>
        <v>6.944444444444442E-2</v>
      </c>
      <c r="AV7" s="408">
        <f t="shared" si="1"/>
        <v>6.597222222222221E-2</v>
      </c>
    </row>
    <row r="8" spans="1:48" ht="16.5" customHeight="1" x14ac:dyDescent="0.25">
      <c r="A8" s="80" t="s">
        <v>160</v>
      </c>
      <c r="B8" s="429"/>
      <c r="C8" s="402"/>
      <c r="D8" s="402"/>
      <c r="E8" s="402"/>
      <c r="F8" s="402"/>
      <c r="G8" s="402"/>
      <c r="H8" s="402"/>
      <c r="I8" s="402"/>
      <c r="J8" s="402"/>
      <c r="K8" s="402"/>
      <c r="L8" s="402"/>
      <c r="M8" s="402"/>
      <c r="N8" s="402"/>
      <c r="O8" s="402"/>
      <c r="P8" s="402"/>
      <c r="Q8" s="402"/>
      <c r="R8" s="426"/>
      <c r="S8" s="426"/>
      <c r="T8" s="402"/>
      <c r="U8" s="402"/>
      <c r="V8" s="402"/>
      <c r="W8" s="402"/>
      <c r="X8" s="402"/>
      <c r="Y8" s="430">
        <v>0.24305555555555555</v>
      </c>
      <c r="Z8" s="402"/>
      <c r="AA8" s="430">
        <v>0.25347222222222221</v>
      </c>
      <c r="AB8" s="431"/>
      <c r="AC8" s="402"/>
      <c r="AD8" s="430">
        <v>0.2638888888888889</v>
      </c>
      <c r="AE8" s="430">
        <v>0.27430555555555558</v>
      </c>
      <c r="AF8" s="432">
        <v>0.28472222222222221</v>
      </c>
      <c r="AG8" s="81" t="s">
        <v>160</v>
      </c>
      <c r="AI8" s="406">
        <v>0.30555555555555558</v>
      </c>
      <c r="AJ8" s="407">
        <v>0.3125</v>
      </c>
      <c r="AK8" s="407">
        <v>0.33333333333333331</v>
      </c>
      <c r="AL8" s="226">
        <v>0.38194444444444442</v>
      </c>
      <c r="AN8" s="226">
        <v>0.28819444444444442</v>
      </c>
      <c r="AO8" s="407">
        <v>0.3125</v>
      </c>
      <c r="AP8" s="407">
        <v>0.32291666666666669</v>
      </c>
      <c r="AQ8" s="406">
        <v>0.3576388888888889</v>
      </c>
      <c r="AU8" s="408">
        <f t="shared" si="0"/>
        <v>7.638888888888884E-2</v>
      </c>
      <c r="AV8" s="408">
        <f t="shared" si="1"/>
        <v>6.9444444444444475E-2</v>
      </c>
    </row>
    <row r="9" spans="1:48" ht="16.5" customHeight="1" x14ac:dyDescent="0.25">
      <c r="A9" s="433" t="s">
        <v>161</v>
      </c>
      <c r="B9" s="429"/>
      <c r="C9" s="402"/>
      <c r="D9" s="402"/>
      <c r="E9" s="402"/>
      <c r="F9" s="426"/>
      <c r="G9" s="402"/>
      <c r="H9" s="402"/>
      <c r="I9" s="402"/>
      <c r="J9" s="402"/>
      <c r="K9" s="402"/>
      <c r="L9" s="402"/>
      <c r="M9" s="402"/>
      <c r="N9" s="402"/>
      <c r="O9" s="402"/>
      <c r="P9" s="402"/>
      <c r="Q9" s="402"/>
      <c r="R9" s="426"/>
      <c r="S9" s="426"/>
      <c r="T9" s="402"/>
      <c r="U9" s="402"/>
      <c r="V9" s="402"/>
      <c r="W9" s="402"/>
      <c r="X9" s="402"/>
      <c r="Y9" s="434">
        <v>0.25</v>
      </c>
      <c r="Z9" s="402"/>
      <c r="AA9" s="434">
        <v>0.26041666666666669</v>
      </c>
      <c r="AB9" s="435"/>
      <c r="AC9" s="402"/>
      <c r="AD9" s="434">
        <v>0.27083333333333331</v>
      </c>
      <c r="AE9" s="434">
        <v>0.28125</v>
      </c>
      <c r="AF9" s="436">
        <v>0.29166666666666669</v>
      </c>
      <c r="AG9" s="437" t="s">
        <v>161</v>
      </c>
      <c r="AI9" s="406">
        <v>0.31597222222222221</v>
      </c>
      <c r="AJ9" s="407">
        <v>0.32291666666666669</v>
      </c>
      <c r="AK9" s="421">
        <v>0.34375</v>
      </c>
      <c r="AL9" s="226">
        <v>0.39583333333333331</v>
      </c>
      <c r="AN9" s="226">
        <v>0.2986111111111111</v>
      </c>
      <c r="AO9" s="407">
        <v>0.32291666666666669</v>
      </c>
      <c r="AP9" s="407">
        <v>0.33333333333333331</v>
      </c>
      <c r="AQ9" s="406">
        <v>0.375</v>
      </c>
      <c r="AU9" s="408">
        <f t="shared" si="0"/>
        <v>7.9861111111111105E-2</v>
      </c>
      <c r="AV9" s="408">
        <f t="shared" si="1"/>
        <v>7.6388888888888895E-2</v>
      </c>
    </row>
    <row r="10" spans="1:48" ht="16.5" customHeight="1" x14ac:dyDescent="0.25">
      <c r="A10" s="438" t="s">
        <v>162</v>
      </c>
      <c r="B10" s="429"/>
      <c r="C10" s="402"/>
      <c r="D10" s="402"/>
      <c r="E10" s="402"/>
      <c r="F10" s="426"/>
      <c r="G10" s="402"/>
      <c r="H10" s="402"/>
      <c r="I10" s="402"/>
      <c r="J10" s="402"/>
      <c r="K10" s="402"/>
      <c r="L10" s="402"/>
      <c r="M10" s="402"/>
      <c r="N10" s="402"/>
      <c r="O10" s="402"/>
      <c r="P10" s="402"/>
      <c r="Q10" s="402"/>
      <c r="R10" s="402"/>
      <c r="S10" s="402"/>
      <c r="T10" s="402"/>
      <c r="U10" s="402"/>
      <c r="V10" s="402"/>
      <c r="W10" s="426"/>
      <c r="X10" s="402"/>
      <c r="Y10" s="434">
        <v>0.27430555555555558</v>
      </c>
      <c r="Z10" s="402"/>
      <c r="AA10" s="434">
        <v>0.28472222222222221</v>
      </c>
      <c r="AB10" s="439"/>
      <c r="AC10" s="402"/>
      <c r="AD10" s="434">
        <v>0.2951388888888889</v>
      </c>
      <c r="AE10" s="434">
        <v>0.30555555555555558</v>
      </c>
      <c r="AF10" s="436">
        <v>0.31597222222222221</v>
      </c>
      <c r="AG10" s="440" t="s">
        <v>162</v>
      </c>
      <c r="AI10" s="406">
        <v>0.3263888888888889</v>
      </c>
      <c r="AJ10" s="407">
        <v>0.33333333333333331</v>
      </c>
      <c r="AK10" s="407">
        <v>0.35416666666666669</v>
      </c>
      <c r="AL10" s="226">
        <v>0.40277777777777779</v>
      </c>
      <c r="AN10" s="226">
        <v>0.30902777777777779</v>
      </c>
      <c r="AO10" s="407">
        <v>0.33333333333333331</v>
      </c>
      <c r="AP10" s="407">
        <v>0.34375</v>
      </c>
      <c r="AQ10" s="406">
        <v>0.38194444444444442</v>
      </c>
      <c r="AU10" s="408">
        <f t="shared" si="0"/>
        <v>7.6388888888888895E-2</v>
      </c>
      <c r="AV10" s="408">
        <f t="shared" si="1"/>
        <v>7.291666666666663E-2</v>
      </c>
    </row>
    <row r="11" spans="1:48" ht="16.5" customHeight="1" x14ac:dyDescent="0.25">
      <c r="A11" s="91" t="s">
        <v>163</v>
      </c>
      <c r="B11" s="441">
        <v>0.22916666666666666</v>
      </c>
      <c r="C11" s="442"/>
      <c r="D11" s="92"/>
      <c r="E11" s="402"/>
      <c r="F11" s="426"/>
      <c r="G11" s="92">
        <v>0.23958333333333334</v>
      </c>
      <c r="H11" s="402"/>
      <c r="I11" s="94">
        <v>0.25</v>
      </c>
      <c r="J11" s="92">
        <v>0.26041666666666669</v>
      </c>
      <c r="K11" s="402"/>
      <c r="L11" s="402"/>
      <c r="M11" s="92">
        <v>0.27083333333333331</v>
      </c>
      <c r="N11" s="402"/>
      <c r="O11" s="92">
        <v>0.28125</v>
      </c>
      <c r="P11" s="402"/>
      <c r="Q11" s="92">
        <v>0.28819444444444442</v>
      </c>
      <c r="R11" s="402"/>
      <c r="S11" s="402"/>
      <c r="T11" s="443"/>
      <c r="U11" s="92">
        <v>0.2986111111111111</v>
      </c>
      <c r="V11" s="92">
        <v>0.30902777777777779</v>
      </c>
      <c r="W11" s="444"/>
      <c r="X11" s="402"/>
      <c r="Y11" s="92">
        <v>0.31944444444444442</v>
      </c>
      <c r="Z11" s="402"/>
      <c r="AA11" s="92">
        <v>0.3298611111111111</v>
      </c>
      <c r="AB11" s="442"/>
      <c r="AC11" s="402"/>
      <c r="AD11" s="92">
        <v>0.34027777777777779</v>
      </c>
      <c r="AE11" s="92">
        <v>0.35069444444444442</v>
      </c>
      <c r="AF11" s="445">
        <v>0.3576388888888889</v>
      </c>
      <c r="AG11" s="99" t="s">
        <v>163</v>
      </c>
      <c r="AI11" s="406">
        <v>0.33680555555555558</v>
      </c>
      <c r="AJ11" s="407">
        <v>0.34375</v>
      </c>
      <c r="AK11" s="407">
        <v>0.36458333333333331</v>
      </c>
      <c r="AL11" s="226">
        <v>0.41666666666666669</v>
      </c>
      <c r="AN11" s="226">
        <v>0.31944444444444442</v>
      </c>
      <c r="AO11" s="407">
        <v>0.34375</v>
      </c>
      <c r="AP11" s="407">
        <v>0.35416666666666669</v>
      </c>
      <c r="AQ11" s="406">
        <v>0.39583333333333331</v>
      </c>
      <c r="AU11" s="408">
        <f t="shared" si="0"/>
        <v>7.9861111111111105E-2</v>
      </c>
      <c r="AV11" s="408">
        <f t="shared" si="1"/>
        <v>7.6388888888888895E-2</v>
      </c>
    </row>
    <row r="12" spans="1:48" ht="16.5" customHeight="1" x14ac:dyDescent="0.25">
      <c r="A12" s="433" t="s">
        <v>164</v>
      </c>
      <c r="B12" s="446">
        <v>0.25</v>
      </c>
      <c r="C12" s="435"/>
      <c r="D12" s="92"/>
      <c r="E12" s="426"/>
      <c r="F12" s="402"/>
      <c r="G12" s="434">
        <v>0.26041666666666669</v>
      </c>
      <c r="H12" s="402"/>
      <c r="I12" s="447">
        <v>0.27083333333333331</v>
      </c>
      <c r="J12" s="434">
        <v>0.28125</v>
      </c>
      <c r="K12" s="402"/>
      <c r="L12" s="402"/>
      <c r="M12" s="434">
        <v>0.29166666666666669</v>
      </c>
      <c r="N12" s="402"/>
      <c r="O12" s="434">
        <v>0.30208333333333331</v>
      </c>
      <c r="P12" s="402"/>
      <c r="Q12" s="434">
        <v>0.3125</v>
      </c>
      <c r="R12" s="402"/>
      <c r="S12" s="402"/>
      <c r="T12" s="443"/>
      <c r="U12" s="434">
        <v>0.32291666666666669</v>
      </c>
      <c r="V12" s="434">
        <v>0.33333333333333331</v>
      </c>
      <c r="W12" s="444"/>
      <c r="X12" s="402"/>
      <c r="Y12" s="434">
        <v>0.34375</v>
      </c>
      <c r="Z12" s="402"/>
      <c r="AA12" s="434">
        <v>0.35416666666666669</v>
      </c>
      <c r="AB12" s="435"/>
      <c r="AC12" s="402"/>
      <c r="AD12" s="434">
        <v>0.36458333333333331</v>
      </c>
      <c r="AE12" s="434">
        <v>0.375</v>
      </c>
      <c r="AF12" s="436">
        <v>0.38194444444444442</v>
      </c>
      <c r="AG12" s="437" t="s">
        <v>164</v>
      </c>
      <c r="AI12" s="406">
        <v>0.34722222222222221</v>
      </c>
      <c r="AJ12" s="407">
        <v>0.35416666666666669</v>
      </c>
      <c r="AK12" s="407">
        <v>0.37847222222222221</v>
      </c>
      <c r="AL12" s="226">
        <v>0.43055555555555558</v>
      </c>
      <c r="AN12" s="226">
        <v>0.3298611111111111</v>
      </c>
      <c r="AO12" s="407">
        <v>0.35416666666666669</v>
      </c>
      <c r="AP12" s="407">
        <v>0.36805555555555558</v>
      </c>
      <c r="AQ12" s="406">
        <v>0.40972222222222221</v>
      </c>
      <c r="AU12" s="408">
        <f t="shared" si="0"/>
        <v>8.333333333333337E-2</v>
      </c>
      <c r="AV12" s="408">
        <f t="shared" si="1"/>
        <v>7.9861111111111105E-2</v>
      </c>
    </row>
    <row r="13" spans="1:48" ht="16.5" customHeight="1" thickBot="1" x14ac:dyDescent="0.3">
      <c r="A13" s="438" t="s">
        <v>166</v>
      </c>
      <c r="B13" s="446">
        <v>0.26041666666666669</v>
      </c>
      <c r="C13" s="439"/>
      <c r="D13" s="92"/>
      <c r="E13" s="402"/>
      <c r="F13" s="402"/>
      <c r="G13" s="434">
        <v>0.27083333333333331</v>
      </c>
      <c r="H13" s="402"/>
      <c r="I13" s="448">
        <v>0.28125</v>
      </c>
      <c r="J13" s="434">
        <v>0.2951388888888889</v>
      </c>
      <c r="K13" s="402"/>
      <c r="L13" s="402"/>
      <c r="M13" s="434">
        <v>0.30208333333333331</v>
      </c>
      <c r="N13" s="402"/>
      <c r="O13" s="434">
        <v>0.31597222222222221</v>
      </c>
      <c r="P13" s="402"/>
      <c r="Q13" s="434">
        <v>0.32291666666666669</v>
      </c>
      <c r="R13" s="402"/>
      <c r="S13" s="402"/>
      <c r="T13" s="443"/>
      <c r="U13" s="434">
        <v>0.33333333333333331</v>
      </c>
      <c r="V13" s="434">
        <v>0.34375</v>
      </c>
      <c r="W13" s="444"/>
      <c r="X13" s="402"/>
      <c r="Y13" s="449" t="s">
        <v>712</v>
      </c>
      <c r="Z13" s="402"/>
      <c r="AA13" s="449" t="s">
        <v>713</v>
      </c>
      <c r="AB13" s="439"/>
      <c r="AC13" s="402"/>
      <c r="AD13" s="434">
        <v>0.37847222222222221</v>
      </c>
      <c r="AE13" s="449" t="s">
        <v>714</v>
      </c>
      <c r="AF13" s="436">
        <v>0.39583333333333331</v>
      </c>
      <c r="AG13" s="440" t="s">
        <v>166</v>
      </c>
      <c r="AI13" s="406">
        <v>0.3576388888888889</v>
      </c>
      <c r="AJ13" s="407">
        <v>0.36458333333333331</v>
      </c>
      <c r="AK13" s="407">
        <v>0.3888888888888889</v>
      </c>
      <c r="AL13" s="226">
        <v>0.44444444444444442</v>
      </c>
      <c r="AN13" s="226">
        <v>0.34027777777777779</v>
      </c>
      <c r="AO13" s="407">
        <v>0.36458333333333331</v>
      </c>
      <c r="AP13" s="407">
        <v>0.37847222222222221</v>
      </c>
      <c r="AQ13" s="406">
        <v>0.4236111111111111</v>
      </c>
      <c r="AU13" s="408">
        <f t="shared" si="0"/>
        <v>8.6805555555555525E-2</v>
      </c>
      <c r="AV13" s="408">
        <f t="shared" si="1"/>
        <v>8.3333333333333315E-2</v>
      </c>
    </row>
    <row r="14" spans="1:48" ht="16.5" customHeight="1" thickBot="1" x14ac:dyDescent="0.3">
      <c r="A14" s="80" t="s">
        <v>160</v>
      </c>
      <c r="B14" s="450">
        <v>0.2951388888888889</v>
      </c>
      <c r="C14" s="431"/>
      <c r="D14" s="92"/>
      <c r="E14" s="402"/>
      <c r="F14" s="402"/>
      <c r="G14" s="430">
        <v>0.30555555555555558</v>
      </c>
      <c r="H14" s="402"/>
      <c r="I14" s="451">
        <v>0.31597222222222221</v>
      </c>
      <c r="J14" s="430">
        <v>0.3263888888888889</v>
      </c>
      <c r="K14" s="402"/>
      <c r="L14" s="399" t="s">
        <v>26</v>
      </c>
      <c r="M14" s="430">
        <v>0.33680555555555558</v>
      </c>
      <c r="N14" s="399" t="s">
        <v>55</v>
      </c>
      <c r="O14" s="430">
        <v>0.34722222222222221</v>
      </c>
      <c r="P14" s="399" t="s">
        <v>715</v>
      </c>
      <c r="Q14" s="430">
        <v>0.3576388888888889</v>
      </c>
      <c r="R14" s="402"/>
      <c r="S14" s="399" t="s">
        <v>3</v>
      </c>
      <c r="T14" s="430">
        <v>0.36805555555555558</v>
      </c>
      <c r="U14" s="430">
        <v>0.375</v>
      </c>
      <c r="V14" s="430">
        <v>0.38194444444444442</v>
      </c>
      <c r="W14" s="399" t="s">
        <v>716</v>
      </c>
      <c r="X14" s="430">
        <v>0.3888888888888889</v>
      </c>
      <c r="Y14" s="430">
        <v>0.39583333333333331</v>
      </c>
      <c r="Z14" s="430">
        <v>0.40277777777777779</v>
      </c>
      <c r="AA14" s="430">
        <v>0.40972222222222221</v>
      </c>
      <c r="AB14" s="430"/>
      <c r="AC14" s="430">
        <v>0.41666666666666669</v>
      </c>
      <c r="AD14" s="430">
        <v>0.4236111111111111</v>
      </c>
      <c r="AE14" s="430">
        <v>0.43055555555555558</v>
      </c>
      <c r="AF14" s="432">
        <v>0.4375</v>
      </c>
      <c r="AG14" s="81" t="s">
        <v>160</v>
      </c>
      <c r="AI14" s="406">
        <v>0.36805555555555558</v>
      </c>
      <c r="AJ14" s="407">
        <v>0.375</v>
      </c>
      <c r="AK14" s="421">
        <v>0.39930555555555558</v>
      </c>
      <c r="AL14" s="226">
        <v>0.4548611111111111</v>
      </c>
      <c r="AN14" s="226">
        <v>0.35069444444444442</v>
      </c>
      <c r="AO14" s="407">
        <v>0.375</v>
      </c>
      <c r="AP14" s="407">
        <v>0.3888888888888889</v>
      </c>
      <c r="AQ14" s="406">
        <v>0.43055555555555558</v>
      </c>
      <c r="AU14" s="408">
        <f t="shared" si="0"/>
        <v>8.6805555555555525E-2</v>
      </c>
      <c r="AV14" s="408">
        <f t="shared" si="1"/>
        <v>7.986111111111116E-2</v>
      </c>
    </row>
    <row r="15" spans="1:48" ht="16.5" customHeight="1" thickBot="1" x14ac:dyDescent="0.3">
      <c r="A15" s="433" t="s">
        <v>161</v>
      </c>
      <c r="B15" s="446">
        <v>0.30208333333333331</v>
      </c>
      <c r="C15" s="435"/>
      <c r="D15" s="442"/>
      <c r="E15" s="402"/>
      <c r="F15" s="402"/>
      <c r="G15" s="434">
        <v>0.3125</v>
      </c>
      <c r="H15" s="402"/>
      <c r="I15" s="447">
        <v>0.32291666666666669</v>
      </c>
      <c r="J15" s="434">
        <v>0.33333333333333331</v>
      </c>
      <c r="K15" s="402"/>
      <c r="L15" s="409" t="s">
        <v>80</v>
      </c>
      <c r="M15" s="434">
        <v>0.34375</v>
      </c>
      <c r="N15" s="409" t="s">
        <v>102</v>
      </c>
      <c r="O15" s="434">
        <v>0.35416666666666669</v>
      </c>
      <c r="P15" s="409" t="s">
        <v>103</v>
      </c>
      <c r="Q15" s="434">
        <v>0.36458333333333331</v>
      </c>
      <c r="R15" s="402"/>
      <c r="S15" s="409" t="s">
        <v>64</v>
      </c>
      <c r="T15" s="434">
        <v>0.375</v>
      </c>
      <c r="U15" s="452">
        <v>0.38194444444444442</v>
      </c>
      <c r="V15" s="434">
        <v>0.3888888888888889</v>
      </c>
      <c r="W15" s="409" t="s">
        <v>72</v>
      </c>
      <c r="X15" s="447">
        <v>0.39583333333333331</v>
      </c>
      <c r="Y15" s="434">
        <v>0.40277777777777779</v>
      </c>
      <c r="Z15" s="434">
        <v>0.40972222222222221</v>
      </c>
      <c r="AA15" s="434">
        <v>0.41666666666666669</v>
      </c>
      <c r="AB15" s="449"/>
      <c r="AC15" s="434">
        <v>0.4236111111111111</v>
      </c>
      <c r="AD15" s="434">
        <v>0.43055555555555558</v>
      </c>
      <c r="AE15" s="434">
        <v>0.4375</v>
      </c>
      <c r="AF15" s="436">
        <v>0.44444444444444442</v>
      </c>
      <c r="AG15" s="437" t="s">
        <v>161</v>
      </c>
      <c r="AI15" s="406">
        <v>0.375</v>
      </c>
      <c r="AJ15" s="407">
        <v>0.38194444444444442</v>
      </c>
      <c r="AK15" s="407">
        <v>0.40625</v>
      </c>
      <c r="AL15" s="226">
        <v>0.46180555555555558</v>
      </c>
      <c r="AN15" s="226">
        <v>0.3576388888888889</v>
      </c>
      <c r="AO15" s="407">
        <v>0.38194444444444442</v>
      </c>
      <c r="AP15" s="407">
        <v>0.39583333333333331</v>
      </c>
      <c r="AQ15" s="406">
        <v>0.4375</v>
      </c>
      <c r="AU15" s="408">
        <f t="shared" si="0"/>
        <v>8.680555555555558E-2</v>
      </c>
      <c r="AV15" s="408">
        <f t="shared" si="1"/>
        <v>7.9861111111111105E-2</v>
      </c>
    </row>
    <row r="16" spans="1:48" ht="16.5" customHeight="1" thickBot="1" x14ac:dyDescent="0.3">
      <c r="A16" s="438" t="s">
        <v>162</v>
      </c>
      <c r="B16" s="446">
        <v>0.31944444444444442</v>
      </c>
      <c r="C16" s="439"/>
      <c r="D16" s="442"/>
      <c r="E16" s="402"/>
      <c r="F16" s="402"/>
      <c r="G16" s="449" t="s">
        <v>717</v>
      </c>
      <c r="H16" s="402"/>
      <c r="I16" s="453" t="s">
        <v>718</v>
      </c>
      <c r="J16" s="449" t="s">
        <v>719</v>
      </c>
      <c r="K16" s="412"/>
      <c r="L16" s="416" t="s">
        <v>720</v>
      </c>
      <c r="M16" s="449" t="s">
        <v>721</v>
      </c>
      <c r="N16" s="416" t="s">
        <v>722</v>
      </c>
      <c r="O16" s="434">
        <v>0.37847222222222221</v>
      </c>
      <c r="P16" s="416" t="s">
        <v>723</v>
      </c>
      <c r="Q16" s="449" t="s">
        <v>724</v>
      </c>
      <c r="R16" s="402"/>
      <c r="S16" s="416" t="s">
        <v>725</v>
      </c>
      <c r="T16" s="454">
        <v>0.40277777777777779</v>
      </c>
      <c r="U16" s="455" t="s">
        <v>726</v>
      </c>
      <c r="V16" s="388" t="s">
        <v>727</v>
      </c>
      <c r="W16" s="422" t="s">
        <v>728</v>
      </c>
      <c r="X16" s="447">
        <v>0.42708333333333331</v>
      </c>
      <c r="Y16" s="449" t="s">
        <v>729</v>
      </c>
      <c r="Z16" s="434">
        <v>0.44097222222222221</v>
      </c>
      <c r="AA16" s="434">
        <v>0.44791666666666669</v>
      </c>
      <c r="AB16" s="439"/>
      <c r="AC16" s="434">
        <v>0.4548611111111111</v>
      </c>
      <c r="AD16" s="449" t="s">
        <v>730</v>
      </c>
      <c r="AE16" s="434">
        <v>0.46875</v>
      </c>
      <c r="AF16" s="456" t="s">
        <v>731</v>
      </c>
      <c r="AG16" s="440" t="s">
        <v>162</v>
      </c>
      <c r="AI16" s="406">
        <v>0.38194444444444442</v>
      </c>
      <c r="AJ16" s="407">
        <v>0.3888888888888889</v>
      </c>
      <c r="AK16" s="457">
        <v>0.41319444444444442</v>
      </c>
      <c r="AL16" s="226">
        <v>0.46875</v>
      </c>
      <c r="AN16" s="226">
        <v>0.36458333333333331</v>
      </c>
      <c r="AO16" s="407">
        <v>0.3888888888888889</v>
      </c>
      <c r="AP16" s="407">
        <v>0.40277777777777779</v>
      </c>
      <c r="AQ16" s="406">
        <v>0.44444444444444442</v>
      </c>
      <c r="AU16" s="408">
        <f t="shared" si="0"/>
        <v>8.680555555555558E-2</v>
      </c>
      <c r="AV16" s="408">
        <f t="shared" si="1"/>
        <v>7.9861111111111105E-2</v>
      </c>
    </row>
    <row r="17" spans="1:48" ht="16.5" customHeight="1" thickBot="1" x14ac:dyDescent="0.3">
      <c r="A17" s="91" t="s">
        <v>163</v>
      </c>
      <c r="B17" s="441">
        <v>0.36458333333333331</v>
      </c>
      <c r="C17" s="399" t="s">
        <v>732</v>
      </c>
      <c r="D17" s="442"/>
      <c r="E17" s="92">
        <v>0.36805555555555558</v>
      </c>
      <c r="F17" s="92">
        <v>0.375</v>
      </c>
      <c r="G17" s="92">
        <v>0.38194444444444442</v>
      </c>
      <c r="H17" s="92">
        <v>0.3888888888888889</v>
      </c>
      <c r="I17" s="94">
        <v>0.39583333333333331</v>
      </c>
      <c r="J17" s="92">
        <v>0.40277777777777779</v>
      </c>
      <c r="K17" s="402"/>
      <c r="L17" s="92">
        <v>0.40972222222222221</v>
      </c>
      <c r="M17" s="92">
        <v>0.41666666666666669</v>
      </c>
      <c r="N17" s="92">
        <v>0.4236111111111111</v>
      </c>
      <c r="O17" s="92">
        <v>0.43055555555555558</v>
      </c>
      <c r="P17" s="92">
        <v>0.4375</v>
      </c>
      <c r="Q17" s="92">
        <v>0.44444444444444442</v>
      </c>
      <c r="R17" s="458" t="s">
        <v>733</v>
      </c>
      <c r="S17" s="92">
        <v>0.44791666666666669</v>
      </c>
      <c r="T17" s="92">
        <v>0.4548611111111111</v>
      </c>
      <c r="U17" s="92">
        <v>0.46180555555555558</v>
      </c>
      <c r="V17" s="92">
        <v>0.46875</v>
      </c>
      <c r="W17" s="94">
        <v>0.47569444444444442</v>
      </c>
      <c r="X17" s="92">
        <v>0.4826388888888889</v>
      </c>
      <c r="Y17" s="92">
        <v>0.48958333333333331</v>
      </c>
      <c r="Z17" s="92">
        <v>0.49652777777777779</v>
      </c>
      <c r="AA17" s="92">
        <v>0.50347222222222221</v>
      </c>
      <c r="AB17" s="442"/>
      <c r="AC17" s="92">
        <v>0.51041666666666663</v>
      </c>
      <c r="AD17" s="92">
        <v>0.51736111111111116</v>
      </c>
      <c r="AE17" s="92">
        <v>0.52430555555555558</v>
      </c>
      <c r="AF17" s="445">
        <v>0.53125</v>
      </c>
      <c r="AG17" s="99" t="s">
        <v>163</v>
      </c>
      <c r="AI17" s="406">
        <v>0.3888888888888889</v>
      </c>
      <c r="AJ17" s="407">
        <v>0.39583333333333331</v>
      </c>
      <c r="AK17" s="407">
        <v>0.4236111111111111</v>
      </c>
      <c r="AL17" s="226">
        <v>0.4826388888888889</v>
      </c>
      <c r="AN17" s="226">
        <v>0.36805555555555558</v>
      </c>
      <c r="AO17" s="407">
        <v>0.39583333333333331</v>
      </c>
      <c r="AP17" s="407">
        <v>0.40972222222222221</v>
      </c>
      <c r="AQ17" s="406">
        <v>0.45833333333333331</v>
      </c>
      <c r="AU17" s="408">
        <f t="shared" si="0"/>
        <v>9.375E-2</v>
      </c>
      <c r="AV17" s="408">
        <f t="shared" si="1"/>
        <v>9.0277777777777735E-2</v>
      </c>
    </row>
    <row r="18" spans="1:48" ht="16.5" customHeight="1" thickBot="1" x14ac:dyDescent="0.3">
      <c r="A18" s="433" t="s">
        <v>164</v>
      </c>
      <c r="B18" s="459">
        <v>0.3888888888888889</v>
      </c>
      <c r="C18" s="409" t="s">
        <v>61</v>
      </c>
      <c r="D18" s="442"/>
      <c r="E18" s="447">
        <v>0.39583333333333331</v>
      </c>
      <c r="F18" s="434">
        <v>0.40277777777777779</v>
      </c>
      <c r="G18" s="434">
        <v>0.40972222222222221</v>
      </c>
      <c r="H18" s="434">
        <v>0.41666666666666669</v>
      </c>
      <c r="I18" s="447">
        <v>0.4236111111111111</v>
      </c>
      <c r="J18" s="434">
        <v>0.43055555555555558</v>
      </c>
      <c r="K18" s="402"/>
      <c r="L18" s="434">
        <v>0.4375</v>
      </c>
      <c r="M18" s="434">
        <v>0.44444444444444442</v>
      </c>
      <c r="N18" s="434">
        <v>0.4513888888888889</v>
      </c>
      <c r="O18" s="434">
        <v>0.45833333333333331</v>
      </c>
      <c r="P18" s="434">
        <v>0.46527777777777779</v>
      </c>
      <c r="Q18" s="460">
        <v>0.47222222222222221</v>
      </c>
      <c r="R18" s="461" t="s">
        <v>57</v>
      </c>
      <c r="S18" s="447">
        <v>0.47916666666666669</v>
      </c>
      <c r="T18" s="434">
        <v>0.4861111111111111</v>
      </c>
      <c r="U18" s="434">
        <v>0.49305555555555558</v>
      </c>
      <c r="V18" s="434">
        <v>0.5</v>
      </c>
      <c r="W18" s="447">
        <v>0.50694444444444442</v>
      </c>
      <c r="X18" s="434">
        <v>0.51388888888888884</v>
      </c>
      <c r="Y18" s="434">
        <v>0.52083333333333337</v>
      </c>
      <c r="Z18" s="434">
        <v>0.52777777777777779</v>
      </c>
      <c r="AA18" s="434">
        <v>0.53472222222222221</v>
      </c>
      <c r="AB18" s="435"/>
      <c r="AC18" s="434">
        <v>0.54166666666666663</v>
      </c>
      <c r="AD18" s="434">
        <v>0.54861111111111116</v>
      </c>
      <c r="AE18" s="434">
        <v>0.55555555555555558</v>
      </c>
      <c r="AF18" s="436">
        <v>0.5625</v>
      </c>
      <c r="AG18" s="437" t="s">
        <v>164</v>
      </c>
      <c r="AI18" s="406">
        <v>0.39583333333333331</v>
      </c>
      <c r="AJ18" s="407">
        <v>0.40277777777777779</v>
      </c>
      <c r="AK18" s="407">
        <v>0.43055555555555558</v>
      </c>
      <c r="AL18" s="226">
        <v>0.48958333333333331</v>
      </c>
      <c r="AN18" s="226">
        <v>0.375</v>
      </c>
      <c r="AO18" s="407">
        <v>0.40277777777777779</v>
      </c>
      <c r="AP18" s="407">
        <v>0.41666666666666669</v>
      </c>
      <c r="AQ18" s="406">
        <v>0.46527777777777779</v>
      </c>
      <c r="AU18" s="408">
        <f t="shared" si="0"/>
        <v>9.375E-2</v>
      </c>
      <c r="AV18" s="408">
        <f t="shared" si="1"/>
        <v>9.027777777777779E-2</v>
      </c>
    </row>
    <row r="19" spans="1:48" ht="16.5" customHeight="1" thickBot="1" x14ac:dyDescent="0.3">
      <c r="A19" s="438" t="s">
        <v>166</v>
      </c>
      <c r="B19" s="462" t="s">
        <v>734</v>
      </c>
      <c r="C19" s="416" t="s">
        <v>735</v>
      </c>
      <c r="D19" s="442"/>
      <c r="E19" s="447">
        <v>0.40972222222222221</v>
      </c>
      <c r="F19" s="434">
        <v>0.41666666666666669</v>
      </c>
      <c r="G19" s="434">
        <v>0.4236111111111111</v>
      </c>
      <c r="H19" s="434">
        <v>0.43055555555555558</v>
      </c>
      <c r="I19" s="447">
        <v>0.4375</v>
      </c>
      <c r="J19" s="449" t="s">
        <v>736</v>
      </c>
      <c r="K19" s="402"/>
      <c r="L19" s="434">
        <v>0.4513888888888889</v>
      </c>
      <c r="M19" s="434">
        <v>0.45833333333333331</v>
      </c>
      <c r="N19" s="434">
        <v>0.46527777777777779</v>
      </c>
      <c r="O19" s="449" t="s">
        <v>737</v>
      </c>
      <c r="P19" s="434">
        <v>0.47916666666666669</v>
      </c>
      <c r="Q19" s="463" t="s">
        <v>738</v>
      </c>
      <c r="R19" s="416" t="s">
        <v>739</v>
      </c>
      <c r="S19" s="464" t="s">
        <v>740</v>
      </c>
      <c r="T19" s="465" t="s">
        <v>741</v>
      </c>
      <c r="U19" s="434">
        <v>0.50694444444444442</v>
      </c>
      <c r="V19" s="449" t="s">
        <v>742</v>
      </c>
      <c r="W19" s="447">
        <v>0.52083333333333337</v>
      </c>
      <c r="X19" s="449" t="s">
        <v>743</v>
      </c>
      <c r="Y19" s="449" t="s">
        <v>744</v>
      </c>
      <c r="Z19" s="449" t="s">
        <v>745</v>
      </c>
      <c r="AA19" s="449" t="s">
        <v>746</v>
      </c>
      <c r="AB19" s="439"/>
      <c r="AC19" s="449" t="s">
        <v>747</v>
      </c>
      <c r="AD19" s="434">
        <v>0.5625</v>
      </c>
      <c r="AE19" s="449" t="s">
        <v>748</v>
      </c>
      <c r="AF19" s="436">
        <v>0.57638888888888884</v>
      </c>
      <c r="AG19" s="440" t="s">
        <v>166</v>
      </c>
      <c r="AI19" s="406">
        <v>0.40277777777777779</v>
      </c>
      <c r="AJ19" s="407">
        <v>0.40972222222222221</v>
      </c>
      <c r="AK19" s="407">
        <v>0.4375</v>
      </c>
      <c r="AL19" s="226">
        <v>0.49652777777777779</v>
      </c>
      <c r="AN19" s="226">
        <v>0.38194444444444442</v>
      </c>
      <c r="AO19" s="407">
        <v>0.40972222222222221</v>
      </c>
      <c r="AP19" s="407">
        <v>0.4236111111111111</v>
      </c>
      <c r="AQ19" s="406">
        <v>0.46875</v>
      </c>
      <c r="AU19" s="408">
        <f t="shared" si="0"/>
        <v>9.375E-2</v>
      </c>
      <c r="AV19" s="408">
        <f t="shared" si="1"/>
        <v>8.680555555555558E-2</v>
      </c>
    </row>
    <row r="20" spans="1:48" ht="16.5" customHeight="1" thickBot="1" x14ac:dyDescent="0.3">
      <c r="A20" s="80" t="s">
        <v>160</v>
      </c>
      <c r="B20" s="450">
        <v>0.44444444444444442</v>
      </c>
      <c r="C20" s="430">
        <v>0.4513888888888889</v>
      </c>
      <c r="D20" s="399" t="s">
        <v>749</v>
      </c>
      <c r="E20" s="430">
        <v>0.45833333333333331</v>
      </c>
      <c r="F20" s="430">
        <v>0.46527777777777779</v>
      </c>
      <c r="G20" s="430">
        <v>0.46875</v>
      </c>
      <c r="H20" s="430">
        <v>0.47569444444444442</v>
      </c>
      <c r="I20" s="451">
        <v>0.4826388888888889</v>
      </c>
      <c r="J20" s="430">
        <v>0.48958333333333331</v>
      </c>
      <c r="K20" s="402"/>
      <c r="L20" s="430">
        <v>0.49652777777777779</v>
      </c>
      <c r="M20" s="430">
        <v>0.50347222222222221</v>
      </c>
      <c r="N20" s="430">
        <v>0.51041666666666663</v>
      </c>
      <c r="O20" s="430">
        <v>0.51736111111111116</v>
      </c>
      <c r="P20" s="430">
        <v>0.52430555555555558</v>
      </c>
      <c r="Q20" s="430">
        <v>0.53125</v>
      </c>
      <c r="R20" s="430">
        <v>0.53819444444444442</v>
      </c>
      <c r="S20" s="430">
        <v>0.54513888888888884</v>
      </c>
      <c r="T20" s="430">
        <v>0.55208333333333337</v>
      </c>
      <c r="U20" s="430">
        <v>0.55902777777777779</v>
      </c>
      <c r="V20" s="430">
        <v>0.56597222222222221</v>
      </c>
      <c r="W20" s="451">
        <v>0.57291666666666663</v>
      </c>
      <c r="X20" s="430">
        <v>0.57986111111111116</v>
      </c>
      <c r="Y20" s="430">
        <v>0.58680555555555558</v>
      </c>
      <c r="Z20" s="430">
        <v>0.59375</v>
      </c>
      <c r="AA20" s="430">
        <v>0.60069444444444442</v>
      </c>
      <c r="AB20" s="431"/>
      <c r="AC20" s="430">
        <v>0.60763888888888884</v>
      </c>
      <c r="AD20" s="430">
        <v>0.61458333333333337</v>
      </c>
      <c r="AE20" s="430">
        <v>0.62152777777777779</v>
      </c>
      <c r="AF20" s="432">
        <v>0.62847222222222221</v>
      </c>
      <c r="AG20" s="81" t="s">
        <v>160</v>
      </c>
      <c r="AI20" s="406">
        <v>0.40972222222222221</v>
      </c>
      <c r="AJ20" s="407">
        <v>0.41666666666666669</v>
      </c>
      <c r="AK20" s="407">
        <v>0.44444444444444442</v>
      </c>
      <c r="AL20" s="226">
        <v>0.50347222222222221</v>
      </c>
      <c r="AN20" s="226">
        <v>0.3888888888888889</v>
      </c>
      <c r="AO20" s="407">
        <v>0.41666666666666669</v>
      </c>
      <c r="AP20" s="407">
        <v>0.43055555555555558</v>
      </c>
      <c r="AQ20" s="406">
        <v>0.47569444444444442</v>
      </c>
      <c r="AU20" s="408">
        <f t="shared" si="0"/>
        <v>9.375E-2</v>
      </c>
      <c r="AV20" s="408">
        <f t="shared" si="1"/>
        <v>8.6805555555555525E-2</v>
      </c>
    </row>
    <row r="21" spans="1:48" ht="16.5" customHeight="1" thickBot="1" x14ac:dyDescent="0.3">
      <c r="A21" s="433" t="s">
        <v>161</v>
      </c>
      <c r="B21" s="446">
        <v>0.4513888888888889</v>
      </c>
      <c r="C21" s="434">
        <v>0.45833333333333331</v>
      </c>
      <c r="D21" s="409" t="s">
        <v>81</v>
      </c>
      <c r="E21" s="434">
        <v>0.46527777777777779</v>
      </c>
      <c r="F21" s="434">
        <v>0.47222222222222221</v>
      </c>
      <c r="G21" s="434">
        <v>0.47916666666666669</v>
      </c>
      <c r="H21" s="434">
        <v>0.4861111111111111</v>
      </c>
      <c r="I21" s="447">
        <v>0.49305555555555558</v>
      </c>
      <c r="J21" s="434">
        <v>0.5</v>
      </c>
      <c r="K21" s="402"/>
      <c r="L21" s="434">
        <v>0.50694444444444442</v>
      </c>
      <c r="M21" s="434">
        <v>0.51388888888888884</v>
      </c>
      <c r="N21" s="434">
        <v>0.52083333333333337</v>
      </c>
      <c r="O21" s="434">
        <v>0.52777777777777779</v>
      </c>
      <c r="P21" s="434">
        <v>0.53472222222222221</v>
      </c>
      <c r="Q21" s="434">
        <v>0.54166666666666663</v>
      </c>
      <c r="R21" s="434">
        <v>0.54861111111111116</v>
      </c>
      <c r="S21" s="434">
        <v>0.55555555555555558</v>
      </c>
      <c r="T21" s="434">
        <v>0.5625</v>
      </c>
      <c r="U21" s="434">
        <v>0.56944444444444442</v>
      </c>
      <c r="V21" s="434">
        <v>0.57638888888888884</v>
      </c>
      <c r="W21" s="447">
        <v>0.58333333333333337</v>
      </c>
      <c r="X21" s="434">
        <v>0.59027777777777779</v>
      </c>
      <c r="Y21" s="434">
        <v>0.59722222222222221</v>
      </c>
      <c r="Z21" s="434">
        <v>0.60416666666666663</v>
      </c>
      <c r="AA21" s="434">
        <v>0.61111111111111116</v>
      </c>
      <c r="AB21" s="435"/>
      <c r="AC21" s="434">
        <v>0.61805555555555558</v>
      </c>
      <c r="AD21" s="434">
        <v>0.625</v>
      </c>
      <c r="AE21" s="434">
        <v>0.63194444444444442</v>
      </c>
      <c r="AF21" s="436">
        <v>0.63888888888888884</v>
      </c>
      <c r="AG21" s="437" t="s">
        <v>161</v>
      </c>
      <c r="AI21" s="406">
        <v>0.41666666666666669</v>
      </c>
      <c r="AJ21" s="407">
        <v>0.4236111111111111</v>
      </c>
      <c r="AK21" s="407">
        <v>0.4513888888888889</v>
      </c>
      <c r="AL21" s="226">
        <v>0.51041666666666663</v>
      </c>
      <c r="AN21" s="226">
        <v>0.39583333333333331</v>
      </c>
      <c r="AO21" s="407">
        <v>0.4236111111111111</v>
      </c>
      <c r="AP21" s="407">
        <v>0.4375</v>
      </c>
      <c r="AQ21" s="406">
        <v>0.4826388888888889</v>
      </c>
      <c r="AU21" s="408">
        <f t="shared" si="0"/>
        <v>9.3749999999999944E-2</v>
      </c>
      <c r="AV21" s="408">
        <f t="shared" si="1"/>
        <v>8.680555555555558E-2</v>
      </c>
    </row>
    <row r="22" spans="1:48" ht="16.5" customHeight="1" thickBot="1" x14ac:dyDescent="0.3">
      <c r="A22" s="438" t="s">
        <v>162</v>
      </c>
      <c r="B22" s="446">
        <v>0.4826388888888889</v>
      </c>
      <c r="C22" s="434">
        <v>0.4861111111111111</v>
      </c>
      <c r="D22" s="466" t="s">
        <v>750</v>
      </c>
      <c r="E22" s="449" t="s">
        <v>751</v>
      </c>
      <c r="F22" s="449" t="s">
        <v>752</v>
      </c>
      <c r="G22" s="449" t="s">
        <v>221</v>
      </c>
      <c r="H22" s="449" t="s">
        <v>753</v>
      </c>
      <c r="I22" s="464" t="s">
        <v>754</v>
      </c>
      <c r="J22" s="434">
        <v>0.53125</v>
      </c>
      <c r="K22" s="402"/>
      <c r="L22" s="449" t="s">
        <v>755</v>
      </c>
      <c r="M22" s="449" t="s">
        <v>756</v>
      </c>
      <c r="N22" s="449" t="s">
        <v>757</v>
      </c>
      <c r="O22" s="434">
        <v>0.55555555555555558</v>
      </c>
      <c r="P22" s="449" t="s">
        <v>758</v>
      </c>
      <c r="Q22" s="434">
        <v>0.56944444444444442</v>
      </c>
      <c r="R22" s="434">
        <v>0.57986111111111116</v>
      </c>
      <c r="S22" s="434">
        <v>0.58680555555555558</v>
      </c>
      <c r="T22" s="467">
        <v>0.59375</v>
      </c>
      <c r="U22" s="449" t="s">
        <v>759</v>
      </c>
      <c r="V22" s="468">
        <v>0.60763888888888884</v>
      </c>
      <c r="W22" s="464" t="s">
        <v>760</v>
      </c>
      <c r="X22" s="434">
        <v>0.61805555555555558</v>
      </c>
      <c r="Y22" s="434">
        <v>0.62847222222222221</v>
      </c>
      <c r="Z22" s="434">
        <v>0.63194444444444442</v>
      </c>
      <c r="AA22" s="434">
        <v>0.63888888888888884</v>
      </c>
      <c r="AB22" s="439"/>
      <c r="AC22" s="434">
        <v>0.64583333333333337</v>
      </c>
      <c r="AD22" s="449" t="s">
        <v>761</v>
      </c>
      <c r="AE22" s="449" t="s">
        <v>762</v>
      </c>
      <c r="AF22" s="456" t="s">
        <v>763</v>
      </c>
      <c r="AG22" s="440" t="s">
        <v>162</v>
      </c>
      <c r="AI22" s="406">
        <v>0.4236111111111111</v>
      </c>
      <c r="AJ22" s="407">
        <v>0.43055555555555558</v>
      </c>
      <c r="AK22" s="407">
        <v>0.45833333333333331</v>
      </c>
      <c r="AL22" s="226">
        <v>0.51736111111111116</v>
      </c>
      <c r="AN22" s="226">
        <v>0.40277777777777779</v>
      </c>
      <c r="AO22" s="407">
        <v>0.43055555555555558</v>
      </c>
      <c r="AP22" s="407">
        <v>0.44444444444444442</v>
      </c>
      <c r="AQ22" s="406">
        <v>0.48958333333333331</v>
      </c>
      <c r="AU22" s="408">
        <f t="shared" si="0"/>
        <v>9.3750000000000056E-2</v>
      </c>
      <c r="AV22" s="408">
        <f t="shared" si="1"/>
        <v>8.6805555555555525E-2</v>
      </c>
    </row>
    <row r="23" spans="1:48" ht="16.5" customHeight="1" thickBot="1" x14ac:dyDescent="0.3">
      <c r="A23" s="91" t="s">
        <v>163</v>
      </c>
      <c r="B23" s="441">
        <v>0.53819444444444442</v>
      </c>
      <c r="C23" s="469">
        <v>0.53819444444444442</v>
      </c>
      <c r="D23" s="92">
        <v>0.54513888888888884</v>
      </c>
      <c r="E23" s="92">
        <v>0.55208333333333337</v>
      </c>
      <c r="F23" s="92">
        <v>0.55902777777777779</v>
      </c>
      <c r="G23" s="92">
        <v>0.56597222222222221</v>
      </c>
      <c r="H23" s="92">
        <v>0.56944444444444442</v>
      </c>
      <c r="I23" s="94">
        <v>0.57638888888888884</v>
      </c>
      <c r="J23" s="92">
        <v>0.58333333333333337</v>
      </c>
      <c r="K23" s="399" t="s">
        <v>28</v>
      </c>
      <c r="L23" s="92">
        <v>0.59027777777777779</v>
      </c>
      <c r="M23" s="92">
        <v>0.59722222222222221</v>
      </c>
      <c r="N23" s="92">
        <v>0.60416666666666663</v>
      </c>
      <c r="O23" s="92">
        <v>0.61458333333333337</v>
      </c>
      <c r="P23" s="92">
        <v>0.62152777777777779</v>
      </c>
      <c r="Q23" s="92">
        <v>0.62847222222222221</v>
      </c>
      <c r="R23" s="92">
        <v>0.63541666666666663</v>
      </c>
      <c r="S23" s="92">
        <v>0.64236111111111116</v>
      </c>
      <c r="T23" s="92">
        <v>0.64930555555555558</v>
      </c>
      <c r="U23" s="92">
        <v>0.65625</v>
      </c>
      <c r="V23" s="92">
        <v>0.66319444444444442</v>
      </c>
      <c r="W23" s="94">
        <v>0.66666666666666663</v>
      </c>
      <c r="X23" s="92">
        <v>0.67361111111111116</v>
      </c>
      <c r="Y23" s="469">
        <v>0.68125000000000002</v>
      </c>
      <c r="Z23" s="92">
        <v>0.68402777777777779</v>
      </c>
      <c r="AA23" s="92">
        <v>0.69097222222222221</v>
      </c>
      <c r="AB23" s="399" t="s">
        <v>288</v>
      </c>
      <c r="AC23" s="92">
        <v>0.70138888888888884</v>
      </c>
      <c r="AD23" s="92">
        <v>0.70833333333333337</v>
      </c>
      <c r="AE23" s="92">
        <v>0.71527777777777779</v>
      </c>
      <c r="AF23" s="445">
        <v>0.72222222222222221</v>
      </c>
      <c r="AG23" s="99" t="s">
        <v>163</v>
      </c>
      <c r="AI23" s="406">
        <v>0.43055555555555558</v>
      </c>
      <c r="AJ23" s="407">
        <v>0.4375</v>
      </c>
      <c r="AK23" s="407">
        <v>0.46527777777777779</v>
      </c>
      <c r="AL23" s="226">
        <v>0.52430555555555558</v>
      </c>
      <c r="AN23" s="226">
        <v>0.40972222222222221</v>
      </c>
      <c r="AO23" s="407">
        <v>0.4375</v>
      </c>
      <c r="AP23" s="407">
        <v>0.4513888888888889</v>
      </c>
      <c r="AQ23" s="406">
        <v>0.49652777777777779</v>
      </c>
      <c r="AU23" s="408">
        <f t="shared" si="0"/>
        <v>9.375E-2</v>
      </c>
      <c r="AV23" s="408">
        <f t="shared" si="1"/>
        <v>8.680555555555558E-2</v>
      </c>
    </row>
    <row r="24" spans="1:48" ht="16.5" customHeight="1" thickBot="1" x14ac:dyDescent="0.3">
      <c r="A24" s="433" t="s">
        <v>164</v>
      </c>
      <c r="B24" s="446">
        <v>0.56944444444444442</v>
      </c>
      <c r="C24" s="465" t="s">
        <v>764</v>
      </c>
      <c r="D24" s="434">
        <v>0.57638888888888884</v>
      </c>
      <c r="E24" s="434">
        <v>0.58333333333333337</v>
      </c>
      <c r="F24" s="434">
        <v>0.59027777777777779</v>
      </c>
      <c r="G24" s="434">
        <v>0.59722222222222221</v>
      </c>
      <c r="H24" s="434">
        <v>0.60416666666666663</v>
      </c>
      <c r="I24" s="447">
        <v>0.61111111111111116</v>
      </c>
      <c r="J24" s="460">
        <v>0.61805555555555558</v>
      </c>
      <c r="K24" s="409" t="s">
        <v>82</v>
      </c>
      <c r="L24" s="447">
        <v>0.625</v>
      </c>
      <c r="M24" s="434">
        <v>0.63194444444444442</v>
      </c>
      <c r="N24" s="434">
        <v>0.63888888888888884</v>
      </c>
      <c r="O24" s="434">
        <v>0.64583333333333337</v>
      </c>
      <c r="P24" s="434">
        <v>0.65277777777777779</v>
      </c>
      <c r="Q24" s="434">
        <v>0.65972222222222221</v>
      </c>
      <c r="R24" s="434">
        <v>0.66666666666666663</v>
      </c>
      <c r="S24" s="434">
        <v>0.67361111111111116</v>
      </c>
      <c r="T24" s="434">
        <v>0.68055555555555558</v>
      </c>
      <c r="U24" s="434">
        <v>0.6875</v>
      </c>
      <c r="V24" s="434">
        <v>0.69444444444444442</v>
      </c>
      <c r="W24" s="447">
        <v>0.69791666666666663</v>
      </c>
      <c r="X24" s="434">
        <v>0.70486111111111116</v>
      </c>
      <c r="Y24" s="416" t="s">
        <v>765</v>
      </c>
      <c r="Z24" s="434">
        <v>0.71527777777777779</v>
      </c>
      <c r="AA24" s="460">
        <v>0.72222222222222221</v>
      </c>
      <c r="AB24" s="409" t="s">
        <v>59</v>
      </c>
      <c r="AC24" s="447">
        <v>0.72916666666666663</v>
      </c>
      <c r="AD24" s="434">
        <v>0.73611111111111116</v>
      </c>
      <c r="AE24" s="434">
        <v>0.74305555555555558</v>
      </c>
      <c r="AF24" s="436">
        <v>0.75</v>
      </c>
      <c r="AG24" s="437" t="s">
        <v>164</v>
      </c>
      <c r="AI24" s="406">
        <v>0.4375</v>
      </c>
      <c r="AJ24" s="407">
        <v>0.44444444444444442</v>
      </c>
      <c r="AK24" s="407">
        <v>0.47222222222222221</v>
      </c>
      <c r="AL24" s="226">
        <v>0.53125</v>
      </c>
      <c r="AN24" s="226">
        <v>0.41666666666666669</v>
      </c>
      <c r="AO24" s="407">
        <v>0.44444444444444442</v>
      </c>
      <c r="AP24" s="407">
        <v>0.45833333333333331</v>
      </c>
      <c r="AQ24" s="406">
        <v>0.50347222222222221</v>
      </c>
      <c r="AU24" s="408">
        <f t="shared" si="0"/>
        <v>9.375E-2</v>
      </c>
      <c r="AV24" s="408">
        <f t="shared" si="1"/>
        <v>8.6805555555555525E-2</v>
      </c>
    </row>
    <row r="25" spans="1:48" ht="16.5" customHeight="1" x14ac:dyDescent="0.25">
      <c r="A25" s="438" t="s">
        <v>166</v>
      </c>
      <c r="B25" s="470" t="s">
        <v>766</v>
      </c>
      <c r="C25" s="415"/>
      <c r="D25" s="434">
        <v>0.59027777777777779</v>
      </c>
      <c r="E25" s="434">
        <v>0.59722222222222221</v>
      </c>
      <c r="F25" s="449" t="s">
        <v>767</v>
      </c>
      <c r="G25" s="434">
        <v>0.61111111111111116</v>
      </c>
      <c r="H25" s="434">
        <v>0.61805555555555558</v>
      </c>
      <c r="I25" s="455" t="s">
        <v>768</v>
      </c>
      <c r="J25" s="463" t="s">
        <v>769</v>
      </c>
      <c r="K25" s="416" t="s">
        <v>770</v>
      </c>
      <c r="L25" s="447">
        <v>0.63888888888888884</v>
      </c>
      <c r="M25" s="449" t="s">
        <v>771</v>
      </c>
      <c r="N25" s="449" t="s">
        <v>772</v>
      </c>
      <c r="O25" s="449" t="s">
        <v>773</v>
      </c>
      <c r="P25" s="449" t="s">
        <v>774</v>
      </c>
      <c r="Q25" s="449" t="s">
        <v>775</v>
      </c>
      <c r="R25" s="449" t="s">
        <v>776</v>
      </c>
      <c r="S25" s="449" t="s">
        <v>777</v>
      </c>
      <c r="T25" s="465" t="s">
        <v>778</v>
      </c>
      <c r="U25" s="434">
        <v>0.70138888888888884</v>
      </c>
      <c r="V25" s="449" t="s">
        <v>779</v>
      </c>
      <c r="W25" s="447">
        <v>0.71180555555555558</v>
      </c>
      <c r="X25" s="449" t="s">
        <v>780</v>
      </c>
      <c r="Y25" s="402"/>
      <c r="Z25" s="449" t="s">
        <v>781</v>
      </c>
      <c r="AA25" s="463" t="s">
        <v>782</v>
      </c>
      <c r="AB25" s="416" t="s">
        <v>783</v>
      </c>
      <c r="AC25" s="464" t="s">
        <v>784</v>
      </c>
      <c r="AD25" s="434">
        <v>0.75</v>
      </c>
      <c r="AE25" s="449" t="s">
        <v>785</v>
      </c>
      <c r="AF25" s="436">
        <v>0.76388888888888884</v>
      </c>
      <c r="AG25" s="440" t="s">
        <v>166</v>
      </c>
      <c r="AI25" s="406">
        <v>0.44444444444444442</v>
      </c>
      <c r="AJ25" s="407">
        <v>0.4513888888888889</v>
      </c>
      <c r="AK25" s="407">
        <v>0.47916666666666669</v>
      </c>
      <c r="AL25" s="226">
        <v>0.53819444444444442</v>
      </c>
      <c r="AN25" s="226">
        <v>0.4236111111111111</v>
      </c>
      <c r="AO25" s="407">
        <v>0.4513888888888889</v>
      </c>
      <c r="AP25" s="407">
        <v>0.46527777777777779</v>
      </c>
      <c r="AQ25" s="406">
        <v>0.51041666666666663</v>
      </c>
      <c r="AU25" s="408">
        <f t="shared" si="0"/>
        <v>9.375E-2</v>
      </c>
      <c r="AV25" s="408">
        <f t="shared" si="1"/>
        <v>8.6805555555555525E-2</v>
      </c>
    </row>
    <row r="26" spans="1:48" ht="16.5" customHeight="1" x14ac:dyDescent="0.25">
      <c r="A26" s="80" t="s">
        <v>160</v>
      </c>
      <c r="B26" s="471">
        <v>0.63888888888888884</v>
      </c>
      <c r="C26" s="415"/>
      <c r="D26" s="430">
        <v>0.63888888888888884</v>
      </c>
      <c r="E26" s="430">
        <v>0.64583333333333337</v>
      </c>
      <c r="F26" s="430">
        <v>0.65277777777777779</v>
      </c>
      <c r="G26" s="430">
        <v>0.65972222222222221</v>
      </c>
      <c r="H26" s="469">
        <v>0.66666666666666663</v>
      </c>
      <c r="I26" s="451">
        <v>0.66666666666666663</v>
      </c>
      <c r="J26" s="430">
        <v>0.67361111111111116</v>
      </c>
      <c r="K26" s="430">
        <v>0.67708333333333337</v>
      </c>
      <c r="L26" s="430">
        <v>0.68402777777777779</v>
      </c>
      <c r="M26" s="430">
        <v>0.69097222222222221</v>
      </c>
      <c r="N26" s="430">
        <v>0.69791666666666663</v>
      </c>
      <c r="O26" s="430">
        <v>0.70486111111111116</v>
      </c>
      <c r="P26" s="430">
        <v>0.71180555555555558</v>
      </c>
      <c r="Q26" s="430">
        <v>0.72222222222222221</v>
      </c>
      <c r="R26" s="430">
        <v>0.72916666666666663</v>
      </c>
      <c r="S26" s="430">
        <v>0.73611111111111116</v>
      </c>
      <c r="T26" s="430">
        <v>0.74305555555555558</v>
      </c>
      <c r="U26" s="469">
        <v>0.74305555555555558</v>
      </c>
      <c r="V26" s="430">
        <v>0.75</v>
      </c>
      <c r="W26" s="451">
        <v>0.75694444444444442</v>
      </c>
      <c r="X26" s="430">
        <v>0.76388888888888884</v>
      </c>
      <c r="Y26" s="402"/>
      <c r="Z26" s="430">
        <v>0.77083333333333337</v>
      </c>
      <c r="AA26" s="430">
        <v>0.77777777777777779</v>
      </c>
      <c r="AB26" s="430">
        <v>0.78472222222222221</v>
      </c>
      <c r="AC26" s="469">
        <v>0.79513888888888884</v>
      </c>
      <c r="AD26" s="430">
        <v>0.79513888888888884</v>
      </c>
      <c r="AE26" s="430">
        <v>0.80555555555555558</v>
      </c>
      <c r="AF26" s="472">
        <v>0.80902777777777779</v>
      </c>
      <c r="AG26" s="81" t="s">
        <v>160</v>
      </c>
      <c r="AI26" s="406">
        <v>0.4513888888888889</v>
      </c>
      <c r="AJ26" s="407">
        <v>0.45833333333333331</v>
      </c>
      <c r="AK26" s="407">
        <v>0.4861111111111111</v>
      </c>
      <c r="AL26" s="473">
        <v>0.53819444444444442</v>
      </c>
      <c r="AN26" s="226">
        <v>0.43055555555555558</v>
      </c>
      <c r="AO26" s="407">
        <v>0.45833333333333331</v>
      </c>
      <c r="AP26" s="407">
        <v>0.47222222222222221</v>
      </c>
      <c r="AQ26" s="406">
        <v>0.51736111111111116</v>
      </c>
      <c r="AU26" s="408">
        <f t="shared" si="0"/>
        <v>8.6805555555555525E-2</v>
      </c>
      <c r="AV26" s="408">
        <f t="shared" si="1"/>
        <v>8.680555555555558E-2</v>
      </c>
    </row>
    <row r="27" spans="1:48" ht="16.5" customHeight="1" x14ac:dyDescent="0.25">
      <c r="A27" s="433" t="s">
        <v>161</v>
      </c>
      <c r="B27" s="474" t="s">
        <v>786</v>
      </c>
      <c r="C27" s="415"/>
      <c r="D27" s="434">
        <v>0.64583333333333337</v>
      </c>
      <c r="E27" s="434">
        <v>0.65277777777777779</v>
      </c>
      <c r="F27" s="434">
        <v>0.65972222222222221</v>
      </c>
      <c r="G27" s="434">
        <v>0.66666666666666663</v>
      </c>
      <c r="H27" s="465" t="s">
        <v>787</v>
      </c>
      <c r="I27" s="447">
        <v>0.67361111111111116</v>
      </c>
      <c r="J27" s="434">
        <v>0.68055555555555558</v>
      </c>
      <c r="K27" s="434">
        <v>0.6875</v>
      </c>
      <c r="L27" s="434">
        <v>0.69444444444444442</v>
      </c>
      <c r="M27" s="434">
        <v>0.70138888888888884</v>
      </c>
      <c r="N27" s="434">
        <v>0.70833333333333337</v>
      </c>
      <c r="O27" s="434">
        <v>0.71527777777777779</v>
      </c>
      <c r="P27" s="434">
        <v>0.72222222222222221</v>
      </c>
      <c r="Q27" s="434">
        <v>0.72916666666666663</v>
      </c>
      <c r="R27" s="434">
        <v>0.73611111111111116</v>
      </c>
      <c r="S27" s="434">
        <v>0.74305555555555558</v>
      </c>
      <c r="T27" s="434">
        <v>0.75</v>
      </c>
      <c r="U27" s="465" t="s">
        <v>332</v>
      </c>
      <c r="V27" s="434">
        <v>0.75694444444444442</v>
      </c>
      <c r="W27" s="447">
        <v>0.76388888888888884</v>
      </c>
      <c r="X27" s="434">
        <v>0.77083333333333337</v>
      </c>
      <c r="Y27" s="402"/>
      <c r="Z27" s="434">
        <v>0.77777777777777779</v>
      </c>
      <c r="AA27" s="434">
        <v>0.78472222222222221</v>
      </c>
      <c r="AB27" s="434">
        <v>0.79166666666666663</v>
      </c>
      <c r="AC27" s="465" t="s">
        <v>788</v>
      </c>
      <c r="AD27" s="434">
        <v>0.80208333333333337</v>
      </c>
      <c r="AE27" s="434">
        <v>0.8125</v>
      </c>
      <c r="AF27" s="475" t="s">
        <v>424</v>
      </c>
      <c r="AG27" s="437" t="s">
        <v>161</v>
      </c>
      <c r="AI27" s="406">
        <v>0.45833333333333331</v>
      </c>
      <c r="AJ27" s="407">
        <v>0.46527777777777779</v>
      </c>
      <c r="AK27" s="407">
        <v>0.49305555555555558</v>
      </c>
      <c r="AL27" s="226">
        <v>0.55208333333333337</v>
      </c>
      <c r="AN27" s="226">
        <v>0.4375</v>
      </c>
      <c r="AO27" s="407">
        <v>0.46527777777777779</v>
      </c>
      <c r="AP27" s="407">
        <v>0.47916666666666669</v>
      </c>
      <c r="AQ27" s="406">
        <v>0.52430555555555558</v>
      </c>
      <c r="AU27" s="408">
        <f t="shared" si="0"/>
        <v>9.3750000000000056E-2</v>
      </c>
      <c r="AV27" s="408">
        <f t="shared" si="1"/>
        <v>8.680555555555558E-2</v>
      </c>
    </row>
    <row r="28" spans="1:48" ht="16.5" customHeight="1" thickBot="1" x14ac:dyDescent="0.3">
      <c r="A28" s="438" t="s">
        <v>162</v>
      </c>
      <c r="B28" s="429"/>
      <c r="C28" s="415"/>
      <c r="D28" s="449" t="s">
        <v>789</v>
      </c>
      <c r="E28" s="449" t="s">
        <v>790</v>
      </c>
      <c r="F28" s="434">
        <v>0.69444444444444442</v>
      </c>
      <c r="G28" s="449" t="s">
        <v>791</v>
      </c>
      <c r="H28" s="402"/>
      <c r="I28" s="448">
        <v>0.70833333333333337</v>
      </c>
      <c r="J28" s="434">
        <v>0.71180555555555558</v>
      </c>
      <c r="K28" s="434">
        <v>0.71527777777777779</v>
      </c>
      <c r="L28" s="449" t="s">
        <v>792</v>
      </c>
      <c r="M28" s="434">
        <v>0.72916666666666663</v>
      </c>
      <c r="N28" s="434">
        <v>0.73611111111111116</v>
      </c>
      <c r="O28" s="449" t="s">
        <v>793</v>
      </c>
      <c r="P28" s="434">
        <v>0.75</v>
      </c>
      <c r="Q28" s="434">
        <v>0.75694444444444442</v>
      </c>
      <c r="R28" s="449" t="s">
        <v>794</v>
      </c>
      <c r="S28" s="434">
        <v>0.77083333333333337</v>
      </c>
      <c r="T28" s="454">
        <v>0.78125</v>
      </c>
      <c r="U28" s="454"/>
      <c r="V28" s="476" t="s">
        <v>795</v>
      </c>
      <c r="W28" s="464" t="s">
        <v>796</v>
      </c>
      <c r="X28" s="434">
        <v>0.79861111111111116</v>
      </c>
      <c r="Y28" s="402"/>
      <c r="Z28" s="434">
        <v>0.80555555555555558</v>
      </c>
      <c r="AA28" s="434">
        <v>0.8125</v>
      </c>
      <c r="AB28" s="434">
        <v>0.81944444444444442</v>
      </c>
      <c r="AD28" s="449" t="s">
        <v>797</v>
      </c>
      <c r="AE28" s="434">
        <v>0.84027777777777779</v>
      </c>
      <c r="AF28" s="427"/>
      <c r="AG28" s="440" t="s">
        <v>162</v>
      </c>
      <c r="AI28" s="406">
        <v>0.46527777777777779</v>
      </c>
      <c r="AJ28" s="407">
        <v>0.47222222222222221</v>
      </c>
      <c r="AK28" s="407">
        <v>0.5</v>
      </c>
      <c r="AL28" s="226">
        <v>0.55902777777777779</v>
      </c>
      <c r="AN28" s="226">
        <v>0.44444444444444442</v>
      </c>
      <c r="AO28" s="407">
        <v>0.47222222222222221</v>
      </c>
      <c r="AP28" s="407">
        <v>0.4861111111111111</v>
      </c>
      <c r="AQ28" s="406">
        <v>0.53125</v>
      </c>
      <c r="AU28" s="408">
        <f t="shared" si="0"/>
        <v>9.375E-2</v>
      </c>
      <c r="AV28" s="408">
        <f t="shared" si="1"/>
        <v>8.680555555555558E-2</v>
      </c>
    </row>
    <row r="29" spans="1:48" ht="16.5" customHeight="1" thickBot="1" x14ac:dyDescent="0.3">
      <c r="A29" s="91" t="s">
        <v>163</v>
      </c>
      <c r="B29" s="429"/>
      <c r="C29" s="415"/>
      <c r="D29" s="92">
        <v>0.72916666666666663</v>
      </c>
      <c r="E29" s="92">
        <v>0.73611111111111116</v>
      </c>
      <c r="F29" s="92">
        <v>0.74652777777777779</v>
      </c>
      <c r="G29" s="92">
        <v>0.75347222222222221</v>
      </c>
      <c r="H29" s="402"/>
      <c r="I29" s="94">
        <v>0.76041666666666663</v>
      </c>
      <c r="J29" s="469">
        <v>0.76041666666666663</v>
      </c>
      <c r="K29" s="92">
        <v>0.76736111111111116</v>
      </c>
      <c r="L29" s="92">
        <v>0.77777777777777779</v>
      </c>
      <c r="M29" s="469">
        <v>0.77777777777777779</v>
      </c>
      <c r="N29" s="92">
        <v>0.78819444444444442</v>
      </c>
      <c r="O29" s="92">
        <v>0.79861111111111116</v>
      </c>
      <c r="P29" s="469">
        <v>0.79861111111111116</v>
      </c>
      <c r="Q29" s="92">
        <v>0.80902777777777779</v>
      </c>
      <c r="R29" s="92">
        <v>0.81944444444444442</v>
      </c>
      <c r="S29" s="469">
        <v>0.82361111111111107</v>
      </c>
      <c r="T29" s="92">
        <v>0.83333333333333337</v>
      </c>
      <c r="U29" s="443"/>
      <c r="V29" s="477">
        <v>0.84375</v>
      </c>
      <c r="W29" s="94">
        <v>0.84375</v>
      </c>
      <c r="X29" s="469">
        <v>0.84375</v>
      </c>
      <c r="Y29" s="402"/>
      <c r="Z29" s="469">
        <v>0.84722222222222221</v>
      </c>
      <c r="AA29" s="92">
        <v>0.85416666666666663</v>
      </c>
      <c r="AB29" s="92">
        <v>0.86458333333333337</v>
      </c>
      <c r="AC29" s="399" t="s">
        <v>798</v>
      </c>
      <c r="AD29" s="92">
        <v>0.875</v>
      </c>
      <c r="AE29" s="92">
        <v>0.88541666666666663</v>
      </c>
      <c r="AF29" s="427"/>
      <c r="AG29" s="99" t="s">
        <v>163</v>
      </c>
      <c r="AI29" s="406">
        <v>0.46875</v>
      </c>
      <c r="AJ29" s="407">
        <v>0.47916666666666669</v>
      </c>
      <c r="AK29" s="407">
        <v>0.50694444444444442</v>
      </c>
      <c r="AL29" s="226">
        <v>0.56597222222222221</v>
      </c>
      <c r="AN29" s="226">
        <v>0.44791666666666669</v>
      </c>
      <c r="AO29" s="407">
        <v>0.47916666666666669</v>
      </c>
      <c r="AP29" s="407">
        <v>0.49305555555555558</v>
      </c>
      <c r="AQ29" s="406">
        <v>0.54513888888888884</v>
      </c>
      <c r="AU29" s="408">
        <f t="shared" si="0"/>
        <v>9.722222222222221E-2</v>
      </c>
      <c r="AV29" s="408">
        <f t="shared" si="1"/>
        <v>9.7222222222222154E-2</v>
      </c>
    </row>
    <row r="30" spans="1:48" ht="16.5" customHeight="1" thickBot="1" x14ac:dyDescent="0.3">
      <c r="A30" s="433" t="s">
        <v>164</v>
      </c>
      <c r="B30" s="429"/>
      <c r="C30" s="415"/>
      <c r="D30" s="434">
        <v>0.75694444444444442</v>
      </c>
      <c r="E30" s="434">
        <v>0.76388888888888884</v>
      </c>
      <c r="F30" s="434">
        <v>0.77083333333333337</v>
      </c>
      <c r="G30" s="434">
        <v>0.77777777777777779</v>
      </c>
      <c r="H30" s="402"/>
      <c r="I30" s="447">
        <v>0.78472222222222221</v>
      </c>
      <c r="J30" s="465" t="s">
        <v>333</v>
      </c>
      <c r="K30" s="434">
        <v>0.79166666666666663</v>
      </c>
      <c r="L30" s="434">
        <v>0.80208333333333337</v>
      </c>
      <c r="M30" s="465" t="s">
        <v>341</v>
      </c>
      <c r="N30" s="454">
        <v>0.8125</v>
      </c>
      <c r="O30" s="434">
        <v>0.82291666666666663</v>
      </c>
      <c r="P30" s="465" t="s">
        <v>799</v>
      </c>
      <c r="Q30" s="434">
        <v>0.83333333333333337</v>
      </c>
      <c r="R30" s="434">
        <v>0.84375</v>
      </c>
      <c r="S30" s="465" t="s">
        <v>800</v>
      </c>
      <c r="T30" s="434">
        <v>0.85416666666666663</v>
      </c>
      <c r="U30" s="443"/>
      <c r="V30" s="465" t="s">
        <v>801</v>
      </c>
      <c r="W30" s="447">
        <v>0.86458333333333337</v>
      </c>
      <c r="X30" s="465" t="s">
        <v>801</v>
      </c>
      <c r="Y30" s="402"/>
      <c r="Z30" s="465" t="s">
        <v>427</v>
      </c>
      <c r="AA30" s="434">
        <v>0.875</v>
      </c>
      <c r="AB30" s="460">
        <v>0.88541666666666663</v>
      </c>
      <c r="AC30" s="409" t="s">
        <v>84</v>
      </c>
      <c r="AD30" s="447">
        <v>0.89583333333333337</v>
      </c>
      <c r="AE30" s="434">
        <v>0.90625</v>
      </c>
      <c r="AF30" s="427"/>
      <c r="AG30" s="437" t="s">
        <v>164</v>
      </c>
      <c r="AI30" s="406">
        <v>0.47569444444444442</v>
      </c>
      <c r="AJ30" s="407">
        <v>0.4861111111111111</v>
      </c>
      <c r="AK30" s="407">
        <v>0.51388888888888884</v>
      </c>
      <c r="AL30" s="226">
        <v>0.56944444444444442</v>
      </c>
      <c r="AN30" s="226">
        <v>0.4548611111111111</v>
      </c>
      <c r="AO30" s="407">
        <v>0.4861111111111111</v>
      </c>
      <c r="AP30" s="421">
        <v>0.5</v>
      </c>
      <c r="AQ30" s="406">
        <v>0.55208333333333337</v>
      </c>
      <c r="AU30" s="408">
        <f t="shared" si="0"/>
        <v>9.375E-2</v>
      </c>
      <c r="AV30" s="408">
        <f t="shared" si="1"/>
        <v>9.7222222222222265E-2</v>
      </c>
    </row>
    <row r="31" spans="1:48" ht="16.5" customHeight="1" thickBot="1" x14ac:dyDescent="0.3">
      <c r="A31" s="438" t="s">
        <v>166</v>
      </c>
      <c r="B31" s="429"/>
      <c r="C31" s="415"/>
      <c r="D31" s="449" t="s">
        <v>802</v>
      </c>
      <c r="E31" s="434">
        <v>0.77777777777777779</v>
      </c>
      <c r="F31" s="449" t="s">
        <v>803</v>
      </c>
      <c r="G31" s="434">
        <v>0.79166666666666663</v>
      </c>
      <c r="H31" s="402"/>
      <c r="I31" s="453" t="s">
        <v>804</v>
      </c>
      <c r="J31" s="416"/>
      <c r="K31" s="449" t="s">
        <v>805</v>
      </c>
      <c r="L31" s="434">
        <v>0.81597222222222221</v>
      </c>
      <c r="M31" s="434"/>
      <c r="N31" s="465" t="s">
        <v>806</v>
      </c>
      <c r="O31" s="434">
        <v>0.83680555555555558</v>
      </c>
      <c r="P31" s="416"/>
      <c r="Q31" s="449" t="s">
        <v>807</v>
      </c>
      <c r="R31" s="434">
        <v>0.85763888888888884</v>
      </c>
      <c r="S31" s="465"/>
      <c r="T31" s="465" t="s">
        <v>808</v>
      </c>
      <c r="U31" s="443"/>
      <c r="V31" s="402"/>
      <c r="W31" s="434">
        <v>0.875</v>
      </c>
      <c r="X31" s="416"/>
      <c r="Y31" s="402"/>
      <c r="Z31" s="416"/>
      <c r="AA31" s="449" t="s">
        <v>809</v>
      </c>
      <c r="AB31" s="463" t="s">
        <v>810</v>
      </c>
      <c r="AC31" s="416" t="s">
        <v>811</v>
      </c>
      <c r="AD31" s="447">
        <v>0.90625</v>
      </c>
      <c r="AE31" s="449" t="s">
        <v>812</v>
      </c>
      <c r="AF31" s="427"/>
      <c r="AG31" s="440" t="s">
        <v>166</v>
      </c>
      <c r="AI31" s="406">
        <v>0.4826388888888889</v>
      </c>
      <c r="AJ31" s="407">
        <v>0.49305555555555558</v>
      </c>
      <c r="AK31" s="407">
        <v>0.52083333333333337</v>
      </c>
      <c r="AL31" s="226">
        <v>0.57638888888888884</v>
      </c>
      <c r="AN31" s="226">
        <v>0.46180555555555558</v>
      </c>
      <c r="AO31" s="407">
        <v>0.49305555555555558</v>
      </c>
      <c r="AP31" s="407">
        <v>0.50694444444444442</v>
      </c>
      <c r="AQ31" s="406">
        <v>0.55902777777777779</v>
      </c>
      <c r="AU31" s="408">
        <f t="shared" si="0"/>
        <v>9.3749999999999944E-2</v>
      </c>
      <c r="AV31" s="408">
        <f t="shared" si="1"/>
        <v>9.722222222222221E-2</v>
      </c>
    </row>
    <row r="32" spans="1:48" ht="16.5" customHeight="1" thickBot="1" x14ac:dyDescent="0.3">
      <c r="A32" s="80" t="s">
        <v>160</v>
      </c>
      <c r="B32" s="429"/>
      <c r="C32" s="415"/>
      <c r="D32" s="430">
        <v>0.81597222222222221</v>
      </c>
      <c r="E32" s="469">
        <v>0.82291666666666663</v>
      </c>
      <c r="F32" s="430">
        <v>0.82638888888888884</v>
      </c>
      <c r="G32" s="469">
        <v>0.82986111111111116</v>
      </c>
      <c r="H32" s="402"/>
      <c r="I32" s="451">
        <v>0.83680555555555558</v>
      </c>
      <c r="J32" s="402"/>
      <c r="K32" s="430">
        <v>0.84722222222222221</v>
      </c>
      <c r="L32" s="430">
        <v>0.85763888888888884</v>
      </c>
      <c r="M32" s="434"/>
      <c r="N32" s="430">
        <v>0.86805555555555558</v>
      </c>
      <c r="O32" s="430">
        <v>0.87847222222222221</v>
      </c>
      <c r="P32" s="402"/>
      <c r="Q32" s="430">
        <v>0.88888888888888884</v>
      </c>
      <c r="R32" s="469">
        <v>0.89583333333333337</v>
      </c>
      <c r="S32" s="399" t="s">
        <v>813</v>
      </c>
      <c r="T32" s="430">
        <v>0.89930555555555558</v>
      </c>
      <c r="U32" s="443"/>
      <c r="V32" s="402"/>
      <c r="W32" s="430">
        <v>0.90972222222222221</v>
      </c>
      <c r="X32" s="402"/>
      <c r="Y32" s="402"/>
      <c r="Z32" s="402"/>
      <c r="AA32" s="430">
        <v>0.92013888888888884</v>
      </c>
      <c r="AB32" s="430">
        <v>0.93055555555555558</v>
      </c>
      <c r="AC32" s="430">
        <v>0.94097222222222221</v>
      </c>
      <c r="AD32" s="469">
        <v>0.94444444444444442</v>
      </c>
      <c r="AE32" s="430">
        <v>0.95138888888888884</v>
      </c>
      <c r="AF32" s="427"/>
      <c r="AG32" s="81" t="s">
        <v>160</v>
      </c>
      <c r="AI32" s="406">
        <v>0.48958333333333331</v>
      </c>
      <c r="AJ32" s="407">
        <v>0.5</v>
      </c>
      <c r="AK32" s="407">
        <v>0.52777777777777779</v>
      </c>
      <c r="AL32" s="226">
        <v>0.58333333333333337</v>
      </c>
      <c r="AN32" s="226">
        <v>0.46875</v>
      </c>
      <c r="AO32" s="407">
        <v>0.5</v>
      </c>
      <c r="AP32" s="407">
        <v>0.51388888888888884</v>
      </c>
      <c r="AQ32" s="406">
        <v>0.56597222222222221</v>
      </c>
      <c r="AU32" s="408">
        <f t="shared" si="0"/>
        <v>9.3750000000000056E-2</v>
      </c>
      <c r="AV32" s="408">
        <f t="shared" si="1"/>
        <v>9.722222222222221E-2</v>
      </c>
    </row>
    <row r="33" spans="1:48" ht="16.5" customHeight="1" thickBot="1" x14ac:dyDescent="0.3">
      <c r="A33" s="433" t="s">
        <v>161</v>
      </c>
      <c r="B33" s="429"/>
      <c r="C33" s="415"/>
      <c r="D33" s="434">
        <v>0.82291666666666663</v>
      </c>
      <c r="E33" s="465" t="s">
        <v>426</v>
      </c>
      <c r="F33" s="434">
        <v>0.83333333333333337</v>
      </c>
      <c r="G33" s="465" t="s">
        <v>814</v>
      </c>
      <c r="H33" s="402"/>
      <c r="I33" s="447">
        <v>0.84375</v>
      </c>
      <c r="J33" s="402"/>
      <c r="K33" s="434">
        <v>0.85416666666666663</v>
      </c>
      <c r="L33" s="434">
        <v>0.86458333333333337</v>
      </c>
      <c r="M33" s="434"/>
      <c r="N33" s="454">
        <v>0.875</v>
      </c>
      <c r="O33" s="434">
        <v>0.88541666666666663</v>
      </c>
      <c r="P33" s="402"/>
      <c r="Q33" s="434">
        <v>0.89583333333333337</v>
      </c>
      <c r="R33" s="478" t="s">
        <v>815</v>
      </c>
      <c r="S33" s="409" t="s">
        <v>60</v>
      </c>
      <c r="T33" s="434">
        <v>0.90625</v>
      </c>
      <c r="U33" s="443"/>
      <c r="V33" s="402"/>
      <c r="W33" s="447">
        <v>0.91666666666666663</v>
      </c>
      <c r="X33" s="402"/>
      <c r="Y33" s="402"/>
      <c r="Z33" s="402"/>
      <c r="AA33" s="434">
        <v>0.92708333333333337</v>
      </c>
      <c r="AB33" s="434">
        <v>0.9375</v>
      </c>
      <c r="AC33" s="434">
        <v>0.94791666666666663</v>
      </c>
      <c r="AD33" s="465" t="s">
        <v>816</v>
      </c>
      <c r="AE33" s="434">
        <v>0.95833333333333337</v>
      </c>
      <c r="AF33" s="427"/>
      <c r="AG33" s="437" t="s">
        <v>161</v>
      </c>
      <c r="AI33" s="406">
        <v>0.49652777777777779</v>
      </c>
      <c r="AJ33" s="407">
        <v>0.50694444444444442</v>
      </c>
      <c r="AK33" s="407">
        <v>0.53472222222222221</v>
      </c>
      <c r="AL33" s="226">
        <v>0.59027777777777779</v>
      </c>
      <c r="AN33" s="226">
        <v>0.47569444444444442</v>
      </c>
      <c r="AO33" s="407">
        <v>0.50694444444444442</v>
      </c>
      <c r="AP33" s="407">
        <v>0.52083333333333337</v>
      </c>
      <c r="AQ33" s="406">
        <v>0.57291666666666663</v>
      </c>
      <c r="AU33" s="408">
        <f t="shared" si="0"/>
        <v>9.375E-2</v>
      </c>
      <c r="AV33" s="408">
        <f t="shared" si="1"/>
        <v>9.722222222222221E-2</v>
      </c>
    </row>
    <row r="34" spans="1:48" ht="16.5" customHeight="1" x14ac:dyDescent="0.25">
      <c r="A34" s="438" t="s">
        <v>162</v>
      </c>
      <c r="B34" s="429"/>
      <c r="C34" s="415"/>
      <c r="D34" s="434">
        <v>0.85069444444444442</v>
      </c>
      <c r="E34" s="402"/>
      <c r="F34" s="449" t="s">
        <v>817</v>
      </c>
      <c r="G34" s="402"/>
      <c r="H34" s="402"/>
      <c r="I34" s="447">
        <v>0.87152777777777779</v>
      </c>
      <c r="J34" s="402"/>
      <c r="K34" s="449" t="s">
        <v>818</v>
      </c>
      <c r="L34" s="449" t="s">
        <v>819</v>
      </c>
      <c r="M34" s="434"/>
      <c r="N34" s="454">
        <v>0.90277777777777779</v>
      </c>
      <c r="O34" s="449" t="s">
        <v>820</v>
      </c>
      <c r="P34" s="402"/>
      <c r="Q34" s="434">
        <v>0.92013888888888884</v>
      </c>
      <c r="R34" s="412"/>
      <c r="S34" s="416" t="s">
        <v>821</v>
      </c>
      <c r="T34" s="449" t="s">
        <v>822</v>
      </c>
      <c r="U34" s="443"/>
      <c r="V34" s="402"/>
      <c r="W34" s="447">
        <v>0.94097222222222221</v>
      </c>
      <c r="X34" s="402"/>
      <c r="Y34" s="402"/>
      <c r="Z34" s="402"/>
      <c r="AA34" s="434">
        <v>0.95138888888888884</v>
      </c>
      <c r="AB34" s="434">
        <v>0.96527777777777779</v>
      </c>
      <c r="AC34" s="434">
        <v>0.97569444444444442</v>
      </c>
      <c r="AD34" s="402"/>
      <c r="AE34" s="434">
        <v>0.98263888888888884</v>
      </c>
      <c r="AF34" s="427"/>
      <c r="AG34" s="440" t="s">
        <v>162</v>
      </c>
      <c r="AI34" s="406">
        <v>0.50347222222222221</v>
      </c>
      <c r="AJ34" s="407">
        <v>0.51388888888888884</v>
      </c>
      <c r="AK34" s="407">
        <v>0.54166666666666663</v>
      </c>
      <c r="AL34" s="226">
        <v>0.59722222222222221</v>
      </c>
      <c r="AN34" s="226">
        <v>0.4826388888888889</v>
      </c>
      <c r="AO34" s="407">
        <v>0.51388888888888884</v>
      </c>
      <c r="AP34" s="407">
        <v>0.52777777777777779</v>
      </c>
      <c r="AQ34" s="406">
        <v>0.57986111111111116</v>
      </c>
      <c r="AU34" s="408">
        <f t="shared" si="0"/>
        <v>9.375E-2</v>
      </c>
      <c r="AV34" s="408">
        <f t="shared" si="1"/>
        <v>9.7222222222222265E-2</v>
      </c>
    </row>
    <row r="35" spans="1:48" ht="16.5" customHeight="1" x14ac:dyDescent="0.25">
      <c r="A35" s="91" t="s">
        <v>163</v>
      </c>
      <c r="B35" s="425"/>
      <c r="C35" s="415"/>
      <c r="D35" s="92">
        <v>0.89583333333333337</v>
      </c>
      <c r="E35" s="415"/>
      <c r="F35" s="92">
        <v>0.90625</v>
      </c>
      <c r="G35" s="402"/>
      <c r="H35" s="402"/>
      <c r="I35" s="94">
        <v>0.91666666666666663</v>
      </c>
      <c r="J35" s="402"/>
      <c r="K35" s="92">
        <v>0.92708333333333337</v>
      </c>
      <c r="L35" s="92">
        <v>0.9375</v>
      </c>
      <c r="M35" s="434"/>
      <c r="N35" s="469">
        <v>0.95138888888888884</v>
      </c>
      <c r="O35" s="92">
        <v>0.95138888888888884</v>
      </c>
      <c r="P35" s="402"/>
      <c r="Q35" s="469">
        <v>0.96180555555555558</v>
      </c>
      <c r="R35" s="402"/>
      <c r="S35" s="92">
        <v>0.96527777777777779</v>
      </c>
      <c r="T35" s="92">
        <v>0.97916666666666663</v>
      </c>
      <c r="U35" s="443"/>
      <c r="V35" s="402"/>
      <c r="W35" s="469">
        <v>0.98263888888888884</v>
      </c>
      <c r="X35" s="402"/>
      <c r="Y35" s="402"/>
      <c r="Z35" s="402"/>
      <c r="AA35" s="469">
        <v>0.99305555555555558</v>
      </c>
      <c r="AB35" s="469">
        <v>3.472222222222222E-3</v>
      </c>
      <c r="AC35" s="92">
        <v>2.0833333333333332E-2</v>
      </c>
      <c r="AD35" s="402"/>
      <c r="AE35" s="469">
        <v>2.4305555555555556E-2</v>
      </c>
      <c r="AF35" s="427"/>
      <c r="AG35" s="99" t="s">
        <v>163</v>
      </c>
      <c r="AI35" s="406">
        <v>0.51041666666666663</v>
      </c>
      <c r="AJ35" s="407">
        <v>0.52083333333333337</v>
      </c>
      <c r="AK35" s="407">
        <v>0.54861111111111116</v>
      </c>
      <c r="AL35" s="226">
        <v>0.60416666666666663</v>
      </c>
      <c r="AN35" s="226">
        <v>0.48958333333333331</v>
      </c>
      <c r="AO35" s="407">
        <v>0.52083333333333337</v>
      </c>
      <c r="AP35" s="407">
        <v>0.53472222222222221</v>
      </c>
      <c r="AQ35" s="406">
        <v>0.58680555555555558</v>
      </c>
      <c r="AU35" s="408">
        <f t="shared" si="0"/>
        <v>9.375E-2</v>
      </c>
      <c r="AV35" s="408">
        <f t="shared" si="1"/>
        <v>9.7222222222222265E-2</v>
      </c>
    </row>
    <row r="36" spans="1:48" ht="16.5" customHeight="1" x14ac:dyDescent="0.25">
      <c r="A36" s="433" t="s">
        <v>164</v>
      </c>
      <c r="B36" s="425"/>
      <c r="C36" s="415"/>
      <c r="D36" s="434">
        <v>0.91666666666666663</v>
      </c>
      <c r="E36" s="415"/>
      <c r="F36" s="434">
        <v>0.92708333333333337</v>
      </c>
      <c r="G36" s="412"/>
      <c r="H36" s="402"/>
      <c r="I36" s="447">
        <v>0.9375</v>
      </c>
      <c r="J36" s="402"/>
      <c r="K36" s="434">
        <v>0.94791666666666663</v>
      </c>
      <c r="L36" s="460">
        <v>0.95833333333333337</v>
      </c>
      <c r="M36" s="434"/>
      <c r="N36" s="415" t="s">
        <v>816</v>
      </c>
      <c r="O36" s="447">
        <v>0.97222222222222221</v>
      </c>
      <c r="P36" s="402"/>
      <c r="Q36" s="465" t="s">
        <v>823</v>
      </c>
      <c r="R36" s="402"/>
      <c r="S36" s="434">
        <v>0.98611111111111116</v>
      </c>
      <c r="T36" s="434">
        <v>0</v>
      </c>
      <c r="U36" s="443"/>
      <c r="V36" s="402"/>
      <c r="W36" s="465" t="s">
        <v>824</v>
      </c>
      <c r="X36" s="402"/>
      <c r="Y36" s="402"/>
      <c r="Z36" s="402"/>
      <c r="AA36" s="465" t="s">
        <v>825</v>
      </c>
      <c r="AB36" s="465" t="s">
        <v>826</v>
      </c>
      <c r="AC36" s="434">
        <v>4.1666666666666664E-2</v>
      </c>
      <c r="AD36" s="402"/>
      <c r="AE36" s="465" t="s">
        <v>827</v>
      </c>
      <c r="AF36" s="427"/>
      <c r="AG36" s="437" t="s">
        <v>164</v>
      </c>
      <c r="AI36" s="406">
        <v>0.51736111111111116</v>
      </c>
      <c r="AJ36" s="407">
        <v>0.52777777777777779</v>
      </c>
      <c r="AK36" s="407">
        <v>0.55555555555555558</v>
      </c>
      <c r="AL36" s="226">
        <v>0.61458333333333337</v>
      </c>
      <c r="AN36" s="226">
        <v>0.49652777777777779</v>
      </c>
      <c r="AO36" s="407">
        <v>0.52777777777777779</v>
      </c>
      <c r="AP36" s="407">
        <v>0.54166666666666663</v>
      </c>
      <c r="AQ36" s="406">
        <v>0.59375</v>
      </c>
      <c r="AU36" s="408">
        <f t="shared" si="0"/>
        <v>9.722222222222221E-2</v>
      </c>
      <c r="AV36" s="408">
        <f t="shared" si="1"/>
        <v>9.722222222222221E-2</v>
      </c>
    </row>
    <row r="37" spans="1:48" ht="16.5" customHeight="1" x14ac:dyDescent="0.25">
      <c r="A37" s="438" t="s">
        <v>166</v>
      </c>
      <c r="B37" s="425"/>
      <c r="C37" s="415"/>
      <c r="D37" s="449" t="s">
        <v>828</v>
      </c>
      <c r="E37" s="415"/>
      <c r="F37" s="449" t="s">
        <v>434</v>
      </c>
      <c r="G37" s="412"/>
      <c r="H37" s="402"/>
      <c r="I37" s="479">
        <v>0.94791666666666663</v>
      </c>
      <c r="J37" s="402"/>
      <c r="K37" s="449" t="s">
        <v>829</v>
      </c>
      <c r="L37" s="460">
        <v>0.96875</v>
      </c>
      <c r="M37" s="434"/>
      <c r="N37" s="416"/>
      <c r="O37" s="447">
        <v>0.98263888888888884</v>
      </c>
      <c r="P37" s="426"/>
      <c r="Q37" s="416"/>
      <c r="R37" s="402"/>
      <c r="S37" s="434">
        <v>0.99652777777777779</v>
      </c>
      <c r="T37" s="434">
        <v>1.3888888888888888E-2</v>
      </c>
      <c r="U37" s="443"/>
      <c r="V37" s="402"/>
      <c r="W37" s="416"/>
      <c r="X37" s="402"/>
      <c r="Y37" s="402"/>
      <c r="Z37" s="402"/>
      <c r="AA37" s="416"/>
      <c r="AB37" s="416"/>
      <c r="AC37" s="449" t="s">
        <v>830</v>
      </c>
      <c r="AD37" s="402"/>
      <c r="AE37" s="402"/>
      <c r="AF37" s="427"/>
      <c r="AG37" s="440" t="s">
        <v>166</v>
      </c>
      <c r="AI37" s="406">
        <v>0.52430555555555558</v>
      </c>
      <c r="AJ37" s="407">
        <v>0.53472222222222221</v>
      </c>
      <c r="AK37" s="407">
        <v>0.55902777777777779</v>
      </c>
      <c r="AL37" s="226">
        <v>0.62152777777777779</v>
      </c>
      <c r="AN37" s="226">
        <v>0.50347222222222221</v>
      </c>
      <c r="AO37" s="407">
        <v>0.53472222222222221</v>
      </c>
      <c r="AP37" s="407">
        <v>0.54861111111111116</v>
      </c>
      <c r="AQ37" s="406">
        <v>0.60069444444444442</v>
      </c>
      <c r="AU37" s="408">
        <f t="shared" si="0"/>
        <v>9.722222222222221E-2</v>
      </c>
      <c r="AV37" s="408">
        <f t="shared" si="1"/>
        <v>9.722222222222221E-2</v>
      </c>
    </row>
    <row r="38" spans="1:48" ht="16.5" customHeight="1" x14ac:dyDescent="0.25">
      <c r="A38" s="80" t="s">
        <v>160</v>
      </c>
      <c r="B38" s="425"/>
      <c r="C38" s="415"/>
      <c r="D38" s="430">
        <v>0.96527777777777779</v>
      </c>
      <c r="E38" s="415"/>
      <c r="F38" s="430">
        <v>0.97916666666666663</v>
      </c>
      <c r="G38" s="402"/>
      <c r="H38" s="402"/>
      <c r="I38" s="480">
        <v>0.98055555555555551</v>
      </c>
      <c r="J38" s="402"/>
      <c r="K38" s="430">
        <v>0.99305555555555558</v>
      </c>
      <c r="L38" s="469">
        <v>1.3888888888888889E-3</v>
      </c>
      <c r="M38" s="434"/>
      <c r="N38" s="430"/>
      <c r="O38" s="469">
        <v>1.5277777777777777E-2</v>
      </c>
      <c r="P38" s="426"/>
      <c r="Q38" s="402"/>
      <c r="R38" s="402"/>
      <c r="S38" s="430">
        <v>3.4722222222222224E-2</v>
      </c>
      <c r="T38" s="430">
        <v>7.6388888888888895E-2</v>
      </c>
      <c r="U38" s="443"/>
      <c r="V38" s="402"/>
      <c r="W38" s="402"/>
      <c r="X38" s="402"/>
      <c r="Y38" s="402"/>
      <c r="Z38" s="402"/>
      <c r="AA38" s="402"/>
      <c r="AB38" s="402"/>
      <c r="AC38" s="430">
        <v>0.11805555555555555</v>
      </c>
      <c r="AD38" s="402"/>
      <c r="AE38" s="402"/>
      <c r="AF38" s="427"/>
      <c r="AG38" s="81" t="s">
        <v>160</v>
      </c>
      <c r="AI38" s="406">
        <v>0.53125</v>
      </c>
      <c r="AJ38" s="407">
        <v>0.54166666666666663</v>
      </c>
      <c r="AK38" s="407">
        <v>0.56944444444444442</v>
      </c>
      <c r="AL38" s="226">
        <v>0.62847222222222221</v>
      </c>
      <c r="AN38" s="226">
        <v>0.51041666666666663</v>
      </c>
      <c r="AO38" s="407">
        <v>0.54166666666666663</v>
      </c>
      <c r="AP38" s="407">
        <v>0.55555555555555558</v>
      </c>
      <c r="AQ38" s="406">
        <v>0.60763888888888884</v>
      </c>
      <c r="AU38" s="408">
        <f t="shared" si="0"/>
        <v>9.722222222222221E-2</v>
      </c>
      <c r="AV38" s="408">
        <f t="shared" si="1"/>
        <v>9.722222222222221E-2</v>
      </c>
    </row>
    <row r="39" spans="1:48" ht="16.5" customHeight="1" x14ac:dyDescent="0.25">
      <c r="A39" s="433" t="s">
        <v>161</v>
      </c>
      <c r="B39" s="425"/>
      <c r="C39" s="415"/>
      <c r="D39" s="434">
        <v>0.97222222222222221</v>
      </c>
      <c r="E39" s="415"/>
      <c r="F39" s="434">
        <v>0.98611111111111116</v>
      </c>
      <c r="G39" s="402"/>
      <c r="H39" s="402"/>
      <c r="I39" s="465" t="s">
        <v>831</v>
      </c>
      <c r="J39" s="402"/>
      <c r="K39" s="434">
        <v>0</v>
      </c>
      <c r="L39" s="465" t="s">
        <v>832</v>
      </c>
      <c r="M39" s="434"/>
      <c r="N39" s="434"/>
      <c r="O39" s="465" t="s">
        <v>833</v>
      </c>
      <c r="P39" s="426"/>
      <c r="Q39" s="402"/>
      <c r="R39" s="402"/>
      <c r="S39" s="434">
        <v>4.1666666666666664E-2</v>
      </c>
      <c r="T39" s="434">
        <v>8.3333333333333329E-2</v>
      </c>
      <c r="U39" s="402"/>
      <c r="V39" s="434"/>
      <c r="W39" s="402"/>
      <c r="X39" s="402"/>
      <c r="Y39" s="426"/>
      <c r="Z39" s="402"/>
      <c r="AA39" s="402"/>
      <c r="AB39" s="402"/>
      <c r="AC39" s="434">
        <v>0.125</v>
      </c>
      <c r="AD39" s="402"/>
      <c r="AE39" s="402"/>
      <c r="AF39" s="427"/>
      <c r="AG39" s="437" t="s">
        <v>161</v>
      </c>
      <c r="AI39" s="406">
        <v>0.53819444444444442</v>
      </c>
      <c r="AJ39" s="407">
        <v>0.54861111111111116</v>
      </c>
      <c r="AK39" s="407">
        <v>0.57638888888888884</v>
      </c>
      <c r="AL39" s="226">
        <v>0.63541666666666663</v>
      </c>
      <c r="AN39" s="226">
        <v>0.51736111111111116</v>
      </c>
      <c r="AO39" s="407">
        <v>0.54861111111111116</v>
      </c>
      <c r="AP39" s="407">
        <v>0.5625</v>
      </c>
      <c r="AQ39" s="406">
        <v>0.61458333333333337</v>
      </c>
      <c r="AU39" s="408">
        <f t="shared" si="0"/>
        <v>9.722222222222221E-2</v>
      </c>
      <c r="AV39" s="408">
        <f t="shared" si="1"/>
        <v>9.722222222222221E-2</v>
      </c>
    </row>
    <row r="40" spans="1:48" ht="16.5" customHeight="1" x14ac:dyDescent="0.25">
      <c r="A40" s="438" t="s">
        <v>162</v>
      </c>
      <c r="B40" s="425"/>
      <c r="C40" s="415"/>
      <c r="D40" s="434">
        <v>0.99652777777777779</v>
      </c>
      <c r="E40" s="415"/>
      <c r="F40" s="434">
        <v>1.0138888888888888</v>
      </c>
      <c r="G40" s="402"/>
      <c r="H40" s="402"/>
      <c r="I40" s="402"/>
      <c r="J40" s="402"/>
      <c r="K40" s="434">
        <v>3.4722222222222224E-2</v>
      </c>
      <c r="L40" s="402"/>
      <c r="M40" s="434"/>
      <c r="N40" s="434"/>
      <c r="O40" s="402"/>
      <c r="P40" s="402"/>
      <c r="Q40" s="402"/>
      <c r="R40" s="402"/>
      <c r="S40" s="449" t="s">
        <v>834</v>
      </c>
      <c r="T40" s="449" t="s">
        <v>835</v>
      </c>
      <c r="U40" s="402"/>
      <c r="V40" s="449"/>
      <c r="W40" s="402"/>
      <c r="X40" s="402"/>
      <c r="Y40" s="481"/>
      <c r="Z40" s="402"/>
      <c r="AA40" s="402"/>
      <c r="AB40" s="402"/>
      <c r="AC40" s="434">
        <v>0.14930555555555555</v>
      </c>
      <c r="AD40" s="402"/>
      <c r="AE40" s="402"/>
      <c r="AF40" s="427"/>
      <c r="AG40" s="440" t="s">
        <v>162</v>
      </c>
      <c r="AI40" s="406">
        <v>0.54513888888888884</v>
      </c>
      <c r="AJ40" s="407">
        <v>0.55555555555555558</v>
      </c>
      <c r="AK40" s="407">
        <v>0.58333333333333337</v>
      </c>
      <c r="AL40" s="226">
        <v>0.64236111111111116</v>
      </c>
      <c r="AN40" s="226">
        <v>0.52430555555555558</v>
      </c>
      <c r="AO40" s="407">
        <v>0.55555555555555558</v>
      </c>
      <c r="AP40" s="407">
        <v>0.56944444444444442</v>
      </c>
      <c r="AQ40" s="406">
        <v>0.62152777777777779</v>
      </c>
      <c r="AU40" s="408">
        <f t="shared" si="0"/>
        <v>9.7222222222222321E-2</v>
      </c>
      <c r="AV40" s="408">
        <f t="shared" si="1"/>
        <v>9.722222222222221E-2</v>
      </c>
    </row>
    <row r="41" spans="1:48" ht="16.5" customHeight="1" x14ac:dyDescent="0.25">
      <c r="A41" s="91" t="s">
        <v>163</v>
      </c>
      <c r="B41" s="425"/>
      <c r="C41" s="415"/>
      <c r="D41" s="469">
        <v>3.8194444444444448E-2</v>
      </c>
      <c r="E41" s="415"/>
      <c r="F41" s="92">
        <v>6.25E-2</v>
      </c>
      <c r="G41" s="402"/>
      <c r="H41" s="402"/>
      <c r="I41" s="402"/>
      <c r="J41" s="402"/>
      <c r="K41" s="92">
        <v>0.10416666666666667</v>
      </c>
      <c r="L41" s="402"/>
      <c r="M41" s="434"/>
      <c r="N41" s="92"/>
      <c r="O41" s="402"/>
      <c r="P41" s="402"/>
      <c r="Q41" s="402"/>
      <c r="R41" s="402"/>
      <c r="S41" s="92">
        <v>0.14583333333333334</v>
      </c>
      <c r="T41" s="92">
        <v>0.1875</v>
      </c>
      <c r="U41" s="402"/>
      <c r="V41" s="92"/>
      <c r="W41" s="402"/>
      <c r="X41" s="402"/>
      <c r="Y41" s="481"/>
      <c r="Z41" s="402"/>
      <c r="AA41" s="402"/>
      <c r="AB41" s="402"/>
      <c r="AC41" s="469">
        <v>0.19097222222222221</v>
      </c>
      <c r="AD41" s="402"/>
      <c r="AE41" s="402"/>
      <c r="AF41" s="427"/>
      <c r="AG41" s="99" t="s">
        <v>163</v>
      </c>
      <c r="AI41" s="406">
        <v>0.55208333333333337</v>
      </c>
      <c r="AJ41" s="407">
        <v>0.5625</v>
      </c>
      <c r="AK41" s="457">
        <v>0.59027777777777779</v>
      </c>
      <c r="AL41" s="226">
        <v>0.64930555555555558</v>
      </c>
      <c r="AN41" s="226">
        <v>0.53125</v>
      </c>
      <c r="AO41" s="407">
        <v>0.5625</v>
      </c>
      <c r="AP41" s="407">
        <v>0.57638888888888884</v>
      </c>
      <c r="AQ41" s="406">
        <v>0.62847222222222221</v>
      </c>
      <c r="AU41" s="408">
        <f t="shared" si="0"/>
        <v>9.722222222222221E-2</v>
      </c>
      <c r="AV41" s="408">
        <f t="shared" si="1"/>
        <v>9.722222222222221E-2</v>
      </c>
    </row>
    <row r="42" spans="1:48" ht="16.5" customHeight="1" x14ac:dyDescent="0.25">
      <c r="A42" s="433" t="s">
        <v>164</v>
      </c>
      <c r="B42" s="425"/>
      <c r="C42" s="415"/>
      <c r="D42" s="465" t="s">
        <v>836</v>
      </c>
      <c r="E42" s="415"/>
      <c r="F42" s="434">
        <v>8.3333333333333329E-2</v>
      </c>
      <c r="G42" s="402"/>
      <c r="H42" s="402"/>
      <c r="I42" s="402"/>
      <c r="J42" s="402"/>
      <c r="K42" s="434">
        <v>0.125</v>
      </c>
      <c r="L42" s="402"/>
      <c r="M42" s="434"/>
      <c r="N42" s="434"/>
      <c r="O42" s="402"/>
      <c r="P42" s="402"/>
      <c r="Q42" s="402"/>
      <c r="R42" s="402"/>
      <c r="S42" s="434">
        <v>0.16666666666666666</v>
      </c>
      <c r="T42" s="434">
        <v>0.20833333333333334</v>
      </c>
      <c r="U42" s="402"/>
      <c r="V42" s="434"/>
      <c r="W42" s="402"/>
      <c r="X42" s="402"/>
      <c r="Y42" s="402"/>
      <c r="Z42" s="402"/>
      <c r="AA42" s="402"/>
      <c r="AB42" s="402"/>
      <c r="AC42" s="465" t="s">
        <v>837</v>
      </c>
      <c r="AD42" s="402"/>
      <c r="AE42" s="402"/>
      <c r="AF42" s="427"/>
      <c r="AG42" s="437" t="s">
        <v>164</v>
      </c>
      <c r="AI42" s="406">
        <v>0.55902777777777779</v>
      </c>
      <c r="AJ42" s="407">
        <v>0.56944444444444442</v>
      </c>
      <c r="AK42" s="407">
        <v>0.59722222222222221</v>
      </c>
      <c r="AL42" s="226">
        <v>0.65625</v>
      </c>
      <c r="AN42" s="226">
        <v>0.53819444444444442</v>
      </c>
      <c r="AO42" s="407">
        <v>0.56944444444444442</v>
      </c>
      <c r="AP42" s="407">
        <v>0.58333333333333337</v>
      </c>
      <c r="AQ42" s="473">
        <v>0.63888888888888884</v>
      </c>
      <c r="AU42" s="408">
        <f t="shared" si="0"/>
        <v>9.722222222222221E-2</v>
      </c>
      <c r="AV42" s="408">
        <f t="shared" si="1"/>
        <v>0.10069444444444442</v>
      </c>
    </row>
    <row r="43" spans="1:48" ht="16.5" customHeight="1" x14ac:dyDescent="0.25">
      <c r="A43" s="438" t="s">
        <v>166</v>
      </c>
      <c r="B43" s="425"/>
      <c r="C43" s="415"/>
      <c r="D43" s="416"/>
      <c r="E43" s="415"/>
      <c r="F43" s="449" t="s">
        <v>838</v>
      </c>
      <c r="G43" s="402"/>
      <c r="H43" s="402"/>
      <c r="I43" s="402"/>
      <c r="J43" s="426"/>
      <c r="K43" s="449" t="s">
        <v>839</v>
      </c>
      <c r="L43" s="402"/>
      <c r="M43" s="434"/>
      <c r="N43" s="449"/>
      <c r="O43" s="402"/>
      <c r="P43" s="402"/>
      <c r="Q43" s="402"/>
      <c r="R43" s="402"/>
      <c r="S43" s="434">
        <v>0.17708333333333334</v>
      </c>
      <c r="T43" s="434">
        <v>0.21875</v>
      </c>
      <c r="U43" s="402"/>
      <c r="V43" s="434"/>
      <c r="W43" s="402"/>
      <c r="X43" s="402"/>
      <c r="Y43" s="402"/>
      <c r="Z43" s="402"/>
      <c r="AA43" s="402"/>
      <c r="AB43" s="402"/>
      <c r="AC43" s="482"/>
      <c r="AD43" s="402"/>
      <c r="AE43" s="402"/>
      <c r="AF43" s="427"/>
      <c r="AG43" s="440" t="s">
        <v>166</v>
      </c>
      <c r="AI43" s="406">
        <v>0.56597222222222221</v>
      </c>
      <c r="AJ43" s="407">
        <v>0.57638888888888884</v>
      </c>
      <c r="AK43" s="457">
        <v>0.60416666666666663</v>
      </c>
      <c r="AL43" s="226">
        <v>0.66319444444444442</v>
      </c>
      <c r="AN43" s="226">
        <v>0.54513888888888884</v>
      </c>
      <c r="AO43" s="407">
        <v>0.57638888888888884</v>
      </c>
      <c r="AP43" s="407">
        <v>0.59027777777777779</v>
      </c>
      <c r="AQ43" s="406">
        <v>0.63888888888888884</v>
      </c>
      <c r="AU43" s="408">
        <f t="shared" si="0"/>
        <v>9.722222222222221E-2</v>
      </c>
      <c r="AV43" s="408">
        <f t="shared" si="1"/>
        <v>9.375E-2</v>
      </c>
    </row>
    <row r="44" spans="1:48" ht="16.5" customHeight="1" x14ac:dyDescent="0.25">
      <c r="A44" s="80" t="s">
        <v>160</v>
      </c>
      <c r="B44" s="425"/>
      <c r="C44" s="415"/>
      <c r="D44" s="415"/>
      <c r="E44" s="415"/>
      <c r="F44" s="430">
        <v>0.15972222222222221</v>
      </c>
      <c r="G44" s="402"/>
      <c r="H44" s="402"/>
      <c r="I44" s="402"/>
      <c r="J44" s="402"/>
      <c r="K44" s="430">
        <v>0.2013888888888889</v>
      </c>
      <c r="L44" s="402"/>
      <c r="M44" s="434"/>
      <c r="N44" s="430"/>
      <c r="O44" s="402"/>
      <c r="P44" s="402"/>
      <c r="Q44" s="402"/>
      <c r="R44" s="402"/>
      <c r="S44" s="469">
        <v>0.20972222222222223</v>
      </c>
      <c r="T44" s="469">
        <v>0.25138888888888888</v>
      </c>
      <c r="U44" s="402"/>
      <c r="V44" s="469"/>
      <c r="W44" s="402"/>
      <c r="X44" s="481"/>
      <c r="Y44" s="402"/>
      <c r="Z44" s="402"/>
      <c r="AA44" s="402"/>
      <c r="AB44" s="402"/>
      <c r="AC44" s="402"/>
      <c r="AD44" s="402"/>
      <c r="AE44" s="402"/>
      <c r="AF44" s="427"/>
      <c r="AG44" s="81" t="s">
        <v>160</v>
      </c>
      <c r="AI44" s="406">
        <v>0.57291666666666663</v>
      </c>
      <c r="AJ44" s="407">
        <v>0.58333333333333337</v>
      </c>
      <c r="AK44" s="407">
        <v>0.61111111111111116</v>
      </c>
      <c r="AL44" s="226">
        <v>0.66666666666666663</v>
      </c>
      <c r="AN44" s="226">
        <v>0.55208333333333337</v>
      </c>
      <c r="AO44" s="407">
        <v>0.58333333333333337</v>
      </c>
      <c r="AP44" s="407">
        <v>0.59722222222222221</v>
      </c>
      <c r="AQ44" s="406">
        <v>0.64583333333333337</v>
      </c>
      <c r="AU44" s="408">
        <f t="shared" si="0"/>
        <v>9.375E-2</v>
      </c>
      <c r="AV44" s="408">
        <f t="shared" si="1"/>
        <v>9.375E-2</v>
      </c>
    </row>
    <row r="45" spans="1:48" ht="16.5" customHeight="1" x14ac:dyDescent="0.25">
      <c r="A45" s="433" t="s">
        <v>161</v>
      </c>
      <c r="B45" s="425"/>
      <c r="C45" s="415"/>
      <c r="D45" s="415"/>
      <c r="E45" s="415"/>
      <c r="F45" s="434">
        <v>0.16666666666666666</v>
      </c>
      <c r="G45" s="402"/>
      <c r="H45" s="402"/>
      <c r="I45" s="402"/>
      <c r="J45" s="402"/>
      <c r="K45" s="434">
        <v>0.20833333333333334</v>
      </c>
      <c r="L45" s="402"/>
      <c r="M45" s="434"/>
      <c r="N45" s="434"/>
      <c r="O45" s="402"/>
      <c r="P45" s="402"/>
      <c r="Q45" s="402"/>
      <c r="R45" s="402"/>
      <c r="S45" s="465" t="s">
        <v>840</v>
      </c>
      <c r="T45" s="465" t="s">
        <v>841</v>
      </c>
      <c r="U45" s="402"/>
      <c r="V45" s="465"/>
      <c r="W45" s="402"/>
      <c r="X45" s="481"/>
      <c r="Y45" s="402"/>
      <c r="Z45" s="402"/>
      <c r="AA45" s="402"/>
      <c r="AB45" s="402"/>
      <c r="AC45" s="402"/>
      <c r="AD45" s="402"/>
      <c r="AE45" s="402"/>
      <c r="AF45" s="427"/>
      <c r="AG45" s="437" t="s">
        <v>161</v>
      </c>
      <c r="AI45" s="406">
        <v>0.57986111111111116</v>
      </c>
      <c r="AJ45" s="407">
        <v>0.59027777777777779</v>
      </c>
      <c r="AK45" s="407">
        <v>0.61805555555555558</v>
      </c>
      <c r="AL45" s="226">
        <v>0.67361111111111116</v>
      </c>
      <c r="AN45" s="226">
        <v>0.55902777777777779</v>
      </c>
      <c r="AO45" s="407">
        <v>0.59027777777777779</v>
      </c>
      <c r="AP45" s="407">
        <v>0.60416666666666663</v>
      </c>
      <c r="AQ45" s="406">
        <v>0.65277777777777779</v>
      </c>
      <c r="AU45" s="408">
        <f t="shared" si="0"/>
        <v>9.375E-2</v>
      </c>
      <c r="AV45" s="408">
        <f t="shared" si="1"/>
        <v>9.375E-2</v>
      </c>
    </row>
    <row r="46" spans="1:48" ht="16.5" customHeight="1" x14ac:dyDescent="0.25">
      <c r="A46" s="438" t="s">
        <v>162</v>
      </c>
      <c r="B46" s="425"/>
      <c r="C46" s="415"/>
      <c r="D46" s="415"/>
      <c r="E46" s="415"/>
      <c r="F46" s="434">
        <v>0.19097222222222221</v>
      </c>
      <c r="G46" s="402"/>
      <c r="H46" s="402"/>
      <c r="I46" s="402"/>
      <c r="J46" s="402"/>
      <c r="K46" s="434">
        <v>0.2326388888888889</v>
      </c>
      <c r="L46" s="402"/>
      <c r="M46" s="434"/>
      <c r="N46" s="434"/>
      <c r="O46" s="402"/>
      <c r="P46" s="402"/>
      <c r="Q46" s="402"/>
      <c r="R46" s="402"/>
      <c r="S46" s="402"/>
      <c r="T46" s="402"/>
      <c r="U46" s="402"/>
      <c r="V46" s="402"/>
      <c r="W46" s="402"/>
      <c r="X46" s="402"/>
      <c r="Y46" s="402"/>
      <c r="Z46" s="402"/>
      <c r="AA46" s="402"/>
      <c r="AB46" s="402"/>
      <c r="AC46" s="402"/>
      <c r="AD46" s="402"/>
      <c r="AE46" s="402"/>
      <c r="AF46" s="427"/>
      <c r="AG46" s="440" t="s">
        <v>162</v>
      </c>
      <c r="AI46" s="406">
        <v>0.58680555555555558</v>
      </c>
      <c r="AJ46" s="407">
        <v>0.59722222222222221</v>
      </c>
      <c r="AK46" s="407">
        <v>0.625</v>
      </c>
      <c r="AL46" s="473">
        <v>0.68125000000000002</v>
      </c>
      <c r="AN46" s="226">
        <v>0.56597222222222221</v>
      </c>
      <c r="AO46" s="407">
        <v>0.59722222222222221</v>
      </c>
      <c r="AP46" s="407">
        <v>0.61111111111111116</v>
      </c>
      <c r="AQ46" s="406">
        <v>0.65972222222222221</v>
      </c>
      <c r="AU46" s="408">
        <f t="shared" si="0"/>
        <v>9.4444444444444442E-2</v>
      </c>
      <c r="AV46" s="408">
        <f t="shared" si="1"/>
        <v>9.375E-2</v>
      </c>
    </row>
    <row r="47" spans="1:48" ht="16.5" customHeight="1" x14ac:dyDescent="0.25">
      <c r="A47" s="91" t="s">
        <v>163</v>
      </c>
      <c r="B47" s="425"/>
      <c r="C47" s="415"/>
      <c r="D47" s="415"/>
      <c r="E47" s="415"/>
      <c r="F47" s="469">
        <v>0.2326388888888889</v>
      </c>
      <c r="G47" s="402"/>
      <c r="H47" s="402"/>
      <c r="I47" s="402"/>
      <c r="J47" s="402"/>
      <c r="K47" s="469">
        <v>0.2673611111111111</v>
      </c>
      <c r="L47" s="402"/>
      <c r="M47" s="434"/>
      <c r="N47" s="469"/>
      <c r="O47" s="402"/>
      <c r="P47" s="402"/>
      <c r="Q47" s="402"/>
      <c r="R47" s="402"/>
      <c r="S47" s="402"/>
      <c r="T47" s="402"/>
      <c r="U47" s="402"/>
      <c r="V47" s="402"/>
      <c r="W47" s="402"/>
      <c r="X47" s="402"/>
      <c r="Y47" s="402"/>
      <c r="Z47" s="402"/>
      <c r="AA47" s="402"/>
      <c r="AB47" s="402"/>
      <c r="AC47" s="402"/>
      <c r="AD47" s="402"/>
      <c r="AE47" s="402"/>
      <c r="AF47" s="427"/>
      <c r="AG47" s="99" t="s">
        <v>163</v>
      </c>
      <c r="AI47" s="406">
        <v>0.59375</v>
      </c>
      <c r="AJ47" s="407">
        <v>0.60416666666666663</v>
      </c>
      <c r="AK47" s="407">
        <v>0.63194444444444442</v>
      </c>
      <c r="AL47" s="226">
        <v>0.68402777777777779</v>
      </c>
      <c r="AN47" s="226">
        <v>0.56944444444444442</v>
      </c>
      <c r="AO47" s="407">
        <v>0.60416666666666663</v>
      </c>
      <c r="AP47" s="407">
        <v>0.61805555555555558</v>
      </c>
      <c r="AQ47" s="473">
        <v>0.66666666666666663</v>
      </c>
      <c r="AU47" s="408">
        <f t="shared" si="0"/>
        <v>9.027777777777779E-2</v>
      </c>
      <c r="AV47" s="408">
        <f t="shared" si="1"/>
        <v>9.722222222222221E-2</v>
      </c>
    </row>
    <row r="48" spans="1:48" ht="16.5" customHeight="1" x14ac:dyDescent="0.25">
      <c r="A48" s="438"/>
      <c r="B48" s="425"/>
      <c r="C48" s="415"/>
      <c r="D48" s="415"/>
      <c r="E48" s="415"/>
      <c r="F48" s="465" t="s">
        <v>842</v>
      </c>
      <c r="G48" s="402"/>
      <c r="H48" s="402"/>
      <c r="I48" s="402"/>
      <c r="J48" s="402"/>
      <c r="K48" s="465" t="s">
        <v>452</v>
      </c>
      <c r="L48" s="402"/>
      <c r="M48" s="434"/>
      <c r="N48" s="465"/>
      <c r="O48" s="402"/>
      <c r="P48" s="402"/>
      <c r="Q48" s="402"/>
      <c r="R48" s="402"/>
      <c r="S48" s="402"/>
      <c r="T48" s="402"/>
      <c r="U48" s="402"/>
      <c r="V48" s="402"/>
      <c r="W48" s="402"/>
      <c r="X48" s="402"/>
      <c r="Y48" s="402"/>
      <c r="Z48" s="402"/>
      <c r="AA48" s="402"/>
      <c r="AB48" s="402"/>
      <c r="AC48" s="402"/>
      <c r="AD48" s="402"/>
      <c r="AE48" s="483"/>
      <c r="AF48" s="427"/>
      <c r="AG48" s="440"/>
      <c r="AI48" s="406">
        <v>0.60069444444444442</v>
      </c>
      <c r="AJ48" s="407">
        <v>0.61111111111111116</v>
      </c>
      <c r="AK48" s="407">
        <v>0.63888888888888884</v>
      </c>
      <c r="AL48" s="226">
        <v>0.69097222222222221</v>
      </c>
      <c r="AN48" s="226">
        <v>0.57638888888888884</v>
      </c>
      <c r="AO48" s="407">
        <v>0.61111111111111116</v>
      </c>
      <c r="AP48" s="407">
        <v>0.625</v>
      </c>
      <c r="AQ48" s="406">
        <v>0.66666666666666663</v>
      </c>
      <c r="AU48" s="408">
        <f t="shared" si="0"/>
        <v>9.027777777777779E-2</v>
      </c>
      <c r="AV48" s="408">
        <f t="shared" si="1"/>
        <v>9.027777777777779E-2</v>
      </c>
    </row>
    <row r="49" spans="1:48" ht="16.5" customHeight="1" thickBot="1" x14ac:dyDescent="0.3">
      <c r="A49" s="484" t="s">
        <v>104</v>
      </c>
      <c r="B49" s="485"/>
      <c r="C49" s="486"/>
      <c r="D49" s="486"/>
      <c r="E49" s="486"/>
      <c r="F49" s="486"/>
      <c r="G49" s="487"/>
      <c r="H49" s="488"/>
      <c r="I49" s="487"/>
      <c r="J49" s="487"/>
      <c r="K49" s="487"/>
      <c r="L49" s="487"/>
      <c r="M49" s="488"/>
      <c r="N49" s="487"/>
      <c r="O49" s="487"/>
      <c r="P49" s="487"/>
      <c r="Q49" s="487"/>
      <c r="R49" s="487"/>
      <c r="S49" s="487"/>
      <c r="T49" s="487"/>
      <c r="U49" s="487"/>
      <c r="V49" s="487"/>
      <c r="W49" s="487"/>
      <c r="X49" s="487"/>
      <c r="Y49" s="487"/>
      <c r="Z49" s="487"/>
      <c r="AA49" s="487"/>
      <c r="AB49" s="487"/>
      <c r="AC49" s="487"/>
      <c r="AD49" s="487"/>
      <c r="AE49" s="487"/>
      <c r="AF49" s="489"/>
      <c r="AG49" s="490" t="s">
        <v>104</v>
      </c>
      <c r="AI49" s="406">
        <v>0.60763888888888884</v>
      </c>
      <c r="AJ49" s="407">
        <v>0.61805555555555558</v>
      </c>
      <c r="AK49" s="407">
        <v>0.64583333333333337</v>
      </c>
      <c r="AL49" s="226">
        <v>0.70138888888888884</v>
      </c>
      <c r="AN49" s="226">
        <v>0.58333333333333337</v>
      </c>
      <c r="AO49" s="407">
        <v>0.61805555555555558</v>
      </c>
      <c r="AP49" s="407">
        <v>0.63194444444444442</v>
      </c>
      <c r="AQ49" s="406">
        <v>0.67361111111111116</v>
      </c>
      <c r="AU49" s="408">
        <f t="shared" si="0"/>
        <v>9.375E-2</v>
      </c>
      <c r="AV49" s="408">
        <f t="shared" si="1"/>
        <v>9.027777777777779E-2</v>
      </c>
    </row>
    <row r="50" spans="1:48" ht="16.5" thickBot="1" x14ac:dyDescent="0.3">
      <c r="A50" s="491"/>
      <c r="B50" s="491"/>
      <c r="C50" s="491"/>
      <c r="D50" s="491"/>
      <c r="E50" s="491"/>
      <c r="F50" s="491"/>
      <c r="G50" s="491"/>
      <c r="H50" s="491"/>
      <c r="I50" s="491"/>
      <c r="J50" s="491"/>
      <c r="K50" s="491"/>
      <c r="L50" s="491"/>
      <c r="M50" s="491"/>
      <c r="N50" s="491"/>
      <c r="O50" s="491"/>
      <c r="P50" s="491"/>
      <c r="Q50" s="491"/>
      <c r="R50" s="491"/>
      <c r="S50" s="491"/>
      <c r="T50" s="491"/>
      <c r="U50" s="491"/>
      <c r="V50" s="491"/>
      <c r="W50" s="492"/>
      <c r="AI50" s="406">
        <v>0.61458333333333337</v>
      </c>
      <c r="AJ50" s="407">
        <v>0.625</v>
      </c>
      <c r="AK50" s="407">
        <v>0.65277777777777779</v>
      </c>
      <c r="AL50" s="226">
        <v>0.70833333333333337</v>
      </c>
      <c r="AN50" s="226">
        <v>0.59027777777777779</v>
      </c>
      <c r="AO50" s="407">
        <v>0.625</v>
      </c>
      <c r="AP50" s="407">
        <v>0.63888888888888884</v>
      </c>
      <c r="AQ50" s="406">
        <v>0.68402777777777779</v>
      </c>
      <c r="AU50" s="408">
        <f t="shared" si="0"/>
        <v>9.375E-2</v>
      </c>
      <c r="AV50" s="408">
        <f t="shared" si="1"/>
        <v>9.375E-2</v>
      </c>
    </row>
    <row r="51" spans="1:48" ht="31.5" customHeight="1" thickBot="1" x14ac:dyDescent="0.3">
      <c r="A51" s="755" t="s">
        <v>682</v>
      </c>
      <c r="B51" s="717"/>
      <c r="C51" s="715" t="s">
        <v>455</v>
      </c>
      <c r="D51" s="715"/>
      <c r="E51" s="715"/>
      <c r="F51" s="715"/>
      <c r="G51" s="715" t="s">
        <v>683</v>
      </c>
      <c r="H51" s="715"/>
      <c r="I51" s="715"/>
      <c r="J51" s="715"/>
      <c r="K51" s="715"/>
      <c r="L51" s="215"/>
      <c r="M51" s="215"/>
      <c r="N51" s="215"/>
      <c r="O51" s="716">
        <v>44469</v>
      </c>
      <c r="P51" s="717"/>
      <c r="Q51" s="717"/>
      <c r="R51" s="718"/>
      <c r="S51" s="493"/>
      <c r="T51" s="493"/>
      <c r="U51" s="494"/>
      <c r="V51" s="494"/>
      <c r="W51" s="494"/>
      <c r="X51" s="494"/>
      <c r="Y51" s="494" t="s">
        <v>843</v>
      </c>
      <c r="Z51" s="495" t="s">
        <v>844</v>
      </c>
      <c r="AI51" s="406">
        <v>0.62152777777777779</v>
      </c>
      <c r="AJ51" s="407">
        <v>0.63194444444444442</v>
      </c>
      <c r="AK51" s="407">
        <v>0.65972222222222221</v>
      </c>
      <c r="AL51" s="226">
        <v>0.71527777777777779</v>
      </c>
      <c r="AN51" s="226">
        <v>0.59722222222222221</v>
      </c>
      <c r="AO51" s="407">
        <v>0.63194444444444442</v>
      </c>
      <c r="AP51" s="407">
        <v>0.64583333333333337</v>
      </c>
      <c r="AQ51" s="406">
        <v>0.69097222222222221</v>
      </c>
      <c r="AV51" s="408">
        <f t="shared" si="1"/>
        <v>9.375E-2</v>
      </c>
    </row>
    <row r="52" spans="1:48" ht="15.75" customHeight="1" x14ac:dyDescent="0.25">
      <c r="A52" s="735" t="s">
        <v>457</v>
      </c>
      <c r="B52" s="231" t="s">
        <v>458</v>
      </c>
      <c r="C52" s="745" t="s">
        <v>459</v>
      </c>
      <c r="D52" s="747" t="s">
        <v>460</v>
      </c>
      <c r="E52" s="748"/>
      <c r="F52" s="749"/>
      <c r="G52" s="747" t="s">
        <v>461</v>
      </c>
      <c r="H52" s="748"/>
      <c r="I52" s="748"/>
      <c r="J52" s="748"/>
      <c r="K52" s="749"/>
      <c r="L52" s="747" t="s">
        <v>462</v>
      </c>
      <c r="M52" s="748"/>
      <c r="N52" s="749"/>
      <c r="O52" s="750" t="s">
        <v>463</v>
      </c>
      <c r="P52" s="735" t="s">
        <v>464</v>
      </c>
      <c r="Q52" s="735" t="s">
        <v>465</v>
      </c>
      <c r="R52" s="735"/>
      <c r="S52" s="493"/>
      <c r="T52" s="276" t="s">
        <v>493</v>
      </c>
      <c r="U52" s="496"/>
      <c r="V52" s="496"/>
      <c r="W52" s="497"/>
      <c r="X52" s="266">
        <v>28</v>
      </c>
      <c r="Y52" s="494">
        <v>14</v>
      </c>
      <c r="Z52" s="495">
        <v>14</v>
      </c>
      <c r="AI52" s="406">
        <v>0.62847222222222221</v>
      </c>
      <c r="AJ52" s="407">
        <v>0.63888888888888884</v>
      </c>
      <c r="AK52" s="407">
        <v>0.66666666666666663</v>
      </c>
      <c r="AL52" s="226">
        <v>0.72222222222222221</v>
      </c>
      <c r="AN52" s="226">
        <v>0.60416666666666663</v>
      </c>
      <c r="AO52" s="407">
        <v>0.63888888888888884</v>
      </c>
      <c r="AP52" s="407">
        <v>0.65277777777777779</v>
      </c>
      <c r="AQ52" s="406">
        <v>0.69791666666666663</v>
      </c>
      <c r="AV52" s="408">
        <f t="shared" si="1"/>
        <v>9.375E-2</v>
      </c>
    </row>
    <row r="53" spans="1:48" ht="16.5" customHeight="1" thickBot="1" x14ac:dyDescent="0.3">
      <c r="A53" s="727"/>
      <c r="B53" s="352" t="s">
        <v>466</v>
      </c>
      <c r="C53" s="746"/>
      <c r="D53" s="498" t="s">
        <v>467</v>
      </c>
      <c r="E53" s="499" t="s">
        <v>468</v>
      </c>
      <c r="F53" s="500" t="s">
        <v>469</v>
      </c>
      <c r="G53" s="498" t="s">
        <v>460</v>
      </c>
      <c r="H53" s="499" t="s">
        <v>469</v>
      </c>
      <c r="I53" s="499" t="s">
        <v>467</v>
      </c>
      <c r="J53" s="499" t="s">
        <v>460</v>
      </c>
      <c r="K53" s="500" t="s">
        <v>469</v>
      </c>
      <c r="L53" s="498" t="s">
        <v>462</v>
      </c>
      <c r="M53" s="499" t="s">
        <v>469</v>
      </c>
      <c r="N53" s="500" t="s">
        <v>470</v>
      </c>
      <c r="O53" s="734"/>
      <c r="P53" s="727"/>
      <c r="Q53" s="727"/>
      <c r="R53" s="727"/>
      <c r="S53" s="493"/>
      <c r="T53" s="265"/>
      <c r="U53" s="496"/>
      <c r="V53" s="496"/>
      <c r="W53" s="496"/>
      <c r="X53" s="501"/>
      <c r="Y53" s="494"/>
      <c r="Z53" s="495"/>
      <c r="AI53" s="406">
        <v>0.63888888888888884</v>
      </c>
      <c r="AJ53" s="407">
        <v>0.64583333333333337</v>
      </c>
      <c r="AK53" s="407">
        <v>0.67708333333333337</v>
      </c>
      <c r="AL53" s="226">
        <v>0.72916666666666663</v>
      </c>
      <c r="AN53" s="226">
        <v>0.61458333333333337</v>
      </c>
      <c r="AO53" s="407">
        <v>0.64583333333333337</v>
      </c>
      <c r="AP53" s="407">
        <v>0.65972222222222221</v>
      </c>
      <c r="AQ53" s="406">
        <v>0.70486111111111116</v>
      </c>
      <c r="AV53" s="408">
        <f t="shared" si="1"/>
        <v>9.027777777777779E-2</v>
      </c>
    </row>
    <row r="54" spans="1:48" ht="15.75" customHeight="1" x14ac:dyDescent="0.25">
      <c r="A54" s="237" t="s">
        <v>471</v>
      </c>
      <c r="B54" s="502" t="s">
        <v>472</v>
      </c>
      <c r="C54" s="503" t="s">
        <v>473</v>
      </c>
      <c r="D54" s="239">
        <f t="shared" ref="D54:D68" si="2">E54-TIME(,8,)</f>
        <v>0.19930555555555554</v>
      </c>
      <c r="E54" s="240">
        <v>0.2048611111111111</v>
      </c>
      <c r="F54" s="242" t="s">
        <v>104</v>
      </c>
      <c r="G54" s="736"/>
      <c r="H54" s="737"/>
      <c r="I54" s="737"/>
      <c r="J54" s="737"/>
      <c r="K54" s="738"/>
      <c r="L54" s="239">
        <v>0.40277777777777779</v>
      </c>
      <c r="M54" s="240" t="s">
        <v>475</v>
      </c>
      <c r="N54" s="242">
        <f>L54+TIME(,5,)</f>
        <v>0.40625</v>
      </c>
      <c r="O54" s="237">
        <f t="shared" ref="O54:O101" si="3">N54-D54</f>
        <v>0.20694444444444446</v>
      </c>
      <c r="P54" s="237">
        <f t="shared" ref="P54:P101" si="4">O54-Q54</f>
        <v>0.20694444444444446</v>
      </c>
      <c r="Q54" s="243">
        <f t="shared" ref="Q54:Q101" si="5">I54-G54</f>
        <v>0</v>
      </c>
      <c r="R54" s="243"/>
      <c r="S54" s="504"/>
      <c r="T54" s="282" t="s">
        <v>499</v>
      </c>
      <c r="U54" s="252"/>
      <c r="V54" s="252"/>
      <c r="W54" s="252"/>
      <c r="X54" s="266">
        <v>38</v>
      </c>
      <c r="Y54" s="494">
        <v>19</v>
      </c>
      <c r="Z54" s="495">
        <v>19</v>
      </c>
      <c r="AI54" s="406">
        <v>0.64583333333333337</v>
      </c>
      <c r="AJ54" s="407">
        <v>0.65277777777777779</v>
      </c>
      <c r="AK54" s="407">
        <v>0.68402777777777779</v>
      </c>
      <c r="AL54" s="226">
        <v>0.73611111111111116</v>
      </c>
      <c r="AN54" s="226">
        <v>0.62152777777777779</v>
      </c>
      <c r="AO54" s="407">
        <v>0.65277777777777779</v>
      </c>
      <c r="AP54" s="407">
        <v>0.66666666666666663</v>
      </c>
      <c r="AQ54" s="406">
        <v>0.71180555555555558</v>
      </c>
      <c r="AV54" s="408">
        <f t="shared" si="1"/>
        <v>9.027777777777779E-2</v>
      </c>
    </row>
    <row r="55" spans="1:48" ht="16.5" customHeight="1" thickBot="1" x14ac:dyDescent="0.3">
      <c r="A55" s="309" t="s">
        <v>476</v>
      </c>
      <c r="B55" s="309" t="s">
        <v>472</v>
      </c>
      <c r="C55" s="505" t="s">
        <v>472</v>
      </c>
      <c r="D55" s="317">
        <f t="shared" si="2"/>
        <v>0.20624999999999999</v>
      </c>
      <c r="E55" s="318">
        <v>0.21180555555555555</v>
      </c>
      <c r="F55" s="319" t="s">
        <v>104</v>
      </c>
      <c r="G55" s="317">
        <v>0.3576388888888889</v>
      </c>
      <c r="H55" s="318" t="s">
        <v>475</v>
      </c>
      <c r="I55" s="318">
        <v>0.41458333333333336</v>
      </c>
      <c r="J55" s="318">
        <v>0.4201388888888889</v>
      </c>
      <c r="K55" s="319" t="s">
        <v>104</v>
      </c>
      <c r="L55" s="317">
        <v>0.49305555555555558</v>
      </c>
      <c r="M55" s="318" t="s">
        <v>475</v>
      </c>
      <c r="N55" s="319">
        <v>0.49652777777777779</v>
      </c>
      <c r="O55" s="309">
        <f t="shared" si="3"/>
        <v>0.2902777777777778</v>
      </c>
      <c r="P55" s="309">
        <f t="shared" si="4"/>
        <v>0.23333333333333334</v>
      </c>
      <c r="Q55" s="320">
        <f t="shared" si="5"/>
        <v>5.6944444444444464E-2</v>
      </c>
      <c r="R55" s="320"/>
      <c r="S55" s="504"/>
      <c r="T55" s="493"/>
      <c r="U55" s="494"/>
      <c r="V55" s="494"/>
      <c r="W55" s="494"/>
      <c r="X55" s="494"/>
      <c r="Y55" s="506"/>
      <c r="Z55" s="495"/>
      <c r="AI55" s="406">
        <v>0.65277777777777779</v>
      </c>
      <c r="AJ55" s="407">
        <v>0.65972222222222221</v>
      </c>
      <c r="AK55" s="407">
        <v>0.69097222222222221</v>
      </c>
      <c r="AL55" s="226">
        <v>0.74652777777777779</v>
      </c>
      <c r="AN55" s="226">
        <v>0.62847222222222221</v>
      </c>
      <c r="AO55" s="407">
        <v>0.65972222222222221</v>
      </c>
      <c r="AP55" s="407">
        <v>0.67361111111111116</v>
      </c>
      <c r="AQ55" s="406">
        <v>0.72222222222222221</v>
      </c>
      <c r="AV55" s="408">
        <f t="shared" si="1"/>
        <v>9.375E-2</v>
      </c>
    </row>
    <row r="56" spans="1:48" x14ac:dyDescent="0.25">
      <c r="A56" s="243" t="s">
        <v>477</v>
      </c>
      <c r="B56" s="243" t="s">
        <v>472</v>
      </c>
      <c r="C56" s="503" t="s">
        <v>478</v>
      </c>
      <c r="D56" s="239">
        <f t="shared" si="2"/>
        <v>0.20972222222222223</v>
      </c>
      <c r="E56" s="240">
        <v>0.21527777777777779</v>
      </c>
      <c r="F56" s="242" t="s">
        <v>104</v>
      </c>
      <c r="G56" s="239">
        <v>0.33680555555555558</v>
      </c>
      <c r="H56" s="240" t="s">
        <v>474</v>
      </c>
      <c r="I56" s="240">
        <f>J56-TIME(,5+3,)</f>
        <v>0.37638888888888888</v>
      </c>
      <c r="J56" s="240">
        <v>0.38194444444444442</v>
      </c>
      <c r="K56" s="242" t="s">
        <v>104</v>
      </c>
      <c r="L56" s="239">
        <v>0.53819444444444442</v>
      </c>
      <c r="M56" s="240" t="s">
        <v>474</v>
      </c>
      <c r="N56" s="242">
        <f>L56+TIME(,5,)</f>
        <v>0.54166666666666663</v>
      </c>
      <c r="O56" s="243">
        <f t="shared" si="3"/>
        <v>0.33194444444444438</v>
      </c>
      <c r="P56" s="243">
        <f t="shared" si="4"/>
        <v>0.29236111111111107</v>
      </c>
      <c r="Q56" s="243">
        <f t="shared" si="5"/>
        <v>3.9583333333333304E-2</v>
      </c>
      <c r="R56" s="243"/>
      <c r="S56" s="504"/>
      <c r="T56" s="493"/>
      <c r="U56" s="507"/>
      <c r="V56" s="507"/>
      <c r="W56" s="507"/>
      <c r="X56" s="507">
        <f>X52+X54</f>
        <v>66</v>
      </c>
      <c r="Y56" s="507"/>
      <c r="Z56" s="257"/>
      <c r="AI56" s="406">
        <v>0.65972222222222221</v>
      </c>
      <c r="AJ56" s="407">
        <v>0.66666666666666663</v>
      </c>
      <c r="AK56" s="407">
        <v>0.69791666666666663</v>
      </c>
      <c r="AL56" s="226">
        <v>0.75347222222222221</v>
      </c>
      <c r="AN56" s="226">
        <v>0.63541666666666663</v>
      </c>
      <c r="AO56" s="407">
        <v>0.66666666666666663</v>
      </c>
      <c r="AP56" s="407">
        <v>0.68055555555555558</v>
      </c>
      <c r="AQ56" s="406">
        <v>0.72916666666666663</v>
      </c>
      <c r="AV56" s="408">
        <f t="shared" si="1"/>
        <v>9.375E-2</v>
      </c>
    </row>
    <row r="57" spans="1:48" x14ac:dyDescent="0.25">
      <c r="A57" s="251" t="s">
        <v>479</v>
      </c>
      <c r="B57" s="251" t="s">
        <v>472</v>
      </c>
      <c r="C57" s="508" t="s">
        <v>480</v>
      </c>
      <c r="D57" s="247">
        <f t="shared" si="2"/>
        <v>0.21319444444444444</v>
      </c>
      <c r="E57" s="248">
        <v>0.21875</v>
      </c>
      <c r="F57" s="305" t="s">
        <v>104</v>
      </c>
      <c r="G57" s="247">
        <v>0.37152777777777779</v>
      </c>
      <c r="H57" s="248" t="s">
        <v>475</v>
      </c>
      <c r="I57" s="248">
        <v>0.41666666666666669</v>
      </c>
      <c r="J57" s="248">
        <v>0.41666666666666669</v>
      </c>
      <c r="K57" s="305" t="s">
        <v>474</v>
      </c>
      <c r="L57" s="247">
        <v>0.51388888888888884</v>
      </c>
      <c r="M57" s="248" t="s">
        <v>475</v>
      </c>
      <c r="N57" s="305">
        <v>0.51736111111111105</v>
      </c>
      <c r="O57" s="251">
        <f t="shared" si="3"/>
        <v>0.30416666666666659</v>
      </c>
      <c r="P57" s="251">
        <f t="shared" si="4"/>
        <v>0.25902777777777769</v>
      </c>
      <c r="Q57" s="251">
        <f t="shared" si="5"/>
        <v>4.5138888888888895E-2</v>
      </c>
      <c r="R57" s="251"/>
      <c r="S57" s="504"/>
      <c r="T57" s="493"/>
      <c r="U57" s="507"/>
      <c r="V57" s="507"/>
      <c r="W57" s="507"/>
      <c r="X57" s="507"/>
      <c r="Y57" s="507"/>
      <c r="Z57" s="257"/>
      <c r="AI57" s="406">
        <v>0.66666666666666663</v>
      </c>
      <c r="AJ57" s="407">
        <v>0.67361111111111116</v>
      </c>
      <c r="AK57" s="421">
        <v>0.70486111111111116</v>
      </c>
      <c r="AL57" s="226">
        <v>0.76041666666666663</v>
      </c>
      <c r="AN57" s="226">
        <v>0.64236111111111116</v>
      </c>
      <c r="AO57" s="407">
        <v>0.67361111111111116</v>
      </c>
      <c r="AP57" s="407">
        <v>0.6875</v>
      </c>
      <c r="AQ57" s="406">
        <v>0.73611111111111116</v>
      </c>
      <c r="AV57" s="408">
        <f t="shared" si="1"/>
        <v>9.375E-2</v>
      </c>
    </row>
    <row r="58" spans="1:48" x14ac:dyDescent="0.25">
      <c r="A58" s="251" t="s">
        <v>481</v>
      </c>
      <c r="B58" s="251" t="s">
        <v>472</v>
      </c>
      <c r="C58" s="508" t="s">
        <v>482</v>
      </c>
      <c r="D58" s="247">
        <f t="shared" si="2"/>
        <v>0.22013888888888888</v>
      </c>
      <c r="E58" s="248">
        <v>0.22569444444444445</v>
      </c>
      <c r="F58" s="305" t="s">
        <v>104</v>
      </c>
      <c r="G58" s="247">
        <v>0.34722222222222221</v>
      </c>
      <c r="H58" s="248" t="s">
        <v>474</v>
      </c>
      <c r="I58" s="261">
        <f>J58-TIME(,0,)</f>
        <v>0.3888888888888889</v>
      </c>
      <c r="J58" s="261">
        <v>0.3888888888888889</v>
      </c>
      <c r="K58" s="302" t="s">
        <v>474</v>
      </c>
      <c r="L58" s="260">
        <v>0.4861111111111111</v>
      </c>
      <c r="M58" s="261" t="s">
        <v>475</v>
      </c>
      <c r="N58" s="302">
        <f>L58+TIME(,5,)</f>
        <v>0.48958333333333331</v>
      </c>
      <c r="O58" s="264">
        <f t="shared" si="3"/>
        <v>0.26944444444444443</v>
      </c>
      <c r="P58" s="264">
        <f t="shared" si="4"/>
        <v>0.22777777777777775</v>
      </c>
      <c r="Q58" s="264">
        <f t="shared" si="5"/>
        <v>4.1666666666666685E-2</v>
      </c>
      <c r="R58" s="264"/>
      <c r="S58" s="504"/>
      <c r="T58" s="493"/>
      <c r="U58" s="507"/>
      <c r="V58" s="507"/>
      <c r="W58" s="507"/>
      <c r="X58" s="507"/>
      <c r="Y58" s="507"/>
      <c r="Z58" s="257"/>
      <c r="AI58" s="406">
        <v>0.67361111111111116</v>
      </c>
      <c r="AJ58" s="407">
        <v>0.68055555555555558</v>
      </c>
      <c r="AK58" s="407">
        <v>0.71180555555555558</v>
      </c>
      <c r="AL58" s="473">
        <v>0.76041666666666663</v>
      </c>
      <c r="AN58" s="226">
        <v>0.64930555555555558</v>
      </c>
      <c r="AO58" s="407">
        <v>0.68055555555555558</v>
      </c>
      <c r="AP58" s="421">
        <v>0.69444444444444442</v>
      </c>
      <c r="AQ58" s="406">
        <v>0.74305555555555558</v>
      </c>
      <c r="AV58" s="408">
        <f t="shared" si="1"/>
        <v>9.375E-2</v>
      </c>
    </row>
    <row r="59" spans="1:48" ht="15.75" customHeight="1" x14ac:dyDescent="0.25">
      <c r="A59" s="251" t="s">
        <v>483</v>
      </c>
      <c r="B59" s="251" t="s">
        <v>472</v>
      </c>
      <c r="C59" s="508" t="s">
        <v>484</v>
      </c>
      <c r="D59" s="247">
        <f t="shared" si="2"/>
        <v>0.22361111111111109</v>
      </c>
      <c r="E59" s="248">
        <v>0.22916666666666666</v>
      </c>
      <c r="F59" s="305" t="s">
        <v>104</v>
      </c>
      <c r="G59" s="739"/>
      <c r="H59" s="740"/>
      <c r="I59" s="740"/>
      <c r="J59" s="740"/>
      <c r="K59" s="741"/>
      <c r="L59" s="247">
        <v>0.46180555555555558</v>
      </c>
      <c r="M59" s="248" t="s">
        <v>474</v>
      </c>
      <c r="N59" s="305">
        <f>L59+TIME(,5,)</f>
        <v>0.46527777777777779</v>
      </c>
      <c r="O59" s="251">
        <f t="shared" si="3"/>
        <v>0.2416666666666667</v>
      </c>
      <c r="P59" s="251">
        <f t="shared" si="4"/>
        <v>0.2416666666666667</v>
      </c>
      <c r="Q59" s="251">
        <f t="shared" si="5"/>
        <v>0</v>
      </c>
      <c r="R59" s="251"/>
      <c r="S59" s="504"/>
      <c r="T59" s="493"/>
      <c r="U59" s="507"/>
      <c r="V59" s="507"/>
      <c r="W59" s="507"/>
      <c r="X59" s="507">
        <f>X56/2</f>
        <v>33</v>
      </c>
      <c r="Y59" s="507"/>
      <c r="Z59" s="257"/>
      <c r="AI59" s="406">
        <v>0.67708333333333337</v>
      </c>
      <c r="AJ59" s="407">
        <v>0.6875</v>
      </c>
      <c r="AK59" s="407">
        <v>0.71527777777777779</v>
      </c>
      <c r="AL59" s="226">
        <v>0.76736111111111116</v>
      </c>
      <c r="AN59" s="226">
        <v>0.65625</v>
      </c>
      <c r="AO59" s="407">
        <v>0.6875</v>
      </c>
      <c r="AP59" s="407">
        <v>0.70138888888888884</v>
      </c>
      <c r="AQ59" s="473">
        <v>0.74305555555555558</v>
      </c>
      <c r="AV59" s="408">
        <f t="shared" si="1"/>
        <v>8.680555555555558E-2</v>
      </c>
    </row>
    <row r="60" spans="1:48" x14ac:dyDescent="0.25">
      <c r="A60" s="251" t="s">
        <v>487</v>
      </c>
      <c r="B60" s="251" t="s">
        <v>472</v>
      </c>
      <c r="C60" s="508" t="s">
        <v>488</v>
      </c>
      <c r="D60" s="247">
        <f t="shared" si="2"/>
        <v>0.23055555555555554</v>
      </c>
      <c r="E60" s="248">
        <v>0.2361111111111111</v>
      </c>
      <c r="F60" s="305" t="s">
        <v>104</v>
      </c>
      <c r="G60" s="247">
        <v>0.35416666666666669</v>
      </c>
      <c r="H60" s="248" t="s">
        <v>474</v>
      </c>
      <c r="I60" s="248">
        <f>J60-TIME(,5+3,)</f>
        <v>0.39027777777777778</v>
      </c>
      <c r="J60" s="248">
        <v>0.39583333333333331</v>
      </c>
      <c r="K60" s="305" t="s">
        <v>104</v>
      </c>
      <c r="L60" s="247">
        <v>0.54861111111111116</v>
      </c>
      <c r="M60" s="248" t="s">
        <v>474</v>
      </c>
      <c r="N60" s="305">
        <f>L60+TIME(,5,)</f>
        <v>0.55208333333333337</v>
      </c>
      <c r="O60" s="251">
        <f t="shared" si="3"/>
        <v>0.32152777777777786</v>
      </c>
      <c r="P60" s="251">
        <f t="shared" si="4"/>
        <v>0.28541666666666676</v>
      </c>
      <c r="Q60" s="251">
        <f t="shared" si="5"/>
        <v>3.6111111111111094E-2</v>
      </c>
      <c r="R60" s="251"/>
      <c r="S60" s="504"/>
      <c r="T60" s="493"/>
      <c r="U60" s="507"/>
      <c r="V60" s="507"/>
      <c r="W60" s="507"/>
      <c r="X60" s="507"/>
      <c r="Y60" s="507"/>
      <c r="Z60" s="257"/>
      <c r="AI60" s="406">
        <v>0.68402777777777779</v>
      </c>
      <c r="AJ60" s="407">
        <v>0.69444444444444442</v>
      </c>
      <c r="AK60" s="407">
        <v>0.72222222222222221</v>
      </c>
      <c r="AL60" s="226">
        <v>0.77777777777777779</v>
      </c>
      <c r="AN60" s="226">
        <v>0.66319444444444442</v>
      </c>
      <c r="AO60" s="407">
        <v>0.69444444444444442</v>
      </c>
      <c r="AP60" s="407">
        <v>0.70833333333333337</v>
      </c>
      <c r="AQ60" s="406">
        <v>0.75</v>
      </c>
      <c r="AV60" s="408">
        <f t="shared" si="1"/>
        <v>8.680555555555558E-2</v>
      </c>
    </row>
    <row r="61" spans="1:48" x14ac:dyDescent="0.25">
      <c r="A61" s="251" t="s">
        <v>491</v>
      </c>
      <c r="B61" s="251" t="s">
        <v>472</v>
      </c>
      <c r="C61" s="508" t="s">
        <v>492</v>
      </c>
      <c r="D61" s="247">
        <f t="shared" si="2"/>
        <v>0.23402777777777778</v>
      </c>
      <c r="E61" s="248">
        <v>0.23958333333333334</v>
      </c>
      <c r="F61" s="305" t="s">
        <v>104</v>
      </c>
      <c r="G61" s="247">
        <v>0.3888888888888889</v>
      </c>
      <c r="H61" s="248" t="s">
        <v>475</v>
      </c>
      <c r="I61" s="248">
        <f>J61-TIME(,0,)</f>
        <v>0.4375</v>
      </c>
      <c r="J61" s="248">
        <v>0.4375</v>
      </c>
      <c r="K61" s="305" t="s">
        <v>474</v>
      </c>
      <c r="L61" s="247">
        <v>0.53472222222222221</v>
      </c>
      <c r="M61" s="248" t="s">
        <v>475</v>
      </c>
      <c r="N61" s="305">
        <f>L61+TIME(,5,)</f>
        <v>0.53819444444444442</v>
      </c>
      <c r="O61" s="251">
        <f t="shared" si="3"/>
        <v>0.30416666666666664</v>
      </c>
      <c r="P61" s="251">
        <f t="shared" si="4"/>
        <v>0.25555555555555554</v>
      </c>
      <c r="Q61" s="251">
        <f t="shared" si="5"/>
        <v>4.8611111111111105E-2</v>
      </c>
      <c r="R61" s="251"/>
      <c r="S61" s="504"/>
      <c r="T61" s="493"/>
      <c r="U61" s="493"/>
      <c r="V61" s="509"/>
      <c r="W61" s="509"/>
      <c r="X61" s="509"/>
      <c r="Y61" s="509"/>
      <c r="AI61" s="406">
        <v>0.69097222222222221</v>
      </c>
      <c r="AJ61" s="407">
        <v>0.70138888888888884</v>
      </c>
      <c r="AK61" s="407">
        <v>0.72916666666666663</v>
      </c>
      <c r="AL61" s="473">
        <v>0.77777777777777779</v>
      </c>
      <c r="AN61" s="226">
        <v>0.66666666666666663</v>
      </c>
      <c r="AO61" s="407">
        <v>0.69791666666666663</v>
      </c>
      <c r="AP61" s="407">
        <v>0.71180555555555558</v>
      </c>
      <c r="AQ61" s="406">
        <v>0.75694444444444442</v>
      </c>
      <c r="AV61" s="408">
        <f t="shared" si="1"/>
        <v>9.027777777777779E-2</v>
      </c>
    </row>
    <row r="62" spans="1:48" x14ac:dyDescent="0.25">
      <c r="A62" s="251" t="s">
        <v>495</v>
      </c>
      <c r="B62" s="251" t="s">
        <v>472</v>
      </c>
      <c r="C62" s="508" t="s">
        <v>496</v>
      </c>
      <c r="D62" s="247">
        <f t="shared" si="2"/>
        <v>0.24097222222222223</v>
      </c>
      <c r="E62" s="248">
        <v>0.24652777777777779</v>
      </c>
      <c r="F62" s="305" t="s">
        <v>104</v>
      </c>
      <c r="G62" s="247">
        <v>0.36458333333333331</v>
      </c>
      <c r="H62" s="248" t="s">
        <v>474</v>
      </c>
      <c r="I62" s="248">
        <f>J62-TIME(,5+3,)</f>
        <v>0.40416666666666667</v>
      </c>
      <c r="J62" s="248">
        <v>0.40972222222222221</v>
      </c>
      <c r="K62" s="305" t="s">
        <v>104</v>
      </c>
      <c r="L62" s="247">
        <v>0.55902777777777779</v>
      </c>
      <c r="M62" s="248" t="s">
        <v>474</v>
      </c>
      <c r="N62" s="305">
        <v>0.5625</v>
      </c>
      <c r="O62" s="251">
        <f t="shared" si="3"/>
        <v>0.32152777777777775</v>
      </c>
      <c r="P62" s="251">
        <f t="shared" si="4"/>
        <v>0.28194444444444439</v>
      </c>
      <c r="Q62" s="251">
        <f t="shared" si="5"/>
        <v>3.9583333333333359E-2</v>
      </c>
      <c r="R62" s="251"/>
      <c r="S62" s="504"/>
      <c r="T62" s="510"/>
      <c r="U62" s="493"/>
      <c r="V62" s="493"/>
      <c r="W62" s="493"/>
      <c r="X62" s="493"/>
      <c r="Y62" s="493"/>
      <c r="AI62" s="406">
        <v>0.69791666666666663</v>
      </c>
      <c r="AJ62" s="407">
        <v>0.70833333333333337</v>
      </c>
      <c r="AK62" s="407">
        <v>0.73611111111111116</v>
      </c>
      <c r="AL62" s="226">
        <v>0.78819444444444442</v>
      </c>
      <c r="AN62" s="226">
        <v>0.67361111111111116</v>
      </c>
      <c r="AO62" s="407">
        <v>0.70486111111111116</v>
      </c>
      <c r="AP62" s="407">
        <v>0.71875</v>
      </c>
      <c r="AQ62" s="406">
        <v>0.76388888888888884</v>
      </c>
      <c r="AV62" s="408">
        <f t="shared" si="1"/>
        <v>9.0277777777777679E-2</v>
      </c>
    </row>
    <row r="63" spans="1:48" ht="16.5" customHeight="1" thickBot="1" x14ac:dyDescent="0.3">
      <c r="A63" s="268" t="s">
        <v>497</v>
      </c>
      <c r="B63" s="275" t="s">
        <v>472</v>
      </c>
      <c r="C63" s="511" t="s">
        <v>498</v>
      </c>
      <c r="D63" s="270">
        <f t="shared" si="2"/>
        <v>0.24444444444444444</v>
      </c>
      <c r="E63" s="271">
        <v>0.25</v>
      </c>
      <c r="F63" s="301" t="s">
        <v>104</v>
      </c>
      <c r="G63" s="742"/>
      <c r="H63" s="743"/>
      <c r="I63" s="743"/>
      <c r="J63" s="743"/>
      <c r="K63" s="744"/>
      <c r="L63" s="270">
        <v>0.47569444444444442</v>
      </c>
      <c r="M63" s="271" t="s">
        <v>474</v>
      </c>
      <c r="N63" s="301">
        <f t="shared" ref="N63:N69" si="6">L63+TIME(,5,)</f>
        <v>0.47916666666666663</v>
      </c>
      <c r="O63" s="275">
        <f t="shared" si="3"/>
        <v>0.23472222222222219</v>
      </c>
      <c r="P63" s="275">
        <f t="shared" si="4"/>
        <v>0.23472222222222219</v>
      </c>
      <c r="Q63" s="275">
        <f t="shared" si="5"/>
        <v>0</v>
      </c>
      <c r="R63" s="275"/>
      <c r="S63" s="504"/>
      <c r="T63" s="510"/>
      <c r="U63" s="493"/>
      <c r="V63" s="493"/>
      <c r="W63" s="493"/>
      <c r="X63" s="493"/>
      <c r="Y63" s="493"/>
      <c r="AI63" s="406">
        <v>0.70486111111111116</v>
      </c>
      <c r="AJ63" s="407">
        <v>0.71527777777777779</v>
      </c>
      <c r="AK63" s="407">
        <v>0.74305555555555558</v>
      </c>
      <c r="AL63" s="226">
        <v>0.79861111111111116</v>
      </c>
      <c r="AN63" s="226">
        <v>0.68402777777777779</v>
      </c>
      <c r="AO63" s="407">
        <v>0.71527777777777779</v>
      </c>
      <c r="AP63" s="407">
        <v>0.72916666666666663</v>
      </c>
      <c r="AQ63" s="406">
        <v>0.77083333333333337</v>
      </c>
      <c r="AV63" s="408">
        <f t="shared" si="1"/>
        <v>8.680555555555558E-2</v>
      </c>
    </row>
    <row r="64" spans="1:48" x14ac:dyDescent="0.25">
      <c r="A64" s="264" t="s">
        <v>501</v>
      </c>
      <c r="B64" s="264" t="s">
        <v>472</v>
      </c>
      <c r="C64" s="512" t="s">
        <v>502</v>
      </c>
      <c r="D64" s="260">
        <f t="shared" si="2"/>
        <v>0.24999999999999997</v>
      </c>
      <c r="E64" s="261">
        <v>0.25555555555555554</v>
      </c>
      <c r="F64" s="302" t="s">
        <v>104</v>
      </c>
      <c r="G64" s="260">
        <v>0.47222222222222221</v>
      </c>
      <c r="H64" s="261" t="s">
        <v>475</v>
      </c>
      <c r="I64" s="261">
        <f t="shared" ref="I64:I77" si="7">J64-TIME(,0,)</f>
        <v>0.52083333333333337</v>
      </c>
      <c r="J64" s="261">
        <v>0.52083333333333337</v>
      </c>
      <c r="K64" s="302" t="s">
        <v>474</v>
      </c>
      <c r="L64" s="260">
        <v>0.625</v>
      </c>
      <c r="M64" s="261" t="s">
        <v>475</v>
      </c>
      <c r="N64" s="302">
        <f t="shared" si="6"/>
        <v>0.62847222222222221</v>
      </c>
      <c r="O64" s="264">
        <f t="shared" si="3"/>
        <v>0.37847222222222221</v>
      </c>
      <c r="P64" s="264">
        <f t="shared" si="4"/>
        <v>0.32986111111111105</v>
      </c>
      <c r="Q64" s="264">
        <f t="shared" si="5"/>
        <v>4.861111111111116E-2</v>
      </c>
      <c r="R64" s="264"/>
      <c r="S64" s="504"/>
      <c r="T64" s="510"/>
      <c r="U64" s="493"/>
      <c r="V64" s="493"/>
      <c r="W64" s="493"/>
      <c r="X64" s="493"/>
      <c r="Y64" s="493"/>
      <c r="AI64" s="406">
        <v>0.71180555555555558</v>
      </c>
      <c r="AJ64" s="407">
        <v>0.72222222222222221</v>
      </c>
      <c r="AK64" s="407">
        <v>0.75</v>
      </c>
      <c r="AL64" s="473">
        <v>0.79861111111111116</v>
      </c>
      <c r="AN64" s="226">
        <v>0.69097222222222221</v>
      </c>
      <c r="AO64" s="407">
        <v>0.72222222222222221</v>
      </c>
      <c r="AP64" s="407">
        <v>0.73611111111111116</v>
      </c>
      <c r="AQ64" s="406">
        <v>0.77777777777777779</v>
      </c>
      <c r="AV64" s="408">
        <f t="shared" si="1"/>
        <v>8.680555555555558E-2</v>
      </c>
    </row>
    <row r="65" spans="1:48" x14ac:dyDescent="0.25">
      <c r="A65" s="251" t="s">
        <v>503</v>
      </c>
      <c r="B65" s="251" t="s">
        <v>472</v>
      </c>
      <c r="C65" s="508" t="s">
        <v>504</v>
      </c>
      <c r="D65" s="247">
        <f t="shared" si="2"/>
        <v>0.25486111111111115</v>
      </c>
      <c r="E65" s="248">
        <v>0.26041666666666669</v>
      </c>
      <c r="F65" s="305" t="s">
        <v>104</v>
      </c>
      <c r="G65" s="247">
        <v>0.3888888888888889</v>
      </c>
      <c r="H65" s="248" t="s">
        <v>474</v>
      </c>
      <c r="I65" s="248">
        <f t="shared" si="7"/>
        <v>0.44444444444444442</v>
      </c>
      <c r="J65" s="248">
        <v>0.44444444444444442</v>
      </c>
      <c r="K65" s="305" t="s">
        <v>475</v>
      </c>
      <c r="L65" s="247">
        <v>0.63194444444444442</v>
      </c>
      <c r="M65" s="248" t="s">
        <v>475</v>
      </c>
      <c r="N65" s="305">
        <f t="shared" si="6"/>
        <v>0.63541666666666663</v>
      </c>
      <c r="O65" s="251">
        <f t="shared" si="3"/>
        <v>0.38055555555555548</v>
      </c>
      <c r="P65" s="251">
        <f t="shared" si="4"/>
        <v>0.32499999999999996</v>
      </c>
      <c r="Q65" s="251">
        <f t="shared" si="5"/>
        <v>5.5555555555555525E-2</v>
      </c>
      <c r="R65" s="251"/>
      <c r="AI65" s="406">
        <v>0.72222222222222221</v>
      </c>
      <c r="AJ65" s="407">
        <v>0.72916666666666663</v>
      </c>
      <c r="AK65" s="407">
        <v>0.75694444444444442</v>
      </c>
      <c r="AL65" s="226">
        <v>0.80902777777777779</v>
      </c>
      <c r="AN65" s="226">
        <v>0.70138888888888884</v>
      </c>
      <c r="AO65" s="407">
        <v>0.72916666666666663</v>
      </c>
      <c r="AP65" s="407">
        <v>0.74305555555555558</v>
      </c>
      <c r="AQ65" s="473">
        <v>0.79513888888888884</v>
      </c>
      <c r="AV65" s="408">
        <f t="shared" si="1"/>
        <v>9.375E-2</v>
      </c>
    </row>
    <row r="66" spans="1:48" x14ac:dyDescent="0.25">
      <c r="A66" s="251" t="s">
        <v>506</v>
      </c>
      <c r="B66" s="251" t="s">
        <v>472</v>
      </c>
      <c r="C66" s="508" t="s">
        <v>507</v>
      </c>
      <c r="D66" s="247">
        <f t="shared" si="2"/>
        <v>0.26527777777777778</v>
      </c>
      <c r="E66" s="248">
        <v>0.27083333333333331</v>
      </c>
      <c r="F66" s="305" t="s">
        <v>104</v>
      </c>
      <c r="G66" s="247">
        <v>0.40972222222222221</v>
      </c>
      <c r="H66" s="248" t="s">
        <v>474</v>
      </c>
      <c r="I66" s="248">
        <f t="shared" si="7"/>
        <v>0.46180555555555558</v>
      </c>
      <c r="J66" s="248">
        <v>0.46180555555555558</v>
      </c>
      <c r="K66" s="305" t="s">
        <v>474</v>
      </c>
      <c r="L66" s="247">
        <v>0.65277777777777779</v>
      </c>
      <c r="M66" s="248" t="s">
        <v>474</v>
      </c>
      <c r="N66" s="305">
        <f t="shared" si="6"/>
        <v>0.65625</v>
      </c>
      <c r="O66" s="251">
        <f t="shared" si="3"/>
        <v>0.39097222222222222</v>
      </c>
      <c r="P66" s="251">
        <f t="shared" si="4"/>
        <v>0.33888888888888885</v>
      </c>
      <c r="Q66" s="251">
        <f t="shared" si="5"/>
        <v>5.208333333333337E-2</v>
      </c>
      <c r="R66" s="251"/>
      <c r="AI66" s="406">
        <v>0.72916666666666663</v>
      </c>
      <c r="AJ66" s="407">
        <v>0.73611111111111116</v>
      </c>
      <c r="AK66" s="407">
        <v>0.76388888888888884</v>
      </c>
      <c r="AL66" s="226">
        <v>0.81944444444444442</v>
      </c>
      <c r="AN66" s="226">
        <v>0.70833333333333337</v>
      </c>
      <c r="AO66" s="407">
        <v>0.73611111111111116</v>
      </c>
      <c r="AP66" s="407">
        <v>0.75</v>
      </c>
      <c r="AQ66" s="406">
        <v>0.79513888888888884</v>
      </c>
      <c r="AV66" s="408">
        <f t="shared" si="1"/>
        <v>8.6805555555555469E-2</v>
      </c>
    </row>
    <row r="67" spans="1:48" x14ac:dyDescent="0.25">
      <c r="A67" s="251" t="s">
        <v>508</v>
      </c>
      <c r="B67" s="251" t="s">
        <v>472</v>
      </c>
      <c r="C67" s="508" t="s">
        <v>509</v>
      </c>
      <c r="D67" s="247">
        <f t="shared" si="2"/>
        <v>0.27569444444444446</v>
      </c>
      <c r="E67" s="248">
        <v>0.28125</v>
      </c>
      <c r="F67" s="305" t="s">
        <v>104</v>
      </c>
      <c r="G67" s="247">
        <v>0.41666666666666669</v>
      </c>
      <c r="H67" s="248" t="s">
        <v>474</v>
      </c>
      <c r="I67" s="248">
        <v>0.47222222222222221</v>
      </c>
      <c r="J67" s="248">
        <v>0.47222222222222221</v>
      </c>
      <c r="K67" s="305" t="s">
        <v>475</v>
      </c>
      <c r="L67" s="247">
        <v>0.65972222222222221</v>
      </c>
      <c r="M67" s="248" t="s">
        <v>475</v>
      </c>
      <c r="N67" s="305">
        <v>0.66319444444444442</v>
      </c>
      <c r="O67" s="251">
        <f t="shared" si="3"/>
        <v>0.38749999999999996</v>
      </c>
      <c r="P67" s="251">
        <f t="shared" si="4"/>
        <v>0.33194444444444443</v>
      </c>
      <c r="Q67" s="251">
        <f t="shared" si="5"/>
        <v>5.5555555555555525E-2</v>
      </c>
      <c r="R67" s="251"/>
      <c r="AI67" s="406">
        <v>0.73611111111111116</v>
      </c>
      <c r="AJ67" s="407">
        <v>0.74305555555555558</v>
      </c>
      <c r="AK67" s="407">
        <v>0.77083333333333337</v>
      </c>
      <c r="AL67" s="473">
        <v>0.82361111111111107</v>
      </c>
      <c r="AN67" s="226">
        <v>0.71527777777777779</v>
      </c>
      <c r="AO67" s="407">
        <v>0.74305555555555558</v>
      </c>
      <c r="AP67" s="407">
        <v>0.75694444444444442</v>
      </c>
      <c r="AQ67" s="406">
        <v>0.80555555555555558</v>
      </c>
      <c r="AV67" s="408">
        <f t="shared" ref="AV67:AV129" si="8">AQ67-AN67</f>
        <v>9.027777777777779E-2</v>
      </c>
    </row>
    <row r="68" spans="1:48" x14ac:dyDescent="0.25">
      <c r="A68" s="251" t="s">
        <v>511</v>
      </c>
      <c r="B68" s="251" t="s">
        <v>472</v>
      </c>
      <c r="C68" s="508" t="s">
        <v>512</v>
      </c>
      <c r="D68" s="247">
        <f t="shared" si="2"/>
        <v>0.32777777777777778</v>
      </c>
      <c r="E68" s="248">
        <v>0.33333333333333331</v>
      </c>
      <c r="F68" s="305" t="s">
        <v>104</v>
      </c>
      <c r="G68" s="247">
        <v>0.5</v>
      </c>
      <c r="H68" s="248" t="s">
        <v>475</v>
      </c>
      <c r="I68" s="248">
        <f t="shared" si="7"/>
        <v>0.54166666666666663</v>
      </c>
      <c r="J68" s="248">
        <v>0.54166666666666663</v>
      </c>
      <c r="K68" s="305" t="s">
        <v>474</v>
      </c>
      <c r="L68" s="247">
        <v>0.64583333333333337</v>
      </c>
      <c r="M68" s="248" t="s">
        <v>475</v>
      </c>
      <c r="N68" s="305">
        <f t="shared" si="6"/>
        <v>0.64930555555555558</v>
      </c>
      <c r="O68" s="251">
        <f t="shared" si="3"/>
        <v>0.3215277777777778</v>
      </c>
      <c r="P68" s="251">
        <f t="shared" si="4"/>
        <v>0.27986111111111117</v>
      </c>
      <c r="Q68" s="251">
        <f t="shared" si="5"/>
        <v>4.166666666666663E-2</v>
      </c>
      <c r="R68" s="251"/>
      <c r="AI68" s="406">
        <v>0.74305555555555558</v>
      </c>
      <c r="AJ68" s="407">
        <v>0.75</v>
      </c>
      <c r="AK68" s="421">
        <v>0.77777777777777779</v>
      </c>
      <c r="AL68" s="226">
        <v>0.83333333333333337</v>
      </c>
      <c r="AN68" s="226">
        <v>0.72222222222222221</v>
      </c>
      <c r="AO68" s="407">
        <v>0.75</v>
      </c>
      <c r="AP68" s="407">
        <v>0.76388888888888884</v>
      </c>
      <c r="AQ68" s="473">
        <v>0.80902777777777779</v>
      </c>
      <c r="AV68" s="408">
        <f t="shared" si="8"/>
        <v>8.680555555555558E-2</v>
      </c>
    </row>
    <row r="69" spans="1:48" x14ac:dyDescent="0.25">
      <c r="A69" s="251" t="s">
        <v>513</v>
      </c>
      <c r="B69" s="251" t="s">
        <v>472</v>
      </c>
      <c r="C69" s="508" t="s">
        <v>514</v>
      </c>
      <c r="D69" s="247">
        <f>E69-TIME(,5+3,)</f>
        <v>0.33125000000000004</v>
      </c>
      <c r="E69" s="248">
        <v>0.33680555555555558</v>
      </c>
      <c r="F69" s="305" t="s">
        <v>474</v>
      </c>
      <c r="G69" s="247">
        <v>0.51388888888888884</v>
      </c>
      <c r="H69" s="248" t="s">
        <v>474</v>
      </c>
      <c r="I69" s="248">
        <f t="shared" si="7"/>
        <v>0.54861111111111116</v>
      </c>
      <c r="J69" s="248">
        <v>0.54861111111111116</v>
      </c>
      <c r="K69" s="305" t="s">
        <v>474</v>
      </c>
      <c r="L69" s="247">
        <v>0.65277777777777779</v>
      </c>
      <c r="M69" s="248" t="s">
        <v>475</v>
      </c>
      <c r="N69" s="305">
        <f t="shared" si="6"/>
        <v>0.65625</v>
      </c>
      <c r="O69" s="251">
        <f t="shared" si="3"/>
        <v>0.32499999999999996</v>
      </c>
      <c r="P69" s="251">
        <f t="shared" si="4"/>
        <v>0.29027777777777763</v>
      </c>
      <c r="Q69" s="251">
        <f t="shared" si="5"/>
        <v>3.4722222222222321E-2</v>
      </c>
      <c r="R69" s="251"/>
      <c r="AI69" s="406">
        <v>0.75</v>
      </c>
      <c r="AJ69" s="407">
        <v>0.75694444444444442</v>
      </c>
      <c r="AK69" s="457">
        <v>0.78125</v>
      </c>
      <c r="AL69" s="513">
        <v>0.84375</v>
      </c>
      <c r="AN69" s="226">
        <v>0.72916666666666663</v>
      </c>
      <c r="AO69" s="407">
        <v>0.75694444444444442</v>
      </c>
      <c r="AP69" s="407">
        <v>0.77083333333333337</v>
      </c>
      <c r="AQ69" s="406">
        <v>0.81597222222222221</v>
      </c>
      <c r="AV69" s="408">
        <f t="shared" si="8"/>
        <v>8.680555555555558E-2</v>
      </c>
    </row>
    <row r="70" spans="1:48" x14ac:dyDescent="0.25">
      <c r="A70" s="251" t="s">
        <v>515</v>
      </c>
      <c r="B70" s="251" t="s">
        <v>472</v>
      </c>
      <c r="C70" s="508" t="s">
        <v>516</v>
      </c>
      <c r="D70" s="247">
        <f>E70-TIME(,8,)</f>
        <v>0.33472222222222225</v>
      </c>
      <c r="E70" s="248">
        <v>0.34027777777777779</v>
      </c>
      <c r="F70" s="305" t="s">
        <v>104</v>
      </c>
      <c r="G70" s="247">
        <v>0.49652777777777779</v>
      </c>
      <c r="H70" s="248" t="s">
        <v>474</v>
      </c>
      <c r="I70" s="248">
        <f t="shared" si="7"/>
        <v>0.53472222222222221</v>
      </c>
      <c r="J70" s="248">
        <v>0.53472222222222221</v>
      </c>
      <c r="K70" s="305" t="s">
        <v>475</v>
      </c>
      <c r="L70" s="247">
        <v>0.7055555555555556</v>
      </c>
      <c r="M70" s="248" t="s">
        <v>104</v>
      </c>
      <c r="N70" s="305">
        <f>L70+TIME(,0,)</f>
        <v>0.7055555555555556</v>
      </c>
      <c r="O70" s="251">
        <f t="shared" si="3"/>
        <v>0.37083333333333335</v>
      </c>
      <c r="P70" s="251">
        <f t="shared" si="4"/>
        <v>0.33263888888888893</v>
      </c>
      <c r="Q70" s="251">
        <f t="shared" si="5"/>
        <v>3.819444444444442E-2</v>
      </c>
      <c r="R70" s="251"/>
      <c r="AI70" s="406">
        <v>0.75694444444444442</v>
      </c>
      <c r="AJ70" s="407">
        <v>0.76388888888888884</v>
      </c>
      <c r="AK70" s="407">
        <v>0.79166666666666663</v>
      </c>
      <c r="AL70" s="226">
        <v>0.84375</v>
      </c>
      <c r="AN70" s="226">
        <v>0.73611111111111116</v>
      </c>
      <c r="AO70" s="407">
        <v>0.76388888888888884</v>
      </c>
      <c r="AP70" s="407">
        <v>0.77777777777777779</v>
      </c>
      <c r="AQ70" s="473">
        <v>0.82291666666666663</v>
      </c>
      <c r="AV70" s="408">
        <f t="shared" si="8"/>
        <v>8.6805555555555469E-2</v>
      </c>
    </row>
    <row r="71" spans="1:48" x14ac:dyDescent="0.25">
      <c r="A71" s="251" t="s">
        <v>517</v>
      </c>
      <c r="B71" s="251" t="s">
        <v>472</v>
      </c>
      <c r="C71" s="508" t="s">
        <v>518</v>
      </c>
      <c r="D71" s="247">
        <f>E71-TIME(,5+3,)</f>
        <v>0.34166666666666667</v>
      </c>
      <c r="E71" s="248">
        <v>0.34722222222222221</v>
      </c>
      <c r="F71" s="305" t="s">
        <v>474</v>
      </c>
      <c r="G71" s="247">
        <v>0.52083333333333337</v>
      </c>
      <c r="H71" s="248" t="s">
        <v>474</v>
      </c>
      <c r="I71" s="248">
        <f t="shared" si="7"/>
        <v>0.55902777777777779</v>
      </c>
      <c r="J71" s="248">
        <v>0.55902777777777779</v>
      </c>
      <c r="K71" s="305" t="s">
        <v>474</v>
      </c>
      <c r="L71" s="247">
        <v>0.66666666666666663</v>
      </c>
      <c r="M71" s="248" t="s">
        <v>475</v>
      </c>
      <c r="N71" s="305">
        <f t="shared" ref="N71:N76" si="9">L71+TIME(,5,)</f>
        <v>0.67013888888888884</v>
      </c>
      <c r="O71" s="251">
        <f t="shared" si="3"/>
        <v>0.32847222222222217</v>
      </c>
      <c r="P71" s="251">
        <f t="shared" si="4"/>
        <v>0.29027777777777775</v>
      </c>
      <c r="Q71" s="251">
        <f t="shared" si="5"/>
        <v>3.819444444444442E-2</v>
      </c>
      <c r="R71" s="251"/>
      <c r="AI71" s="406">
        <v>0.76388888888888884</v>
      </c>
      <c r="AJ71" s="407">
        <v>0.77083333333333337</v>
      </c>
      <c r="AK71" s="407">
        <v>0.79861111111111116</v>
      </c>
      <c r="AL71" s="473">
        <v>0.84375</v>
      </c>
      <c r="AN71" s="226">
        <v>0.74652777777777779</v>
      </c>
      <c r="AO71" s="407">
        <v>0.77083333333333337</v>
      </c>
      <c r="AP71" s="407">
        <v>0.78472222222222221</v>
      </c>
      <c r="AQ71" s="406">
        <v>0.82638888888888884</v>
      </c>
      <c r="AV71" s="408">
        <f t="shared" si="8"/>
        <v>7.9861111111111049E-2</v>
      </c>
    </row>
    <row r="72" spans="1:48" x14ac:dyDescent="0.25">
      <c r="A72" s="251" t="s">
        <v>519</v>
      </c>
      <c r="B72" s="251" t="s">
        <v>472</v>
      </c>
      <c r="C72" s="508" t="s">
        <v>520</v>
      </c>
      <c r="D72" s="247">
        <f>E72-TIME(,8,)</f>
        <v>0.34166666666666667</v>
      </c>
      <c r="E72" s="248">
        <v>0.34722222222222221</v>
      </c>
      <c r="F72" s="305" t="s">
        <v>104</v>
      </c>
      <c r="G72" s="247">
        <v>0.50347222222222221</v>
      </c>
      <c r="H72" s="248" t="s">
        <v>474</v>
      </c>
      <c r="I72" s="248">
        <f t="shared" si="7"/>
        <v>0.54861111111111116</v>
      </c>
      <c r="J72" s="248">
        <v>0.54861111111111116</v>
      </c>
      <c r="K72" s="305" t="s">
        <v>475</v>
      </c>
      <c r="L72" s="247">
        <v>0.73611111111111116</v>
      </c>
      <c r="M72" s="248" t="s">
        <v>475</v>
      </c>
      <c r="N72" s="305">
        <f t="shared" si="9"/>
        <v>0.73958333333333337</v>
      </c>
      <c r="O72" s="251">
        <f t="shared" si="3"/>
        <v>0.3979166666666667</v>
      </c>
      <c r="P72" s="251">
        <f t="shared" si="4"/>
        <v>0.35277777777777775</v>
      </c>
      <c r="Q72" s="251">
        <f t="shared" si="5"/>
        <v>4.5138888888888951E-2</v>
      </c>
      <c r="R72" s="251"/>
      <c r="AI72" s="406">
        <v>0.77083333333333337</v>
      </c>
      <c r="AJ72" s="407">
        <v>0.77777777777777779</v>
      </c>
      <c r="AK72" s="407">
        <v>0.80555555555555558</v>
      </c>
      <c r="AL72" s="473">
        <v>0.84722222222222221</v>
      </c>
      <c r="AN72" s="226">
        <v>0.75347222222222221</v>
      </c>
      <c r="AO72" s="407">
        <v>0.77777777777777779</v>
      </c>
      <c r="AP72" s="407">
        <v>0.79166666666666663</v>
      </c>
      <c r="AQ72" s="473">
        <v>0.82986111111111116</v>
      </c>
      <c r="AV72" s="408">
        <f t="shared" si="8"/>
        <v>7.6388888888888951E-2</v>
      </c>
    </row>
    <row r="73" spans="1:48" x14ac:dyDescent="0.25">
      <c r="A73" s="251" t="s">
        <v>521</v>
      </c>
      <c r="B73" s="251" t="s">
        <v>472</v>
      </c>
      <c r="C73" s="508" t="s">
        <v>522</v>
      </c>
      <c r="D73" s="247">
        <f>E73-TIME(,5+3,)</f>
        <v>0.34861111111111115</v>
      </c>
      <c r="E73" s="248">
        <v>0.35416666666666669</v>
      </c>
      <c r="F73" s="305" t="s">
        <v>474</v>
      </c>
      <c r="G73" s="247">
        <v>0.44444444444444442</v>
      </c>
      <c r="H73" s="248" t="s">
        <v>475</v>
      </c>
      <c r="I73" s="248">
        <f t="shared" si="7"/>
        <v>0.4861111111111111</v>
      </c>
      <c r="J73" s="248">
        <v>0.4861111111111111</v>
      </c>
      <c r="K73" s="305" t="s">
        <v>475</v>
      </c>
      <c r="L73" s="247">
        <v>0.67361111111111116</v>
      </c>
      <c r="M73" s="248" t="s">
        <v>475</v>
      </c>
      <c r="N73" s="305">
        <f t="shared" si="9"/>
        <v>0.67708333333333337</v>
      </c>
      <c r="O73" s="251">
        <f t="shared" si="3"/>
        <v>0.32847222222222222</v>
      </c>
      <c r="P73" s="251">
        <f t="shared" si="4"/>
        <v>0.28680555555555554</v>
      </c>
      <c r="Q73" s="251">
        <f t="shared" si="5"/>
        <v>4.1666666666666685E-2</v>
      </c>
      <c r="R73" s="251"/>
      <c r="AI73" s="406">
        <v>0.77777777777777779</v>
      </c>
      <c r="AJ73" s="407">
        <v>0.78472222222222221</v>
      </c>
      <c r="AK73" s="407">
        <v>0.8125</v>
      </c>
      <c r="AL73" s="226">
        <v>0.85416666666666663</v>
      </c>
      <c r="AN73" s="226">
        <v>0.76041666666666663</v>
      </c>
      <c r="AO73" s="407">
        <v>0.78472222222222221</v>
      </c>
      <c r="AP73" s="421">
        <v>0.79861111111111116</v>
      </c>
      <c r="AQ73" s="406">
        <v>0.83680555555555558</v>
      </c>
      <c r="AV73" s="408">
        <f t="shared" si="8"/>
        <v>7.6388888888888951E-2</v>
      </c>
    </row>
    <row r="74" spans="1:48" x14ac:dyDescent="0.25">
      <c r="A74" s="251" t="s">
        <v>523</v>
      </c>
      <c r="B74" s="251" t="s">
        <v>472</v>
      </c>
      <c r="C74" s="508" t="s">
        <v>524</v>
      </c>
      <c r="D74" s="247">
        <f>E74-TIME(,8,)</f>
        <v>0.34861111111111115</v>
      </c>
      <c r="E74" s="248">
        <v>0.35416666666666669</v>
      </c>
      <c r="F74" s="305" t="s">
        <v>104</v>
      </c>
      <c r="G74" s="247">
        <v>0.52777777777777779</v>
      </c>
      <c r="H74" s="248" t="s">
        <v>475</v>
      </c>
      <c r="I74" s="248">
        <f t="shared" si="7"/>
        <v>0.56944444444444442</v>
      </c>
      <c r="J74" s="248">
        <v>0.56944444444444442</v>
      </c>
      <c r="K74" s="305" t="s">
        <v>475</v>
      </c>
      <c r="L74" s="247">
        <v>0.65972222222222221</v>
      </c>
      <c r="M74" s="248" t="s">
        <v>474</v>
      </c>
      <c r="N74" s="305">
        <f t="shared" si="9"/>
        <v>0.66319444444444442</v>
      </c>
      <c r="O74" s="251">
        <f t="shared" si="3"/>
        <v>0.31458333333333327</v>
      </c>
      <c r="P74" s="251">
        <f t="shared" si="4"/>
        <v>0.27291666666666664</v>
      </c>
      <c r="Q74" s="251">
        <f t="shared" si="5"/>
        <v>4.166666666666663E-2</v>
      </c>
      <c r="R74" s="251"/>
      <c r="AI74" s="406">
        <v>0.79513888888888884</v>
      </c>
      <c r="AJ74" s="407">
        <v>0.80208333333333337</v>
      </c>
      <c r="AK74" s="407">
        <v>0.82986111111111116</v>
      </c>
      <c r="AL74" s="226">
        <v>0.875</v>
      </c>
      <c r="AN74" s="226">
        <v>0.77777777777777779</v>
      </c>
      <c r="AO74" s="407">
        <v>0.80208333333333337</v>
      </c>
      <c r="AP74" s="407">
        <v>0.81597222222222221</v>
      </c>
      <c r="AQ74" s="406">
        <v>0.85763888888888884</v>
      </c>
      <c r="AV74" s="408">
        <f t="shared" si="8"/>
        <v>7.9861111111111049E-2</v>
      </c>
    </row>
    <row r="75" spans="1:48" x14ac:dyDescent="0.25">
      <c r="A75" s="251" t="s">
        <v>525</v>
      </c>
      <c r="B75" s="251" t="s">
        <v>472</v>
      </c>
      <c r="C75" s="508" t="s">
        <v>526</v>
      </c>
      <c r="D75" s="247">
        <f>E75-TIME(,5+3,)</f>
        <v>0.35208333333333336</v>
      </c>
      <c r="E75" s="248">
        <v>0.3576388888888889</v>
      </c>
      <c r="F75" s="305" t="s">
        <v>475</v>
      </c>
      <c r="G75" s="247">
        <v>0.4375</v>
      </c>
      <c r="H75" s="248" t="s">
        <v>474</v>
      </c>
      <c r="I75" s="248">
        <v>0.47569444444444442</v>
      </c>
      <c r="J75" s="248">
        <v>0.47569444444444442</v>
      </c>
      <c r="K75" s="305" t="s">
        <v>474</v>
      </c>
      <c r="L75" s="247">
        <v>0.66666666666666663</v>
      </c>
      <c r="M75" s="248" t="s">
        <v>474</v>
      </c>
      <c r="N75" s="305">
        <v>0.67013888888888884</v>
      </c>
      <c r="O75" s="251">
        <f>N75-D75</f>
        <v>0.31805555555555548</v>
      </c>
      <c r="P75" s="251">
        <f>O75-Q75</f>
        <v>0.27986111111111106</v>
      </c>
      <c r="Q75" s="251">
        <f>I75-G75</f>
        <v>3.819444444444442E-2</v>
      </c>
      <c r="R75" s="251"/>
      <c r="T75" s="514" t="s">
        <v>845</v>
      </c>
      <c r="AI75" s="406">
        <v>0.78472222222222221</v>
      </c>
      <c r="AJ75" s="407">
        <v>0.79166666666666663</v>
      </c>
      <c r="AK75" s="407">
        <v>0.81944444444444442</v>
      </c>
      <c r="AL75" s="226">
        <v>0.86458333333333337</v>
      </c>
      <c r="AN75" s="226">
        <v>0.76736111111111116</v>
      </c>
      <c r="AO75" s="407">
        <v>0.79166666666666663</v>
      </c>
      <c r="AP75" s="407">
        <v>0.80555555555555558</v>
      </c>
      <c r="AQ75" s="406">
        <v>0.84722222222222221</v>
      </c>
      <c r="AV75" s="408">
        <f>AQ75-AN75</f>
        <v>7.9861111111111049E-2</v>
      </c>
    </row>
    <row r="76" spans="1:48" x14ac:dyDescent="0.25">
      <c r="A76" s="251" t="s">
        <v>527</v>
      </c>
      <c r="B76" s="251" t="s">
        <v>472</v>
      </c>
      <c r="C76" s="508" t="s">
        <v>528</v>
      </c>
      <c r="D76" s="247">
        <f>E76-TIME(,8,)</f>
        <v>0.35555555555555557</v>
      </c>
      <c r="E76" s="248">
        <v>0.3611111111111111</v>
      </c>
      <c r="F76" s="305" t="s">
        <v>104</v>
      </c>
      <c r="G76" s="247">
        <v>0.51736111111111116</v>
      </c>
      <c r="H76" s="248" t="s">
        <v>474</v>
      </c>
      <c r="I76" s="248">
        <f t="shared" si="7"/>
        <v>0.55555555555555558</v>
      </c>
      <c r="J76" s="248">
        <v>0.55555555555555558</v>
      </c>
      <c r="K76" s="305" t="s">
        <v>475</v>
      </c>
      <c r="L76" s="247">
        <v>0.74305555555555558</v>
      </c>
      <c r="M76" s="248" t="s">
        <v>475</v>
      </c>
      <c r="N76" s="305">
        <f t="shared" si="9"/>
        <v>0.74652777777777779</v>
      </c>
      <c r="O76" s="251">
        <f t="shared" si="3"/>
        <v>0.39097222222222222</v>
      </c>
      <c r="P76" s="251">
        <f t="shared" si="4"/>
        <v>0.3527777777777778</v>
      </c>
      <c r="Q76" s="251">
        <f t="shared" si="5"/>
        <v>3.819444444444442E-2</v>
      </c>
      <c r="R76" s="251"/>
      <c r="AI76" s="406">
        <v>0.80555555555555558</v>
      </c>
      <c r="AJ76" s="407">
        <v>0.8125</v>
      </c>
      <c r="AK76" s="407">
        <v>0.84027777777777779</v>
      </c>
      <c r="AL76" s="226">
        <v>0.88541666666666663</v>
      </c>
      <c r="AN76" s="226">
        <v>0.78819444444444442</v>
      </c>
      <c r="AO76" s="421">
        <v>0.8125</v>
      </c>
      <c r="AP76" s="421">
        <v>0.82291666666666663</v>
      </c>
      <c r="AQ76" s="406">
        <v>0.86805555555555558</v>
      </c>
      <c r="AV76" s="408">
        <f t="shared" si="8"/>
        <v>7.986111111111116E-2</v>
      </c>
    </row>
    <row r="77" spans="1:48" ht="16.5" thickBot="1" x14ac:dyDescent="0.3">
      <c r="A77" s="275" t="s">
        <v>529</v>
      </c>
      <c r="B77" s="275" t="s">
        <v>472</v>
      </c>
      <c r="C77" s="511" t="s">
        <v>530</v>
      </c>
      <c r="D77" s="270">
        <f>E77-TIME(,5+3,)</f>
        <v>0.35902777777777778</v>
      </c>
      <c r="E77" s="271">
        <v>0.36458333333333331</v>
      </c>
      <c r="F77" s="301" t="s">
        <v>474</v>
      </c>
      <c r="G77" s="270">
        <v>0.54166666666666663</v>
      </c>
      <c r="H77" s="271" t="s">
        <v>474</v>
      </c>
      <c r="I77" s="271">
        <f t="shared" si="7"/>
        <v>0.58333333333333337</v>
      </c>
      <c r="J77" s="271">
        <v>0.58333333333333337</v>
      </c>
      <c r="K77" s="301" t="s">
        <v>475</v>
      </c>
      <c r="L77" s="270">
        <v>0.67013888888888884</v>
      </c>
      <c r="M77" s="271" t="s">
        <v>104</v>
      </c>
      <c r="N77" s="301">
        <f>L77+TIME(,0,)</f>
        <v>0.67013888888888884</v>
      </c>
      <c r="O77" s="275">
        <f t="shared" si="3"/>
        <v>0.31111111111111106</v>
      </c>
      <c r="P77" s="275">
        <f t="shared" si="4"/>
        <v>0.26944444444444432</v>
      </c>
      <c r="Q77" s="275">
        <f t="shared" si="5"/>
        <v>4.1666666666666741E-2</v>
      </c>
      <c r="R77" s="275"/>
      <c r="AI77" s="406">
        <v>0.81597222222222221</v>
      </c>
      <c r="AJ77" s="407">
        <v>0.82291666666666663</v>
      </c>
      <c r="AK77" s="407">
        <v>0.85069444444444442</v>
      </c>
      <c r="AL77" s="226">
        <v>0.89583333333333337</v>
      </c>
      <c r="AN77" s="226">
        <v>0.79861111111111116</v>
      </c>
      <c r="AO77" s="407">
        <v>0.82291666666666663</v>
      </c>
      <c r="AP77" s="407">
        <v>0.83680555555555558</v>
      </c>
      <c r="AQ77" s="406">
        <v>0.87847222222222221</v>
      </c>
      <c r="AV77" s="408">
        <f t="shared" si="8"/>
        <v>7.9861111111111049E-2</v>
      </c>
    </row>
    <row r="78" spans="1:48" x14ac:dyDescent="0.25">
      <c r="A78" s="320" t="s">
        <v>531</v>
      </c>
      <c r="B78" s="320" t="s">
        <v>472</v>
      </c>
      <c r="C78" s="505" t="s">
        <v>532</v>
      </c>
      <c r="D78" s="317">
        <f>E78-TIME(,5+3,)</f>
        <v>0.48750000000000004</v>
      </c>
      <c r="E78" s="318">
        <v>0.49305555555555558</v>
      </c>
      <c r="F78" s="319" t="s">
        <v>475</v>
      </c>
      <c r="G78" s="317">
        <v>0.6875</v>
      </c>
      <c r="H78" s="318" t="s">
        <v>475</v>
      </c>
      <c r="I78" s="318">
        <f>J78-TIME(,0,)</f>
        <v>0.72916666666666663</v>
      </c>
      <c r="J78" s="318">
        <v>0.72916666666666663</v>
      </c>
      <c r="K78" s="319" t="s">
        <v>475</v>
      </c>
      <c r="L78" s="317">
        <v>0.87152777777777779</v>
      </c>
      <c r="M78" s="318" t="s">
        <v>104</v>
      </c>
      <c r="N78" s="319">
        <f>L78+TIME(,0,)</f>
        <v>0.87152777777777779</v>
      </c>
      <c r="O78" s="320">
        <f t="shared" si="3"/>
        <v>0.38402777777777775</v>
      </c>
      <c r="P78" s="320">
        <f t="shared" si="4"/>
        <v>0.34236111111111112</v>
      </c>
      <c r="Q78" s="320">
        <f t="shared" si="5"/>
        <v>4.166666666666663E-2</v>
      </c>
      <c r="R78" s="320"/>
      <c r="AI78" s="406">
        <v>0.83680555555555558</v>
      </c>
      <c r="AJ78" s="407">
        <v>0.84375</v>
      </c>
      <c r="AK78" s="407">
        <v>0.89236111111111116</v>
      </c>
      <c r="AL78" s="226">
        <v>0.91666666666666663</v>
      </c>
      <c r="AN78" s="226">
        <v>0.81944444444444442</v>
      </c>
      <c r="AO78" s="407">
        <v>0.84375</v>
      </c>
      <c r="AP78" s="407">
        <v>0.85763888888888884</v>
      </c>
      <c r="AQ78" s="473">
        <v>0.89583333333333337</v>
      </c>
      <c r="AV78" s="408">
        <f t="shared" si="8"/>
        <v>7.6388888888888951E-2</v>
      </c>
    </row>
    <row r="79" spans="1:48" x14ac:dyDescent="0.25">
      <c r="A79" s="251" t="s">
        <v>534</v>
      </c>
      <c r="B79" s="251" t="s">
        <v>472</v>
      </c>
      <c r="C79" s="508" t="s">
        <v>535</v>
      </c>
      <c r="D79" s="247">
        <f>E79-TIME(,5+3,)</f>
        <v>0.49097222222222225</v>
      </c>
      <c r="E79" s="248">
        <v>0.49652777777777779</v>
      </c>
      <c r="F79" s="305" t="s">
        <v>474</v>
      </c>
      <c r="G79" s="247">
        <v>0.68402777777777779</v>
      </c>
      <c r="H79" s="248" t="s">
        <v>474</v>
      </c>
      <c r="I79" s="248">
        <v>0.74305555555555558</v>
      </c>
      <c r="J79" s="248">
        <v>0.74305555555555558</v>
      </c>
      <c r="K79" s="305" t="s">
        <v>475</v>
      </c>
      <c r="L79" s="247">
        <v>0.83333333333333337</v>
      </c>
      <c r="M79" s="248" t="s">
        <v>104</v>
      </c>
      <c r="N79" s="305">
        <v>0.83333333333333337</v>
      </c>
      <c r="O79" s="251">
        <f>N79-D79</f>
        <v>0.34236111111111112</v>
      </c>
      <c r="P79" s="251">
        <f>O79-Q79</f>
        <v>0.28333333333333333</v>
      </c>
      <c r="Q79" s="251">
        <f>I79-G79</f>
        <v>5.902777777777779E-2</v>
      </c>
      <c r="R79" s="251"/>
      <c r="T79" s="514" t="s">
        <v>846</v>
      </c>
      <c r="AI79" s="406">
        <v>0.82638888888888884</v>
      </c>
      <c r="AJ79" s="407">
        <v>0.83333333333333337</v>
      </c>
      <c r="AK79" s="407">
        <v>0.86111111111111116</v>
      </c>
      <c r="AL79" s="226">
        <v>0.90625</v>
      </c>
      <c r="AN79" s="226">
        <v>0.80902777777777779</v>
      </c>
      <c r="AO79" s="407">
        <v>0.83333333333333337</v>
      </c>
      <c r="AP79" s="407">
        <v>0.84722222222222221</v>
      </c>
      <c r="AQ79" s="406">
        <v>0.88888888888888884</v>
      </c>
      <c r="AV79" s="408">
        <f>AQ79-AN79</f>
        <v>7.9861111111111049E-2</v>
      </c>
    </row>
    <row r="80" spans="1:48" x14ac:dyDescent="0.25">
      <c r="A80" s="251" t="s">
        <v>536</v>
      </c>
      <c r="B80" s="251" t="s">
        <v>472</v>
      </c>
      <c r="C80" s="508" t="s">
        <v>537</v>
      </c>
      <c r="D80" s="247">
        <f>E80-TIME(,5+3,)</f>
        <v>0.49444444444444446</v>
      </c>
      <c r="E80" s="248">
        <v>0.5</v>
      </c>
      <c r="F80" s="305" t="s">
        <v>475</v>
      </c>
      <c r="G80" s="247">
        <v>0.69444444444444442</v>
      </c>
      <c r="H80" s="248" t="s">
        <v>475</v>
      </c>
      <c r="I80" s="248">
        <v>0.74444444444444446</v>
      </c>
      <c r="J80" s="248">
        <v>0.75</v>
      </c>
      <c r="K80" s="305" t="s">
        <v>104</v>
      </c>
      <c r="L80" s="247">
        <v>0.89583333333333337</v>
      </c>
      <c r="M80" s="248" t="s">
        <v>475</v>
      </c>
      <c r="N80" s="305">
        <v>0.89930555555555558</v>
      </c>
      <c r="O80" s="251">
        <f t="shared" si="3"/>
        <v>0.40486111111111112</v>
      </c>
      <c r="P80" s="251">
        <f t="shared" si="4"/>
        <v>0.35486111111111107</v>
      </c>
      <c r="Q80" s="251">
        <f t="shared" si="5"/>
        <v>5.0000000000000044E-2</v>
      </c>
      <c r="R80" s="251"/>
      <c r="AI80" s="406">
        <v>0.84722222222222221</v>
      </c>
      <c r="AJ80" s="407">
        <v>0.85416666666666663</v>
      </c>
      <c r="AK80" s="407">
        <v>0.87847222222222221</v>
      </c>
      <c r="AL80" s="226">
        <v>0.92708333333333337</v>
      </c>
      <c r="AN80" s="226">
        <v>0.83333333333333337</v>
      </c>
      <c r="AO80" s="407">
        <v>0.85416666666666663</v>
      </c>
      <c r="AP80" s="421">
        <v>0.86458333333333337</v>
      </c>
      <c r="AQ80" s="406">
        <v>0.89930555555555558</v>
      </c>
      <c r="AV80" s="408">
        <f t="shared" si="8"/>
        <v>6.597222222222221E-2</v>
      </c>
    </row>
    <row r="81" spans="1:48" x14ac:dyDescent="0.25">
      <c r="A81" s="251" t="s">
        <v>538</v>
      </c>
      <c r="B81" s="251" t="s">
        <v>472</v>
      </c>
      <c r="C81" s="508" t="s">
        <v>539</v>
      </c>
      <c r="D81" s="247">
        <f>E81-TIME(,5+3,)</f>
        <v>0.49791666666666667</v>
      </c>
      <c r="E81" s="248">
        <v>0.50347222222222221</v>
      </c>
      <c r="F81" s="305" t="s">
        <v>474</v>
      </c>
      <c r="G81" s="247">
        <v>0.60416666666666663</v>
      </c>
      <c r="H81" s="248" t="s">
        <v>475</v>
      </c>
      <c r="I81" s="248">
        <f t="shared" ref="I81:I97" si="10">J81-TIME(,0,)</f>
        <v>0.66666666666666663</v>
      </c>
      <c r="J81" s="248">
        <v>0.66666666666666663</v>
      </c>
      <c r="K81" s="305" t="s">
        <v>474</v>
      </c>
      <c r="L81" s="247">
        <v>0.84375</v>
      </c>
      <c r="M81" s="248" t="s">
        <v>104</v>
      </c>
      <c r="N81" s="305">
        <f>L81+TIME(,0,)</f>
        <v>0.84375</v>
      </c>
      <c r="O81" s="251">
        <f t="shared" si="3"/>
        <v>0.34583333333333333</v>
      </c>
      <c r="P81" s="251">
        <f t="shared" si="4"/>
        <v>0.28333333333333333</v>
      </c>
      <c r="Q81" s="251">
        <f t="shared" si="5"/>
        <v>6.25E-2</v>
      </c>
      <c r="R81" s="251"/>
      <c r="AI81" s="406">
        <v>0.85763888888888884</v>
      </c>
      <c r="AJ81" s="407">
        <v>0.86458333333333337</v>
      </c>
      <c r="AK81" s="407">
        <v>0.88888888888888884</v>
      </c>
      <c r="AL81" s="226">
        <v>0.9375</v>
      </c>
      <c r="AN81" s="226">
        <v>0.84375</v>
      </c>
      <c r="AO81" s="407">
        <v>0.86458333333333337</v>
      </c>
      <c r="AP81" s="407">
        <v>0.875</v>
      </c>
      <c r="AQ81" s="406">
        <v>0.90972222222222221</v>
      </c>
      <c r="AV81" s="408">
        <f t="shared" si="8"/>
        <v>6.597222222222221E-2</v>
      </c>
    </row>
    <row r="82" spans="1:48" x14ac:dyDescent="0.25">
      <c r="A82" s="251" t="s">
        <v>540</v>
      </c>
      <c r="B82" s="251" t="s">
        <v>472</v>
      </c>
      <c r="C82" s="508" t="s">
        <v>541</v>
      </c>
      <c r="D82" s="247">
        <f>E82-TIME(,3,)</f>
        <v>0.50138888888888888</v>
      </c>
      <c r="E82" s="248">
        <v>0.50347222222222221</v>
      </c>
      <c r="F82" s="305" t="s">
        <v>104</v>
      </c>
      <c r="G82" s="247">
        <v>0.68055555555555558</v>
      </c>
      <c r="H82" s="248" t="s">
        <v>475</v>
      </c>
      <c r="I82" s="248">
        <v>0.71875</v>
      </c>
      <c r="J82" s="248">
        <v>0.71875</v>
      </c>
      <c r="K82" s="305" t="s">
        <v>475</v>
      </c>
      <c r="L82" s="247">
        <v>0.86805555555555558</v>
      </c>
      <c r="M82" s="248" t="s">
        <v>104</v>
      </c>
      <c r="N82" s="305">
        <v>0.86805555555555558</v>
      </c>
      <c r="O82" s="251">
        <f t="shared" si="3"/>
        <v>0.3666666666666667</v>
      </c>
      <c r="P82" s="251">
        <f t="shared" si="4"/>
        <v>0.32847222222222228</v>
      </c>
      <c r="Q82" s="251">
        <f t="shared" si="5"/>
        <v>3.819444444444442E-2</v>
      </c>
      <c r="R82" s="251"/>
      <c r="AI82" s="406">
        <v>0.86805555555555558</v>
      </c>
      <c r="AJ82" s="421">
        <v>0.875</v>
      </c>
      <c r="AK82" s="421">
        <v>0.89930555555555558</v>
      </c>
      <c r="AL82" s="473">
        <v>0.95138888888888884</v>
      </c>
      <c r="AN82" s="226">
        <v>0.85416666666666663</v>
      </c>
      <c r="AO82" s="407">
        <v>0.875</v>
      </c>
      <c r="AP82" s="407">
        <v>0.88541666666666663</v>
      </c>
      <c r="AQ82" s="406">
        <v>0.92013888888888884</v>
      </c>
      <c r="AV82" s="408">
        <f t="shared" si="8"/>
        <v>6.597222222222221E-2</v>
      </c>
    </row>
    <row r="83" spans="1:48" x14ac:dyDescent="0.25">
      <c r="A83" s="251" t="s">
        <v>542</v>
      </c>
      <c r="B83" s="251" t="s">
        <v>472</v>
      </c>
      <c r="C83" s="508" t="s">
        <v>543</v>
      </c>
      <c r="D83" s="247">
        <f t="shared" ref="D83:D92" si="11">E83-TIME(,5+3,)</f>
        <v>0.5083333333333333</v>
      </c>
      <c r="E83" s="248">
        <v>0.51388888888888884</v>
      </c>
      <c r="F83" s="305" t="s">
        <v>474</v>
      </c>
      <c r="G83" s="247">
        <v>0.70138888888888884</v>
      </c>
      <c r="H83" s="248" t="s">
        <v>474</v>
      </c>
      <c r="I83" s="248">
        <v>0.73611111111111116</v>
      </c>
      <c r="J83" s="248">
        <v>0.73611111111111116</v>
      </c>
      <c r="K83" s="305" t="s">
        <v>475</v>
      </c>
      <c r="L83" s="247">
        <v>0.88541666666666663</v>
      </c>
      <c r="M83" s="248" t="s">
        <v>475</v>
      </c>
      <c r="N83" s="305">
        <v>0.88888888888888884</v>
      </c>
      <c r="O83" s="251">
        <f t="shared" si="3"/>
        <v>0.38055555555555554</v>
      </c>
      <c r="P83" s="251">
        <f t="shared" si="4"/>
        <v>0.34583333333333321</v>
      </c>
      <c r="Q83" s="251">
        <f t="shared" si="5"/>
        <v>3.4722222222222321E-2</v>
      </c>
      <c r="R83" s="251"/>
      <c r="AI83" s="406">
        <v>0.87847222222222221</v>
      </c>
      <c r="AJ83" s="407">
        <v>0.88541666666666663</v>
      </c>
      <c r="AK83" s="407">
        <v>0.90972222222222221</v>
      </c>
      <c r="AL83" s="226">
        <v>0.95138888888888884</v>
      </c>
      <c r="AN83" s="226">
        <v>0.86458333333333337</v>
      </c>
      <c r="AO83" s="407">
        <v>0.88541666666666663</v>
      </c>
      <c r="AP83" s="407">
        <v>0.89583333333333337</v>
      </c>
      <c r="AQ83" s="406">
        <v>0.93055555555555558</v>
      </c>
      <c r="AV83" s="408">
        <f t="shared" si="8"/>
        <v>6.597222222222221E-2</v>
      </c>
    </row>
    <row r="84" spans="1:48" x14ac:dyDescent="0.25">
      <c r="A84" s="251" t="s">
        <v>544</v>
      </c>
      <c r="B84" s="251" t="s">
        <v>472</v>
      </c>
      <c r="C84" s="508" t="s">
        <v>545</v>
      </c>
      <c r="D84" s="247">
        <f>E84-TIME(,5+3,)</f>
        <v>0.5083333333333333</v>
      </c>
      <c r="E84" s="248">
        <v>0.51388888888888884</v>
      </c>
      <c r="F84" s="305" t="s">
        <v>475</v>
      </c>
      <c r="G84" s="247">
        <v>0.70833333333333337</v>
      </c>
      <c r="H84" s="248" t="s">
        <v>475</v>
      </c>
      <c r="I84" s="248">
        <v>0.78472222222222221</v>
      </c>
      <c r="J84" s="248">
        <v>0.78472222222222221</v>
      </c>
      <c r="K84" s="305" t="s">
        <v>474</v>
      </c>
      <c r="L84" s="247">
        <v>0.86805555555555558</v>
      </c>
      <c r="M84" s="248" t="s">
        <v>104</v>
      </c>
      <c r="N84" s="305">
        <v>0.86805555555555558</v>
      </c>
      <c r="O84" s="251">
        <f>N84-D84</f>
        <v>0.35972222222222228</v>
      </c>
      <c r="P84" s="251">
        <f>O84-Q84</f>
        <v>0.28333333333333344</v>
      </c>
      <c r="Q84" s="251">
        <f>I84-G84</f>
        <v>7.638888888888884E-2</v>
      </c>
      <c r="R84" s="251"/>
      <c r="AI84" s="406">
        <v>0.89930555555555558</v>
      </c>
      <c r="AJ84" s="407">
        <v>0.90625</v>
      </c>
      <c r="AK84" s="407">
        <v>0.95486111111111116</v>
      </c>
      <c r="AL84" s="226">
        <v>0.97916666666666663</v>
      </c>
      <c r="AN84" s="226">
        <v>0.88541666666666663</v>
      </c>
      <c r="AO84" s="407">
        <v>0.90625</v>
      </c>
      <c r="AP84" s="407">
        <v>0.91666666666666663</v>
      </c>
      <c r="AQ84" s="406">
        <v>0.95138888888888884</v>
      </c>
      <c r="AV84" s="408">
        <f>AQ84-AN84</f>
        <v>6.597222222222221E-2</v>
      </c>
    </row>
    <row r="85" spans="1:48" x14ac:dyDescent="0.25">
      <c r="A85" s="251" t="s">
        <v>546</v>
      </c>
      <c r="B85" s="251" t="s">
        <v>472</v>
      </c>
      <c r="C85" s="508" t="s">
        <v>547</v>
      </c>
      <c r="D85" s="247">
        <f t="shared" si="11"/>
        <v>0.51180555555555562</v>
      </c>
      <c r="E85" s="248">
        <v>0.51736111111111116</v>
      </c>
      <c r="F85" s="305" t="s">
        <v>474</v>
      </c>
      <c r="G85" s="247">
        <v>0.69791666666666663</v>
      </c>
      <c r="H85" s="248" t="s">
        <v>104</v>
      </c>
      <c r="I85" s="248">
        <f t="shared" si="10"/>
        <v>0.74305555555555558</v>
      </c>
      <c r="J85" s="248">
        <v>0.74305555555555558</v>
      </c>
      <c r="K85" s="305" t="s">
        <v>474</v>
      </c>
      <c r="L85" s="247">
        <v>0.90972222222222221</v>
      </c>
      <c r="M85" s="248" t="s">
        <v>474</v>
      </c>
      <c r="N85" s="305">
        <f>L85+TIME(,5,)</f>
        <v>0.91319444444444442</v>
      </c>
      <c r="O85" s="251">
        <f t="shared" si="3"/>
        <v>0.4013888888888888</v>
      </c>
      <c r="P85" s="251">
        <f t="shared" si="4"/>
        <v>0.35624999999999984</v>
      </c>
      <c r="Q85" s="251">
        <f t="shared" si="5"/>
        <v>4.5138888888888951E-2</v>
      </c>
      <c r="R85" s="251"/>
      <c r="T85" s="514" t="s">
        <v>847</v>
      </c>
      <c r="AI85" s="406">
        <v>0.88888888888888884</v>
      </c>
      <c r="AJ85" s="407">
        <v>0.89583333333333337</v>
      </c>
      <c r="AK85" s="407">
        <v>0.92013888888888884</v>
      </c>
      <c r="AL85" s="473">
        <v>0.96180555555555558</v>
      </c>
      <c r="AN85" s="226">
        <v>0.875</v>
      </c>
      <c r="AO85" s="407">
        <v>0.89583333333333337</v>
      </c>
      <c r="AP85" s="407">
        <v>0.90625</v>
      </c>
      <c r="AQ85" s="473">
        <v>0.94444444444444442</v>
      </c>
      <c r="AV85" s="408">
        <f t="shared" si="8"/>
        <v>6.944444444444442E-2</v>
      </c>
    </row>
    <row r="86" spans="1:48" x14ac:dyDescent="0.25">
      <c r="A86" s="251" t="s">
        <v>548</v>
      </c>
      <c r="B86" s="251" t="s">
        <v>472</v>
      </c>
      <c r="C86" s="508" t="s">
        <v>549</v>
      </c>
      <c r="D86" s="247">
        <f t="shared" si="11"/>
        <v>0.51180555555555562</v>
      </c>
      <c r="E86" s="248">
        <v>0.51736111111111116</v>
      </c>
      <c r="F86" s="305" t="s">
        <v>104</v>
      </c>
      <c r="G86" s="247">
        <v>0.67708333333333337</v>
      </c>
      <c r="H86" s="248" t="s">
        <v>474</v>
      </c>
      <c r="I86" s="248">
        <v>0.72569444444444442</v>
      </c>
      <c r="J86" s="248">
        <v>0.72569444444444442</v>
      </c>
      <c r="K86" s="305" t="s">
        <v>474</v>
      </c>
      <c r="L86" s="247">
        <v>0.88888888888888884</v>
      </c>
      <c r="M86" s="248" t="s">
        <v>474</v>
      </c>
      <c r="N86" s="305">
        <v>0.89236111111111105</v>
      </c>
      <c r="O86" s="251">
        <f t="shared" si="3"/>
        <v>0.38055555555555542</v>
      </c>
      <c r="P86" s="251">
        <f t="shared" si="4"/>
        <v>0.33194444444444438</v>
      </c>
      <c r="Q86" s="251">
        <f t="shared" si="5"/>
        <v>4.8611111111111049E-2</v>
      </c>
      <c r="R86" s="251"/>
      <c r="AI86" s="406">
        <v>0.90972222222222221</v>
      </c>
      <c r="AJ86" s="407">
        <v>0.91666666666666663</v>
      </c>
      <c r="AK86" s="407">
        <v>0.94097222222222221</v>
      </c>
      <c r="AL86" s="473">
        <v>0.98263888888888884</v>
      </c>
      <c r="AN86" s="226">
        <v>0.89583333333333337</v>
      </c>
      <c r="AO86" s="407">
        <v>0.91666666666666663</v>
      </c>
      <c r="AP86" s="407">
        <v>0.92708333333333337</v>
      </c>
      <c r="AQ86" s="406">
        <v>0.96527777777777779</v>
      </c>
      <c r="AV86" s="408">
        <f t="shared" si="8"/>
        <v>6.944444444444442E-2</v>
      </c>
    </row>
    <row r="87" spans="1:48" x14ac:dyDescent="0.25">
      <c r="A87" s="251" t="s">
        <v>550</v>
      </c>
      <c r="B87" s="251" t="s">
        <v>472</v>
      </c>
      <c r="C87" s="508" t="s">
        <v>551</v>
      </c>
      <c r="D87" s="247">
        <f t="shared" si="11"/>
        <v>0.52222222222222225</v>
      </c>
      <c r="E87" s="248">
        <v>0.52777777777777779</v>
      </c>
      <c r="F87" s="305" t="s">
        <v>475</v>
      </c>
      <c r="G87" s="247">
        <v>0.71875</v>
      </c>
      <c r="H87" s="248" t="s">
        <v>475</v>
      </c>
      <c r="I87" s="248">
        <f t="shared" si="10"/>
        <v>0.78472222222222221</v>
      </c>
      <c r="J87" s="328">
        <v>0.78472222222222221</v>
      </c>
      <c r="K87" s="329" t="s">
        <v>475</v>
      </c>
      <c r="L87" s="327">
        <v>0.86111111111111116</v>
      </c>
      <c r="M87" s="328" t="s">
        <v>474</v>
      </c>
      <c r="N87" s="305">
        <f>L87+TIME(,5,)</f>
        <v>0.86458333333333337</v>
      </c>
      <c r="O87" s="251">
        <f t="shared" si="3"/>
        <v>0.34236111111111112</v>
      </c>
      <c r="P87" s="251">
        <f t="shared" si="4"/>
        <v>0.27638888888888891</v>
      </c>
      <c r="Q87" s="251">
        <f t="shared" si="5"/>
        <v>6.597222222222221E-2</v>
      </c>
      <c r="R87" s="251"/>
      <c r="AI87" s="406">
        <v>0.92013888888888884</v>
      </c>
      <c r="AJ87" s="407">
        <v>0.92708333333333337</v>
      </c>
      <c r="AK87" s="407">
        <v>0.95138888888888884</v>
      </c>
      <c r="AL87" s="473">
        <v>0.99305555555555558</v>
      </c>
      <c r="AN87" s="226">
        <v>0.90625</v>
      </c>
      <c r="AO87" s="407">
        <v>0.92708333333333337</v>
      </c>
      <c r="AP87" s="407">
        <v>0.9375</v>
      </c>
      <c r="AQ87" s="406">
        <v>0.97916666666666663</v>
      </c>
      <c r="AV87" s="408">
        <f t="shared" si="8"/>
        <v>7.291666666666663E-2</v>
      </c>
    </row>
    <row r="88" spans="1:48" x14ac:dyDescent="0.25">
      <c r="A88" s="251" t="s">
        <v>552</v>
      </c>
      <c r="B88" s="251" t="s">
        <v>472</v>
      </c>
      <c r="C88" s="508" t="s">
        <v>553</v>
      </c>
      <c r="D88" s="247">
        <f t="shared" si="11"/>
        <v>0.53263888888888888</v>
      </c>
      <c r="E88" s="248">
        <v>0.53819444444444442</v>
      </c>
      <c r="F88" s="305" t="s">
        <v>474</v>
      </c>
      <c r="G88" s="247">
        <v>0.72569444444444442</v>
      </c>
      <c r="H88" s="248" t="s">
        <v>474</v>
      </c>
      <c r="I88" s="248">
        <f t="shared" si="10"/>
        <v>0.76388888888888884</v>
      </c>
      <c r="J88" s="248">
        <v>0.76388888888888884</v>
      </c>
      <c r="K88" s="305" t="s">
        <v>474</v>
      </c>
      <c r="L88" s="247">
        <v>0.92708333333333337</v>
      </c>
      <c r="M88" s="248" t="s">
        <v>104</v>
      </c>
      <c r="N88" s="305">
        <f>L88+TIME(,0,)</f>
        <v>0.92708333333333337</v>
      </c>
      <c r="O88" s="251">
        <f t="shared" si="3"/>
        <v>0.39444444444444449</v>
      </c>
      <c r="P88" s="251">
        <f t="shared" si="4"/>
        <v>0.35625000000000007</v>
      </c>
      <c r="Q88" s="251">
        <f t="shared" si="5"/>
        <v>3.819444444444442E-2</v>
      </c>
      <c r="R88" s="251"/>
      <c r="AI88" s="406">
        <v>0.93055555555555558</v>
      </c>
      <c r="AJ88" s="407">
        <v>0.9375</v>
      </c>
      <c r="AK88" s="407">
        <v>0.96180555555555558</v>
      </c>
      <c r="AL88" s="473">
        <v>3.472222222222222E-3</v>
      </c>
      <c r="AN88" s="226">
        <v>0.91666666666666663</v>
      </c>
      <c r="AO88" s="407">
        <v>0.9375</v>
      </c>
      <c r="AP88" s="421">
        <v>0.94791666666666663</v>
      </c>
      <c r="AQ88" s="513">
        <v>0.98055555555555551</v>
      </c>
      <c r="AV88" s="408">
        <f t="shared" si="8"/>
        <v>6.3888888888888884E-2</v>
      </c>
    </row>
    <row r="89" spans="1:48" ht="16.5" thickBot="1" x14ac:dyDescent="0.3">
      <c r="A89" s="275" t="s">
        <v>554</v>
      </c>
      <c r="B89" s="275" t="s">
        <v>472</v>
      </c>
      <c r="C89" s="511" t="s">
        <v>555</v>
      </c>
      <c r="D89" s="270">
        <f t="shared" si="11"/>
        <v>0.53611111111111109</v>
      </c>
      <c r="E89" s="271">
        <v>0.54166666666666663</v>
      </c>
      <c r="F89" s="301" t="s">
        <v>475</v>
      </c>
      <c r="G89" s="270">
        <v>0.72916666666666663</v>
      </c>
      <c r="H89" s="271" t="s">
        <v>475</v>
      </c>
      <c r="I89" s="271">
        <f t="shared" si="10"/>
        <v>0.77083333333333337</v>
      </c>
      <c r="J89" s="271">
        <v>0.77083333333333337</v>
      </c>
      <c r="K89" s="301" t="s">
        <v>475</v>
      </c>
      <c r="L89" s="270">
        <v>0.92708333333333337</v>
      </c>
      <c r="M89" s="271" t="s">
        <v>475</v>
      </c>
      <c r="N89" s="301">
        <f>L89+TIME(,5,)</f>
        <v>0.93055555555555558</v>
      </c>
      <c r="O89" s="275">
        <f t="shared" si="3"/>
        <v>0.39444444444444449</v>
      </c>
      <c r="P89" s="275">
        <f t="shared" si="4"/>
        <v>0.35277777777777775</v>
      </c>
      <c r="Q89" s="275">
        <f t="shared" si="5"/>
        <v>4.1666666666666741E-2</v>
      </c>
      <c r="R89" s="275"/>
      <c r="AI89" s="406">
        <v>0.94097222222222221</v>
      </c>
      <c r="AJ89" s="407">
        <v>0.94791666666666663</v>
      </c>
      <c r="AK89" s="407">
        <v>0.97222222222222221</v>
      </c>
      <c r="AL89" s="226">
        <v>2.0833333333333332E-2</v>
      </c>
      <c r="AN89" s="226">
        <v>0.92708333333333337</v>
      </c>
      <c r="AO89" s="407">
        <v>0.94791666666666663</v>
      </c>
      <c r="AP89" s="407">
        <v>0.95833333333333337</v>
      </c>
      <c r="AQ89" s="406">
        <v>0.99305555555555558</v>
      </c>
      <c r="AV89" s="408">
        <f t="shared" si="8"/>
        <v>6.597222222222221E-2</v>
      </c>
    </row>
    <row r="90" spans="1:48" x14ac:dyDescent="0.25">
      <c r="A90" s="258" t="s">
        <v>556</v>
      </c>
      <c r="B90" s="258" t="s">
        <v>472</v>
      </c>
      <c r="C90" s="512" t="s">
        <v>557</v>
      </c>
      <c r="D90" s="260">
        <f t="shared" si="11"/>
        <v>0.60902777777777783</v>
      </c>
      <c r="E90" s="261">
        <v>0.61458333333333337</v>
      </c>
      <c r="F90" s="336" t="s">
        <v>474</v>
      </c>
      <c r="G90" s="334">
        <v>0.79166666666666663</v>
      </c>
      <c r="H90" s="335" t="s">
        <v>474</v>
      </c>
      <c r="I90" s="335">
        <f t="shared" si="10"/>
        <v>0.82986111111111116</v>
      </c>
      <c r="J90" s="335">
        <v>0.82986111111111116</v>
      </c>
      <c r="K90" s="336" t="s">
        <v>474</v>
      </c>
      <c r="L90" s="334">
        <v>0.97569444444444442</v>
      </c>
      <c r="M90" s="335" t="s">
        <v>104</v>
      </c>
      <c r="N90" s="336">
        <f t="shared" ref="N90:N101" si="12">L90+TIME(,0,)</f>
        <v>0.97569444444444442</v>
      </c>
      <c r="O90" s="258">
        <f t="shared" si="3"/>
        <v>0.36666666666666659</v>
      </c>
      <c r="P90" s="258">
        <f t="shared" si="4"/>
        <v>0.32847222222222205</v>
      </c>
      <c r="Q90" s="264">
        <f t="shared" si="5"/>
        <v>3.8194444444444531E-2</v>
      </c>
      <c r="R90" s="264"/>
      <c r="AI90" s="406">
        <v>0.95138888888888884</v>
      </c>
      <c r="AJ90" s="407">
        <v>0.95833333333333337</v>
      </c>
      <c r="AK90" s="407">
        <v>0.98263888888888884</v>
      </c>
      <c r="AL90" s="473">
        <v>2.4305555555555556E-2</v>
      </c>
      <c r="AN90" s="226">
        <v>0.9375</v>
      </c>
      <c r="AO90" s="407">
        <v>0.95833333333333337</v>
      </c>
      <c r="AP90" s="407">
        <v>0.96875</v>
      </c>
      <c r="AQ90" s="473">
        <v>1.3888888888888889E-3</v>
      </c>
      <c r="AV90" s="408">
        <f t="shared" si="8"/>
        <v>-0.93611111111111112</v>
      </c>
    </row>
    <row r="91" spans="1:48" x14ac:dyDescent="0.25">
      <c r="A91" s="245" t="s">
        <v>558</v>
      </c>
      <c r="B91" s="245" t="s">
        <v>472</v>
      </c>
      <c r="C91" s="508" t="s">
        <v>559</v>
      </c>
      <c r="D91" s="247">
        <f t="shared" si="11"/>
        <v>0.61944444444444446</v>
      </c>
      <c r="E91" s="248">
        <v>0.625</v>
      </c>
      <c r="F91" s="329" t="s">
        <v>475</v>
      </c>
      <c r="G91" s="327">
        <v>0.79861111111111116</v>
      </c>
      <c r="H91" s="328" t="s">
        <v>475</v>
      </c>
      <c r="I91" s="328">
        <f t="shared" si="10"/>
        <v>0.86458333333333337</v>
      </c>
      <c r="J91" s="328">
        <v>0.86458333333333337</v>
      </c>
      <c r="K91" s="329" t="s">
        <v>475</v>
      </c>
      <c r="L91" s="327">
        <v>0.93055555555555558</v>
      </c>
      <c r="M91" s="328" t="s">
        <v>474</v>
      </c>
      <c r="N91" s="329">
        <v>0.93402777777777779</v>
      </c>
      <c r="O91" s="245">
        <f t="shared" si="3"/>
        <v>0.31458333333333333</v>
      </c>
      <c r="P91" s="245">
        <f t="shared" si="4"/>
        <v>0.24861111111111112</v>
      </c>
      <c r="Q91" s="251">
        <f t="shared" si="5"/>
        <v>6.597222222222221E-2</v>
      </c>
      <c r="R91" s="251"/>
      <c r="AI91" s="406">
        <v>0.96527777777777779</v>
      </c>
      <c r="AJ91" s="407">
        <v>0.97222222222222221</v>
      </c>
      <c r="AK91" s="407">
        <v>0.99652777777777779</v>
      </c>
      <c r="AL91" s="473">
        <v>3.8194444444444448E-2</v>
      </c>
      <c r="AN91" s="226">
        <v>0.95138888888888884</v>
      </c>
      <c r="AO91" s="407">
        <v>0.97222222222222221</v>
      </c>
      <c r="AP91" s="407">
        <v>0.98263888888888884</v>
      </c>
      <c r="AQ91" s="473">
        <v>1.5277777777777777E-2</v>
      </c>
      <c r="AV91" s="408">
        <f t="shared" si="8"/>
        <v>-0.93611111111111112</v>
      </c>
    </row>
    <row r="92" spans="1:48" x14ac:dyDescent="0.25">
      <c r="A92" s="245" t="s">
        <v>560</v>
      </c>
      <c r="B92" s="245" t="s">
        <v>472</v>
      </c>
      <c r="C92" s="508" t="s">
        <v>561</v>
      </c>
      <c r="D92" s="247">
        <f t="shared" si="11"/>
        <v>0.62638888888888888</v>
      </c>
      <c r="E92" s="248">
        <v>0.63194444444444442</v>
      </c>
      <c r="F92" s="333" t="s">
        <v>475</v>
      </c>
      <c r="G92" s="327">
        <v>0.78472222222222221</v>
      </c>
      <c r="H92" s="328" t="s">
        <v>104</v>
      </c>
      <c r="I92" s="328">
        <f t="shared" si="10"/>
        <v>0.82291666666666663</v>
      </c>
      <c r="J92" s="328">
        <v>0.82291666666666663</v>
      </c>
      <c r="K92" s="329" t="s">
        <v>475</v>
      </c>
      <c r="L92" s="327">
        <v>0.97569444444444442</v>
      </c>
      <c r="M92" s="328" t="s">
        <v>104</v>
      </c>
      <c r="N92" s="329">
        <f t="shared" si="12"/>
        <v>0.97569444444444442</v>
      </c>
      <c r="O92" s="245">
        <f t="shared" si="3"/>
        <v>0.34930555555555554</v>
      </c>
      <c r="P92" s="245">
        <f t="shared" si="4"/>
        <v>0.31111111111111112</v>
      </c>
      <c r="Q92" s="251">
        <f t="shared" si="5"/>
        <v>3.819444444444442E-2</v>
      </c>
      <c r="R92" s="251"/>
      <c r="AI92" s="406">
        <v>0.97916666666666663</v>
      </c>
      <c r="AJ92" s="407">
        <v>0.98611111111111116</v>
      </c>
      <c r="AK92" s="407">
        <v>1.0416666666666666E-2</v>
      </c>
      <c r="AL92" s="226">
        <v>6.25E-2</v>
      </c>
      <c r="AN92" s="226">
        <v>0.96527777777777779</v>
      </c>
      <c r="AO92" s="407">
        <v>0.98611111111111116</v>
      </c>
      <c r="AP92" s="407">
        <v>0.99652777777777779</v>
      </c>
      <c r="AQ92" s="406">
        <v>3.4722222222222224E-2</v>
      </c>
      <c r="AV92" s="408">
        <f t="shared" si="8"/>
        <v>-0.93055555555555558</v>
      </c>
    </row>
    <row r="93" spans="1:48" x14ac:dyDescent="0.25">
      <c r="A93" s="258" t="s">
        <v>562</v>
      </c>
      <c r="B93" s="258" t="s">
        <v>472</v>
      </c>
      <c r="C93" s="512" t="s">
        <v>563</v>
      </c>
      <c r="D93" s="260">
        <f>E93-TIME(,8,)</f>
        <v>0.64722222222222225</v>
      </c>
      <c r="E93" s="248">
        <v>0.65277777777777779</v>
      </c>
      <c r="F93" s="305" t="s">
        <v>475</v>
      </c>
      <c r="G93" s="327">
        <v>0.82291666666666663</v>
      </c>
      <c r="H93" s="328" t="s">
        <v>475</v>
      </c>
      <c r="I93" s="335">
        <f t="shared" si="10"/>
        <v>0.86111111111111116</v>
      </c>
      <c r="J93" s="335">
        <v>0.86111111111111116</v>
      </c>
      <c r="K93" s="336" t="s">
        <v>474</v>
      </c>
      <c r="L93" s="334">
        <v>0.9375</v>
      </c>
      <c r="M93" s="335" t="s">
        <v>475</v>
      </c>
      <c r="N93" s="336">
        <f>L93+TIME(,5,)</f>
        <v>0.94097222222222221</v>
      </c>
      <c r="O93" s="258">
        <f t="shared" si="3"/>
        <v>0.29374999999999996</v>
      </c>
      <c r="P93" s="258">
        <f t="shared" si="4"/>
        <v>0.25555555555555542</v>
      </c>
      <c r="Q93" s="264">
        <f t="shared" si="5"/>
        <v>3.8194444444444531E-2</v>
      </c>
      <c r="R93" s="264"/>
      <c r="AI93" s="406">
        <v>0.99305555555555558</v>
      </c>
      <c r="AJ93" s="407">
        <v>0</v>
      </c>
      <c r="AK93" s="407">
        <v>2.4305555555555556E-2</v>
      </c>
      <c r="AL93" s="226">
        <v>0.10416666666666667</v>
      </c>
      <c r="AN93" s="226">
        <v>0.97916666666666663</v>
      </c>
      <c r="AO93" s="407">
        <v>0</v>
      </c>
      <c r="AP93" s="407">
        <v>1.0416666666666666E-2</v>
      </c>
      <c r="AQ93" s="406">
        <v>7.6388888888888895E-2</v>
      </c>
      <c r="AV93" s="408">
        <f t="shared" si="8"/>
        <v>-0.90277777777777768</v>
      </c>
    </row>
    <row r="94" spans="1:48" x14ac:dyDescent="0.25">
      <c r="A94" s="258" t="s">
        <v>564</v>
      </c>
      <c r="B94" s="245" t="s">
        <v>472</v>
      </c>
      <c r="C94" s="512" t="s">
        <v>565</v>
      </c>
      <c r="D94" s="247">
        <f t="shared" ref="D94:D101" si="13">E94-TIME(,5+3,)</f>
        <v>0.64722222222222225</v>
      </c>
      <c r="E94" s="248">
        <v>0.65277777777777779</v>
      </c>
      <c r="F94" s="333" t="s">
        <v>474</v>
      </c>
      <c r="G94" s="327">
        <v>0.82986111111111116</v>
      </c>
      <c r="H94" s="328" t="s">
        <v>474</v>
      </c>
      <c r="I94" s="328">
        <f t="shared" si="10"/>
        <v>0.87847222222222221</v>
      </c>
      <c r="J94" s="328">
        <v>0.87847222222222221</v>
      </c>
      <c r="K94" s="329" t="s">
        <v>474</v>
      </c>
      <c r="L94" s="327">
        <v>0.95833333333333337</v>
      </c>
      <c r="M94" s="328" t="s">
        <v>475</v>
      </c>
      <c r="N94" s="329">
        <f>L94+TIME(,5,)</f>
        <v>0.96180555555555558</v>
      </c>
      <c r="O94" s="245">
        <f t="shared" si="3"/>
        <v>0.31458333333333333</v>
      </c>
      <c r="P94" s="245">
        <f t="shared" si="4"/>
        <v>0.26597222222222228</v>
      </c>
      <c r="Q94" s="251">
        <f t="shared" si="5"/>
        <v>4.8611111111111049E-2</v>
      </c>
      <c r="R94" s="251"/>
      <c r="AI94" s="406">
        <v>3.4722222222222224E-2</v>
      </c>
      <c r="AJ94" s="407">
        <v>4.1666666666666664E-2</v>
      </c>
      <c r="AK94" s="407">
        <v>6.5972222222222224E-2</v>
      </c>
      <c r="AL94" s="226">
        <v>0.14583333333333334</v>
      </c>
      <c r="AN94" s="226">
        <v>2.0833333333333332E-2</v>
      </c>
      <c r="AO94" s="407">
        <v>4.1666666666666664E-2</v>
      </c>
      <c r="AP94" s="407">
        <v>5.2083333333333336E-2</v>
      </c>
      <c r="AQ94" s="406">
        <v>0.11805555555555555</v>
      </c>
      <c r="AV94" s="408">
        <f t="shared" si="8"/>
        <v>9.7222222222222224E-2</v>
      </c>
    </row>
    <row r="95" spans="1:48" x14ac:dyDescent="0.25">
      <c r="A95" s="245" t="s">
        <v>566</v>
      </c>
      <c r="B95" s="245" t="s">
        <v>472</v>
      </c>
      <c r="C95" s="508" t="s">
        <v>567</v>
      </c>
      <c r="D95" s="247">
        <f t="shared" si="13"/>
        <v>0.65416666666666667</v>
      </c>
      <c r="E95" s="248">
        <v>0.65972222222222221</v>
      </c>
      <c r="F95" s="329" t="s">
        <v>475</v>
      </c>
      <c r="G95" s="327">
        <v>0.74305555555555558</v>
      </c>
      <c r="H95" s="328" t="s">
        <v>474</v>
      </c>
      <c r="I95" s="328">
        <f t="shared" si="10"/>
        <v>0.79166666666666663</v>
      </c>
      <c r="J95" s="328">
        <v>0.79166666666666663</v>
      </c>
      <c r="K95" s="329" t="s">
        <v>474</v>
      </c>
      <c r="L95" s="327">
        <v>1.0069444444444444</v>
      </c>
      <c r="M95" s="328" t="s">
        <v>104</v>
      </c>
      <c r="N95" s="329">
        <f t="shared" si="12"/>
        <v>1.0069444444444444</v>
      </c>
      <c r="O95" s="245">
        <f t="shared" si="3"/>
        <v>0.35277777777777775</v>
      </c>
      <c r="P95" s="245">
        <f t="shared" si="4"/>
        <v>0.3041666666666667</v>
      </c>
      <c r="Q95" s="251">
        <f t="shared" si="5"/>
        <v>4.8611111111111049E-2</v>
      </c>
      <c r="R95" s="251"/>
      <c r="AI95" s="406">
        <v>7.6388888888888895E-2</v>
      </c>
      <c r="AJ95" s="407">
        <v>8.3333333333333329E-2</v>
      </c>
      <c r="AK95" s="407">
        <v>0.1076388888888889</v>
      </c>
      <c r="AL95" s="226">
        <v>0.1875</v>
      </c>
      <c r="AN95" s="226">
        <v>6.25E-2</v>
      </c>
      <c r="AO95" s="407">
        <v>8.3333333333333329E-2</v>
      </c>
      <c r="AP95" s="407">
        <v>9.375E-2</v>
      </c>
      <c r="AQ95" s="406">
        <v>0.15972222222222221</v>
      </c>
      <c r="AV95" s="408">
        <f t="shared" si="8"/>
        <v>9.722222222222221E-2</v>
      </c>
    </row>
    <row r="96" spans="1:48" x14ac:dyDescent="0.25">
      <c r="A96" s="245" t="s">
        <v>568</v>
      </c>
      <c r="B96" s="245" t="s">
        <v>472</v>
      </c>
      <c r="C96" s="508" t="s">
        <v>569</v>
      </c>
      <c r="D96" s="247">
        <f t="shared" si="13"/>
        <v>0.65416666666666667</v>
      </c>
      <c r="E96" s="248">
        <v>0.65972222222222221</v>
      </c>
      <c r="F96" s="329" t="s">
        <v>474</v>
      </c>
      <c r="G96" s="327">
        <v>0.75694444444444442</v>
      </c>
      <c r="H96" s="328" t="s">
        <v>475</v>
      </c>
      <c r="I96" s="328">
        <f t="shared" si="10"/>
        <v>0.79861111111111116</v>
      </c>
      <c r="J96" s="328">
        <v>0.79861111111111116</v>
      </c>
      <c r="K96" s="329" t="s">
        <v>475</v>
      </c>
      <c r="L96" s="327">
        <v>1.0118055555555556</v>
      </c>
      <c r="M96" s="328" t="s">
        <v>104</v>
      </c>
      <c r="N96" s="329">
        <f>L96+TIME(,0,)</f>
        <v>1.0118055555555556</v>
      </c>
      <c r="O96" s="245">
        <f t="shared" si="3"/>
        <v>0.35763888888888895</v>
      </c>
      <c r="P96" s="245">
        <f t="shared" si="4"/>
        <v>0.31597222222222221</v>
      </c>
      <c r="Q96" s="251">
        <f t="shared" si="5"/>
        <v>4.1666666666666741E-2</v>
      </c>
      <c r="R96" s="251"/>
      <c r="AI96" s="406">
        <v>0.11805555555555555</v>
      </c>
      <c r="AJ96" s="407">
        <v>0.125</v>
      </c>
      <c r="AK96" s="407">
        <v>0.14930555555555555</v>
      </c>
      <c r="AL96" s="473">
        <v>0.19097222222222221</v>
      </c>
      <c r="AN96" s="226">
        <v>0.10416666666666667</v>
      </c>
      <c r="AO96" s="407">
        <v>0.125</v>
      </c>
      <c r="AP96" s="407">
        <v>0.13541666666666666</v>
      </c>
      <c r="AQ96" s="406">
        <v>0.2013888888888889</v>
      </c>
      <c r="AV96" s="408">
        <f t="shared" si="8"/>
        <v>9.7222222222222224E-2</v>
      </c>
    </row>
    <row r="97" spans="1:48" x14ac:dyDescent="0.25">
      <c r="A97" s="245" t="s">
        <v>570</v>
      </c>
      <c r="B97" s="245" t="s">
        <v>472</v>
      </c>
      <c r="C97" s="508" t="s">
        <v>571</v>
      </c>
      <c r="D97" s="247">
        <f t="shared" si="13"/>
        <v>0.66805555555555562</v>
      </c>
      <c r="E97" s="248">
        <v>0.67361111111111116</v>
      </c>
      <c r="F97" s="329" t="s">
        <v>475</v>
      </c>
      <c r="G97" s="327">
        <v>0.84722222222222221</v>
      </c>
      <c r="H97" s="328" t="s">
        <v>475</v>
      </c>
      <c r="I97" s="328">
        <f t="shared" si="10"/>
        <v>0.88888888888888884</v>
      </c>
      <c r="J97" s="328">
        <v>0.88888888888888884</v>
      </c>
      <c r="K97" s="329" t="s">
        <v>474</v>
      </c>
      <c r="L97" s="327">
        <v>1.0326388888888889</v>
      </c>
      <c r="M97" s="328" t="s">
        <v>104</v>
      </c>
      <c r="N97" s="329">
        <f t="shared" si="12"/>
        <v>1.0326388888888889</v>
      </c>
      <c r="O97" s="245">
        <f t="shared" si="3"/>
        <v>0.36458333333333326</v>
      </c>
      <c r="P97" s="245">
        <f t="shared" si="4"/>
        <v>0.32291666666666663</v>
      </c>
      <c r="Q97" s="251">
        <f t="shared" si="5"/>
        <v>4.166666666666663E-2</v>
      </c>
      <c r="R97" s="251"/>
      <c r="AI97" s="406">
        <v>0.15972222222222221</v>
      </c>
      <c r="AJ97" s="407">
        <v>0.16666666666666666</v>
      </c>
      <c r="AK97" s="407">
        <v>0.19097222222222221</v>
      </c>
      <c r="AL97" s="473">
        <v>0.2326388888888889</v>
      </c>
      <c r="AN97" s="226">
        <v>0.14583333333333334</v>
      </c>
      <c r="AO97" s="407">
        <v>0.16666666666666666</v>
      </c>
      <c r="AP97" s="407">
        <v>0.17708333333333334</v>
      </c>
      <c r="AQ97" s="473">
        <v>0.20972222222222223</v>
      </c>
      <c r="AV97" s="408">
        <f t="shared" si="8"/>
        <v>6.3888888888888884E-2</v>
      </c>
    </row>
    <row r="98" spans="1:48" x14ac:dyDescent="0.25">
      <c r="A98" s="245" t="s">
        <v>572</v>
      </c>
      <c r="B98" s="245" t="s">
        <v>472</v>
      </c>
      <c r="C98" s="508" t="s">
        <v>573</v>
      </c>
      <c r="D98" s="247">
        <f t="shared" si="13"/>
        <v>0.67847222222222225</v>
      </c>
      <c r="E98" s="248">
        <v>0.68402777777777779</v>
      </c>
      <c r="F98" s="329" t="s">
        <v>474</v>
      </c>
      <c r="G98" s="327">
        <v>0.85416666666666663</v>
      </c>
      <c r="H98" s="328" t="s">
        <v>104</v>
      </c>
      <c r="I98" s="328">
        <v>0.91666666666666663</v>
      </c>
      <c r="J98" s="328">
        <v>0.91666666666666663</v>
      </c>
      <c r="K98" s="329" t="s">
        <v>475</v>
      </c>
      <c r="L98" s="327">
        <v>1.0486111111111112</v>
      </c>
      <c r="M98" s="328" t="s">
        <v>104</v>
      </c>
      <c r="N98" s="329">
        <f t="shared" si="12"/>
        <v>1.0486111111111112</v>
      </c>
      <c r="O98" s="245">
        <f t="shared" si="3"/>
        <v>0.37013888888888891</v>
      </c>
      <c r="P98" s="245">
        <f t="shared" si="4"/>
        <v>0.30763888888888891</v>
      </c>
      <c r="Q98" s="251">
        <f t="shared" si="5"/>
        <v>6.25E-2</v>
      </c>
      <c r="R98" s="251"/>
      <c r="AI98" s="406">
        <v>0.2013888888888889</v>
      </c>
      <c r="AJ98" s="407">
        <v>0.20833333333333334</v>
      </c>
      <c r="AK98" s="407">
        <v>0.2326388888888889</v>
      </c>
      <c r="AL98" s="473">
        <v>0.2673611111111111</v>
      </c>
      <c r="AN98" s="226">
        <v>0.1875</v>
      </c>
      <c r="AO98" s="407">
        <v>0.20833333333333334</v>
      </c>
      <c r="AP98" s="407">
        <v>0.21875</v>
      </c>
      <c r="AQ98" s="473">
        <v>0.25138888888888888</v>
      </c>
      <c r="AV98" s="408">
        <f t="shared" si="8"/>
        <v>6.3888888888888884E-2</v>
      </c>
    </row>
    <row r="99" spans="1:48" x14ac:dyDescent="0.25">
      <c r="A99" s="245" t="s">
        <v>574</v>
      </c>
      <c r="B99" s="245" t="s">
        <v>472</v>
      </c>
      <c r="C99" s="508" t="s">
        <v>575</v>
      </c>
      <c r="D99" s="247">
        <f t="shared" si="13"/>
        <v>0.68194444444444446</v>
      </c>
      <c r="E99" s="248">
        <v>0.6875</v>
      </c>
      <c r="F99" s="329" t="s">
        <v>475</v>
      </c>
      <c r="G99" s="327">
        <v>0.84791666666666665</v>
      </c>
      <c r="H99" s="328" t="s">
        <v>104</v>
      </c>
      <c r="I99" s="328">
        <v>0.88541666666666663</v>
      </c>
      <c r="J99" s="328">
        <v>0.88541666666666663</v>
      </c>
      <c r="K99" s="329" t="s">
        <v>475</v>
      </c>
      <c r="L99" s="327">
        <v>1.0173611111111112</v>
      </c>
      <c r="M99" s="328" t="s">
        <v>104</v>
      </c>
      <c r="N99" s="329">
        <f t="shared" si="12"/>
        <v>1.0173611111111112</v>
      </c>
      <c r="O99" s="245">
        <f t="shared" si="3"/>
        <v>0.3354166666666667</v>
      </c>
      <c r="P99" s="245">
        <f t="shared" si="4"/>
        <v>0.29791666666666672</v>
      </c>
      <c r="Q99" s="251">
        <f t="shared" si="5"/>
        <v>3.7499999999999978E-2</v>
      </c>
      <c r="R99" s="251"/>
      <c r="AV99" s="408">
        <f t="shared" si="8"/>
        <v>0</v>
      </c>
    </row>
    <row r="100" spans="1:48" x14ac:dyDescent="0.25">
      <c r="A100" s="245" t="s">
        <v>576</v>
      </c>
      <c r="B100" s="245" t="s">
        <v>472</v>
      </c>
      <c r="C100" s="508" t="s">
        <v>577</v>
      </c>
      <c r="D100" s="247">
        <f t="shared" si="13"/>
        <v>0.68888888888888888</v>
      </c>
      <c r="E100" s="248">
        <v>0.69444444444444442</v>
      </c>
      <c r="F100" s="329" t="s">
        <v>475</v>
      </c>
      <c r="G100" s="327">
        <v>0.86458333333333337</v>
      </c>
      <c r="H100" s="328" t="s">
        <v>475</v>
      </c>
      <c r="I100" s="328">
        <f>J100-TIME(,0,)</f>
        <v>0.92708333333333337</v>
      </c>
      <c r="J100" s="328">
        <v>0.92708333333333337</v>
      </c>
      <c r="K100" s="329" t="s">
        <v>475</v>
      </c>
      <c r="L100" s="327">
        <v>1.0625</v>
      </c>
      <c r="M100" s="328" t="s">
        <v>104</v>
      </c>
      <c r="N100" s="329">
        <f t="shared" si="12"/>
        <v>1.0625</v>
      </c>
      <c r="O100" s="245">
        <f t="shared" si="3"/>
        <v>0.37361111111111112</v>
      </c>
      <c r="P100" s="245">
        <f t="shared" si="4"/>
        <v>0.31111111111111112</v>
      </c>
      <c r="Q100" s="251">
        <f t="shared" si="5"/>
        <v>6.25E-2</v>
      </c>
      <c r="R100" s="251"/>
      <c r="AV100" s="408">
        <f t="shared" si="8"/>
        <v>0</v>
      </c>
    </row>
    <row r="101" spans="1:48" ht="16.5" thickBot="1" x14ac:dyDescent="0.3">
      <c r="A101" s="245" t="s">
        <v>578</v>
      </c>
      <c r="B101" s="309" t="s">
        <v>472</v>
      </c>
      <c r="C101" s="508" t="s">
        <v>579</v>
      </c>
      <c r="D101" s="317">
        <f t="shared" si="13"/>
        <v>0.6958333333333333</v>
      </c>
      <c r="E101" s="318">
        <v>0.70138888888888884</v>
      </c>
      <c r="F101" s="515" t="s">
        <v>474</v>
      </c>
      <c r="G101" s="516">
        <v>0.86111111111111116</v>
      </c>
      <c r="H101" s="517" t="s">
        <v>104</v>
      </c>
      <c r="I101" s="517">
        <v>0.90972222222222221</v>
      </c>
      <c r="J101" s="517">
        <v>0.90972222222222221</v>
      </c>
      <c r="K101" s="515" t="s">
        <v>474</v>
      </c>
      <c r="L101" s="516">
        <v>1.0465277777777777</v>
      </c>
      <c r="M101" s="517" t="s">
        <v>104</v>
      </c>
      <c r="N101" s="515">
        <f t="shared" si="12"/>
        <v>1.0465277777777777</v>
      </c>
      <c r="O101" s="309">
        <f t="shared" si="3"/>
        <v>0.35069444444444442</v>
      </c>
      <c r="P101" s="309">
        <f t="shared" si="4"/>
        <v>0.30208333333333337</v>
      </c>
      <c r="Q101" s="320">
        <f t="shared" si="5"/>
        <v>4.8611111111111049E-2</v>
      </c>
      <c r="R101" s="320"/>
      <c r="AV101" s="408">
        <f t="shared" si="8"/>
        <v>0</v>
      </c>
    </row>
    <row r="102" spans="1:48" ht="15.75" customHeight="1" thickBot="1" x14ac:dyDescent="0.3">
      <c r="A102" s="518"/>
      <c r="B102" s="519"/>
      <c r="C102" s="519"/>
      <c r="D102" s="519"/>
      <c r="E102" s="519"/>
      <c r="F102" s="519"/>
      <c r="G102" s="519"/>
      <c r="H102" s="519"/>
      <c r="I102" s="519"/>
      <c r="J102" s="519"/>
      <c r="K102" s="519"/>
      <c r="L102" s="519"/>
      <c r="M102" s="519"/>
      <c r="N102" s="519"/>
      <c r="O102" s="345">
        <f>COUNTIF(O54:O101,"&gt;9:00")/COUNT(O54:O101)</f>
        <v>0.27083333333333331</v>
      </c>
      <c r="P102" s="520">
        <f>AVERAGE(P54:P101)</f>
        <v>0.29830729166666664</v>
      </c>
      <c r="Q102" s="521"/>
      <c r="R102" s="521"/>
      <c r="AV102" s="408">
        <f t="shared" si="8"/>
        <v>0</v>
      </c>
    </row>
    <row r="103" spans="1:48" ht="16.5" customHeight="1" thickBot="1" x14ac:dyDescent="0.3">
      <c r="A103" s="522"/>
      <c r="B103" s="522"/>
      <c r="C103" s="522"/>
      <c r="D103" s="522"/>
      <c r="E103" s="522"/>
      <c r="F103" s="522"/>
      <c r="G103" s="522"/>
      <c r="H103" s="522"/>
      <c r="I103" s="522"/>
      <c r="J103" s="522"/>
      <c r="K103" s="522"/>
      <c r="L103" s="522"/>
      <c r="M103" s="522"/>
      <c r="N103" s="522"/>
      <c r="O103" s="522"/>
      <c r="P103" s="522"/>
      <c r="Q103" s="523"/>
      <c r="R103" s="523"/>
      <c r="AV103" s="408">
        <f t="shared" si="8"/>
        <v>0</v>
      </c>
    </row>
    <row r="104" spans="1:48" ht="15.75" customHeight="1" x14ac:dyDescent="0.25">
      <c r="A104" s="700" t="s">
        <v>457</v>
      </c>
      <c r="B104" s="223" t="s">
        <v>458</v>
      </c>
      <c r="C104" s="703" t="s">
        <v>459</v>
      </c>
      <c r="D104" s="730" t="s">
        <v>460</v>
      </c>
      <c r="E104" s="731"/>
      <c r="F104" s="732"/>
      <c r="G104" s="730" t="s">
        <v>461</v>
      </c>
      <c r="H104" s="731"/>
      <c r="I104" s="731"/>
      <c r="J104" s="731"/>
      <c r="K104" s="732"/>
      <c r="L104" s="730" t="s">
        <v>462</v>
      </c>
      <c r="M104" s="731"/>
      <c r="N104" s="732"/>
      <c r="O104" s="733" t="s">
        <v>463</v>
      </c>
      <c r="P104" s="700" t="s">
        <v>464</v>
      </c>
      <c r="Q104" s="700" t="s">
        <v>465</v>
      </c>
      <c r="R104" s="700"/>
      <c r="AV104" s="408">
        <f t="shared" si="8"/>
        <v>0</v>
      </c>
    </row>
    <row r="105" spans="1:48" ht="16.5" customHeight="1" thickBot="1" x14ac:dyDescent="0.3">
      <c r="A105" s="727"/>
      <c r="B105" s="352" t="s">
        <v>466</v>
      </c>
      <c r="C105" s="729"/>
      <c r="D105" s="524" t="s">
        <v>467</v>
      </c>
      <c r="E105" s="525" t="s">
        <v>468</v>
      </c>
      <c r="F105" s="526" t="s">
        <v>469</v>
      </c>
      <c r="G105" s="524" t="s">
        <v>460</v>
      </c>
      <c r="H105" s="525" t="s">
        <v>469</v>
      </c>
      <c r="I105" s="525" t="s">
        <v>467</v>
      </c>
      <c r="J105" s="525" t="s">
        <v>460</v>
      </c>
      <c r="K105" s="526" t="s">
        <v>469</v>
      </c>
      <c r="L105" s="524" t="s">
        <v>462</v>
      </c>
      <c r="M105" s="525" t="s">
        <v>469</v>
      </c>
      <c r="N105" s="526" t="s">
        <v>470</v>
      </c>
      <c r="O105" s="734"/>
      <c r="P105" s="727"/>
      <c r="Q105" s="727"/>
      <c r="R105" s="727"/>
      <c r="AV105" s="408">
        <f t="shared" si="8"/>
        <v>0</v>
      </c>
    </row>
    <row r="106" spans="1:48" x14ac:dyDescent="0.25">
      <c r="A106" s="237" t="s">
        <v>612</v>
      </c>
      <c r="B106" s="237" t="s">
        <v>472</v>
      </c>
      <c r="C106" s="380">
        <v>201</v>
      </c>
      <c r="D106" s="239">
        <f>E106-TIME(,8,)</f>
        <v>0.36250000000000004</v>
      </c>
      <c r="E106" s="240">
        <v>0.36805555555555558</v>
      </c>
      <c r="F106" s="241" t="s">
        <v>104</v>
      </c>
      <c r="G106" s="239">
        <v>0.54166666666666663</v>
      </c>
      <c r="H106" s="240" t="s">
        <v>475</v>
      </c>
      <c r="I106" s="240">
        <f t="shared" ref="I106:I112" si="14">J106-TIME(,0,)</f>
        <v>0.59722222222222221</v>
      </c>
      <c r="J106" s="240">
        <v>0.59722222222222221</v>
      </c>
      <c r="K106" s="241" t="s">
        <v>474</v>
      </c>
      <c r="L106" s="239">
        <v>0.77430555555555558</v>
      </c>
      <c r="M106" s="240" t="s">
        <v>104</v>
      </c>
      <c r="N106" s="280">
        <f>L106+TIME(,0,)</f>
        <v>0.77430555555555558</v>
      </c>
      <c r="O106" s="237">
        <f t="shared" ref="O106:O113" si="15">N106-D106</f>
        <v>0.41180555555555554</v>
      </c>
      <c r="P106" s="237">
        <f t="shared" ref="P106:P113" si="16">O106-Q106</f>
        <v>0.35624999999999996</v>
      </c>
      <c r="Q106" s="243">
        <f t="shared" ref="Q106:Q113" si="17">I106-G106</f>
        <v>5.555555555555558E-2</v>
      </c>
      <c r="R106" s="527" t="s">
        <v>848</v>
      </c>
      <c r="AV106" s="408">
        <f t="shared" si="8"/>
        <v>0</v>
      </c>
    </row>
    <row r="107" spans="1:48" x14ac:dyDescent="0.25">
      <c r="A107" s="245" t="s">
        <v>614</v>
      </c>
      <c r="B107" s="245" t="s">
        <v>472</v>
      </c>
      <c r="C107" s="381">
        <v>202</v>
      </c>
      <c r="D107" s="247">
        <f>E107-TIME(,5+3,)</f>
        <v>0.36597222222222225</v>
      </c>
      <c r="E107" s="248">
        <v>0.37152777777777779</v>
      </c>
      <c r="F107" s="249" t="s">
        <v>475</v>
      </c>
      <c r="G107" s="247">
        <v>0.54861111111111116</v>
      </c>
      <c r="H107" s="248" t="s">
        <v>475</v>
      </c>
      <c r="I107" s="248">
        <f t="shared" si="14"/>
        <v>0.68055555555555558</v>
      </c>
      <c r="J107" s="248">
        <v>0.68055555555555558</v>
      </c>
      <c r="K107" s="249" t="s">
        <v>475</v>
      </c>
      <c r="L107" s="247">
        <v>0.76388888888888884</v>
      </c>
      <c r="M107" s="248" t="s">
        <v>474</v>
      </c>
      <c r="N107" s="295">
        <f>L107+TIME(,5,)</f>
        <v>0.76736111111111105</v>
      </c>
      <c r="O107" s="245">
        <f t="shared" si="15"/>
        <v>0.4013888888888888</v>
      </c>
      <c r="P107" s="245">
        <f t="shared" si="16"/>
        <v>0.26944444444444438</v>
      </c>
      <c r="Q107" s="251">
        <f t="shared" si="17"/>
        <v>0.13194444444444442</v>
      </c>
      <c r="R107" s="251"/>
      <c r="AV107" s="408">
        <f t="shared" si="8"/>
        <v>0</v>
      </c>
    </row>
    <row r="108" spans="1:48" x14ac:dyDescent="0.25">
      <c r="A108" s="245" t="s">
        <v>616</v>
      </c>
      <c r="B108" s="245" t="s">
        <v>472</v>
      </c>
      <c r="C108" s="381">
        <v>203</v>
      </c>
      <c r="D108" s="247">
        <f>E108-TIME(,8,)</f>
        <v>0.37638888888888888</v>
      </c>
      <c r="E108" s="248">
        <v>0.38194444444444442</v>
      </c>
      <c r="F108" s="249" t="s">
        <v>104</v>
      </c>
      <c r="G108" s="247">
        <v>0.55555555555555558</v>
      </c>
      <c r="H108" s="248" t="s">
        <v>475</v>
      </c>
      <c r="I108" s="248">
        <v>0.67708333333333337</v>
      </c>
      <c r="J108" s="248">
        <v>0.67708333333333337</v>
      </c>
      <c r="K108" s="249" t="s">
        <v>474</v>
      </c>
      <c r="L108" s="247">
        <v>0.77083333333333337</v>
      </c>
      <c r="M108" s="248" t="s">
        <v>475</v>
      </c>
      <c r="N108" s="295">
        <v>0.77430555555555558</v>
      </c>
      <c r="O108" s="245">
        <f t="shared" si="15"/>
        <v>0.3979166666666667</v>
      </c>
      <c r="P108" s="245">
        <f t="shared" si="16"/>
        <v>0.27638888888888891</v>
      </c>
      <c r="Q108" s="251">
        <f t="shared" si="17"/>
        <v>0.12152777777777779</v>
      </c>
      <c r="R108" s="251"/>
      <c r="AV108" s="408">
        <f t="shared" si="8"/>
        <v>0</v>
      </c>
    </row>
    <row r="109" spans="1:48" x14ac:dyDescent="0.25">
      <c r="A109" s="245" t="s">
        <v>618</v>
      </c>
      <c r="B109" s="245" t="s">
        <v>472</v>
      </c>
      <c r="C109" s="381">
        <v>204</v>
      </c>
      <c r="D109" s="247">
        <f>E109-TIME(,5+3,)</f>
        <v>0.38333333333333336</v>
      </c>
      <c r="E109" s="248">
        <v>0.3888888888888889</v>
      </c>
      <c r="F109" s="249" t="s">
        <v>475</v>
      </c>
      <c r="G109" s="247">
        <v>0.56944444444444442</v>
      </c>
      <c r="H109" s="248" t="s">
        <v>475</v>
      </c>
      <c r="I109" s="261">
        <f t="shared" si="14"/>
        <v>0.64583333333333337</v>
      </c>
      <c r="J109" s="261">
        <v>0.64583333333333337</v>
      </c>
      <c r="K109" s="262" t="s">
        <v>475</v>
      </c>
      <c r="L109" s="260">
        <v>0.80208333333333337</v>
      </c>
      <c r="M109" s="261" t="s">
        <v>104</v>
      </c>
      <c r="N109" s="250">
        <f>L109+TIME(,0,)</f>
        <v>0.80208333333333337</v>
      </c>
      <c r="O109" s="245">
        <f t="shared" si="15"/>
        <v>0.41875000000000001</v>
      </c>
      <c r="P109" s="245">
        <f t="shared" si="16"/>
        <v>0.34236111111111106</v>
      </c>
      <c r="Q109" s="251">
        <f t="shared" si="17"/>
        <v>7.6388888888888951E-2</v>
      </c>
      <c r="R109" s="251"/>
      <c r="AV109" s="408">
        <f t="shared" si="8"/>
        <v>0</v>
      </c>
    </row>
    <row r="110" spans="1:48" x14ac:dyDescent="0.25">
      <c r="A110" s="245" t="s">
        <v>620</v>
      </c>
      <c r="B110" s="245" t="s">
        <v>472</v>
      </c>
      <c r="C110" s="381">
        <v>205</v>
      </c>
      <c r="D110" s="247">
        <f>E110-TIME(,5+3,)</f>
        <v>0.39722222222222225</v>
      </c>
      <c r="E110" s="248">
        <v>0.40277777777777779</v>
      </c>
      <c r="F110" s="249" t="s">
        <v>475</v>
      </c>
      <c r="G110" s="247">
        <v>0.58333333333333337</v>
      </c>
      <c r="H110" s="248" t="s">
        <v>475</v>
      </c>
      <c r="I110" s="248">
        <v>0.6333333333333333</v>
      </c>
      <c r="J110" s="261">
        <v>0.63541666666666663</v>
      </c>
      <c r="K110" s="336" t="s">
        <v>104</v>
      </c>
      <c r="L110" s="334">
        <v>0.80555555555555558</v>
      </c>
      <c r="M110" s="335" t="s">
        <v>475</v>
      </c>
      <c r="N110" s="295">
        <f>L110+TIME(,5,)</f>
        <v>0.80902777777777779</v>
      </c>
      <c r="O110" s="245">
        <f t="shared" si="15"/>
        <v>0.41180555555555554</v>
      </c>
      <c r="P110" s="245">
        <f t="shared" si="16"/>
        <v>0.3618055555555556</v>
      </c>
      <c r="Q110" s="251">
        <f t="shared" si="17"/>
        <v>4.9999999999999933E-2</v>
      </c>
      <c r="R110" s="528" t="s">
        <v>848</v>
      </c>
      <c r="AV110" s="408">
        <f t="shared" si="8"/>
        <v>0</v>
      </c>
    </row>
    <row r="111" spans="1:48" x14ac:dyDescent="0.25">
      <c r="A111" s="245" t="s">
        <v>622</v>
      </c>
      <c r="B111" s="245" t="s">
        <v>472</v>
      </c>
      <c r="C111" s="381">
        <v>206</v>
      </c>
      <c r="D111" s="247">
        <f>E111-TIME(,5+3,)</f>
        <v>0.40416666666666667</v>
      </c>
      <c r="E111" s="248">
        <v>0.40972222222222221</v>
      </c>
      <c r="F111" s="249" t="s">
        <v>474</v>
      </c>
      <c r="G111" s="247">
        <v>0.59722222222222221</v>
      </c>
      <c r="H111" s="248" t="s">
        <v>474</v>
      </c>
      <c r="I111" s="248">
        <v>0.70833333333333337</v>
      </c>
      <c r="J111" s="248">
        <v>0.70833333333333337</v>
      </c>
      <c r="K111" s="305" t="s">
        <v>475</v>
      </c>
      <c r="L111" s="327">
        <v>0.78472222222222221</v>
      </c>
      <c r="M111" s="328" t="s">
        <v>474</v>
      </c>
      <c r="N111" s="295">
        <v>0.78819444444444442</v>
      </c>
      <c r="O111" s="245">
        <f>N111-D111</f>
        <v>0.38402777777777775</v>
      </c>
      <c r="P111" s="245">
        <f t="shared" si="16"/>
        <v>0.27291666666666659</v>
      </c>
      <c r="Q111" s="251">
        <f t="shared" si="17"/>
        <v>0.11111111111111116</v>
      </c>
      <c r="R111" s="251"/>
      <c r="AV111" s="408">
        <f t="shared" si="8"/>
        <v>0</v>
      </c>
    </row>
    <row r="112" spans="1:48" x14ac:dyDescent="0.25">
      <c r="A112" s="245" t="s">
        <v>624</v>
      </c>
      <c r="B112" s="245" t="s">
        <v>472</v>
      </c>
      <c r="C112" s="381">
        <v>207</v>
      </c>
      <c r="D112" s="247">
        <f>E112-TIME(,8,)</f>
        <v>0.41111111111111115</v>
      </c>
      <c r="E112" s="248">
        <v>0.41666666666666669</v>
      </c>
      <c r="F112" s="249" t="s">
        <v>104</v>
      </c>
      <c r="G112" s="247">
        <v>0.5625</v>
      </c>
      <c r="H112" s="248" t="s">
        <v>104</v>
      </c>
      <c r="I112" s="248">
        <f t="shared" si="14"/>
        <v>0.60416666666666663</v>
      </c>
      <c r="J112" s="248">
        <v>0.60416666666666663</v>
      </c>
      <c r="K112" s="249" t="s">
        <v>475</v>
      </c>
      <c r="L112" s="247">
        <v>0.78472222222222221</v>
      </c>
      <c r="M112" s="248" t="s">
        <v>475</v>
      </c>
      <c r="N112" s="295">
        <f>L112+TIME(,5,)</f>
        <v>0.78819444444444442</v>
      </c>
      <c r="O112" s="245">
        <f t="shared" si="15"/>
        <v>0.37708333333333327</v>
      </c>
      <c r="P112" s="245">
        <f t="shared" si="16"/>
        <v>0.33541666666666664</v>
      </c>
      <c r="Q112" s="251">
        <f t="shared" si="17"/>
        <v>4.166666666666663E-2</v>
      </c>
      <c r="R112" s="251"/>
      <c r="AV112" s="408">
        <f t="shared" si="8"/>
        <v>0</v>
      </c>
    </row>
    <row r="113" spans="1:48" ht="16.5" thickBot="1" x14ac:dyDescent="0.3">
      <c r="A113" s="268" t="s">
        <v>626</v>
      </c>
      <c r="B113" s="268" t="s">
        <v>472</v>
      </c>
      <c r="C113" s="381">
        <v>208</v>
      </c>
      <c r="D113" s="270">
        <f>E113-TIME(,8,)</f>
        <v>0.44236111111111115</v>
      </c>
      <c r="E113" s="271">
        <v>0.44791666666666669</v>
      </c>
      <c r="F113" s="272" t="s">
        <v>104</v>
      </c>
      <c r="G113" s="270">
        <v>0.61458333333333337</v>
      </c>
      <c r="H113" s="271" t="s">
        <v>474</v>
      </c>
      <c r="I113" s="248">
        <v>0.66666666666666663</v>
      </c>
      <c r="J113" s="248">
        <v>0.66666666666666663</v>
      </c>
      <c r="K113" s="249" t="s">
        <v>475</v>
      </c>
      <c r="L113" s="247">
        <v>0.82291666666666663</v>
      </c>
      <c r="M113" s="248" t="s">
        <v>104</v>
      </c>
      <c r="N113" s="295">
        <v>0.82291666666666663</v>
      </c>
      <c r="O113" s="245">
        <f t="shared" si="15"/>
        <v>0.38055555555555548</v>
      </c>
      <c r="P113" s="268">
        <f t="shared" si="16"/>
        <v>0.32847222222222222</v>
      </c>
      <c r="Q113" s="275">
        <f t="shared" si="17"/>
        <v>5.2083333333333259E-2</v>
      </c>
      <c r="R113" s="275"/>
      <c r="AV113" s="408">
        <f t="shared" si="8"/>
        <v>0</v>
      </c>
    </row>
    <row r="114" spans="1:48" ht="15.75" customHeight="1" thickBot="1" x14ac:dyDescent="0.3">
      <c r="A114" s="518"/>
      <c r="B114" s="519"/>
      <c r="C114" s="519"/>
      <c r="D114" s="519"/>
      <c r="E114" s="519"/>
      <c r="F114" s="519"/>
      <c r="G114" s="519"/>
      <c r="H114" s="519"/>
      <c r="I114" s="519"/>
      <c r="J114" s="519"/>
      <c r="K114" s="519"/>
      <c r="L114" s="519"/>
      <c r="M114" s="519"/>
      <c r="N114" s="519"/>
      <c r="O114" s="519"/>
      <c r="P114" s="520">
        <f>AVERAGE(P106:P113)</f>
        <v>0.3178819444444444</v>
      </c>
      <c r="Q114" s="529"/>
      <c r="R114" s="529"/>
      <c r="AV114" s="408">
        <f t="shared" si="8"/>
        <v>0</v>
      </c>
    </row>
    <row r="115" spans="1:48" ht="16.5" customHeight="1" thickBot="1" x14ac:dyDescent="0.3">
      <c r="A115" s="522"/>
      <c r="B115" s="522"/>
      <c r="C115" s="522"/>
      <c r="D115" s="522"/>
      <c r="E115" s="522"/>
      <c r="F115" s="522"/>
      <c r="G115" s="522"/>
      <c r="H115" s="522"/>
      <c r="I115" s="522"/>
      <c r="J115" s="522"/>
      <c r="K115" s="522"/>
      <c r="L115" s="522"/>
      <c r="M115" s="522"/>
      <c r="N115" s="522"/>
      <c r="O115" s="522"/>
      <c r="P115" s="522"/>
      <c r="Q115" s="522"/>
      <c r="R115" s="522"/>
      <c r="AV115" s="408">
        <f t="shared" si="8"/>
        <v>0</v>
      </c>
    </row>
    <row r="116" spans="1:48" ht="15.75" customHeight="1" x14ac:dyDescent="0.25">
      <c r="A116" s="700" t="s">
        <v>457</v>
      </c>
      <c r="B116" s="223" t="s">
        <v>458</v>
      </c>
      <c r="C116" s="703" t="s">
        <v>459</v>
      </c>
      <c r="D116" s="730" t="s">
        <v>460</v>
      </c>
      <c r="E116" s="731"/>
      <c r="F116" s="732"/>
      <c r="G116" s="730" t="s">
        <v>461</v>
      </c>
      <c r="H116" s="731"/>
      <c r="I116" s="731"/>
      <c r="J116" s="731"/>
      <c r="K116" s="732"/>
      <c r="L116" s="730" t="s">
        <v>462</v>
      </c>
      <c r="M116" s="731"/>
      <c r="N116" s="732"/>
      <c r="O116" s="700" t="s">
        <v>463</v>
      </c>
      <c r="P116" s="700" t="s">
        <v>464</v>
      </c>
      <c r="Q116" s="700" t="s">
        <v>465</v>
      </c>
      <c r="R116" s="700"/>
      <c r="AV116" s="408">
        <f t="shared" si="8"/>
        <v>0</v>
      </c>
    </row>
    <row r="117" spans="1:48" ht="16.5" customHeight="1" thickBot="1" x14ac:dyDescent="0.3">
      <c r="A117" s="727"/>
      <c r="B117" s="352" t="s">
        <v>466</v>
      </c>
      <c r="C117" s="729"/>
      <c r="D117" s="524" t="s">
        <v>467</v>
      </c>
      <c r="E117" s="525" t="s">
        <v>468</v>
      </c>
      <c r="F117" s="526" t="s">
        <v>469</v>
      </c>
      <c r="G117" s="524" t="s">
        <v>460</v>
      </c>
      <c r="H117" s="525" t="s">
        <v>469</v>
      </c>
      <c r="I117" s="525" t="s">
        <v>467</v>
      </c>
      <c r="J117" s="525" t="s">
        <v>460</v>
      </c>
      <c r="K117" s="526" t="s">
        <v>469</v>
      </c>
      <c r="L117" s="524" t="s">
        <v>462</v>
      </c>
      <c r="M117" s="525" t="s">
        <v>469</v>
      </c>
      <c r="N117" s="526" t="s">
        <v>470</v>
      </c>
      <c r="O117" s="727"/>
      <c r="P117" s="727"/>
      <c r="Q117" s="727"/>
      <c r="R117" s="727"/>
      <c r="AV117" s="408">
        <f t="shared" si="8"/>
        <v>0</v>
      </c>
    </row>
    <row r="118" spans="1:48" x14ac:dyDescent="0.25">
      <c r="A118" s="258" t="s">
        <v>665</v>
      </c>
      <c r="B118" s="258" t="s">
        <v>472</v>
      </c>
      <c r="C118" s="381" t="s">
        <v>666</v>
      </c>
      <c r="D118" s="327">
        <f>E118-TIME(,5+3,)</f>
        <v>0.75138888888888888</v>
      </c>
      <c r="E118" s="323">
        <v>0.75694444444444442</v>
      </c>
      <c r="F118" s="324" t="s">
        <v>475</v>
      </c>
      <c r="G118" s="322">
        <v>0.91666666666666663</v>
      </c>
      <c r="H118" s="323" t="s">
        <v>475</v>
      </c>
      <c r="I118" s="517">
        <f t="shared" ref="I118:I124" si="18">J118-TIME(,0,)</f>
        <v>0.95833333333333337</v>
      </c>
      <c r="J118" s="335">
        <v>0.95833333333333337</v>
      </c>
      <c r="K118" s="530" t="s">
        <v>475</v>
      </c>
      <c r="L118" s="322">
        <v>1.1354166666666667</v>
      </c>
      <c r="M118" s="323" t="s">
        <v>475</v>
      </c>
      <c r="N118" s="325">
        <f>L118+TIME(,5,)</f>
        <v>1.1388888888888891</v>
      </c>
      <c r="O118" s="237">
        <f t="shared" ref="O118:O124" si="19">N118-D118</f>
        <v>0.38750000000000018</v>
      </c>
      <c r="P118" s="237">
        <f t="shared" ref="P118:P124" si="20">O118-Q118</f>
        <v>0.34583333333333344</v>
      </c>
      <c r="Q118" s="243">
        <f t="shared" ref="Q118:Q124" si="21">I118-G118</f>
        <v>4.1666666666666741E-2</v>
      </c>
      <c r="R118" s="243"/>
      <c r="AV118" s="408">
        <f t="shared" si="8"/>
        <v>0</v>
      </c>
    </row>
    <row r="119" spans="1:48" x14ac:dyDescent="0.25">
      <c r="A119" s="245" t="s">
        <v>667</v>
      </c>
      <c r="B119" s="245" t="s">
        <v>472</v>
      </c>
      <c r="C119" s="381" t="s">
        <v>668</v>
      </c>
      <c r="D119" s="327">
        <f>E119-TIME(,5+3,)</f>
        <v>0.8</v>
      </c>
      <c r="E119" s="335">
        <v>0.80555555555555558</v>
      </c>
      <c r="F119" s="336" t="s">
        <v>475</v>
      </c>
      <c r="G119" s="327">
        <v>0.87847222222222221</v>
      </c>
      <c r="H119" s="328" t="s">
        <v>474</v>
      </c>
      <c r="I119" s="517">
        <f t="shared" si="18"/>
        <v>0.93055555555555558</v>
      </c>
      <c r="J119" s="328">
        <v>0.93055555555555558</v>
      </c>
      <c r="K119" s="333" t="s">
        <v>474</v>
      </c>
      <c r="L119" s="327">
        <v>1.1076388888888888</v>
      </c>
      <c r="M119" s="328" t="s">
        <v>474</v>
      </c>
      <c r="N119" s="329">
        <f>L119+TIME(,5,)</f>
        <v>1.1111111111111112</v>
      </c>
      <c r="O119" s="245">
        <f t="shared" si="19"/>
        <v>0.31111111111111112</v>
      </c>
      <c r="P119" s="245">
        <f>O119-Q119</f>
        <v>0.25902777777777775</v>
      </c>
      <c r="Q119" s="251">
        <f>I119-G119</f>
        <v>5.208333333333337E-2</v>
      </c>
      <c r="R119" s="251"/>
      <c r="AV119" s="408">
        <f t="shared" si="8"/>
        <v>0</v>
      </c>
    </row>
    <row r="120" spans="1:48" x14ac:dyDescent="0.25">
      <c r="A120" s="245" t="s">
        <v>669</v>
      </c>
      <c r="B120" s="245" t="s">
        <v>472</v>
      </c>
      <c r="C120" s="381" t="s">
        <v>670</v>
      </c>
      <c r="D120" s="327">
        <f>E120-TIME(,5+3,)</f>
        <v>0.84166666666666667</v>
      </c>
      <c r="E120" s="335">
        <v>0.84722222222222221</v>
      </c>
      <c r="F120" s="530" t="s">
        <v>475</v>
      </c>
      <c r="G120" s="334">
        <v>0.98611111111111116</v>
      </c>
      <c r="H120" s="335" t="s">
        <v>104</v>
      </c>
      <c r="I120" s="517">
        <f t="shared" si="18"/>
        <v>1.0520833333333333</v>
      </c>
      <c r="J120" s="328">
        <v>1.0520833333333333</v>
      </c>
      <c r="K120" s="333" t="s">
        <v>475</v>
      </c>
      <c r="L120" s="327">
        <v>1.2152777777777777</v>
      </c>
      <c r="M120" s="328" t="s">
        <v>104</v>
      </c>
      <c r="N120" s="329">
        <v>1.2152777777777777</v>
      </c>
      <c r="O120" s="245">
        <f t="shared" si="19"/>
        <v>0.37361111111111101</v>
      </c>
      <c r="P120" s="245">
        <f t="shared" si="20"/>
        <v>0.30763888888888891</v>
      </c>
      <c r="Q120" s="251">
        <f t="shared" si="21"/>
        <v>6.5972222222222099E-2</v>
      </c>
      <c r="R120" s="251"/>
      <c r="AV120" s="408">
        <f t="shared" si="8"/>
        <v>0</v>
      </c>
    </row>
    <row r="121" spans="1:48" x14ac:dyDescent="0.25">
      <c r="A121" s="245" t="s">
        <v>671</v>
      </c>
      <c r="B121" s="245" t="s">
        <v>472</v>
      </c>
      <c r="C121" s="381" t="s">
        <v>672</v>
      </c>
      <c r="D121" s="327">
        <f>E121-TIME(,5+3,)</f>
        <v>0.89027777777777783</v>
      </c>
      <c r="E121" s="328">
        <v>0.89583333333333337</v>
      </c>
      <c r="F121" s="333" t="s">
        <v>475</v>
      </c>
      <c r="G121" s="327">
        <v>1.0243055555555556</v>
      </c>
      <c r="H121" s="328" t="s">
        <v>104</v>
      </c>
      <c r="I121" s="517">
        <f t="shared" si="18"/>
        <v>1.0659722222222223</v>
      </c>
      <c r="J121" s="328">
        <v>1.0659722222222223</v>
      </c>
      <c r="K121" s="333" t="s">
        <v>474</v>
      </c>
      <c r="L121" s="327">
        <v>1.2409722222222221</v>
      </c>
      <c r="M121" s="328" t="s">
        <v>104</v>
      </c>
      <c r="N121" s="329">
        <f>L121+TIME(,0,)</f>
        <v>1.2409722222222221</v>
      </c>
      <c r="O121" s="245">
        <f t="shared" si="19"/>
        <v>0.35069444444444431</v>
      </c>
      <c r="P121" s="245">
        <f t="shared" si="20"/>
        <v>0.30902777777777757</v>
      </c>
      <c r="Q121" s="251">
        <f t="shared" si="21"/>
        <v>4.1666666666666741E-2</v>
      </c>
      <c r="R121" s="251"/>
      <c r="AV121" s="408">
        <f t="shared" si="8"/>
        <v>0</v>
      </c>
    </row>
    <row r="122" spans="1:48" x14ac:dyDescent="0.25">
      <c r="A122" s="245" t="s">
        <v>673</v>
      </c>
      <c r="B122" s="245" t="s">
        <v>472</v>
      </c>
      <c r="C122" s="381" t="s">
        <v>674</v>
      </c>
      <c r="D122" s="327">
        <f>E122-TIME(,8,)</f>
        <v>0.90069444444444446</v>
      </c>
      <c r="E122" s="328">
        <v>0.90625</v>
      </c>
      <c r="F122" s="333" t="s">
        <v>104</v>
      </c>
      <c r="G122" s="327">
        <v>1.0520833333333333</v>
      </c>
      <c r="H122" s="328" t="s">
        <v>475</v>
      </c>
      <c r="I122" s="517">
        <f t="shared" si="18"/>
        <v>1.09375</v>
      </c>
      <c r="J122" s="328">
        <v>1.09375</v>
      </c>
      <c r="K122" s="333" t="s">
        <v>475</v>
      </c>
      <c r="L122" s="327">
        <v>1.2569444444444444</v>
      </c>
      <c r="M122" s="328" t="s">
        <v>104</v>
      </c>
      <c r="N122" s="329">
        <f>L122+TIME(,0,)</f>
        <v>1.2569444444444444</v>
      </c>
      <c r="O122" s="245">
        <f t="shared" si="19"/>
        <v>0.35624999999999996</v>
      </c>
      <c r="P122" s="245">
        <f t="shared" si="20"/>
        <v>0.31458333333333321</v>
      </c>
      <c r="Q122" s="251">
        <f t="shared" si="21"/>
        <v>4.1666666666666741E-2</v>
      </c>
      <c r="R122" s="528" t="s">
        <v>848</v>
      </c>
      <c r="AV122" s="408">
        <f t="shared" si="8"/>
        <v>0</v>
      </c>
    </row>
    <row r="123" spans="1:48" x14ac:dyDescent="0.25">
      <c r="A123" s="245" t="s">
        <v>675</v>
      </c>
      <c r="B123" s="245" t="s">
        <v>472</v>
      </c>
      <c r="C123" s="381" t="s">
        <v>676</v>
      </c>
      <c r="D123" s="327">
        <f>E123-TIME(,8,)</f>
        <v>0.93194444444444446</v>
      </c>
      <c r="E123" s="328">
        <v>0.9375</v>
      </c>
      <c r="F123" s="333" t="s">
        <v>104</v>
      </c>
      <c r="G123" s="327">
        <v>1.0659722222222223</v>
      </c>
      <c r="H123" s="328" t="s">
        <v>474</v>
      </c>
      <c r="I123" s="517">
        <f t="shared" si="18"/>
        <v>1.1076388888888888</v>
      </c>
      <c r="J123" s="328">
        <v>1.1076388888888888</v>
      </c>
      <c r="K123" s="333" t="s">
        <v>474</v>
      </c>
      <c r="L123" s="327">
        <v>1.2826388888888889</v>
      </c>
      <c r="M123" s="328" t="s">
        <v>104</v>
      </c>
      <c r="N123" s="329">
        <f>L123+TIME(,0,)</f>
        <v>1.2826388888888889</v>
      </c>
      <c r="O123" s="245">
        <f t="shared" si="19"/>
        <v>0.35069444444444442</v>
      </c>
      <c r="P123" s="245">
        <f t="shared" si="20"/>
        <v>0.3090277777777779</v>
      </c>
      <c r="Q123" s="251">
        <f t="shared" si="21"/>
        <v>4.1666666666666519E-2</v>
      </c>
      <c r="R123" s="251"/>
      <c r="AV123" s="408">
        <f t="shared" si="8"/>
        <v>0</v>
      </c>
    </row>
    <row r="124" spans="1:48" ht="16.5" thickBot="1" x14ac:dyDescent="0.3">
      <c r="A124" s="245" t="s">
        <v>677</v>
      </c>
      <c r="B124" s="245" t="s">
        <v>472</v>
      </c>
      <c r="C124" s="381" t="s">
        <v>678</v>
      </c>
      <c r="D124" s="327">
        <f>E124-TIME(,8,)</f>
        <v>0.93194444444444446</v>
      </c>
      <c r="E124" s="328">
        <v>0.9375</v>
      </c>
      <c r="F124" s="333" t="s">
        <v>475</v>
      </c>
      <c r="G124" s="327">
        <v>1.09375</v>
      </c>
      <c r="H124" s="328" t="s">
        <v>475</v>
      </c>
      <c r="I124" s="517">
        <f t="shared" si="18"/>
        <v>1.1354166666666667</v>
      </c>
      <c r="J124" s="328">
        <v>1.1354166666666667</v>
      </c>
      <c r="K124" s="333" t="s">
        <v>475</v>
      </c>
      <c r="L124" s="337">
        <v>1.2916666666666667</v>
      </c>
      <c r="M124" s="338" t="s">
        <v>104</v>
      </c>
      <c r="N124" s="339">
        <f>L124+TIME(,0,)</f>
        <v>1.2916666666666667</v>
      </c>
      <c r="O124" s="245">
        <f t="shared" si="19"/>
        <v>0.35972222222222228</v>
      </c>
      <c r="P124" s="245">
        <f t="shared" si="20"/>
        <v>0.31805555555555554</v>
      </c>
      <c r="Q124" s="251">
        <f t="shared" si="21"/>
        <v>4.1666666666666741E-2</v>
      </c>
      <c r="R124" s="251"/>
      <c r="AV124" s="408">
        <f t="shared" si="8"/>
        <v>0</v>
      </c>
    </row>
    <row r="125" spans="1:48" ht="15.75" customHeight="1" thickBot="1" x14ac:dyDescent="0.3">
      <c r="A125" s="518"/>
      <c r="B125" s="519"/>
      <c r="C125" s="519"/>
      <c r="D125" s="519"/>
      <c r="E125" s="519"/>
      <c r="F125" s="519"/>
      <c r="G125" s="519"/>
      <c r="H125" s="519"/>
      <c r="I125" s="519"/>
      <c r="J125" s="519"/>
      <c r="K125" s="519"/>
      <c r="L125" s="519"/>
      <c r="M125" s="519"/>
      <c r="N125" s="519"/>
      <c r="O125" s="345">
        <f>COUNTIF(O118:O124,"&gt;9:00")/COUNT(O118:O124)</f>
        <v>0.14285714285714285</v>
      </c>
      <c r="P125" s="520">
        <f>AVERAGE(P118:P124)</f>
        <v>0.30902777777777779</v>
      </c>
      <c r="Q125" s="529"/>
      <c r="R125" s="529"/>
      <c r="AV125" s="408">
        <f t="shared" si="8"/>
        <v>0</v>
      </c>
    </row>
    <row r="126" spans="1:48" ht="15.75" customHeight="1" x14ac:dyDescent="0.25">
      <c r="A126" s="522"/>
      <c r="B126" s="522"/>
      <c r="C126" s="522"/>
      <c r="D126" s="522"/>
      <c r="E126" s="522"/>
      <c r="F126" s="522"/>
      <c r="G126" s="522"/>
      <c r="H126" s="522"/>
      <c r="I126" s="522"/>
      <c r="J126" s="522"/>
      <c r="K126" s="522"/>
      <c r="L126" s="522"/>
      <c r="M126" s="522"/>
      <c r="N126" s="522"/>
      <c r="O126" s="522"/>
      <c r="P126" s="522"/>
      <c r="Q126" s="522"/>
      <c r="R126" s="504"/>
      <c r="AV126" s="408">
        <f t="shared" si="8"/>
        <v>0</v>
      </c>
    </row>
    <row r="127" spans="1:48" ht="15.75" customHeight="1" x14ac:dyDescent="0.25">
      <c r="A127" s="522"/>
      <c r="B127" s="522"/>
      <c r="C127" s="522"/>
      <c r="D127" s="522"/>
      <c r="E127" s="522"/>
      <c r="F127" s="522"/>
      <c r="G127" s="522"/>
      <c r="H127" s="522"/>
      <c r="I127" s="522"/>
      <c r="J127" s="522"/>
      <c r="K127" s="522"/>
      <c r="L127" s="522"/>
      <c r="M127" s="522"/>
      <c r="N127" s="728" t="s">
        <v>849</v>
      </c>
      <c r="O127" s="728"/>
      <c r="P127" s="531">
        <f>AVERAGE(P118:P124,P106:P113,P54:P101)</f>
        <v>0.30198412698412691</v>
      </c>
      <c r="Q127" s="522"/>
      <c r="R127" s="504"/>
      <c r="AV127" s="408">
        <f t="shared" si="8"/>
        <v>0</v>
      </c>
    </row>
    <row r="128" spans="1:48" x14ac:dyDescent="0.25">
      <c r="AV128" s="408">
        <f t="shared" si="8"/>
        <v>0</v>
      </c>
    </row>
    <row r="129" spans="2:48" x14ac:dyDescent="0.25">
      <c r="AV129" s="408">
        <f t="shared" si="8"/>
        <v>0</v>
      </c>
    </row>
    <row r="132" spans="2:48" x14ac:dyDescent="0.25">
      <c r="B132" s="467">
        <v>0.2048611111111111</v>
      </c>
      <c r="C132" s="467">
        <v>0.41666666666666669</v>
      </c>
      <c r="D132" s="467">
        <v>0.51736111111111116</v>
      </c>
      <c r="E132" s="467">
        <v>0.34027777777777779</v>
      </c>
      <c r="F132" s="467">
        <v>0.34722222222222221</v>
      </c>
      <c r="G132" s="467">
        <v>0.21527777777777779</v>
      </c>
      <c r="H132" s="467">
        <v>0.3611111111111111</v>
      </c>
      <c r="I132" s="467">
        <v>0.22569444444444445</v>
      </c>
      <c r="J132" s="467">
        <v>0.2361111111111111</v>
      </c>
      <c r="K132" s="467">
        <v>0.63541666666666663</v>
      </c>
      <c r="L132" s="467">
        <v>0.38194444444444442</v>
      </c>
      <c r="M132" s="467">
        <v>0.24652777777777779</v>
      </c>
      <c r="N132" s="467">
        <v>0.39583333333333331</v>
      </c>
      <c r="O132" s="467">
        <v>0.25555555555555554</v>
      </c>
      <c r="P132" s="467">
        <v>0.40972222222222221</v>
      </c>
      <c r="Q132" s="467">
        <v>0.26041666666666669</v>
      </c>
      <c r="R132" s="467">
        <v>0.50347222222222221</v>
      </c>
      <c r="S132" s="467">
        <v>0.4201388888888889</v>
      </c>
      <c r="T132" s="467">
        <v>0.33333333333333331</v>
      </c>
      <c r="U132" s="467">
        <v>0.27083333333333331</v>
      </c>
      <c r="V132" s="467">
        <v>0.28125</v>
      </c>
      <c r="W132" s="467">
        <v>0.44791666666666669</v>
      </c>
      <c r="X132" s="467">
        <v>0.35416666666666669</v>
      </c>
      <c r="Y132" s="467">
        <v>0.21180555555555555</v>
      </c>
      <c r="Z132" s="467">
        <v>0.36805555555555558</v>
      </c>
      <c r="AA132" s="467">
        <v>0.21875</v>
      </c>
      <c r="AB132" s="467">
        <v>0.75</v>
      </c>
      <c r="AC132" s="467">
        <v>0.38194444444444442</v>
      </c>
      <c r="AD132" s="467">
        <v>0.22222222222222221</v>
      </c>
      <c r="AE132" s="467">
        <v>0.23958333333333334</v>
      </c>
      <c r="AF132" s="467">
        <v>0.25</v>
      </c>
    </row>
    <row r="133" spans="2:48" x14ac:dyDescent="0.25">
      <c r="B133" s="532">
        <v>0.67013888888888884</v>
      </c>
      <c r="C133" s="532">
        <v>0.5625</v>
      </c>
      <c r="D133" s="532">
        <v>1.0625</v>
      </c>
      <c r="E133" s="532">
        <v>0.85416666666666663</v>
      </c>
      <c r="F133" s="532">
        <v>1.2569444444444444</v>
      </c>
      <c r="G133" s="532">
        <v>0.86111111111111116</v>
      </c>
      <c r="H133" s="532">
        <v>0.69791666666666663</v>
      </c>
      <c r="I133" s="532">
        <v>1.0118055555555556</v>
      </c>
      <c r="J133" s="532">
        <v>0.78472222222222221</v>
      </c>
      <c r="K133" s="532">
        <v>1.2916666666666667</v>
      </c>
      <c r="L133" s="532">
        <v>1.0326388888888889</v>
      </c>
      <c r="M133" s="532">
        <v>0.80208333333333337</v>
      </c>
      <c r="N133" s="532">
        <v>0.97569444444444442</v>
      </c>
      <c r="O133" s="532">
        <v>1.0465277777777777</v>
      </c>
      <c r="P133" s="532">
        <v>0.82291666666666663</v>
      </c>
      <c r="Q133" s="532">
        <v>0.98611111111111116</v>
      </c>
      <c r="R133" s="532">
        <v>0.92708333333333337</v>
      </c>
      <c r="S133" s="532">
        <v>0.84791666666666665</v>
      </c>
      <c r="T133" s="532">
        <v>1.2826388888888889</v>
      </c>
      <c r="U133" s="532">
        <v>0.77430555555555558</v>
      </c>
      <c r="V133" s="532">
        <v>0.86805555555555558</v>
      </c>
      <c r="W133" s="532">
        <v>1.0069444444444444</v>
      </c>
      <c r="X133" s="532">
        <v>0.86805555555555558</v>
      </c>
      <c r="Y133" s="532">
        <v>0.7055555555555556</v>
      </c>
      <c r="Z133" s="532">
        <v>0.87152777777777779</v>
      </c>
      <c r="AA133" s="532">
        <v>1.0173611111111112</v>
      </c>
      <c r="AB133" s="532">
        <v>1.0243055555555556</v>
      </c>
      <c r="AC133" s="532">
        <v>0.83333333333333337</v>
      </c>
      <c r="AD133" s="532">
        <v>0.97569444444444442</v>
      </c>
      <c r="AE133" s="532">
        <v>1.0486111111111112</v>
      </c>
      <c r="AF133" s="532">
        <v>0.84375</v>
      </c>
    </row>
    <row r="134" spans="2:48" x14ac:dyDescent="0.25">
      <c r="B134" s="467">
        <f>B133-B132</f>
        <v>0.46527777777777773</v>
      </c>
      <c r="C134" s="467">
        <f t="shared" ref="C134:AF134" si="22">C133-C132</f>
        <v>0.14583333333333331</v>
      </c>
      <c r="D134" s="467">
        <f t="shared" si="22"/>
        <v>0.54513888888888884</v>
      </c>
      <c r="E134" s="467">
        <f t="shared" si="22"/>
        <v>0.51388888888888884</v>
      </c>
      <c r="F134" s="467">
        <f t="shared" si="22"/>
        <v>0.90972222222222221</v>
      </c>
      <c r="G134" s="467">
        <f t="shared" si="22"/>
        <v>0.64583333333333337</v>
      </c>
      <c r="H134" s="467">
        <f t="shared" si="22"/>
        <v>0.33680555555555552</v>
      </c>
      <c r="I134" s="467">
        <f t="shared" si="22"/>
        <v>0.7861111111111112</v>
      </c>
      <c r="J134" s="467">
        <f t="shared" si="22"/>
        <v>0.54861111111111116</v>
      </c>
      <c r="K134" s="467">
        <f t="shared" si="22"/>
        <v>0.65625000000000011</v>
      </c>
      <c r="L134" s="467">
        <f t="shared" si="22"/>
        <v>0.65069444444444446</v>
      </c>
      <c r="M134" s="467">
        <f t="shared" si="22"/>
        <v>0.55555555555555558</v>
      </c>
      <c r="N134" s="467">
        <f t="shared" si="22"/>
        <v>0.57986111111111116</v>
      </c>
      <c r="O134" s="467">
        <f t="shared" si="22"/>
        <v>0.79097222222222219</v>
      </c>
      <c r="P134" s="467">
        <f t="shared" si="22"/>
        <v>0.41319444444444442</v>
      </c>
      <c r="Q134" s="467">
        <f t="shared" si="22"/>
        <v>0.72569444444444442</v>
      </c>
      <c r="R134" s="467">
        <f t="shared" si="22"/>
        <v>0.42361111111111116</v>
      </c>
      <c r="S134" s="467">
        <f t="shared" si="22"/>
        <v>0.42777777777777776</v>
      </c>
      <c r="T134" s="467">
        <f t="shared" si="22"/>
        <v>0.94930555555555562</v>
      </c>
      <c r="U134" s="467">
        <f t="shared" si="22"/>
        <v>0.50347222222222232</v>
      </c>
      <c r="V134" s="467">
        <f t="shared" si="22"/>
        <v>0.58680555555555558</v>
      </c>
      <c r="W134" s="467">
        <f t="shared" si="22"/>
        <v>0.55902777777777768</v>
      </c>
      <c r="X134" s="467">
        <f t="shared" si="22"/>
        <v>0.51388888888888884</v>
      </c>
      <c r="Y134" s="467">
        <f t="shared" si="22"/>
        <v>0.49375000000000002</v>
      </c>
      <c r="Z134" s="467">
        <f t="shared" si="22"/>
        <v>0.50347222222222221</v>
      </c>
      <c r="AA134" s="467">
        <f t="shared" si="22"/>
        <v>0.79861111111111116</v>
      </c>
      <c r="AB134" s="467">
        <f t="shared" si="22"/>
        <v>0.27430555555555558</v>
      </c>
      <c r="AC134" s="467">
        <f t="shared" si="22"/>
        <v>0.45138888888888895</v>
      </c>
      <c r="AD134" s="467">
        <f t="shared" si="22"/>
        <v>0.75347222222222221</v>
      </c>
      <c r="AE134" s="467">
        <f t="shared" si="22"/>
        <v>0.80902777777777779</v>
      </c>
      <c r="AF134" s="467">
        <f t="shared" si="22"/>
        <v>0.59375</v>
      </c>
    </row>
    <row r="135" spans="2:48" x14ac:dyDescent="0.25">
      <c r="B135" s="467"/>
      <c r="C135" s="467"/>
      <c r="D135" s="467"/>
      <c r="E135" s="467"/>
      <c r="F135" s="467"/>
      <c r="G135" s="467"/>
      <c r="H135" s="467"/>
      <c r="I135" s="467"/>
      <c r="J135" s="467"/>
      <c r="K135" s="467"/>
      <c r="L135" s="467"/>
      <c r="M135" s="467"/>
      <c r="N135" s="467"/>
      <c r="O135" s="467"/>
      <c r="P135" s="467"/>
      <c r="Q135" s="467"/>
      <c r="R135" s="467"/>
      <c r="S135" s="467"/>
      <c r="T135" s="467"/>
      <c r="U135" s="467"/>
      <c r="V135" s="467"/>
      <c r="W135" s="467"/>
      <c r="X135" s="467"/>
      <c r="Y135" s="467"/>
      <c r="Z135" s="467"/>
      <c r="AA135" s="467"/>
      <c r="AB135" s="467"/>
      <c r="AC135" s="467"/>
      <c r="AD135" s="467"/>
      <c r="AE135" s="467"/>
      <c r="AF135" s="467"/>
    </row>
    <row r="136" spans="2:48" x14ac:dyDescent="0.25">
      <c r="C136" s="467"/>
      <c r="D136" s="467"/>
      <c r="E136" s="467"/>
      <c r="F136" s="467"/>
      <c r="G136" s="467"/>
      <c r="H136" s="467"/>
      <c r="I136" s="467"/>
      <c r="J136" s="467"/>
      <c r="K136" s="467"/>
      <c r="L136" s="467"/>
      <c r="M136" s="467"/>
      <c r="N136" s="467"/>
      <c r="O136" s="467"/>
      <c r="P136" s="467"/>
      <c r="Q136" s="467"/>
      <c r="R136" s="467"/>
      <c r="S136" s="467">
        <v>0.9375</v>
      </c>
      <c r="T136" s="467"/>
      <c r="U136" s="467"/>
      <c r="V136" s="467"/>
      <c r="W136" s="467"/>
      <c r="X136" s="467"/>
      <c r="Y136" s="467"/>
      <c r="Z136" s="467"/>
      <c r="AA136" s="467"/>
      <c r="AB136" s="467"/>
      <c r="AC136" s="467">
        <v>0.90625</v>
      </c>
      <c r="AD136" s="467"/>
      <c r="AE136" s="467"/>
      <c r="AF136" s="467"/>
    </row>
    <row r="137" spans="2:48" x14ac:dyDescent="0.25">
      <c r="B137" s="467"/>
      <c r="C137" s="467"/>
      <c r="D137" s="467"/>
      <c r="E137" s="467"/>
      <c r="F137" s="467"/>
      <c r="G137" s="467"/>
      <c r="H137" s="467"/>
      <c r="I137" s="467"/>
      <c r="J137" s="467"/>
      <c r="K137" s="467"/>
      <c r="L137" s="467"/>
      <c r="M137" s="467"/>
      <c r="N137" s="467"/>
      <c r="O137" s="467"/>
      <c r="P137" s="467"/>
      <c r="Q137" s="467"/>
      <c r="R137" s="467"/>
      <c r="S137" s="532">
        <v>1.2409722222222221</v>
      </c>
      <c r="T137" s="467"/>
      <c r="U137" s="467"/>
      <c r="V137" s="467"/>
      <c r="W137" s="467"/>
      <c r="X137" s="467"/>
      <c r="Y137" s="467"/>
      <c r="Z137" s="467"/>
      <c r="AA137" s="467"/>
      <c r="AB137" s="467"/>
      <c r="AC137" s="532">
        <v>1.2152777777777777</v>
      </c>
      <c r="AD137" s="467"/>
      <c r="AE137" s="467"/>
      <c r="AF137" s="467"/>
    </row>
    <row r="138" spans="2:48" x14ac:dyDescent="0.25">
      <c r="B138" s="467"/>
      <c r="C138" s="467"/>
      <c r="D138" s="467"/>
      <c r="E138" s="467"/>
      <c r="F138" s="467"/>
      <c r="G138" s="467"/>
      <c r="H138" s="467"/>
      <c r="I138" s="467"/>
      <c r="J138" s="467"/>
      <c r="K138" s="467"/>
      <c r="L138" s="467"/>
      <c r="M138" s="467"/>
      <c r="N138" s="467"/>
      <c r="O138" s="467"/>
      <c r="P138" s="467"/>
      <c r="Q138" s="467"/>
      <c r="R138" s="467"/>
      <c r="S138" s="467">
        <f t="shared" ref="S138" si="23">S137-S136</f>
        <v>0.30347222222222214</v>
      </c>
      <c r="T138" s="467"/>
      <c r="U138" s="467"/>
      <c r="V138" s="467"/>
      <c r="W138" s="467"/>
      <c r="X138" s="467"/>
      <c r="Y138" s="467"/>
      <c r="Z138" s="467"/>
      <c r="AA138" s="467"/>
      <c r="AB138" s="467"/>
      <c r="AC138" s="467">
        <f t="shared" ref="AC138" si="24">AC137-AC136</f>
        <v>0.30902777777777768</v>
      </c>
      <c r="AD138" s="467"/>
      <c r="AE138" s="467"/>
      <c r="AF138" s="467"/>
    </row>
    <row r="139" spans="2:48" x14ac:dyDescent="0.25">
      <c r="B139" s="467"/>
      <c r="C139" s="467"/>
      <c r="D139" s="467"/>
      <c r="E139" s="467"/>
      <c r="F139" s="467"/>
      <c r="G139" s="467"/>
      <c r="H139" s="467"/>
      <c r="I139" s="467"/>
      <c r="J139" s="467"/>
      <c r="K139" s="467"/>
      <c r="L139" s="467"/>
      <c r="M139" s="467"/>
      <c r="N139" s="467"/>
      <c r="O139" s="467"/>
      <c r="P139" s="467"/>
      <c r="Q139" s="467"/>
      <c r="R139" s="467"/>
      <c r="S139" s="467"/>
      <c r="T139" s="467"/>
      <c r="U139" s="467"/>
      <c r="V139" s="467"/>
      <c r="W139" s="467"/>
      <c r="X139" s="467"/>
      <c r="Y139" s="467"/>
      <c r="Z139" s="467"/>
      <c r="AA139" s="467"/>
      <c r="AB139" s="467"/>
      <c r="AC139" s="467"/>
      <c r="AD139" s="467"/>
      <c r="AE139" s="467"/>
      <c r="AF139" s="467"/>
    </row>
    <row r="140" spans="2:48" x14ac:dyDescent="0.25">
      <c r="B140" s="388" t="s">
        <v>680</v>
      </c>
      <c r="C140" s="533" t="s">
        <v>850</v>
      </c>
      <c r="D140" s="467"/>
      <c r="E140" s="467"/>
      <c r="F140" s="467"/>
      <c r="G140" s="467"/>
      <c r="H140" s="467"/>
      <c r="I140" s="467"/>
      <c r="J140" s="467"/>
      <c r="K140" s="467"/>
      <c r="L140" s="467"/>
      <c r="M140" s="467"/>
      <c r="N140" s="467"/>
      <c r="O140" s="467"/>
      <c r="P140" s="467"/>
      <c r="Q140" s="467"/>
      <c r="R140" s="467"/>
      <c r="S140" s="467"/>
      <c r="T140" s="467"/>
      <c r="U140" s="467"/>
      <c r="V140" s="467"/>
      <c r="W140" s="467"/>
      <c r="X140" s="467"/>
      <c r="Y140" s="467"/>
      <c r="Z140" s="467"/>
      <c r="AA140" s="467"/>
      <c r="AB140" s="467"/>
      <c r="AC140" s="467"/>
      <c r="AD140" s="467"/>
      <c r="AE140" s="467"/>
      <c r="AF140" s="467"/>
    </row>
    <row r="141" spans="2:48" x14ac:dyDescent="0.25">
      <c r="B141" s="467"/>
      <c r="C141" s="467"/>
      <c r="D141" s="467"/>
      <c r="E141" s="467"/>
      <c r="F141" s="467"/>
      <c r="G141" s="467"/>
      <c r="H141" s="467"/>
      <c r="I141" s="467"/>
      <c r="J141" s="467"/>
      <c r="K141" s="467"/>
      <c r="L141" s="467"/>
      <c r="M141" s="467"/>
      <c r="N141" s="467"/>
      <c r="O141" s="467"/>
      <c r="P141" s="467"/>
      <c r="Q141" s="467"/>
      <c r="R141" s="467"/>
      <c r="S141" s="467"/>
      <c r="T141" s="467"/>
      <c r="U141" s="467"/>
      <c r="V141" s="467"/>
      <c r="W141" s="467"/>
      <c r="X141" s="467"/>
      <c r="Y141" s="467"/>
      <c r="Z141" s="467"/>
      <c r="AA141" s="467"/>
      <c r="AB141" s="467"/>
      <c r="AC141" s="467"/>
      <c r="AD141" s="467"/>
      <c r="AE141" s="467"/>
      <c r="AF141" s="467"/>
    </row>
    <row r="142" spans="2:48" x14ac:dyDescent="0.25">
      <c r="B142" s="467"/>
      <c r="C142" s="467"/>
      <c r="D142" s="467"/>
      <c r="E142" s="467"/>
      <c r="F142" s="467"/>
      <c r="G142" s="467"/>
      <c r="H142" s="467"/>
      <c r="I142" s="467"/>
      <c r="J142" s="467"/>
      <c r="K142" s="467"/>
      <c r="L142" s="467"/>
      <c r="M142" s="467"/>
      <c r="N142" s="467"/>
      <c r="O142" s="467"/>
      <c r="P142" s="467"/>
      <c r="Q142" s="467"/>
      <c r="R142" s="467"/>
      <c r="S142" s="467"/>
      <c r="T142" s="467"/>
      <c r="U142" s="467"/>
      <c r="V142" s="467"/>
      <c r="W142" s="467"/>
      <c r="X142" s="467"/>
      <c r="Y142" s="467"/>
      <c r="Z142" s="467"/>
      <c r="AA142" s="467"/>
      <c r="AB142" s="467"/>
      <c r="AC142" s="467"/>
      <c r="AD142" s="467"/>
      <c r="AE142" s="467"/>
      <c r="AF142" s="467"/>
    </row>
    <row r="143" spans="2:48" x14ac:dyDescent="0.25">
      <c r="B143" s="467"/>
      <c r="C143" s="467"/>
      <c r="D143" s="467"/>
      <c r="E143" s="467"/>
      <c r="F143" s="467"/>
      <c r="G143" s="467"/>
      <c r="H143" s="467"/>
      <c r="I143" s="467"/>
      <c r="J143" s="467"/>
      <c r="K143" s="467"/>
      <c r="L143" s="467"/>
      <c r="M143" s="467"/>
      <c r="N143" s="467"/>
      <c r="O143" s="467"/>
      <c r="P143" s="467"/>
      <c r="Q143" s="467"/>
      <c r="R143" s="467"/>
      <c r="S143" s="467"/>
      <c r="T143" s="467"/>
      <c r="U143" s="467"/>
      <c r="V143" s="467"/>
      <c r="W143" s="467"/>
      <c r="X143" s="467"/>
      <c r="Y143" s="467"/>
      <c r="Z143" s="467"/>
      <c r="AA143" s="467"/>
      <c r="AB143" s="467"/>
      <c r="AC143" s="467"/>
      <c r="AD143" s="467"/>
      <c r="AE143" s="467"/>
      <c r="AF143" s="467"/>
    </row>
    <row r="144" spans="2:48" x14ac:dyDescent="0.25">
      <c r="B144" s="467"/>
      <c r="C144" s="467"/>
      <c r="D144" s="467"/>
      <c r="E144" s="467"/>
      <c r="F144" s="467"/>
      <c r="G144" s="467"/>
      <c r="H144" s="467"/>
      <c r="I144" s="467"/>
      <c r="J144" s="467"/>
      <c r="K144" s="467"/>
      <c r="L144" s="467"/>
      <c r="M144" s="467"/>
      <c r="N144" s="467"/>
      <c r="O144" s="467"/>
      <c r="P144" s="467"/>
      <c r="Q144" s="467"/>
      <c r="R144" s="467"/>
      <c r="S144" s="467"/>
      <c r="T144" s="467"/>
      <c r="U144" s="467"/>
      <c r="V144" s="467"/>
      <c r="W144" s="467"/>
      <c r="X144" s="467"/>
      <c r="Y144" s="467"/>
      <c r="Z144" s="467"/>
      <c r="AA144" s="467"/>
      <c r="AB144" s="467"/>
      <c r="AC144" s="467"/>
      <c r="AD144" s="467"/>
      <c r="AE144" s="467"/>
      <c r="AF144" s="467"/>
    </row>
    <row r="145" spans="2:32" x14ac:dyDescent="0.25">
      <c r="B145" s="467"/>
      <c r="C145" s="467"/>
      <c r="D145" s="467"/>
      <c r="E145" s="467"/>
      <c r="F145" s="467"/>
      <c r="G145" s="467"/>
      <c r="H145" s="467"/>
      <c r="I145" s="467"/>
      <c r="J145" s="467"/>
      <c r="K145" s="467"/>
      <c r="L145" s="467"/>
      <c r="M145" s="467"/>
      <c r="N145" s="467"/>
      <c r="O145" s="467"/>
      <c r="P145" s="467"/>
      <c r="Q145" s="467"/>
      <c r="R145" s="467"/>
      <c r="S145" s="467"/>
      <c r="T145" s="467"/>
      <c r="U145" s="467"/>
      <c r="V145" s="467"/>
      <c r="W145" s="467"/>
      <c r="X145" s="467"/>
      <c r="Y145" s="467"/>
      <c r="Z145" s="467"/>
      <c r="AA145" s="467"/>
      <c r="AB145" s="467"/>
      <c r="AC145" s="467"/>
      <c r="AD145" s="467"/>
      <c r="AE145" s="467"/>
      <c r="AF145" s="467"/>
    </row>
    <row r="146" spans="2:32" x14ac:dyDescent="0.25">
      <c r="B146" s="467"/>
      <c r="C146" s="467"/>
      <c r="D146" s="467"/>
      <c r="E146" s="467"/>
      <c r="F146" s="467"/>
      <c r="G146" s="467"/>
      <c r="H146" s="467"/>
      <c r="I146" s="467"/>
      <c r="J146" s="467"/>
      <c r="K146" s="467"/>
      <c r="L146" s="467"/>
      <c r="M146" s="467"/>
      <c r="N146" s="467"/>
      <c r="O146" s="467"/>
      <c r="P146" s="467"/>
      <c r="Q146" s="467"/>
      <c r="R146" s="467"/>
      <c r="S146" s="467"/>
      <c r="T146" s="467"/>
      <c r="U146" s="467"/>
      <c r="V146" s="467"/>
      <c r="W146" s="467"/>
      <c r="X146" s="467"/>
      <c r="Y146" s="467"/>
      <c r="Z146" s="467"/>
      <c r="AA146" s="467"/>
      <c r="AB146" s="467"/>
      <c r="AC146" s="467"/>
      <c r="AD146" s="467"/>
      <c r="AE146" s="467"/>
      <c r="AF146" s="467"/>
    </row>
    <row r="147" spans="2:32" x14ac:dyDescent="0.25">
      <c r="B147" s="467"/>
      <c r="C147" s="467"/>
      <c r="D147" s="467"/>
      <c r="E147" s="467"/>
      <c r="F147" s="467"/>
      <c r="G147" s="467"/>
      <c r="H147" s="467"/>
      <c r="I147" s="467"/>
      <c r="J147" s="467"/>
      <c r="K147" s="467"/>
      <c r="L147" s="467"/>
      <c r="M147" s="467"/>
      <c r="N147" s="467"/>
      <c r="O147" s="467"/>
      <c r="P147" s="467"/>
      <c r="Q147" s="467"/>
      <c r="R147" s="467"/>
      <c r="S147" s="467"/>
      <c r="T147" s="467"/>
      <c r="U147" s="467"/>
      <c r="V147" s="467"/>
      <c r="W147" s="467"/>
      <c r="X147" s="467"/>
      <c r="Y147" s="467"/>
      <c r="Z147" s="467"/>
      <c r="AA147" s="467"/>
      <c r="AB147" s="467"/>
      <c r="AC147" s="467"/>
      <c r="AD147" s="467"/>
      <c r="AE147" s="467"/>
      <c r="AF147" s="467"/>
    </row>
    <row r="148" spans="2:32" x14ac:dyDescent="0.25">
      <c r="B148" s="467"/>
      <c r="C148" s="467"/>
      <c r="D148" s="467"/>
      <c r="E148" s="467"/>
      <c r="F148" s="467"/>
      <c r="G148" s="467"/>
      <c r="H148" s="467"/>
      <c r="I148" s="467"/>
      <c r="J148" s="467"/>
      <c r="K148" s="467"/>
      <c r="L148" s="467"/>
      <c r="M148" s="467"/>
      <c r="N148" s="467"/>
      <c r="O148" s="467"/>
      <c r="P148" s="467"/>
      <c r="Q148" s="467"/>
      <c r="R148" s="467"/>
      <c r="S148" s="467"/>
      <c r="T148" s="467"/>
      <c r="U148" s="467"/>
      <c r="V148" s="467"/>
      <c r="W148" s="467"/>
      <c r="X148" s="467"/>
      <c r="Y148" s="467"/>
      <c r="Z148" s="467"/>
      <c r="AA148" s="467"/>
      <c r="AB148" s="467"/>
      <c r="AC148" s="467"/>
      <c r="AD148" s="467"/>
      <c r="AE148" s="467"/>
      <c r="AF148" s="467"/>
    </row>
    <row r="149" spans="2:32" x14ac:dyDescent="0.25">
      <c r="B149" s="467"/>
      <c r="C149" s="467"/>
      <c r="D149" s="467"/>
      <c r="E149" s="467"/>
      <c r="F149" s="467"/>
      <c r="G149" s="467"/>
      <c r="H149" s="467"/>
      <c r="I149" s="467"/>
      <c r="J149" s="467"/>
      <c r="K149" s="467"/>
      <c r="L149" s="467"/>
      <c r="M149" s="467"/>
      <c r="N149" s="467"/>
      <c r="O149" s="467"/>
      <c r="P149" s="467"/>
      <c r="Q149" s="467"/>
      <c r="R149" s="467"/>
      <c r="S149" s="467"/>
      <c r="T149" s="467"/>
      <c r="U149" s="467"/>
      <c r="V149" s="467"/>
      <c r="W149" s="467"/>
      <c r="X149" s="467"/>
      <c r="Y149" s="467"/>
      <c r="Z149" s="467"/>
      <c r="AA149" s="467"/>
      <c r="AB149" s="467"/>
      <c r="AC149" s="467"/>
      <c r="AD149" s="467"/>
      <c r="AE149" s="467"/>
      <c r="AF149" s="467"/>
    </row>
    <row r="150" spans="2:32" x14ac:dyDescent="0.25">
      <c r="B150" s="467"/>
      <c r="C150" s="467"/>
      <c r="D150" s="467"/>
      <c r="E150" s="467"/>
      <c r="F150" s="467"/>
      <c r="G150" s="467"/>
      <c r="H150" s="467"/>
      <c r="I150" s="467"/>
      <c r="J150" s="467"/>
      <c r="K150" s="467"/>
      <c r="L150" s="467"/>
      <c r="M150" s="467"/>
      <c r="N150" s="467"/>
      <c r="O150" s="467"/>
      <c r="P150" s="467"/>
      <c r="Q150" s="467"/>
      <c r="R150" s="467"/>
      <c r="S150" s="467"/>
      <c r="T150" s="467"/>
      <c r="U150" s="467"/>
      <c r="V150" s="467"/>
      <c r="W150" s="467"/>
      <c r="X150" s="467"/>
      <c r="Y150" s="467"/>
      <c r="Z150" s="467"/>
      <c r="AA150" s="467"/>
      <c r="AB150" s="467"/>
      <c r="AC150" s="467"/>
      <c r="AD150" s="467"/>
      <c r="AE150" s="467"/>
      <c r="AF150" s="467"/>
    </row>
    <row r="151" spans="2:32" x14ac:dyDescent="0.25">
      <c r="B151" s="467"/>
      <c r="C151" s="467"/>
      <c r="D151" s="467"/>
      <c r="E151" s="467"/>
      <c r="F151" s="467"/>
      <c r="G151" s="467"/>
      <c r="H151" s="467"/>
      <c r="I151" s="467"/>
      <c r="J151" s="467"/>
      <c r="K151" s="467"/>
      <c r="L151" s="467"/>
      <c r="M151" s="467"/>
      <c r="N151" s="467"/>
      <c r="O151" s="467"/>
      <c r="P151" s="467"/>
      <c r="Q151" s="467"/>
      <c r="R151" s="467"/>
      <c r="S151" s="467"/>
      <c r="T151" s="467"/>
      <c r="U151" s="467"/>
      <c r="V151" s="467"/>
      <c r="W151" s="467"/>
      <c r="X151" s="467"/>
      <c r="Y151" s="467"/>
      <c r="Z151" s="467"/>
      <c r="AA151" s="467"/>
      <c r="AB151" s="467"/>
      <c r="AC151" s="467"/>
      <c r="AD151" s="467"/>
      <c r="AE151" s="467"/>
      <c r="AF151" s="467"/>
    </row>
    <row r="152" spans="2:32" x14ac:dyDescent="0.25">
      <c r="B152" s="467"/>
      <c r="C152" s="467"/>
      <c r="D152" s="467"/>
      <c r="E152" s="467"/>
      <c r="F152" s="467"/>
      <c r="G152" s="467"/>
      <c r="H152" s="467"/>
      <c r="I152" s="467"/>
      <c r="J152" s="467"/>
      <c r="K152" s="467"/>
      <c r="L152" s="467"/>
      <c r="M152" s="467"/>
      <c r="N152" s="467"/>
      <c r="O152" s="467"/>
      <c r="P152" s="467"/>
      <c r="Q152" s="467"/>
      <c r="R152" s="467"/>
      <c r="S152" s="467"/>
      <c r="T152" s="467"/>
      <c r="U152" s="467"/>
      <c r="V152" s="467"/>
      <c r="W152" s="467"/>
      <c r="X152" s="467"/>
      <c r="Y152" s="467"/>
      <c r="Z152" s="467"/>
      <c r="AA152" s="467"/>
      <c r="AB152" s="467"/>
      <c r="AC152" s="467"/>
      <c r="AD152" s="467"/>
      <c r="AE152" s="467"/>
      <c r="AF152" s="467"/>
    </row>
    <row r="153" spans="2:32" x14ac:dyDescent="0.25">
      <c r="B153" s="467"/>
      <c r="C153" s="467"/>
      <c r="D153" s="467"/>
      <c r="E153" s="467"/>
      <c r="F153" s="467"/>
      <c r="G153" s="467"/>
      <c r="H153" s="467"/>
      <c r="I153" s="467"/>
      <c r="J153" s="467"/>
      <c r="K153" s="467"/>
      <c r="L153" s="467"/>
      <c r="M153" s="467"/>
      <c r="N153" s="467"/>
      <c r="O153" s="467"/>
      <c r="P153" s="467"/>
      <c r="Q153" s="467"/>
      <c r="R153" s="467"/>
      <c r="S153" s="467"/>
      <c r="T153" s="467"/>
      <c r="U153" s="467"/>
      <c r="V153" s="467"/>
      <c r="W153" s="467"/>
      <c r="X153" s="467"/>
      <c r="Y153" s="467"/>
      <c r="Z153" s="467"/>
      <c r="AA153" s="467"/>
      <c r="AB153" s="467"/>
      <c r="AC153" s="467"/>
      <c r="AD153" s="467"/>
      <c r="AE153" s="467"/>
      <c r="AF153" s="467"/>
    </row>
    <row r="154" spans="2:32" x14ac:dyDescent="0.25">
      <c r="B154" s="467"/>
      <c r="C154" s="467"/>
      <c r="D154" s="467"/>
      <c r="E154" s="467"/>
      <c r="F154" s="467"/>
      <c r="G154" s="467"/>
      <c r="H154" s="467"/>
      <c r="I154" s="467"/>
      <c r="J154" s="467"/>
      <c r="K154" s="467"/>
      <c r="L154" s="467"/>
      <c r="M154" s="467"/>
      <c r="N154" s="467"/>
      <c r="O154" s="467"/>
      <c r="P154" s="467"/>
      <c r="Q154" s="467"/>
      <c r="R154" s="467"/>
      <c r="S154" s="467"/>
      <c r="T154" s="467"/>
      <c r="U154" s="467"/>
      <c r="V154" s="467"/>
      <c r="W154" s="467"/>
      <c r="X154" s="467"/>
      <c r="Y154" s="467"/>
      <c r="Z154" s="467"/>
      <c r="AA154" s="467"/>
      <c r="AB154" s="467"/>
      <c r="AC154" s="467"/>
      <c r="AD154" s="467"/>
      <c r="AE154" s="467"/>
      <c r="AF154" s="467"/>
    </row>
    <row r="155" spans="2:32" x14ac:dyDescent="0.25">
      <c r="B155" s="467"/>
      <c r="C155" s="467"/>
      <c r="D155" s="467"/>
      <c r="E155" s="467"/>
      <c r="F155" s="467"/>
      <c r="G155" s="467"/>
      <c r="H155" s="467"/>
      <c r="I155" s="467"/>
      <c r="J155" s="467"/>
      <c r="K155" s="467"/>
      <c r="L155" s="467"/>
      <c r="M155" s="467"/>
      <c r="N155" s="467"/>
      <c r="O155" s="467"/>
      <c r="P155" s="467"/>
      <c r="Q155" s="467"/>
      <c r="R155" s="467"/>
      <c r="S155" s="467"/>
      <c r="T155" s="467"/>
      <c r="U155" s="467"/>
      <c r="V155" s="467"/>
      <c r="W155" s="467"/>
      <c r="X155" s="467"/>
      <c r="Y155" s="467"/>
      <c r="Z155" s="467"/>
      <c r="AA155" s="467"/>
      <c r="AB155" s="467"/>
      <c r="AC155" s="467"/>
      <c r="AD155" s="467"/>
      <c r="AE155" s="467"/>
      <c r="AF155" s="467"/>
    </row>
    <row r="156" spans="2:32" x14ac:dyDescent="0.25">
      <c r="B156" s="467"/>
      <c r="C156" s="467"/>
      <c r="D156" s="467"/>
      <c r="E156" s="467"/>
      <c r="F156" s="467"/>
      <c r="G156" s="467"/>
      <c r="H156" s="467"/>
      <c r="I156" s="467"/>
      <c r="J156" s="467"/>
      <c r="K156" s="467"/>
      <c r="L156" s="467"/>
      <c r="M156" s="467"/>
      <c r="N156" s="467"/>
      <c r="O156" s="467"/>
      <c r="P156" s="467"/>
      <c r="Q156" s="467"/>
      <c r="R156" s="467"/>
      <c r="S156" s="467"/>
      <c r="T156" s="467"/>
      <c r="U156" s="467"/>
      <c r="V156" s="467"/>
      <c r="W156" s="467"/>
      <c r="X156" s="467"/>
      <c r="Y156" s="467"/>
      <c r="Z156" s="467"/>
      <c r="AA156" s="467"/>
      <c r="AB156" s="467"/>
      <c r="AC156" s="467"/>
      <c r="AD156" s="467"/>
      <c r="AE156" s="467"/>
      <c r="AF156" s="467"/>
    </row>
    <row r="157" spans="2:32" x14ac:dyDescent="0.25">
      <c r="B157" s="467"/>
      <c r="C157" s="467"/>
      <c r="D157" s="467"/>
      <c r="E157" s="467"/>
      <c r="F157" s="467"/>
      <c r="G157" s="467"/>
      <c r="H157" s="467"/>
      <c r="I157" s="467"/>
      <c r="J157" s="467"/>
      <c r="K157" s="467"/>
      <c r="L157" s="467"/>
      <c r="M157" s="467"/>
      <c r="N157" s="467"/>
      <c r="O157" s="467"/>
      <c r="P157" s="467"/>
      <c r="Q157" s="467"/>
      <c r="R157" s="467"/>
      <c r="S157" s="467"/>
      <c r="T157" s="467"/>
      <c r="U157" s="467"/>
      <c r="V157" s="467"/>
      <c r="W157" s="467"/>
      <c r="X157" s="467"/>
      <c r="Y157" s="467"/>
      <c r="Z157" s="467"/>
      <c r="AA157" s="467"/>
      <c r="AB157" s="467"/>
      <c r="AC157" s="467"/>
      <c r="AD157" s="467"/>
      <c r="AE157" s="467"/>
      <c r="AF157" s="467"/>
    </row>
    <row r="158" spans="2:32" x14ac:dyDescent="0.25">
      <c r="B158" s="467"/>
      <c r="C158" s="467"/>
      <c r="D158" s="467"/>
      <c r="E158" s="467"/>
      <c r="F158" s="467"/>
      <c r="G158" s="467"/>
      <c r="H158" s="467"/>
      <c r="I158" s="467"/>
      <c r="J158" s="467"/>
      <c r="K158" s="467"/>
      <c r="L158" s="467"/>
      <c r="M158" s="467"/>
      <c r="N158" s="467"/>
      <c r="O158" s="467"/>
      <c r="P158" s="467"/>
      <c r="Q158" s="467"/>
      <c r="R158" s="467"/>
      <c r="S158" s="467"/>
      <c r="T158" s="467"/>
      <c r="U158" s="467"/>
      <c r="V158" s="467"/>
      <c r="W158" s="467"/>
      <c r="X158" s="467"/>
      <c r="Y158" s="467"/>
      <c r="Z158" s="467"/>
      <c r="AA158" s="467"/>
      <c r="AB158" s="467"/>
      <c r="AC158" s="467"/>
      <c r="AD158" s="467"/>
      <c r="AE158" s="467"/>
      <c r="AF158" s="467"/>
    </row>
    <row r="159" spans="2:32" x14ac:dyDescent="0.25">
      <c r="B159" s="467"/>
      <c r="C159" s="467"/>
      <c r="D159" s="467"/>
      <c r="E159" s="467"/>
      <c r="F159" s="467"/>
      <c r="G159" s="467"/>
      <c r="H159" s="467"/>
      <c r="I159" s="467"/>
      <c r="J159" s="467"/>
      <c r="K159" s="467"/>
      <c r="L159" s="467"/>
      <c r="M159" s="467"/>
      <c r="N159" s="467"/>
      <c r="O159" s="467"/>
      <c r="P159" s="467"/>
      <c r="Q159" s="467"/>
      <c r="R159" s="467"/>
      <c r="S159" s="467"/>
      <c r="T159" s="467"/>
      <c r="U159" s="467"/>
      <c r="V159" s="467"/>
      <c r="W159" s="467"/>
      <c r="X159" s="467"/>
      <c r="Y159" s="467"/>
      <c r="Z159" s="467"/>
      <c r="AA159" s="467"/>
      <c r="AB159" s="467"/>
      <c r="AC159" s="467"/>
      <c r="AD159" s="467"/>
      <c r="AE159" s="467"/>
      <c r="AF159" s="467"/>
    </row>
    <row r="160" spans="2:32" x14ac:dyDescent="0.25">
      <c r="B160" s="467"/>
      <c r="C160" s="467"/>
      <c r="D160" s="467"/>
      <c r="E160" s="467"/>
      <c r="F160" s="467"/>
      <c r="G160" s="467"/>
      <c r="H160" s="467"/>
      <c r="I160" s="467"/>
      <c r="J160" s="467"/>
      <c r="K160" s="467"/>
      <c r="L160" s="467"/>
      <c r="M160" s="467"/>
      <c r="N160" s="467"/>
      <c r="O160" s="467"/>
      <c r="P160" s="467"/>
      <c r="Q160" s="467"/>
      <c r="R160" s="467"/>
      <c r="S160" s="467"/>
      <c r="T160" s="467"/>
      <c r="U160" s="467"/>
      <c r="V160" s="467"/>
      <c r="W160" s="467"/>
      <c r="X160" s="467"/>
      <c r="Y160" s="467"/>
      <c r="Z160" s="467"/>
      <c r="AA160" s="467"/>
      <c r="AB160" s="467"/>
      <c r="AC160" s="467"/>
      <c r="AD160" s="467"/>
      <c r="AE160" s="467"/>
      <c r="AF160" s="467"/>
    </row>
    <row r="161" spans="2:32" x14ac:dyDescent="0.25">
      <c r="B161" s="467"/>
      <c r="C161" s="467"/>
      <c r="D161" s="467"/>
      <c r="E161" s="467"/>
      <c r="F161" s="467"/>
      <c r="G161" s="467"/>
      <c r="H161" s="467"/>
      <c r="I161" s="467"/>
      <c r="J161" s="467"/>
      <c r="K161" s="467"/>
      <c r="L161" s="467"/>
      <c r="M161" s="467"/>
      <c r="N161" s="467"/>
      <c r="O161" s="467"/>
      <c r="P161" s="467"/>
      <c r="Q161" s="467"/>
      <c r="R161" s="467"/>
      <c r="S161" s="467"/>
      <c r="T161" s="467"/>
      <c r="U161" s="467"/>
      <c r="V161" s="467"/>
      <c r="W161" s="467"/>
      <c r="X161" s="467"/>
      <c r="Y161" s="467"/>
      <c r="Z161" s="467"/>
      <c r="AA161" s="467"/>
      <c r="AB161" s="467"/>
      <c r="AC161" s="467"/>
      <c r="AD161" s="467"/>
      <c r="AE161" s="467"/>
      <c r="AF161" s="467"/>
    </row>
    <row r="162" spans="2:32" x14ac:dyDescent="0.25">
      <c r="B162" s="467"/>
      <c r="C162" s="467"/>
      <c r="D162" s="467"/>
      <c r="E162" s="467"/>
      <c r="F162" s="467"/>
      <c r="G162" s="467"/>
      <c r="H162" s="467"/>
      <c r="I162" s="467"/>
      <c r="J162" s="467"/>
      <c r="K162" s="467"/>
      <c r="L162" s="467"/>
      <c r="M162" s="467"/>
      <c r="N162" s="467"/>
      <c r="O162" s="467"/>
      <c r="P162" s="467"/>
      <c r="Q162" s="467"/>
      <c r="R162" s="467"/>
      <c r="S162" s="467"/>
      <c r="T162" s="467"/>
      <c r="U162" s="467"/>
      <c r="V162" s="467"/>
      <c r="W162" s="467"/>
      <c r="X162" s="467"/>
      <c r="Y162" s="467"/>
      <c r="Z162" s="467"/>
      <c r="AA162" s="467"/>
      <c r="AB162" s="467"/>
      <c r="AC162" s="467"/>
      <c r="AD162" s="467"/>
      <c r="AE162" s="467"/>
      <c r="AF162" s="467"/>
    </row>
    <row r="163" spans="2:32" x14ac:dyDescent="0.25">
      <c r="B163" s="467"/>
      <c r="C163" s="467"/>
      <c r="D163" s="467"/>
      <c r="E163" s="467"/>
      <c r="F163" s="467"/>
      <c r="G163" s="467"/>
      <c r="H163" s="467"/>
      <c r="I163" s="467"/>
      <c r="J163" s="467"/>
      <c r="K163" s="467"/>
      <c r="L163" s="467"/>
      <c r="M163" s="467"/>
      <c r="N163" s="467"/>
      <c r="O163" s="467"/>
      <c r="P163" s="467"/>
      <c r="Q163" s="467"/>
      <c r="R163" s="467"/>
      <c r="S163" s="467"/>
      <c r="T163" s="467"/>
      <c r="U163" s="467"/>
      <c r="V163" s="467"/>
      <c r="W163" s="467"/>
      <c r="X163" s="467"/>
      <c r="Y163" s="467"/>
      <c r="Z163" s="467"/>
      <c r="AA163" s="467"/>
      <c r="AB163" s="467"/>
      <c r="AC163" s="467"/>
      <c r="AD163" s="467"/>
      <c r="AE163" s="467"/>
      <c r="AF163" s="467"/>
    </row>
    <row r="164" spans="2:32" x14ac:dyDescent="0.25">
      <c r="B164" s="467"/>
      <c r="C164" s="467"/>
      <c r="D164" s="467"/>
      <c r="E164" s="467"/>
      <c r="F164" s="467"/>
      <c r="G164" s="467"/>
      <c r="H164" s="467"/>
      <c r="I164" s="467"/>
      <c r="J164" s="467"/>
      <c r="K164" s="467"/>
      <c r="L164" s="467"/>
      <c r="M164" s="467"/>
      <c r="N164" s="467"/>
      <c r="O164" s="467"/>
      <c r="P164" s="467"/>
      <c r="Q164" s="467"/>
      <c r="R164" s="467"/>
      <c r="S164" s="467"/>
      <c r="T164" s="467"/>
      <c r="U164" s="467"/>
      <c r="V164" s="467"/>
      <c r="W164" s="467"/>
      <c r="X164" s="467"/>
      <c r="Y164" s="467"/>
      <c r="Z164" s="467"/>
      <c r="AA164" s="467"/>
      <c r="AB164" s="467"/>
      <c r="AC164" s="467"/>
      <c r="AD164" s="467"/>
      <c r="AE164" s="467"/>
      <c r="AF164" s="467"/>
    </row>
    <row r="165" spans="2:32" x14ac:dyDescent="0.25">
      <c r="B165" s="467"/>
      <c r="C165" s="467"/>
      <c r="D165" s="467"/>
      <c r="E165" s="467"/>
      <c r="F165" s="467"/>
      <c r="G165" s="467"/>
      <c r="H165" s="467"/>
      <c r="I165" s="467"/>
      <c r="J165" s="467"/>
      <c r="K165" s="467"/>
      <c r="L165" s="467"/>
      <c r="M165" s="467"/>
      <c r="N165" s="467"/>
      <c r="O165" s="467"/>
      <c r="P165" s="467"/>
      <c r="Q165" s="467"/>
      <c r="R165" s="467"/>
      <c r="S165" s="467"/>
      <c r="T165" s="467"/>
      <c r="U165" s="467"/>
      <c r="V165" s="467"/>
      <c r="W165" s="467"/>
      <c r="X165" s="467"/>
      <c r="Y165" s="467"/>
      <c r="Z165" s="467"/>
      <c r="AA165" s="467"/>
      <c r="AB165" s="467"/>
      <c r="AC165" s="467"/>
      <c r="AD165" s="467"/>
      <c r="AE165" s="467"/>
      <c r="AF165" s="467"/>
    </row>
    <row r="166" spans="2:32" x14ac:dyDescent="0.25">
      <c r="B166" s="467"/>
      <c r="C166" s="467"/>
      <c r="D166" s="467"/>
      <c r="E166" s="467"/>
      <c r="F166" s="467"/>
      <c r="G166" s="467"/>
      <c r="H166" s="467"/>
      <c r="I166" s="467"/>
      <c r="J166" s="467"/>
      <c r="K166" s="467"/>
      <c r="L166" s="467"/>
      <c r="M166" s="467"/>
      <c r="N166" s="467"/>
      <c r="O166" s="467"/>
      <c r="P166" s="467"/>
      <c r="Q166" s="467"/>
      <c r="R166" s="467"/>
      <c r="S166" s="467"/>
      <c r="T166" s="467"/>
      <c r="U166" s="467"/>
      <c r="V166" s="467"/>
      <c r="W166" s="467"/>
      <c r="X166" s="467"/>
      <c r="Y166" s="467"/>
      <c r="Z166" s="467"/>
      <c r="AA166" s="467"/>
      <c r="AB166" s="467"/>
      <c r="AC166" s="467"/>
      <c r="AD166" s="467"/>
      <c r="AE166" s="467"/>
      <c r="AF166" s="467"/>
    </row>
    <row r="167" spans="2:32" x14ac:dyDescent="0.25">
      <c r="B167" s="408"/>
      <c r="C167" s="408"/>
      <c r="D167" s="408"/>
      <c r="E167" s="408"/>
      <c r="F167" s="408"/>
      <c r="G167" s="408"/>
      <c r="H167" s="408"/>
      <c r="I167" s="408"/>
      <c r="J167" s="408"/>
      <c r="K167" s="408"/>
      <c r="L167" s="408"/>
      <c r="M167" s="408"/>
      <c r="N167" s="408"/>
      <c r="O167" s="408"/>
      <c r="P167" s="408"/>
      <c r="Q167" s="408"/>
      <c r="R167" s="408"/>
      <c r="S167" s="408"/>
      <c r="T167" s="408"/>
      <c r="U167" s="408"/>
      <c r="V167" s="408"/>
      <c r="W167" s="408"/>
      <c r="X167" s="408"/>
      <c r="Y167" s="408"/>
      <c r="Z167" s="408"/>
      <c r="AA167" s="408"/>
      <c r="AB167" s="408"/>
      <c r="AC167" s="408"/>
      <c r="AD167" s="408"/>
      <c r="AE167" s="408"/>
      <c r="AF167" s="408"/>
    </row>
    <row r="168" spans="2:32" x14ac:dyDescent="0.25">
      <c r="B168" s="408"/>
      <c r="C168" s="408"/>
      <c r="D168" s="408"/>
      <c r="E168" s="408"/>
      <c r="F168" s="408"/>
      <c r="G168" s="408"/>
      <c r="H168" s="408"/>
      <c r="I168" s="408"/>
      <c r="J168" s="408"/>
      <c r="K168" s="408"/>
      <c r="L168" s="408"/>
      <c r="M168" s="408"/>
      <c r="N168" s="408"/>
      <c r="O168" s="408"/>
      <c r="P168" s="408"/>
      <c r="Q168" s="408"/>
      <c r="R168" s="408"/>
      <c r="S168" s="408"/>
      <c r="T168" s="408"/>
      <c r="U168" s="408"/>
      <c r="V168" s="408"/>
      <c r="W168" s="408"/>
      <c r="X168" s="408"/>
      <c r="Y168" s="408"/>
      <c r="Z168" s="408"/>
      <c r="AA168" s="408"/>
      <c r="AB168" s="408"/>
      <c r="AC168" s="408"/>
      <c r="AD168" s="408"/>
      <c r="AE168" s="408"/>
      <c r="AF168" s="408"/>
    </row>
    <row r="169" spans="2:32" x14ac:dyDescent="0.25">
      <c r="B169" s="408"/>
      <c r="C169" s="408"/>
      <c r="D169" s="408"/>
      <c r="E169" s="408"/>
      <c r="F169" s="408"/>
      <c r="G169" s="408"/>
      <c r="H169" s="408"/>
      <c r="I169" s="408"/>
      <c r="J169" s="408"/>
      <c r="K169" s="408"/>
      <c r="L169" s="408"/>
      <c r="M169" s="408"/>
      <c r="N169" s="408"/>
      <c r="O169" s="408"/>
      <c r="P169" s="408"/>
      <c r="Q169" s="408"/>
      <c r="R169" s="408"/>
      <c r="S169" s="408"/>
      <c r="T169" s="408"/>
      <c r="U169" s="408"/>
      <c r="V169" s="408"/>
      <c r="W169" s="408"/>
      <c r="X169" s="408"/>
      <c r="Y169" s="408"/>
      <c r="Z169" s="408"/>
      <c r="AA169" s="408"/>
      <c r="AB169" s="408"/>
      <c r="AC169" s="408"/>
      <c r="AD169" s="408"/>
      <c r="AE169" s="408"/>
      <c r="AF169" s="408"/>
    </row>
    <row r="170" spans="2:32" x14ac:dyDescent="0.25">
      <c r="B170" s="408"/>
      <c r="C170" s="408"/>
      <c r="D170" s="408"/>
      <c r="E170" s="408"/>
      <c r="F170" s="408"/>
      <c r="G170" s="408"/>
      <c r="H170" s="408"/>
      <c r="I170" s="408"/>
      <c r="J170" s="408"/>
      <c r="K170" s="408"/>
      <c r="L170" s="408"/>
      <c r="M170" s="408"/>
      <c r="N170" s="408"/>
      <c r="O170" s="408"/>
      <c r="P170" s="408"/>
      <c r="Q170" s="408"/>
      <c r="R170" s="408"/>
      <c r="S170" s="408"/>
      <c r="T170" s="408"/>
      <c r="U170" s="408"/>
      <c r="V170" s="408"/>
      <c r="W170" s="408"/>
      <c r="X170" s="408"/>
      <c r="Y170" s="408"/>
      <c r="Z170" s="408"/>
      <c r="AA170" s="408"/>
      <c r="AB170" s="408"/>
      <c r="AC170" s="408"/>
      <c r="AD170" s="408"/>
      <c r="AE170" s="408"/>
      <c r="AF170" s="408"/>
    </row>
    <row r="171" spans="2:32" x14ac:dyDescent="0.25">
      <c r="B171" s="408"/>
      <c r="C171" s="408"/>
      <c r="D171" s="408"/>
      <c r="E171" s="408"/>
      <c r="F171" s="408"/>
      <c r="G171" s="408"/>
      <c r="H171" s="408"/>
      <c r="I171" s="408"/>
      <c r="J171" s="408"/>
      <c r="K171" s="408"/>
      <c r="L171" s="408"/>
      <c r="M171" s="408"/>
      <c r="N171" s="408"/>
      <c r="O171" s="408"/>
      <c r="P171" s="408"/>
      <c r="Q171" s="408"/>
      <c r="R171" s="408"/>
      <c r="S171" s="408"/>
      <c r="T171" s="408"/>
      <c r="U171" s="408"/>
      <c r="V171" s="408"/>
      <c r="W171" s="408"/>
      <c r="X171" s="408"/>
      <c r="Y171" s="408"/>
      <c r="Z171" s="408"/>
      <c r="AA171" s="408"/>
      <c r="AB171" s="408"/>
      <c r="AC171" s="408"/>
      <c r="AD171" s="408"/>
      <c r="AE171" s="408"/>
      <c r="AF171" s="408"/>
    </row>
    <row r="172" spans="2:32" x14ac:dyDescent="0.25">
      <c r="B172" s="408"/>
      <c r="C172" s="408"/>
      <c r="D172" s="408"/>
      <c r="E172" s="408"/>
      <c r="F172" s="408"/>
      <c r="G172" s="408"/>
      <c r="H172" s="408"/>
      <c r="I172" s="408"/>
      <c r="J172" s="408"/>
      <c r="K172" s="408"/>
      <c r="L172" s="408"/>
      <c r="M172" s="408"/>
      <c r="N172" s="408"/>
      <c r="O172" s="408"/>
      <c r="P172" s="408"/>
      <c r="Q172" s="408"/>
      <c r="R172" s="408"/>
      <c r="S172" s="408"/>
      <c r="T172" s="408"/>
      <c r="U172" s="408"/>
      <c r="V172" s="408"/>
      <c r="W172" s="408"/>
      <c r="X172" s="408"/>
      <c r="Y172" s="408"/>
      <c r="Z172" s="408"/>
      <c r="AA172" s="408"/>
      <c r="AB172" s="408"/>
      <c r="AC172" s="408"/>
      <c r="AD172" s="408"/>
      <c r="AE172" s="408"/>
      <c r="AF172" s="408"/>
    </row>
    <row r="173" spans="2:32" x14ac:dyDescent="0.25">
      <c r="B173" s="408"/>
      <c r="C173" s="408"/>
      <c r="D173" s="408"/>
      <c r="E173" s="408"/>
      <c r="F173" s="408"/>
      <c r="G173" s="408"/>
      <c r="H173" s="408"/>
      <c r="I173" s="408"/>
      <c r="J173" s="408"/>
      <c r="K173" s="408"/>
      <c r="L173" s="408"/>
      <c r="M173" s="408"/>
      <c r="N173" s="408"/>
      <c r="O173" s="408"/>
      <c r="P173" s="408"/>
      <c r="Q173" s="408"/>
      <c r="R173" s="408"/>
      <c r="S173" s="408"/>
      <c r="T173" s="408"/>
      <c r="U173" s="408"/>
      <c r="V173" s="408"/>
      <c r="W173" s="408"/>
      <c r="X173" s="408"/>
      <c r="Y173" s="408"/>
      <c r="Z173" s="408"/>
      <c r="AA173" s="408"/>
      <c r="AB173" s="408"/>
      <c r="AC173" s="408"/>
      <c r="AD173" s="408"/>
      <c r="AE173" s="408"/>
      <c r="AF173" s="408"/>
    </row>
    <row r="174" spans="2:32" x14ac:dyDescent="0.25">
      <c r="B174" s="408"/>
      <c r="C174" s="408"/>
      <c r="D174" s="408"/>
      <c r="E174" s="408"/>
      <c r="F174" s="408"/>
      <c r="G174" s="408"/>
      <c r="H174" s="408"/>
      <c r="I174" s="408"/>
      <c r="J174" s="408"/>
      <c r="K174" s="408"/>
      <c r="L174" s="408"/>
      <c r="M174" s="408"/>
      <c r="N174" s="408"/>
      <c r="O174" s="408"/>
      <c r="P174" s="408"/>
      <c r="Q174" s="408"/>
      <c r="R174" s="408"/>
      <c r="S174" s="408"/>
      <c r="T174" s="408"/>
      <c r="U174" s="408"/>
      <c r="V174" s="408"/>
      <c r="W174" s="408"/>
      <c r="X174" s="408"/>
      <c r="Y174" s="408"/>
      <c r="Z174" s="408"/>
      <c r="AA174" s="408"/>
      <c r="AB174" s="408"/>
      <c r="AC174" s="408"/>
      <c r="AD174" s="408"/>
      <c r="AE174" s="408"/>
      <c r="AF174" s="408"/>
    </row>
    <row r="175" spans="2:32" x14ac:dyDescent="0.25">
      <c r="B175" s="408"/>
      <c r="C175" s="408"/>
      <c r="D175" s="408"/>
      <c r="E175" s="408"/>
      <c r="F175" s="408"/>
      <c r="G175" s="408"/>
      <c r="H175" s="408"/>
      <c r="I175" s="408"/>
      <c r="J175" s="408"/>
      <c r="K175" s="408"/>
      <c r="L175" s="408"/>
      <c r="M175" s="408"/>
      <c r="N175" s="408"/>
      <c r="O175" s="408"/>
      <c r="P175" s="408"/>
      <c r="Q175" s="408"/>
      <c r="R175" s="408"/>
      <c r="S175" s="408"/>
      <c r="T175" s="408"/>
      <c r="U175" s="408"/>
      <c r="V175" s="408"/>
      <c r="W175" s="408"/>
      <c r="X175" s="408"/>
      <c r="Y175" s="408"/>
      <c r="Z175" s="408"/>
      <c r="AA175" s="408"/>
      <c r="AB175" s="408"/>
      <c r="AC175" s="408"/>
      <c r="AD175" s="408"/>
      <c r="AE175" s="408"/>
      <c r="AF175" s="408"/>
    </row>
    <row r="176" spans="2:32" x14ac:dyDescent="0.25">
      <c r="B176" s="408"/>
      <c r="C176" s="408"/>
      <c r="D176" s="408"/>
      <c r="E176" s="408"/>
      <c r="F176" s="408"/>
      <c r="G176" s="408"/>
      <c r="H176" s="408"/>
      <c r="I176" s="408"/>
      <c r="J176" s="408"/>
      <c r="K176" s="408"/>
      <c r="L176" s="408"/>
      <c r="M176" s="408"/>
      <c r="N176" s="408"/>
      <c r="O176" s="408"/>
      <c r="P176" s="408"/>
      <c r="Q176" s="408"/>
      <c r="R176" s="408"/>
      <c r="S176" s="408"/>
      <c r="T176" s="408"/>
      <c r="U176" s="408"/>
      <c r="V176" s="408"/>
      <c r="W176" s="408"/>
      <c r="X176" s="408"/>
      <c r="Y176" s="408"/>
      <c r="Z176" s="408"/>
      <c r="AA176" s="408"/>
      <c r="AB176" s="408"/>
      <c r="AC176" s="408"/>
      <c r="AD176" s="408"/>
      <c r="AE176" s="408"/>
      <c r="AF176" s="408"/>
    </row>
    <row r="177" spans="2:32" x14ac:dyDescent="0.25">
      <c r="B177" s="408"/>
      <c r="C177" s="408"/>
      <c r="D177" s="408"/>
      <c r="E177" s="408"/>
      <c r="F177" s="408"/>
      <c r="G177" s="408"/>
      <c r="H177" s="408"/>
      <c r="I177" s="408"/>
      <c r="J177" s="408"/>
      <c r="K177" s="408"/>
      <c r="L177" s="408"/>
      <c r="M177" s="408"/>
      <c r="N177" s="408"/>
      <c r="O177" s="408"/>
      <c r="P177" s="408"/>
      <c r="Q177" s="408"/>
      <c r="R177" s="408"/>
      <c r="S177" s="408"/>
      <c r="T177" s="408"/>
      <c r="U177" s="408"/>
      <c r="V177" s="408"/>
      <c r="W177" s="408"/>
      <c r="X177" s="408"/>
      <c r="Y177" s="408"/>
      <c r="Z177" s="408"/>
      <c r="AA177" s="408"/>
      <c r="AB177" s="408"/>
      <c r="AC177" s="408"/>
      <c r="AD177" s="408"/>
      <c r="AE177" s="408"/>
      <c r="AF177" s="408"/>
    </row>
    <row r="178" spans="2:32" x14ac:dyDescent="0.25">
      <c r="B178" s="408"/>
      <c r="C178" s="408"/>
      <c r="D178" s="408"/>
      <c r="E178" s="408"/>
      <c r="F178" s="408"/>
      <c r="G178" s="408"/>
      <c r="H178" s="408"/>
      <c r="I178" s="408"/>
      <c r="J178" s="408"/>
      <c r="K178" s="408"/>
      <c r="L178" s="408"/>
      <c r="M178" s="408"/>
      <c r="N178" s="408"/>
      <c r="O178" s="408"/>
      <c r="P178" s="408"/>
      <c r="Q178" s="408"/>
      <c r="R178" s="408"/>
      <c r="S178" s="408"/>
      <c r="T178" s="408"/>
      <c r="U178" s="408"/>
      <c r="V178" s="408"/>
      <c r="W178" s="408"/>
      <c r="X178" s="408"/>
      <c r="Y178" s="408"/>
      <c r="Z178" s="408"/>
      <c r="AA178" s="408"/>
      <c r="AB178" s="408"/>
      <c r="AC178" s="408"/>
      <c r="AD178" s="408"/>
      <c r="AE178" s="408"/>
      <c r="AF178" s="408"/>
    </row>
    <row r="179" spans="2:32" x14ac:dyDescent="0.25">
      <c r="B179" s="408"/>
      <c r="C179" s="408"/>
      <c r="D179" s="408"/>
      <c r="E179" s="408"/>
      <c r="F179" s="408"/>
      <c r="G179" s="408"/>
      <c r="H179" s="408"/>
      <c r="I179" s="408"/>
      <c r="J179" s="408"/>
      <c r="K179" s="408"/>
      <c r="L179" s="408"/>
      <c r="M179" s="408"/>
      <c r="N179" s="408"/>
      <c r="O179" s="408"/>
      <c r="P179" s="408"/>
      <c r="Q179" s="408"/>
      <c r="R179" s="408"/>
      <c r="S179" s="408"/>
      <c r="T179" s="408"/>
      <c r="U179" s="408"/>
      <c r="V179" s="408"/>
      <c r="W179" s="408"/>
      <c r="X179" s="408"/>
      <c r="Y179" s="408"/>
      <c r="Z179" s="408"/>
      <c r="AA179" s="408"/>
      <c r="AB179" s="408"/>
      <c r="AC179" s="408"/>
      <c r="AD179" s="408"/>
      <c r="AE179" s="408"/>
      <c r="AF179" s="408"/>
    </row>
    <row r="180" spans="2:32" x14ac:dyDescent="0.25">
      <c r="B180" s="408"/>
      <c r="C180" s="408"/>
      <c r="D180" s="408"/>
      <c r="E180" s="408"/>
      <c r="F180" s="408"/>
      <c r="G180" s="408"/>
      <c r="H180" s="408"/>
      <c r="I180" s="408"/>
      <c r="J180" s="408"/>
      <c r="K180" s="408"/>
      <c r="L180" s="408"/>
      <c r="M180" s="408"/>
      <c r="N180" s="408"/>
      <c r="O180" s="408"/>
      <c r="P180" s="408"/>
      <c r="Q180" s="408"/>
      <c r="R180" s="408"/>
      <c r="S180" s="408"/>
      <c r="T180" s="408"/>
      <c r="U180" s="408"/>
      <c r="V180" s="408"/>
      <c r="W180" s="408"/>
      <c r="X180" s="408"/>
      <c r="Y180" s="408"/>
      <c r="Z180" s="408"/>
      <c r="AA180" s="408"/>
      <c r="AB180" s="408"/>
      <c r="AC180" s="408"/>
      <c r="AD180" s="408"/>
      <c r="AE180" s="408"/>
      <c r="AF180" s="408"/>
    </row>
    <row r="181" spans="2:32" x14ac:dyDescent="0.25">
      <c r="B181" s="408"/>
      <c r="C181" s="408"/>
      <c r="D181" s="408"/>
      <c r="E181" s="408"/>
      <c r="F181" s="408"/>
      <c r="G181" s="408"/>
      <c r="H181" s="408"/>
      <c r="I181" s="408"/>
      <c r="J181" s="408"/>
      <c r="K181" s="408"/>
      <c r="L181" s="408"/>
      <c r="M181" s="408"/>
      <c r="N181" s="408"/>
      <c r="O181" s="408"/>
      <c r="P181" s="408"/>
      <c r="Q181" s="408"/>
      <c r="R181" s="408"/>
      <c r="S181" s="408"/>
      <c r="T181" s="408"/>
      <c r="U181" s="408"/>
      <c r="V181" s="408"/>
      <c r="W181" s="408"/>
      <c r="X181" s="408"/>
      <c r="Y181" s="408"/>
      <c r="Z181" s="408"/>
      <c r="AA181" s="408"/>
      <c r="AB181" s="408"/>
      <c r="AC181" s="408"/>
      <c r="AD181" s="408"/>
      <c r="AE181" s="408"/>
      <c r="AF181" s="408"/>
    </row>
    <row r="182" spans="2:32" x14ac:dyDescent="0.25">
      <c r="B182" s="408"/>
      <c r="C182" s="408"/>
      <c r="D182" s="408"/>
      <c r="E182" s="408"/>
      <c r="F182" s="408"/>
      <c r="G182" s="408"/>
      <c r="H182" s="408"/>
      <c r="I182" s="408"/>
      <c r="J182" s="408"/>
      <c r="K182" s="408"/>
      <c r="L182" s="408"/>
      <c r="M182" s="408"/>
      <c r="N182" s="408"/>
      <c r="O182" s="408"/>
      <c r="P182" s="408"/>
      <c r="Q182" s="408"/>
      <c r="R182" s="408"/>
      <c r="S182" s="408"/>
      <c r="T182" s="408"/>
      <c r="U182" s="408"/>
      <c r="V182" s="408"/>
      <c r="W182" s="408"/>
      <c r="X182" s="408"/>
      <c r="Y182" s="408"/>
      <c r="Z182" s="408"/>
      <c r="AA182" s="408"/>
      <c r="AB182" s="408"/>
      <c r="AC182" s="408"/>
      <c r="AD182" s="408"/>
      <c r="AE182" s="408"/>
      <c r="AF182" s="408"/>
    </row>
    <row r="183" spans="2:32" x14ac:dyDescent="0.25">
      <c r="B183" s="408"/>
      <c r="C183" s="408"/>
      <c r="D183" s="408"/>
      <c r="E183" s="408"/>
      <c r="F183" s="408"/>
      <c r="G183" s="408"/>
      <c r="H183" s="408"/>
      <c r="I183" s="408"/>
      <c r="J183" s="408"/>
      <c r="K183" s="408"/>
      <c r="L183" s="408"/>
      <c r="M183" s="408"/>
      <c r="N183" s="408"/>
      <c r="O183" s="408"/>
      <c r="P183" s="408"/>
      <c r="Q183" s="408"/>
      <c r="R183" s="408"/>
      <c r="S183" s="408"/>
      <c r="T183" s="408"/>
      <c r="U183" s="408"/>
      <c r="V183" s="408"/>
      <c r="W183" s="408"/>
      <c r="X183" s="408"/>
      <c r="Y183" s="408"/>
      <c r="Z183" s="408"/>
      <c r="AA183" s="408"/>
      <c r="AB183" s="408"/>
      <c r="AC183" s="408"/>
      <c r="AD183" s="408"/>
      <c r="AE183" s="408"/>
      <c r="AF183" s="408"/>
    </row>
    <row r="184" spans="2:32" x14ac:dyDescent="0.25">
      <c r="B184" s="408"/>
      <c r="C184" s="408"/>
      <c r="D184" s="408"/>
      <c r="E184" s="408"/>
      <c r="F184" s="408"/>
      <c r="G184" s="408"/>
      <c r="H184" s="408"/>
      <c r="I184" s="408"/>
      <c r="J184" s="408"/>
      <c r="K184" s="408"/>
      <c r="L184" s="408"/>
      <c r="M184" s="408"/>
      <c r="N184" s="408"/>
      <c r="O184" s="408"/>
      <c r="P184" s="408"/>
      <c r="Q184" s="408"/>
      <c r="R184" s="408"/>
      <c r="S184" s="408"/>
      <c r="T184" s="408"/>
      <c r="U184" s="408"/>
      <c r="V184" s="408"/>
      <c r="W184" s="408"/>
      <c r="X184" s="408"/>
      <c r="Y184" s="408"/>
      <c r="Z184" s="408"/>
      <c r="AA184" s="408"/>
      <c r="AB184" s="408"/>
      <c r="AC184" s="408"/>
      <c r="AD184" s="408"/>
      <c r="AE184" s="408"/>
      <c r="AF184" s="408"/>
    </row>
    <row r="185" spans="2:32" x14ac:dyDescent="0.25">
      <c r="B185" s="408"/>
      <c r="C185" s="408"/>
      <c r="D185" s="408"/>
      <c r="E185" s="408"/>
      <c r="F185" s="408"/>
      <c r="G185" s="408"/>
      <c r="H185" s="408"/>
      <c r="I185" s="408"/>
      <c r="J185" s="408"/>
      <c r="K185" s="408"/>
      <c r="L185" s="408"/>
      <c r="M185" s="408"/>
      <c r="N185" s="408"/>
      <c r="O185" s="408"/>
      <c r="P185" s="408"/>
      <c r="Q185" s="408"/>
      <c r="R185" s="408"/>
      <c r="S185" s="408"/>
      <c r="T185" s="408"/>
      <c r="U185" s="408"/>
      <c r="V185" s="408"/>
      <c r="W185" s="408"/>
      <c r="X185" s="408"/>
      <c r="Y185" s="408"/>
      <c r="Z185" s="408"/>
      <c r="AA185" s="408"/>
      <c r="AB185" s="408"/>
      <c r="AC185" s="408"/>
      <c r="AD185" s="408"/>
      <c r="AE185" s="408"/>
      <c r="AF185" s="408"/>
    </row>
    <row r="186" spans="2:32" x14ac:dyDescent="0.25">
      <c r="B186" s="408"/>
      <c r="C186" s="408"/>
      <c r="D186" s="408"/>
      <c r="E186" s="408"/>
      <c r="F186" s="408"/>
      <c r="G186" s="408"/>
      <c r="H186" s="408"/>
      <c r="I186" s="408"/>
      <c r="J186" s="408"/>
      <c r="K186" s="408"/>
      <c r="L186" s="408"/>
      <c r="M186" s="408"/>
      <c r="N186" s="408"/>
      <c r="O186" s="408"/>
      <c r="P186" s="408"/>
      <c r="Q186" s="408"/>
      <c r="R186" s="408"/>
      <c r="S186" s="408"/>
      <c r="T186" s="408"/>
      <c r="U186" s="408"/>
      <c r="V186" s="408"/>
      <c r="W186" s="408"/>
      <c r="X186" s="408"/>
      <c r="Y186" s="408"/>
      <c r="Z186" s="408"/>
      <c r="AA186" s="408"/>
      <c r="AB186" s="408"/>
      <c r="AC186" s="408"/>
      <c r="AD186" s="408"/>
      <c r="AE186" s="408"/>
      <c r="AF186" s="408"/>
    </row>
    <row r="187" spans="2:32" x14ac:dyDescent="0.25">
      <c r="B187" s="408"/>
      <c r="C187" s="408"/>
      <c r="D187" s="408"/>
      <c r="E187" s="408"/>
      <c r="F187" s="408"/>
      <c r="G187" s="408"/>
      <c r="H187" s="408"/>
      <c r="I187" s="408"/>
      <c r="J187" s="408"/>
      <c r="K187" s="408"/>
      <c r="L187" s="408"/>
      <c r="M187" s="408"/>
      <c r="N187" s="408"/>
      <c r="O187" s="408"/>
      <c r="P187" s="408"/>
      <c r="Q187" s="408"/>
      <c r="R187" s="408"/>
      <c r="S187" s="408"/>
      <c r="T187" s="408"/>
      <c r="U187" s="408"/>
      <c r="V187" s="408"/>
      <c r="W187" s="408"/>
      <c r="X187" s="408"/>
      <c r="Y187" s="408"/>
      <c r="Z187" s="408"/>
      <c r="AA187" s="408"/>
      <c r="AB187" s="408"/>
      <c r="AC187" s="408"/>
      <c r="AD187" s="408"/>
      <c r="AE187" s="408"/>
      <c r="AF187" s="408"/>
    </row>
    <row r="188" spans="2:32" x14ac:dyDescent="0.25">
      <c r="B188" s="408"/>
      <c r="C188" s="408"/>
      <c r="D188" s="408"/>
      <c r="E188" s="408"/>
      <c r="F188" s="408"/>
      <c r="G188" s="408"/>
      <c r="H188" s="408"/>
      <c r="I188" s="408"/>
      <c r="J188" s="408"/>
      <c r="K188" s="408"/>
      <c r="L188" s="408"/>
      <c r="M188" s="408"/>
      <c r="N188" s="408"/>
      <c r="O188" s="408"/>
      <c r="P188" s="408"/>
      <c r="Q188" s="408"/>
      <c r="R188" s="408"/>
      <c r="S188" s="408"/>
      <c r="T188" s="408"/>
      <c r="U188" s="408"/>
      <c r="V188" s="408"/>
      <c r="W188" s="408"/>
      <c r="X188" s="408"/>
      <c r="Y188" s="408"/>
      <c r="Z188" s="408"/>
      <c r="AA188" s="408"/>
      <c r="AB188" s="408"/>
      <c r="AC188" s="408"/>
      <c r="AD188" s="408"/>
      <c r="AE188" s="408"/>
      <c r="AF188" s="408"/>
    </row>
    <row r="189" spans="2:32" x14ac:dyDescent="0.25">
      <c r="B189" s="408"/>
      <c r="C189" s="408"/>
      <c r="D189" s="408"/>
      <c r="E189" s="408"/>
      <c r="F189" s="408"/>
      <c r="G189" s="408"/>
      <c r="H189" s="408"/>
      <c r="I189" s="408"/>
      <c r="J189" s="408"/>
      <c r="K189" s="408"/>
      <c r="L189" s="408"/>
      <c r="M189" s="408"/>
      <c r="N189" s="408"/>
      <c r="O189" s="408"/>
      <c r="P189" s="408"/>
      <c r="Q189" s="408"/>
      <c r="R189" s="408"/>
      <c r="S189" s="408"/>
      <c r="T189" s="408"/>
      <c r="U189" s="408"/>
      <c r="V189" s="408"/>
      <c r="W189" s="408"/>
      <c r="X189" s="408"/>
      <c r="Y189" s="408"/>
      <c r="Z189" s="408"/>
      <c r="AA189" s="408"/>
      <c r="AB189" s="408"/>
      <c r="AC189" s="408"/>
      <c r="AD189" s="408"/>
      <c r="AE189" s="408"/>
      <c r="AF189" s="408"/>
    </row>
    <row r="190" spans="2:32" x14ac:dyDescent="0.25">
      <c r="B190" s="408"/>
      <c r="C190" s="408"/>
      <c r="D190" s="408"/>
      <c r="E190" s="408"/>
      <c r="F190" s="408"/>
      <c r="G190" s="408"/>
      <c r="H190" s="408"/>
      <c r="I190" s="408"/>
      <c r="J190" s="408"/>
      <c r="K190" s="408"/>
      <c r="L190" s="408"/>
      <c r="M190" s="408"/>
      <c r="N190" s="408"/>
      <c r="O190" s="408"/>
      <c r="P190" s="408"/>
      <c r="Q190" s="408"/>
      <c r="R190" s="408"/>
      <c r="S190" s="408"/>
      <c r="T190" s="408"/>
      <c r="U190" s="408"/>
      <c r="V190" s="408"/>
      <c r="W190" s="408"/>
      <c r="X190" s="408"/>
      <c r="Y190" s="408"/>
      <c r="Z190" s="408"/>
      <c r="AA190" s="408"/>
      <c r="AB190" s="408"/>
      <c r="AC190" s="408"/>
      <c r="AD190" s="408"/>
      <c r="AE190" s="408"/>
      <c r="AF190" s="408"/>
    </row>
    <row r="191" spans="2:32" x14ac:dyDescent="0.25">
      <c r="B191" s="408"/>
      <c r="C191" s="408"/>
      <c r="D191" s="408"/>
      <c r="E191" s="408"/>
      <c r="F191" s="408"/>
      <c r="G191" s="408"/>
      <c r="H191" s="408"/>
      <c r="I191" s="408"/>
      <c r="J191" s="408"/>
      <c r="K191" s="408"/>
      <c r="L191" s="408"/>
      <c r="M191" s="408"/>
      <c r="N191" s="408"/>
      <c r="O191" s="408"/>
      <c r="P191" s="408"/>
      <c r="Q191" s="408"/>
      <c r="R191" s="408"/>
      <c r="S191" s="408"/>
      <c r="T191" s="408"/>
      <c r="U191" s="408"/>
      <c r="V191" s="408"/>
      <c r="W191" s="408"/>
      <c r="X191" s="408"/>
      <c r="Y191" s="408"/>
      <c r="Z191" s="408"/>
      <c r="AA191" s="408"/>
      <c r="AB191" s="408"/>
      <c r="AC191" s="408"/>
      <c r="AD191" s="408"/>
      <c r="AE191" s="408"/>
      <c r="AF191" s="408"/>
    </row>
    <row r="192" spans="2:32" x14ac:dyDescent="0.25">
      <c r="B192" s="408"/>
      <c r="C192" s="408"/>
      <c r="D192" s="408"/>
      <c r="E192" s="408"/>
      <c r="F192" s="408"/>
      <c r="G192" s="408"/>
      <c r="H192" s="408"/>
      <c r="I192" s="408"/>
      <c r="J192" s="408"/>
      <c r="K192" s="408"/>
      <c r="L192" s="408"/>
      <c r="M192" s="408"/>
      <c r="N192" s="408"/>
      <c r="O192" s="408"/>
      <c r="P192" s="408"/>
      <c r="Q192" s="408"/>
      <c r="R192" s="408"/>
      <c r="S192" s="408"/>
      <c r="T192" s="408"/>
      <c r="U192" s="408"/>
      <c r="V192" s="408"/>
      <c r="W192" s="408"/>
      <c r="X192" s="408"/>
      <c r="Y192" s="408"/>
      <c r="Z192" s="408"/>
      <c r="AA192" s="408"/>
      <c r="AB192" s="408"/>
      <c r="AC192" s="408"/>
      <c r="AD192" s="408"/>
      <c r="AE192" s="408"/>
      <c r="AF192" s="408"/>
    </row>
    <row r="193" spans="2:32" x14ac:dyDescent="0.25">
      <c r="B193" s="408"/>
      <c r="C193" s="408"/>
      <c r="D193" s="408"/>
      <c r="E193" s="408"/>
      <c r="F193" s="408"/>
      <c r="G193" s="408"/>
      <c r="H193" s="408"/>
      <c r="I193" s="408"/>
      <c r="J193" s="408"/>
      <c r="K193" s="408"/>
      <c r="L193" s="408"/>
      <c r="M193" s="408"/>
      <c r="N193" s="408"/>
      <c r="O193" s="408"/>
      <c r="P193" s="408"/>
      <c r="Q193" s="408"/>
      <c r="R193" s="408"/>
      <c r="S193" s="408"/>
      <c r="T193" s="408"/>
      <c r="U193" s="408"/>
      <c r="V193" s="408"/>
      <c r="W193" s="408"/>
      <c r="X193" s="408"/>
      <c r="Y193" s="408"/>
      <c r="Z193" s="408"/>
      <c r="AA193" s="408"/>
      <c r="AB193" s="408"/>
      <c r="AC193" s="408"/>
      <c r="AD193" s="408"/>
      <c r="AE193" s="408"/>
      <c r="AF193" s="408"/>
    </row>
    <row r="194" spans="2:32" x14ac:dyDescent="0.25">
      <c r="B194" s="408"/>
      <c r="C194" s="408"/>
      <c r="D194" s="408"/>
      <c r="E194" s="408"/>
      <c r="F194" s="408"/>
      <c r="G194" s="408"/>
      <c r="H194" s="408"/>
      <c r="I194" s="408"/>
      <c r="J194" s="408"/>
      <c r="K194" s="408"/>
      <c r="L194" s="408"/>
      <c r="M194" s="408"/>
      <c r="N194" s="408"/>
      <c r="O194" s="408"/>
      <c r="P194" s="408"/>
      <c r="Q194" s="408"/>
      <c r="R194" s="408"/>
      <c r="S194" s="408"/>
      <c r="T194" s="408"/>
      <c r="U194" s="408"/>
      <c r="V194" s="408"/>
      <c r="W194" s="408"/>
      <c r="X194" s="408"/>
      <c r="Y194" s="408"/>
      <c r="Z194" s="408"/>
      <c r="AA194" s="408"/>
      <c r="AB194" s="408"/>
      <c r="AC194" s="408"/>
      <c r="AD194" s="408"/>
      <c r="AE194" s="408"/>
      <c r="AF194" s="408"/>
    </row>
    <row r="195" spans="2:32" x14ac:dyDescent="0.25">
      <c r="B195" s="408"/>
      <c r="C195" s="408"/>
      <c r="D195" s="408"/>
      <c r="E195" s="408"/>
      <c r="F195" s="408"/>
      <c r="G195" s="408"/>
      <c r="H195" s="408"/>
      <c r="I195" s="408"/>
      <c r="J195" s="408"/>
      <c r="K195" s="408"/>
      <c r="L195" s="408"/>
      <c r="M195" s="408"/>
      <c r="N195" s="408"/>
      <c r="O195" s="408"/>
      <c r="P195" s="408"/>
      <c r="Q195" s="408"/>
      <c r="R195" s="408"/>
      <c r="S195" s="408"/>
      <c r="T195" s="408"/>
      <c r="U195" s="408"/>
      <c r="V195" s="408"/>
      <c r="W195" s="408"/>
      <c r="X195" s="408"/>
      <c r="Y195" s="408"/>
      <c r="Z195" s="408"/>
      <c r="AA195" s="408"/>
      <c r="AB195" s="408"/>
      <c r="AC195" s="408"/>
      <c r="AD195" s="408"/>
      <c r="AE195" s="408"/>
      <c r="AF195" s="408"/>
    </row>
    <row r="196" spans="2:32" x14ac:dyDescent="0.25">
      <c r="B196" s="408"/>
      <c r="C196" s="408"/>
      <c r="D196" s="408"/>
      <c r="E196" s="408"/>
      <c r="F196" s="408"/>
      <c r="G196" s="408"/>
      <c r="H196" s="408"/>
      <c r="I196" s="408"/>
      <c r="J196" s="408"/>
      <c r="K196" s="408"/>
      <c r="L196" s="408"/>
      <c r="M196" s="408"/>
      <c r="N196" s="408"/>
      <c r="O196" s="408"/>
      <c r="P196" s="408"/>
      <c r="Q196" s="408"/>
      <c r="R196" s="408"/>
      <c r="S196" s="408"/>
      <c r="T196" s="408"/>
      <c r="U196" s="408"/>
      <c r="V196" s="408"/>
      <c r="W196" s="408"/>
      <c r="X196" s="408"/>
      <c r="Y196" s="408"/>
      <c r="Z196" s="408"/>
      <c r="AA196" s="408"/>
      <c r="AB196" s="408"/>
      <c r="AC196" s="408"/>
      <c r="AD196" s="408"/>
      <c r="AE196" s="408"/>
      <c r="AF196" s="408"/>
    </row>
    <row r="197" spans="2:32" x14ac:dyDescent="0.25">
      <c r="B197" s="408"/>
      <c r="C197" s="408"/>
      <c r="D197" s="408"/>
      <c r="E197" s="408"/>
      <c r="F197" s="408"/>
      <c r="G197" s="408"/>
      <c r="H197" s="408"/>
      <c r="I197" s="408"/>
      <c r="J197" s="408"/>
      <c r="K197" s="408"/>
      <c r="L197" s="408"/>
      <c r="M197" s="408"/>
      <c r="N197" s="408"/>
      <c r="O197" s="408"/>
      <c r="P197" s="408"/>
      <c r="Q197" s="408"/>
      <c r="R197" s="408"/>
      <c r="S197" s="408"/>
      <c r="T197" s="408"/>
      <c r="U197" s="408"/>
      <c r="V197" s="408"/>
      <c r="W197" s="408"/>
      <c r="X197" s="408"/>
      <c r="Y197" s="408"/>
      <c r="Z197" s="408"/>
      <c r="AA197" s="408"/>
      <c r="AB197" s="408"/>
      <c r="AC197" s="408"/>
      <c r="AD197" s="408"/>
      <c r="AE197" s="408"/>
      <c r="AF197" s="408"/>
    </row>
    <row r="198" spans="2:32" x14ac:dyDescent="0.25">
      <c r="B198" s="408"/>
      <c r="C198" s="408"/>
      <c r="D198" s="408"/>
      <c r="E198" s="408"/>
      <c r="F198" s="408"/>
      <c r="G198" s="408"/>
      <c r="H198" s="408"/>
      <c r="I198" s="408"/>
      <c r="J198" s="408"/>
      <c r="K198" s="408"/>
      <c r="L198" s="408"/>
      <c r="M198" s="408"/>
      <c r="N198" s="408"/>
      <c r="O198" s="408"/>
      <c r="P198" s="408"/>
      <c r="Q198" s="408"/>
      <c r="R198" s="408"/>
      <c r="S198" s="408"/>
      <c r="T198" s="408"/>
      <c r="U198" s="408"/>
      <c r="V198" s="408"/>
      <c r="W198" s="408"/>
      <c r="X198" s="408"/>
      <c r="Y198" s="408"/>
      <c r="Z198" s="408"/>
      <c r="AA198" s="408"/>
      <c r="AB198" s="408"/>
      <c r="AC198" s="408"/>
      <c r="AD198" s="408"/>
      <c r="AE198" s="408"/>
      <c r="AF198" s="408"/>
    </row>
    <row r="199" spans="2:32" x14ac:dyDescent="0.25">
      <c r="B199" s="408"/>
      <c r="C199" s="408"/>
      <c r="D199" s="408"/>
      <c r="E199" s="408"/>
      <c r="F199" s="408"/>
      <c r="G199" s="408"/>
      <c r="H199" s="408"/>
      <c r="I199" s="408"/>
      <c r="J199" s="408"/>
      <c r="K199" s="408"/>
      <c r="L199" s="408"/>
      <c r="M199" s="408"/>
      <c r="N199" s="408"/>
      <c r="O199" s="408"/>
      <c r="P199" s="408"/>
      <c r="Q199" s="408"/>
      <c r="R199" s="408"/>
      <c r="S199" s="408"/>
      <c r="T199" s="408"/>
      <c r="U199" s="408"/>
      <c r="V199" s="408"/>
      <c r="W199" s="408"/>
      <c r="X199" s="408"/>
      <c r="Y199" s="408"/>
      <c r="Z199" s="408"/>
      <c r="AA199" s="408"/>
      <c r="AB199" s="408"/>
      <c r="AC199" s="408"/>
      <c r="AD199" s="408"/>
      <c r="AE199" s="408"/>
      <c r="AF199" s="408"/>
    </row>
    <row r="200" spans="2:32" x14ac:dyDescent="0.25">
      <c r="B200" s="408"/>
      <c r="C200" s="408"/>
      <c r="D200" s="408"/>
      <c r="E200" s="408"/>
      <c r="F200" s="408"/>
      <c r="G200" s="408"/>
      <c r="H200" s="408"/>
      <c r="I200" s="408"/>
      <c r="J200" s="408"/>
      <c r="K200" s="408"/>
      <c r="L200" s="408"/>
      <c r="M200" s="408"/>
      <c r="N200" s="408"/>
      <c r="O200" s="408"/>
      <c r="P200" s="408"/>
      <c r="Q200" s="408"/>
      <c r="R200" s="408"/>
      <c r="S200" s="408"/>
      <c r="T200" s="408"/>
      <c r="U200" s="408"/>
      <c r="V200" s="408"/>
      <c r="W200" s="408"/>
      <c r="X200" s="408"/>
      <c r="Y200" s="408"/>
      <c r="Z200" s="408"/>
      <c r="AA200" s="408"/>
      <c r="AB200" s="408"/>
      <c r="AC200" s="408"/>
      <c r="AD200" s="408"/>
      <c r="AE200" s="408"/>
      <c r="AF200" s="408"/>
    </row>
    <row r="201" spans="2:32" x14ac:dyDescent="0.25">
      <c r="B201" s="408"/>
      <c r="C201" s="408"/>
      <c r="D201" s="408"/>
      <c r="E201" s="408"/>
      <c r="F201" s="408"/>
      <c r="G201" s="408"/>
      <c r="H201" s="408"/>
      <c r="I201" s="408"/>
      <c r="J201" s="408"/>
      <c r="K201" s="408"/>
      <c r="L201" s="408"/>
      <c r="M201" s="408"/>
      <c r="N201" s="408"/>
      <c r="O201" s="408"/>
      <c r="P201" s="408"/>
      <c r="Q201" s="408"/>
      <c r="R201" s="408"/>
      <c r="S201" s="408"/>
      <c r="T201" s="408"/>
      <c r="U201" s="408"/>
      <c r="V201" s="408"/>
      <c r="W201" s="408"/>
      <c r="X201" s="408"/>
      <c r="Y201" s="408"/>
      <c r="Z201" s="408"/>
      <c r="AA201" s="408"/>
      <c r="AB201" s="408"/>
      <c r="AC201" s="408"/>
      <c r="AD201" s="408"/>
      <c r="AE201" s="408"/>
      <c r="AF201" s="408"/>
    </row>
    <row r="202" spans="2:32" x14ac:dyDescent="0.25">
      <c r="B202" s="408"/>
      <c r="C202" s="408"/>
      <c r="D202" s="408"/>
      <c r="E202" s="408"/>
      <c r="F202" s="408"/>
      <c r="G202" s="408"/>
      <c r="H202" s="408"/>
      <c r="I202" s="408"/>
      <c r="J202" s="408"/>
      <c r="K202" s="408"/>
      <c r="L202" s="408"/>
      <c r="M202" s="408"/>
      <c r="N202" s="408"/>
      <c r="O202" s="408"/>
      <c r="P202" s="408"/>
      <c r="Q202" s="408"/>
      <c r="R202" s="408"/>
      <c r="S202" s="408"/>
      <c r="T202" s="408"/>
      <c r="U202" s="408"/>
      <c r="V202" s="408"/>
      <c r="W202" s="408"/>
      <c r="X202" s="408"/>
      <c r="Y202" s="408"/>
      <c r="Z202" s="408"/>
      <c r="AA202" s="408"/>
      <c r="AB202" s="408"/>
      <c r="AC202" s="408"/>
      <c r="AD202" s="408"/>
      <c r="AE202" s="408"/>
      <c r="AF202" s="408"/>
    </row>
    <row r="203" spans="2:32" x14ac:dyDescent="0.25">
      <c r="B203" s="408"/>
      <c r="C203" s="408"/>
      <c r="D203" s="408"/>
      <c r="E203" s="408"/>
      <c r="F203" s="408"/>
      <c r="G203" s="408"/>
      <c r="H203" s="408"/>
      <c r="I203" s="408"/>
      <c r="J203" s="408"/>
      <c r="K203" s="408"/>
      <c r="L203" s="408"/>
      <c r="M203" s="408"/>
      <c r="N203" s="408"/>
      <c r="O203" s="408"/>
      <c r="P203" s="408"/>
      <c r="Q203" s="408"/>
      <c r="R203" s="408"/>
      <c r="S203" s="408"/>
      <c r="T203" s="408"/>
      <c r="U203" s="408"/>
      <c r="V203" s="408"/>
      <c r="W203" s="408"/>
      <c r="X203" s="408"/>
      <c r="Y203" s="408"/>
      <c r="Z203" s="408"/>
      <c r="AA203" s="408"/>
      <c r="AB203" s="408"/>
      <c r="AC203" s="408"/>
      <c r="AD203" s="408"/>
      <c r="AE203" s="408"/>
      <c r="AF203" s="408"/>
    </row>
    <row r="204" spans="2:32" x14ac:dyDescent="0.25">
      <c r="B204" s="408"/>
      <c r="C204" s="408"/>
      <c r="D204" s="408"/>
      <c r="E204" s="408"/>
      <c r="F204" s="408"/>
      <c r="G204" s="408"/>
      <c r="H204" s="408"/>
      <c r="I204" s="408"/>
      <c r="J204" s="408"/>
      <c r="K204" s="408"/>
      <c r="L204" s="408"/>
      <c r="M204" s="408"/>
      <c r="N204" s="408"/>
      <c r="O204" s="408"/>
      <c r="P204" s="408"/>
      <c r="Q204" s="408"/>
      <c r="R204" s="408"/>
      <c r="S204" s="408"/>
      <c r="T204" s="408"/>
      <c r="U204" s="408"/>
      <c r="V204" s="408"/>
      <c r="W204" s="408"/>
      <c r="X204" s="408"/>
      <c r="Y204" s="408"/>
      <c r="Z204" s="408"/>
      <c r="AA204" s="408"/>
      <c r="AB204" s="408"/>
      <c r="AC204" s="408"/>
      <c r="AD204" s="408"/>
      <c r="AE204" s="408"/>
      <c r="AF204" s="408"/>
    </row>
    <row r="205" spans="2:32" x14ac:dyDescent="0.25">
      <c r="B205" s="408"/>
      <c r="C205" s="408"/>
      <c r="D205" s="408"/>
      <c r="E205" s="408"/>
      <c r="F205" s="408"/>
      <c r="G205" s="408"/>
      <c r="H205" s="408"/>
      <c r="I205" s="408"/>
      <c r="J205" s="408"/>
      <c r="K205" s="408"/>
      <c r="L205" s="408"/>
      <c r="M205" s="408"/>
      <c r="N205" s="408"/>
      <c r="O205" s="408"/>
      <c r="P205" s="408"/>
      <c r="Q205" s="408"/>
      <c r="R205" s="408"/>
      <c r="S205" s="408"/>
      <c r="T205" s="408"/>
      <c r="U205" s="408"/>
      <c r="V205" s="408"/>
      <c r="W205" s="408"/>
      <c r="X205" s="408"/>
      <c r="Y205" s="408"/>
      <c r="Z205" s="408"/>
      <c r="AA205" s="408"/>
      <c r="AB205" s="408"/>
      <c r="AC205" s="408"/>
      <c r="AD205" s="408"/>
      <c r="AE205" s="408"/>
      <c r="AF205" s="408"/>
    </row>
    <row r="206" spans="2:32" x14ac:dyDescent="0.25">
      <c r="B206" s="408"/>
      <c r="C206" s="408"/>
      <c r="D206" s="408"/>
      <c r="E206" s="408"/>
      <c r="F206" s="408"/>
      <c r="G206" s="408"/>
      <c r="H206" s="408"/>
      <c r="I206" s="408"/>
      <c r="J206" s="408"/>
      <c r="K206" s="408"/>
      <c r="L206" s="408"/>
      <c r="M206" s="408"/>
      <c r="N206" s="408"/>
      <c r="O206" s="408"/>
      <c r="P206" s="408"/>
      <c r="Q206" s="408"/>
      <c r="R206" s="408"/>
      <c r="S206" s="408"/>
      <c r="T206" s="408"/>
      <c r="U206" s="408"/>
      <c r="V206" s="408"/>
      <c r="W206" s="408"/>
      <c r="X206" s="408"/>
      <c r="Y206" s="408"/>
      <c r="Z206" s="408"/>
      <c r="AA206" s="408"/>
      <c r="AB206" s="408"/>
      <c r="AC206" s="408"/>
      <c r="AD206" s="408"/>
      <c r="AE206" s="408"/>
      <c r="AF206" s="408"/>
    </row>
    <row r="207" spans="2:32" x14ac:dyDescent="0.25">
      <c r="B207" s="408"/>
      <c r="C207" s="408"/>
      <c r="D207" s="408"/>
      <c r="E207" s="408"/>
      <c r="F207" s="408"/>
      <c r="G207" s="408"/>
      <c r="H207" s="408"/>
      <c r="I207" s="408"/>
      <c r="J207" s="408"/>
      <c r="K207" s="408"/>
      <c r="L207" s="408"/>
      <c r="M207" s="408"/>
      <c r="N207" s="408"/>
      <c r="O207" s="408"/>
      <c r="P207" s="408"/>
      <c r="Q207" s="408"/>
      <c r="R207" s="408"/>
      <c r="S207" s="408"/>
      <c r="T207" s="408"/>
      <c r="U207" s="408"/>
      <c r="V207" s="408"/>
      <c r="W207" s="408"/>
      <c r="X207" s="408"/>
      <c r="Y207" s="408"/>
      <c r="Z207" s="408"/>
      <c r="AA207" s="408"/>
      <c r="AB207" s="408"/>
      <c r="AC207" s="408"/>
      <c r="AD207" s="408"/>
      <c r="AE207" s="408"/>
      <c r="AF207" s="408"/>
    </row>
    <row r="208" spans="2:32" x14ac:dyDescent="0.25">
      <c r="B208" s="408"/>
      <c r="C208" s="408"/>
      <c r="D208" s="408"/>
      <c r="E208" s="408"/>
      <c r="F208" s="408"/>
      <c r="G208" s="408"/>
      <c r="H208" s="408"/>
      <c r="I208" s="408"/>
      <c r="J208" s="408"/>
      <c r="K208" s="408"/>
      <c r="L208" s="408"/>
      <c r="M208" s="408"/>
      <c r="N208" s="408"/>
      <c r="O208" s="408"/>
      <c r="P208" s="408"/>
      <c r="Q208" s="408"/>
      <c r="R208" s="408"/>
      <c r="S208" s="408"/>
      <c r="T208" s="408"/>
      <c r="U208" s="408"/>
      <c r="V208" s="408"/>
      <c r="W208" s="408"/>
      <c r="X208" s="408"/>
      <c r="Y208" s="408"/>
      <c r="Z208" s="408"/>
      <c r="AA208" s="408"/>
      <c r="AB208" s="408"/>
      <c r="AC208" s="408"/>
      <c r="AD208" s="408"/>
      <c r="AE208" s="408"/>
      <c r="AF208" s="408"/>
    </row>
    <row r="209" spans="2:32" x14ac:dyDescent="0.25">
      <c r="B209" s="408"/>
      <c r="C209" s="408"/>
      <c r="D209" s="408"/>
      <c r="E209" s="408"/>
      <c r="F209" s="408"/>
      <c r="G209" s="408"/>
      <c r="H209" s="408"/>
      <c r="I209" s="408"/>
      <c r="J209" s="408"/>
      <c r="K209" s="408"/>
      <c r="L209" s="408"/>
      <c r="M209" s="408"/>
      <c r="N209" s="408"/>
      <c r="O209" s="408"/>
      <c r="P209" s="408"/>
      <c r="Q209" s="408"/>
      <c r="R209" s="408"/>
      <c r="S209" s="408"/>
      <c r="T209" s="408"/>
      <c r="U209" s="408"/>
      <c r="V209" s="408"/>
      <c r="W209" s="408"/>
      <c r="X209" s="408"/>
      <c r="Y209" s="408"/>
      <c r="Z209" s="408"/>
      <c r="AA209" s="408"/>
      <c r="AB209" s="408"/>
      <c r="AC209" s="408"/>
      <c r="AD209" s="408"/>
      <c r="AE209" s="408"/>
      <c r="AF209" s="408"/>
    </row>
    <row r="210" spans="2:32" x14ac:dyDescent="0.25">
      <c r="B210" s="408"/>
      <c r="C210" s="408"/>
      <c r="D210" s="408"/>
      <c r="E210" s="408"/>
      <c r="F210" s="408"/>
      <c r="G210" s="408"/>
      <c r="H210" s="408"/>
      <c r="I210" s="408"/>
      <c r="J210" s="408"/>
      <c r="K210" s="408"/>
      <c r="L210" s="408"/>
      <c r="M210" s="408"/>
      <c r="N210" s="408"/>
      <c r="O210" s="408"/>
      <c r="P210" s="408"/>
      <c r="Q210" s="408"/>
      <c r="R210" s="408"/>
      <c r="S210" s="408"/>
      <c r="T210" s="408"/>
      <c r="U210" s="408"/>
      <c r="V210" s="408"/>
      <c r="W210" s="408"/>
      <c r="X210" s="408"/>
      <c r="Y210" s="408"/>
      <c r="Z210" s="408"/>
      <c r="AA210" s="408"/>
      <c r="AB210" s="408"/>
      <c r="AC210" s="408"/>
      <c r="AD210" s="408"/>
      <c r="AE210" s="408"/>
      <c r="AF210" s="408"/>
    </row>
    <row r="211" spans="2:32" x14ac:dyDescent="0.25">
      <c r="B211" s="408"/>
      <c r="C211" s="408"/>
      <c r="D211" s="408"/>
      <c r="E211" s="408"/>
      <c r="F211" s="408"/>
      <c r="G211" s="408"/>
      <c r="H211" s="408"/>
      <c r="I211" s="408"/>
      <c r="J211" s="408"/>
      <c r="K211" s="408"/>
      <c r="L211" s="408"/>
      <c r="M211" s="408"/>
      <c r="N211" s="408"/>
      <c r="O211" s="408"/>
      <c r="P211" s="408"/>
      <c r="Q211" s="408"/>
      <c r="R211" s="408"/>
      <c r="S211" s="408"/>
      <c r="T211" s="408"/>
      <c r="U211" s="408"/>
      <c r="V211" s="408"/>
      <c r="W211" s="408"/>
      <c r="X211" s="408"/>
      <c r="Y211" s="408"/>
      <c r="Z211" s="408"/>
      <c r="AA211" s="408"/>
      <c r="AB211" s="408"/>
      <c r="AC211" s="408"/>
      <c r="AD211" s="408"/>
      <c r="AE211" s="408"/>
      <c r="AF211" s="408"/>
    </row>
    <row r="212" spans="2:32" x14ac:dyDescent="0.25">
      <c r="B212" s="408"/>
      <c r="C212" s="408"/>
      <c r="D212" s="408"/>
      <c r="E212" s="408"/>
      <c r="F212" s="408"/>
      <c r="G212" s="408"/>
      <c r="H212" s="408"/>
      <c r="I212" s="408"/>
      <c r="J212" s="408"/>
      <c r="K212" s="408"/>
      <c r="L212" s="408"/>
      <c r="M212" s="408"/>
      <c r="N212" s="408"/>
      <c r="O212" s="408"/>
      <c r="P212" s="408"/>
      <c r="Q212" s="408"/>
      <c r="R212" s="408"/>
      <c r="S212" s="408"/>
      <c r="T212" s="408"/>
      <c r="U212" s="408"/>
      <c r="V212" s="408"/>
      <c r="W212" s="408"/>
      <c r="X212" s="408"/>
      <c r="Y212" s="408"/>
      <c r="Z212" s="408"/>
      <c r="AA212" s="408"/>
      <c r="AB212" s="408"/>
      <c r="AC212" s="408"/>
      <c r="AD212" s="408"/>
      <c r="AE212" s="408"/>
      <c r="AF212" s="408"/>
    </row>
    <row r="213" spans="2:32" x14ac:dyDescent="0.25">
      <c r="B213" s="408"/>
      <c r="C213" s="408"/>
      <c r="D213" s="408"/>
      <c r="E213" s="408"/>
      <c r="F213" s="408"/>
      <c r="G213" s="408"/>
      <c r="H213" s="408"/>
      <c r="I213" s="408"/>
      <c r="J213" s="408"/>
      <c r="K213" s="408"/>
      <c r="L213" s="408"/>
      <c r="M213" s="408"/>
      <c r="N213" s="408"/>
      <c r="O213" s="408"/>
      <c r="P213" s="408"/>
      <c r="Q213" s="408"/>
      <c r="R213" s="408"/>
      <c r="S213" s="408"/>
      <c r="T213" s="408"/>
      <c r="U213" s="408"/>
      <c r="V213" s="408"/>
      <c r="W213" s="408"/>
      <c r="X213" s="408"/>
      <c r="Y213" s="408"/>
      <c r="Z213" s="408"/>
      <c r="AA213" s="408"/>
      <c r="AB213" s="408"/>
      <c r="AC213" s="408"/>
      <c r="AD213" s="408"/>
      <c r="AE213" s="408"/>
      <c r="AF213" s="408"/>
    </row>
    <row r="214" spans="2:32" x14ac:dyDescent="0.25">
      <c r="B214" s="408"/>
      <c r="C214" s="408"/>
      <c r="D214" s="408"/>
      <c r="E214" s="408"/>
      <c r="F214" s="408"/>
      <c r="G214" s="408"/>
      <c r="H214" s="408"/>
      <c r="I214" s="408"/>
      <c r="J214" s="408"/>
      <c r="K214" s="408"/>
      <c r="L214" s="408"/>
      <c r="M214" s="408"/>
      <c r="N214" s="408"/>
      <c r="O214" s="408"/>
      <c r="P214" s="408"/>
      <c r="Q214" s="408"/>
      <c r="R214" s="408"/>
      <c r="S214" s="408"/>
      <c r="T214" s="408"/>
      <c r="U214" s="408"/>
      <c r="V214" s="408"/>
      <c r="W214" s="408"/>
      <c r="X214" s="408"/>
      <c r="Y214" s="408"/>
      <c r="Z214" s="408"/>
      <c r="AA214" s="408"/>
      <c r="AB214" s="408"/>
      <c r="AC214" s="408"/>
      <c r="AD214" s="408"/>
      <c r="AE214" s="408"/>
      <c r="AF214" s="408"/>
    </row>
    <row r="215" spans="2:32" x14ac:dyDescent="0.25">
      <c r="B215" s="408"/>
      <c r="C215" s="408"/>
      <c r="D215" s="408"/>
      <c r="E215" s="408"/>
      <c r="F215" s="408"/>
      <c r="G215" s="408"/>
      <c r="H215" s="408"/>
      <c r="I215" s="408"/>
      <c r="J215" s="408"/>
      <c r="K215" s="408"/>
      <c r="L215" s="408"/>
      <c r="M215" s="408"/>
      <c r="N215" s="408"/>
      <c r="O215" s="408"/>
      <c r="P215" s="408"/>
      <c r="Q215" s="408"/>
      <c r="R215" s="408"/>
      <c r="S215" s="408"/>
      <c r="T215" s="408"/>
      <c r="U215" s="408"/>
      <c r="V215" s="408"/>
      <c r="W215" s="408"/>
      <c r="X215" s="408"/>
      <c r="Y215" s="408"/>
      <c r="Z215" s="408"/>
      <c r="AA215" s="408"/>
      <c r="AB215" s="408"/>
      <c r="AC215" s="408"/>
      <c r="AD215" s="408"/>
      <c r="AE215" s="408"/>
      <c r="AF215" s="408"/>
    </row>
    <row r="216" spans="2:32" x14ac:dyDescent="0.25">
      <c r="B216" s="408"/>
      <c r="C216" s="408"/>
      <c r="D216" s="408"/>
      <c r="E216" s="408"/>
      <c r="F216" s="408"/>
      <c r="G216" s="408"/>
      <c r="H216" s="408"/>
      <c r="I216" s="408"/>
      <c r="J216" s="408"/>
      <c r="K216" s="408"/>
      <c r="L216" s="408"/>
      <c r="M216" s="408"/>
      <c r="N216" s="408"/>
      <c r="O216" s="408"/>
      <c r="P216" s="408"/>
      <c r="Q216" s="408"/>
      <c r="R216" s="408"/>
      <c r="S216" s="408"/>
      <c r="T216" s="408"/>
      <c r="U216" s="408"/>
      <c r="V216" s="408"/>
      <c r="W216" s="408"/>
      <c r="X216" s="408"/>
      <c r="Y216" s="408"/>
      <c r="Z216" s="408"/>
      <c r="AA216" s="408"/>
      <c r="AB216" s="408"/>
      <c r="AC216" s="408"/>
      <c r="AD216" s="408"/>
      <c r="AE216" s="408"/>
      <c r="AF216" s="408"/>
    </row>
    <row r="217" spans="2:32" x14ac:dyDescent="0.25">
      <c r="B217" s="408"/>
      <c r="C217" s="408"/>
      <c r="D217" s="408"/>
      <c r="E217" s="408"/>
      <c r="F217" s="408"/>
      <c r="G217" s="408"/>
      <c r="H217" s="408"/>
      <c r="I217" s="408"/>
      <c r="J217" s="408"/>
      <c r="K217" s="408"/>
      <c r="L217" s="408"/>
      <c r="M217" s="408"/>
      <c r="N217" s="408"/>
      <c r="O217" s="408"/>
      <c r="P217" s="408"/>
      <c r="Q217" s="408"/>
      <c r="R217" s="408"/>
      <c r="S217" s="408"/>
      <c r="T217" s="408"/>
      <c r="U217" s="408"/>
      <c r="V217" s="408"/>
      <c r="W217" s="408"/>
      <c r="X217" s="408"/>
      <c r="Y217" s="408"/>
      <c r="Z217" s="408"/>
      <c r="AA217" s="408"/>
      <c r="AB217" s="408"/>
      <c r="AC217" s="408"/>
      <c r="AD217" s="408"/>
      <c r="AE217" s="408"/>
      <c r="AF217" s="408"/>
    </row>
    <row r="218" spans="2:32" x14ac:dyDescent="0.25">
      <c r="B218" s="408"/>
      <c r="C218" s="408"/>
      <c r="D218" s="408"/>
      <c r="E218" s="408"/>
      <c r="F218" s="408"/>
      <c r="G218" s="408"/>
      <c r="H218" s="408"/>
      <c r="I218" s="408"/>
      <c r="J218" s="408"/>
      <c r="K218" s="408"/>
      <c r="L218" s="408"/>
      <c r="M218" s="408"/>
      <c r="N218" s="408"/>
      <c r="O218" s="408"/>
      <c r="P218" s="408"/>
      <c r="Q218" s="408"/>
      <c r="R218" s="408"/>
      <c r="S218" s="408"/>
      <c r="T218" s="408"/>
      <c r="U218" s="408"/>
      <c r="V218" s="408"/>
      <c r="W218" s="408"/>
      <c r="X218" s="408"/>
      <c r="Y218" s="408"/>
      <c r="Z218" s="408"/>
      <c r="AA218" s="408"/>
      <c r="AB218" s="408"/>
      <c r="AC218" s="408"/>
      <c r="AD218" s="408"/>
      <c r="AE218" s="408"/>
      <c r="AF218" s="408"/>
    </row>
    <row r="219" spans="2:32" x14ac:dyDescent="0.25">
      <c r="B219" s="408"/>
      <c r="C219" s="408"/>
      <c r="D219" s="408"/>
      <c r="E219" s="408"/>
      <c r="F219" s="408"/>
      <c r="G219" s="408"/>
      <c r="H219" s="408"/>
      <c r="I219" s="408"/>
      <c r="J219" s="408"/>
      <c r="K219" s="408"/>
      <c r="L219" s="408"/>
      <c r="M219" s="408"/>
      <c r="N219" s="408"/>
      <c r="O219" s="408"/>
      <c r="P219" s="408"/>
      <c r="Q219" s="408"/>
      <c r="R219" s="408"/>
      <c r="S219" s="408"/>
      <c r="T219" s="408"/>
      <c r="U219" s="408"/>
      <c r="V219" s="408"/>
      <c r="W219" s="408"/>
      <c r="X219" s="408"/>
      <c r="Y219" s="408"/>
      <c r="Z219" s="408"/>
      <c r="AA219" s="408"/>
      <c r="AB219" s="408"/>
      <c r="AC219" s="408"/>
      <c r="AD219" s="408"/>
      <c r="AE219" s="408"/>
      <c r="AF219" s="408"/>
    </row>
    <row r="220" spans="2:32" x14ac:dyDescent="0.25">
      <c r="B220" s="408"/>
      <c r="C220" s="408"/>
      <c r="D220" s="408"/>
      <c r="E220" s="408"/>
      <c r="F220" s="408"/>
      <c r="G220" s="408"/>
      <c r="H220" s="408"/>
      <c r="I220" s="408"/>
      <c r="J220" s="408"/>
      <c r="K220" s="408"/>
      <c r="L220" s="408"/>
      <c r="M220" s="408"/>
      <c r="N220" s="408"/>
      <c r="O220" s="408"/>
      <c r="P220" s="408"/>
      <c r="Q220" s="408"/>
      <c r="R220" s="408"/>
      <c r="S220" s="408"/>
      <c r="T220" s="408"/>
      <c r="U220" s="408"/>
      <c r="V220" s="408"/>
      <c r="W220" s="408"/>
      <c r="X220" s="408"/>
      <c r="Y220" s="408"/>
      <c r="Z220" s="408"/>
      <c r="AA220" s="408"/>
      <c r="AB220" s="408"/>
      <c r="AC220" s="408"/>
      <c r="AD220" s="408"/>
      <c r="AE220" s="408"/>
      <c r="AF220" s="408"/>
    </row>
    <row r="221" spans="2:32" x14ac:dyDescent="0.25">
      <c r="B221" s="408"/>
      <c r="C221" s="408"/>
      <c r="D221" s="408"/>
      <c r="E221" s="408"/>
      <c r="F221" s="408"/>
      <c r="G221" s="408"/>
      <c r="H221" s="408"/>
      <c r="I221" s="408"/>
      <c r="J221" s="408"/>
      <c r="K221" s="408"/>
      <c r="L221" s="408"/>
      <c r="M221" s="408"/>
      <c r="N221" s="408"/>
      <c r="O221" s="408"/>
      <c r="P221" s="408"/>
      <c r="Q221" s="408"/>
      <c r="R221" s="408"/>
      <c r="S221" s="408"/>
      <c r="T221" s="408"/>
      <c r="U221" s="408"/>
      <c r="V221" s="408"/>
      <c r="W221" s="408"/>
      <c r="X221" s="408"/>
      <c r="Y221" s="408"/>
      <c r="Z221" s="408"/>
      <c r="AA221" s="408"/>
      <c r="AB221" s="408"/>
      <c r="AC221" s="408"/>
      <c r="AD221" s="408"/>
      <c r="AE221" s="408"/>
      <c r="AF221" s="408"/>
    </row>
    <row r="222" spans="2:32" x14ac:dyDescent="0.25">
      <c r="B222" s="408"/>
      <c r="C222" s="408"/>
      <c r="D222" s="408"/>
      <c r="E222" s="408"/>
      <c r="F222" s="408"/>
      <c r="G222" s="408"/>
      <c r="H222" s="408"/>
      <c r="I222" s="408"/>
      <c r="J222" s="408"/>
      <c r="K222" s="408"/>
      <c r="L222" s="408"/>
      <c r="M222" s="408"/>
      <c r="N222" s="408"/>
      <c r="O222" s="408"/>
      <c r="P222" s="408"/>
      <c r="Q222" s="408"/>
      <c r="R222" s="408"/>
      <c r="S222" s="408"/>
      <c r="T222" s="408"/>
      <c r="U222" s="408"/>
      <c r="V222" s="408"/>
      <c r="W222" s="408"/>
      <c r="X222" s="408"/>
      <c r="Y222" s="408"/>
      <c r="Z222" s="408"/>
      <c r="AA222" s="408"/>
      <c r="AB222" s="408"/>
      <c r="AC222" s="408"/>
      <c r="AD222" s="408"/>
      <c r="AE222" s="408"/>
      <c r="AF222" s="408"/>
    </row>
    <row r="223" spans="2:32" x14ac:dyDescent="0.25">
      <c r="B223" s="408"/>
      <c r="C223" s="408"/>
      <c r="D223" s="408"/>
      <c r="E223" s="408"/>
      <c r="F223" s="408"/>
      <c r="G223" s="408"/>
      <c r="H223" s="408"/>
      <c r="I223" s="408"/>
      <c r="J223" s="408"/>
      <c r="K223" s="408"/>
      <c r="L223" s="408"/>
      <c r="M223" s="408"/>
      <c r="N223" s="408"/>
      <c r="O223" s="408"/>
      <c r="P223" s="408"/>
      <c r="Q223" s="408"/>
      <c r="R223" s="408"/>
      <c r="S223" s="408"/>
      <c r="T223" s="408"/>
      <c r="U223" s="408"/>
      <c r="V223" s="408"/>
      <c r="W223" s="408"/>
      <c r="X223" s="408"/>
      <c r="Y223" s="408"/>
      <c r="Z223" s="408"/>
      <c r="AA223" s="408"/>
      <c r="AB223" s="408"/>
      <c r="AC223" s="408"/>
      <c r="AD223" s="408"/>
      <c r="AE223" s="408"/>
      <c r="AF223" s="408"/>
    </row>
    <row r="224" spans="2:32" x14ac:dyDescent="0.25">
      <c r="B224" s="408"/>
      <c r="C224" s="408"/>
      <c r="D224" s="408"/>
      <c r="E224" s="408"/>
      <c r="F224" s="408"/>
      <c r="G224" s="408"/>
      <c r="H224" s="408"/>
      <c r="I224" s="408"/>
      <c r="J224" s="408"/>
      <c r="K224" s="408"/>
      <c r="L224" s="408"/>
      <c r="M224" s="408"/>
      <c r="N224" s="408"/>
      <c r="O224" s="408"/>
      <c r="P224" s="408"/>
      <c r="Q224" s="408"/>
      <c r="R224" s="408"/>
      <c r="S224" s="408"/>
      <c r="T224" s="408"/>
      <c r="U224" s="408"/>
      <c r="V224" s="408"/>
      <c r="W224" s="408"/>
      <c r="X224" s="408"/>
      <c r="Y224" s="408"/>
      <c r="Z224" s="408"/>
      <c r="AA224" s="408"/>
      <c r="AB224" s="408"/>
      <c r="AC224" s="408"/>
      <c r="AD224" s="408"/>
      <c r="AE224" s="408"/>
      <c r="AF224" s="408"/>
    </row>
    <row r="225" spans="2:32" x14ac:dyDescent="0.25">
      <c r="B225" s="408"/>
      <c r="C225" s="408"/>
      <c r="D225" s="408"/>
      <c r="E225" s="408"/>
      <c r="F225" s="408"/>
      <c r="G225" s="408"/>
      <c r="H225" s="408"/>
      <c r="I225" s="408"/>
      <c r="J225" s="408"/>
      <c r="K225" s="408"/>
      <c r="L225" s="408"/>
      <c r="M225" s="408"/>
      <c r="N225" s="408"/>
      <c r="O225" s="408"/>
      <c r="P225" s="408"/>
      <c r="Q225" s="408"/>
      <c r="R225" s="408"/>
      <c r="S225" s="408"/>
      <c r="T225" s="408"/>
      <c r="U225" s="408"/>
      <c r="V225" s="408"/>
      <c r="W225" s="408"/>
      <c r="X225" s="408"/>
      <c r="Y225" s="408"/>
      <c r="Z225" s="408"/>
      <c r="AA225" s="408"/>
      <c r="AB225" s="408"/>
      <c r="AC225" s="408"/>
      <c r="AD225" s="408"/>
      <c r="AE225" s="408"/>
      <c r="AF225" s="408"/>
    </row>
    <row r="226" spans="2:32" x14ac:dyDescent="0.25">
      <c r="B226" s="408"/>
      <c r="C226" s="408"/>
      <c r="D226" s="408"/>
      <c r="E226" s="408"/>
      <c r="F226" s="408"/>
      <c r="G226" s="408"/>
      <c r="H226" s="408"/>
      <c r="I226" s="408"/>
      <c r="J226" s="408"/>
      <c r="K226" s="408"/>
      <c r="L226" s="408"/>
      <c r="M226" s="408"/>
      <c r="N226" s="408"/>
      <c r="O226" s="408"/>
      <c r="P226" s="408"/>
      <c r="Q226" s="408"/>
      <c r="R226" s="408"/>
      <c r="S226" s="408"/>
      <c r="T226" s="408"/>
      <c r="U226" s="408"/>
      <c r="V226" s="408"/>
      <c r="W226" s="408"/>
      <c r="X226" s="408"/>
      <c r="Y226" s="408"/>
      <c r="Z226" s="408"/>
      <c r="AA226" s="408"/>
      <c r="AB226" s="408"/>
      <c r="AC226" s="408"/>
      <c r="AD226" s="408"/>
      <c r="AE226" s="408"/>
      <c r="AF226" s="408"/>
    </row>
    <row r="227" spans="2:32" x14ac:dyDescent="0.25">
      <c r="B227" s="408"/>
      <c r="C227" s="408"/>
      <c r="D227" s="408"/>
      <c r="E227" s="408"/>
      <c r="F227" s="408"/>
      <c r="G227" s="408"/>
      <c r="H227" s="408"/>
      <c r="I227" s="408"/>
      <c r="J227" s="408"/>
      <c r="K227" s="408"/>
      <c r="L227" s="408"/>
      <c r="M227" s="408"/>
      <c r="N227" s="408"/>
      <c r="O227" s="408"/>
      <c r="P227" s="408"/>
      <c r="Q227" s="408"/>
      <c r="R227" s="408"/>
      <c r="S227" s="408"/>
      <c r="T227" s="408"/>
      <c r="U227" s="408"/>
      <c r="V227" s="408"/>
      <c r="W227" s="408"/>
      <c r="X227" s="408"/>
      <c r="Y227" s="408"/>
      <c r="Z227" s="408"/>
      <c r="AA227" s="408"/>
      <c r="AB227" s="408"/>
      <c r="AC227" s="408"/>
      <c r="AD227" s="408"/>
      <c r="AE227" s="408"/>
      <c r="AF227" s="408"/>
    </row>
    <row r="228" spans="2:32" x14ac:dyDescent="0.25">
      <c r="B228" s="408"/>
      <c r="C228" s="408"/>
      <c r="D228" s="408"/>
      <c r="E228" s="408"/>
      <c r="F228" s="408"/>
      <c r="G228" s="408"/>
      <c r="H228" s="408"/>
      <c r="I228" s="408"/>
      <c r="J228" s="408"/>
      <c r="K228" s="408"/>
      <c r="L228" s="408"/>
      <c r="M228" s="408"/>
      <c r="N228" s="408"/>
      <c r="O228" s="408"/>
      <c r="P228" s="408"/>
      <c r="Q228" s="408"/>
      <c r="R228" s="408"/>
      <c r="S228" s="408"/>
      <c r="T228" s="408"/>
      <c r="U228" s="408"/>
      <c r="V228" s="408"/>
      <c r="W228" s="408"/>
      <c r="X228" s="408"/>
      <c r="Y228" s="408"/>
      <c r="Z228" s="408"/>
      <c r="AA228" s="408"/>
      <c r="AB228" s="408"/>
      <c r="AC228" s="408"/>
      <c r="AD228" s="408"/>
      <c r="AE228" s="408"/>
      <c r="AF228" s="408"/>
    </row>
    <row r="229" spans="2:32" x14ac:dyDescent="0.25">
      <c r="B229" s="408"/>
      <c r="C229" s="408"/>
      <c r="D229" s="408"/>
      <c r="E229" s="408"/>
      <c r="F229" s="408"/>
      <c r="G229" s="408"/>
      <c r="H229" s="408"/>
      <c r="I229" s="408"/>
      <c r="J229" s="408"/>
      <c r="K229" s="408"/>
      <c r="L229" s="408"/>
      <c r="M229" s="408"/>
      <c r="N229" s="408"/>
      <c r="O229" s="408"/>
      <c r="P229" s="408"/>
      <c r="Q229" s="408"/>
      <c r="R229" s="408"/>
      <c r="S229" s="408"/>
      <c r="T229" s="408"/>
      <c r="U229" s="408"/>
      <c r="V229" s="408"/>
      <c r="W229" s="408"/>
      <c r="X229" s="408"/>
      <c r="Y229" s="408"/>
      <c r="Z229" s="408"/>
      <c r="AA229" s="408"/>
      <c r="AB229" s="408"/>
      <c r="AC229" s="408"/>
      <c r="AD229" s="408"/>
      <c r="AE229" s="408"/>
      <c r="AF229" s="408"/>
    </row>
    <row r="230" spans="2:32" x14ac:dyDescent="0.25">
      <c r="B230" s="408"/>
      <c r="C230" s="408"/>
      <c r="D230" s="408"/>
      <c r="E230" s="408"/>
      <c r="F230" s="408"/>
      <c r="G230" s="408"/>
      <c r="H230" s="408"/>
      <c r="I230" s="408"/>
      <c r="J230" s="408"/>
      <c r="K230" s="408"/>
      <c r="L230" s="408"/>
      <c r="M230" s="408"/>
      <c r="N230" s="408"/>
      <c r="O230" s="408"/>
      <c r="P230" s="408"/>
      <c r="Q230" s="408"/>
      <c r="R230" s="408"/>
      <c r="S230" s="408"/>
      <c r="T230" s="408"/>
      <c r="U230" s="408"/>
      <c r="V230" s="408"/>
      <c r="W230" s="408"/>
      <c r="X230" s="408"/>
      <c r="Y230" s="408"/>
      <c r="Z230" s="408"/>
      <c r="AA230" s="408"/>
      <c r="AB230" s="408"/>
      <c r="AC230" s="408"/>
      <c r="AD230" s="408"/>
      <c r="AE230" s="408"/>
      <c r="AF230" s="408"/>
    </row>
    <row r="231" spans="2:32" x14ac:dyDescent="0.25">
      <c r="B231" s="408"/>
      <c r="C231" s="408"/>
      <c r="D231" s="408"/>
      <c r="E231" s="408"/>
      <c r="F231" s="408"/>
      <c r="G231" s="408"/>
      <c r="H231" s="408"/>
      <c r="I231" s="408"/>
      <c r="J231" s="408"/>
      <c r="K231" s="408"/>
      <c r="L231" s="408"/>
      <c r="M231" s="408"/>
      <c r="N231" s="408"/>
      <c r="O231" s="408"/>
      <c r="P231" s="408"/>
      <c r="Q231" s="408"/>
      <c r="R231" s="408"/>
      <c r="S231" s="408"/>
      <c r="T231" s="408"/>
      <c r="U231" s="408"/>
      <c r="V231" s="408"/>
      <c r="W231" s="408"/>
      <c r="X231" s="408"/>
      <c r="Y231" s="408"/>
      <c r="Z231" s="408"/>
      <c r="AA231" s="408"/>
      <c r="AB231" s="408"/>
      <c r="AC231" s="408"/>
      <c r="AD231" s="408"/>
      <c r="AE231" s="408"/>
      <c r="AF231" s="408"/>
    </row>
    <row r="232" spans="2:32" x14ac:dyDescent="0.25">
      <c r="B232" s="408"/>
      <c r="C232" s="408"/>
      <c r="D232" s="408"/>
      <c r="E232" s="408"/>
      <c r="F232" s="408"/>
      <c r="G232" s="408"/>
      <c r="H232" s="408"/>
      <c r="I232" s="408"/>
      <c r="J232" s="408"/>
      <c r="K232" s="408"/>
      <c r="L232" s="408"/>
      <c r="M232" s="408"/>
      <c r="N232" s="408"/>
      <c r="O232" s="408"/>
      <c r="P232" s="408"/>
      <c r="Q232" s="408"/>
      <c r="R232" s="408"/>
      <c r="S232" s="408"/>
      <c r="T232" s="408"/>
      <c r="U232" s="408"/>
      <c r="V232" s="408"/>
      <c r="W232" s="408"/>
      <c r="X232" s="408"/>
      <c r="Y232" s="408"/>
      <c r="Z232" s="408"/>
      <c r="AA232" s="408"/>
      <c r="AB232" s="408"/>
      <c r="AC232" s="408"/>
      <c r="AD232" s="408"/>
      <c r="AE232" s="408"/>
      <c r="AF232" s="408"/>
    </row>
    <row r="233" spans="2:32" x14ac:dyDescent="0.25">
      <c r="B233" s="408"/>
      <c r="C233" s="408"/>
      <c r="D233" s="408"/>
      <c r="E233" s="408"/>
      <c r="F233" s="408"/>
      <c r="G233" s="408"/>
      <c r="H233" s="408"/>
      <c r="I233" s="408"/>
      <c r="J233" s="408"/>
      <c r="K233" s="408"/>
      <c r="L233" s="408"/>
      <c r="M233" s="408"/>
      <c r="N233" s="408"/>
      <c r="O233" s="408"/>
      <c r="P233" s="408"/>
      <c r="Q233" s="408"/>
      <c r="R233" s="408"/>
      <c r="S233" s="408"/>
      <c r="T233" s="408"/>
      <c r="U233" s="408"/>
      <c r="V233" s="408"/>
      <c r="W233" s="408"/>
      <c r="X233" s="408"/>
      <c r="Y233" s="408"/>
      <c r="Z233" s="408"/>
      <c r="AA233" s="408"/>
      <c r="AB233" s="408"/>
      <c r="AC233" s="408"/>
      <c r="AD233" s="408"/>
      <c r="AE233" s="408"/>
      <c r="AF233" s="408"/>
    </row>
    <row r="234" spans="2:32" x14ac:dyDescent="0.25">
      <c r="B234" s="408"/>
      <c r="C234" s="408"/>
      <c r="D234" s="408"/>
      <c r="E234" s="408"/>
      <c r="F234" s="408"/>
      <c r="G234" s="408"/>
      <c r="H234" s="408"/>
      <c r="I234" s="408"/>
      <c r="J234" s="408"/>
      <c r="K234" s="408"/>
      <c r="L234" s="408"/>
      <c r="M234" s="408"/>
      <c r="N234" s="408"/>
      <c r="O234" s="408"/>
      <c r="P234" s="408"/>
      <c r="Q234" s="408"/>
      <c r="R234" s="408"/>
      <c r="S234" s="408"/>
      <c r="T234" s="408"/>
      <c r="U234" s="408"/>
      <c r="V234" s="408"/>
      <c r="W234" s="408"/>
      <c r="X234" s="408"/>
      <c r="Y234" s="408"/>
      <c r="Z234" s="408"/>
      <c r="AA234" s="408"/>
      <c r="AB234" s="408"/>
      <c r="AC234" s="408"/>
      <c r="AD234" s="408"/>
      <c r="AE234" s="408"/>
      <c r="AF234" s="408"/>
    </row>
    <row r="235" spans="2:32" x14ac:dyDescent="0.25">
      <c r="B235" s="408"/>
      <c r="C235" s="408"/>
      <c r="D235" s="408"/>
      <c r="E235" s="408"/>
      <c r="F235" s="408"/>
      <c r="G235" s="408"/>
      <c r="H235" s="408"/>
      <c r="I235" s="408"/>
      <c r="J235" s="408"/>
      <c r="K235" s="408"/>
      <c r="L235" s="408"/>
      <c r="M235" s="408"/>
      <c r="N235" s="408"/>
      <c r="O235" s="408"/>
      <c r="P235" s="408"/>
      <c r="Q235" s="408"/>
      <c r="R235" s="408"/>
      <c r="S235" s="408"/>
      <c r="T235" s="408"/>
      <c r="U235" s="408"/>
      <c r="V235" s="408"/>
      <c r="W235" s="408"/>
      <c r="X235" s="408"/>
      <c r="Y235" s="408"/>
      <c r="Z235" s="408"/>
      <c r="AA235" s="408"/>
      <c r="AB235" s="408"/>
      <c r="AC235" s="408"/>
      <c r="AD235" s="408"/>
      <c r="AE235" s="408"/>
      <c r="AF235" s="408"/>
    </row>
    <row r="236" spans="2:32" x14ac:dyDescent="0.25">
      <c r="B236" s="408"/>
      <c r="C236" s="408"/>
      <c r="D236" s="408"/>
      <c r="E236" s="408"/>
      <c r="F236" s="408"/>
      <c r="G236" s="408"/>
      <c r="H236" s="408"/>
      <c r="I236" s="408"/>
      <c r="J236" s="408"/>
      <c r="K236" s="408"/>
      <c r="L236" s="408"/>
      <c r="M236" s="408"/>
      <c r="N236" s="408"/>
      <c r="O236" s="408"/>
      <c r="P236" s="408"/>
      <c r="Q236" s="408"/>
      <c r="R236" s="408"/>
      <c r="S236" s="408"/>
      <c r="T236" s="408"/>
      <c r="U236" s="408"/>
      <c r="V236" s="408"/>
      <c r="W236" s="408"/>
      <c r="X236" s="408"/>
      <c r="Y236" s="408"/>
      <c r="Z236" s="408"/>
      <c r="AA236" s="408"/>
      <c r="AB236" s="408"/>
      <c r="AC236" s="408"/>
      <c r="AD236" s="408"/>
      <c r="AE236" s="408"/>
      <c r="AF236" s="408"/>
    </row>
    <row r="237" spans="2:32" x14ac:dyDescent="0.25">
      <c r="B237" s="408"/>
      <c r="C237" s="408"/>
      <c r="D237" s="408"/>
      <c r="E237" s="408"/>
      <c r="F237" s="408"/>
      <c r="G237" s="408"/>
      <c r="H237" s="408"/>
      <c r="I237" s="408"/>
      <c r="J237" s="408"/>
      <c r="K237" s="408"/>
      <c r="L237" s="408"/>
      <c r="M237" s="408"/>
      <c r="N237" s="408"/>
      <c r="O237" s="408"/>
      <c r="P237" s="408"/>
      <c r="Q237" s="408"/>
      <c r="R237" s="408"/>
      <c r="S237" s="408"/>
      <c r="T237" s="408"/>
      <c r="U237" s="408"/>
      <c r="V237" s="408"/>
      <c r="W237" s="408"/>
      <c r="X237" s="408"/>
      <c r="Y237" s="408"/>
      <c r="Z237" s="408"/>
      <c r="AA237" s="408"/>
      <c r="AB237" s="408"/>
      <c r="AC237" s="408"/>
      <c r="AD237" s="408"/>
      <c r="AE237" s="408"/>
      <c r="AF237" s="408"/>
    </row>
    <row r="238" spans="2:32" x14ac:dyDescent="0.25">
      <c r="B238" s="408"/>
      <c r="C238" s="408"/>
      <c r="D238" s="408"/>
      <c r="E238" s="408"/>
      <c r="F238" s="408"/>
      <c r="G238" s="408"/>
      <c r="H238" s="408"/>
      <c r="I238" s="408"/>
      <c r="J238" s="408"/>
      <c r="K238" s="408"/>
      <c r="L238" s="408"/>
      <c r="M238" s="408"/>
      <c r="N238" s="408"/>
      <c r="O238" s="408"/>
      <c r="P238" s="408"/>
      <c r="Q238" s="408"/>
      <c r="R238" s="408"/>
      <c r="S238" s="408"/>
      <c r="T238" s="408"/>
      <c r="U238" s="408"/>
      <c r="V238" s="408"/>
      <c r="W238" s="408"/>
      <c r="X238" s="408"/>
      <c r="Y238" s="408"/>
      <c r="Z238" s="408"/>
      <c r="AA238" s="408"/>
      <c r="AB238" s="408"/>
      <c r="AC238" s="408"/>
      <c r="AD238" s="408"/>
      <c r="AE238" s="408"/>
      <c r="AF238" s="408"/>
    </row>
    <row r="239" spans="2:32" x14ac:dyDescent="0.25">
      <c r="B239" s="408"/>
      <c r="C239" s="408"/>
      <c r="D239" s="408"/>
      <c r="E239" s="408"/>
      <c r="F239" s="408"/>
      <c r="G239" s="408"/>
      <c r="H239" s="408"/>
      <c r="I239" s="408"/>
      <c r="J239" s="408"/>
      <c r="K239" s="408"/>
      <c r="L239" s="408"/>
      <c r="M239" s="408"/>
      <c r="N239" s="408"/>
      <c r="O239" s="408"/>
      <c r="P239" s="408"/>
      <c r="Q239" s="408"/>
      <c r="R239" s="408"/>
      <c r="S239" s="408"/>
      <c r="T239" s="408"/>
      <c r="U239" s="408"/>
      <c r="V239" s="408"/>
      <c r="W239" s="408"/>
      <c r="X239" s="408"/>
      <c r="Y239" s="408"/>
      <c r="Z239" s="408"/>
      <c r="AA239" s="408"/>
      <c r="AB239" s="408"/>
      <c r="AC239" s="408"/>
      <c r="AD239" s="408"/>
      <c r="AE239" s="408"/>
      <c r="AF239" s="408"/>
    </row>
    <row r="240" spans="2:32" x14ac:dyDescent="0.25">
      <c r="B240" s="408"/>
      <c r="C240" s="408"/>
      <c r="D240" s="408"/>
      <c r="E240" s="408"/>
      <c r="F240" s="408"/>
      <c r="G240" s="408"/>
      <c r="H240" s="408"/>
      <c r="I240" s="408"/>
      <c r="J240" s="408"/>
      <c r="K240" s="408"/>
      <c r="L240" s="408"/>
      <c r="M240" s="408"/>
      <c r="N240" s="408"/>
      <c r="O240" s="408"/>
      <c r="P240" s="408"/>
      <c r="Q240" s="408"/>
      <c r="R240" s="408"/>
      <c r="S240" s="408"/>
      <c r="T240" s="408"/>
      <c r="U240" s="408"/>
      <c r="V240" s="408"/>
      <c r="W240" s="408"/>
      <c r="X240" s="408"/>
      <c r="Y240" s="408"/>
      <c r="Z240" s="408"/>
      <c r="AA240" s="408"/>
      <c r="AB240" s="408"/>
      <c r="AC240" s="408"/>
      <c r="AD240" s="408"/>
      <c r="AE240" s="408"/>
      <c r="AF240" s="408"/>
    </row>
    <row r="241" spans="2:32" x14ac:dyDescent="0.25">
      <c r="B241" s="408"/>
      <c r="C241" s="408"/>
      <c r="D241" s="408"/>
      <c r="E241" s="408"/>
      <c r="F241" s="408"/>
      <c r="G241" s="408"/>
      <c r="H241" s="408"/>
      <c r="I241" s="408"/>
      <c r="J241" s="408"/>
      <c r="K241" s="408"/>
      <c r="L241" s="408"/>
      <c r="M241" s="408"/>
      <c r="N241" s="408"/>
      <c r="O241" s="408"/>
      <c r="P241" s="408"/>
      <c r="Q241" s="408"/>
      <c r="R241" s="408"/>
      <c r="S241" s="408"/>
      <c r="T241" s="408"/>
      <c r="U241" s="408"/>
      <c r="V241" s="408"/>
      <c r="W241" s="408"/>
      <c r="X241" s="408"/>
      <c r="Y241" s="408"/>
      <c r="Z241" s="408"/>
      <c r="AA241" s="408"/>
      <c r="AB241" s="408"/>
      <c r="AC241" s="408"/>
      <c r="AD241" s="408"/>
      <c r="AE241" s="408"/>
      <c r="AF241" s="408"/>
    </row>
    <row r="242" spans="2:32" x14ac:dyDescent="0.25">
      <c r="B242" s="408"/>
      <c r="C242" s="408"/>
      <c r="D242" s="408"/>
      <c r="E242" s="408"/>
      <c r="F242" s="408"/>
      <c r="G242" s="408"/>
      <c r="H242" s="408"/>
      <c r="I242" s="408"/>
      <c r="J242" s="408"/>
      <c r="K242" s="408"/>
      <c r="L242" s="408"/>
      <c r="M242" s="408"/>
      <c r="N242" s="408"/>
      <c r="O242" s="408"/>
      <c r="P242" s="408"/>
      <c r="Q242" s="408"/>
      <c r="R242" s="408"/>
      <c r="S242" s="408"/>
      <c r="T242" s="408"/>
      <c r="U242" s="408"/>
      <c r="V242" s="408"/>
      <c r="W242" s="408"/>
      <c r="X242" s="408"/>
      <c r="Y242" s="408"/>
      <c r="Z242" s="408"/>
      <c r="AA242" s="408"/>
      <c r="AB242" s="408"/>
      <c r="AC242" s="408"/>
      <c r="AD242" s="408"/>
      <c r="AE242" s="408"/>
      <c r="AF242" s="408"/>
    </row>
    <row r="243" spans="2:32" x14ac:dyDescent="0.25">
      <c r="B243" s="408"/>
      <c r="C243" s="408"/>
      <c r="D243" s="408"/>
      <c r="E243" s="408"/>
      <c r="F243" s="408"/>
      <c r="G243" s="408"/>
      <c r="H243" s="408"/>
      <c r="I243" s="408"/>
      <c r="J243" s="408"/>
      <c r="K243" s="408"/>
      <c r="L243" s="408"/>
      <c r="M243" s="408"/>
      <c r="N243" s="408"/>
      <c r="O243" s="408"/>
      <c r="P243" s="408"/>
      <c r="Q243" s="408"/>
      <c r="R243" s="408"/>
      <c r="S243" s="408"/>
      <c r="T243" s="408"/>
      <c r="U243" s="408"/>
      <c r="V243" s="408"/>
      <c r="W243" s="408"/>
      <c r="X243" s="408"/>
      <c r="Y243" s="408"/>
      <c r="Z243" s="408"/>
      <c r="AA243" s="408"/>
      <c r="AB243" s="408"/>
      <c r="AC243" s="408"/>
      <c r="AD243" s="408"/>
      <c r="AE243" s="408"/>
      <c r="AF243" s="408"/>
    </row>
    <row r="244" spans="2:32" x14ac:dyDescent="0.25">
      <c r="B244" s="408"/>
      <c r="C244" s="408"/>
      <c r="D244" s="408"/>
      <c r="E244" s="408"/>
      <c r="F244" s="408"/>
      <c r="G244" s="408"/>
      <c r="H244" s="408"/>
      <c r="I244" s="408"/>
      <c r="J244" s="408"/>
      <c r="K244" s="408"/>
      <c r="L244" s="408"/>
      <c r="M244" s="408"/>
      <c r="N244" s="408"/>
      <c r="O244" s="408"/>
      <c r="P244" s="408"/>
      <c r="Q244" s="408"/>
      <c r="R244" s="408"/>
      <c r="S244" s="408"/>
      <c r="T244" s="408"/>
      <c r="U244" s="408"/>
      <c r="V244" s="408"/>
      <c r="W244" s="408"/>
      <c r="X244" s="408"/>
      <c r="Y244" s="408"/>
      <c r="Z244" s="408"/>
      <c r="AA244" s="408"/>
      <c r="AB244" s="408"/>
      <c r="AC244" s="408"/>
      <c r="AD244" s="408"/>
      <c r="AE244" s="408"/>
      <c r="AF244" s="408"/>
    </row>
    <row r="245" spans="2:32" x14ac:dyDescent="0.25">
      <c r="B245" s="408"/>
      <c r="C245" s="408"/>
      <c r="D245" s="408"/>
      <c r="E245" s="408"/>
      <c r="F245" s="408"/>
      <c r="G245" s="408"/>
      <c r="H245" s="408"/>
      <c r="I245" s="408"/>
      <c r="J245" s="408"/>
      <c r="K245" s="408"/>
      <c r="L245" s="408"/>
      <c r="M245" s="408"/>
      <c r="N245" s="408"/>
      <c r="O245" s="408"/>
      <c r="P245" s="408"/>
      <c r="Q245" s="408"/>
      <c r="R245" s="408"/>
      <c r="S245" s="408"/>
      <c r="T245" s="408"/>
      <c r="U245" s="408"/>
      <c r="V245" s="408"/>
      <c r="W245" s="408"/>
      <c r="X245" s="408"/>
      <c r="Y245" s="408"/>
      <c r="Z245" s="408"/>
      <c r="AA245" s="408"/>
      <c r="AB245" s="408"/>
      <c r="AC245" s="408"/>
      <c r="AD245" s="408"/>
      <c r="AE245" s="408"/>
      <c r="AF245" s="408"/>
    </row>
    <row r="246" spans="2:32" x14ac:dyDescent="0.25">
      <c r="B246" s="408"/>
      <c r="C246" s="408"/>
      <c r="D246" s="408"/>
      <c r="E246" s="408"/>
      <c r="F246" s="408"/>
      <c r="G246" s="408"/>
      <c r="H246" s="408"/>
      <c r="I246" s="408"/>
      <c r="J246" s="408"/>
      <c r="K246" s="408"/>
      <c r="L246" s="408"/>
      <c r="M246" s="408"/>
      <c r="N246" s="408"/>
      <c r="O246" s="408"/>
      <c r="P246" s="408"/>
      <c r="Q246" s="408"/>
      <c r="R246" s="408"/>
      <c r="S246" s="408"/>
      <c r="T246" s="408"/>
      <c r="U246" s="408"/>
      <c r="V246" s="408"/>
      <c r="W246" s="408"/>
      <c r="X246" s="408"/>
      <c r="Y246" s="408"/>
      <c r="Z246" s="408"/>
      <c r="AA246" s="408"/>
      <c r="AB246" s="408"/>
      <c r="AC246" s="408"/>
      <c r="AD246" s="408"/>
      <c r="AE246" s="408"/>
      <c r="AF246" s="408"/>
    </row>
    <row r="247" spans="2:32" x14ac:dyDescent="0.25">
      <c r="B247" s="408"/>
      <c r="C247" s="408"/>
      <c r="D247" s="408"/>
      <c r="E247" s="408"/>
      <c r="F247" s="408"/>
      <c r="G247" s="408"/>
      <c r="H247" s="408"/>
      <c r="I247" s="408"/>
      <c r="J247" s="408"/>
      <c r="K247" s="408"/>
      <c r="L247" s="408"/>
      <c r="M247" s="408"/>
      <c r="N247" s="408"/>
      <c r="O247" s="408"/>
      <c r="P247" s="408"/>
      <c r="Q247" s="408"/>
      <c r="R247" s="408"/>
      <c r="S247" s="408"/>
      <c r="T247" s="408"/>
      <c r="U247" s="408"/>
      <c r="V247" s="408"/>
      <c r="W247" s="408"/>
      <c r="X247" s="408"/>
      <c r="Y247" s="408"/>
      <c r="Z247" s="408"/>
      <c r="AA247" s="408"/>
      <c r="AB247" s="408"/>
      <c r="AC247" s="408"/>
      <c r="AD247" s="408"/>
      <c r="AE247" s="408"/>
      <c r="AF247" s="408"/>
    </row>
    <row r="248" spans="2:32" x14ac:dyDescent="0.25">
      <c r="B248" s="408"/>
      <c r="C248" s="408"/>
      <c r="D248" s="408"/>
      <c r="E248" s="408"/>
      <c r="F248" s="408"/>
      <c r="G248" s="408"/>
      <c r="H248" s="408"/>
      <c r="I248" s="408"/>
      <c r="J248" s="408"/>
      <c r="K248" s="408"/>
      <c r="L248" s="408"/>
      <c r="M248" s="408"/>
      <c r="N248" s="408"/>
      <c r="O248" s="408"/>
      <c r="P248" s="408"/>
      <c r="Q248" s="408"/>
      <c r="R248" s="408"/>
      <c r="S248" s="408"/>
      <c r="T248" s="408"/>
      <c r="U248" s="408"/>
      <c r="V248" s="408"/>
      <c r="W248" s="408"/>
      <c r="X248" s="408"/>
      <c r="Y248" s="408"/>
      <c r="Z248" s="408"/>
      <c r="AA248" s="408"/>
      <c r="AB248" s="408"/>
      <c r="AC248" s="408"/>
      <c r="AD248" s="408"/>
      <c r="AE248" s="408"/>
      <c r="AF248" s="408"/>
    </row>
    <row r="249" spans="2:32" x14ac:dyDescent="0.25">
      <c r="B249" s="408"/>
      <c r="C249" s="408"/>
      <c r="D249" s="408"/>
      <c r="E249" s="408"/>
      <c r="F249" s="408"/>
      <c r="G249" s="408"/>
      <c r="H249" s="408"/>
      <c r="I249" s="408"/>
      <c r="J249" s="408"/>
      <c r="K249" s="408"/>
      <c r="L249" s="408"/>
      <c r="M249" s="408"/>
      <c r="N249" s="408"/>
      <c r="O249" s="408"/>
      <c r="P249" s="408"/>
      <c r="Q249" s="408"/>
      <c r="R249" s="408"/>
      <c r="S249" s="408"/>
      <c r="T249" s="408"/>
      <c r="U249" s="408"/>
      <c r="V249" s="408"/>
      <c r="W249" s="408"/>
      <c r="X249" s="408"/>
      <c r="Y249" s="408"/>
      <c r="Z249" s="408"/>
      <c r="AA249" s="408"/>
      <c r="AB249" s="408"/>
      <c r="AC249" s="408"/>
      <c r="AD249" s="408"/>
      <c r="AE249" s="408"/>
      <c r="AF249" s="408"/>
    </row>
    <row r="250" spans="2:32" x14ac:dyDescent="0.25">
      <c r="B250" s="408"/>
      <c r="C250" s="408"/>
      <c r="D250" s="408"/>
      <c r="E250" s="408"/>
      <c r="F250" s="408"/>
      <c r="G250" s="408"/>
      <c r="H250" s="408"/>
      <c r="I250" s="408"/>
      <c r="J250" s="408"/>
      <c r="K250" s="408"/>
      <c r="L250" s="408"/>
      <c r="M250" s="408"/>
      <c r="N250" s="408"/>
      <c r="O250" s="408"/>
      <c r="P250" s="408"/>
      <c r="Q250" s="408"/>
      <c r="R250" s="408"/>
      <c r="S250" s="408"/>
      <c r="T250" s="408"/>
      <c r="U250" s="408"/>
      <c r="V250" s="408"/>
      <c r="W250" s="408"/>
      <c r="X250" s="408"/>
      <c r="Y250" s="408"/>
      <c r="Z250" s="408"/>
      <c r="AA250" s="408"/>
      <c r="AB250" s="408"/>
      <c r="AC250" s="408"/>
      <c r="AD250" s="408"/>
      <c r="AE250" s="408"/>
      <c r="AF250" s="408"/>
    </row>
    <row r="251" spans="2:32" x14ac:dyDescent="0.25">
      <c r="B251" s="408"/>
      <c r="C251" s="408"/>
      <c r="D251" s="408"/>
      <c r="E251" s="408"/>
      <c r="F251" s="408"/>
      <c r="G251" s="408"/>
      <c r="H251" s="408"/>
      <c r="I251" s="408"/>
      <c r="J251" s="408"/>
      <c r="K251" s="408"/>
      <c r="L251" s="408"/>
      <c r="M251" s="408"/>
      <c r="N251" s="408"/>
      <c r="O251" s="408"/>
      <c r="P251" s="408"/>
      <c r="Q251" s="408"/>
      <c r="R251" s="408"/>
      <c r="S251" s="408"/>
      <c r="T251" s="408"/>
      <c r="U251" s="408"/>
      <c r="V251" s="408"/>
      <c r="W251" s="408"/>
      <c r="X251" s="408"/>
      <c r="Y251" s="408"/>
      <c r="Z251" s="408"/>
      <c r="AA251" s="408"/>
      <c r="AB251" s="408"/>
      <c r="AC251" s="408"/>
      <c r="AD251" s="408"/>
      <c r="AE251" s="408"/>
      <c r="AF251" s="408"/>
    </row>
    <row r="252" spans="2:32" x14ac:dyDescent="0.25">
      <c r="B252" s="408"/>
      <c r="C252" s="408"/>
      <c r="D252" s="408"/>
      <c r="E252" s="408"/>
      <c r="F252" s="408"/>
      <c r="G252" s="408"/>
      <c r="H252" s="408"/>
      <c r="I252" s="408"/>
      <c r="J252" s="408"/>
      <c r="K252" s="408"/>
      <c r="L252" s="408"/>
      <c r="M252" s="408"/>
      <c r="N252" s="408"/>
      <c r="O252" s="408"/>
      <c r="P252" s="408"/>
      <c r="Q252" s="408"/>
      <c r="R252" s="408"/>
      <c r="S252" s="408"/>
      <c r="T252" s="408"/>
      <c r="U252" s="408"/>
      <c r="V252" s="408"/>
      <c r="W252" s="408"/>
      <c r="X252" s="408"/>
      <c r="Y252" s="408"/>
      <c r="Z252" s="408"/>
      <c r="AA252" s="408"/>
      <c r="AB252" s="408"/>
      <c r="AC252" s="408"/>
      <c r="AD252" s="408"/>
      <c r="AE252" s="408"/>
      <c r="AF252" s="408"/>
    </row>
    <row r="253" spans="2:32" x14ac:dyDescent="0.25">
      <c r="B253" s="408"/>
      <c r="C253" s="408"/>
      <c r="D253" s="408"/>
      <c r="E253" s="408"/>
      <c r="F253" s="408"/>
      <c r="G253" s="408"/>
      <c r="H253" s="408"/>
      <c r="I253" s="408"/>
      <c r="J253" s="408"/>
      <c r="K253" s="408"/>
      <c r="L253" s="408"/>
      <c r="M253" s="408"/>
      <c r="N253" s="408"/>
      <c r="O253" s="408"/>
      <c r="P253" s="408"/>
      <c r="Q253" s="408"/>
      <c r="R253" s="408"/>
      <c r="S253" s="408"/>
      <c r="T253" s="408"/>
      <c r="U253" s="408"/>
      <c r="V253" s="408"/>
      <c r="W253" s="408"/>
      <c r="X253" s="408"/>
      <c r="Y253" s="408"/>
      <c r="Z253" s="408"/>
      <c r="AA253" s="408"/>
      <c r="AB253" s="408"/>
      <c r="AC253" s="408"/>
      <c r="AD253" s="408"/>
      <c r="AE253" s="408"/>
      <c r="AF253" s="408"/>
    </row>
    <row r="254" spans="2:32" x14ac:dyDescent="0.25">
      <c r="B254" s="408"/>
      <c r="C254" s="408"/>
      <c r="D254" s="408"/>
      <c r="E254" s="408"/>
      <c r="F254" s="408"/>
      <c r="G254" s="408"/>
      <c r="H254" s="408"/>
      <c r="I254" s="408"/>
      <c r="J254" s="408"/>
      <c r="K254" s="408"/>
      <c r="L254" s="408"/>
      <c r="M254" s="408"/>
      <c r="N254" s="408"/>
      <c r="O254" s="408"/>
      <c r="P254" s="408"/>
      <c r="Q254" s="408"/>
      <c r="R254" s="408"/>
      <c r="S254" s="408"/>
      <c r="T254" s="408"/>
      <c r="U254" s="408"/>
      <c r="V254" s="408"/>
      <c r="W254" s="408"/>
      <c r="X254" s="408"/>
      <c r="Y254" s="408"/>
      <c r="Z254" s="408"/>
      <c r="AA254" s="408"/>
      <c r="AB254" s="408"/>
      <c r="AC254" s="408"/>
      <c r="AD254" s="408"/>
      <c r="AE254" s="408"/>
      <c r="AF254" s="408"/>
    </row>
    <row r="255" spans="2:32" x14ac:dyDescent="0.25">
      <c r="B255" s="408"/>
      <c r="C255" s="408"/>
      <c r="D255" s="408"/>
      <c r="E255" s="408"/>
      <c r="F255" s="408"/>
      <c r="G255" s="408"/>
      <c r="H255" s="408"/>
      <c r="I255" s="408"/>
      <c r="J255" s="408"/>
      <c r="K255" s="408"/>
      <c r="L255" s="408"/>
      <c r="M255" s="408"/>
      <c r="N255" s="408"/>
      <c r="O255" s="408"/>
      <c r="P255" s="408"/>
      <c r="Q255" s="408"/>
      <c r="R255" s="408"/>
      <c r="S255" s="408"/>
      <c r="T255" s="408"/>
      <c r="U255" s="408"/>
      <c r="V255" s="408"/>
      <c r="W255" s="408"/>
      <c r="X255" s="408"/>
      <c r="Y255" s="408"/>
      <c r="Z255" s="408"/>
      <c r="AA255" s="408"/>
      <c r="AB255" s="408"/>
      <c r="AC255" s="408"/>
      <c r="AD255" s="408"/>
      <c r="AE255" s="408"/>
      <c r="AF255" s="408"/>
    </row>
    <row r="256" spans="2:32" x14ac:dyDescent="0.25">
      <c r="B256" s="408"/>
      <c r="C256" s="408"/>
      <c r="D256" s="408"/>
      <c r="E256" s="408"/>
      <c r="F256" s="408"/>
      <c r="G256" s="408"/>
      <c r="H256" s="408"/>
      <c r="I256" s="408"/>
      <c r="J256" s="408"/>
      <c r="K256" s="408"/>
      <c r="L256" s="408"/>
      <c r="M256" s="408"/>
      <c r="N256" s="408"/>
      <c r="O256" s="408"/>
      <c r="P256" s="408"/>
      <c r="Q256" s="408"/>
      <c r="R256" s="408"/>
      <c r="S256" s="408"/>
      <c r="T256" s="408"/>
      <c r="U256" s="408"/>
      <c r="V256" s="408"/>
      <c r="W256" s="408"/>
      <c r="X256" s="408"/>
      <c r="Y256" s="408"/>
      <c r="Z256" s="408"/>
      <c r="AA256" s="408"/>
      <c r="AB256" s="408"/>
      <c r="AC256" s="408"/>
      <c r="AD256" s="408"/>
      <c r="AE256" s="408"/>
      <c r="AF256" s="408"/>
    </row>
    <row r="257" spans="2:32" x14ac:dyDescent="0.25">
      <c r="B257" s="408"/>
      <c r="C257" s="408"/>
      <c r="D257" s="408"/>
      <c r="E257" s="408"/>
      <c r="F257" s="408"/>
      <c r="G257" s="408"/>
      <c r="H257" s="408"/>
      <c r="I257" s="408"/>
      <c r="J257" s="408"/>
      <c r="K257" s="408"/>
      <c r="L257" s="408"/>
      <c r="M257" s="408"/>
      <c r="N257" s="408"/>
      <c r="O257" s="408"/>
      <c r="P257" s="408"/>
      <c r="Q257" s="408"/>
      <c r="R257" s="408"/>
      <c r="S257" s="408"/>
      <c r="T257" s="408"/>
      <c r="U257" s="408"/>
      <c r="V257" s="408"/>
      <c r="W257" s="408"/>
      <c r="X257" s="408"/>
      <c r="Y257" s="408"/>
      <c r="Z257" s="408"/>
      <c r="AA257" s="408"/>
      <c r="AB257" s="408"/>
      <c r="AC257" s="408"/>
      <c r="AD257" s="408"/>
      <c r="AE257" s="408"/>
      <c r="AF257" s="408"/>
    </row>
  </sheetData>
  <mergeCells count="37">
    <mergeCell ref="G1:AB1"/>
    <mergeCell ref="AC1:AG1"/>
    <mergeCell ref="A51:B51"/>
    <mergeCell ref="C51:F51"/>
    <mergeCell ref="G51:K51"/>
    <mergeCell ref="O51:R51"/>
    <mergeCell ref="G63:K63"/>
    <mergeCell ref="A52:A53"/>
    <mergeCell ref="C52:C53"/>
    <mergeCell ref="D52:F52"/>
    <mergeCell ref="G52:K52"/>
    <mergeCell ref="P52:P53"/>
    <mergeCell ref="Q52:Q53"/>
    <mergeCell ref="R52:R53"/>
    <mergeCell ref="G54:K54"/>
    <mergeCell ref="G59:K59"/>
    <mergeCell ref="L52:N52"/>
    <mergeCell ref="O52:O53"/>
    <mergeCell ref="A104:A105"/>
    <mergeCell ref="C104:C105"/>
    <mergeCell ref="D104:F104"/>
    <mergeCell ref="G104:K104"/>
    <mergeCell ref="L104:N104"/>
    <mergeCell ref="A116:A117"/>
    <mergeCell ref="C116:C117"/>
    <mergeCell ref="D116:F116"/>
    <mergeCell ref="G116:K116"/>
    <mergeCell ref="L116:N116"/>
    <mergeCell ref="Q116:Q117"/>
    <mergeCell ref="R116:R117"/>
    <mergeCell ref="N127:O127"/>
    <mergeCell ref="P104:P105"/>
    <mergeCell ref="Q104:Q105"/>
    <mergeCell ref="R104:R105"/>
    <mergeCell ref="O116:O117"/>
    <mergeCell ref="P116:P117"/>
    <mergeCell ref="O104:O105"/>
  </mergeCells>
  <conditionalFormatting sqref="N55:N56">
    <cfRule type="cellIs" dxfId="11" priority="8" operator="greaterThan">
      <formula>0.5625</formula>
    </cfRule>
    <cfRule type="cellIs" dxfId="10" priority="9" operator="greaterThan">
      <formula>1.3125</formula>
    </cfRule>
  </conditionalFormatting>
  <conditionalFormatting sqref="N58:N63">
    <cfRule type="cellIs" dxfId="9" priority="6" operator="greaterThan">
      <formula>0.5625</formula>
    </cfRule>
    <cfRule type="cellIs" dxfId="8" priority="7" operator="greaterThan">
      <formula>1.3125</formula>
    </cfRule>
  </conditionalFormatting>
  <conditionalFormatting sqref="N64:N77">
    <cfRule type="cellIs" dxfId="7" priority="2" operator="greaterThan">
      <formula>0.75</formula>
    </cfRule>
  </conditionalFormatting>
  <conditionalFormatting sqref="O106:O113">
    <cfRule type="cellIs" dxfId="6" priority="5" operator="greaterThan">
      <formula>0.499305555555556</formula>
    </cfRule>
  </conditionalFormatting>
  <conditionalFormatting sqref="O54:P101 P106:P113 O118:P124">
    <cfRule type="cellIs" dxfId="5" priority="4" operator="greaterThan">
      <formula>0.375</formula>
    </cfRule>
  </conditionalFormatting>
  <conditionalFormatting sqref="P54:P101 P106:P113 P118:P124">
    <cfRule type="cellIs" dxfId="4" priority="3" operator="greaterThan">
      <formula>0.368055555555556</formula>
    </cfRule>
  </conditionalFormatting>
  <conditionalFormatting sqref="P106:P112">
    <cfRule type="cellIs" dxfId="3" priority="10" operator="lessThan">
      <formula>0.25</formula>
    </cfRule>
  </conditionalFormatting>
  <conditionalFormatting sqref="Q54:R65">
    <cfRule type="cellIs" dxfId="2" priority="1" operator="greaterThan">
      <formula>0.0694444444444444</formula>
    </cfRule>
  </conditionalFormatting>
  <pageMargins left="0.7" right="0.7" top="0.75" bottom="0.75" header="0.3" footer="0.3"/>
  <pageSetup paperSize="8" scale="5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285B-97CE-43ED-8F65-B8388BBC2F8B}">
  <sheetPr>
    <tabColor rgb="FFFFFF00"/>
    <pageSetUpPr fitToPage="1"/>
  </sheetPr>
  <dimension ref="A1:AM132"/>
  <sheetViews>
    <sheetView tabSelected="1" view="pageBreakPreview" topLeftCell="A28" zoomScale="60" zoomScaleNormal="100" workbookViewId="0">
      <selection activeCell="A56" sqref="A56:R109"/>
    </sheetView>
  </sheetViews>
  <sheetFormatPr defaultColWidth="9.28515625" defaultRowHeight="15.75" x14ac:dyDescent="0.25"/>
  <cols>
    <col min="1" max="1" width="20.7109375" style="1" customWidth="1"/>
    <col min="2" max="19" width="12.7109375" style="1" customWidth="1"/>
    <col min="20" max="21" width="20.7109375" style="1" customWidth="1"/>
    <col min="22" max="27" width="10.7109375" style="1" customWidth="1"/>
    <col min="28" max="31" width="10.7109375" style="1" hidden="1" customWidth="1"/>
    <col min="32" max="32" width="15.7109375" style="1" hidden="1" customWidth="1"/>
    <col min="33" max="33" width="9.28515625" style="1" hidden="1" customWidth="1"/>
    <col min="34" max="36" width="15.7109375" style="1" hidden="1" customWidth="1"/>
    <col min="37" max="37" width="15.7109375" style="1" customWidth="1"/>
    <col min="38" max="16384" width="9.28515625" style="1"/>
  </cols>
  <sheetData>
    <row r="1" spans="1:39" ht="50.1" customHeight="1" thickBot="1" x14ac:dyDescent="0.3">
      <c r="A1" s="761" t="s">
        <v>682</v>
      </c>
      <c r="B1" s="762"/>
      <c r="C1" s="762"/>
      <c r="D1" s="762"/>
      <c r="E1" s="751" t="s">
        <v>851</v>
      </c>
      <c r="F1" s="751"/>
      <c r="G1" s="751"/>
      <c r="H1" s="751"/>
      <c r="I1" s="751"/>
      <c r="J1" s="751"/>
      <c r="K1" s="751"/>
      <c r="L1" s="751"/>
      <c r="M1" s="751"/>
      <c r="N1" s="751"/>
      <c r="O1" s="751"/>
      <c r="P1" s="751"/>
      <c r="Q1" s="763">
        <v>44469</v>
      </c>
      <c r="R1" s="764"/>
      <c r="S1" s="764"/>
      <c r="T1" s="765"/>
      <c r="AB1" s="219" t="s">
        <v>160</v>
      </c>
      <c r="AC1" s="534" t="s">
        <v>161</v>
      </c>
      <c r="AD1" s="535" t="s">
        <v>162</v>
      </c>
      <c r="AE1" s="218" t="s">
        <v>163</v>
      </c>
      <c r="AG1" s="218" t="s">
        <v>163</v>
      </c>
      <c r="AH1" s="534" t="s">
        <v>164</v>
      </c>
      <c r="AI1" s="535" t="s">
        <v>166</v>
      </c>
      <c r="AJ1" s="219" t="s">
        <v>160</v>
      </c>
    </row>
    <row r="2" spans="1:39" ht="16.5" thickBot="1" x14ac:dyDescent="0.3">
      <c r="A2" s="536"/>
      <c r="B2" s="537"/>
      <c r="C2" s="538" t="s">
        <v>852</v>
      </c>
      <c r="D2" s="539"/>
      <c r="E2" s="538" t="s">
        <v>47</v>
      </c>
      <c r="F2" s="538" t="s">
        <v>49</v>
      </c>
      <c r="G2" s="443"/>
      <c r="H2" s="538" t="s">
        <v>8</v>
      </c>
      <c r="I2" s="538" t="s">
        <v>684</v>
      </c>
      <c r="J2" s="538" t="s">
        <v>12</v>
      </c>
      <c r="K2" s="540"/>
      <c r="L2" s="538" t="s">
        <v>14</v>
      </c>
      <c r="M2" s="443"/>
      <c r="N2" s="538" t="s">
        <v>41</v>
      </c>
      <c r="O2" s="399" t="s">
        <v>690</v>
      </c>
      <c r="P2" s="422"/>
      <c r="Q2" s="443"/>
      <c r="R2" s="399" t="s">
        <v>685</v>
      </c>
      <c r="S2" s="541" t="s">
        <v>688</v>
      </c>
      <c r="T2" s="542"/>
      <c r="AB2" s="308">
        <v>0.24305555555555555</v>
      </c>
      <c r="AC2" s="543">
        <v>0.25</v>
      </c>
      <c r="AD2" s="543">
        <v>0.27083333333333331</v>
      </c>
      <c r="AE2" s="360">
        <v>0.3263888888888889</v>
      </c>
      <c r="AG2" s="253">
        <v>0.22916666666666666</v>
      </c>
      <c r="AH2" s="421">
        <v>0.25</v>
      </c>
      <c r="AI2" s="421">
        <v>0.2638888888888889</v>
      </c>
      <c r="AJ2" s="227">
        <v>0.2986111111111111</v>
      </c>
      <c r="AL2" s="408"/>
      <c r="AM2" s="408"/>
    </row>
    <row r="3" spans="1:39" ht="16.5" thickBot="1" x14ac:dyDescent="0.3">
      <c r="A3" s="413"/>
      <c r="B3" s="425"/>
      <c r="C3" s="409" t="s">
        <v>58</v>
      </c>
      <c r="D3" s="544"/>
      <c r="E3" s="409" t="s">
        <v>94</v>
      </c>
      <c r="F3" s="409" t="s">
        <v>96</v>
      </c>
      <c r="G3" s="443"/>
      <c r="H3" s="409" t="s">
        <v>62</v>
      </c>
      <c r="I3" s="409" t="s">
        <v>93</v>
      </c>
      <c r="J3" s="409" t="s">
        <v>66</v>
      </c>
      <c r="K3" s="545"/>
      <c r="L3" s="409" t="s">
        <v>68</v>
      </c>
      <c r="M3" s="443"/>
      <c r="N3" s="546" t="s">
        <v>90</v>
      </c>
      <c r="O3" s="409" t="s">
        <v>69</v>
      </c>
      <c r="P3" s="422"/>
      <c r="Q3" s="443"/>
      <c r="R3" s="547" t="s">
        <v>97</v>
      </c>
      <c r="S3" s="548" t="s">
        <v>63</v>
      </c>
      <c r="T3" s="420"/>
      <c r="U3" s="408"/>
      <c r="AB3" s="227">
        <v>0.28472222222222221</v>
      </c>
      <c r="AC3" s="421">
        <v>0.29166666666666669</v>
      </c>
      <c r="AD3" s="421">
        <v>0.3125</v>
      </c>
      <c r="AE3" s="253">
        <v>0.36805555555555558</v>
      </c>
      <c r="AG3" s="253">
        <v>0.27083333333333331</v>
      </c>
      <c r="AH3" s="421">
        <v>0.29166666666666669</v>
      </c>
      <c r="AI3" s="421">
        <v>0.30555555555555558</v>
      </c>
      <c r="AJ3" s="227">
        <v>0.34027777777777779</v>
      </c>
      <c r="AL3" s="408"/>
      <c r="AM3" s="408"/>
    </row>
    <row r="4" spans="1:39" x14ac:dyDescent="0.25">
      <c r="A4" s="413" t="s">
        <v>104</v>
      </c>
      <c r="B4" s="425"/>
      <c r="C4" s="422" t="s">
        <v>853</v>
      </c>
      <c r="D4" s="415"/>
      <c r="E4" s="416" t="s">
        <v>854</v>
      </c>
      <c r="F4" s="416" t="s">
        <v>855</v>
      </c>
      <c r="G4" s="443"/>
      <c r="H4" s="416" t="s">
        <v>856</v>
      </c>
      <c r="I4" s="416" t="s">
        <v>857</v>
      </c>
      <c r="J4" s="416" t="s">
        <v>858</v>
      </c>
      <c r="K4" s="415"/>
      <c r="L4" s="416" t="s">
        <v>859</v>
      </c>
      <c r="M4" s="443"/>
      <c r="N4" s="416" t="s">
        <v>860</v>
      </c>
      <c r="O4" s="549" t="s">
        <v>861</v>
      </c>
      <c r="P4" s="416"/>
      <c r="Q4" s="443"/>
      <c r="R4" s="416" t="s">
        <v>862</v>
      </c>
      <c r="S4" s="419" t="s">
        <v>863</v>
      </c>
      <c r="T4" s="420" t="s">
        <v>104</v>
      </c>
      <c r="U4" s="408"/>
      <c r="AB4" s="227">
        <v>0.2986111111111111</v>
      </c>
      <c r="AC4" s="421">
        <v>0.30555555555555558</v>
      </c>
      <c r="AD4" s="421">
        <v>0.3263888888888889</v>
      </c>
      <c r="AE4" s="253">
        <v>0.37847222222222221</v>
      </c>
      <c r="AG4" s="253">
        <v>0.28472222222222221</v>
      </c>
      <c r="AH4" s="421">
        <v>0.30555555555555558</v>
      </c>
      <c r="AI4" s="421">
        <v>0.31944444444444442</v>
      </c>
      <c r="AJ4" s="227">
        <v>0.35416666666666669</v>
      </c>
      <c r="AL4" s="408"/>
      <c r="AM4" s="408"/>
    </row>
    <row r="5" spans="1:39" x14ac:dyDescent="0.25">
      <c r="A5" s="413"/>
      <c r="B5" s="425"/>
      <c r="C5" s="422"/>
      <c r="D5" s="415"/>
      <c r="E5" s="416"/>
      <c r="F5" s="416"/>
      <c r="G5" s="443"/>
      <c r="H5" s="416"/>
      <c r="I5" s="416"/>
      <c r="J5" s="416"/>
      <c r="K5" s="415"/>
      <c r="L5" s="416"/>
      <c r="M5" s="443"/>
      <c r="N5" s="416"/>
      <c r="O5" s="549"/>
      <c r="P5" s="416"/>
      <c r="Q5" s="443"/>
      <c r="R5" s="416"/>
      <c r="S5" s="419"/>
      <c r="T5" s="420"/>
      <c r="U5" s="408"/>
      <c r="AB5" s="227">
        <v>0.3125</v>
      </c>
      <c r="AC5" s="421">
        <v>0.31944444444444442</v>
      </c>
      <c r="AD5" s="421">
        <v>0.34027777777777779</v>
      </c>
      <c r="AE5" s="253">
        <v>0.3923611111111111</v>
      </c>
      <c r="AG5" s="253">
        <v>0.2986111111111111</v>
      </c>
      <c r="AH5" s="421">
        <v>0.31944444444444442</v>
      </c>
      <c r="AI5" s="421">
        <v>0.33333333333333331</v>
      </c>
      <c r="AJ5" s="227">
        <v>0.36805555555555558</v>
      </c>
      <c r="AL5" s="408"/>
      <c r="AM5" s="408"/>
    </row>
    <row r="6" spans="1:39" x14ac:dyDescent="0.25">
      <c r="A6" s="424"/>
      <c r="B6" s="425"/>
      <c r="C6" s="444"/>
      <c r="D6" s="443"/>
      <c r="E6" s="443"/>
      <c r="F6" s="443"/>
      <c r="G6" s="443"/>
      <c r="H6" s="443"/>
      <c r="I6" s="443"/>
      <c r="J6" s="443"/>
      <c r="K6" s="443"/>
      <c r="L6" s="443"/>
      <c r="M6" s="443"/>
      <c r="N6" s="443"/>
      <c r="O6" s="544"/>
      <c r="P6" s="443"/>
      <c r="Q6" s="443"/>
      <c r="R6" s="443"/>
      <c r="S6" s="550"/>
      <c r="T6" s="428"/>
      <c r="U6" s="408"/>
      <c r="AB6" s="227">
        <v>0.3263888888888889</v>
      </c>
      <c r="AC6" s="421">
        <v>0.33333333333333331</v>
      </c>
      <c r="AD6" s="421">
        <v>0.35416666666666669</v>
      </c>
      <c r="AE6" s="253">
        <v>0.40277777777777779</v>
      </c>
      <c r="AG6" s="253">
        <v>0.3125</v>
      </c>
      <c r="AH6" s="421">
        <v>0.33333333333333331</v>
      </c>
      <c r="AI6" s="421">
        <v>0.34722222222222221</v>
      </c>
      <c r="AJ6" s="227">
        <v>0.38194444444444442</v>
      </c>
      <c r="AL6" s="408"/>
      <c r="AM6" s="408"/>
    </row>
    <row r="7" spans="1:39" x14ac:dyDescent="0.25">
      <c r="A7" s="80" t="s">
        <v>160</v>
      </c>
      <c r="B7" s="425"/>
      <c r="C7" s="551"/>
      <c r="D7" s="443"/>
      <c r="E7" s="443"/>
      <c r="F7" s="443"/>
      <c r="G7" s="443"/>
      <c r="H7" s="415"/>
      <c r="I7" s="415"/>
      <c r="J7" s="415"/>
      <c r="K7" s="443"/>
      <c r="L7" s="415"/>
      <c r="M7" s="443"/>
      <c r="N7" s="83">
        <v>0.24305555555555555</v>
      </c>
      <c r="O7" s="552"/>
      <c r="P7" s="443"/>
      <c r="Q7" s="443"/>
      <c r="R7" s="443"/>
      <c r="S7" s="84">
        <v>0.28472222222222221</v>
      </c>
      <c r="T7" s="81" t="s">
        <v>160</v>
      </c>
      <c r="U7" s="408"/>
      <c r="AB7" s="227">
        <v>0.34027777777777779</v>
      </c>
      <c r="AC7" s="421">
        <v>0.34722222222222221</v>
      </c>
      <c r="AD7" s="421">
        <v>0.36805555555555558</v>
      </c>
      <c r="AE7" s="253">
        <v>0.4236111111111111</v>
      </c>
      <c r="AG7" s="253">
        <v>0.3263888888888889</v>
      </c>
      <c r="AH7" s="421">
        <v>0.34722222222222221</v>
      </c>
      <c r="AI7" s="421">
        <v>0.3611111111111111</v>
      </c>
      <c r="AJ7" s="227">
        <v>0.39583333333333331</v>
      </c>
      <c r="AL7" s="408"/>
      <c r="AM7" s="408"/>
    </row>
    <row r="8" spans="1:39" x14ac:dyDescent="0.25">
      <c r="A8" s="433" t="s">
        <v>161</v>
      </c>
      <c r="B8" s="425"/>
      <c r="C8" s="551"/>
      <c r="D8" s="443"/>
      <c r="E8" s="443"/>
      <c r="F8" s="443"/>
      <c r="G8" s="443"/>
      <c r="H8" s="415"/>
      <c r="I8" s="415"/>
      <c r="J8" s="415"/>
      <c r="K8" s="443"/>
      <c r="L8" s="415"/>
      <c r="M8" s="443"/>
      <c r="N8" s="454">
        <v>0.25</v>
      </c>
      <c r="O8" s="552"/>
      <c r="P8" s="443"/>
      <c r="Q8" s="443"/>
      <c r="R8" s="443"/>
      <c r="S8" s="553">
        <v>0.29166666666666669</v>
      </c>
      <c r="T8" s="437" t="s">
        <v>161</v>
      </c>
      <c r="U8" s="408"/>
      <c r="AB8" s="227">
        <v>0.35416666666666669</v>
      </c>
      <c r="AC8" s="421">
        <v>0.3611111111111111</v>
      </c>
      <c r="AD8" s="421">
        <v>0.38194444444444442</v>
      </c>
      <c r="AE8" s="253">
        <v>0.43402777777777779</v>
      </c>
      <c r="AG8" s="253">
        <v>0.34027777777777779</v>
      </c>
      <c r="AH8" s="421">
        <v>0.3611111111111111</v>
      </c>
      <c r="AI8" s="421">
        <v>0.375</v>
      </c>
      <c r="AJ8" s="227">
        <v>0.40972222222222221</v>
      </c>
      <c r="AL8" s="408"/>
      <c r="AM8" s="408"/>
    </row>
    <row r="9" spans="1:39" ht="16.5" thickBot="1" x14ac:dyDescent="0.3">
      <c r="A9" s="438" t="s">
        <v>162</v>
      </c>
      <c r="B9" s="425"/>
      <c r="C9" s="551"/>
      <c r="D9" s="443"/>
      <c r="E9" s="443"/>
      <c r="F9" s="443"/>
      <c r="G9" s="443"/>
      <c r="H9" s="415"/>
      <c r="I9" s="415"/>
      <c r="J9" s="415"/>
      <c r="K9" s="443"/>
      <c r="L9" s="415"/>
      <c r="M9" s="443"/>
      <c r="N9" s="454">
        <v>0.27430555555555558</v>
      </c>
      <c r="O9" s="552"/>
      <c r="P9" s="443"/>
      <c r="Q9" s="443"/>
      <c r="R9" s="443"/>
      <c r="S9" s="553">
        <v>0.31944444444444442</v>
      </c>
      <c r="T9" s="440" t="s">
        <v>162</v>
      </c>
      <c r="U9" s="408"/>
      <c r="AB9" s="227">
        <v>0.36805555555555558</v>
      </c>
      <c r="AC9" s="421">
        <v>0.375</v>
      </c>
      <c r="AD9" s="421">
        <v>0.39583333333333331</v>
      </c>
      <c r="AE9" s="253">
        <v>0.44444444444444442</v>
      </c>
      <c r="AG9" s="253">
        <v>0.35416666666666669</v>
      </c>
      <c r="AH9" s="421">
        <v>0.375</v>
      </c>
      <c r="AI9" s="421">
        <v>0.3888888888888889</v>
      </c>
      <c r="AJ9" s="227">
        <v>0.43055555555555558</v>
      </c>
      <c r="AL9" s="408"/>
      <c r="AM9" s="408"/>
    </row>
    <row r="10" spans="1:39" ht="16.5" thickBot="1" x14ac:dyDescent="0.3">
      <c r="A10" s="91" t="s">
        <v>163</v>
      </c>
      <c r="B10" s="425"/>
      <c r="C10" s="145">
        <v>0.22916666666666666</v>
      </c>
      <c r="D10" s="443"/>
      <c r="E10" s="443"/>
      <c r="F10" s="443"/>
      <c r="G10" s="443"/>
      <c r="H10" s="100">
        <v>0.27083333333333331</v>
      </c>
      <c r="I10" s="100">
        <v>0.28472222222222221</v>
      </c>
      <c r="J10" s="100">
        <v>0.2986111111111111</v>
      </c>
      <c r="K10" s="100"/>
      <c r="L10" s="100">
        <v>0.3125</v>
      </c>
      <c r="M10" s="443"/>
      <c r="N10" s="100">
        <v>0.3263888888888889</v>
      </c>
      <c r="O10" s="146">
        <v>0.34027777777777779</v>
      </c>
      <c r="P10" s="399" t="s">
        <v>17</v>
      </c>
      <c r="Q10" s="443"/>
      <c r="R10" s="100">
        <v>0.35416666666666669</v>
      </c>
      <c r="S10" s="101">
        <v>0.36805555555555558</v>
      </c>
      <c r="T10" s="99" t="s">
        <v>163</v>
      </c>
      <c r="U10" s="408"/>
      <c r="AB10" s="227">
        <v>0.38194444444444442</v>
      </c>
      <c r="AC10" s="421">
        <v>0.3888888888888889</v>
      </c>
      <c r="AD10" s="421">
        <v>0.40972222222222221</v>
      </c>
      <c r="AE10" s="253">
        <v>0.46180555555555558</v>
      </c>
      <c r="AG10" s="253">
        <v>0.36805555555555558</v>
      </c>
      <c r="AH10" s="421">
        <v>0.3888888888888889</v>
      </c>
      <c r="AI10" s="421">
        <v>0.40277777777777779</v>
      </c>
      <c r="AJ10" s="227">
        <v>0.44097222222222221</v>
      </c>
      <c r="AL10" s="408"/>
      <c r="AM10" s="408"/>
    </row>
    <row r="11" spans="1:39" ht="16.5" thickBot="1" x14ac:dyDescent="0.3">
      <c r="A11" s="433" t="s">
        <v>164</v>
      </c>
      <c r="B11" s="425"/>
      <c r="C11" s="448">
        <v>0.25</v>
      </c>
      <c r="D11" s="443"/>
      <c r="E11" s="443"/>
      <c r="F11" s="443"/>
      <c r="G11" s="443"/>
      <c r="H11" s="454">
        <v>0.29166666666666669</v>
      </c>
      <c r="I11" s="454">
        <v>0.30555555555555558</v>
      </c>
      <c r="J11" s="454">
        <v>0.31944444444444442</v>
      </c>
      <c r="K11" s="443"/>
      <c r="L11" s="454">
        <v>0.33333333333333331</v>
      </c>
      <c r="M11" s="443"/>
      <c r="N11" s="454">
        <v>0.34722222222222221</v>
      </c>
      <c r="O11" s="554">
        <v>0.3611111111111111</v>
      </c>
      <c r="P11" s="409" t="s">
        <v>71</v>
      </c>
      <c r="Q11" s="443"/>
      <c r="R11" s="454">
        <v>0.375</v>
      </c>
      <c r="S11" s="553">
        <v>0.3888888888888889</v>
      </c>
      <c r="T11" s="437" t="s">
        <v>164</v>
      </c>
      <c r="U11" s="408"/>
      <c r="AB11" s="227">
        <v>0.39583333333333331</v>
      </c>
      <c r="AC11" s="421">
        <v>0.40277777777777779</v>
      </c>
      <c r="AD11" s="421">
        <v>0.43055555555555558</v>
      </c>
      <c r="AE11" s="253">
        <v>0.4826388888888889</v>
      </c>
      <c r="AG11" s="253">
        <v>0.37847222222222221</v>
      </c>
      <c r="AH11" s="421">
        <v>0.40277777777777779</v>
      </c>
      <c r="AI11" s="421">
        <v>0.41666666666666669</v>
      </c>
      <c r="AJ11" s="227">
        <v>0.46180555555555558</v>
      </c>
      <c r="AL11" s="408"/>
      <c r="AM11" s="408"/>
    </row>
    <row r="12" spans="1:39" ht="16.5" thickBot="1" x14ac:dyDescent="0.3">
      <c r="A12" s="438" t="s">
        <v>166</v>
      </c>
      <c r="B12" s="425"/>
      <c r="C12" s="448">
        <v>0.2638888888888889</v>
      </c>
      <c r="D12" s="443"/>
      <c r="E12" s="443"/>
      <c r="F12" s="443"/>
      <c r="G12" s="443"/>
      <c r="H12" s="454">
        <v>0.30555555555555558</v>
      </c>
      <c r="I12" s="454">
        <v>0.31944444444444442</v>
      </c>
      <c r="J12" s="454">
        <v>0.33333333333333331</v>
      </c>
      <c r="K12" s="443"/>
      <c r="L12" s="454">
        <v>0.34722222222222221</v>
      </c>
      <c r="M12" s="443"/>
      <c r="N12" s="454">
        <v>0.36458333333333331</v>
      </c>
      <c r="O12" s="554">
        <v>0.37847222222222221</v>
      </c>
      <c r="P12" s="416" t="s">
        <v>864</v>
      </c>
      <c r="Q12" s="443"/>
      <c r="R12" s="454">
        <v>0.3923611111111111</v>
      </c>
      <c r="S12" s="553">
        <v>0.40625</v>
      </c>
      <c r="T12" s="440" t="s">
        <v>166</v>
      </c>
      <c r="U12" s="408"/>
      <c r="AB12" s="227">
        <v>0.40972222222222221</v>
      </c>
      <c r="AC12" s="421">
        <v>0.41666666666666669</v>
      </c>
      <c r="AD12" s="421">
        <v>0.44444444444444442</v>
      </c>
      <c r="AE12" s="253">
        <v>0.49305555555555558</v>
      </c>
      <c r="AG12" s="253">
        <v>0.3923611111111111</v>
      </c>
      <c r="AH12" s="421">
        <v>0.41666666666666669</v>
      </c>
      <c r="AI12" s="421">
        <v>0.43055555555555558</v>
      </c>
      <c r="AJ12" s="227">
        <v>0.47222222222222221</v>
      </c>
      <c r="AL12" s="408"/>
      <c r="AM12" s="408"/>
    </row>
    <row r="13" spans="1:39" ht="16.5" thickBot="1" x14ac:dyDescent="0.3">
      <c r="A13" s="80" t="s">
        <v>160</v>
      </c>
      <c r="B13" s="425"/>
      <c r="C13" s="124">
        <v>0.2986111111111111</v>
      </c>
      <c r="D13" s="443"/>
      <c r="E13" s="83">
        <v>0.3125</v>
      </c>
      <c r="F13" s="83">
        <v>0.3263888888888889</v>
      </c>
      <c r="G13" s="458" t="s">
        <v>51</v>
      </c>
      <c r="H13" s="83">
        <v>0.34027777777777779</v>
      </c>
      <c r="I13" s="83">
        <v>0.35416666666666669</v>
      </c>
      <c r="J13" s="83">
        <v>0.36805555555555558</v>
      </c>
      <c r="K13" s="399" t="s">
        <v>686</v>
      </c>
      <c r="L13" s="83">
        <v>0.38194444444444442</v>
      </c>
      <c r="M13" s="399" t="s">
        <v>21</v>
      </c>
      <c r="N13" s="83">
        <v>0.39583333333333331</v>
      </c>
      <c r="O13" s="82">
        <v>0.40972222222222221</v>
      </c>
      <c r="P13" s="83">
        <v>0.4201388888888889</v>
      </c>
      <c r="Q13" s="399" t="s">
        <v>53</v>
      </c>
      <c r="R13" s="83">
        <v>0.43055555555555558</v>
      </c>
      <c r="S13" s="84">
        <v>0.44097222222222221</v>
      </c>
      <c r="T13" s="81" t="s">
        <v>160</v>
      </c>
      <c r="U13" s="408"/>
      <c r="AB13" s="227">
        <v>0.4201388888888889</v>
      </c>
      <c r="AC13" s="421">
        <v>0.42708333333333331</v>
      </c>
      <c r="AD13" s="421">
        <v>0.4548611111111111</v>
      </c>
      <c r="AE13" s="253">
        <v>0.50347222222222221</v>
      </c>
      <c r="AG13" s="253">
        <v>0.40277777777777779</v>
      </c>
      <c r="AH13" s="421">
        <v>0.42708333333333331</v>
      </c>
      <c r="AI13" s="421">
        <v>0.44097222222222221</v>
      </c>
      <c r="AJ13" s="227">
        <v>0.4826388888888889</v>
      </c>
      <c r="AL13" s="408"/>
      <c r="AM13" s="408"/>
    </row>
    <row r="14" spans="1:39" ht="16.5" thickBot="1" x14ac:dyDescent="0.3">
      <c r="A14" s="433" t="s">
        <v>161</v>
      </c>
      <c r="B14" s="425"/>
      <c r="C14" s="448">
        <v>0.30555555555555558</v>
      </c>
      <c r="D14" s="443"/>
      <c r="E14" s="454">
        <v>0.31944444444444442</v>
      </c>
      <c r="F14" s="554">
        <v>0.33333333333333331</v>
      </c>
      <c r="G14" s="461" t="s">
        <v>98</v>
      </c>
      <c r="H14" s="454">
        <v>0.34722222222222221</v>
      </c>
      <c r="I14" s="448">
        <v>0.3611111111111111</v>
      </c>
      <c r="J14" s="554">
        <v>0.375</v>
      </c>
      <c r="K14" s="409" t="s">
        <v>99</v>
      </c>
      <c r="L14" s="555">
        <v>0.3888888888888889</v>
      </c>
      <c r="M14" s="409" t="s">
        <v>75</v>
      </c>
      <c r="N14" s="448">
        <v>0.40277777777777779</v>
      </c>
      <c r="O14" s="554">
        <v>0.41666666666666669</v>
      </c>
      <c r="P14" s="454">
        <v>0.42708333333333331</v>
      </c>
      <c r="Q14" s="409" t="s">
        <v>100</v>
      </c>
      <c r="R14" s="454">
        <v>0.4375</v>
      </c>
      <c r="S14" s="553">
        <v>0.44791666666666669</v>
      </c>
      <c r="T14" s="437" t="s">
        <v>161</v>
      </c>
      <c r="U14" s="408"/>
      <c r="AB14" s="227">
        <v>0.43055555555555558</v>
      </c>
      <c r="AC14" s="421">
        <v>0.4375</v>
      </c>
      <c r="AD14" s="421">
        <v>0.46527777777777779</v>
      </c>
      <c r="AE14" s="421">
        <v>0.52430555555555558</v>
      </c>
      <c r="AG14" s="253">
        <v>0.41319444444444442</v>
      </c>
      <c r="AH14" s="421">
        <v>0.4375</v>
      </c>
      <c r="AI14" s="421">
        <v>0.4513888888888889</v>
      </c>
      <c r="AJ14" s="227">
        <v>0.49305555555555558</v>
      </c>
      <c r="AL14" s="408"/>
      <c r="AM14" s="408"/>
    </row>
    <row r="15" spans="1:39" ht="16.5" thickBot="1" x14ac:dyDescent="0.3">
      <c r="A15" s="438" t="s">
        <v>162</v>
      </c>
      <c r="B15" s="425"/>
      <c r="C15" s="448">
        <v>0.33333333333333331</v>
      </c>
      <c r="D15" s="443"/>
      <c r="E15" s="454">
        <v>0.34722222222222221</v>
      </c>
      <c r="F15" s="554">
        <v>0.3611111111111111</v>
      </c>
      <c r="G15" s="416" t="s">
        <v>865</v>
      </c>
      <c r="H15" s="454">
        <v>0.375</v>
      </c>
      <c r="I15" s="453" t="s">
        <v>866</v>
      </c>
      <c r="J15" s="554">
        <v>0.40277777777777779</v>
      </c>
      <c r="K15" s="416" t="s">
        <v>867</v>
      </c>
      <c r="L15" s="555">
        <v>0.41666666666666669</v>
      </c>
      <c r="M15" s="416" t="s">
        <v>868</v>
      </c>
      <c r="N15" s="453" t="s">
        <v>869</v>
      </c>
      <c r="O15" s="554">
        <v>0.44791666666666669</v>
      </c>
      <c r="P15" s="454">
        <v>0.45833333333333331</v>
      </c>
      <c r="Q15" s="478" t="s">
        <v>870</v>
      </c>
      <c r="R15" s="454">
        <v>0.46875</v>
      </c>
      <c r="S15" s="475" t="s">
        <v>871</v>
      </c>
      <c r="T15" s="440" t="s">
        <v>162</v>
      </c>
      <c r="U15" s="408"/>
      <c r="AB15" s="227">
        <v>0.44097222222222221</v>
      </c>
      <c r="AC15" s="421">
        <v>0.44791666666666669</v>
      </c>
      <c r="AD15" s="421">
        <v>0.47569444444444442</v>
      </c>
      <c r="AE15" s="253">
        <v>0.52430555555555558</v>
      </c>
      <c r="AG15" s="253">
        <v>0.4236111111111111</v>
      </c>
      <c r="AH15" s="421">
        <v>0.44791666666666669</v>
      </c>
      <c r="AI15" s="421">
        <v>0.46180555555555558</v>
      </c>
      <c r="AJ15" s="227">
        <v>0.50347222222222221</v>
      </c>
      <c r="AL15" s="408"/>
      <c r="AM15" s="408"/>
    </row>
    <row r="16" spans="1:39" ht="16.5" thickBot="1" x14ac:dyDescent="0.3">
      <c r="A16" s="91" t="s">
        <v>163</v>
      </c>
      <c r="B16" s="399" t="s">
        <v>687</v>
      </c>
      <c r="C16" s="145">
        <v>0.37847222222222221</v>
      </c>
      <c r="D16" s="443"/>
      <c r="E16" s="100">
        <v>0.3923611111111111</v>
      </c>
      <c r="F16" s="100">
        <v>0.40277777777777779</v>
      </c>
      <c r="G16" s="100">
        <v>0.41319444444444442</v>
      </c>
      <c r="H16" s="100">
        <v>0.4236111111111111</v>
      </c>
      <c r="I16" s="100">
        <v>0.43402777777777779</v>
      </c>
      <c r="J16" s="100">
        <v>0.44444444444444442</v>
      </c>
      <c r="K16" s="100">
        <v>0.4513888888888889</v>
      </c>
      <c r="L16" s="100">
        <v>0.46180555555555558</v>
      </c>
      <c r="M16" s="100">
        <v>0.47222222222222221</v>
      </c>
      <c r="N16" s="100">
        <v>0.4826388888888889</v>
      </c>
      <c r="O16" s="146">
        <v>0.49305555555555558</v>
      </c>
      <c r="P16" s="100">
        <v>0.50347222222222221</v>
      </c>
      <c r="Q16" s="100">
        <v>0.51388888888888884</v>
      </c>
      <c r="R16" s="454">
        <v>0.52430555555555558</v>
      </c>
      <c r="S16" s="101">
        <v>0.52430555555555558</v>
      </c>
      <c r="T16" s="99" t="s">
        <v>163</v>
      </c>
      <c r="U16" s="408"/>
      <c r="AB16" s="227">
        <v>0.4513888888888889</v>
      </c>
      <c r="AC16" s="421">
        <v>0.45833333333333331</v>
      </c>
      <c r="AD16" s="421">
        <v>0.4861111111111111</v>
      </c>
      <c r="AE16" s="253">
        <v>0.53472222222222221</v>
      </c>
      <c r="AG16" s="253">
        <v>0.43402777777777779</v>
      </c>
      <c r="AH16" s="421">
        <v>0.45833333333333331</v>
      </c>
      <c r="AI16" s="421">
        <v>0.47222222222222221</v>
      </c>
      <c r="AJ16" s="227">
        <v>0.51388888888888884</v>
      </c>
      <c r="AL16" s="408"/>
      <c r="AM16" s="408"/>
    </row>
    <row r="17" spans="1:39" ht="16.5" thickBot="1" x14ac:dyDescent="0.3">
      <c r="A17" s="433" t="s">
        <v>164</v>
      </c>
      <c r="B17" s="546" t="s">
        <v>74</v>
      </c>
      <c r="C17" s="448">
        <v>0.40277777777777779</v>
      </c>
      <c r="D17" s="444"/>
      <c r="E17" s="454">
        <v>0.41666666666666669</v>
      </c>
      <c r="F17" s="454">
        <v>0.42708333333333331</v>
      </c>
      <c r="G17" s="454">
        <v>0.4375</v>
      </c>
      <c r="H17" s="454">
        <v>0.44791666666666669</v>
      </c>
      <c r="I17" s="454">
        <v>0.45833333333333331</v>
      </c>
      <c r="J17" s="454">
        <v>0.46875</v>
      </c>
      <c r="K17" s="454">
        <v>0.47916666666666669</v>
      </c>
      <c r="L17" s="454">
        <v>0.48958333333333331</v>
      </c>
      <c r="M17" s="454">
        <v>0.5</v>
      </c>
      <c r="N17" s="454">
        <v>0.51041666666666663</v>
      </c>
      <c r="O17" s="554">
        <v>0.52083333333333337</v>
      </c>
      <c r="P17" s="454">
        <v>0.53125</v>
      </c>
      <c r="Q17" s="454">
        <v>0.54166666666666663</v>
      </c>
      <c r="R17" s="465" t="s">
        <v>872</v>
      </c>
      <c r="S17" s="553">
        <v>0.55208333333333337</v>
      </c>
      <c r="T17" s="437" t="s">
        <v>164</v>
      </c>
      <c r="U17" s="408"/>
      <c r="AB17" s="227">
        <v>0.46180555555555558</v>
      </c>
      <c r="AC17" s="421">
        <v>0.46875</v>
      </c>
      <c r="AD17" s="421">
        <v>0.49652777777777779</v>
      </c>
      <c r="AE17" s="253">
        <v>0.54513888888888884</v>
      </c>
      <c r="AG17" s="253">
        <v>0.44444444444444442</v>
      </c>
      <c r="AH17" s="421">
        <v>0.46875</v>
      </c>
      <c r="AI17" s="421">
        <v>0.4861111111111111</v>
      </c>
      <c r="AJ17" s="227">
        <v>0.52430555555555558</v>
      </c>
      <c r="AL17" s="408"/>
      <c r="AM17" s="408"/>
    </row>
    <row r="18" spans="1:39" ht="16.5" thickBot="1" x14ac:dyDescent="0.3">
      <c r="A18" s="438" t="s">
        <v>166</v>
      </c>
      <c r="B18" s="414" t="s">
        <v>873</v>
      </c>
      <c r="C18" s="453" t="s">
        <v>874</v>
      </c>
      <c r="D18" s="444"/>
      <c r="E18" s="465" t="s">
        <v>875</v>
      </c>
      <c r="F18" s="465" t="s">
        <v>876</v>
      </c>
      <c r="G18" s="454">
        <v>0.4548611111111111</v>
      </c>
      <c r="H18" s="465" t="s">
        <v>877</v>
      </c>
      <c r="I18" s="454">
        <v>0.47569444444444442</v>
      </c>
      <c r="J18" s="465" t="s">
        <v>878</v>
      </c>
      <c r="K18" s="465" t="s">
        <v>879</v>
      </c>
      <c r="L18" s="465" t="s">
        <v>880</v>
      </c>
      <c r="M18" s="454">
        <v>0.51388888888888884</v>
      </c>
      <c r="N18" s="454">
        <v>0.52430555555555558</v>
      </c>
      <c r="O18" s="478" t="s">
        <v>881</v>
      </c>
      <c r="P18" s="465" t="s">
        <v>262</v>
      </c>
      <c r="Q18" s="454">
        <v>0.55902777777777779</v>
      </c>
      <c r="R18" s="454"/>
      <c r="S18" s="553">
        <v>0.56944444444444442</v>
      </c>
      <c r="T18" s="440" t="s">
        <v>166</v>
      </c>
      <c r="U18" s="408"/>
      <c r="AB18" s="227">
        <v>0.47222222222222221</v>
      </c>
      <c r="AC18" s="421">
        <v>0.47916666666666669</v>
      </c>
      <c r="AD18" s="421">
        <v>0.50694444444444442</v>
      </c>
      <c r="AE18" s="253">
        <v>0.56597222222222221</v>
      </c>
      <c r="AG18" s="253">
        <v>0.4513888888888889</v>
      </c>
      <c r="AH18" s="421">
        <v>0.47916666666666669</v>
      </c>
      <c r="AI18" s="421">
        <v>0.49305555555555558</v>
      </c>
      <c r="AJ18" s="227">
        <v>0.53472222222222221</v>
      </c>
      <c r="AL18" s="408"/>
      <c r="AM18" s="408"/>
    </row>
    <row r="19" spans="1:39" ht="16.5" thickBot="1" x14ac:dyDescent="0.3">
      <c r="A19" s="80" t="s">
        <v>160</v>
      </c>
      <c r="B19" s="123">
        <v>0.4513888888888889</v>
      </c>
      <c r="C19" s="124">
        <v>0.46180555555555558</v>
      </c>
      <c r="D19" s="399" t="s">
        <v>882</v>
      </c>
      <c r="E19" s="83">
        <v>0.47222222222222221</v>
      </c>
      <c r="F19" s="83">
        <v>0.4826388888888889</v>
      </c>
      <c r="G19" s="83">
        <v>0.49305555555555558</v>
      </c>
      <c r="H19" s="83">
        <v>0.50347222222222221</v>
      </c>
      <c r="I19" s="83">
        <v>0.51388888888888884</v>
      </c>
      <c r="J19" s="83">
        <v>0.52430555555555558</v>
      </c>
      <c r="K19" s="83">
        <v>0.53472222222222221</v>
      </c>
      <c r="L19" s="83">
        <v>0.54513888888888884</v>
      </c>
      <c r="M19" s="83">
        <v>0.55555555555555558</v>
      </c>
      <c r="N19" s="83">
        <v>0.56597222222222221</v>
      </c>
      <c r="O19" s="82">
        <v>0.57638888888888884</v>
      </c>
      <c r="P19" s="83">
        <v>0.58680555555555558</v>
      </c>
      <c r="Q19" s="83">
        <v>0.59722222222222221</v>
      </c>
      <c r="R19" s="443"/>
      <c r="S19" s="84">
        <v>0.60763888888888884</v>
      </c>
      <c r="T19" s="81" t="s">
        <v>160</v>
      </c>
      <c r="U19" s="408"/>
      <c r="AB19" s="227">
        <v>0.4826388888888889</v>
      </c>
      <c r="AC19" s="421">
        <v>0.48958333333333331</v>
      </c>
      <c r="AD19" s="421">
        <v>0.51736111111111116</v>
      </c>
      <c r="AE19" s="253">
        <v>0.57638888888888884</v>
      </c>
      <c r="AG19" s="253">
        <v>0.46180555555555558</v>
      </c>
      <c r="AH19" s="421">
        <v>0.48958333333333331</v>
      </c>
      <c r="AI19" s="421">
        <v>0.50347222222222221</v>
      </c>
      <c r="AJ19" s="227">
        <v>0.54513888888888884</v>
      </c>
      <c r="AL19" s="408"/>
      <c r="AM19" s="408"/>
    </row>
    <row r="20" spans="1:39" ht="16.5" thickBot="1" x14ac:dyDescent="0.3">
      <c r="A20" s="433" t="s">
        <v>161</v>
      </c>
      <c r="B20" s="556">
        <v>0.45833333333333331</v>
      </c>
      <c r="C20" s="448">
        <v>0.46875</v>
      </c>
      <c r="D20" s="409" t="s">
        <v>77</v>
      </c>
      <c r="E20" s="448">
        <v>0.47916666666666669</v>
      </c>
      <c r="F20" s="454">
        <v>0.48958333333333331</v>
      </c>
      <c r="G20" s="454">
        <v>0.5</v>
      </c>
      <c r="H20" s="454">
        <v>0.51041666666666663</v>
      </c>
      <c r="I20" s="454">
        <v>0.52083333333333337</v>
      </c>
      <c r="J20" s="454">
        <v>0.53125</v>
      </c>
      <c r="K20" s="454">
        <v>0.54166666666666663</v>
      </c>
      <c r="L20" s="454">
        <v>0.55208333333333337</v>
      </c>
      <c r="M20" s="454">
        <v>0.5625</v>
      </c>
      <c r="N20" s="454">
        <v>0.57291666666666663</v>
      </c>
      <c r="O20" s="554">
        <v>0.58333333333333337</v>
      </c>
      <c r="P20" s="454">
        <v>0.59375</v>
      </c>
      <c r="Q20" s="454">
        <v>0.60416666666666663</v>
      </c>
      <c r="R20" s="443"/>
      <c r="S20" s="553">
        <v>0.61458333333333337</v>
      </c>
      <c r="T20" s="437" t="s">
        <v>161</v>
      </c>
      <c r="U20" s="408"/>
      <c r="AB20" s="227">
        <v>0.49305555555555558</v>
      </c>
      <c r="AC20" s="421">
        <v>0.5</v>
      </c>
      <c r="AD20" s="421">
        <v>0.52777777777777779</v>
      </c>
      <c r="AE20" s="253">
        <v>0.58680555555555558</v>
      </c>
      <c r="AG20" s="253">
        <v>0.47222222222222221</v>
      </c>
      <c r="AH20" s="421">
        <v>0.5</v>
      </c>
      <c r="AI20" s="421">
        <v>0.51388888888888884</v>
      </c>
      <c r="AJ20" s="227">
        <v>0.55555555555555558</v>
      </c>
      <c r="AL20" s="408"/>
      <c r="AM20" s="408"/>
    </row>
    <row r="21" spans="1:39" x14ac:dyDescent="0.25">
      <c r="A21" s="438" t="s">
        <v>162</v>
      </c>
      <c r="B21" s="556">
        <v>0.48958333333333331</v>
      </c>
      <c r="C21" s="448">
        <v>0.49652777777777779</v>
      </c>
      <c r="D21" s="416" t="s">
        <v>883</v>
      </c>
      <c r="E21" s="448">
        <v>0.51388888888888884</v>
      </c>
      <c r="F21" s="454">
        <v>0.52430555555555558</v>
      </c>
      <c r="G21" s="465" t="s">
        <v>884</v>
      </c>
      <c r="H21" s="465" t="s">
        <v>885</v>
      </c>
      <c r="I21" s="465" t="s">
        <v>747</v>
      </c>
      <c r="J21" s="454">
        <v>0.55902777777777779</v>
      </c>
      <c r="K21" s="454">
        <v>0.56944444444444442</v>
      </c>
      <c r="L21" s="454">
        <v>0.58680555555555558</v>
      </c>
      <c r="M21" s="465" t="s">
        <v>886</v>
      </c>
      <c r="N21" s="465" t="s">
        <v>887</v>
      </c>
      <c r="O21" s="478" t="s">
        <v>888</v>
      </c>
      <c r="P21" s="454">
        <v>0.62152777777777779</v>
      </c>
      <c r="Q21" s="465" t="s">
        <v>889</v>
      </c>
      <c r="R21" s="443"/>
      <c r="S21" s="475" t="s">
        <v>890</v>
      </c>
      <c r="T21" s="440" t="s">
        <v>162</v>
      </c>
      <c r="U21" s="408"/>
      <c r="AB21" s="227">
        <v>0.50347222222222221</v>
      </c>
      <c r="AC21" s="421">
        <v>0.51041666666666663</v>
      </c>
      <c r="AD21" s="421">
        <v>0.53819444444444442</v>
      </c>
      <c r="AE21" s="253">
        <v>0.59722222222222221</v>
      </c>
      <c r="AG21" s="253">
        <v>0.4826388888888889</v>
      </c>
      <c r="AH21" s="421">
        <v>0.51041666666666663</v>
      </c>
      <c r="AI21" s="421">
        <v>0.52430555555555558</v>
      </c>
      <c r="AJ21" s="227">
        <v>0.56597222222222221</v>
      </c>
      <c r="AL21" s="408"/>
      <c r="AM21" s="408"/>
    </row>
    <row r="22" spans="1:39" x14ac:dyDescent="0.25">
      <c r="A22" s="91" t="s">
        <v>163</v>
      </c>
      <c r="B22" s="144">
        <v>0.53472222222222221</v>
      </c>
      <c r="C22" s="145">
        <v>0.54513888888888884</v>
      </c>
      <c r="D22" s="100">
        <v>0.55555555555555558</v>
      </c>
      <c r="E22" s="100">
        <v>0.56597222222222221</v>
      </c>
      <c r="F22" s="100">
        <v>0.57638888888888884</v>
      </c>
      <c r="G22" s="100">
        <v>0.58680555555555558</v>
      </c>
      <c r="H22" s="100">
        <v>0.59722222222222221</v>
      </c>
      <c r="I22" s="100">
        <v>0.60763888888888884</v>
      </c>
      <c r="J22" s="100">
        <v>0.61805555555555558</v>
      </c>
      <c r="K22" s="100">
        <v>0.62847222222222221</v>
      </c>
      <c r="L22" s="100">
        <v>0.63888888888888884</v>
      </c>
      <c r="M22" s="100">
        <v>0.64930555555555558</v>
      </c>
      <c r="N22" s="100">
        <v>0.65972222222222221</v>
      </c>
      <c r="O22" s="146">
        <v>0.67013888888888884</v>
      </c>
      <c r="P22" s="100">
        <v>0.68055555555555558</v>
      </c>
      <c r="Q22" s="100">
        <v>0.69097222222222221</v>
      </c>
      <c r="R22" s="443"/>
      <c r="S22" s="101">
        <v>0.70138888888888884</v>
      </c>
      <c r="T22" s="99" t="s">
        <v>163</v>
      </c>
      <c r="U22" s="408"/>
      <c r="AB22" s="227">
        <v>0.51388888888888884</v>
      </c>
      <c r="AC22" s="421">
        <v>0.52083333333333337</v>
      </c>
      <c r="AD22" s="421">
        <v>0.54861111111111116</v>
      </c>
      <c r="AE22" s="253">
        <v>0.60763888888888884</v>
      </c>
      <c r="AG22" s="253">
        <v>0.49305555555555558</v>
      </c>
      <c r="AH22" s="421">
        <v>0.52083333333333337</v>
      </c>
      <c r="AI22" s="421">
        <v>0.53472222222222221</v>
      </c>
      <c r="AJ22" s="227">
        <v>0.57638888888888884</v>
      </c>
      <c r="AL22" s="408"/>
      <c r="AM22" s="408"/>
    </row>
    <row r="23" spans="1:39" x14ac:dyDescent="0.25">
      <c r="A23" s="433" t="s">
        <v>164</v>
      </c>
      <c r="B23" s="556">
        <v>0.5625</v>
      </c>
      <c r="C23" s="448">
        <v>0.57291666666666663</v>
      </c>
      <c r="D23" s="454">
        <v>0.58333333333333337</v>
      </c>
      <c r="E23" s="454">
        <v>0.59375</v>
      </c>
      <c r="F23" s="454">
        <v>0.60416666666666663</v>
      </c>
      <c r="G23" s="454">
        <v>0.61458333333333337</v>
      </c>
      <c r="H23" s="454">
        <v>0.625</v>
      </c>
      <c r="I23" s="454">
        <v>0.63541666666666663</v>
      </c>
      <c r="J23" s="454">
        <v>0.64583333333333337</v>
      </c>
      <c r="K23" s="454">
        <v>0.65625</v>
      </c>
      <c r="L23" s="454">
        <v>0.66666666666666663</v>
      </c>
      <c r="M23" s="454">
        <v>0.67708333333333337</v>
      </c>
      <c r="N23" s="454">
        <v>0.6875</v>
      </c>
      <c r="O23" s="554">
        <v>0.69791666666666663</v>
      </c>
      <c r="P23" s="454">
        <v>0.70833333333333337</v>
      </c>
      <c r="Q23" s="454">
        <v>0.71875</v>
      </c>
      <c r="R23" s="443"/>
      <c r="S23" s="553">
        <v>0.72916666666666663</v>
      </c>
      <c r="T23" s="437" t="s">
        <v>164</v>
      </c>
      <c r="U23" s="408"/>
      <c r="AB23" s="227">
        <v>0.52430555555555558</v>
      </c>
      <c r="AC23" s="421">
        <v>0.53125</v>
      </c>
      <c r="AD23" s="421">
        <v>0.55902777777777779</v>
      </c>
      <c r="AE23" s="253">
        <v>0.61805555555555558</v>
      </c>
      <c r="AG23" s="253">
        <v>0.50347222222222221</v>
      </c>
      <c r="AH23" s="421">
        <v>0.53125</v>
      </c>
      <c r="AI23" s="421">
        <v>0.54513888888888884</v>
      </c>
      <c r="AJ23" s="227">
        <v>0.58680555555555558</v>
      </c>
      <c r="AL23" s="408"/>
      <c r="AM23" s="408"/>
    </row>
    <row r="24" spans="1:39" x14ac:dyDescent="0.25">
      <c r="A24" s="438" t="s">
        <v>166</v>
      </c>
      <c r="B24" s="474" t="s">
        <v>891</v>
      </c>
      <c r="C24" s="453" t="s">
        <v>892</v>
      </c>
      <c r="D24" s="454">
        <v>0.60069444444444442</v>
      </c>
      <c r="E24" s="465" t="s">
        <v>893</v>
      </c>
      <c r="F24" s="465" t="s">
        <v>894</v>
      </c>
      <c r="G24" s="454">
        <v>0.62847222222222221</v>
      </c>
      <c r="H24" s="454">
        <v>0.63888888888888884</v>
      </c>
      <c r="I24" s="454">
        <v>0.64930555555555558</v>
      </c>
      <c r="J24" s="465" t="s">
        <v>895</v>
      </c>
      <c r="K24" s="465" t="s">
        <v>896</v>
      </c>
      <c r="L24" s="465" t="s">
        <v>897</v>
      </c>
      <c r="M24" s="454">
        <v>0.69444444444444442</v>
      </c>
      <c r="N24" s="454">
        <v>0.70486111111111116</v>
      </c>
      <c r="O24" s="554">
        <v>0.71527777777777779</v>
      </c>
      <c r="P24" s="465" t="s">
        <v>898</v>
      </c>
      <c r="Q24" s="454">
        <v>0.73611111111111116</v>
      </c>
      <c r="R24" s="443"/>
      <c r="S24" s="553">
        <v>0.74652777777777779</v>
      </c>
      <c r="T24" s="440" t="s">
        <v>166</v>
      </c>
      <c r="U24" s="408"/>
      <c r="AB24" s="227">
        <v>0.53472222222222221</v>
      </c>
      <c r="AC24" s="421">
        <v>0.54166666666666663</v>
      </c>
      <c r="AD24" s="421">
        <v>0.56944444444444442</v>
      </c>
      <c r="AE24" s="253">
        <v>0.62847222222222221</v>
      </c>
      <c r="AG24" s="253">
        <v>0.51388888888888884</v>
      </c>
      <c r="AH24" s="421">
        <v>0.54166666666666663</v>
      </c>
      <c r="AI24" s="421">
        <v>0.55555555555555558</v>
      </c>
      <c r="AJ24" s="227">
        <v>0.59722222222222221</v>
      </c>
      <c r="AL24" s="408"/>
      <c r="AM24" s="408"/>
    </row>
    <row r="25" spans="1:39" x14ac:dyDescent="0.25">
      <c r="A25" s="80" t="s">
        <v>160</v>
      </c>
      <c r="B25" s="124">
        <v>0.61805555555555558</v>
      </c>
      <c r="C25" s="124">
        <v>0.62847222222222221</v>
      </c>
      <c r="D25" s="83">
        <v>0.63888888888888884</v>
      </c>
      <c r="E25" s="83">
        <v>0.64930555555555558</v>
      </c>
      <c r="F25" s="83">
        <v>0.65972222222222221</v>
      </c>
      <c r="G25" s="83">
        <v>0.67013888888888884</v>
      </c>
      <c r="H25" s="83">
        <v>0.68055555555555558</v>
      </c>
      <c r="I25" s="83">
        <v>0.69097222222222221</v>
      </c>
      <c r="J25" s="83">
        <v>0.70138888888888884</v>
      </c>
      <c r="K25" s="83">
        <v>0.71180555555555558</v>
      </c>
      <c r="L25" s="83">
        <v>0.72222222222222221</v>
      </c>
      <c r="M25" s="83">
        <v>0.73263888888888884</v>
      </c>
      <c r="N25" s="83">
        <v>0.74305555555555558</v>
      </c>
      <c r="O25" s="82">
        <v>0.75347222222222221</v>
      </c>
      <c r="P25" s="83">
        <v>0.76388888888888884</v>
      </c>
      <c r="Q25" s="557">
        <v>0.77430555555555558</v>
      </c>
      <c r="R25" s="443"/>
      <c r="S25" s="84">
        <v>0.77430555555555558</v>
      </c>
      <c r="T25" s="81" t="s">
        <v>160</v>
      </c>
      <c r="U25" s="408"/>
      <c r="AB25" s="227">
        <v>0.54513888888888884</v>
      </c>
      <c r="AC25" s="421">
        <v>0.55208333333333337</v>
      </c>
      <c r="AD25" s="421">
        <v>0.57986111111111116</v>
      </c>
      <c r="AE25" s="253">
        <v>0.63888888888888884</v>
      </c>
      <c r="AG25" s="253">
        <v>0.52430555555555558</v>
      </c>
      <c r="AH25" s="421">
        <v>0.55208333333333337</v>
      </c>
      <c r="AI25" s="421">
        <v>0.56597222222222221</v>
      </c>
      <c r="AJ25" s="227">
        <v>0.60763888888888884</v>
      </c>
      <c r="AL25" s="408"/>
      <c r="AM25" s="408"/>
    </row>
    <row r="26" spans="1:39" x14ac:dyDescent="0.25">
      <c r="A26" s="433" t="s">
        <v>161</v>
      </c>
      <c r="B26" s="448">
        <v>0.625</v>
      </c>
      <c r="C26" s="448">
        <v>0.63541666666666663</v>
      </c>
      <c r="D26" s="454">
        <v>0.64583333333333337</v>
      </c>
      <c r="E26" s="454">
        <v>0.65625</v>
      </c>
      <c r="F26" s="454">
        <v>0.66666666666666663</v>
      </c>
      <c r="G26" s="454">
        <v>0.67708333333333337</v>
      </c>
      <c r="H26" s="454">
        <v>0.6875</v>
      </c>
      <c r="I26" s="454">
        <v>0.69791666666666663</v>
      </c>
      <c r="J26" s="454">
        <v>0.70833333333333337</v>
      </c>
      <c r="K26" s="454">
        <v>0.71875</v>
      </c>
      <c r="L26" s="454">
        <v>0.72916666666666663</v>
      </c>
      <c r="M26" s="454">
        <v>0.73958333333333337</v>
      </c>
      <c r="N26" s="454">
        <v>0.75</v>
      </c>
      <c r="O26" s="554">
        <v>0.76041666666666663</v>
      </c>
      <c r="P26" s="454">
        <v>0.77083333333333337</v>
      </c>
      <c r="Q26" s="453" t="s">
        <v>899</v>
      </c>
      <c r="R26" s="443"/>
      <c r="S26" s="553">
        <v>0.78125</v>
      </c>
      <c r="T26" s="437" t="s">
        <v>161</v>
      </c>
      <c r="U26" s="408"/>
      <c r="AB26" s="227">
        <v>0.55555555555555558</v>
      </c>
      <c r="AC26" s="421">
        <v>0.5625</v>
      </c>
      <c r="AD26" s="421">
        <v>0.59027777777777779</v>
      </c>
      <c r="AE26" s="253">
        <v>0.64930555555555558</v>
      </c>
      <c r="AG26" s="253">
        <v>0.53472222222222221</v>
      </c>
      <c r="AH26" s="421">
        <v>0.5625</v>
      </c>
      <c r="AI26" s="421">
        <v>0.57638888888888884</v>
      </c>
      <c r="AJ26" s="227">
        <v>0.61805555555555558</v>
      </c>
      <c r="AL26" s="408"/>
      <c r="AM26" s="408"/>
    </row>
    <row r="27" spans="1:39" x14ac:dyDescent="0.25">
      <c r="A27" s="438" t="s">
        <v>162</v>
      </c>
      <c r="B27" s="453" t="s">
        <v>900</v>
      </c>
      <c r="C27" s="558" t="s">
        <v>901</v>
      </c>
      <c r="D27" s="465" t="s">
        <v>902</v>
      </c>
      <c r="E27" s="454">
        <v>0.6875</v>
      </c>
      <c r="F27" s="454">
        <v>0.69444444444444442</v>
      </c>
      <c r="G27" s="465" t="s">
        <v>903</v>
      </c>
      <c r="H27" s="558" t="s">
        <v>904</v>
      </c>
      <c r="I27" s="465" t="s">
        <v>905</v>
      </c>
      <c r="J27" s="454">
        <v>0.74305555555555558</v>
      </c>
      <c r="K27" s="454">
        <v>0.74652777777777779</v>
      </c>
      <c r="L27" s="454">
        <v>0.76041666666666663</v>
      </c>
      <c r="M27" s="465" t="s">
        <v>906</v>
      </c>
      <c r="N27" s="465" t="s">
        <v>907</v>
      </c>
      <c r="O27" s="558" t="s">
        <v>908</v>
      </c>
      <c r="P27" s="454">
        <v>0.79861111111111116</v>
      </c>
      <c r="Q27" s="544"/>
      <c r="R27" s="443"/>
      <c r="S27" s="475" t="s">
        <v>909</v>
      </c>
      <c r="T27" s="440" t="s">
        <v>162</v>
      </c>
      <c r="U27" s="408"/>
      <c r="AB27" s="227">
        <v>0.56597222222222221</v>
      </c>
      <c r="AC27" s="421">
        <v>0.57291666666666663</v>
      </c>
      <c r="AD27" s="421">
        <v>0.60069444444444442</v>
      </c>
      <c r="AE27" s="253">
        <v>0.65972222222222221</v>
      </c>
      <c r="AG27" s="253">
        <v>0.54513888888888884</v>
      </c>
      <c r="AH27" s="421">
        <v>0.57291666666666663</v>
      </c>
      <c r="AI27" s="421">
        <v>0.58680555555555558</v>
      </c>
      <c r="AJ27" s="227">
        <v>0.62847222222222221</v>
      </c>
      <c r="AL27" s="408"/>
      <c r="AM27" s="408"/>
    </row>
    <row r="28" spans="1:39" x14ac:dyDescent="0.25">
      <c r="A28" s="91" t="s">
        <v>163</v>
      </c>
      <c r="B28" s="145">
        <v>0.71180555555555558</v>
      </c>
      <c r="C28" s="145">
        <v>0.72222222222222221</v>
      </c>
      <c r="D28" s="100">
        <v>0.73263888888888884</v>
      </c>
      <c r="E28" s="469">
        <v>0.73541666666666672</v>
      </c>
      <c r="F28" s="100">
        <v>0.74652777777777779</v>
      </c>
      <c r="G28" s="100">
        <v>0.75694444444444442</v>
      </c>
      <c r="H28" s="100">
        <v>0.76736111111111116</v>
      </c>
      <c r="I28" s="100">
        <v>0.78125</v>
      </c>
      <c r="J28" s="469">
        <v>0.79513888888888884</v>
      </c>
      <c r="K28" s="100">
        <v>0.79513888888888884</v>
      </c>
      <c r="L28" s="100">
        <v>0.80902777777777779</v>
      </c>
      <c r="M28" s="100">
        <v>0.82291666666666663</v>
      </c>
      <c r="N28" s="469">
        <v>0.82986111111111116</v>
      </c>
      <c r="O28" s="559">
        <v>0.84027777777777779</v>
      </c>
      <c r="P28" s="100">
        <v>0.84027777777777779</v>
      </c>
      <c r="Q28" s="544"/>
      <c r="R28" s="443"/>
      <c r="S28" s="101">
        <v>0.85416666666666663</v>
      </c>
      <c r="T28" s="99" t="s">
        <v>163</v>
      </c>
      <c r="U28" s="408"/>
      <c r="AB28" s="227">
        <v>0.57638888888888884</v>
      </c>
      <c r="AC28" s="421">
        <v>0.58333333333333337</v>
      </c>
      <c r="AD28" s="421">
        <v>0.61458333333333337</v>
      </c>
      <c r="AE28" s="253">
        <v>0.67013888888888884</v>
      </c>
      <c r="AG28" s="253">
        <v>0.55555555555555558</v>
      </c>
      <c r="AH28" s="421">
        <v>0.58333333333333337</v>
      </c>
      <c r="AI28" s="421">
        <v>0.59722222222222221</v>
      </c>
      <c r="AJ28" s="227">
        <v>0.63888888888888884</v>
      </c>
      <c r="AL28" s="408"/>
      <c r="AM28" s="408"/>
    </row>
    <row r="29" spans="1:39" x14ac:dyDescent="0.25">
      <c r="A29" s="433" t="s">
        <v>164</v>
      </c>
      <c r="B29" s="448">
        <v>0.73958333333333337</v>
      </c>
      <c r="C29" s="448">
        <v>0.75</v>
      </c>
      <c r="D29" s="454">
        <v>0.76041666666666663</v>
      </c>
      <c r="E29" s="465" t="s">
        <v>910</v>
      </c>
      <c r="F29" s="454">
        <v>0.77083333333333337</v>
      </c>
      <c r="G29" s="454">
        <v>0.78125</v>
      </c>
      <c r="H29" s="454">
        <v>0.79166666666666663</v>
      </c>
      <c r="I29" s="454">
        <v>0.80555555555555558</v>
      </c>
      <c r="J29" s="465" t="s">
        <v>400</v>
      </c>
      <c r="K29" s="454">
        <v>0.81944444444444442</v>
      </c>
      <c r="L29" s="454">
        <v>0.83333333333333337</v>
      </c>
      <c r="M29" s="454">
        <v>0.84722222222222221</v>
      </c>
      <c r="N29" s="465" t="s">
        <v>426</v>
      </c>
      <c r="O29" s="478" t="s">
        <v>911</v>
      </c>
      <c r="P29" s="454">
        <v>0.86111111111111116</v>
      </c>
      <c r="Q29" s="544"/>
      <c r="R29" s="443"/>
      <c r="S29" s="553">
        <v>0.875</v>
      </c>
      <c r="T29" s="437" t="s">
        <v>164</v>
      </c>
      <c r="U29" s="408"/>
      <c r="AB29" s="227">
        <v>0.58680555555555558</v>
      </c>
      <c r="AC29" s="421">
        <v>0.59375</v>
      </c>
      <c r="AD29" s="421">
        <v>0.62152777777777779</v>
      </c>
      <c r="AE29" s="253">
        <v>0.68055555555555558</v>
      </c>
      <c r="AG29" s="253">
        <v>0.56597222222222221</v>
      </c>
      <c r="AH29" s="421">
        <v>0.59375</v>
      </c>
      <c r="AI29" s="421">
        <v>0.60763888888888884</v>
      </c>
      <c r="AJ29" s="227">
        <v>0.64930555555555558</v>
      </c>
      <c r="AL29" s="408"/>
      <c r="AM29" s="408"/>
    </row>
    <row r="30" spans="1:39" x14ac:dyDescent="0.25">
      <c r="A30" s="438" t="s">
        <v>166</v>
      </c>
      <c r="B30" s="448">
        <v>0.75347222222222221</v>
      </c>
      <c r="C30" s="448">
        <v>0.76736111111111116</v>
      </c>
      <c r="D30" s="454">
        <v>0.77430555555555558</v>
      </c>
      <c r="E30" s="443"/>
      <c r="F30" s="465" t="s">
        <v>912</v>
      </c>
      <c r="G30" s="465" t="s">
        <v>913</v>
      </c>
      <c r="H30" s="454">
        <v>0.80902777777777779</v>
      </c>
      <c r="I30" s="454">
        <v>0.82291666666666663</v>
      </c>
      <c r="J30" s="454"/>
      <c r="K30" s="465" t="s">
        <v>914</v>
      </c>
      <c r="L30" s="465" t="s">
        <v>915</v>
      </c>
      <c r="M30" s="454">
        <v>0.85763888888888884</v>
      </c>
      <c r="N30" s="443"/>
      <c r="O30" s="443"/>
      <c r="P30" s="465" t="s">
        <v>916</v>
      </c>
      <c r="Q30" s="544"/>
      <c r="R30" s="443"/>
      <c r="S30" s="475" t="s">
        <v>917</v>
      </c>
      <c r="T30" s="440" t="s">
        <v>166</v>
      </c>
      <c r="U30" s="408"/>
      <c r="AB30" s="227">
        <v>0.59722222222222221</v>
      </c>
      <c r="AC30" s="421">
        <v>0.60416666666666663</v>
      </c>
      <c r="AD30" s="421">
        <v>0.63194444444444442</v>
      </c>
      <c r="AE30" s="253">
        <v>0.69097222222222221</v>
      </c>
      <c r="AG30" s="253">
        <v>0.57638888888888884</v>
      </c>
      <c r="AH30" s="421">
        <v>0.60416666666666663</v>
      </c>
      <c r="AI30" s="421">
        <v>0.61805555555555558</v>
      </c>
      <c r="AJ30" s="227">
        <v>0.65972222222222221</v>
      </c>
      <c r="AL30" s="408"/>
      <c r="AM30" s="408"/>
    </row>
    <row r="31" spans="1:39" x14ac:dyDescent="0.25">
      <c r="A31" s="80" t="s">
        <v>160</v>
      </c>
      <c r="B31" s="124">
        <v>0.78472222222222221</v>
      </c>
      <c r="C31" s="124">
        <v>0.79861111111111116</v>
      </c>
      <c r="D31" s="469">
        <v>0.80486111111111114</v>
      </c>
      <c r="E31" s="443"/>
      <c r="F31" s="83">
        <v>0.8125</v>
      </c>
      <c r="G31" s="83">
        <v>0.82638888888888884</v>
      </c>
      <c r="H31" s="83">
        <v>0.84027777777777779</v>
      </c>
      <c r="I31" s="83">
        <v>0.85416666666666663</v>
      </c>
      <c r="J31" s="443"/>
      <c r="K31" s="83">
        <v>0.86805555555555558</v>
      </c>
      <c r="L31" s="83">
        <v>0.88194444444444442</v>
      </c>
      <c r="M31" s="83">
        <v>0.89583333333333337</v>
      </c>
      <c r="N31" s="443"/>
      <c r="O31" s="443"/>
      <c r="P31" s="83">
        <v>0.90972222222222221</v>
      </c>
      <c r="Q31" s="544"/>
      <c r="R31" s="443"/>
      <c r="S31" s="124">
        <v>0.92361111111111116</v>
      </c>
      <c r="T31" s="81" t="s">
        <v>160</v>
      </c>
      <c r="U31" s="408"/>
      <c r="AB31" s="227">
        <v>0.60763888888888884</v>
      </c>
      <c r="AC31" s="421">
        <v>0.61458333333333337</v>
      </c>
      <c r="AD31" s="421">
        <v>0.64236111111111116</v>
      </c>
      <c r="AE31" s="253">
        <v>0.70138888888888884</v>
      </c>
      <c r="AG31" s="253">
        <v>0.58680555555555558</v>
      </c>
      <c r="AH31" s="421">
        <v>0.61458333333333337</v>
      </c>
      <c r="AI31" s="421">
        <v>0.62847222222222221</v>
      </c>
      <c r="AJ31" s="227">
        <v>0.67013888888888884</v>
      </c>
      <c r="AL31" s="408"/>
      <c r="AM31" s="408"/>
    </row>
    <row r="32" spans="1:39" x14ac:dyDescent="0.25">
      <c r="A32" s="433" t="s">
        <v>161</v>
      </c>
      <c r="B32" s="448">
        <v>0.79166666666666663</v>
      </c>
      <c r="C32" s="448">
        <v>0.80555555555555558</v>
      </c>
      <c r="D32" s="465" t="s">
        <v>918</v>
      </c>
      <c r="E32" s="415"/>
      <c r="F32" s="454">
        <v>0.81944444444444442</v>
      </c>
      <c r="G32" s="454">
        <v>0.83333333333333337</v>
      </c>
      <c r="H32" s="454">
        <v>0.84722222222222221</v>
      </c>
      <c r="I32" s="454">
        <v>0.86111111111111116</v>
      </c>
      <c r="J32" s="415"/>
      <c r="K32" s="454">
        <v>0.875</v>
      </c>
      <c r="L32" s="554">
        <v>0.88888888888888884</v>
      </c>
      <c r="M32" s="454">
        <v>0.90277777777777779</v>
      </c>
      <c r="N32" s="443"/>
      <c r="O32" s="443"/>
      <c r="P32" s="454">
        <v>0.91666666666666663</v>
      </c>
      <c r="Q32" s="544"/>
      <c r="R32" s="443"/>
      <c r="S32" s="448">
        <v>0.93055555555555558</v>
      </c>
      <c r="T32" s="437" t="s">
        <v>161</v>
      </c>
      <c r="U32" s="408"/>
      <c r="AB32" s="227">
        <v>0.61805555555555558</v>
      </c>
      <c r="AC32" s="421">
        <v>0.625</v>
      </c>
      <c r="AD32" s="421">
        <v>0.65277777777777779</v>
      </c>
      <c r="AE32" s="253">
        <v>0.71180555555555558</v>
      </c>
      <c r="AG32" s="253">
        <v>0.59722222222222221</v>
      </c>
      <c r="AH32" s="421">
        <v>0.625</v>
      </c>
      <c r="AI32" s="421">
        <v>0.63888888888888884</v>
      </c>
      <c r="AJ32" s="227">
        <v>0.68055555555555558</v>
      </c>
      <c r="AL32" s="408"/>
      <c r="AM32" s="408"/>
    </row>
    <row r="33" spans="1:39" x14ac:dyDescent="0.25">
      <c r="A33" s="438" t="s">
        <v>162</v>
      </c>
      <c r="B33" s="453" t="s">
        <v>919</v>
      </c>
      <c r="C33" s="453" t="s">
        <v>920</v>
      </c>
      <c r="D33" s="465"/>
      <c r="E33" s="415"/>
      <c r="F33" s="454">
        <v>0.84375</v>
      </c>
      <c r="G33" s="454">
        <v>0.85763888888888884</v>
      </c>
      <c r="H33" s="465" t="s">
        <v>921</v>
      </c>
      <c r="I33" s="465" t="s">
        <v>922</v>
      </c>
      <c r="J33" s="443"/>
      <c r="K33" s="454">
        <v>0.89930555555555558</v>
      </c>
      <c r="L33" s="554">
        <v>0.91319444444444442</v>
      </c>
      <c r="M33" s="465" t="s">
        <v>923</v>
      </c>
      <c r="N33" s="443"/>
      <c r="O33" s="443"/>
      <c r="P33" s="454">
        <v>0.94097222222222221</v>
      </c>
      <c r="Q33" s="544"/>
      <c r="R33" s="443"/>
      <c r="S33" s="448">
        <v>0.95486111111111116</v>
      </c>
      <c r="T33" s="440" t="s">
        <v>162</v>
      </c>
      <c r="U33" s="408"/>
      <c r="AB33" s="227">
        <v>0.62847222222222221</v>
      </c>
      <c r="AC33" s="421">
        <v>0.63541666666666663</v>
      </c>
      <c r="AD33" s="332">
        <v>0.66319444444444442</v>
      </c>
      <c r="AE33" s="253">
        <v>0.72222222222222221</v>
      </c>
      <c r="AG33" s="253">
        <v>0.60763888888888884</v>
      </c>
      <c r="AH33" s="421">
        <v>0.63541666666666663</v>
      </c>
      <c r="AI33" s="421">
        <v>0.64930555555555558</v>
      </c>
      <c r="AJ33" s="227">
        <v>0.69097222222222221</v>
      </c>
      <c r="AL33" s="408"/>
      <c r="AM33" s="408"/>
    </row>
    <row r="34" spans="1:39" x14ac:dyDescent="0.25">
      <c r="A34" s="91" t="s">
        <v>163</v>
      </c>
      <c r="B34" s="557">
        <v>0.86805555555555558</v>
      </c>
      <c r="C34" s="145">
        <v>0.86805555555555558</v>
      </c>
      <c r="D34" s="443"/>
      <c r="E34" s="443"/>
      <c r="F34" s="100">
        <v>0.88194444444444442</v>
      </c>
      <c r="G34" s="100">
        <v>0.89583333333333337</v>
      </c>
      <c r="H34" s="100">
        <v>0.90972222222222221</v>
      </c>
      <c r="I34" s="100">
        <v>0.92361111111111116</v>
      </c>
      <c r="J34" s="443"/>
      <c r="K34" s="100">
        <v>0.9375</v>
      </c>
      <c r="L34" s="100">
        <v>0.95138888888888884</v>
      </c>
      <c r="M34" s="100">
        <v>0.96527777777777779</v>
      </c>
      <c r="N34" s="443"/>
      <c r="O34" s="443"/>
      <c r="P34" s="100">
        <v>0.97916666666666663</v>
      </c>
      <c r="Q34" s="544"/>
      <c r="R34" s="443"/>
      <c r="S34" s="557">
        <v>0.98750000000000004</v>
      </c>
      <c r="T34" s="99" t="s">
        <v>163</v>
      </c>
      <c r="U34" s="408"/>
      <c r="AB34" s="227">
        <v>0.63888888888888884</v>
      </c>
      <c r="AC34" s="421">
        <v>0.64583333333333337</v>
      </c>
      <c r="AD34" s="421">
        <v>0.67361111111111116</v>
      </c>
      <c r="AE34" s="253">
        <v>0.73263888888888884</v>
      </c>
      <c r="AG34" s="253">
        <v>0.61805555555555558</v>
      </c>
      <c r="AH34" s="421">
        <v>0.64583333333333337</v>
      </c>
      <c r="AI34" s="421">
        <v>0.65972222222222221</v>
      </c>
      <c r="AJ34" s="227">
        <v>0.70138888888888884</v>
      </c>
      <c r="AL34" s="408"/>
      <c r="AM34" s="408"/>
    </row>
    <row r="35" spans="1:39" x14ac:dyDescent="0.25">
      <c r="A35" s="433" t="s">
        <v>164</v>
      </c>
      <c r="B35" s="453" t="s">
        <v>924</v>
      </c>
      <c r="C35" s="448">
        <v>0.88888888888888884</v>
      </c>
      <c r="D35" s="454"/>
      <c r="E35" s="443"/>
      <c r="F35" s="454">
        <v>0.90277777777777779</v>
      </c>
      <c r="G35" s="454">
        <v>0.91666666666666663</v>
      </c>
      <c r="H35" s="454">
        <v>0.93055555555555558</v>
      </c>
      <c r="I35" s="554">
        <v>0.94444444444444442</v>
      </c>
      <c r="J35" s="443"/>
      <c r="K35" s="448">
        <v>0.95833333333333337</v>
      </c>
      <c r="L35" s="454">
        <v>0.97222222222222221</v>
      </c>
      <c r="M35" s="454">
        <v>0.98611111111111116</v>
      </c>
      <c r="N35" s="443"/>
      <c r="O35" s="443"/>
      <c r="P35" s="454">
        <v>0</v>
      </c>
      <c r="Q35" s="544"/>
      <c r="R35" s="443"/>
      <c r="S35" s="465" t="s">
        <v>831</v>
      </c>
      <c r="T35" s="437" t="s">
        <v>164</v>
      </c>
      <c r="U35" s="408"/>
      <c r="AB35" s="227">
        <v>0.64930555555555558</v>
      </c>
      <c r="AC35" s="421">
        <v>0.65625</v>
      </c>
      <c r="AD35" s="421">
        <v>0.68402777777777779</v>
      </c>
      <c r="AE35" s="473">
        <v>0.73541666666666672</v>
      </c>
      <c r="AG35" s="253">
        <v>0.62847222222222221</v>
      </c>
      <c r="AH35" s="421">
        <v>0.65625</v>
      </c>
      <c r="AI35" s="421">
        <v>0.67013888888888884</v>
      </c>
      <c r="AJ35" s="227">
        <v>0.71180555555555558</v>
      </c>
      <c r="AL35" s="408"/>
      <c r="AM35" s="408"/>
    </row>
    <row r="36" spans="1:39" ht="16.5" thickBot="1" x14ac:dyDescent="0.3">
      <c r="A36" s="438" t="s">
        <v>166</v>
      </c>
      <c r="B36" s="560"/>
      <c r="C36" s="448">
        <v>0.90277777777777779</v>
      </c>
      <c r="D36" s="454"/>
      <c r="E36" s="443"/>
      <c r="F36" s="465" t="s">
        <v>925</v>
      </c>
      <c r="G36" s="465" t="s">
        <v>926</v>
      </c>
      <c r="H36" s="454">
        <v>0.94444444444444442</v>
      </c>
      <c r="I36" s="554">
        <v>0.95833333333333337</v>
      </c>
      <c r="J36" s="443"/>
      <c r="K36" s="453" t="s">
        <v>927</v>
      </c>
      <c r="L36" s="454">
        <v>0.98263888888888884</v>
      </c>
      <c r="M36" s="454">
        <v>0.99652777777777779</v>
      </c>
      <c r="N36" s="443"/>
      <c r="O36" s="443"/>
      <c r="P36" s="454">
        <v>6.9444444444444441E-3</v>
      </c>
      <c r="Q36" s="544"/>
      <c r="R36" s="443"/>
      <c r="S36" s="561"/>
      <c r="T36" s="440" t="s">
        <v>166</v>
      </c>
      <c r="U36" s="408"/>
      <c r="AB36" s="227">
        <v>0.65972222222222221</v>
      </c>
      <c r="AC36" s="421">
        <v>0.66666666666666663</v>
      </c>
      <c r="AD36" s="421">
        <v>0.69444444444444442</v>
      </c>
      <c r="AE36" s="253">
        <v>0.74652777777777779</v>
      </c>
      <c r="AG36" s="253">
        <v>0.63888888888888884</v>
      </c>
      <c r="AH36" s="421">
        <v>0.66666666666666663</v>
      </c>
      <c r="AI36" s="421">
        <v>0.68055555555555558</v>
      </c>
      <c r="AJ36" s="227">
        <v>0.72222222222222221</v>
      </c>
      <c r="AL36" s="408"/>
      <c r="AM36" s="408"/>
    </row>
    <row r="37" spans="1:39" ht="16.5" thickBot="1" x14ac:dyDescent="0.3">
      <c r="A37" s="80" t="s">
        <v>160</v>
      </c>
      <c r="B37" s="560"/>
      <c r="C37" s="83">
        <v>0.9375</v>
      </c>
      <c r="D37" s="443"/>
      <c r="E37" s="443"/>
      <c r="F37" s="83">
        <v>0.95138888888888884</v>
      </c>
      <c r="G37" s="83">
        <v>0.96527777777777779</v>
      </c>
      <c r="H37" s="83">
        <v>0.97916666666666663</v>
      </c>
      <c r="I37" s="117">
        <v>0.98611111111111116</v>
      </c>
      <c r="J37" s="399" t="s">
        <v>928</v>
      </c>
      <c r="K37" s="83">
        <v>0.99305555555555558</v>
      </c>
      <c r="L37" s="469">
        <v>1.0069444444444444</v>
      </c>
      <c r="M37" s="83">
        <v>3.4722222222222224E-2</v>
      </c>
      <c r="N37" s="443"/>
      <c r="O37" s="443"/>
      <c r="P37" s="469">
        <v>4.1666666666666664E-2</v>
      </c>
      <c r="Q37" s="544"/>
      <c r="R37" s="443"/>
      <c r="S37" s="561"/>
      <c r="T37" s="81" t="s">
        <v>160</v>
      </c>
      <c r="U37" s="408"/>
      <c r="AB37" s="227">
        <v>0.67013888888888884</v>
      </c>
      <c r="AC37" s="421">
        <v>0.67708333333333337</v>
      </c>
      <c r="AD37" s="421">
        <v>0.70486111111111116</v>
      </c>
      <c r="AE37" s="253">
        <v>0.75694444444444442</v>
      </c>
      <c r="AG37" s="253">
        <v>0.64930555555555558</v>
      </c>
      <c r="AH37" s="421">
        <v>0.67708333333333337</v>
      </c>
      <c r="AI37" s="421">
        <v>0.69097222222222221</v>
      </c>
      <c r="AJ37" s="227">
        <v>0.73263888888888884</v>
      </c>
      <c r="AL37" s="408"/>
      <c r="AM37" s="408"/>
    </row>
    <row r="38" spans="1:39" ht="16.5" thickBot="1" x14ac:dyDescent="0.3">
      <c r="A38" s="433" t="s">
        <v>161</v>
      </c>
      <c r="B38" s="560"/>
      <c r="C38" s="448">
        <v>0.94444444444444442</v>
      </c>
      <c r="D38" s="554"/>
      <c r="E38" s="443"/>
      <c r="F38" s="454">
        <v>0.95833333333333337</v>
      </c>
      <c r="G38" s="454">
        <v>0.97222222222222221</v>
      </c>
      <c r="H38" s="454">
        <v>0.98611111111111116</v>
      </c>
      <c r="I38" s="562" t="s">
        <v>825</v>
      </c>
      <c r="J38" s="409" t="s">
        <v>78</v>
      </c>
      <c r="K38" s="454">
        <v>0</v>
      </c>
      <c r="L38" s="415" t="s">
        <v>929</v>
      </c>
      <c r="M38" s="454">
        <v>4.1666666666666664E-2</v>
      </c>
      <c r="N38" s="443"/>
      <c r="O38" s="443"/>
      <c r="P38" s="465" t="s">
        <v>930</v>
      </c>
      <c r="Q38" s="544"/>
      <c r="R38" s="443"/>
      <c r="S38" s="561"/>
      <c r="T38" s="437" t="s">
        <v>161</v>
      </c>
      <c r="U38" s="408"/>
      <c r="AB38" s="227">
        <v>0.68055555555555558</v>
      </c>
      <c r="AC38" s="421">
        <v>0.6875</v>
      </c>
      <c r="AD38" s="332">
        <v>0.71527777777777779</v>
      </c>
      <c r="AE38" s="253">
        <v>0.76736111111111116</v>
      </c>
      <c r="AG38" s="253">
        <v>0.65972222222222221</v>
      </c>
      <c r="AH38" s="421">
        <v>0.6875</v>
      </c>
      <c r="AI38" s="421">
        <v>0.70138888888888884</v>
      </c>
      <c r="AJ38" s="227">
        <v>0.74305555555555558</v>
      </c>
      <c r="AL38" s="408"/>
      <c r="AM38" s="408"/>
    </row>
    <row r="39" spans="1:39" x14ac:dyDescent="0.25">
      <c r="A39" s="438" t="s">
        <v>162</v>
      </c>
      <c r="B39" s="560"/>
      <c r="C39" s="448">
        <v>0.96875</v>
      </c>
      <c r="D39" s="544"/>
      <c r="E39" s="443"/>
      <c r="F39" s="454">
        <v>0.98263888888888884</v>
      </c>
      <c r="G39" s="454">
        <v>0.99652777777777779</v>
      </c>
      <c r="H39" s="454">
        <v>1.0104166666666667</v>
      </c>
      <c r="I39" s="443"/>
      <c r="J39" s="416" t="s">
        <v>931</v>
      </c>
      <c r="K39" s="454">
        <v>1.7361111111111112E-2</v>
      </c>
      <c r="L39" s="443"/>
      <c r="M39" s="465" t="s">
        <v>932</v>
      </c>
      <c r="N39" s="563"/>
      <c r="O39" s="443"/>
      <c r="P39" s="443"/>
      <c r="Q39" s="544"/>
      <c r="R39" s="443"/>
      <c r="S39" s="550"/>
      <c r="T39" s="440" t="s">
        <v>162</v>
      </c>
      <c r="U39" s="408"/>
      <c r="AB39" s="227">
        <v>0.69097222222222221</v>
      </c>
      <c r="AC39" s="421">
        <v>0.69791666666666663</v>
      </c>
      <c r="AD39" s="421">
        <v>0.72569444444444442</v>
      </c>
      <c r="AE39" s="253">
        <v>0.78125</v>
      </c>
      <c r="AG39" s="253">
        <v>0.67013888888888884</v>
      </c>
      <c r="AH39" s="421">
        <v>0.69791666666666663</v>
      </c>
      <c r="AI39" s="421">
        <v>0.71180555555555558</v>
      </c>
      <c r="AJ39" s="227">
        <v>0.75347222222222221</v>
      </c>
      <c r="AL39" s="408"/>
      <c r="AM39" s="408"/>
    </row>
    <row r="40" spans="1:39" x14ac:dyDescent="0.25">
      <c r="A40" s="91" t="s">
        <v>163</v>
      </c>
      <c r="B40" s="560"/>
      <c r="C40" s="469">
        <v>0.99583333333333335</v>
      </c>
      <c r="D40" s="454"/>
      <c r="E40" s="443"/>
      <c r="F40" s="469">
        <v>1.0097222222222222</v>
      </c>
      <c r="G40" s="469">
        <v>1.023611111111111</v>
      </c>
      <c r="H40" s="469">
        <v>1.0375000000000001</v>
      </c>
      <c r="I40" s="443"/>
      <c r="J40" s="100">
        <v>2.0833333333333332E-2</v>
      </c>
      <c r="K40" s="100">
        <v>1.0625</v>
      </c>
      <c r="L40" s="563"/>
      <c r="M40" s="100">
        <v>0.10416666666666667</v>
      </c>
      <c r="N40" s="443"/>
      <c r="O40" s="443"/>
      <c r="P40" s="454"/>
      <c r="Q40" s="544"/>
      <c r="R40" s="443"/>
      <c r="S40" s="550"/>
      <c r="T40" s="99" t="s">
        <v>163</v>
      </c>
      <c r="U40" s="408"/>
      <c r="AB40" s="227">
        <v>0.70138888888888884</v>
      </c>
      <c r="AC40" s="421">
        <v>0.70833333333333337</v>
      </c>
      <c r="AD40" s="421">
        <v>0.73611111111111116</v>
      </c>
      <c r="AE40" s="473">
        <v>0.79513888888888884</v>
      </c>
      <c r="AG40" s="253">
        <v>0.68055555555555558</v>
      </c>
      <c r="AH40" s="421">
        <v>0.70833333333333337</v>
      </c>
      <c r="AI40" s="421">
        <v>0.72222222222222221</v>
      </c>
      <c r="AJ40" s="227">
        <v>0.76388888888888884</v>
      </c>
      <c r="AL40" s="408"/>
      <c r="AM40" s="408"/>
    </row>
    <row r="41" spans="1:39" x14ac:dyDescent="0.25">
      <c r="A41" s="433" t="s">
        <v>164</v>
      </c>
      <c r="B41" s="425"/>
      <c r="C41" s="465" t="s">
        <v>933</v>
      </c>
      <c r="D41" s="454"/>
      <c r="E41" s="443"/>
      <c r="F41" s="465" t="s">
        <v>934</v>
      </c>
      <c r="G41" s="465" t="s">
        <v>935</v>
      </c>
      <c r="H41" s="564" t="s">
        <v>936</v>
      </c>
      <c r="I41" s="443"/>
      <c r="J41" s="454">
        <v>4.1666666666666664E-2</v>
      </c>
      <c r="K41" s="454">
        <v>8.3333333333333329E-2</v>
      </c>
      <c r="L41" s="443"/>
      <c r="M41" s="454">
        <v>0.125</v>
      </c>
      <c r="N41" s="443"/>
      <c r="O41" s="443"/>
      <c r="P41" s="443"/>
      <c r="Q41" s="544"/>
      <c r="R41" s="443"/>
      <c r="S41" s="550"/>
      <c r="T41" s="437" t="s">
        <v>164</v>
      </c>
      <c r="U41" s="408"/>
      <c r="AB41" s="227">
        <v>0.71180555555555558</v>
      </c>
      <c r="AC41" s="421">
        <v>0.71875</v>
      </c>
      <c r="AD41" s="421">
        <v>0.74652777777777779</v>
      </c>
      <c r="AE41" s="253">
        <v>0.79513888888888884</v>
      </c>
      <c r="AG41" s="253">
        <v>0.69097222222222221</v>
      </c>
      <c r="AH41" s="421">
        <v>0.71875</v>
      </c>
      <c r="AI41" s="421">
        <v>0.73263888888888884</v>
      </c>
      <c r="AJ41" s="473">
        <v>0.77430555555555558</v>
      </c>
      <c r="AL41" s="408"/>
      <c r="AM41" s="408"/>
    </row>
    <row r="42" spans="1:39" x14ac:dyDescent="0.25">
      <c r="A42" s="438" t="s">
        <v>166</v>
      </c>
      <c r="B42" s="425"/>
      <c r="C42" s="551"/>
      <c r="D42" s="454"/>
      <c r="E42" s="443"/>
      <c r="F42" s="443"/>
      <c r="G42" s="443"/>
      <c r="H42" s="454"/>
      <c r="I42" s="443"/>
      <c r="J42" s="454">
        <v>4.8611111111111112E-2</v>
      </c>
      <c r="K42" s="454">
        <v>9.0277777777777776E-2</v>
      </c>
      <c r="L42" s="563"/>
      <c r="M42" s="454">
        <v>0.13194444444444445</v>
      </c>
      <c r="N42" s="443"/>
      <c r="O42" s="443"/>
      <c r="P42" s="443"/>
      <c r="Q42" s="544"/>
      <c r="R42" s="443"/>
      <c r="S42" s="550"/>
      <c r="T42" s="440" t="s">
        <v>166</v>
      </c>
      <c r="U42" s="408"/>
      <c r="AB42" s="227">
        <v>0.72222222222222221</v>
      </c>
      <c r="AC42" s="421">
        <v>0.72916666666666663</v>
      </c>
      <c r="AD42" s="421">
        <v>0.75694444444444442</v>
      </c>
      <c r="AE42" s="253">
        <v>0.80902777777777779</v>
      </c>
      <c r="AG42" s="253">
        <v>0.70138888888888884</v>
      </c>
      <c r="AH42" s="421">
        <v>0.72916666666666663</v>
      </c>
      <c r="AI42" s="421">
        <v>0.73958333333333337</v>
      </c>
      <c r="AJ42" s="227">
        <v>0.77430555555555558</v>
      </c>
      <c r="AL42" s="408"/>
      <c r="AM42" s="408"/>
    </row>
    <row r="43" spans="1:39" x14ac:dyDescent="0.25">
      <c r="A43" s="80" t="s">
        <v>160</v>
      </c>
      <c r="B43" s="425"/>
      <c r="C43" s="453"/>
      <c r="D43" s="454"/>
      <c r="E43" s="443"/>
      <c r="F43" s="443"/>
      <c r="G43" s="443"/>
      <c r="H43" s="443"/>
      <c r="I43" s="443"/>
      <c r="J43" s="83">
        <v>7.6388888888888895E-2</v>
      </c>
      <c r="K43" s="83">
        <v>1.1180555555555556</v>
      </c>
      <c r="L43" s="443"/>
      <c r="M43" s="83">
        <v>0.15972222222222221</v>
      </c>
      <c r="N43" s="443"/>
      <c r="O43" s="443"/>
      <c r="P43" s="443"/>
      <c r="Q43" s="544"/>
      <c r="R43" s="443"/>
      <c r="S43" s="550"/>
      <c r="T43" s="81" t="s">
        <v>160</v>
      </c>
      <c r="U43" s="408"/>
      <c r="AB43" s="227">
        <v>0.73263888888888884</v>
      </c>
      <c r="AC43" s="421">
        <v>0.73958333333333337</v>
      </c>
      <c r="AD43" s="421">
        <v>0.76736111111111116</v>
      </c>
      <c r="AE43" s="253">
        <v>0.82291666666666663</v>
      </c>
      <c r="AG43" s="253">
        <v>0.71180555555555558</v>
      </c>
      <c r="AH43" s="421">
        <v>0.73958333333333337</v>
      </c>
      <c r="AI43" s="421">
        <v>0.75</v>
      </c>
      <c r="AJ43" s="227">
        <v>0.78472222222222221</v>
      </c>
      <c r="AL43" s="408"/>
      <c r="AM43" s="408"/>
    </row>
    <row r="44" spans="1:39" x14ac:dyDescent="0.25">
      <c r="A44" s="433" t="s">
        <v>161</v>
      </c>
      <c r="B44" s="425"/>
      <c r="C44" s="551"/>
      <c r="D44" s="454"/>
      <c r="E44" s="443"/>
      <c r="F44" s="454"/>
      <c r="G44" s="454"/>
      <c r="H44" s="454"/>
      <c r="I44" s="443"/>
      <c r="J44" s="454">
        <v>8.3333333333333329E-2</v>
      </c>
      <c r="K44" s="454">
        <v>0.125</v>
      </c>
      <c r="L44" s="443"/>
      <c r="M44" s="454">
        <v>0.16666666666666666</v>
      </c>
      <c r="N44" s="443"/>
      <c r="O44" s="443"/>
      <c r="P44" s="454"/>
      <c r="Q44" s="554"/>
      <c r="R44" s="454"/>
      <c r="S44" s="550"/>
      <c r="T44" s="437" t="s">
        <v>161</v>
      </c>
      <c r="U44" s="408"/>
      <c r="AB44" s="227">
        <v>0.74305555555555558</v>
      </c>
      <c r="AC44" s="421">
        <v>0.75</v>
      </c>
      <c r="AD44" s="421">
        <v>0.77777777777777779</v>
      </c>
      <c r="AE44" s="473">
        <v>0.82986111111111116</v>
      </c>
      <c r="AG44" s="253">
        <v>0.72222222222222221</v>
      </c>
      <c r="AH44" s="421">
        <v>0.75</v>
      </c>
      <c r="AI44" s="421">
        <v>0.76041666666666663</v>
      </c>
      <c r="AJ44" s="227">
        <v>0.79861111111111116</v>
      </c>
      <c r="AL44" s="408"/>
      <c r="AM44" s="408"/>
    </row>
    <row r="45" spans="1:39" x14ac:dyDescent="0.25">
      <c r="A45" s="438" t="s">
        <v>162</v>
      </c>
      <c r="B45" s="425"/>
      <c r="C45" s="453"/>
      <c r="D45" s="443"/>
      <c r="E45" s="443"/>
      <c r="F45" s="453"/>
      <c r="G45" s="453"/>
      <c r="H45" s="453"/>
      <c r="I45" s="443"/>
      <c r="J45" s="465" t="s">
        <v>937</v>
      </c>
      <c r="K45" s="465" t="s">
        <v>938</v>
      </c>
      <c r="L45" s="443"/>
      <c r="M45" s="454">
        <v>0.18402777777777779</v>
      </c>
      <c r="N45" s="443"/>
      <c r="O45" s="454"/>
      <c r="P45" s="443"/>
      <c r="Q45" s="544"/>
      <c r="R45" s="443"/>
      <c r="S45" s="550"/>
      <c r="T45" s="440" t="s">
        <v>162</v>
      </c>
      <c r="U45" s="408"/>
      <c r="AB45" s="227">
        <v>0.75347222222222221</v>
      </c>
      <c r="AC45" s="421">
        <v>0.76041666666666663</v>
      </c>
      <c r="AD45" s="332">
        <v>0.78472222222222221</v>
      </c>
      <c r="AE45" s="565">
        <v>0.84027777777777779</v>
      </c>
      <c r="AG45" s="253">
        <v>0.73263888888888884</v>
      </c>
      <c r="AH45" s="421">
        <v>0.76041666666666663</v>
      </c>
      <c r="AI45" s="421">
        <v>0.77083333333333337</v>
      </c>
      <c r="AJ45" s="473">
        <v>0.80486111111111114</v>
      </c>
      <c r="AL45" s="408"/>
      <c r="AM45" s="408"/>
    </row>
    <row r="46" spans="1:39" x14ac:dyDescent="0.25">
      <c r="A46" s="91" t="s">
        <v>163</v>
      </c>
      <c r="B46" s="425"/>
      <c r="C46" s="551"/>
      <c r="D46" s="415"/>
      <c r="E46" s="443"/>
      <c r="F46" s="415"/>
      <c r="G46" s="443"/>
      <c r="H46" s="443"/>
      <c r="I46" s="415"/>
      <c r="J46" s="100">
        <v>0.14583333333333334</v>
      </c>
      <c r="K46" s="100">
        <v>0.1875</v>
      </c>
      <c r="L46" s="443"/>
      <c r="M46" s="469">
        <v>0.22361111111111112</v>
      </c>
      <c r="N46" s="443"/>
      <c r="O46" s="443"/>
      <c r="P46" s="415"/>
      <c r="Q46" s="552"/>
      <c r="R46" s="415"/>
      <c r="S46" s="566"/>
      <c r="T46" s="99" t="s">
        <v>163</v>
      </c>
      <c r="U46" s="408"/>
      <c r="AB46" s="227">
        <v>0.76388888888888884</v>
      </c>
      <c r="AC46" s="421">
        <v>0.77083333333333337</v>
      </c>
      <c r="AD46" s="421">
        <v>0.79513888888888884</v>
      </c>
      <c r="AE46" s="253">
        <v>0.84027777777777779</v>
      </c>
      <c r="AG46" s="253">
        <v>0.74652777777777779</v>
      </c>
      <c r="AH46" s="421">
        <v>0.77083333333333337</v>
      </c>
      <c r="AI46" s="421">
        <v>0.78125</v>
      </c>
      <c r="AJ46" s="227">
        <v>0.8125</v>
      </c>
      <c r="AL46" s="408"/>
      <c r="AM46" s="408"/>
    </row>
    <row r="47" spans="1:39" x14ac:dyDescent="0.25">
      <c r="A47" s="433" t="s">
        <v>164</v>
      </c>
      <c r="B47" s="425"/>
      <c r="C47" s="551"/>
      <c r="D47" s="465"/>
      <c r="E47" s="454"/>
      <c r="F47" s="415"/>
      <c r="G47" s="454"/>
      <c r="H47" s="443"/>
      <c r="I47" s="415"/>
      <c r="J47" s="454">
        <v>0.16666666666666666</v>
      </c>
      <c r="K47" s="454">
        <v>0.20833333333333334</v>
      </c>
      <c r="L47" s="443"/>
      <c r="M47" s="465" t="s">
        <v>939</v>
      </c>
      <c r="N47" s="443"/>
      <c r="O47" s="443"/>
      <c r="P47" s="465"/>
      <c r="Q47" s="552"/>
      <c r="R47" s="415"/>
      <c r="S47" s="566"/>
      <c r="T47" s="567" t="s">
        <v>164</v>
      </c>
      <c r="U47" s="408"/>
      <c r="AB47" s="227">
        <v>0.77430555555555558</v>
      </c>
      <c r="AC47" s="421">
        <v>0.78125</v>
      </c>
      <c r="AD47" s="421">
        <v>0.80555555555555558</v>
      </c>
      <c r="AE47" s="253">
        <v>0.85416666666666663</v>
      </c>
      <c r="AG47" s="253">
        <v>0.75694444444444442</v>
      </c>
      <c r="AH47" s="421">
        <v>0.78125</v>
      </c>
      <c r="AI47" s="421">
        <v>0.79166666666666663</v>
      </c>
      <c r="AJ47" s="227">
        <v>0.82638888888888884</v>
      </c>
      <c r="AL47" s="408"/>
      <c r="AM47" s="408"/>
    </row>
    <row r="48" spans="1:39" x14ac:dyDescent="0.25">
      <c r="A48" s="438" t="s">
        <v>166</v>
      </c>
      <c r="B48" s="425"/>
      <c r="C48" s="551"/>
      <c r="D48" s="564"/>
      <c r="E48" s="563"/>
      <c r="F48" s="415"/>
      <c r="G48" s="443"/>
      <c r="H48" s="443"/>
      <c r="I48" s="415"/>
      <c r="J48" s="454">
        <v>0.1736111111111111</v>
      </c>
      <c r="K48" s="454">
        <v>0.21527777777777779</v>
      </c>
      <c r="L48" s="443"/>
      <c r="M48" s="415"/>
      <c r="N48" s="443"/>
      <c r="O48" s="443"/>
      <c r="P48" s="415"/>
      <c r="Q48" s="552"/>
      <c r="R48" s="415"/>
      <c r="S48" s="566"/>
      <c r="T48" s="568" t="s">
        <v>166</v>
      </c>
      <c r="U48" s="408"/>
      <c r="AB48" s="227">
        <v>0.78472222222222221</v>
      </c>
      <c r="AC48" s="421">
        <v>0.79166666666666663</v>
      </c>
      <c r="AD48" s="421">
        <v>0.81597222222222221</v>
      </c>
      <c r="AE48" s="473">
        <v>0.86805555555555558</v>
      </c>
      <c r="AG48" s="253">
        <v>0.76736111111111116</v>
      </c>
      <c r="AH48" s="421">
        <v>0.79166666666666663</v>
      </c>
      <c r="AI48" s="421">
        <v>0.80208333333333337</v>
      </c>
      <c r="AJ48" s="227">
        <v>0.84027777777777779</v>
      </c>
      <c r="AL48" s="408"/>
      <c r="AM48" s="408"/>
    </row>
    <row r="49" spans="1:39" x14ac:dyDescent="0.25">
      <c r="A49" s="80" t="s">
        <v>160</v>
      </c>
      <c r="B49" s="425"/>
      <c r="C49" s="551"/>
      <c r="D49" s="563"/>
      <c r="E49" s="563"/>
      <c r="F49" s="415"/>
      <c r="G49" s="443"/>
      <c r="H49" s="443"/>
      <c r="I49" s="415"/>
      <c r="J49" s="83">
        <v>0.2013888888888889</v>
      </c>
      <c r="K49" s="469">
        <v>0.24305555555555555</v>
      </c>
      <c r="L49" s="443"/>
      <c r="M49" s="415"/>
      <c r="N49" s="415"/>
      <c r="O49" s="415"/>
      <c r="P49" s="415"/>
      <c r="Q49" s="552"/>
      <c r="R49" s="415"/>
      <c r="S49" s="566"/>
      <c r="T49" s="569" t="s">
        <v>160</v>
      </c>
      <c r="U49" s="408"/>
      <c r="AB49" s="227">
        <v>0.79861111111111116</v>
      </c>
      <c r="AC49" s="421">
        <v>0.80555555555555558</v>
      </c>
      <c r="AD49" s="421">
        <v>0.82986111111111116</v>
      </c>
      <c r="AE49" s="253">
        <v>0.86805555555555558</v>
      </c>
      <c r="AG49" s="253">
        <v>0.78125</v>
      </c>
      <c r="AH49" s="421">
        <v>0.80555555555555558</v>
      </c>
      <c r="AI49" s="421">
        <v>0.81597222222222221</v>
      </c>
      <c r="AJ49" s="227">
        <v>0.85416666666666663</v>
      </c>
      <c r="AL49" s="408"/>
      <c r="AM49" s="408"/>
    </row>
    <row r="50" spans="1:39" x14ac:dyDescent="0.25">
      <c r="A50" s="433" t="s">
        <v>161</v>
      </c>
      <c r="B50" s="425"/>
      <c r="C50" s="551"/>
      <c r="D50" s="415"/>
      <c r="E50" s="443"/>
      <c r="F50" s="415"/>
      <c r="G50" s="443"/>
      <c r="H50" s="443"/>
      <c r="I50" s="415"/>
      <c r="J50" s="454">
        <v>0.20833333333333334</v>
      </c>
      <c r="K50" s="465" t="s">
        <v>940</v>
      </c>
      <c r="L50" s="443"/>
      <c r="M50" s="415"/>
      <c r="N50" s="415"/>
      <c r="O50" s="415"/>
      <c r="P50" s="415"/>
      <c r="Q50" s="552"/>
      <c r="R50" s="415"/>
      <c r="S50" s="566"/>
      <c r="T50" s="567" t="s">
        <v>161</v>
      </c>
      <c r="U50" s="408"/>
      <c r="AB50" s="227">
        <v>0.8125</v>
      </c>
      <c r="AC50" s="421">
        <v>0.81944444444444442</v>
      </c>
      <c r="AD50" s="421">
        <v>0.84375</v>
      </c>
      <c r="AE50" s="253">
        <v>0.88194444444444442</v>
      </c>
      <c r="AG50" s="253">
        <v>0.79513888888888884</v>
      </c>
      <c r="AH50" s="421">
        <v>0.81944444444444442</v>
      </c>
      <c r="AI50" s="421">
        <v>0.82986111111111116</v>
      </c>
      <c r="AJ50" s="227">
        <v>0.86805555555555558</v>
      </c>
      <c r="AL50" s="408"/>
      <c r="AM50" s="408"/>
    </row>
    <row r="51" spans="1:39" x14ac:dyDescent="0.25">
      <c r="A51" s="438" t="s">
        <v>162</v>
      </c>
      <c r="B51" s="425"/>
      <c r="C51" s="551"/>
      <c r="D51" s="415"/>
      <c r="E51" s="443"/>
      <c r="F51" s="415"/>
      <c r="G51" s="443"/>
      <c r="H51" s="443"/>
      <c r="I51" s="415"/>
      <c r="J51" s="454">
        <v>0.22569444444444445</v>
      </c>
      <c r="K51" s="443"/>
      <c r="L51" s="443"/>
      <c r="M51" s="415"/>
      <c r="N51" s="415"/>
      <c r="O51" s="415"/>
      <c r="P51" s="415"/>
      <c r="Q51" s="552"/>
      <c r="R51" s="415"/>
      <c r="S51" s="566"/>
      <c r="T51" s="568" t="s">
        <v>162</v>
      </c>
      <c r="U51" s="408"/>
      <c r="AB51" s="227">
        <v>0.82638888888888884</v>
      </c>
      <c r="AC51" s="421">
        <v>0.83333333333333337</v>
      </c>
      <c r="AD51" s="421">
        <v>0.85763888888888884</v>
      </c>
      <c r="AE51" s="253">
        <v>0.89583333333333337</v>
      </c>
      <c r="AG51" s="253">
        <v>0.80902777777777779</v>
      </c>
      <c r="AH51" s="421">
        <v>0.83333333333333337</v>
      </c>
      <c r="AI51" s="421">
        <v>0.84375</v>
      </c>
      <c r="AJ51" s="227">
        <v>0.88194444444444442</v>
      </c>
      <c r="AL51" s="408"/>
      <c r="AM51" s="408"/>
    </row>
    <row r="52" spans="1:39" x14ac:dyDescent="0.25">
      <c r="A52" s="91" t="s">
        <v>163</v>
      </c>
      <c r="B52" s="425"/>
      <c r="C52" s="551"/>
      <c r="D52" s="415"/>
      <c r="E52" s="443"/>
      <c r="F52" s="415"/>
      <c r="G52" s="443"/>
      <c r="H52" s="443"/>
      <c r="I52" s="415"/>
      <c r="J52" s="469">
        <v>0.26527777777777778</v>
      </c>
      <c r="K52" s="443"/>
      <c r="M52" s="415"/>
      <c r="N52" s="415"/>
      <c r="O52" s="415"/>
      <c r="P52" s="415"/>
      <c r="Q52" s="552"/>
      <c r="R52" s="415"/>
      <c r="S52" s="566"/>
      <c r="T52" s="570" t="s">
        <v>163</v>
      </c>
      <c r="U52" s="408"/>
      <c r="AB52" s="227">
        <v>0.84027777777777779</v>
      </c>
      <c r="AC52" s="421">
        <v>0.84722222222222221</v>
      </c>
      <c r="AD52" s="421">
        <v>0.87152777777777779</v>
      </c>
      <c r="AE52" s="253">
        <v>0.90972222222222221</v>
      </c>
      <c r="AG52" s="253">
        <v>0.82291666666666663</v>
      </c>
      <c r="AH52" s="421">
        <v>0.84722222222222221</v>
      </c>
      <c r="AI52" s="421">
        <v>0.85763888888888884</v>
      </c>
      <c r="AJ52" s="227">
        <v>0.89583333333333337</v>
      </c>
      <c r="AL52" s="408"/>
      <c r="AM52" s="408"/>
    </row>
    <row r="53" spans="1:39" ht="16.5" thickBot="1" x14ac:dyDescent="0.3">
      <c r="A53" s="484" t="s">
        <v>104</v>
      </c>
      <c r="B53" s="485"/>
      <c r="C53" s="571"/>
      <c r="D53" s="486"/>
      <c r="E53" s="486"/>
      <c r="F53" s="486"/>
      <c r="G53" s="486"/>
      <c r="H53" s="486"/>
      <c r="I53" s="486"/>
      <c r="J53" s="572" t="s">
        <v>146</v>
      </c>
      <c r="K53" s="486"/>
      <c r="L53" s="486"/>
      <c r="M53" s="486"/>
      <c r="N53" s="486"/>
      <c r="O53" s="486"/>
      <c r="P53" s="486"/>
      <c r="Q53" s="573"/>
      <c r="R53" s="486"/>
      <c r="S53" s="574"/>
      <c r="T53" s="575" t="s">
        <v>104</v>
      </c>
      <c r="U53" s="408"/>
      <c r="AB53" s="227">
        <v>0.85416666666666663</v>
      </c>
      <c r="AC53" s="421">
        <v>0.86111111111111116</v>
      </c>
      <c r="AD53" s="421">
        <v>0.88541666666666663</v>
      </c>
      <c r="AE53" s="253">
        <v>0.92361111111111116</v>
      </c>
      <c r="AG53" s="253">
        <v>0.84027777777777779</v>
      </c>
      <c r="AH53" s="421">
        <v>0.86111111111111116</v>
      </c>
      <c r="AI53" s="421">
        <v>0.86805555555555558</v>
      </c>
      <c r="AJ53" s="227">
        <v>0.90972222222222221</v>
      </c>
      <c r="AL53" s="408"/>
      <c r="AM53" s="408"/>
    </row>
    <row r="54" spans="1:39" x14ac:dyDescent="0.25">
      <c r="U54" s="408"/>
      <c r="AB54" s="227">
        <v>0.86805555555555558</v>
      </c>
      <c r="AC54" s="421">
        <v>0.875</v>
      </c>
      <c r="AD54" s="421">
        <v>0.89930555555555558</v>
      </c>
      <c r="AE54" s="253">
        <v>0.9375</v>
      </c>
      <c r="AG54" s="253">
        <v>0.85416666666666663</v>
      </c>
      <c r="AH54" s="421">
        <v>0.875</v>
      </c>
      <c r="AI54" s="421">
        <v>0.88194444444444442</v>
      </c>
      <c r="AJ54" s="227">
        <v>0.92361111111111116</v>
      </c>
      <c r="AL54" s="408"/>
      <c r="AM54" s="408"/>
    </row>
    <row r="55" spans="1:39" ht="16.5" thickBot="1" x14ac:dyDescent="0.3">
      <c r="AB55" s="576">
        <v>0.88194444444444442</v>
      </c>
      <c r="AC55" s="421">
        <v>0.88888888888888884</v>
      </c>
      <c r="AD55" s="421">
        <v>0.91319444444444442</v>
      </c>
      <c r="AE55" s="253">
        <v>0.95138888888888884</v>
      </c>
      <c r="AG55" s="577">
        <v>0.86805555555555558</v>
      </c>
      <c r="AH55" s="421">
        <v>0.88888888888888884</v>
      </c>
      <c r="AI55" s="421">
        <v>0.89583333333333337</v>
      </c>
      <c r="AJ55" s="227">
        <v>0.9375</v>
      </c>
      <c r="AK55" s="408"/>
    </row>
    <row r="56" spans="1:39" ht="31.5" customHeight="1" thickBot="1" x14ac:dyDescent="0.3">
      <c r="A56" s="755" t="s">
        <v>682</v>
      </c>
      <c r="B56" s="717"/>
      <c r="C56" s="578"/>
      <c r="D56" s="579" t="s">
        <v>455</v>
      </c>
      <c r="E56" s="579"/>
      <c r="F56" s="579"/>
      <c r="G56" s="715" t="s">
        <v>851</v>
      </c>
      <c r="H56" s="715"/>
      <c r="I56" s="715"/>
      <c r="J56" s="715"/>
      <c r="K56" s="715"/>
      <c r="L56" s="215"/>
      <c r="M56" s="215"/>
      <c r="N56" s="215"/>
      <c r="O56" s="766">
        <v>44469</v>
      </c>
      <c r="P56" s="767"/>
      <c r="Q56" s="767"/>
      <c r="R56" s="768"/>
      <c r="S56" s="493"/>
      <c r="AB56" s="576">
        <v>0.89583333333333337</v>
      </c>
      <c r="AC56" s="421">
        <v>0.90277777777777779</v>
      </c>
      <c r="AD56" s="580">
        <v>0.92708333333333337</v>
      </c>
      <c r="AE56" s="253">
        <v>0.96527777777777779</v>
      </c>
      <c r="AG56" s="577">
        <v>0.88194444444444442</v>
      </c>
      <c r="AH56" s="421">
        <v>0.90277777777777779</v>
      </c>
      <c r="AI56" s="580">
        <v>0.90972222222222221</v>
      </c>
      <c r="AJ56" s="227">
        <v>0.95138888888888884</v>
      </c>
      <c r="AK56" s="408"/>
    </row>
    <row r="57" spans="1:39" x14ac:dyDescent="0.25">
      <c r="A57" s="733" t="s">
        <v>457</v>
      </c>
      <c r="B57" s="223" t="s">
        <v>458</v>
      </c>
      <c r="C57" s="757" t="s">
        <v>459</v>
      </c>
      <c r="D57" s="730" t="s">
        <v>460</v>
      </c>
      <c r="E57" s="731"/>
      <c r="F57" s="732"/>
      <c r="G57" s="730" t="s">
        <v>461</v>
      </c>
      <c r="H57" s="731"/>
      <c r="I57" s="731"/>
      <c r="J57" s="731"/>
      <c r="K57" s="732"/>
      <c r="L57" s="730" t="s">
        <v>462</v>
      </c>
      <c r="M57" s="731"/>
      <c r="N57" s="732"/>
      <c r="O57" s="733" t="s">
        <v>463</v>
      </c>
      <c r="P57" s="733" t="s">
        <v>464</v>
      </c>
      <c r="Q57" s="733" t="s">
        <v>465</v>
      </c>
      <c r="R57" s="733"/>
      <c r="S57" s="493"/>
      <c r="AB57" s="576">
        <v>0.90972222222222221</v>
      </c>
      <c r="AC57" s="421">
        <v>0.91666666666666663</v>
      </c>
      <c r="AD57" s="421">
        <v>0.94097222222222221</v>
      </c>
      <c r="AE57" s="253">
        <v>0.97916666666666663</v>
      </c>
      <c r="AG57" s="577">
        <v>0.89583333333333337</v>
      </c>
      <c r="AH57" s="421">
        <v>0.91666666666666663</v>
      </c>
      <c r="AI57" s="580">
        <v>0.92361111111111116</v>
      </c>
      <c r="AJ57" s="227">
        <v>0.96527777777777779</v>
      </c>
      <c r="AK57" s="408"/>
    </row>
    <row r="58" spans="1:39" ht="16.5" thickBot="1" x14ac:dyDescent="0.3">
      <c r="A58" s="734"/>
      <c r="B58" s="352" t="s">
        <v>466</v>
      </c>
      <c r="C58" s="746"/>
      <c r="D58" s="524" t="s">
        <v>467</v>
      </c>
      <c r="E58" s="525" t="s">
        <v>468</v>
      </c>
      <c r="F58" s="526" t="s">
        <v>469</v>
      </c>
      <c r="G58" s="524" t="s">
        <v>460</v>
      </c>
      <c r="H58" s="525" t="s">
        <v>469</v>
      </c>
      <c r="I58" s="525" t="s">
        <v>467</v>
      </c>
      <c r="J58" s="525" t="s">
        <v>460</v>
      </c>
      <c r="K58" s="526" t="s">
        <v>469</v>
      </c>
      <c r="L58" s="524" t="s">
        <v>462</v>
      </c>
      <c r="M58" s="525" t="s">
        <v>469</v>
      </c>
      <c r="N58" s="526" t="s">
        <v>470</v>
      </c>
      <c r="O58" s="734"/>
      <c r="P58" s="734"/>
      <c r="Q58" s="734"/>
      <c r="R58" s="734"/>
      <c r="S58" s="493"/>
      <c r="AB58" s="576">
        <v>0.92361111111111116</v>
      </c>
      <c r="AC58" s="421">
        <v>0.93055555555555558</v>
      </c>
      <c r="AD58" s="421">
        <v>0.95486111111111116</v>
      </c>
      <c r="AE58" s="473">
        <v>0.98750000000000004</v>
      </c>
      <c r="AG58" s="577">
        <v>0.90972222222222221</v>
      </c>
      <c r="AH58" s="421">
        <v>0.93055555555555558</v>
      </c>
      <c r="AI58" s="421">
        <v>0.9375</v>
      </c>
      <c r="AJ58" s="227">
        <v>0.97916666666666663</v>
      </c>
      <c r="AK58" s="408"/>
    </row>
    <row r="59" spans="1:39" x14ac:dyDescent="0.25">
      <c r="A59" s="237" t="s">
        <v>471</v>
      </c>
      <c r="B59" s="502" t="s">
        <v>472</v>
      </c>
      <c r="C59" s="503" t="s">
        <v>473</v>
      </c>
      <c r="D59" s="239">
        <v>0.19583333333333333</v>
      </c>
      <c r="E59" s="240">
        <v>0.2013888888888889</v>
      </c>
      <c r="F59" s="241" t="s">
        <v>104</v>
      </c>
      <c r="G59" s="708"/>
      <c r="H59" s="709"/>
      <c r="I59" s="709"/>
      <c r="J59" s="709"/>
      <c r="K59" s="710"/>
      <c r="L59" s="239">
        <v>0.41666666666666669</v>
      </c>
      <c r="M59" s="240" t="s">
        <v>475</v>
      </c>
      <c r="N59" s="241">
        <v>0.4201388888888889</v>
      </c>
      <c r="O59" s="237">
        <f>N59-D59</f>
        <v>0.22430555555555556</v>
      </c>
      <c r="P59" s="237">
        <f>O59-Q59</f>
        <v>0.22430555555555556</v>
      </c>
      <c r="Q59" s="243">
        <v>0</v>
      </c>
      <c r="R59" s="243"/>
      <c r="S59" s="467"/>
      <c r="T59" s="581"/>
      <c r="U59" s="582"/>
      <c r="AB59" s="576">
        <v>0.9375</v>
      </c>
      <c r="AC59" s="421">
        <v>0.94444444444444442</v>
      </c>
      <c r="AD59" s="421">
        <v>0.96875</v>
      </c>
      <c r="AE59" s="473">
        <v>0.99583333333333335</v>
      </c>
      <c r="AG59" s="577">
        <v>0.92361111111111116</v>
      </c>
      <c r="AH59" s="421">
        <v>0.94444444444444442</v>
      </c>
      <c r="AI59" s="421">
        <v>0.95138888888888884</v>
      </c>
      <c r="AJ59" s="583">
        <v>0.98611111111111116</v>
      </c>
      <c r="AK59" s="408"/>
    </row>
    <row r="60" spans="1:39" ht="16.5" thickBot="1" x14ac:dyDescent="0.3">
      <c r="A60" s="268" t="s">
        <v>476</v>
      </c>
      <c r="B60" s="268" t="s">
        <v>472</v>
      </c>
      <c r="C60" s="511" t="s">
        <v>472</v>
      </c>
      <c r="D60" s="270">
        <v>0.20277777777777778</v>
      </c>
      <c r="E60" s="271">
        <v>0.20833333333333334</v>
      </c>
      <c r="F60" s="272" t="s">
        <v>104</v>
      </c>
      <c r="G60" s="758"/>
      <c r="H60" s="759"/>
      <c r="I60" s="759"/>
      <c r="J60" s="759"/>
      <c r="K60" s="760"/>
      <c r="L60" s="270">
        <v>0.43402777777777779</v>
      </c>
      <c r="M60" s="271" t="s">
        <v>474</v>
      </c>
      <c r="N60" s="272">
        <v>0.4375</v>
      </c>
      <c r="O60" s="268">
        <f t="shared" ref="O60:O89" si="0">N60-D60</f>
        <v>0.23472222222222222</v>
      </c>
      <c r="P60" s="268">
        <f t="shared" ref="P60:P89" si="1">O60-Q60</f>
        <v>0.23472222222222222</v>
      </c>
      <c r="Q60" s="275">
        <v>0</v>
      </c>
      <c r="R60" s="275"/>
      <c r="S60" s="584">
        <f>L60-E60</f>
        <v>0.22569444444444445</v>
      </c>
      <c r="T60" s="585"/>
      <c r="U60" s="582"/>
      <c r="AB60" s="576">
        <v>0.95138888888888884</v>
      </c>
      <c r="AC60" s="421">
        <v>0.95833333333333337</v>
      </c>
      <c r="AD60" s="421">
        <v>0.98263888888888884</v>
      </c>
      <c r="AE60" s="473">
        <v>1.0097222222222222</v>
      </c>
      <c r="AG60" s="577">
        <v>0.9375</v>
      </c>
      <c r="AH60" s="421">
        <v>0.95833333333333337</v>
      </c>
      <c r="AI60" s="580">
        <v>0.96527777777777779</v>
      </c>
      <c r="AJ60" s="227">
        <v>0.99305555555555558</v>
      </c>
      <c r="AK60" s="408"/>
    </row>
    <row r="61" spans="1:39" x14ac:dyDescent="0.25">
      <c r="A61" s="237" t="s">
        <v>477</v>
      </c>
      <c r="B61" s="237" t="s">
        <v>472</v>
      </c>
      <c r="C61" s="503" t="s">
        <v>478</v>
      </c>
      <c r="D61" s="239">
        <v>0.23749999999999999</v>
      </c>
      <c r="E61" s="240">
        <v>0.24305555555555555</v>
      </c>
      <c r="F61" s="241" t="s">
        <v>104</v>
      </c>
      <c r="G61" s="708"/>
      <c r="H61" s="709"/>
      <c r="I61" s="709"/>
      <c r="J61" s="709"/>
      <c r="K61" s="710"/>
      <c r="L61" s="239">
        <v>0.46180555555555558</v>
      </c>
      <c r="M61" s="240" t="s">
        <v>475</v>
      </c>
      <c r="N61" s="241">
        <v>0.46527777777777779</v>
      </c>
      <c r="O61" s="237">
        <f>N61-D61</f>
        <v>0.2277777777777778</v>
      </c>
      <c r="P61" s="237">
        <f>O61-Q61</f>
        <v>0.2277777777777778</v>
      </c>
      <c r="Q61" s="243">
        <f t="shared" ref="Q61:Q67" si="2">I61-G61</f>
        <v>0</v>
      </c>
      <c r="R61" s="243"/>
      <c r="S61" s="584"/>
      <c r="T61" s="586"/>
      <c r="AB61" s="576">
        <v>0.96527777777777779</v>
      </c>
      <c r="AC61" s="421">
        <v>0.97222222222222221</v>
      </c>
      <c r="AD61" s="421">
        <v>0.99652777777777779</v>
      </c>
      <c r="AE61" s="473">
        <v>1.023611111111111</v>
      </c>
      <c r="AG61" s="577">
        <v>0.95138888888888884</v>
      </c>
      <c r="AH61" s="421">
        <v>0.97222222222222221</v>
      </c>
      <c r="AI61" s="421">
        <v>0.97916666666666663</v>
      </c>
      <c r="AJ61" s="473">
        <v>1.0069444444444444</v>
      </c>
      <c r="AK61" s="408"/>
    </row>
    <row r="62" spans="1:39" ht="16.5" thickBot="1" x14ac:dyDescent="0.3">
      <c r="A62" s="268" t="s">
        <v>479</v>
      </c>
      <c r="B62" s="268" t="s">
        <v>472</v>
      </c>
      <c r="C62" s="511" t="s">
        <v>480</v>
      </c>
      <c r="D62" s="270">
        <v>0.24444444444444444</v>
      </c>
      <c r="E62" s="271">
        <v>0.25</v>
      </c>
      <c r="F62" s="272" t="s">
        <v>104</v>
      </c>
      <c r="G62" s="758"/>
      <c r="H62" s="759"/>
      <c r="I62" s="759"/>
      <c r="J62" s="759"/>
      <c r="K62" s="760"/>
      <c r="L62" s="270">
        <v>0.47916666666666669</v>
      </c>
      <c r="M62" s="271" t="s">
        <v>474</v>
      </c>
      <c r="N62" s="272">
        <v>0.4826388888888889</v>
      </c>
      <c r="O62" s="268">
        <f t="shared" si="0"/>
        <v>0.23819444444444446</v>
      </c>
      <c r="P62" s="268">
        <f t="shared" si="1"/>
        <v>0.23819444444444446</v>
      </c>
      <c r="Q62" s="275">
        <f t="shared" si="2"/>
        <v>0</v>
      </c>
      <c r="R62" s="275"/>
      <c r="S62" s="587"/>
      <c r="T62" s="586"/>
      <c r="AB62" s="576">
        <v>0.97916666666666663</v>
      </c>
      <c r="AC62" s="421">
        <v>0.98611111111111116</v>
      </c>
      <c r="AD62" s="421">
        <v>1.0104166666666667</v>
      </c>
      <c r="AE62" s="473">
        <v>1.0375000000000001</v>
      </c>
      <c r="AG62" s="577">
        <v>0.96527777777777779</v>
      </c>
      <c r="AH62" s="421">
        <v>0.98611111111111116</v>
      </c>
      <c r="AI62" s="421">
        <v>0.99305555555555558</v>
      </c>
      <c r="AJ62" s="227">
        <v>3.4722222222222224E-2</v>
      </c>
      <c r="AK62" s="408"/>
    </row>
    <row r="63" spans="1:39" x14ac:dyDescent="0.25">
      <c r="A63" s="258" t="s">
        <v>481</v>
      </c>
      <c r="B63" s="258" t="s">
        <v>472</v>
      </c>
      <c r="C63" s="512" t="s">
        <v>482</v>
      </c>
      <c r="D63" s="260">
        <v>0.25138888888888888</v>
      </c>
      <c r="E63" s="261">
        <v>0.25694444444444442</v>
      </c>
      <c r="F63" s="262" t="s">
        <v>104</v>
      </c>
      <c r="G63" s="260">
        <v>0.3888888888888889</v>
      </c>
      <c r="H63" s="261" t="s">
        <v>474</v>
      </c>
      <c r="I63" s="261">
        <v>0.43055555555555558</v>
      </c>
      <c r="J63" s="261">
        <v>0.43055555555555558</v>
      </c>
      <c r="K63" s="262" t="s">
        <v>475</v>
      </c>
      <c r="L63" s="260">
        <v>0.60763888888888884</v>
      </c>
      <c r="M63" s="261" t="s">
        <v>475</v>
      </c>
      <c r="N63" s="262">
        <v>0.61111111111111116</v>
      </c>
      <c r="O63" s="258">
        <f t="shared" si="0"/>
        <v>0.35972222222222228</v>
      </c>
      <c r="P63" s="258">
        <f t="shared" si="1"/>
        <v>0.31805555555555559</v>
      </c>
      <c r="Q63" s="264">
        <f t="shared" si="2"/>
        <v>4.1666666666666685E-2</v>
      </c>
      <c r="R63" s="264"/>
      <c r="S63" s="584">
        <f>G63-E63</f>
        <v>0.13194444444444448</v>
      </c>
      <c r="T63" s="586">
        <f>L63-J63</f>
        <v>0.17708333333333326</v>
      </c>
      <c r="AB63" s="576">
        <v>0.99305555555555558</v>
      </c>
      <c r="AC63" s="421">
        <v>0</v>
      </c>
      <c r="AD63" s="421">
        <v>1.7361111111111112E-2</v>
      </c>
      <c r="AE63" s="253">
        <v>1.0625</v>
      </c>
      <c r="AG63" s="577">
        <v>0.97916666666666663</v>
      </c>
      <c r="AH63" s="421">
        <v>0</v>
      </c>
      <c r="AI63" s="421">
        <v>6.9444444444444441E-3</v>
      </c>
      <c r="AJ63" s="473">
        <v>4.1666666666666664E-2</v>
      </c>
      <c r="AK63" s="408"/>
    </row>
    <row r="64" spans="1:39" x14ac:dyDescent="0.25">
      <c r="A64" s="245" t="s">
        <v>483</v>
      </c>
      <c r="B64" s="245" t="s">
        <v>472</v>
      </c>
      <c r="C64" s="508" t="s">
        <v>484</v>
      </c>
      <c r="D64" s="247">
        <v>0.26527777777777778</v>
      </c>
      <c r="E64" s="248">
        <v>0.27083333333333331</v>
      </c>
      <c r="F64" s="249" t="s">
        <v>104</v>
      </c>
      <c r="G64" s="247">
        <v>0.4861111111111111</v>
      </c>
      <c r="H64" s="248" t="s">
        <v>475</v>
      </c>
      <c r="I64" s="248">
        <v>0.53472222222222232</v>
      </c>
      <c r="J64" s="248">
        <v>0.53472222222222221</v>
      </c>
      <c r="K64" s="249" t="s">
        <v>475</v>
      </c>
      <c r="L64" s="247">
        <v>0.62152777777777779</v>
      </c>
      <c r="M64" s="248" t="s">
        <v>474</v>
      </c>
      <c r="N64" s="249">
        <v>0.625</v>
      </c>
      <c r="O64" s="245">
        <f t="shared" si="0"/>
        <v>0.35972222222222222</v>
      </c>
      <c r="P64" s="245">
        <f t="shared" si="1"/>
        <v>0.31111111111111101</v>
      </c>
      <c r="Q64" s="251">
        <f t="shared" si="2"/>
        <v>4.8611111111111216E-2</v>
      </c>
      <c r="R64" s="251"/>
      <c r="S64" s="584">
        <f t="shared" ref="S64:S90" si="3">G64-E64</f>
        <v>0.21527777777777779</v>
      </c>
      <c r="T64" s="586">
        <f t="shared" ref="T64:T90" si="4">L64-J64</f>
        <v>8.680555555555558E-2</v>
      </c>
      <c r="AB64" s="576">
        <v>3.4722222222222224E-2</v>
      </c>
      <c r="AC64" s="421">
        <v>4.1666666666666664E-2</v>
      </c>
      <c r="AD64" s="580">
        <v>5.9027777777777776E-2</v>
      </c>
      <c r="AE64" s="253">
        <v>0.10416666666666667</v>
      </c>
      <c r="AG64" s="577">
        <v>2.0833333333333332E-2</v>
      </c>
      <c r="AH64" s="421">
        <v>4.1666666666666664E-2</v>
      </c>
      <c r="AI64" s="421">
        <v>4.8611111111111112E-2</v>
      </c>
      <c r="AJ64" s="227">
        <v>7.6388888888888895E-2</v>
      </c>
      <c r="AK64" s="408"/>
    </row>
    <row r="65" spans="1:38" x14ac:dyDescent="0.25">
      <c r="A65" s="245" t="s">
        <v>487</v>
      </c>
      <c r="B65" s="245" t="s">
        <v>472</v>
      </c>
      <c r="C65" s="508" t="s">
        <v>488</v>
      </c>
      <c r="D65" s="247">
        <v>0.2722222222222222</v>
      </c>
      <c r="E65" s="248">
        <v>0.27777777777777779</v>
      </c>
      <c r="F65" s="249" t="s">
        <v>104</v>
      </c>
      <c r="G65" s="247">
        <v>0.43055555555555558</v>
      </c>
      <c r="H65" s="248" t="s">
        <v>475</v>
      </c>
      <c r="I65" s="248">
        <v>0.47916666666666669</v>
      </c>
      <c r="J65" s="248">
        <v>0.47916666666666669</v>
      </c>
      <c r="K65" s="249" t="s">
        <v>474</v>
      </c>
      <c r="L65" s="247">
        <v>0.65277777777777779</v>
      </c>
      <c r="M65" s="248" t="s">
        <v>474</v>
      </c>
      <c r="N65" s="249">
        <v>0.65625</v>
      </c>
      <c r="O65" s="245">
        <f t="shared" si="0"/>
        <v>0.3840277777777778</v>
      </c>
      <c r="P65" s="245">
        <f t="shared" si="1"/>
        <v>0.3354166666666667</v>
      </c>
      <c r="Q65" s="251">
        <f t="shared" si="2"/>
        <v>4.8611111111111105E-2</v>
      </c>
      <c r="R65" s="251"/>
      <c r="S65" s="584">
        <f t="shared" si="3"/>
        <v>0.15277777777777779</v>
      </c>
      <c r="T65" s="586">
        <f t="shared" si="4"/>
        <v>0.1736111111111111</v>
      </c>
      <c r="AB65" s="576">
        <v>7.6388888888888895E-2</v>
      </c>
      <c r="AC65" s="421">
        <v>8.3333333333333329E-2</v>
      </c>
      <c r="AD65" s="580">
        <v>0.10069444444444445</v>
      </c>
      <c r="AE65" s="253">
        <v>0.14583333333333334</v>
      </c>
      <c r="AG65" s="577">
        <v>1.0625</v>
      </c>
      <c r="AH65" s="421">
        <v>8.3333333333333329E-2</v>
      </c>
      <c r="AI65" s="421">
        <v>9.0277777777777776E-2</v>
      </c>
      <c r="AJ65" s="227">
        <v>1.1180555555555556</v>
      </c>
      <c r="AK65" s="408"/>
    </row>
    <row r="66" spans="1:38" x14ac:dyDescent="0.25">
      <c r="A66" s="245" t="s">
        <v>491</v>
      </c>
      <c r="B66" s="245" t="s">
        <v>472</v>
      </c>
      <c r="C66" s="508" t="s">
        <v>492</v>
      </c>
      <c r="D66" s="247">
        <v>0.27916666666666667</v>
      </c>
      <c r="E66" s="248">
        <v>0.28472222222222221</v>
      </c>
      <c r="F66" s="249" t="s">
        <v>104</v>
      </c>
      <c r="G66" s="705"/>
      <c r="H66" s="706"/>
      <c r="I66" s="706"/>
      <c r="J66" s="706"/>
      <c r="K66" s="707"/>
      <c r="L66" s="247">
        <v>0.50347222222222221</v>
      </c>
      <c r="M66" s="248" t="s">
        <v>475</v>
      </c>
      <c r="N66" s="249">
        <v>0.50694444444444442</v>
      </c>
      <c r="O66" s="245">
        <f t="shared" si="0"/>
        <v>0.22777777777777775</v>
      </c>
      <c r="P66" s="245">
        <f t="shared" si="1"/>
        <v>0.22777777777777775</v>
      </c>
      <c r="Q66" s="251">
        <f t="shared" si="2"/>
        <v>0</v>
      </c>
      <c r="R66" s="251"/>
      <c r="S66" s="584">
        <f t="shared" si="3"/>
        <v>-0.28472222222222221</v>
      </c>
      <c r="T66" s="586">
        <f t="shared" si="4"/>
        <v>0.50347222222222221</v>
      </c>
      <c r="AB66" s="576">
        <v>1.1180555555555556</v>
      </c>
      <c r="AC66" s="421">
        <v>0.125</v>
      </c>
      <c r="AD66" s="580">
        <v>0.1423611111111111</v>
      </c>
      <c r="AE66" s="253">
        <v>0.1875</v>
      </c>
      <c r="AG66" s="577">
        <v>0.10416666666666667</v>
      </c>
      <c r="AH66" s="421">
        <v>0.125</v>
      </c>
      <c r="AI66" s="421">
        <v>0.13194444444444445</v>
      </c>
      <c r="AJ66" s="227">
        <v>0.15972222222222221</v>
      </c>
      <c r="AK66" s="408"/>
    </row>
    <row r="67" spans="1:38" x14ac:dyDescent="0.25">
      <c r="A67" s="245" t="s">
        <v>495</v>
      </c>
      <c r="B67" s="245" t="s">
        <v>472</v>
      </c>
      <c r="C67" s="508" t="s">
        <v>496</v>
      </c>
      <c r="D67" s="247">
        <v>0.28611111111111109</v>
      </c>
      <c r="E67" s="248">
        <v>0.29166666666666669</v>
      </c>
      <c r="F67" s="249" t="s">
        <v>104</v>
      </c>
      <c r="G67" s="247">
        <v>0.44097222222222221</v>
      </c>
      <c r="H67" s="248" t="s">
        <v>475</v>
      </c>
      <c r="I67" s="248">
        <v>0.4861111111111111</v>
      </c>
      <c r="J67" s="248">
        <v>0.4861111111111111</v>
      </c>
      <c r="K67" s="249" t="s">
        <v>475</v>
      </c>
      <c r="L67" s="247">
        <v>0.65972222222222221</v>
      </c>
      <c r="M67" s="248" t="s">
        <v>475</v>
      </c>
      <c r="N67" s="249">
        <v>0.66319444444444442</v>
      </c>
      <c r="O67" s="245">
        <f t="shared" si="0"/>
        <v>0.37708333333333333</v>
      </c>
      <c r="P67" s="245">
        <f t="shared" si="1"/>
        <v>0.33194444444444443</v>
      </c>
      <c r="Q67" s="251">
        <f t="shared" si="2"/>
        <v>4.5138888888888895E-2</v>
      </c>
      <c r="R67" s="251"/>
      <c r="S67" s="584">
        <f t="shared" si="3"/>
        <v>0.14930555555555552</v>
      </c>
      <c r="T67" s="586">
        <f t="shared" si="4"/>
        <v>0.1736111111111111</v>
      </c>
      <c r="AB67" s="576">
        <v>0.15972222222222221</v>
      </c>
      <c r="AC67" s="421">
        <v>0.16666666666666666</v>
      </c>
      <c r="AD67" s="421">
        <v>0.18402777777777779</v>
      </c>
      <c r="AE67" s="473">
        <v>0.22361111111111112</v>
      </c>
      <c r="AG67" s="577">
        <v>0.14583333333333334</v>
      </c>
      <c r="AH67" s="421">
        <v>0.16666666666666666</v>
      </c>
      <c r="AI67" s="421">
        <v>0.1736111111111111</v>
      </c>
      <c r="AJ67" s="227">
        <v>0.2013888888888889</v>
      </c>
      <c r="AK67" s="408"/>
    </row>
    <row r="68" spans="1:38" x14ac:dyDescent="0.25">
      <c r="A68" s="245" t="s">
        <v>497</v>
      </c>
      <c r="B68" s="245" t="s">
        <v>472</v>
      </c>
      <c r="C68" s="508" t="s">
        <v>498</v>
      </c>
      <c r="D68" s="247">
        <v>0.30694444444444446</v>
      </c>
      <c r="E68" s="248">
        <v>0.3125</v>
      </c>
      <c r="F68" s="249" t="s">
        <v>104</v>
      </c>
      <c r="G68" s="705"/>
      <c r="H68" s="706"/>
      <c r="I68" s="706"/>
      <c r="J68" s="706"/>
      <c r="K68" s="707"/>
      <c r="L68" s="247">
        <v>0.53472222222222221</v>
      </c>
      <c r="M68" s="248" t="s">
        <v>475</v>
      </c>
      <c r="N68" s="249">
        <v>0.53819444444444442</v>
      </c>
      <c r="O68" s="245">
        <f t="shared" si="0"/>
        <v>0.23124999999999996</v>
      </c>
      <c r="P68" s="245">
        <f t="shared" si="1"/>
        <v>0.23124999999999996</v>
      </c>
      <c r="Q68" s="251">
        <v>0</v>
      </c>
      <c r="R68" s="251"/>
      <c r="S68" s="584">
        <f t="shared" si="3"/>
        <v>-0.3125</v>
      </c>
      <c r="T68" s="586">
        <f t="shared" si="4"/>
        <v>0.53472222222222221</v>
      </c>
      <c r="AB68" s="576">
        <v>0.2013888888888889</v>
      </c>
      <c r="AC68" s="421">
        <v>0.20833333333333334</v>
      </c>
      <c r="AD68" s="421">
        <v>0.22569444444444445</v>
      </c>
      <c r="AE68" s="473">
        <v>0.26527777777777778</v>
      </c>
      <c r="AG68" s="577">
        <v>0.1875</v>
      </c>
      <c r="AH68" s="421">
        <v>0.20833333333333334</v>
      </c>
      <c r="AI68" s="421">
        <v>0.21527777777777779</v>
      </c>
      <c r="AJ68" s="473">
        <v>0.24305555555555555</v>
      </c>
      <c r="AK68" s="408"/>
    </row>
    <row r="69" spans="1:38" x14ac:dyDescent="0.25">
      <c r="A69" s="245" t="s">
        <v>501</v>
      </c>
      <c r="B69" s="245" t="s">
        <v>472</v>
      </c>
      <c r="C69" s="508" t="s">
        <v>502</v>
      </c>
      <c r="D69" s="247">
        <v>0.32083333333333336</v>
      </c>
      <c r="E69" s="248">
        <v>0.3263888888888889</v>
      </c>
      <c r="F69" s="249" t="s">
        <v>104</v>
      </c>
      <c r="G69" s="705"/>
      <c r="H69" s="706"/>
      <c r="I69" s="706"/>
      <c r="J69" s="706"/>
      <c r="K69" s="707"/>
      <c r="L69" s="247">
        <v>0.54861111111111116</v>
      </c>
      <c r="M69" s="248" t="s">
        <v>104</v>
      </c>
      <c r="N69" s="249">
        <v>0.54861111111111116</v>
      </c>
      <c r="O69" s="245">
        <f t="shared" si="0"/>
        <v>0.2277777777777778</v>
      </c>
      <c r="P69" s="245">
        <f t="shared" si="1"/>
        <v>0.2277777777777778</v>
      </c>
      <c r="Q69" s="251">
        <v>0</v>
      </c>
      <c r="R69" s="251"/>
      <c r="S69" s="584">
        <f t="shared" si="3"/>
        <v>-0.3263888888888889</v>
      </c>
      <c r="T69" s="586">
        <f t="shared" si="4"/>
        <v>0.54861111111111116</v>
      </c>
      <c r="AL69" s="408"/>
    </row>
    <row r="70" spans="1:38" x14ac:dyDescent="0.25">
      <c r="A70" s="245" t="s">
        <v>503</v>
      </c>
      <c r="B70" s="245" t="s">
        <v>472</v>
      </c>
      <c r="C70" s="508" t="s">
        <v>504</v>
      </c>
      <c r="D70" s="247">
        <v>0.36944444444444446</v>
      </c>
      <c r="E70" s="248">
        <v>0.375</v>
      </c>
      <c r="F70" s="249" t="s">
        <v>104</v>
      </c>
      <c r="G70" s="247">
        <v>0.54513888888888884</v>
      </c>
      <c r="H70" s="248" t="s">
        <v>475</v>
      </c>
      <c r="I70" s="248">
        <v>0.58680555555555558</v>
      </c>
      <c r="J70" s="248">
        <v>0.58680555555555558</v>
      </c>
      <c r="K70" s="249" t="s">
        <v>475</v>
      </c>
      <c r="L70" s="247">
        <v>0.66319444444444442</v>
      </c>
      <c r="M70" s="248" t="s">
        <v>474</v>
      </c>
      <c r="N70" s="249">
        <v>0.66666666666666663</v>
      </c>
      <c r="O70" s="245">
        <f>N70-D70</f>
        <v>0.29722222222222217</v>
      </c>
      <c r="P70" s="245">
        <f>O70-Q70</f>
        <v>0.25555555555555542</v>
      </c>
      <c r="Q70" s="251">
        <f>I70-G70</f>
        <v>4.1666666666666741E-2</v>
      </c>
      <c r="R70" s="251"/>
      <c r="S70" s="584">
        <f t="shared" si="3"/>
        <v>0.17013888888888884</v>
      </c>
      <c r="T70" s="586">
        <f t="shared" si="4"/>
        <v>7.638888888888884E-2</v>
      </c>
      <c r="AL70" s="408"/>
    </row>
    <row r="71" spans="1:38" x14ac:dyDescent="0.25">
      <c r="A71" s="245" t="s">
        <v>506</v>
      </c>
      <c r="B71" s="245" t="s">
        <v>472</v>
      </c>
      <c r="C71" s="508" t="s">
        <v>507</v>
      </c>
      <c r="D71" s="247">
        <v>0.37986111111111109</v>
      </c>
      <c r="E71" s="248">
        <v>0.38541666666666669</v>
      </c>
      <c r="F71" s="249" t="s">
        <v>104</v>
      </c>
      <c r="G71" s="247">
        <v>0.53472222222222221</v>
      </c>
      <c r="H71" s="248" t="s">
        <v>474</v>
      </c>
      <c r="I71" s="248">
        <v>0.57638888888888873</v>
      </c>
      <c r="J71" s="248">
        <v>0.57638888888888884</v>
      </c>
      <c r="K71" s="249" t="s">
        <v>475</v>
      </c>
      <c r="L71" s="247">
        <v>0.65972222222222221</v>
      </c>
      <c r="M71" s="248" t="s">
        <v>474</v>
      </c>
      <c r="N71" s="249">
        <v>0.66319444444444442</v>
      </c>
      <c r="O71" s="245">
        <f>N71-D71</f>
        <v>0.28333333333333333</v>
      </c>
      <c r="P71" s="245">
        <f>O71-Q71</f>
        <v>0.24166666666666681</v>
      </c>
      <c r="Q71" s="251">
        <f>I71-G71</f>
        <v>4.1666666666666519E-2</v>
      </c>
      <c r="R71" s="251"/>
      <c r="S71" s="584">
        <f t="shared" si="3"/>
        <v>0.14930555555555552</v>
      </c>
      <c r="T71" s="586">
        <f t="shared" si="4"/>
        <v>8.333333333333337E-2</v>
      </c>
      <c r="AB71" s="588"/>
      <c r="AD71" s="408"/>
      <c r="AE71" s="1" t="s">
        <v>843</v>
      </c>
      <c r="AF71" s="1" t="s">
        <v>844</v>
      </c>
      <c r="AL71" s="408"/>
    </row>
    <row r="72" spans="1:38" x14ac:dyDescent="0.25">
      <c r="A72" s="245" t="s">
        <v>508</v>
      </c>
      <c r="B72" s="258" t="s">
        <v>472</v>
      </c>
      <c r="C72" s="508" t="s">
        <v>509</v>
      </c>
      <c r="D72" s="260">
        <v>0.38333333333333336</v>
      </c>
      <c r="E72" s="261">
        <v>0.3888888888888889</v>
      </c>
      <c r="F72" s="262" t="s">
        <v>474</v>
      </c>
      <c r="G72" s="705"/>
      <c r="H72" s="706"/>
      <c r="I72" s="706"/>
      <c r="J72" s="706"/>
      <c r="K72" s="707"/>
      <c r="L72" s="260">
        <v>0.55555555555555558</v>
      </c>
      <c r="M72" s="261" t="s">
        <v>474</v>
      </c>
      <c r="N72" s="262">
        <v>0.55902777777777779</v>
      </c>
      <c r="O72" s="258">
        <f>N72-D72</f>
        <v>0.17569444444444443</v>
      </c>
      <c r="P72" s="258">
        <f>O72-Q72</f>
        <v>0.17569444444444443</v>
      </c>
      <c r="Q72" s="264">
        <f>I72-G72</f>
        <v>0</v>
      </c>
      <c r="R72" s="251"/>
      <c r="S72" s="584">
        <f>G72-E72</f>
        <v>-0.3888888888888889</v>
      </c>
      <c r="T72" s="514" t="s">
        <v>941</v>
      </c>
      <c r="AB72" s="588"/>
      <c r="AL72" s="408"/>
    </row>
    <row r="73" spans="1:38" x14ac:dyDescent="0.25">
      <c r="A73" s="245" t="s">
        <v>511</v>
      </c>
      <c r="B73" s="245" t="s">
        <v>472</v>
      </c>
      <c r="C73" s="508" t="s">
        <v>512</v>
      </c>
      <c r="D73" s="247">
        <v>0.3972222222222222</v>
      </c>
      <c r="E73" s="248">
        <v>0.40277777777777779</v>
      </c>
      <c r="F73" s="249" t="s">
        <v>104</v>
      </c>
      <c r="G73" s="705"/>
      <c r="H73" s="706"/>
      <c r="I73" s="706"/>
      <c r="J73" s="706"/>
      <c r="K73" s="707"/>
      <c r="L73" s="247">
        <v>0.57638888888888884</v>
      </c>
      <c r="M73" s="248" t="s">
        <v>475</v>
      </c>
      <c r="N73" s="249">
        <v>0.57986111111111116</v>
      </c>
      <c r="O73" s="245">
        <f t="shared" si="0"/>
        <v>0.18263888888888896</v>
      </c>
      <c r="P73" s="245">
        <f t="shared" si="1"/>
        <v>0.18263888888888896</v>
      </c>
      <c r="Q73" s="251">
        <f t="shared" ref="Q73:Q89" si="5">I73-G73</f>
        <v>0</v>
      </c>
      <c r="R73" s="251"/>
      <c r="S73" s="584">
        <f t="shared" si="3"/>
        <v>-0.40277777777777779</v>
      </c>
      <c r="T73" s="586">
        <f t="shared" si="4"/>
        <v>0.57638888888888884</v>
      </c>
      <c r="AB73" s="276" t="s">
        <v>493</v>
      </c>
      <c r="AC73" s="265"/>
      <c r="AD73" s="558">
        <v>12</v>
      </c>
      <c r="AE73" s="589">
        <v>6</v>
      </c>
      <c r="AF73" s="266">
        <v>6</v>
      </c>
      <c r="AL73" s="408"/>
    </row>
    <row r="74" spans="1:38" ht="16.5" thickBot="1" x14ac:dyDescent="0.3">
      <c r="A74" s="268" t="s">
        <v>513</v>
      </c>
      <c r="B74" s="268" t="s">
        <v>472</v>
      </c>
      <c r="C74" s="511" t="s">
        <v>514</v>
      </c>
      <c r="D74" s="270">
        <v>0.41111111111111109</v>
      </c>
      <c r="E74" s="271">
        <v>0.41666666666666669</v>
      </c>
      <c r="F74" s="272" t="s">
        <v>475</v>
      </c>
      <c r="G74" s="758"/>
      <c r="H74" s="759"/>
      <c r="I74" s="759"/>
      <c r="J74" s="759"/>
      <c r="K74" s="760"/>
      <c r="L74" s="270">
        <v>0.58680555555555558</v>
      </c>
      <c r="M74" s="271" t="s">
        <v>475</v>
      </c>
      <c r="N74" s="272">
        <v>0.59027777777777779</v>
      </c>
      <c r="O74" s="268">
        <f t="shared" si="0"/>
        <v>0.1791666666666667</v>
      </c>
      <c r="P74" s="268">
        <f t="shared" si="1"/>
        <v>0.1791666666666667</v>
      </c>
      <c r="Q74" s="275">
        <f t="shared" si="5"/>
        <v>0</v>
      </c>
      <c r="R74" s="275"/>
      <c r="S74" s="584">
        <f t="shared" si="3"/>
        <v>-0.41666666666666669</v>
      </c>
      <c r="T74" s="586">
        <f t="shared" si="4"/>
        <v>0.58680555555555558</v>
      </c>
      <c r="AB74" s="265"/>
      <c r="AC74" s="265"/>
      <c r="AD74" s="496"/>
      <c r="AE74" s="265"/>
      <c r="AF74" s="501"/>
      <c r="AL74" s="408"/>
    </row>
    <row r="75" spans="1:38" x14ac:dyDescent="0.25">
      <c r="A75" s="237" t="s">
        <v>515</v>
      </c>
      <c r="B75" s="237" t="s">
        <v>472</v>
      </c>
      <c r="C75" s="380" t="s">
        <v>516</v>
      </c>
      <c r="D75" s="239">
        <v>0.48055555555555557</v>
      </c>
      <c r="E75" s="240">
        <v>0.4861111111111111</v>
      </c>
      <c r="F75" s="241" t="s">
        <v>104</v>
      </c>
      <c r="G75" s="239">
        <v>0.63888888888888884</v>
      </c>
      <c r="H75" s="240" t="s">
        <v>474</v>
      </c>
      <c r="I75" s="240">
        <v>0.67708333333333337</v>
      </c>
      <c r="J75" s="240">
        <v>0.67708333333333337</v>
      </c>
      <c r="K75" s="241" t="s">
        <v>475</v>
      </c>
      <c r="L75" s="239">
        <v>0.83680555555555558</v>
      </c>
      <c r="M75" s="240" t="s">
        <v>475</v>
      </c>
      <c r="N75" s="241">
        <v>0.84027777777777779</v>
      </c>
      <c r="O75" s="237">
        <f>N75-D75</f>
        <v>0.35972222222222222</v>
      </c>
      <c r="P75" s="237">
        <f>O75-Q75</f>
        <v>0.32152777777777769</v>
      </c>
      <c r="Q75" s="243">
        <f>I75-G75</f>
        <v>3.8194444444444531E-2</v>
      </c>
      <c r="R75" s="243"/>
      <c r="S75" s="584">
        <f t="shared" si="3"/>
        <v>0.15277777777777773</v>
      </c>
      <c r="T75" s="586">
        <f t="shared" si="4"/>
        <v>0.15972222222222221</v>
      </c>
      <c r="AB75" s="590" t="s">
        <v>499</v>
      </c>
      <c r="AC75" s="591"/>
      <c r="AD75" s="558">
        <v>26</v>
      </c>
      <c r="AE75" s="592" t="s">
        <v>942</v>
      </c>
      <c r="AF75" s="266">
        <v>13</v>
      </c>
      <c r="AL75" s="408"/>
    </row>
    <row r="76" spans="1:38" x14ac:dyDescent="0.25">
      <c r="A76" s="245" t="s">
        <v>517</v>
      </c>
      <c r="B76" s="245" t="s">
        <v>472</v>
      </c>
      <c r="C76" s="508" t="s">
        <v>518</v>
      </c>
      <c r="D76" s="247">
        <v>0.48749999999999999</v>
      </c>
      <c r="E76" s="248">
        <v>0.49305555555555558</v>
      </c>
      <c r="F76" s="249" t="s">
        <v>475</v>
      </c>
      <c r="G76" s="247">
        <v>0.67708333333333337</v>
      </c>
      <c r="H76" s="248" t="s">
        <v>475</v>
      </c>
      <c r="I76" s="248">
        <v>0.72222222222222221</v>
      </c>
      <c r="J76" s="248">
        <v>0.72222222222222221</v>
      </c>
      <c r="K76" s="249" t="s">
        <v>474</v>
      </c>
      <c r="L76" s="247">
        <v>0.87847222222222221</v>
      </c>
      <c r="M76" s="248" t="s">
        <v>474</v>
      </c>
      <c r="N76" s="249">
        <v>0.88194444444444442</v>
      </c>
      <c r="O76" s="245">
        <f t="shared" si="0"/>
        <v>0.39444444444444443</v>
      </c>
      <c r="P76" s="245">
        <f t="shared" si="1"/>
        <v>0.34930555555555559</v>
      </c>
      <c r="Q76" s="251">
        <f t="shared" si="5"/>
        <v>4.513888888888884E-2</v>
      </c>
      <c r="R76" s="251"/>
      <c r="S76" s="584">
        <f t="shared" si="3"/>
        <v>0.18402777777777779</v>
      </c>
      <c r="T76" s="586">
        <f t="shared" si="4"/>
        <v>0.15625</v>
      </c>
      <c r="AB76" s="588"/>
      <c r="AC76" s="593"/>
      <c r="AD76" s="408"/>
      <c r="AL76" s="408"/>
    </row>
    <row r="77" spans="1:38" x14ac:dyDescent="0.25">
      <c r="A77" s="245" t="s">
        <v>519</v>
      </c>
      <c r="B77" s="258" t="s">
        <v>472</v>
      </c>
      <c r="C77" s="508" t="s">
        <v>520</v>
      </c>
      <c r="D77" s="247">
        <v>0.49791666666666667</v>
      </c>
      <c r="E77" s="248">
        <v>0.50347222222222221</v>
      </c>
      <c r="F77" s="249" t="s">
        <v>475</v>
      </c>
      <c r="G77" s="247">
        <v>0.68055555555555558</v>
      </c>
      <c r="H77" s="248" t="s">
        <v>475</v>
      </c>
      <c r="I77" s="248">
        <v>0.73263888888888884</v>
      </c>
      <c r="J77" s="248">
        <v>0.73263888888888884</v>
      </c>
      <c r="K77" s="249" t="s">
        <v>474</v>
      </c>
      <c r="L77" s="247">
        <v>0.88888888888888884</v>
      </c>
      <c r="M77" s="248" t="s">
        <v>474</v>
      </c>
      <c r="N77" s="249">
        <v>0.89236111111111116</v>
      </c>
      <c r="O77" s="245">
        <f>N77-D77</f>
        <v>0.39444444444444449</v>
      </c>
      <c r="P77" s="245">
        <f>O77-Q77</f>
        <v>0.34236111111111123</v>
      </c>
      <c r="Q77" s="251">
        <f>I77-G77</f>
        <v>5.2083333333333259E-2</v>
      </c>
      <c r="R77" s="251"/>
      <c r="S77" s="584">
        <f t="shared" si="3"/>
        <v>0.17708333333333337</v>
      </c>
      <c r="T77" s="586">
        <f t="shared" si="4"/>
        <v>0.15625</v>
      </c>
      <c r="AB77" s="588"/>
      <c r="AC77" s="593"/>
      <c r="AD77" s="558">
        <f>AD73+AD75</f>
        <v>38</v>
      </c>
      <c r="AL77" s="408"/>
    </row>
    <row r="78" spans="1:38" x14ac:dyDescent="0.25">
      <c r="A78" s="245" t="s">
        <v>521</v>
      </c>
      <c r="B78" s="245" t="s">
        <v>472</v>
      </c>
      <c r="C78" s="508" t="s">
        <v>522</v>
      </c>
      <c r="D78" s="260">
        <v>0.52222222222222225</v>
      </c>
      <c r="E78" s="248">
        <v>0.52777777777777779</v>
      </c>
      <c r="F78" s="249" t="s">
        <v>104</v>
      </c>
      <c r="G78" s="247">
        <v>0.68055555555555558</v>
      </c>
      <c r="H78" s="248" t="s">
        <v>474</v>
      </c>
      <c r="I78" s="248">
        <v>0.72222222222222232</v>
      </c>
      <c r="J78" s="248">
        <v>0.72222222222222221</v>
      </c>
      <c r="K78" s="249" t="s">
        <v>475</v>
      </c>
      <c r="L78" s="247">
        <v>0.875</v>
      </c>
      <c r="M78" s="248" t="s">
        <v>475</v>
      </c>
      <c r="N78" s="249">
        <v>0.87847222222222221</v>
      </c>
      <c r="O78" s="245">
        <f>N78-D78</f>
        <v>0.35624999999999996</v>
      </c>
      <c r="P78" s="245">
        <f>O78-Q78</f>
        <v>0.31458333333333321</v>
      </c>
      <c r="Q78" s="251">
        <f>I78-G78</f>
        <v>4.1666666666666741E-2</v>
      </c>
      <c r="R78" s="251"/>
      <c r="S78" s="584">
        <f t="shared" si="3"/>
        <v>0.15277777777777779</v>
      </c>
      <c r="T78" s="586">
        <f t="shared" si="4"/>
        <v>0.15277777777777779</v>
      </c>
      <c r="AB78" s="588"/>
      <c r="AC78" s="593"/>
      <c r="AD78" s="388"/>
      <c r="AL78" s="408"/>
    </row>
    <row r="79" spans="1:38" x14ac:dyDescent="0.25">
      <c r="A79" s="245" t="s">
        <v>523</v>
      </c>
      <c r="B79" s="258" t="s">
        <v>472</v>
      </c>
      <c r="C79" s="508" t="s">
        <v>524</v>
      </c>
      <c r="D79" s="327">
        <f>E79-TIME(,8,)</f>
        <v>0.52916666666666667</v>
      </c>
      <c r="E79" s="261">
        <v>0.53472222222222221</v>
      </c>
      <c r="F79" s="262" t="s">
        <v>474</v>
      </c>
      <c r="G79" s="260">
        <v>0.70833333333333337</v>
      </c>
      <c r="H79" s="261" t="s">
        <v>474</v>
      </c>
      <c r="I79" s="248">
        <v>0.77083333333333337</v>
      </c>
      <c r="J79" s="248">
        <v>0.77083333333333337</v>
      </c>
      <c r="K79" s="249" t="s">
        <v>474</v>
      </c>
      <c r="L79" s="247">
        <v>0.92708333333333337</v>
      </c>
      <c r="M79" s="248" t="s">
        <v>474</v>
      </c>
      <c r="N79" s="249">
        <v>0.93055555555555558</v>
      </c>
      <c r="O79" s="258">
        <f>N79-D79</f>
        <v>0.40138888888888891</v>
      </c>
      <c r="P79" s="258">
        <f>O79-Q79</f>
        <v>0.33888888888888891</v>
      </c>
      <c r="Q79" s="264">
        <f>I79-G79</f>
        <v>6.25E-2</v>
      </c>
      <c r="R79" s="251"/>
      <c r="S79" s="584">
        <f t="shared" si="3"/>
        <v>0.17361111111111116</v>
      </c>
      <c r="T79" s="586">
        <f t="shared" si="4"/>
        <v>0.15625</v>
      </c>
      <c r="U79" s="593"/>
      <c r="V79" s="408"/>
      <c r="AB79" s="588"/>
      <c r="AC79" s="593"/>
      <c r="AD79" s="558"/>
      <c r="AL79" s="408"/>
    </row>
    <row r="80" spans="1:38" x14ac:dyDescent="0.25">
      <c r="A80" s="245" t="s">
        <v>525</v>
      </c>
      <c r="B80" s="245" t="s">
        <v>472</v>
      </c>
      <c r="C80" s="508" t="s">
        <v>526</v>
      </c>
      <c r="D80" s="327">
        <f>E80-TIME(,8,)</f>
        <v>0.5395833333333333</v>
      </c>
      <c r="E80" s="248">
        <v>0.54513888888888884</v>
      </c>
      <c r="F80" s="249" t="s">
        <v>474</v>
      </c>
      <c r="G80" s="247">
        <v>0.72222222222222221</v>
      </c>
      <c r="H80" s="248" t="s">
        <v>474</v>
      </c>
      <c r="I80" s="261">
        <v>0.7777777777777779</v>
      </c>
      <c r="J80" s="261">
        <v>0.77777777777777779</v>
      </c>
      <c r="K80" s="262" t="s">
        <v>474</v>
      </c>
      <c r="L80" s="260">
        <v>0.85416666666666663</v>
      </c>
      <c r="M80" s="261" t="s">
        <v>104</v>
      </c>
      <c r="N80" s="262">
        <v>0.85416666666666663</v>
      </c>
      <c r="O80" s="245">
        <f t="shared" si="0"/>
        <v>0.31458333333333333</v>
      </c>
      <c r="P80" s="245">
        <f t="shared" si="1"/>
        <v>0.25902777777777763</v>
      </c>
      <c r="Q80" s="251">
        <f t="shared" si="5"/>
        <v>5.5555555555555691E-2</v>
      </c>
      <c r="R80" s="251"/>
      <c r="S80" s="584">
        <f t="shared" si="3"/>
        <v>0.17708333333333337</v>
      </c>
      <c r="T80" s="586">
        <f t="shared" si="4"/>
        <v>7.638888888888884E-2</v>
      </c>
      <c r="U80" s="593"/>
      <c r="V80" s="408"/>
      <c r="AL80" s="408"/>
    </row>
    <row r="81" spans="1:38" x14ac:dyDescent="0.25">
      <c r="A81" s="258" t="s">
        <v>527</v>
      </c>
      <c r="B81" s="245" t="s">
        <v>472</v>
      </c>
      <c r="C81" s="594" t="s">
        <v>528</v>
      </c>
      <c r="D81" s="247">
        <v>0.55000000000000004</v>
      </c>
      <c r="E81" s="248">
        <v>0.55555555555555558</v>
      </c>
      <c r="F81" s="249" t="s">
        <v>474</v>
      </c>
      <c r="G81" s="247">
        <v>0.73263888888888884</v>
      </c>
      <c r="H81" s="248" t="s">
        <v>474</v>
      </c>
      <c r="I81" s="248">
        <v>0.79166666666666663</v>
      </c>
      <c r="J81" s="248">
        <v>0.79166666666666663</v>
      </c>
      <c r="K81" s="249" t="s">
        <v>475</v>
      </c>
      <c r="L81" s="247">
        <v>0.91666666666666663</v>
      </c>
      <c r="M81" s="248" t="s">
        <v>475</v>
      </c>
      <c r="N81" s="249">
        <v>0.92013888888888884</v>
      </c>
      <c r="O81" s="245">
        <f t="shared" si="0"/>
        <v>0.3701388888888888</v>
      </c>
      <c r="P81" s="245">
        <f t="shared" si="1"/>
        <v>0.31111111111111101</v>
      </c>
      <c r="Q81" s="251">
        <f t="shared" si="5"/>
        <v>5.902777777777779E-2</v>
      </c>
      <c r="R81" s="251"/>
      <c r="S81" s="584">
        <f t="shared" si="3"/>
        <v>0.17708333333333326</v>
      </c>
      <c r="T81" s="586">
        <f t="shared" si="4"/>
        <v>0.125</v>
      </c>
      <c r="U81" s="593"/>
      <c r="AL81" s="408"/>
    </row>
    <row r="82" spans="1:38" x14ac:dyDescent="0.25">
      <c r="A82" s="245" t="s">
        <v>529</v>
      </c>
      <c r="B82" s="245" t="s">
        <v>472</v>
      </c>
      <c r="C82" s="594" t="s">
        <v>530</v>
      </c>
      <c r="D82" s="247">
        <v>0.59166666666666667</v>
      </c>
      <c r="E82" s="248">
        <v>0.59722222222222221</v>
      </c>
      <c r="F82" s="249" t="s">
        <v>474</v>
      </c>
      <c r="G82" s="247">
        <v>0.77083333333333337</v>
      </c>
      <c r="H82" s="248" t="s">
        <v>474</v>
      </c>
      <c r="I82" s="248">
        <v>0.80902777777777779</v>
      </c>
      <c r="J82" s="248">
        <v>0.80902777777777779</v>
      </c>
      <c r="K82" s="249" t="s">
        <v>474</v>
      </c>
      <c r="L82" s="247">
        <v>0.89236111111111116</v>
      </c>
      <c r="M82" s="248" t="s">
        <v>475</v>
      </c>
      <c r="N82" s="249">
        <v>0.89583333333333337</v>
      </c>
      <c r="O82" s="245">
        <f t="shared" si="0"/>
        <v>0.3041666666666667</v>
      </c>
      <c r="P82" s="245">
        <f t="shared" si="1"/>
        <v>0.26597222222222228</v>
      </c>
      <c r="Q82" s="251">
        <f t="shared" si="5"/>
        <v>3.819444444444442E-2</v>
      </c>
      <c r="R82" s="251"/>
      <c r="S82" s="584">
        <f t="shared" si="3"/>
        <v>0.17361111111111116</v>
      </c>
      <c r="T82" s="586">
        <f t="shared" si="4"/>
        <v>8.333333333333337E-2</v>
      </c>
      <c r="U82" s="593"/>
      <c r="AL82" s="408"/>
    </row>
    <row r="83" spans="1:38" ht="16.5" thickBot="1" x14ac:dyDescent="0.3">
      <c r="A83" s="595" t="s">
        <v>531</v>
      </c>
      <c r="B83" s="595" t="s">
        <v>472</v>
      </c>
      <c r="C83" s="596" t="s">
        <v>532</v>
      </c>
      <c r="D83" s="337">
        <f>E83-TIME(,8,)</f>
        <v>0.60347222222222219</v>
      </c>
      <c r="E83" s="597">
        <v>0.60902777777777772</v>
      </c>
      <c r="F83" s="598" t="s">
        <v>474</v>
      </c>
      <c r="G83" s="599">
        <v>0.77777777777777779</v>
      </c>
      <c r="H83" s="597" t="s">
        <v>474</v>
      </c>
      <c r="I83" s="597">
        <v>0.81944444444444442</v>
      </c>
      <c r="J83" s="597">
        <v>0.81944444444444442</v>
      </c>
      <c r="K83" s="598" t="s">
        <v>474</v>
      </c>
      <c r="L83" s="599">
        <v>0.89236111111111116</v>
      </c>
      <c r="M83" s="597" t="s">
        <v>104</v>
      </c>
      <c r="N83" s="600">
        <v>0.89236111111111116</v>
      </c>
      <c r="O83" s="595">
        <f>N83-D83</f>
        <v>0.28888888888888897</v>
      </c>
      <c r="P83" s="595">
        <f>O83-Q83</f>
        <v>0.24722222222222234</v>
      </c>
      <c r="Q83" s="315">
        <f>I83-G83</f>
        <v>4.166666666666663E-2</v>
      </c>
      <c r="R83" s="275"/>
      <c r="S83" s="584">
        <f t="shared" si="3"/>
        <v>0.16875000000000007</v>
      </c>
      <c r="T83" s="586">
        <f t="shared" si="4"/>
        <v>7.2916666666666741E-2</v>
      </c>
      <c r="U83" s="593"/>
      <c r="AL83" s="408"/>
    </row>
    <row r="84" spans="1:38" x14ac:dyDescent="0.25">
      <c r="A84" s="258" t="s">
        <v>534</v>
      </c>
      <c r="B84" s="258" t="s">
        <v>472</v>
      </c>
      <c r="C84" s="594" t="s">
        <v>535</v>
      </c>
      <c r="D84" s="334">
        <f>E84-TIME(,8,)</f>
        <v>0.61597222222222225</v>
      </c>
      <c r="E84" s="335">
        <v>0.62152777777777779</v>
      </c>
      <c r="F84" s="530" t="s">
        <v>474</v>
      </c>
      <c r="G84" s="334">
        <v>0.79513888888888884</v>
      </c>
      <c r="H84" s="335" t="s">
        <v>474</v>
      </c>
      <c r="I84" s="335">
        <v>0.83680555555555558</v>
      </c>
      <c r="J84" s="335">
        <v>0.83680555555555558</v>
      </c>
      <c r="K84" s="530" t="s">
        <v>474</v>
      </c>
      <c r="L84" s="334">
        <v>1.0201388888888889</v>
      </c>
      <c r="M84" s="335" t="s">
        <v>104</v>
      </c>
      <c r="N84" s="530">
        <v>1.0201388888888889</v>
      </c>
      <c r="O84" s="258">
        <f t="shared" si="0"/>
        <v>0.40416666666666667</v>
      </c>
      <c r="P84" s="258">
        <f t="shared" si="1"/>
        <v>0.36249999999999993</v>
      </c>
      <c r="Q84" s="264">
        <f t="shared" si="5"/>
        <v>4.1666666666666741E-2</v>
      </c>
      <c r="R84" s="264"/>
      <c r="S84" s="584">
        <f t="shared" si="3"/>
        <v>0.17361111111111105</v>
      </c>
      <c r="T84" s="586">
        <f t="shared" si="4"/>
        <v>0.18333333333333335</v>
      </c>
      <c r="U84" s="593"/>
      <c r="AL84" s="408"/>
    </row>
    <row r="85" spans="1:38" x14ac:dyDescent="0.25">
      <c r="A85" s="258" t="s">
        <v>536</v>
      </c>
      <c r="B85" s="258" t="s">
        <v>472</v>
      </c>
      <c r="C85" s="594" t="s">
        <v>537</v>
      </c>
      <c r="D85" s="334">
        <f>E85-TIME(,8,)</f>
        <v>0.61597222222222225</v>
      </c>
      <c r="E85" s="335">
        <v>0.62152777777777779</v>
      </c>
      <c r="F85" s="530" t="s">
        <v>475</v>
      </c>
      <c r="G85" s="334">
        <v>0.79166666666666663</v>
      </c>
      <c r="H85" s="335" t="s">
        <v>475</v>
      </c>
      <c r="I85" s="328">
        <v>0.83680555555555558</v>
      </c>
      <c r="J85" s="328">
        <v>0.83680555555555558</v>
      </c>
      <c r="K85" s="333" t="s">
        <v>475</v>
      </c>
      <c r="L85" s="327">
        <v>0.96527777777777779</v>
      </c>
      <c r="M85" s="328" t="s">
        <v>475</v>
      </c>
      <c r="N85" s="329">
        <v>0.96875</v>
      </c>
      <c r="O85" s="258">
        <f t="shared" si="0"/>
        <v>0.35277777777777775</v>
      </c>
      <c r="P85" s="258">
        <f t="shared" si="1"/>
        <v>0.3076388888888888</v>
      </c>
      <c r="Q85" s="264">
        <f t="shared" si="5"/>
        <v>4.5138888888888951E-2</v>
      </c>
      <c r="R85" s="251"/>
      <c r="S85" s="584">
        <f t="shared" si="3"/>
        <v>0.17013888888888884</v>
      </c>
      <c r="T85" s="586">
        <f t="shared" si="4"/>
        <v>0.12847222222222221</v>
      </c>
      <c r="U85" s="593"/>
      <c r="AL85" s="408"/>
    </row>
    <row r="86" spans="1:38" x14ac:dyDescent="0.25">
      <c r="A86" s="245" t="s">
        <v>538</v>
      </c>
      <c r="B86" s="245" t="s">
        <v>472</v>
      </c>
      <c r="C86" s="594" t="s">
        <v>539</v>
      </c>
      <c r="D86" s="327">
        <v>0.6333333333333333</v>
      </c>
      <c r="E86" s="328">
        <v>0.63888888888888884</v>
      </c>
      <c r="F86" s="333" t="s">
        <v>474</v>
      </c>
      <c r="G86" s="327">
        <v>0.80902777777777779</v>
      </c>
      <c r="H86" s="328" t="s">
        <v>104</v>
      </c>
      <c r="I86" s="335">
        <v>0.88888888888888884</v>
      </c>
      <c r="J86" s="335">
        <v>0.88888888888888884</v>
      </c>
      <c r="K86" s="530" t="s">
        <v>943</v>
      </c>
      <c r="L86" s="334">
        <v>1.0173611111111112</v>
      </c>
      <c r="M86" s="335" t="s">
        <v>104</v>
      </c>
      <c r="N86" s="530">
        <v>1.0173611111111112</v>
      </c>
      <c r="O86" s="245">
        <f t="shared" si="0"/>
        <v>0.38402777777777786</v>
      </c>
      <c r="P86" s="245">
        <f t="shared" si="1"/>
        <v>0.30416666666666681</v>
      </c>
      <c r="Q86" s="251">
        <f t="shared" si="5"/>
        <v>7.9861111111111049E-2</v>
      </c>
      <c r="R86" s="251"/>
      <c r="S86" s="584">
        <f t="shared" si="3"/>
        <v>0.17013888888888895</v>
      </c>
      <c r="T86" s="586">
        <f t="shared" si="4"/>
        <v>0.12847222222222232</v>
      </c>
      <c r="U86" s="593"/>
      <c r="AL86" s="408"/>
    </row>
    <row r="87" spans="1:38" x14ac:dyDescent="0.25">
      <c r="A87" s="245" t="s">
        <v>540</v>
      </c>
      <c r="B87" s="245" t="s">
        <v>472</v>
      </c>
      <c r="C87" s="594" t="s">
        <v>541</v>
      </c>
      <c r="D87" s="327">
        <v>0.65763888888888888</v>
      </c>
      <c r="E87" s="328">
        <v>0.66319444444444442</v>
      </c>
      <c r="F87" s="333" t="s">
        <v>474</v>
      </c>
      <c r="G87" s="327">
        <v>0.83680555555555558</v>
      </c>
      <c r="H87" s="328" t="s">
        <v>474</v>
      </c>
      <c r="I87" s="328">
        <v>0.87847222222222221</v>
      </c>
      <c r="J87" s="328">
        <v>0.87847222222222221</v>
      </c>
      <c r="K87" s="333" t="s">
        <v>474</v>
      </c>
      <c r="L87" s="327">
        <v>1.0618055555555554</v>
      </c>
      <c r="M87" s="328" t="s">
        <v>104</v>
      </c>
      <c r="N87" s="333">
        <v>1.0618055555555554</v>
      </c>
      <c r="O87" s="245">
        <f>N87-D87</f>
        <v>0.40416666666666656</v>
      </c>
      <c r="P87" s="245">
        <f>O87-Q87</f>
        <v>0.36249999999999993</v>
      </c>
      <c r="Q87" s="251">
        <f>I87-G87</f>
        <v>4.166666666666663E-2</v>
      </c>
      <c r="R87" s="251"/>
      <c r="S87" s="584">
        <f t="shared" si="3"/>
        <v>0.17361111111111116</v>
      </c>
      <c r="T87" s="586">
        <f t="shared" si="4"/>
        <v>0.18333333333333324</v>
      </c>
      <c r="U87" s="593"/>
      <c r="AL87" s="408"/>
    </row>
    <row r="88" spans="1:38" x14ac:dyDescent="0.25">
      <c r="A88" s="245" t="s">
        <v>542</v>
      </c>
      <c r="B88" s="245" t="s">
        <v>472</v>
      </c>
      <c r="C88" s="594" t="s">
        <v>543</v>
      </c>
      <c r="D88" s="334">
        <f>E88-TIME(,8,)</f>
        <v>0.67500000000000004</v>
      </c>
      <c r="E88" s="248">
        <v>0.68055555555555558</v>
      </c>
      <c r="F88" s="249" t="s">
        <v>474</v>
      </c>
      <c r="G88" s="247">
        <v>0.84305555555555556</v>
      </c>
      <c r="H88" s="248" t="s">
        <v>104</v>
      </c>
      <c r="I88" s="328">
        <v>0.91666666666666663</v>
      </c>
      <c r="J88" s="328">
        <v>0.91666666666666663</v>
      </c>
      <c r="K88" s="333" t="s">
        <v>475</v>
      </c>
      <c r="L88" s="327">
        <v>1.0340277777777778</v>
      </c>
      <c r="M88" s="328" t="s">
        <v>104</v>
      </c>
      <c r="N88" s="333">
        <v>1.0340277777777778</v>
      </c>
      <c r="O88" s="245">
        <f>N88-D88</f>
        <v>0.35902777777777772</v>
      </c>
      <c r="P88" s="245">
        <f>O88-Q88</f>
        <v>0.28541666666666665</v>
      </c>
      <c r="Q88" s="251">
        <f>I88-G88</f>
        <v>7.3611111111111072E-2</v>
      </c>
      <c r="R88" s="251"/>
      <c r="S88" s="584">
        <f t="shared" si="3"/>
        <v>0.16249999999999998</v>
      </c>
      <c r="T88" s="586">
        <f t="shared" si="4"/>
        <v>0.11736111111111114</v>
      </c>
      <c r="U88" s="593"/>
      <c r="AL88" s="408"/>
    </row>
    <row r="89" spans="1:38" x14ac:dyDescent="0.25">
      <c r="A89" s="245" t="s">
        <v>544</v>
      </c>
      <c r="B89" s="245" t="s">
        <v>472</v>
      </c>
      <c r="C89" s="594" t="s">
        <v>545</v>
      </c>
      <c r="D89" s="327">
        <v>0.67500000000000004</v>
      </c>
      <c r="E89" s="328">
        <v>0.68055555555555558</v>
      </c>
      <c r="F89" s="333" t="s">
        <v>475</v>
      </c>
      <c r="G89" s="327">
        <v>0.85069444444444442</v>
      </c>
      <c r="H89" s="328" t="s">
        <v>475</v>
      </c>
      <c r="I89" s="328">
        <v>0.93055555555555558</v>
      </c>
      <c r="J89" s="328">
        <v>0.93055555555555558</v>
      </c>
      <c r="K89" s="333" t="s">
        <v>475</v>
      </c>
      <c r="L89" s="327">
        <v>1.0479166666666666</v>
      </c>
      <c r="M89" s="328" t="s">
        <v>104</v>
      </c>
      <c r="N89" s="333">
        <v>1.0479166666666666</v>
      </c>
      <c r="O89" s="245">
        <f t="shared" si="0"/>
        <v>0.37291666666666656</v>
      </c>
      <c r="P89" s="245">
        <f t="shared" si="1"/>
        <v>0.2930555555555554</v>
      </c>
      <c r="Q89" s="251">
        <f t="shared" si="5"/>
        <v>7.986111111111116E-2</v>
      </c>
      <c r="R89" s="251"/>
      <c r="S89" s="584">
        <f t="shared" si="3"/>
        <v>0.17013888888888884</v>
      </c>
      <c r="T89" s="586">
        <f t="shared" si="4"/>
        <v>0.11736111111111103</v>
      </c>
      <c r="U89" s="593"/>
      <c r="AL89" s="408"/>
    </row>
    <row r="90" spans="1:38" ht="16.5" thickBot="1" x14ac:dyDescent="0.3">
      <c r="A90" s="309" t="s">
        <v>546</v>
      </c>
      <c r="B90" s="309" t="s">
        <v>472</v>
      </c>
      <c r="C90" s="601" t="s">
        <v>547</v>
      </c>
      <c r="D90" s="602">
        <f>E90-TIME(,8,)</f>
        <v>0.70277777777777783</v>
      </c>
      <c r="E90" s="517">
        <v>0.70833333333333337</v>
      </c>
      <c r="F90" s="603" t="s">
        <v>474</v>
      </c>
      <c r="G90" s="516">
        <v>0.79861111111111116</v>
      </c>
      <c r="H90" s="517" t="s">
        <v>475</v>
      </c>
      <c r="I90" s="517">
        <v>0.85069444444444442</v>
      </c>
      <c r="J90" s="517">
        <v>0.85069444444444442</v>
      </c>
      <c r="K90" s="603" t="s">
        <v>475</v>
      </c>
      <c r="L90" s="516">
        <v>1.0381944444444444</v>
      </c>
      <c r="M90" s="517" t="s">
        <v>104</v>
      </c>
      <c r="N90" s="603">
        <v>1.0381944444444444</v>
      </c>
      <c r="O90" s="309">
        <f>N90-D90</f>
        <v>0.33541666666666659</v>
      </c>
      <c r="P90" s="268">
        <f>O90-Q90</f>
        <v>0.28333333333333333</v>
      </c>
      <c r="Q90" s="275">
        <f>I90-G90</f>
        <v>5.2083333333333259E-2</v>
      </c>
      <c r="R90" s="275"/>
      <c r="S90" s="584">
        <f t="shared" si="3"/>
        <v>9.027777777777779E-2</v>
      </c>
      <c r="T90" s="586">
        <f t="shared" si="4"/>
        <v>0.1875</v>
      </c>
      <c r="U90" s="593"/>
      <c r="AL90" s="408"/>
    </row>
    <row r="91" spans="1:38" ht="16.5" thickBot="1" x14ac:dyDescent="0.3">
      <c r="A91" s="604"/>
      <c r="B91" s="605"/>
      <c r="C91" s="606"/>
      <c r="D91" s="605"/>
      <c r="E91" s="605"/>
      <c r="F91" s="605"/>
      <c r="G91" s="605"/>
      <c r="H91" s="605"/>
      <c r="I91" s="605"/>
      <c r="J91" s="605"/>
      <c r="K91" s="605"/>
      <c r="L91" s="605"/>
      <c r="M91" s="605"/>
      <c r="N91" s="605"/>
      <c r="O91" s="345">
        <f>COUNTIF(O59:O90,"&gt;9:00")/COUNT(O59:O90)</f>
        <v>0.25</v>
      </c>
      <c r="P91" s="607">
        <f>AVERAGE(P59:P90)</f>
        <v>0.27786458333333336</v>
      </c>
      <c r="Q91" s="608"/>
      <c r="R91" s="608"/>
      <c r="S91" s="584"/>
      <c r="T91" s="586"/>
      <c r="U91" s="593"/>
      <c r="AL91" s="408"/>
    </row>
    <row r="92" spans="1:38" ht="16.5" thickBot="1" x14ac:dyDescent="0.3">
      <c r="R92" s="467"/>
      <c r="S92" s="584"/>
      <c r="T92" s="586"/>
      <c r="U92" s="593"/>
      <c r="AL92" s="408"/>
    </row>
    <row r="93" spans="1:38" x14ac:dyDescent="0.25">
      <c r="A93" s="733" t="s">
        <v>457</v>
      </c>
      <c r="B93" s="223" t="s">
        <v>458</v>
      </c>
      <c r="C93" s="757" t="s">
        <v>459</v>
      </c>
      <c r="D93" s="730" t="s">
        <v>460</v>
      </c>
      <c r="E93" s="731"/>
      <c r="F93" s="732"/>
      <c r="G93" s="730" t="s">
        <v>461</v>
      </c>
      <c r="H93" s="731"/>
      <c r="I93" s="731"/>
      <c r="J93" s="731"/>
      <c r="K93" s="732"/>
      <c r="L93" s="730" t="s">
        <v>462</v>
      </c>
      <c r="M93" s="731"/>
      <c r="N93" s="732"/>
      <c r="O93" s="733" t="s">
        <v>463</v>
      </c>
      <c r="P93" s="733" t="s">
        <v>464</v>
      </c>
      <c r="Q93" s="733" t="s">
        <v>465</v>
      </c>
      <c r="R93" s="733"/>
      <c r="S93" s="584"/>
      <c r="T93" s="586"/>
      <c r="U93" s="593"/>
      <c r="AL93" s="408"/>
    </row>
    <row r="94" spans="1:38" ht="16.5" thickBot="1" x14ac:dyDescent="0.3">
      <c r="A94" s="734"/>
      <c r="B94" s="352" t="s">
        <v>466</v>
      </c>
      <c r="C94" s="746"/>
      <c r="D94" s="524" t="s">
        <v>467</v>
      </c>
      <c r="E94" s="525" t="s">
        <v>468</v>
      </c>
      <c r="F94" s="526" t="s">
        <v>469</v>
      </c>
      <c r="G94" s="524" t="s">
        <v>460</v>
      </c>
      <c r="H94" s="525" t="s">
        <v>469</v>
      </c>
      <c r="I94" s="525" t="s">
        <v>467</v>
      </c>
      <c r="J94" s="525" t="s">
        <v>460</v>
      </c>
      <c r="K94" s="526" t="s">
        <v>469</v>
      </c>
      <c r="L94" s="524" t="s">
        <v>462</v>
      </c>
      <c r="M94" s="525" t="s">
        <v>469</v>
      </c>
      <c r="N94" s="526" t="s">
        <v>470</v>
      </c>
      <c r="O94" s="734"/>
      <c r="P94" s="734"/>
      <c r="Q94" s="734"/>
      <c r="R94" s="734"/>
      <c r="S94" s="584"/>
      <c r="T94" s="586"/>
      <c r="U94" s="593"/>
      <c r="AL94" s="408"/>
    </row>
    <row r="95" spans="1:38" x14ac:dyDescent="0.25">
      <c r="A95" s="258" t="s">
        <v>612</v>
      </c>
      <c r="B95" s="258" t="s">
        <v>472</v>
      </c>
      <c r="C95" s="594">
        <v>201</v>
      </c>
      <c r="D95" s="260">
        <v>0.41805555555555557</v>
      </c>
      <c r="E95" s="261">
        <v>0.4236111111111111</v>
      </c>
      <c r="F95" s="262" t="s">
        <v>104</v>
      </c>
      <c r="G95" s="260">
        <v>0.49305555555555558</v>
      </c>
      <c r="H95" s="261" t="s">
        <v>475</v>
      </c>
      <c r="I95" s="248">
        <v>0.54513888888888884</v>
      </c>
      <c r="J95" s="248">
        <v>0.54513888888888884</v>
      </c>
      <c r="K95" s="249" t="s">
        <v>475</v>
      </c>
      <c r="L95" s="247">
        <v>0.72222222222222221</v>
      </c>
      <c r="M95" s="248" t="s">
        <v>475</v>
      </c>
      <c r="N95" s="249">
        <v>0.72569444444444442</v>
      </c>
      <c r="O95" s="258">
        <f>N95-D95</f>
        <v>0.30763888888888885</v>
      </c>
      <c r="P95" s="258">
        <f>O95-Q95</f>
        <v>0.25555555555555559</v>
      </c>
      <c r="Q95" s="264">
        <f>I95-G95</f>
        <v>5.2083333333333259E-2</v>
      </c>
      <c r="R95" s="609"/>
      <c r="S95" s="584">
        <f t="shared" ref="S95:S99" si="6">G95-E95</f>
        <v>6.9444444444444475E-2</v>
      </c>
      <c r="T95" s="586">
        <f t="shared" ref="T95:T99" si="7">L95-J95</f>
        <v>0.17708333333333337</v>
      </c>
      <c r="U95" s="593"/>
      <c r="AL95" s="408"/>
    </row>
    <row r="96" spans="1:38" x14ac:dyDescent="0.25">
      <c r="A96" s="245" t="s">
        <v>614</v>
      </c>
      <c r="B96" s="258" t="s">
        <v>472</v>
      </c>
      <c r="C96" s="594">
        <v>202</v>
      </c>
      <c r="D96" s="327">
        <f>E96-TIME(,8,)</f>
        <v>0.42847222222222225</v>
      </c>
      <c r="E96" s="248">
        <v>0.43402777777777779</v>
      </c>
      <c r="F96" s="249" t="s">
        <v>474</v>
      </c>
      <c r="G96" s="247">
        <v>0.60902777777777772</v>
      </c>
      <c r="H96" s="248" t="s">
        <v>474</v>
      </c>
      <c r="I96" s="248">
        <v>0.65972222222222221</v>
      </c>
      <c r="J96" s="248">
        <v>0.65972222222222221</v>
      </c>
      <c r="K96" s="249" t="s">
        <v>474</v>
      </c>
      <c r="L96" s="247">
        <v>0.81944444444444442</v>
      </c>
      <c r="M96" s="248" t="s">
        <v>474</v>
      </c>
      <c r="N96" s="249">
        <v>0.82291666666666663</v>
      </c>
      <c r="O96" s="245">
        <f>N96-D96</f>
        <v>0.39444444444444438</v>
      </c>
      <c r="P96" s="245">
        <f>O96-Q96</f>
        <v>0.34374999999999989</v>
      </c>
      <c r="Q96" s="251">
        <f>I96-G96</f>
        <v>5.0694444444444486E-2</v>
      </c>
      <c r="R96" s="609" t="s">
        <v>848</v>
      </c>
      <c r="S96" s="584">
        <f t="shared" si="6"/>
        <v>0.17499999999999993</v>
      </c>
      <c r="T96" s="586">
        <f t="shared" si="7"/>
        <v>0.15972222222222221</v>
      </c>
      <c r="U96" s="593"/>
      <c r="AL96" s="408"/>
    </row>
    <row r="97" spans="1:38" x14ac:dyDescent="0.25">
      <c r="A97" s="245" t="s">
        <v>616</v>
      </c>
      <c r="B97" s="258" t="s">
        <v>472</v>
      </c>
      <c r="C97" s="594">
        <v>203</v>
      </c>
      <c r="D97" s="247">
        <v>0.43541666666666667</v>
      </c>
      <c r="E97" s="248">
        <v>0.44097222222222221</v>
      </c>
      <c r="F97" s="249" t="s">
        <v>475</v>
      </c>
      <c r="G97" s="247">
        <v>0.62152777777777779</v>
      </c>
      <c r="H97" s="248" t="s">
        <v>475</v>
      </c>
      <c r="I97" s="248">
        <v>0.6597222222222221</v>
      </c>
      <c r="J97" s="248">
        <v>0.65972222222222221</v>
      </c>
      <c r="K97" s="249" t="s">
        <v>475</v>
      </c>
      <c r="L97" s="247">
        <v>0.81944444444444442</v>
      </c>
      <c r="M97" s="248" t="s">
        <v>104</v>
      </c>
      <c r="N97" s="249">
        <v>0.81944444444444442</v>
      </c>
      <c r="O97" s="245">
        <f>N97-D97</f>
        <v>0.38402777777777775</v>
      </c>
      <c r="P97" s="245">
        <f>O97-Q97</f>
        <v>0.34583333333333344</v>
      </c>
      <c r="Q97" s="251">
        <f>I97-G97</f>
        <v>3.8194444444444309E-2</v>
      </c>
      <c r="R97" s="251"/>
      <c r="S97" s="584">
        <f t="shared" si="6"/>
        <v>0.18055555555555558</v>
      </c>
      <c r="T97" s="586">
        <f t="shared" si="7"/>
        <v>0.15972222222222221</v>
      </c>
      <c r="U97" s="593"/>
      <c r="AL97" s="408"/>
    </row>
    <row r="98" spans="1:38" x14ac:dyDescent="0.25">
      <c r="A98" s="245" t="s">
        <v>618</v>
      </c>
      <c r="B98" s="258" t="s">
        <v>472</v>
      </c>
      <c r="C98" s="594">
        <v>204</v>
      </c>
      <c r="D98" s="247">
        <v>0.43888888888888888</v>
      </c>
      <c r="E98" s="248">
        <v>0.44444444444444442</v>
      </c>
      <c r="F98" s="249" t="s">
        <v>104</v>
      </c>
      <c r="G98" s="247">
        <v>0.59722222222222221</v>
      </c>
      <c r="H98" s="248" t="s">
        <v>474</v>
      </c>
      <c r="I98" s="248">
        <v>0.65277777777777779</v>
      </c>
      <c r="J98" s="328">
        <v>0.65277777777777779</v>
      </c>
      <c r="K98" s="333" t="s">
        <v>474</v>
      </c>
      <c r="L98" s="327">
        <v>0.80902777777777779</v>
      </c>
      <c r="M98" s="328" t="s">
        <v>474</v>
      </c>
      <c r="N98" s="249">
        <v>0.8125</v>
      </c>
      <c r="O98" s="245">
        <f>N98-D98</f>
        <v>0.37361111111111112</v>
      </c>
      <c r="P98" s="245">
        <f>O98-Q98</f>
        <v>0.31805555555555554</v>
      </c>
      <c r="Q98" s="251">
        <f>I98-G98</f>
        <v>5.555555555555558E-2</v>
      </c>
      <c r="R98" s="251"/>
      <c r="S98" s="584">
        <f t="shared" si="6"/>
        <v>0.15277777777777779</v>
      </c>
      <c r="T98" s="586">
        <f t="shared" si="7"/>
        <v>0.15625</v>
      </c>
      <c r="U98" s="593"/>
      <c r="AL98" s="408"/>
    </row>
    <row r="99" spans="1:38" ht="16.5" thickBot="1" x14ac:dyDescent="0.3">
      <c r="A99" s="245" t="s">
        <v>620</v>
      </c>
      <c r="B99" s="258" t="s">
        <v>472</v>
      </c>
      <c r="C99" s="594">
        <v>205</v>
      </c>
      <c r="D99" s="247">
        <v>0.45624999999999999</v>
      </c>
      <c r="E99" s="248">
        <v>0.46180555555555558</v>
      </c>
      <c r="F99" s="249" t="s">
        <v>475</v>
      </c>
      <c r="G99" s="247">
        <v>0.54513888888888884</v>
      </c>
      <c r="H99" s="248" t="s">
        <v>474</v>
      </c>
      <c r="I99" s="261">
        <v>0.60763888888888884</v>
      </c>
      <c r="J99" s="261">
        <v>0.60763888888888884</v>
      </c>
      <c r="K99" s="262" t="s">
        <v>475</v>
      </c>
      <c r="L99" s="260">
        <v>0.7631944444444444</v>
      </c>
      <c r="M99" s="261" t="s">
        <v>104</v>
      </c>
      <c r="N99" s="262">
        <v>0.7631944444444444</v>
      </c>
      <c r="O99" s="245">
        <f>N99-D99</f>
        <v>0.30694444444444441</v>
      </c>
      <c r="P99" s="245">
        <f>O99-Q99</f>
        <v>0.24444444444444441</v>
      </c>
      <c r="Q99" s="251">
        <f>I99-G99</f>
        <v>6.25E-2</v>
      </c>
      <c r="R99" s="251"/>
      <c r="S99" s="584">
        <f t="shared" si="6"/>
        <v>8.3333333333333259E-2</v>
      </c>
      <c r="T99" s="586">
        <f t="shared" si="7"/>
        <v>0.15555555555555556</v>
      </c>
      <c r="U99" s="593"/>
      <c r="AL99" s="408"/>
    </row>
    <row r="100" spans="1:38" ht="16.5" thickBot="1" x14ac:dyDescent="0.3">
      <c r="A100" s="604"/>
      <c r="B100" s="605"/>
      <c r="C100" s="606"/>
      <c r="D100" s="605"/>
      <c r="E100" s="605"/>
      <c r="F100" s="605"/>
      <c r="G100" s="605"/>
      <c r="H100" s="605"/>
      <c r="I100" s="605"/>
      <c r="J100" s="605"/>
      <c r="K100" s="605"/>
      <c r="L100" s="605"/>
      <c r="M100" s="605"/>
      <c r="N100" s="605"/>
      <c r="O100" s="610"/>
      <c r="P100" s="379">
        <f>AVERAGE(P95:P99)</f>
        <v>0.30152777777777778</v>
      </c>
      <c r="Q100" s="611"/>
      <c r="R100" s="612"/>
      <c r="S100" s="584"/>
      <c r="T100" s="586"/>
      <c r="U100" s="593"/>
      <c r="AL100" s="408"/>
    </row>
    <row r="101" spans="1:38" ht="16.5" thickBot="1" x14ac:dyDescent="0.3">
      <c r="R101" s="467"/>
      <c r="S101" s="584"/>
      <c r="T101" s="586"/>
      <c r="U101" s="593"/>
      <c r="AL101" s="408"/>
    </row>
    <row r="102" spans="1:38" x14ac:dyDescent="0.25">
      <c r="A102" s="733" t="s">
        <v>457</v>
      </c>
      <c r="B102" s="223" t="s">
        <v>458</v>
      </c>
      <c r="C102" s="757" t="s">
        <v>459</v>
      </c>
      <c r="D102" s="730" t="s">
        <v>460</v>
      </c>
      <c r="E102" s="731"/>
      <c r="F102" s="731"/>
      <c r="G102" s="730" t="s">
        <v>461</v>
      </c>
      <c r="H102" s="731"/>
      <c r="I102" s="731"/>
      <c r="J102" s="731"/>
      <c r="K102" s="732"/>
      <c r="L102" s="731" t="s">
        <v>462</v>
      </c>
      <c r="M102" s="731"/>
      <c r="N102" s="732"/>
      <c r="O102" s="733" t="s">
        <v>463</v>
      </c>
      <c r="P102" s="733" t="s">
        <v>464</v>
      </c>
      <c r="Q102" s="733" t="s">
        <v>465</v>
      </c>
      <c r="R102" s="733"/>
      <c r="S102" s="584"/>
      <c r="T102" s="586"/>
      <c r="U102" s="593"/>
      <c r="AL102" s="408"/>
    </row>
    <row r="103" spans="1:38" ht="16.5" thickBot="1" x14ac:dyDescent="0.3">
      <c r="A103" s="734"/>
      <c r="B103" s="352" t="s">
        <v>466</v>
      </c>
      <c r="C103" s="746"/>
      <c r="D103" s="524" t="s">
        <v>467</v>
      </c>
      <c r="E103" s="525" t="s">
        <v>468</v>
      </c>
      <c r="F103" s="526" t="s">
        <v>469</v>
      </c>
      <c r="G103" s="524" t="s">
        <v>460</v>
      </c>
      <c r="H103" s="525" t="s">
        <v>469</v>
      </c>
      <c r="I103" s="525" t="s">
        <v>467</v>
      </c>
      <c r="J103" s="525" t="s">
        <v>460</v>
      </c>
      <c r="K103" s="613" t="s">
        <v>469</v>
      </c>
      <c r="L103" s="614" t="s">
        <v>462</v>
      </c>
      <c r="M103" s="525" t="s">
        <v>469</v>
      </c>
      <c r="N103" s="526" t="s">
        <v>470</v>
      </c>
      <c r="O103" s="734"/>
      <c r="P103" s="734"/>
      <c r="Q103" s="734"/>
      <c r="R103" s="734"/>
      <c r="S103" s="584"/>
      <c r="T103" s="586"/>
      <c r="U103" s="593"/>
      <c r="AL103" s="408"/>
    </row>
    <row r="104" spans="1:38" x14ac:dyDescent="0.25">
      <c r="A104" s="237" t="s">
        <v>665</v>
      </c>
      <c r="B104" s="237" t="s">
        <v>472</v>
      </c>
      <c r="C104" s="380" t="s">
        <v>666</v>
      </c>
      <c r="D104" s="322">
        <v>0.7895833333333333</v>
      </c>
      <c r="E104" s="323">
        <v>0.79513888888888884</v>
      </c>
      <c r="F104" s="325" t="s">
        <v>474</v>
      </c>
      <c r="G104" s="322">
        <v>0.86458333333333337</v>
      </c>
      <c r="H104" s="323" t="s">
        <v>104</v>
      </c>
      <c r="I104" s="323">
        <v>0.96527777777777779</v>
      </c>
      <c r="J104" s="323">
        <v>0.96527777777777779</v>
      </c>
      <c r="K104" s="242" t="s">
        <v>475</v>
      </c>
      <c r="L104" s="615">
        <v>1.1423611111111112</v>
      </c>
      <c r="M104" s="323" t="s">
        <v>474</v>
      </c>
      <c r="N104" s="324">
        <v>1.1458333333333333</v>
      </c>
      <c r="O104" s="237">
        <f>N104-D104</f>
        <v>0.35624999999999996</v>
      </c>
      <c r="P104" s="237">
        <f>O104-Q104</f>
        <v>0.25555555555555554</v>
      </c>
      <c r="Q104" s="243">
        <f>I104-G104</f>
        <v>0.10069444444444442</v>
      </c>
      <c r="R104" s="264"/>
      <c r="S104" s="584">
        <f t="shared" ref="S104:S108" si="8">G104-E104</f>
        <v>6.9444444444444531E-2</v>
      </c>
      <c r="T104" s="586">
        <f t="shared" ref="T104:T108" si="9">L104-J104</f>
        <v>0.17708333333333337</v>
      </c>
      <c r="U104" s="593"/>
      <c r="AL104" s="408"/>
    </row>
    <row r="105" spans="1:38" x14ac:dyDescent="0.25">
      <c r="A105" s="245" t="s">
        <v>667</v>
      </c>
      <c r="B105" s="245" t="s">
        <v>472</v>
      </c>
      <c r="C105" s="594" t="s">
        <v>668</v>
      </c>
      <c r="D105" s="327">
        <f>E105-TIME(,8,)</f>
        <v>0.79305555555555562</v>
      </c>
      <c r="E105" s="328">
        <v>0.79861111111111116</v>
      </c>
      <c r="F105" s="329" t="s">
        <v>475</v>
      </c>
      <c r="G105" s="327">
        <v>0.93055555555555558</v>
      </c>
      <c r="H105" s="328" t="s">
        <v>475</v>
      </c>
      <c r="I105" s="328">
        <v>0.99097222222222225</v>
      </c>
      <c r="J105" s="328">
        <v>0.99305555555555558</v>
      </c>
      <c r="K105" s="329" t="s">
        <v>104</v>
      </c>
      <c r="L105" s="616">
        <v>1.1041666666666667</v>
      </c>
      <c r="M105" s="328" t="s">
        <v>474</v>
      </c>
      <c r="N105" s="333">
        <v>1.1076388888888888</v>
      </c>
      <c r="O105" s="245">
        <f>N105-D105</f>
        <v>0.31458333333333321</v>
      </c>
      <c r="P105" s="245">
        <f>O105-Q105</f>
        <v>0.25416666666666654</v>
      </c>
      <c r="Q105" s="251">
        <f>I105-G105</f>
        <v>6.0416666666666674E-2</v>
      </c>
      <c r="R105" s="251"/>
      <c r="S105" s="584">
        <f t="shared" si="8"/>
        <v>0.13194444444444442</v>
      </c>
      <c r="T105" s="586">
        <f t="shared" si="9"/>
        <v>0.11111111111111116</v>
      </c>
      <c r="U105" s="593"/>
      <c r="AL105" s="408"/>
    </row>
    <row r="106" spans="1:38" x14ac:dyDescent="0.25">
      <c r="A106" s="245" t="s">
        <v>669</v>
      </c>
      <c r="B106" s="245" t="s">
        <v>472</v>
      </c>
      <c r="C106" s="594" t="s">
        <v>670</v>
      </c>
      <c r="D106" s="327">
        <f>E106-TIME(,8,)</f>
        <v>0.86944444444444446</v>
      </c>
      <c r="E106" s="328">
        <v>0.875</v>
      </c>
      <c r="F106" s="329" t="s">
        <v>475</v>
      </c>
      <c r="G106" s="327">
        <v>1.0729166666666667</v>
      </c>
      <c r="H106" s="328" t="s">
        <v>104</v>
      </c>
      <c r="I106" s="328">
        <v>1.1423611111111109</v>
      </c>
      <c r="J106" s="328">
        <v>1.1423611111111112</v>
      </c>
      <c r="K106" s="329" t="s">
        <v>474</v>
      </c>
      <c r="L106" s="616">
        <v>1.2743055555555556</v>
      </c>
      <c r="M106" s="328" t="s">
        <v>104</v>
      </c>
      <c r="N106" s="329">
        <v>1.2743055555555556</v>
      </c>
      <c r="O106" s="245">
        <f>N106-D106</f>
        <v>0.40486111111111112</v>
      </c>
      <c r="P106" s="245">
        <f>O106-Q106</f>
        <v>0.33541666666666692</v>
      </c>
      <c r="Q106" s="251">
        <f>I106-G106</f>
        <v>6.9444444444444198E-2</v>
      </c>
      <c r="R106" s="251"/>
      <c r="S106" s="584">
        <f t="shared" si="8"/>
        <v>0.19791666666666674</v>
      </c>
      <c r="T106" s="586">
        <f t="shared" si="9"/>
        <v>0.13194444444444442</v>
      </c>
      <c r="U106" s="593"/>
      <c r="AL106" s="408"/>
    </row>
    <row r="107" spans="1:38" x14ac:dyDescent="0.25">
      <c r="A107" s="245" t="s">
        <v>671</v>
      </c>
      <c r="B107" s="258" t="s">
        <v>472</v>
      </c>
      <c r="C107" s="594" t="s">
        <v>672</v>
      </c>
      <c r="D107" s="327">
        <f>E107-TIME(,8,)</f>
        <v>0.88680555555555562</v>
      </c>
      <c r="E107" s="335">
        <v>0.89236111111111116</v>
      </c>
      <c r="F107" s="336" t="s">
        <v>475</v>
      </c>
      <c r="G107" s="334">
        <v>1.0118055555555556</v>
      </c>
      <c r="H107" s="335" t="s">
        <v>104</v>
      </c>
      <c r="I107" s="335">
        <v>1.0625</v>
      </c>
      <c r="J107" s="335">
        <v>1.0625</v>
      </c>
      <c r="K107" s="336" t="s">
        <v>474</v>
      </c>
      <c r="L107" s="617">
        <v>1.2444444444444445</v>
      </c>
      <c r="M107" s="335" t="s">
        <v>104</v>
      </c>
      <c r="N107" s="336">
        <v>1.2444444444444445</v>
      </c>
      <c r="O107" s="258">
        <f>N107-D107</f>
        <v>0.35763888888888884</v>
      </c>
      <c r="P107" s="258">
        <f>O107-Q107</f>
        <v>0.30694444444444446</v>
      </c>
      <c r="Q107" s="264">
        <f>I107-G107</f>
        <v>5.0694444444444375E-2</v>
      </c>
      <c r="R107" s="609" t="s">
        <v>848</v>
      </c>
      <c r="S107" s="584">
        <f t="shared" si="8"/>
        <v>0.11944444444444446</v>
      </c>
      <c r="T107" s="586">
        <f t="shared" si="9"/>
        <v>0.18194444444444446</v>
      </c>
      <c r="U107" s="593"/>
      <c r="AL107" s="408"/>
    </row>
    <row r="108" spans="1:38" ht="16.5" thickBot="1" x14ac:dyDescent="0.3">
      <c r="A108" s="309" t="s">
        <v>673</v>
      </c>
      <c r="B108" s="309" t="s">
        <v>472</v>
      </c>
      <c r="C108" s="601" t="s">
        <v>674</v>
      </c>
      <c r="D108" s="516">
        <v>0.92152777777777772</v>
      </c>
      <c r="E108" s="517">
        <v>0.92708333333333337</v>
      </c>
      <c r="F108" s="515" t="s">
        <v>474</v>
      </c>
      <c r="G108" s="516">
        <v>1.0625</v>
      </c>
      <c r="H108" s="318" t="s">
        <v>474</v>
      </c>
      <c r="I108" s="618">
        <v>1.1041666666666667</v>
      </c>
      <c r="J108" s="618">
        <v>1.1041666666666667</v>
      </c>
      <c r="K108" s="619" t="s">
        <v>474</v>
      </c>
      <c r="L108" s="620">
        <v>1.2861111111111112</v>
      </c>
      <c r="M108" s="618" t="s">
        <v>104</v>
      </c>
      <c r="N108" s="621">
        <v>1.2861111111111112</v>
      </c>
      <c r="O108" s="309">
        <f>N108-D108</f>
        <v>0.36458333333333348</v>
      </c>
      <c r="P108" s="309">
        <f>O108-Q108</f>
        <v>0.32291666666666674</v>
      </c>
      <c r="Q108" s="320">
        <f>I108-G108</f>
        <v>4.1666666666666741E-2</v>
      </c>
      <c r="R108" s="251"/>
      <c r="S108" s="584">
        <f t="shared" si="8"/>
        <v>0.13541666666666663</v>
      </c>
      <c r="T108" s="586">
        <f t="shared" si="9"/>
        <v>0.18194444444444446</v>
      </c>
      <c r="U108" s="593"/>
      <c r="AL108" s="408"/>
    </row>
    <row r="109" spans="1:38" ht="16.5" thickBot="1" x14ac:dyDescent="0.3">
      <c r="A109" s="341"/>
      <c r="B109" s="342"/>
      <c r="C109" s="606"/>
      <c r="D109" s="605"/>
      <c r="E109" s="605"/>
      <c r="F109" s="605"/>
      <c r="G109" s="605"/>
      <c r="H109" s="605"/>
      <c r="I109" s="605"/>
      <c r="J109" s="605"/>
      <c r="K109" s="605"/>
      <c r="L109" s="605"/>
      <c r="M109" s="605"/>
      <c r="N109" s="605"/>
      <c r="O109" s="345">
        <f>COUNTIF(O104:O108,"&gt;9:00")/COUNT(O104:O108)</f>
        <v>0.2</v>
      </c>
      <c r="P109" s="346">
        <f>AVERAGE(P104:P108)</f>
        <v>0.29500000000000004</v>
      </c>
      <c r="Q109" s="612"/>
      <c r="R109" s="612"/>
      <c r="T109" s="495"/>
      <c r="U109" s="593"/>
      <c r="AL109" s="408"/>
    </row>
    <row r="110" spans="1:38" x14ac:dyDescent="0.25">
      <c r="R110" s="587"/>
      <c r="S110" s="493"/>
      <c r="T110" s="495"/>
      <c r="AL110" s="408"/>
    </row>
    <row r="111" spans="1:38" x14ac:dyDescent="0.25">
      <c r="H111" s="593"/>
      <c r="N111" s="756" t="s">
        <v>849</v>
      </c>
      <c r="O111" s="756"/>
      <c r="P111" s="622">
        <f>AVERAGE(P59:P90,P95:P99,P104:P108)</f>
        <v>0.28272156084656086</v>
      </c>
      <c r="S111" s="493"/>
      <c r="T111" s="495"/>
      <c r="AL111" s="408"/>
    </row>
    <row r="114" spans="2:20" x14ac:dyDescent="0.25">
      <c r="B114" s="467">
        <v>0.40277777777777779</v>
      </c>
      <c r="C114" s="467">
        <v>0.2013888888888889</v>
      </c>
      <c r="D114" s="467">
        <v>0.52777777777777779</v>
      </c>
      <c r="E114" s="467">
        <v>0.27777777777777779</v>
      </c>
      <c r="F114" s="467">
        <v>0.29166666666666669</v>
      </c>
      <c r="G114" s="467">
        <v>0.38541666666666669</v>
      </c>
      <c r="H114" s="467">
        <v>0.24305555555555555</v>
      </c>
      <c r="I114" s="467">
        <v>0.25694444444444442</v>
      </c>
      <c r="J114" s="467">
        <v>0.27083333333333331</v>
      </c>
      <c r="K114" s="467">
        <v>0.4236111111111111</v>
      </c>
      <c r="L114" s="467">
        <v>0.28472222222222221</v>
      </c>
      <c r="M114" s="467">
        <v>0.44444444444444442</v>
      </c>
      <c r="N114" s="467">
        <v>0.20833333333333334</v>
      </c>
      <c r="O114" s="467">
        <v>0.3125</v>
      </c>
      <c r="P114" s="467">
        <v>0.375</v>
      </c>
      <c r="Q114" s="467">
        <v>0.4861111111111111</v>
      </c>
      <c r="R114" s="467">
        <v>0.3263888888888889</v>
      </c>
      <c r="S114" s="467">
        <v>0.25</v>
      </c>
      <c r="T114" s="467"/>
    </row>
    <row r="115" spans="2:20" x14ac:dyDescent="0.25">
      <c r="B115" s="532">
        <v>0.89236111111111116</v>
      </c>
      <c r="C115" s="532">
        <v>1.0201388888888889</v>
      </c>
      <c r="D115" s="532">
        <v>0.84305555555555556</v>
      </c>
      <c r="E115" s="532">
        <v>0.7631944444444444</v>
      </c>
      <c r="F115" s="532">
        <v>1.0340277777777778</v>
      </c>
      <c r="G115" s="532">
        <v>1.0479166666666666</v>
      </c>
      <c r="H115" s="532">
        <v>1.0618055555555554</v>
      </c>
      <c r="I115" s="532">
        <v>1.0173611111111112</v>
      </c>
      <c r="J115" s="532">
        <v>0.81944444444444442</v>
      </c>
      <c r="K115" s="532">
        <v>1.2743055555555556</v>
      </c>
      <c r="L115" s="532">
        <v>1.0381944444444444</v>
      </c>
      <c r="M115" s="532">
        <v>1.2444444444444445</v>
      </c>
      <c r="N115" s="532">
        <v>0.85416666666666663</v>
      </c>
      <c r="O115" s="532">
        <v>0.86458333333333337</v>
      </c>
      <c r="P115" s="532">
        <v>1.0729166666666667</v>
      </c>
      <c r="Q115" s="532">
        <v>0.80902777777777779</v>
      </c>
      <c r="R115" s="532">
        <v>0.54861111111111116</v>
      </c>
      <c r="S115" s="532">
        <v>1.0118055555555556</v>
      </c>
      <c r="T115" s="467"/>
    </row>
    <row r="116" spans="2:20" x14ac:dyDescent="0.25">
      <c r="B116" s="467">
        <f>B115-B114</f>
        <v>0.48958333333333337</v>
      </c>
      <c r="C116" s="467">
        <f t="shared" ref="C116:S116" si="10">C115-C114</f>
        <v>0.81875000000000009</v>
      </c>
      <c r="D116" s="467">
        <f t="shared" si="10"/>
        <v>0.31527777777777777</v>
      </c>
      <c r="E116" s="467">
        <f t="shared" si="10"/>
        <v>0.48541666666666661</v>
      </c>
      <c r="F116" s="467">
        <f t="shared" si="10"/>
        <v>0.74236111111111103</v>
      </c>
      <c r="G116" s="467">
        <f t="shared" si="10"/>
        <v>0.66249999999999987</v>
      </c>
      <c r="H116" s="467">
        <f t="shared" si="10"/>
        <v>0.81874999999999987</v>
      </c>
      <c r="I116" s="467">
        <f t="shared" si="10"/>
        <v>0.76041666666666674</v>
      </c>
      <c r="J116" s="467">
        <f t="shared" si="10"/>
        <v>0.54861111111111116</v>
      </c>
      <c r="K116" s="467">
        <f t="shared" si="10"/>
        <v>0.85069444444444442</v>
      </c>
      <c r="L116" s="467">
        <f t="shared" si="10"/>
        <v>0.75347222222222221</v>
      </c>
      <c r="M116" s="467">
        <f t="shared" si="10"/>
        <v>0.8</v>
      </c>
      <c r="N116" s="467">
        <f t="shared" si="10"/>
        <v>0.64583333333333326</v>
      </c>
      <c r="O116" s="467">
        <f t="shared" si="10"/>
        <v>0.55208333333333337</v>
      </c>
      <c r="P116" s="467">
        <f t="shared" si="10"/>
        <v>0.69791666666666674</v>
      </c>
      <c r="Q116" s="467">
        <f t="shared" si="10"/>
        <v>0.32291666666666669</v>
      </c>
      <c r="R116" s="467">
        <f t="shared" si="10"/>
        <v>0.22222222222222227</v>
      </c>
      <c r="S116" s="467">
        <f t="shared" si="10"/>
        <v>0.76180555555555562</v>
      </c>
      <c r="T116" s="467"/>
    </row>
    <row r="117" spans="2:20" x14ac:dyDescent="0.25">
      <c r="B117" s="467"/>
      <c r="C117" s="467"/>
      <c r="D117" s="467"/>
      <c r="E117" s="467"/>
      <c r="F117" s="467"/>
      <c r="G117" s="467"/>
      <c r="H117" s="467"/>
      <c r="I117" s="467"/>
      <c r="J117" s="467"/>
      <c r="K117" s="467"/>
      <c r="L117" s="467"/>
      <c r="M117" s="467"/>
      <c r="N117" s="467"/>
      <c r="O117" s="467"/>
      <c r="P117" s="467"/>
      <c r="Q117" s="467"/>
      <c r="R117" s="467"/>
      <c r="S117" s="467"/>
      <c r="T117" s="467"/>
    </row>
    <row r="118" spans="2:20" x14ac:dyDescent="0.25">
      <c r="B118" s="467"/>
      <c r="C118" s="467"/>
      <c r="D118" s="467"/>
      <c r="E118" s="467"/>
      <c r="F118" s="467"/>
      <c r="G118" s="467"/>
      <c r="H118" s="467"/>
      <c r="I118" s="467"/>
      <c r="J118" s="467">
        <v>0.99305555555555558</v>
      </c>
      <c r="K118" s="467"/>
      <c r="L118" s="467"/>
      <c r="M118" s="467"/>
      <c r="N118" s="467"/>
      <c r="O118" s="467"/>
      <c r="P118" s="467"/>
      <c r="Q118" s="467"/>
      <c r="R118" s="467"/>
      <c r="S118" s="467"/>
      <c r="T118" s="467"/>
    </row>
    <row r="119" spans="2:20" x14ac:dyDescent="0.25">
      <c r="B119" s="467"/>
      <c r="C119" s="467"/>
      <c r="D119" s="467"/>
      <c r="E119" s="467"/>
      <c r="F119" s="467"/>
      <c r="G119" s="467"/>
      <c r="H119" s="467"/>
      <c r="I119" s="467"/>
      <c r="J119" s="532">
        <v>1.2861111111111112</v>
      </c>
      <c r="K119" s="467"/>
      <c r="L119" s="467"/>
      <c r="M119" s="467"/>
      <c r="N119" s="467"/>
      <c r="O119" s="467"/>
      <c r="P119" s="467"/>
      <c r="Q119" s="467"/>
      <c r="R119" s="467"/>
      <c r="S119" s="467"/>
      <c r="T119" s="467"/>
    </row>
    <row r="120" spans="2:20" x14ac:dyDescent="0.25">
      <c r="B120" s="467"/>
      <c r="C120" s="467"/>
      <c r="D120" s="467"/>
      <c r="E120" s="467"/>
      <c r="F120" s="467"/>
      <c r="G120" s="467"/>
      <c r="H120" s="467"/>
      <c r="I120" s="467"/>
      <c r="J120" s="467">
        <f t="shared" ref="J120" si="11">J119-J118</f>
        <v>0.29305555555555562</v>
      </c>
      <c r="K120" s="467"/>
      <c r="L120" s="467"/>
      <c r="M120" s="467"/>
      <c r="N120" s="467"/>
      <c r="O120" s="467"/>
      <c r="P120" s="467"/>
      <c r="Q120" s="467"/>
      <c r="R120" s="467"/>
      <c r="S120" s="467"/>
      <c r="T120" s="467"/>
    </row>
    <row r="121" spans="2:20" x14ac:dyDescent="0.25">
      <c r="B121" s="467"/>
      <c r="C121" s="467"/>
      <c r="D121" s="467"/>
      <c r="E121" s="467"/>
      <c r="F121" s="467"/>
      <c r="G121" s="467"/>
      <c r="H121" s="467"/>
      <c r="I121" s="467"/>
      <c r="J121" s="467"/>
      <c r="K121" s="467"/>
      <c r="L121" s="467"/>
      <c r="M121" s="467"/>
      <c r="N121" s="467"/>
      <c r="O121" s="467"/>
      <c r="P121" s="467"/>
      <c r="Q121" s="467"/>
      <c r="R121" s="467"/>
      <c r="S121" s="467"/>
      <c r="T121" s="467"/>
    </row>
    <row r="122" spans="2:20" x14ac:dyDescent="0.25">
      <c r="B122" s="388" t="s">
        <v>680</v>
      </c>
      <c r="C122" s="533" t="s">
        <v>944</v>
      </c>
      <c r="D122" s="467"/>
      <c r="E122" s="467"/>
      <c r="F122" s="467"/>
      <c r="G122" s="467"/>
      <c r="H122" s="467"/>
      <c r="I122" s="467"/>
      <c r="J122" s="467"/>
      <c r="K122" s="467"/>
      <c r="L122" s="467"/>
      <c r="M122" s="467"/>
      <c r="N122" s="467"/>
      <c r="O122" s="467"/>
      <c r="P122" s="467"/>
      <c r="Q122" s="467"/>
      <c r="R122" s="467"/>
      <c r="S122" s="467"/>
      <c r="T122" s="467"/>
    </row>
    <row r="123" spans="2:20" x14ac:dyDescent="0.25">
      <c r="B123" s="467"/>
      <c r="C123" s="467"/>
      <c r="D123" s="467"/>
      <c r="E123" s="467"/>
      <c r="F123" s="467"/>
      <c r="G123" s="467"/>
      <c r="H123" s="467"/>
      <c r="I123" s="467"/>
      <c r="J123" s="467"/>
      <c r="K123" s="467"/>
      <c r="L123" s="467"/>
      <c r="M123" s="467"/>
      <c r="N123" s="467"/>
      <c r="O123" s="467"/>
      <c r="P123" s="467"/>
      <c r="Q123" s="467"/>
      <c r="R123" s="467"/>
      <c r="S123" s="467"/>
      <c r="T123" s="467"/>
    </row>
    <row r="124" spans="2:20" x14ac:dyDescent="0.25">
      <c r="B124" s="467"/>
      <c r="C124" s="467"/>
      <c r="D124" s="467"/>
      <c r="E124" s="467"/>
      <c r="F124" s="467"/>
      <c r="G124" s="467"/>
      <c r="H124" s="467"/>
      <c r="I124" s="467"/>
      <c r="J124" s="467"/>
      <c r="K124" s="467"/>
      <c r="L124" s="467"/>
      <c r="M124" s="467"/>
      <c r="N124" s="467"/>
      <c r="O124" s="467"/>
      <c r="P124" s="467"/>
      <c r="Q124" s="467"/>
      <c r="R124" s="467"/>
      <c r="S124" s="467"/>
      <c r="T124" s="467"/>
    </row>
    <row r="125" spans="2:20" x14ac:dyDescent="0.25">
      <c r="B125" s="467"/>
      <c r="C125" s="467"/>
      <c r="D125" s="467"/>
      <c r="E125" s="467"/>
      <c r="F125" s="467"/>
      <c r="G125" s="467"/>
      <c r="H125" s="467"/>
      <c r="I125" s="467"/>
      <c r="J125" s="467"/>
      <c r="K125" s="467"/>
      <c r="L125" s="467"/>
      <c r="M125" s="467"/>
      <c r="N125" s="467"/>
      <c r="O125" s="467"/>
      <c r="P125" s="467"/>
      <c r="Q125" s="467"/>
      <c r="R125" s="467"/>
      <c r="S125" s="467"/>
      <c r="T125" s="467"/>
    </row>
    <row r="126" spans="2:20" x14ac:dyDescent="0.25">
      <c r="B126" s="467"/>
      <c r="C126" s="467"/>
      <c r="D126" s="467"/>
      <c r="E126" s="467"/>
      <c r="F126" s="467"/>
      <c r="G126" s="467"/>
      <c r="H126" s="467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</row>
    <row r="127" spans="2:20" x14ac:dyDescent="0.25">
      <c r="B127" s="467"/>
      <c r="C127" s="467"/>
      <c r="D127" s="467"/>
      <c r="E127" s="467"/>
      <c r="F127" s="467"/>
      <c r="G127" s="467"/>
      <c r="H127" s="467"/>
      <c r="I127" s="467"/>
      <c r="J127" s="467"/>
      <c r="K127" s="467"/>
      <c r="L127" s="467"/>
      <c r="M127" s="467"/>
      <c r="N127" s="467"/>
      <c r="O127" s="467"/>
      <c r="P127" s="467"/>
      <c r="Q127" s="467"/>
      <c r="R127" s="467"/>
      <c r="S127" s="467"/>
      <c r="T127" s="467"/>
    </row>
    <row r="128" spans="2:20" x14ac:dyDescent="0.25">
      <c r="B128" s="467"/>
      <c r="C128" s="467"/>
      <c r="D128" s="467"/>
      <c r="E128" s="467"/>
      <c r="F128" s="467"/>
      <c r="G128" s="467"/>
      <c r="H128" s="467"/>
      <c r="I128" s="467"/>
      <c r="J128" s="467"/>
      <c r="K128" s="467"/>
      <c r="L128" s="467"/>
      <c r="M128" s="467"/>
      <c r="N128" s="467"/>
      <c r="O128" s="467"/>
      <c r="P128" s="467"/>
      <c r="Q128" s="467"/>
      <c r="R128" s="467"/>
      <c r="S128" s="467"/>
      <c r="T128" s="467"/>
    </row>
    <row r="129" spans="2:20" x14ac:dyDescent="0.25">
      <c r="B129" s="467"/>
      <c r="C129" s="467"/>
      <c r="D129" s="467"/>
      <c r="E129" s="467"/>
      <c r="F129" s="467"/>
      <c r="G129" s="467"/>
      <c r="H129" s="467"/>
      <c r="I129" s="467"/>
      <c r="J129" s="467"/>
      <c r="K129" s="467"/>
      <c r="L129" s="467"/>
      <c r="M129" s="467"/>
      <c r="N129" s="467"/>
      <c r="O129" s="467"/>
      <c r="P129" s="467"/>
      <c r="Q129" s="467"/>
      <c r="R129" s="467"/>
      <c r="S129" s="467"/>
      <c r="T129" s="467"/>
    </row>
    <row r="130" spans="2:20" x14ac:dyDescent="0.25">
      <c r="B130" s="467"/>
      <c r="C130" s="467"/>
      <c r="D130" s="467"/>
      <c r="E130" s="467"/>
      <c r="F130" s="467"/>
      <c r="G130" s="467"/>
      <c r="H130" s="467"/>
      <c r="I130" s="467"/>
      <c r="J130" s="467"/>
      <c r="K130" s="467"/>
      <c r="L130" s="467"/>
      <c r="M130" s="467"/>
      <c r="N130" s="467"/>
      <c r="O130" s="467"/>
      <c r="P130" s="467"/>
      <c r="Q130" s="467"/>
      <c r="R130" s="467"/>
      <c r="S130" s="467"/>
      <c r="T130" s="467"/>
    </row>
    <row r="131" spans="2:20" x14ac:dyDescent="0.25">
      <c r="B131" s="467"/>
      <c r="C131" s="467"/>
      <c r="D131" s="467"/>
      <c r="E131" s="467"/>
      <c r="F131" s="467"/>
      <c r="G131" s="467"/>
      <c r="H131" s="467"/>
      <c r="I131" s="467"/>
      <c r="J131" s="467"/>
      <c r="K131" s="467"/>
      <c r="L131" s="467"/>
      <c r="M131" s="467"/>
      <c r="N131" s="467"/>
      <c r="O131" s="467"/>
      <c r="P131" s="467"/>
      <c r="Q131" s="467"/>
      <c r="R131" s="467"/>
      <c r="S131" s="467"/>
      <c r="T131" s="467"/>
    </row>
    <row r="132" spans="2:20" x14ac:dyDescent="0.25">
      <c r="B132" s="467"/>
      <c r="C132" s="467"/>
      <c r="D132" s="467"/>
      <c r="E132" s="467"/>
      <c r="F132" s="467"/>
      <c r="G132" s="467"/>
      <c r="H132" s="467"/>
      <c r="I132" s="467"/>
      <c r="J132" s="467"/>
      <c r="K132" s="467"/>
      <c r="L132" s="467"/>
      <c r="M132" s="467"/>
      <c r="N132" s="467"/>
      <c r="O132" s="467"/>
      <c r="P132" s="467"/>
      <c r="Q132" s="467"/>
      <c r="R132" s="467"/>
      <c r="S132" s="467"/>
      <c r="T132" s="467"/>
    </row>
  </sheetData>
  <mergeCells count="44">
    <mergeCell ref="A1:D1"/>
    <mergeCell ref="E1:P1"/>
    <mergeCell ref="Q1:T1"/>
    <mergeCell ref="A56:B56"/>
    <mergeCell ref="G56:K56"/>
    <mergeCell ref="O56:R56"/>
    <mergeCell ref="A57:A58"/>
    <mergeCell ref="C57:C58"/>
    <mergeCell ref="D57:F57"/>
    <mergeCell ref="G57:K57"/>
    <mergeCell ref="L57:N57"/>
    <mergeCell ref="G73:K73"/>
    <mergeCell ref="P57:P58"/>
    <mergeCell ref="Q57:Q58"/>
    <mergeCell ref="R57:R58"/>
    <mergeCell ref="G59:K59"/>
    <mergeCell ref="G60:K60"/>
    <mergeCell ref="G61:K61"/>
    <mergeCell ref="O57:O58"/>
    <mergeCell ref="G62:K62"/>
    <mergeCell ref="G66:K66"/>
    <mergeCell ref="G68:K68"/>
    <mergeCell ref="G69:K69"/>
    <mergeCell ref="G72:K72"/>
    <mergeCell ref="G74:K74"/>
    <mergeCell ref="A93:A94"/>
    <mergeCell ref="C93:C94"/>
    <mergeCell ref="D93:F93"/>
    <mergeCell ref="G93:K93"/>
    <mergeCell ref="A102:A103"/>
    <mergeCell ref="C102:C103"/>
    <mergeCell ref="D102:F102"/>
    <mergeCell ref="G102:K102"/>
    <mergeCell ref="L102:N102"/>
    <mergeCell ref="P102:P103"/>
    <mergeCell ref="Q102:Q103"/>
    <mergeCell ref="R102:R103"/>
    <mergeCell ref="N111:O111"/>
    <mergeCell ref="O93:O94"/>
    <mergeCell ref="P93:P94"/>
    <mergeCell ref="Q93:Q94"/>
    <mergeCell ref="R93:R94"/>
    <mergeCell ref="O102:O103"/>
    <mergeCell ref="L93:N93"/>
  </mergeCells>
  <conditionalFormatting sqref="O59:O90 O104:O108">
    <cfRule type="cellIs" dxfId="1" priority="1" operator="greaterThan">
      <formula>0.375</formula>
    </cfRule>
  </conditionalFormatting>
  <conditionalFormatting sqref="P59:P90 P95:P100 P104:P108">
    <cfRule type="cellIs" dxfId="0" priority="2" operator="greaterThan">
      <formula>0.368055555555556</formula>
    </cfRule>
  </conditionalFormatting>
  <pageMargins left="0.7" right="0.7" top="0.75" bottom="0.75" header="0.3" footer="0.3"/>
  <pageSetup paperSize="8" scale="81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076AD-17C5-46AB-B3CF-25E65CE6C57A}">
  <sheetPr>
    <tabColor rgb="FF92D050"/>
  </sheetPr>
  <dimension ref="A1:L1840"/>
  <sheetViews>
    <sheetView workbookViewId="0">
      <selection activeCell="O13" sqref="O13"/>
    </sheetView>
  </sheetViews>
  <sheetFormatPr defaultRowHeight="15" x14ac:dyDescent="0.25"/>
  <cols>
    <col min="4" max="4" width="46.5703125" customWidth="1"/>
    <col min="10" max="10" width="46.5703125" customWidth="1"/>
  </cols>
  <sheetData>
    <row r="1" spans="1:12" ht="21" x14ac:dyDescent="0.35">
      <c r="A1" s="781" t="s">
        <v>945</v>
      </c>
      <c r="B1" s="782"/>
      <c r="C1" s="782"/>
      <c r="D1" s="782"/>
      <c r="E1" s="782"/>
      <c r="F1" s="782"/>
      <c r="G1" s="782"/>
      <c r="H1" s="782"/>
      <c r="I1" s="782"/>
      <c r="J1" s="782"/>
      <c r="K1" s="782"/>
      <c r="L1" s="783"/>
    </row>
    <row r="2" spans="1:12" ht="18.75" x14ac:dyDescent="0.3">
      <c r="A2" s="784" t="s">
        <v>946</v>
      </c>
      <c r="B2" s="785"/>
      <c r="C2" s="785"/>
      <c r="D2" s="785"/>
      <c r="E2" s="785"/>
      <c r="F2" s="785"/>
      <c r="G2" s="785"/>
      <c r="H2" s="785"/>
      <c r="I2" s="785"/>
      <c r="J2" s="785"/>
      <c r="K2" s="785"/>
      <c r="L2" s="786"/>
    </row>
    <row r="3" spans="1:12" ht="24" x14ac:dyDescent="0.4">
      <c r="A3" s="787" t="s">
        <v>947</v>
      </c>
      <c r="B3" s="788"/>
      <c r="C3" s="788"/>
      <c r="D3" s="788"/>
      <c r="E3" s="788"/>
      <c r="F3" s="788"/>
      <c r="G3" s="788"/>
      <c r="H3" s="788"/>
      <c r="I3" s="788"/>
      <c r="J3" s="788"/>
      <c r="K3" s="788"/>
      <c r="L3" s="789"/>
    </row>
    <row r="4" spans="1:12" ht="24" x14ac:dyDescent="0.4">
      <c r="A4" s="623" t="s">
        <v>948</v>
      </c>
      <c r="B4" s="624"/>
      <c r="C4" s="624"/>
      <c r="D4" s="625" t="s">
        <v>949</v>
      </c>
      <c r="E4" s="790" t="s">
        <v>950</v>
      </c>
      <c r="F4" s="790"/>
      <c r="G4" s="790"/>
      <c r="H4" s="790"/>
      <c r="I4" s="790"/>
      <c r="J4" s="626" t="s">
        <v>951</v>
      </c>
      <c r="K4" s="790"/>
      <c r="L4" s="791"/>
    </row>
    <row r="5" spans="1:12" ht="15.75" thickBot="1" x14ac:dyDescent="0.3">
      <c r="A5" s="627"/>
      <c r="B5" s="628"/>
      <c r="C5" s="628"/>
      <c r="D5" s="629"/>
      <c r="E5" s="628"/>
      <c r="F5" s="628"/>
      <c r="G5" s="628"/>
      <c r="H5" s="628"/>
      <c r="I5" s="792"/>
      <c r="J5" s="792"/>
      <c r="K5" s="628"/>
      <c r="L5" s="630"/>
    </row>
    <row r="6" spans="1:12" ht="16.5" thickBot="1" x14ac:dyDescent="0.3">
      <c r="A6" s="631" t="s">
        <v>952</v>
      </c>
      <c r="B6" s="632"/>
      <c r="C6" s="633"/>
      <c r="D6" s="634" t="s">
        <v>953</v>
      </c>
      <c r="E6" s="631" t="s">
        <v>954</v>
      </c>
      <c r="F6" s="635" t="s">
        <v>955</v>
      </c>
      <c r="G6" s="631" t="s">
        <v>952</v>
      </c>
      <c r="H6" s="632"/>
      <c r="I6" s="633"/>
      <c r="J6" s="634" t="s">
        <v>953</v>
      </c>
      <c r="K6" s="631" t="s">
        <v>954</v>
      </c>
      <c r="L6" s="631" t="s">
        <v>955</v>
      </c>
    </row>
    <row r="7" spans="1:12" ht="15.75" x14ac:dyDescent="0.25">
      <c r="A7" s="636"/>
      <c r="B7" s="637"/>
      <c r="C7" s="638"/>
      <c r="D7" s="639"/>
      <c r="E7" s="640"/>
      <c r="F7" s="641"/>
      <c r="G7" s="636"/>
      <c r="H7" s="642"/>
      <c r="I7" s="643"/>
      <c r="J7" s="644"/>
      <c r="K7" s="645"/>
      <c r="L7" s="646"/>
    </row>
    <row r="8" spans="1:12" ht="15.75" x14ac:dyDescent="0.25">
      <c r="A8" s="647"/>
      <c r="B8" s="648" t="s">
        <v>459</v>
      </c>
      <c r="C8" s="649">
        <v>1</v>
      </c>
      <c r="D8" s="650" t="s">
        <v>956</v>
      </c>
      <c r="E8" s="651"/>
      <c r="F8" s="652"/>
      <c r="G8" s="647"/>
      <c r="H8" s="648" t="s">
        <v>459</v>
      </c>
      <c r="I8" s="649">
        <v>39</v>
      </c>
      <c r="J8" s="650" t="s">
        <v>957</v>
      </c>
      <c r="K8" s="651"/>
      <c r="L8" s="653"/>
    </row>
    <row r="9" spans="1:12" ht="15.75" x14ac:dyDescent="0.25">
      <c r="A9" s="647" t="s">
        <v>958</v>
      </c>
      <c r="B9" s="654"/>
      <c r="C9" s="649"/>
      <c r="D9" s="655" t="s">
        <v>959</v>
      </c>
      <c r="E9" s="651"/>
      <c r="F9" s="656">
        <v>0.1736111111111111</v>
      </c>
      <c r="G9" s="647"/>
      <c r="H9" s="648"/>
      <c r="I9" s="649"/>
      <c r="J9" s="655" t="s">
        <v>960</v>
      </c>
      <c r="K9" s="651"/>
      <c r="L9" s="656">
        <v>0.77083333333333337</v>
      </c>
    </row>
    <row r="10" spans="1:12" ht="15.75" x14ac:dyDescent="0.25">
      <c r="A10" s="647" t="s">
        <v>961</v>
      </c>
      <c r="B10" s="654"/>
      <c r="C10" s="649"/>
      <c r="D10" s="650" t="s">
        <v>163</v>
      </c>
      <c r="E10" s="651"/>
      <c r="F10" s="653">
        <v>0.2013888888888889</v>
      </c>
      <c r="G10" s="647" t="s">
        <v>961</v>
      </c>
      <c r="H10" s="654"/>
      <c r="I10" s="649"/>
      <c r="J10" s="650" t="s">
        <v>163</v>
      </c>
      <c r="K10" s="657"/>
      <c r="L10" s="653">
        <v>0.82291666666666663</v>
      </c>
    </row>
    <row r="11" spans="1:12" ht="15.75" x14ac:dyDescent="0.25">
      <c r="A11" s="647"/>
      <c r="B11" s="648"/>
      <c r="C11" s="649"/>
      <c r="D11" s="655" t="s">
        <v>164</v>
      </c>
      <c r="E11" s="651"/>
      <c r="F11" s="656">
        <v>0.22916666666666666</v>
      </c>
      <c r="G11" s="647"/>
      <c r="H11" s="648"/>
      <c r="I11" s="649"/>
      <c r="J11" s="655" t="s">
        <v>164</v>
      </c>
      <c r="K11" s="651"/>
      <c r="L11" s="656">
        <v>0.84722222222222221</v>
      </c>
    </row>
    <row r="12" spans="1:12" ht="15.75" x14ac:dyDescent="0.25">
      <c r="A12" s="647"/>
      <c r="B12" s="648"/>
      <c r="C12" s="649"/>
      <c r="D12" s="655" t="s">
        <v>166</v>
      </c>
      <c r="E12" s="651"/>
      <c r="F12" s="656">
        <v>0.24652777777777779</v>
      </c>
      <c r="G12" s="647"/>
      <c r="H12" s="648"/>
      <c r="I12" s="649"/>
      <c r="J12" s="655" t="s">
        <v>166</v>
      </c>
      <c r="K12" s="651"/>
      <c r="L12" s="656">
        <v>0.85763888888888884</v>
      </c>
    </row>
    <row r="13" spans="1:12" ht="15.75" x14ac:dyDescent="0.25">
      <c r="A13" s="647" t="s">
        <v>961</v>
      </c>
      <c r="B13" s="648"/>
      <c r="C13" s="649"/>
      <c r="D13" s="650" t="s">
        <v>160</v>
      </c>
      <c r="E13" s="651"/>
      <c r="F13" s="653">
        <v>0.30208333333333331</v>
      </c>
      <c r="G13" s="647" t="s">
        <v>958</v>
      </c>
      <c r="H13" s="648"/>
      <c r="I13" s="649"/>
      <c r="J13" s="650" t="s">
        <v>160</v>
      </c>
      <c r="K13" s="657">
        <v>0.89861111111111114</v>
      </c>
      <c r="L13" s="653"/>
    </row>
    <row r="14" spans="1:12" ht="15.75" x14ac:dyDescent="0.25">
      <c r="A14" s="647"/>
      <c r="B14" s="648"/>
      <c r="C14" s="649"/>
      <c r="D14" s="655" t="s">
        <v>962</v>
      </c>
      <c r="E14" s="651"/>
      <c r="F14" s="656">
        <v>0.3125</v>
      </c>
      <c r="G14" s="647"/>
      <c r="H14" s="648"/>
      <c r="I14" s="649"/>
      <c r="J14" s="650" t="s">
        <v>963</v>
      </c>
      <c r="K14" s="657">
        <v>0.93055555555555558</v>
      </c>
      <c r="L14" s="656"/>
    </row>
    <row r="15" spans="1:12" ht="15.75" x14ac:dyDescent="0.25">
      <c r="A15" s="647"/>
      <c r="B15" s="648"/>
      <c r="C15" s="649"/>
      <c r="D15" s="655" t="s">
        <v>960</v>
      </c>
      <c r="E15" s="657">
        <v>0.34722222222222221</v>
      </c>
      <c r="F15" s="656"/>
      <c r="G15" s="647"/>
      <c r="H15" s="648" t="s">
        <v>462</v>
      </c>
      <c r="I15" s="649" t="s">
        <v>459</v>
      </c>
      <c r="J15" s="650"/>
      <c r="K15" s="657"/>
      <c r="L15" s="653"/>
    </row>
    <row r="16" spans="1:12" ht="15.75" x14ac:dyDescent="0.25">
      <c r="A16" s="647"/>
      <c r="B16" s="648" t="s">
        <v>459</v>
      </c>
      <c r="C16" s="649">
        <v>1</v>
      </c>
      <c r="D16" s="650" t="s">
        <v>964</v>
      </c>
      <c r="E16" s="651"/>
      <c r="F16" s="653"/>
      <c r="G16" s="647"/>
      <c r="H16" s="648"/>
      <c r="I16" s="649"/>
      <c r="J16" s="650"/>
      <c r="K16" s="657"/>
      <c r="L16" s="653"/>
    </row>
    <row r="17" spans="1:12" ht="15.75" x14ac:dyDescent="0.25">
      <c r="A17" s="647"/>
      <c r="B17" s="648"/>
      <c r="C17" s="649"/>
      <c r="D17" s="655"/>
      <c r="E17" s="651"/>
      <c r="F17" s="656"/>
      <c r="G17" s="647"/>
      <c r="H17" s="648"/>
      <c r="I17" s="649"/>
      <c r="J17" s="650"/>
      <c r="K17" s="657"/>
      <c r="L17" s="653"/>
    </row>
    <row r="18" spans="1:12" ht="15.75" x14ac:dyDescent="0.25">
      <c r="A18" s="647"/>
      <c r="B18" s="648" t="s">
        <v>459</v>
      </c>
      <c r="C18" s="649">
        <v>215</v>
      </c>
      <c r="D18" s="650" t="s">
        <v>965</v>
      </c>
      <c r="E18" s="651"/>
      <c r="F18" s="653"/>
      <c r="G18" s="647"/>
      <c r="H18" s="648"/>
      <c r="I18" s="649"/>
      <c r="J18" s="650"/>
      <c r="K18" s="657"/>
      <c r="L18" s="653"/>
    </row>
    <row r="19" spans="1:12" ht="15.75" x14ac:dyDescent="0.25">
      <c r="A19" s="647"/>
      <c r="B19" s="648"/>
      <c r="C19" s="649"/>
      <c r="D19" s="655" t="s">
        <v>960</v>
      </c>
      <c r="E19" s="651"/>
      <c r="F19" s="656">
        <v>0.34722222222222221</v>
      </c>
      <c r="G19" s="647"/>
      <c r="H19" s="648"/>
      <c r="I19" s="649"/>
      <c r="J19" s="650"/>
      <c r="K19" s="657"/>
      <c r="L19" s="652"/>
    </row>
    <row r="20" spans="1:12" ht="15.75" x14ac:dyDescent="0.25">
      <c r="A20" s="647" t="s">
        <v>958</v>
      </c>
      <c r="B20" s="654"/>
      <c r="C20" s="649"/>
      <c r="D20" s="650" t="s">
        <v>163</v>
      </c>
      <c r="E20" s="657">
        <v>0.40625</v>
      </c>
      <c r="F20" s="653"/>
      <c r="G20" s="647"/>
      <c r="H20" s="648"/>
      <c r="I20" s="649"/>
      <c r="J20" s="650"/>
      <c r="K20" s="651"/>
      <c r="L20" s="652"/>
    </row>
    <row r="21" spans="1:12" ht="15.75" x14ac:dyDescent="0.25">
      <c r="A21" s="647"/>
      <c r="B21" s="648"/>
      <c r="C21" s="649"/>
      <c r="D21" s="650" t="s">
        <v>963</v>
      </c>
      <c r="E21" s="657">
        <v>0.43055555555555558</v>
      </c>
      <c r="F21" s="656"/>
      <c r="G21" s="647"/>
      <c r="H21" s="648"/>
      <c r="I21" s="649"/>
      <c r="J21" s="650"/>
      <c r="K21" s="651"/>
      <c r="L21" s="652"/>
    </row>
    <row r="22" spans="1:12" ht="15.75" x14ac:dyDescent="0.25">
      <c r="A22" s="647"/>
      <c r="B22" s="648" t="s">
        <v>459</v>
      </c>
      <c r="C22" s="649">
        <v>215</v>
      </c>
      <c r="D22" s="650" t="s">
        <v>966</v>
      </c>
      <c r="E22" s="657"/>
      <c r="F22" s="653"/>
      <c r="G22" s="647"/>
      <c r="H22" s="648"/>
      <c r="I22" s="649"/>
      <c r="J22" s="650"/>
      <c r="K22" s="651"/>
      <c r="L22" s="652"/>
    </row>
    <row r="23" spans="1:12" ht="15.75" x14ac:dyDescent="0.25">
      <c r="A23" s="647"/>
      <c r="B23" s="648"/>
      <c r="C23" s="649"/>
      <c r="D23" s="650"/>
      <c r="E23" s="657"/>
      <c r="F23" s="653"/>
      <c r="G23" s="647"/>
      <c r="H23" s="648"/>
      <c r="I23" s="649"/>
      <c r="J23" s="650"/>
      <c r="K23" s="651"/>
      <c r="L23" s="652"/>
    </row>
    <row r="24" spans="1:12" ht="15.75" x14ac:dyDescent="0.25">
      <c r="A24" s="647"/>
      <c r="B24" s="648" t="s">
        <v>459</v>
      </c>
      <c r="C24" s="649">
        <v>208</v>
      </c>
      <c r="D24" s="650" t="s">
        <v>967</v>
      </c>
      <c r="E24" s="651"/>
      <c r="F24" s="652"/>
      <c r="G24" s="647"/>
      <c r="H24" s="648"/>
      <c r="I24" s="649"/>
      <c r="J24" s="650"/>
      <c r="K24" s="651"/>
      <c r="L24" s="652"/>
    </row>
    <row r="25" spans="1:12" ht="15.75" x14ac:dyDescent="0.25">
      <c r="A25" s="647" t="s">
        <v>958</v>
      </c>
      <c r="B25" s="654"/>
      <c r="C25" s="649"/>
      <c r="D25" s="655" t="s">
        <v>959</v>
      </c>
      <c r="E25" s="651"/>
      <c r="F25" s="656">
        <v>0.59583333333333333</v>
      </c>
      <c r="G25" s="647"/>
      <c r="H25" s="648"/>
      <c r="I25" s="649"/>
      <c r="J25" s="650"/>
      <c r="K25" s="651"/>
      <c r="L25" s="652"/>
    </row>
    <row r="26" spans="1:12" ht="15.75" x14ac:dyDescent="0.25">
      <c r="A26" s="647" t="s">
        <v>961</v>
      </c>
      <c r="B26" s="654"/>
      <c r="C26" s="649"/>
      <c r="D26" s="650" t="s">
        <v>163</v>
      </c>
      <c r="E26" s="651"/>
      <c r="F26" s="653">
        <v>0.62708333333333333</v>
      </c>
      <c r="G26" s="647"/>
      <c r="H26" s="648"/>
      <c r="I26" s="649"/>
      <c r="J26" s="650"/>
      <c r="K26" s="651"/>
      <c r="L26" s="652"/>
    </row>
    <row r="27" spans="1:12" ht="15.75" x14ac:dyDescent="0.25">
      <c r="A27" s="647"/>
      <c r="B27" s="648"/>
      <c r="C27" s="649"/>
      <c r="D27" s="655" t="s">
        <v>164</v>
      </c>
      <c r="E27" s="651"/>
      <c r="F27" s="656">
        <v>0.66180555555555554</v>
      </c>
      <c r="G27" s="647"/>
      <c r="H27" s="648"/>
      <c r="I27" s="649"/>
      <c r="J27" s="650"/>
      <c r="K27" s="651"/>
      <c r="L27" s="658"/>
    </row>
    <row r="28" spans="1:12" ht="15.75" x14ac:dyDescent="0.25">
      <c r="A28" s="647"/>
      <c r="B28" s="648"/>
      <c r="C28" s="649"/>
      <c r="D28" s="655" t="s">
        <v>166</v>
      </c>
      <c r="E28" s="651"/>
      <c r="F28" s="656">
        <v>0.67569444444444449</v>
      </c>
      <c r="G28" s="647"/>
      <c r="H28" s="648"/>
      <c r="I28" s="649"/>
      <c r="J28" s="655"/>
      <c r="K28" s="651"/>
      <c r="L28" s="658"/>
    </row>
    <row r="29" spans="1:12" ht="15.75" x14ac:dyDescent="0.25">
      <c r="A29" s="647" t="s">
        <v>961</v>
      </c>
      <c r="B29" s="648"/>
      <c r="C29" s="649"/>
      <c r="D29" s="650" t="s">
        <v>160</v>
      </c>
      <c r="E29" s="651"/>
      <c r="F29" s="653">
        <v>0.73263888888888884</v>
      </c>
      <c r="G29" s="647"/>
      <c r="H29" s="648"/>
      <c r="I29" s="649"/>
      <c r="J29" s="650"/>
      <c r="K29" s="651"/>
      <c r="L29" s="658"/>
    </row>
    <row r="30" spans="1:12" ht="15.75" x14ac:dyDescent="0.25">
      <c r="A30" s="647"/>
      <c r="B30" s="648"/>
      <c r="C30" s="649"/>
      <c r="D30" s="655" t="s">
        <v>962</v>
      </c>
      <c r="E30" s="651"/>
      <c r="F30" s="656">
        <v>0.73958333333333337</v>
      </c>
      <c r="G30" s="647"/>
      <c r="H30" s="648"/>
      <c r="I30" s="649"/>
      <c r="J30" s="650"/>
      <c r="K30" s="651"/>
      <c r="L30" s="652"/>
    </row>
    <row r="31" spans="1:12" ht="15.75" x14ac:dyDescent="0.25">
      <c r="A31" s="647"/>
      <c r="B31" s="648"/>
      <c r="C31" s="649"/>
      <c r="D31" s="655" t="s">
        <v>960</v>
      </c>
      <c r="E31" s="657">
        <v>0.77083333333333337</v>
      </c>
      <c r="F31" s="656"/>
      <c r="G31" s="647"/>
      <c r="H31" s="648"/>
      <c r="I31" s="649"/>
      <c r="J31" s="650"/>
      <c r="K31" s="651"/>
      <c r="L31" s="652"/>
    </row>
    <row r="32" spans="1:12" ht="15.75" x14ac:dyDescent="0.25">
      <c r="A32" s="647"/>
      <c r="B32" s="648" t="s">
        <v>462</v>
      </c>
      <c r="C32" s="649" t="s">
        <v>459</v>
      </c>
      <c r="D32" s="650"/>
      <c r="E32" s="651"/>
      <c r="F32" s="653"/>
      <c r="G32" s="647"/>
      <c r="H32" s="648"/>
      <c r="I32" s="649"/>
      <c r="J32" s="650"/>
      <c r="K32" s="651"/>
      <c r="L32" s="652"/>
    </row>
    <row r="33" spans="1:12" ht="15.75" x14ac:dyDescent="0.25">
      <c r="A33" s="647"/>
      <c r="B33" s="648"/>
      <c r="C33" s="649"/>
      <c r="D33" s="655"/>
      <c r="E33" s="651"/>
      <c r="F33" s="656"/>
      <c r="G33" s="647"/>
      <c r="H33" s="648"/>
      <c r="I33" s="649"/>
      <c r="J33" s="650"/>
      <c r="K33" s="651"/>
      <c r="L33" s="652"/>
    </row>
    <row r="34" spans="1:12" ht="15.75" x14ac:dyDescent="0.25">
      <c r="A34" s="647"/>
      <c r="B34" s="648"/>
      <c r="C34" s="649"/>
      <c r="D34" s="650"/>
      <c r="E34" s="651"/>
      <c r="F34" s="653"/>
      <c r="G34" s="647"/>
      <c r="H34" s="648"/>
      <c r="I34" s="649"/>
      <c r="J34" s="650"/>
      <c r="K34" s="651"/>
      <c r="L34" s="652"/>
    </row>
    <row r="35" spans="1:12" ht="15.75" x14ac:dyDescent="0.25">
      <c r="A35" s="647"/>
      <c r="B35" s="648"/>
      <c r="C35" s="649"/>
      <c r="D35" s="655"/>
      <c r="E35" s="651"/>
      <c r="F35" s="656"/>
      <c r="G35" s="647"/>
      <c r="H35" s="648"/>
      <c r="I35" s="649"/>
      <c r="J35" s="650"/>
      <c r="K35" s="651"/>
      <c r="L35" s="652"/>
    </row>
    <row r="36" spans="1:12" ht="15.75" x14ac:dyDescent="0.25">
      <c r="A36" s="647"/>
      <c r="B36" s="654"/>
      <c r="C36" s="649"/>
      <c r="D36" s="650"/>
      <c r="E36" s="657"/>
      <c r="F36" s="653"/>
      <c r="G36" s="647"/>
      <c r="H36" s="648"/>
      <c r="I36" s="649"/>
      <c r="J36" s="650"/>
      <c r="K36" s="651"/>
      <c r="L36" s="652"/>
    </row>
    <row r="37" spans="1:12" ht="15.75" x14ac:dyDescent="0.25">
      <c r="A37" s="647"/>
      <c r="B37" s="648"/>
      <c r="C37" s="649"/>
      <c r="D37" s="650"/>
      <c r="E37" s="657"/>
      <c r="F37" s="656"/>
      <c r="G37" s="647"/>
      <c r="H37" s="648"/>
      <c r="I37" s="649"/>
      <c r="J37" s="650"/>
      <c r="K37" s="651"/>
      <c r="L37" s="658"/>
    </row>
    <row r="38" spans="1:12" ht="15.75" x14ac:dyDescent="0.25">
      <c r="A38" s="647"/>
      <c r="B38" s="648"/>
      <c r="C38" s="649"/>
      <c r="D38" s="650"/>
      <c r="E38" s="657"/>
      <c r="F38" s="653"/>
      <c r="G38" s="647"/>
      <c r="H38" s="648"/>
      <c r="I38" s="649"/>
      <c r="J38" s="655"/>
      <c r="K38" s="651"/>
      <c r="L38" s="658"/>
    </row>
    <row r="39" spans="1:12" ht="15.75" x14ac:dyDescent="0.25">
      <c r="A39" s="647"/>
      <c r="B39" s="648"/>
      <c r="C39" s="649"/>
      <c r="D39" s="650"/>
      <c r="E39" s="651"/>
      <c r="F39" s="652"/>
      <c r="G39" s="647"/>
      <c r="H39" s="648"/>
      <c r="I39" s="649"/>
      <c r="J39" s="650"/>
      <c r="K39" s="651"/>
      <c r="L39" s="658"/>
    </row>
    <row r="40" spans="1:12" ht="16.5" thickBot="1" x14ac:dyDescent="0.3">
      <c r="A40" s="659"/>
      <c r="B40" s="660"/>
      <c r="C40" s="661"/>
      <c r="D40" s="662"/>
      <c r="E40" s="663"/>
      <c r="F40" s="664"/>
      <c r="G40" s="665"/>
      <c r="H40" s="666"/>
      <c r="I40" s="667"/>
      <c r="J40" s="668"/>
      <c r="K40" s="663"/>
      <c r="L40" s="669"/>
    </row>
    <row r="41" spans="1:12" ht="21" x14ac:dyDescent="0.35">
      <c r="A41" s="769" t="s">
        <v>945</v>
      </c>
      <c r="B41" s="770"/>
      <c r="C41" s="770"/>
      <c r="D41" s="770"/>
      <c r="E41" s="770"/>
      <c r="F41" s="770"/>
      <c r="G41" s="770"/>
      <c r="H41" s="770"/>
      <c r="I41" s="770"/>
      <c r="J41" s="770"/>
      <c r="K41" s="770"/>
      <c r="L41" s="771"/>
    </row>
    <row r="42" spans="1:12" ht="18.75" x14ac:dyDescent="0.3">
      <c r="A42" s="772" t="s">
        <v>946</v>
      </c>
      <c r="B42" s="773"/>
      <c r="C42" s="773"/>
      <c r="D42" s="773"/>
      <c r="E42" s="773"/>
      <c r="F42" s="773"/>
      <c r="G42" s="773"/>
      <c r="H42" s="773"/>
      <c r="I42" s="773"/>
      <c r="J42" s="773"/>
      <c r="K42" s="773"/>
      <c r="L42" s="774"/>
    </row>
    <row r="43" spans="1:12" ht="24" x14ac:dyDescent="0.4">
      <c r="A43" s="775" t="s">
        <v>947</v>
      </c>
      <c r="B43" s="776"/>
      <c r="C43" s="776"/>
      <c r="D43" s="776"/>
      <c r="E43" s="776"/>
      <c r="F43" s="776"/>
      <c r="G43" s="776"/>
      <c r="H43" s="776"/>
      <c r="I43" s="776"/>
      <c r="J43" s="776"/>
      <c r="K43" s="776"/>
      <c r="L43" s="777"/>
    </row>
    <row r="44" spans="1:12" ht="24" x14ac:dyDescent="0.4">
      <c r="A44" s="670" t="s">
        <v>948</v>
      </c>
      <c r="B44" s="671"/>
      <c r="C44" s="671"/>
      <c r="D44" s="672" t="s">
        <v>949</v>
      </c>
      <c r="E44" s="778" t="s">
        <v>950</v>
      </c>
      <c r="F44" s="778"/>
      <c r="G44" s="778"/>
      <c r="H44" s="778"/>
      <c r="I44" s="778"/>
      <c r="J44" s="673" t="s">
        <v>968</v>
      </c>
      <c r="K44" s="778"/>
      <c r="L44" s="779"/>
    </row>
    <row r="45" spans="1:12" ht="15.75" thickBot="1" x14ac:dyDescent="0.3">
      <c r="A45" s="674"/>
      <c r="B45" s="675"/>
      <c r="C45" s="675"/>
      <c r="D45" s="676"/>
      <c r="E45" s="675"/>
      <c r="F45" s="675"/>
      <c r="G45" s="675"/>
      <c r="H45" s="675"/>
      <c r="I45" s="780"/>
      <c r="J45" s="780"/>
      <c r="K45" s="675"/>
      <c r="L45" s="677"/>
    </row>
    <row r="46" spans="1:12" ht="16.5" thickBot="1" x14ac:dyDescent="0.3">
      <c r="A46" s="631" t="s">
        <v>952</v>
      </c>
      <c r="B46" s="632"/>
      <c r="C46" s="633"/>
      <c r="D46" s="634" t="s">
        <v>953</v>
      </c>
      <c r="E46" s="631" t="s">
        <v>954</v>
      </c>
      <c r="F46" s="635" t="s">
        <v>955</v>
      </c>
      <c r="G46" s="631" t="s">
        <v>952</v>
      </c>
      <c r="H46" s="632"/>
      <c r="I46" s="633"/>
      <c r="J46" s="634" t="s">
        <v>953</v>
      </c>
      <c r="K46" s="631" t="s">
        <v>954</v>
      </c>
      <c r="L46" s="631" t="s">
        <v>955</v>
      </c>
    </row>
    <row r="47" spans="1:12" ht="15.75" x14ac:dyDescent="0.25">
      <c r="A47" s="636"/>
      <c r="B47" s="637"/>
      <c r="C47" s="638"/>
      <c r="D47" s="639"/>
      <c r="E47" s="640"/>
      <c r="F47" s="641"/>
      <c r="G47" s="636"/>
      <c r="H47" s="642"/>
      <c r="I47" s="643"/>
      <c r="J47" s="644"/>
      <c r="K47" s="645"/>
      <c r="L47" s="646"/>
    </row>
    <row r="48" spans="1:12" ht="15.75" x14ac:dyDescent="0.25">
      <c r="A48" s="647"/>
      <c r="B48" s="648" t="s">
        <v>459</v>
      </c>
      <c r="C48" s="649">
        <v>2</v>
      </c>
      <c r="D48" s="650" t="s">
        <v>969</v>
      </c>
      <c r="E48" s="651"/>
      <c r="F48" s="652"/>
      <c r="G48" s="647"/>
      <c r="H48" s="648" t="s">
        <v>459</v>
      </c>
      <c r="I48" s="649">
        <v>44</v>
      </c>
      <c r="J48" s="650" t="s">
        <v>970</v>
      </c>
      <c r="K48" s="651"/>
      <c r="L48" s="653"/>
    </row>
    <row r="49" spans="1:12" ht="15.75" x14ac:dyDescent="0.25">
      <c r="A49" s="647" t="s">
        <v>958</v>
      </c>
      <c r="B49" s="654"/>
      <c r="C49" s="649"/>
      <c r="D49" s="655" t="s">
        <v>959</v>
      </c>
      <c r="E49" s="651"/>
      <c r="F49" s="656">
        <v>0.1875</v>
      </c>
      <c r="G49" s="647"/>
      <c r="H49" s="648"/>
      <c r="I49" s="649"/>
      <c r="J49" s="655" t="s">
        <v>166</v>
      </c>
      <c r="K49" s="651"/>
      <c r="L49" s="656">
        <v>0.76944444444444449</v>
      </c>
    </row>
    <row r="50" spans="1:12" ht="15.75" x14ac:dyDescent="0.25">
      <c r="A50" s="647" t="s">
        <v>961</v>
      </c>
      <c r="B50" s="648"/>
      <c r="C50" s="649"/>
      <c r="D50" s="650" t="s">
        <v>160</v>
      </c>
      <c r="E50" s="651"/>
      <c r="F50" s="653">
        <v>0.22222222222222221</v>
      </c>
      <c r="G50" s="647" t="s">
        <v>961</v>
      </c>
      <c r="H50" s="648"/>
      <c r="I50" s="649"/>
      <c r="J50" s="650" t="s">
        <v>160</v>
      </c>
      <c r="K50" s="651"/>
      <c r="L50" s="653">
        <v>0.8125</v>
      </c>
    </row>
    <row r="51" spans="1:12" ht="15.75" x14ac:dyDescent="0.25">
      <c r="A51" s="647"/>
      <c r="B51" s="648"/>
      <c r="C51" s="649"/>
      <c r="D51" s="655" t="s">
        <v>962</v>
      </c>
      <c r="E51" s="651"/>
      <c r="F51" s="656">
        <v>0.22916666666666666</v>
      </c>
      <c r="G51" s="647"/>
      <c r="H51" s="648"/>
      <c r="I51" s="649"/>
      <c r="J51" s="655" t="s">
        <v>962</v>
      </c>
      <c r="K51" s="651"/>
      <c r="L51" s="656">
        <v>0.81944444444444442</v>
      </c>
    </row>
    <row r="52" spans="1:12" ht="15.75" x14ac:dyDescent="0.25">
      <c r="A52" s="647"/>
      <c r="B52" s="648"/>
      <c r="C52" s="649"/>
      <c r="D52" s="655" t="s">
        <v>960</v>
      </c>
      <c r="E52" s="651"/>
      <c r="F52" s="656">
        <v>0.26041666666666669</v>
      </c>
      <c r="G52" s="647"/>
      <c r="H52" s="648"/>
      <c r="I52" s="649"/>
      <c r="J52" s="655" t="s">
        <v>960</v>
      </c>
      <c r="K52" s="651"/>
      <c r="L52" s="656">
        <v>0.84722222222222221</v>
      </c>
    </row>
    <row r="53" spans="1:12" ht="15.75" x14ac:dyDescent="0.25">
      <c r="A53" s="647" t="s">
        <v>961</v>
      </c>
      <c r="B53" s="654"/>
      <c r="C53" s="649"/>
      <c r="D53" s="650" t="s">
        <v>163</v>
      </c>
      <c r="E53" s="657"/>
      <c r="F53" s="653">
        <v>0.3263888888888889</v>
      </c>
      <c r="G53" s="647" t="s">
        <v>961</v>
      </c>
      <c r="H53" s="654"/>
      <c r="I53" s="649"/>
      <c r="J53" s="650" t="s">
        <v>163</v>
      </c>
      <c r="K53" s="657"/>
      <c r="L53" s="653">
        <v>0.89583333333333259</v>
      </c>
    </row>
    <row r="54" spans="1:12" ht="15.75" x14ac:dyDescent="0.25">
      <c r="A54" s="647"/>
      <c r="B54" s="648"/>
      <c r="C54" s="649"/>
      <c r="D54" s="655" t="s">
        <v>164</v>
      </c>
      <c r="E54" s="651"/>
      <c r="F54" s="656">
        <v>0.35416666666666669</v>
      </c>
      <c r="G54" s="647"/>
      <c r="H54" s="648"/>
      <c r="I54" s="649"/>
      <c r="J54" s="655" t="s">
        <v>164</v>
      </c>
      <c r="K54" s="651"/>
      <c r="L54" s="656">
        <v>0.91666666666666596</v>
      </c>
    </row>
    <row r="55" spans="1:12" ht="15.75" x14ac:dyDescent="0.25">
      <c r="A55" s="647"/>
      <c r="B55" s="648"/>
      <c r="C55" s="649"/>
      <c r="D55" s="655" t="s">
        <v>166</v>
      </c>
      <c r="E55" s="657">
        <v>0.375</v>
      </c>
      <c r="F55" s="656"/>
      <c r="G55" s="647"/>
      <c r="H55" s="648"/>
      <c r="I55" s="649"/>
      <c r="J55" s="655" t="s">
        <v>166</v>
      </c>
      <c r="K55" s="657">
        <v>0.92708333333333337</v>
      </c>
      <c r="L55" s="656"/>
    </row>
    <row r="56" spans="1:12" ht="15.75" x14ac:dyDescent="0.25">
      <c r="A56" s="647"/>
      <c r="B56" s="648" t="s">
        <v>459</v>
      </c>
      <c r="C56" s="649">
        <v>2</v>
      </c>
      <c r="D56" s="650" t="s">
        <v>971</v>
      </c>
      <c r="E56" s="651"/>
      <c r="F56" s="653"/>
      <c r="G56" s="647"/>
      <c r="H56" s="648" t="s">
        <v>462</v>
      </c>
      <c r="I56" s="649" t="s">
        <v>459</v>
      </c>
      <c r="J56" s="650"/>
      <c r="K56" s="651"/>
      <c r="L56" s="653"/>
    </row>
    <row r="57" spans="1:12" ht="15.75" x14ac:dyDescent="0.25">
      <c r="A57" s="647"/>
      <c r="B57" s="648"/>
      <c r="C57" s="649"/>
      <c r="D57" s="655"/>
      <c r="E57" s="651"/>
      <c r="F57" s="656"/>
      <c r="G57" s="647"/>
      <c r="H57" s="648"/>
      <c r="I57" s="649"/>
      <c r="J57" s="650"/>
      <c r="K57" s="657"/>
      <c r="L57" s="653"/>
    </row>
    <row r="58" spans="1:12" ht="15.75" x14ac:dyDescent="0.25">
      <c r="A58" s="647"/>
      <c r="B58" s="648" t="s">
        <v>459</v>
      </c>
      <c r="C58" s="649">
        <v>218</v>
      </c>
      <c r="D58" s="650" t="s">
        <v>972</v>
      </c>
      <c r="E58" s="651"/>
      <c r="F58" s="653"/>
      <c r="G58" s="647"/>
      <c r="H58" s="648" t="s">
        <v>459</v>
      </c>
      <c r="I58" s="649">
        <v>54</v>
      </c>
      <c r="J58" s="650" t="s">
        <v>973</v>
      </c>
      <c r="K58" s="651"/>
      <c r="L58" s="653"/>
    </row>
    <row r="59" spans="1:12" ht="15.75" x14ac:dyDescent="0.25">
      <c r="A59" s="647"/>
      <c r="B59" s="648"/>
      <c r="C59" s="649"/>
      <c r="D59" s="655" t="s">
        <v>166</v>
      </c>
      <c r="E59" s="651"/>
      <c r="F59" s="656">
        <v>0.375</v>
      </c>
      <c r="G59" s="647"/>
      <c r="H59" s="648"/>
      <c r="I59" s="649"/>
      <c r="J59" s="655" t="s">
        <v>166</v>
      </c>
      <c r="K59" s="651"/>
      <c r="L59" s="656">
        <v>0.92708333333333337</v>
      </c>
    </row>
    <row r="60" spans="1:12" ht="15.75" x14ac:dyDescent="0.25">
      <c r="A60" s="647" t="s">
        <v>961</v>
      </c>
      <c r="B60" s="648"/>
      <c r="C60" s="649"/>
      <c r="D60" s="650" t="s">
        <v>160</v>
      </c>
      <c r="E60" s="651"/>
      <c r="F60" s="653">
        <v>0.42708333333333331</v>
      </c>
      <c r="G60" s="647" t="s">
        <v>958</v>
      </c>
      <c r="H60" s="648"/>
      <c r="I60" s="649"/>
      <c r="J60" s="650" t="s">
        <v>160</v>
      </c>
      <c r="K60" s="657">
        <v>0.96319444444444446</v>
      </c>
      <c r="L60" s="653"/>
    </row>
    <row r="61" spans="1:12" ht="15.75" x14ac:dyDescent="0.25">
      <c r="A61" s="647"/>
      <c r="B61" s="648"/>
      <c r="C61" s="649"/>
      <c r="D61" s="655" t="s">
        <v>962</v>
      </c>
      <c r="E61" s="651"/>
      <c r="F61" s="656">
        <v>0.4375</v>
      </c>
      <c r="G61" s="647"/>
      <c r="H61" s="648"/>
      <c r="I61" s="649"/>
      <c r="J61" s="650" t="s">
        <v>963</v>
      </c>
      <c r="K61" s="657">
        <v>0.99375000000000002</v>
      </c>
      <c r="L61" s="652"/>
    </row>
    <row r="62" spans="1:12" ht="15.75" x14ac:dyDescent="0.25">
      <c r="A62" s="647"/>
      <c r="B62" s="648"/>
      <c r="C62" s="649"/>
      <c r="D62" s="655" t="s">
        <v>960</v>
      </c>
      <c r="E62" s="651"/>
      <c r="F62" s="656">
        <v>0.46875</v>
      </c>
      <c r="G62" s="647"/>
      <c r="H62" s="648" t="s">
        <v>462</v>
      </c>
      <c r="I62" s="649" t="s">
        <v>459</v>
      </c>
      <c r="J62" s="650"/>
      <c r="K62" s="657"/>
      <c r="L62" s="652"/>
    </row>
    <row r="63" spans="1:12" ht="15.75" x14ac:dyDescent="0.25">
      <c r="A63" s="647" t="s">
        <v>961</v>
      </c>
      <c r="B63" s="654"/>
      <c r="C63" s="649"/>
      <c r="D63" s="650" t="s">
        <v>163</v>
      </c>
      <c r="E63" s="657"/>
      <c r="F63" s="653">
        <v>0.52083333333333304</v>
      </c>
      <c r="G63" s="647"/>
      <c r="H63" s="648"/>
      <c r="I63" s="649"/>
      <c r="J63" s="650"/>
      <c r="K63" s="657"/>
      <c r="L63" s="652"/>
    </row>
    <row r="64" spans="1:12" ht="15.75" x14ac:dyDescent="0.25">
      <c r="A64" s="647"/>
      <c r="B64" s="648"/>
      <c r="C64" s="649"/>
      <c r="D64" s="655" t="s">
        <v>164</v>
      </c>
      <c r="E64" s="651"/>
      <c r="F64" s="656">
        <v>0.55208333333333304</v>
      </c>
      <c r="G64" s="647"/>
      <c r="H64" s="648"/>
      <c r="I64" s="649"/>
      <c r="J64" s="650"/>
      <c r="K64" s="657"/>
      <c r="L64" s="652"/>
    </row>
    <row r="65" spans="1:12" ht="15.75" x14ac:dyDescent="0.25">
      <c r="A65" s="647"/>
      <c r="B65" s="648"/>
      <c r="C65" s="649"/>
      <c r="D65" s="655" t="s">
        <v>166</v>
      </c>
      <c r="E65" s="657">
        <v>0.56597222222222221</v>
      </c>
      <c r="F65" s="656"/>
      <c r="G65" s="647"/>
      <c r="H65" s="648"/>
      <c r="I65" s="649"/>
      <c r="J65" s="650"/>
      <c r="K65" s="657"/>
      <c r="L65" s="652"/>
    </row>
    <row r="66" spans="1:12" ht="15.75" x14ac:dyDescent="0.25">
      <c r="A66" s="647"/>
      <c r="B66" s="648" t="s">
        <v>459</v>
      </c>
      <c r="C66" s="649">
        <v>218</v>
      </c>
      <c r="D66" s="650" t="s">
        <v>974</v>
      </c>
      <c r="E66" s="651"/>
      <c r="F66" s="653"/>
      <c r="G66" s="647"/>
      <c r="H66" s="648"/>
      <c r="I66" s="649"/>
      <c r="J66" s="650"/>
      <c r="K66" s="657"/>
      <c r="L66" s="652"/>
    </row>
    <row r="67" spans="1:12" ht="15.75" x14ac:dyDescent="0.25">
      <c r="A67" s="647"/>
      <c r="B67" s="648"/>
      <c r="C67" s="649"/>
      <c r="D67" s="655"/>
      <c r="E67" s="651"/>
      <c r="F67" s="656"/>
      <c r="G67" s="647"/>
      <c r="H67" s="648"/>
      <c r="I67" s="649"/>
      <c r="J67" s="650"/>
      <c r="K67" s="651"/>
      <c r="L67" s="658"/>
    </row>
    <row r="68" spans="1:12" ht="15.75" x14ac:dyDescent="0.25">
      <c r="A68" s="647"/>
      <c r="B68" s="648" t="s">
        <v>459</v>
      </c>
      <c r="C68" s="649">
        <v>207</v>
      </c>
      <c r="D68" s="650" t="s">
        <v>975</v>
      </c>
      <c r="E68" s="651"/>
      <c r="F68" s="653"/>
      <c r="G68" s="647"/>
      <c r="H68" s="648"/>
      <c r="I68" s="649"/>
      <c r="J68" s="655"/>
      <c r="K68" s="651"/>
      <c r="L68" s="658"/>
    </row>
    <row r="69" spans="1:12" ht="15.75" x14ac:dyDescent="0.25">
      <c r="A69" s="647"/>
      <c r="B69" s="648"/>
      <c r="C69" s="649"/>
      <c r="D69" s="655" t="s">
        <v>166</v>
      </c>
      <c r="E69" s="651"/>
      <c r="F69" s="656">
        <v>0.56597222222222221</v>
      </c>
      <c r="G69" s="647"/>
      <c r="H69" s="648"/>
      <c r="I69" s="649"/>
      <c r="J69" s="650"/>
      <c r="K69" s="651"/>
      <c r="L69" s="658"/>
    </row>
    <row r="70" spans="1:12" ht="15.75" x14ac:dyDescent="0.25">
      <c r="A70" s="647" t="s">
        <v>961</v>
      </c>
      <c r="B70" s="648"/>
      <c r="C70" s="649"/>
      <c r="D70" s="650" t="s">
        <v>160</v>
      </c>
      <c r="E70" s="651"/>
      <c r="F70" s="653">
        <v>0.62013888888888891</v>
      </c>
      <c r="G70" s="647"/>
      <c r="H70" s="648"/>
      <c r="I70" s="649"/>
      <c r="J70" s="650"/>
      <c r="K70" s="651"/>
      <c r="L70" s="652"/>
    </row>
    <row r="71" spans="1:12" ht="15.75" x14ac:dyDescent="0.25">
      <c r="A71" s="647"/>
      <c r="B71" s="648"/>
      <c r="C71" s="649"/>
      <c r="D71" s="655" t="s">
        <v>962</v>
      </c>
      <c r="E71" s="651"/>
      <c r="F71" s="656">
        <v>0.63055555555555554</v>
      </c>
      <c r="G71" s="647"/>
      <c r="H71" s="648"/>
      <c r="I71" s="649"/>
      <c r="J71" s="650"/>
      <c r="K71" s="651"/>
      <c r="L71" s="652"/>
    </row>
    <row r="72" spans="1:12" ht="15.75" x14ac:dyDescent="0.25">
      <c r="A72" s="647"/>
      <c r="B72" s="648"/>
      <c r="C72" s="649"/>
      <c r="D72" s="655" t="s">
        <v>960</v>
      </c>
      <c r="E72" s="651"/>
      <c r="F72" s="656">
        <v>0.66180555555555554</v>
      </c>
      <c r="G72" s="647"/>
      <c r="H72" s="648"/>
      <c r="I72" s="649"/>
      <c r="J72" s="650"/>
      <c r="K72" s="651"/>
      <c r="L72" s="652"/>
    </row>
    <row r="73" spans="1:12" ht="15.75" x14ac:dyDescent="0.25">
      <c r="A73" s="647" t="s">
        <v>961</v>
      </c>
      <c r="B73" s="654"/>
      <c r="C73" s="649"/>
      <c r="D73" s="650" t="s">
        <v>163</v>
      </c>
      <c r="E73" s="657"/>
      <c r="F73" s="653">
        <v>0.72777777777777775</v>
      </c>
      <c r="G73" s="647"/>
      <c r="H73" s="648"/>
      <c r="I73" s="649"/>
      <c r="J73" s="650"/>
      <c r="K73" s="651"/>
      <c r="L73" s="652"/>
    </row>
    <row r="74" spans="1:12" ht="15.75" x14ac:dyDescent="0.25">
      <c r="A74" s="647"/>
      <c r="B74" s="648"/>
      <c r="C74" s="649"/>
      <c r="D74" s="655" t="s">
        <v>164</v>
      </c>
      <c r="E74" s="651"/>
      <c r="F74" s="656">
        <v>0.75555555555555554</v>
      </c>
      <c r="G74" s="647"/>
      <c r="H74" s="648"/>
      <c r="I74" s="649"/>
      <c r="J74" s="650"/>
      <c r="K74" s="651"/>
      <c r="L74" s="652"/>
    </row>
    <row r="75" spans="1:12" ht="15.75" x14ac:dyDescent="0.25">
      <c r="A75" s="647"/>
      <c r="B75" s="648"/>
      <c r="C75" s="649"/>
      <c r="D75" s="655" t="s">
        <v>166</v>
      </c>
      <c r="E75" s="657">
        <v>0.76944444444444449</v>
      </c>
      <c r="F75" s="656"/>
      <c r="G75" s="647"/>
      <c r="H75" s="648"/>
      <c r="I75" s="649"/>
      <c r="J75" s="650"/>
      <c r="K75" s="651"/>
      <c r="L75" s="652"/>
    </row>
    <row r="76" spans="1:12" ht="15.75" x14ac:dyDescent="0.25">
      <c r="A76" s="647"/>
      <c r="B76" s="648" t="s">
        <v>462</v>
      </c>
      <c r="C76" s="649" t="s">
        <v>459</v>
      </c>
      <c r="D76" s="650"/>
      <c r="E76" s="651"/>
      <c r="F76" s="653"/>
      <c r="G76" s="647"/>
      <c r="H76" s="648"/>
      <c r="I76" s="649"/>
      <c r="J76" s="650"/>
      <c r="K76" s="651"/>
      <c r="L76" s="652"/>
    </row>
    <row r="77" spans="1:12" ht="15.75" x14ac:dyDescent="0.25">
      <c r="A77" s="647"/>
      <c r="B77" s="648"/>
      <c r="C77" s="649"/>
      <c r="D77" s="650"/>
      <c r="E77" s="657"/>
      <c r="F77" s="656"/>
      <c r="G77" s="647"/>
      <c r="H77" s="648"/>
      <c r="I77" s="649"/>
      <c r="J77" s="650"/>
      <c r="K77" s="651"/>
      <c r="L77" s="658"/>
    </row>
    <row r="78" spans="1:12" ht="15.75" x14ac:dyDescent="0.25">
      <c r="A78" s="647"/>
      <c r="B78" s="648"/>
      <c r="C78" s="649"/>
      <c r="D78" s="650"/>
      <c r="E78" s="657"/>
      <c r="F78" s="653"/>
      <c r="G78" s="647"/>
      <c r="H78" s="648"/>
      <c r="I78" s="649"/>
      <c r="J78" s="655"/>
      <c r="K78" s="651"/>
      <c r="L78" s="658"/>
    </row>
    <row r="79" spans="1:12" ht="15.75" x14ac:dyDescent="0.25">
      <c r="A79" s="647"/>
      <c r="B79" s="648"/>
      <c r="C79" s="649"/>
      <c r="D79" s="650"/>
      <c r="E79" s="651"/>
      <c r="F79" s="652"/>
      <c r="G79" s="647"/>
      <c r="H79" s="648"/>
      <c r="I79" s="649"/>
      <c r="J79" s="650"/>
      <c r="K79" s="651"/>
      <c r="L79" s="658"/>
    </row>
    <row r="80" spans="1:12" ht="16.5" thickBot="1" x14ac:dyDescent="0.3">
      <c r="A80" s="659"/>
      <c r="B80" s="660"/>
      <c r="C80" s="661"/>
      <c r="D80" s="662"/>
      <c r="E80" s="663"/>
      <c r="F80" s="664"/>
      <c r="G80" s="665"/>
      <c r="H80" s="666"/>
      <c r="I80" s="667"/>
      <c r="J80" s="668"/>
      <c r="K80" s="663"/>
      <c r="L80" s="669"/>
    </row>
    <row r="81" spans="1:12" ht="21" x14ac:dyDescent="0.35">
      <c r="A81" s="769" t="s">
        <v>945</v>
      </c>
      <c r="B81" s="770"/>
      <c r="C81" s="770"/>
      <c r="D81" s="770"/>
      <c r="E81" s="770"/>
      <c r="F81" s="770"/>
      <c r="G81" s="770"/>
      <c r="H81" s="770"/>
      <c r="I81" s="770"/>
      <c r="J81" s="770"/>
      <c r="K81" s="770"/>
      <c r="L81" s="771"/>
    </row>
    <row r="82" spans="1:12" ht="18.75" x14ac:dyDescent="0.3">
      <c r="A82" s="772" t="s">
        <v>946</v>
      </c>
      <c r="B82" s="773"/>
      <c r="C82" s="773"/>
      <c r="D82" s="773"/>
      <c r="E82" s="773"/>
      <c r="F82" s="773"/>
      <c r="G82" s="773"/>
      <c r="H82" s="773"/>
      <c r="I82" s="773"/>
      <c r="J82" s="773"/>
      <c r="K82" s="773"/>
      <c r="L82" s="774"/>
    </row>
    <row r="83" spans="1:12" ht="24" x14ac:dyDescent="0.4">
      <c r="A83" s="775" t="s">
        <v>947</v>
      </c>
      <c r="B83" s="776"/>
      <c r="C83" s="776"/>
      <c r="D83" s="776"/>
      <c r="E83" s="776"/>
      <c r="F83" s="776"/>
      <c r="G83" s="776"/>
      <c r="H83" s="776"/>
      <c r="I83" s="776"/>
      <c r="J83" s="776"/>
      <c r="K83" s="776"/>
      <c r="L83" s="777"/>
    </row>
    <row r="84" spans="1:12" ht="24" x14ac:dyDescent="0.4">
      <c r="A84" s="670" t="s">
        <v>948</v>
      </c>
      <c r="B84" s="671"/>
      <c r="C84" s="671"/>
      <c r="D84" s="672" t="s">
        <v>949</v>
      </c>
      <c r="E84" s="778" t="s">
        <v>950</v>
      </c>
      <c r="F84" s="778"/>
      <c r="G84" s="778"/>
      <c r="H84" s="778"/>
      <c r="I84" s="778"/>
      <c r="J84" s="673" t="s">
        <v>976</v>
      </c>
      <c r="K84" s="778"/>
      <c r="L84" s="779"/>
    </row>
    <row r="85" spans="1:12" ht="15.75" thickBot="1" x14ac:dyDescent="0.3">
      <c r="A85" s="674"/>
      <c r="B85" s="675"/>
      <c r="C85" s="675"/>
      <c r="D85" s="676"/>
      <c r="E85" s="675"/>
      <c r="F85" s="675"/>
      <c r="G85" s="675"/>
      <c r="H85" s="675"/>
      <c r="I85" s="780"/>
      <c r="J85" s="780"/>
      <c r="K85" s="675"/>
      <c r="L85" s="677"/>
    </row>
    <row r="86" spans="1:12" ht="16.5" thickBot="1" x14ac:dyDescent="0.3">
      <c r="A86" s="631" t="s">
        <v>952</v>
      </c>
      <c r="B86" s="632"/>
      <c r="C86" s="633"/>
      <c r="D86" s="634" t="s">
        <v>953</v>
      </c>
      <c r="E86" s="631" t="s">
        <v>954</v>
      </c>
      <c r="F86" s="635" t="s">
        <v>955</v>
      </c>
      <c r="G86" s="631" t="s">
        <v>952</v>
      </c>
      <c r="H86" s="632"/>
      <c r="I86" s="633"/>
      <c r="J86" s="634" t="s">
        <v>953</v>
      </c>
      <c r="K86" s="631" t="s">
        <v>954</v>
      </c>
      <c r="L86" s="631" t="s">
        <v>955</v>
      </c>
    </row>
    <row r="87" spans="1:12" ht="15.75" x14ac:dyDescent="0.25">
      <c r="A87" s="636"/>
      <c r="B87" s="637"/>
      <c r="C87" s="638"/>
      <c r="D87" s="639"/>
      <c r="E87" s="640"/>
      <c r="F87" s="641"/>
      <c r="G87" s="636"/>
      <c r="H87" s="642"/>
      <c r="I87" s="643"/>
      <c r="J87" s="644"/>
      <c r="K87" s="645"/>
      <c r="L87" s="646"/>
    </row>
    <row r="88" spans="1:12" ht="15.75" x14ac:dyDescent="0.25">
      <c r="A88" s="647"/>
      <c r="B88" s="648" t="s">
        <v>459</v>
      </c>
      <c r="C88" s="649">
        <v>3</v>
      </c>
      <c r="D88" s="650" t="s">
        <v>969</v>
      </c>
      <c r="E88" s="651"/>
      <c r="F88" s="652"/>
      <c r="G88" s="647"/>
      <c r="H88" s="648" t="s">
        <v>459</v>
      </c>
      <c r="I88" s="649">
        <v>55</v>
      </c>
      <c r="J88" s="650" t="s">
        <v>977</v>
      </c>
      <c r="K88" s="651"/>
      <c r="L88" s="653"/>
    </row>
    <row r="89" spans="1:12" ht="15.75" x14ac:dyDescent="0.25">
      <c r="A89" s="647" t="s">
        <v>958</v>
      </c>
      <c r="B89" s="654"/>
      <c r="C89" s="649"/>
      <c r="D89" s="655" t="s">
        <v>959</v>
      </c>
      <c r="E89" s="651"/>
      <c r="F89" s="656">
        <v>0.1875</v>
      </c>
      <c r="G89" s="647"/>
      <c r="H89" s="648"/>
      <c r="I89" s="649"/>
      <c r="J89" s="655" t="s">
        <v>166</v>
      </c>
      <c r="K89" s="651"/>
      <c r="L89" s="656">
        <v>0.65625</v>
      </c>
    </row>
    <row r="90" spans="1:12" ht="15.75" x14ac:dyDescent="0.25">
      <c r="A90" s="647" t="s">
        <v>961</v>
      </c>
      <c r="B90" s="654"/>
      <c r="C90" s="649"/>
      <c r="D90" s="650" t="s">
        <v>163</v>
      </c>
      <c r="E90" s="651"/>
      <c r="F90" s="653">
        <v>0.21527777777777779</v>
      </c>
      <c r="G90" s="647" t="s">
        <v>961</v>
      </c>
      <c r="H90" s="648"/>
      <c r="I90" s="649"/>
      <c r="J90" s="650" t="s">
        <v>160</v>
      </c>
      <c r="K90" s="651"/>
      <c r="L90" s="653">
        <v>0.71388888888888891</v>
      </c>
    </row>
    <row r="91" spans="1:12" ht="15.75" x14ac:dyDescent="0.25">
      <c r="A91" s="647"/>
      <c r="B91" s="648"/>
      <c r="C91" s="649"/>
      <c r="D91" s="655" t="s">
        <v>164</v>
      </c>
      <c r="E91" s="651"/>
      <c r="F91" s="656">
        <v>0.24305555555555555</v>
      </c>
      <c r="G91" s="647"/>
      <c r="H91" s="648"/>
      <c r="I91" s="649"/>
      <c r="J91" s="655" t="s">
        <v>962</v>
      </c>
      <c r="K91" s="651"/>
      <c r="L91" s="656">
        <v>0.72430555555555554</v>
      </c>
    </row>
    <row r="92" spans="1:12" ht="15.75" x14ac:dyDescent="0.25">
      <c r="A92" s="647"/>
      <c r="B92" s="648"/>
      <c r="C92" s="649"/>
      <c r="D92" s="655" t="s">
        <v>166</v>
      </c>
      <c r="E92" s="651"/>
      <c r="F92" s="656">
        <v>0.26041666666666669</v>
      </c>
      <c r="G92" s="647"/>
      <c r="H92" s="648"/>
      <c r="I92" s="649"/>
      <c r="J92" s="655" t="s">
        <v>960</v>
      </c>
      <c r="K92" s="657">
        <v>0.75555555555555554</v>
      </c>
      <c r="L92" s="656"/>
    </row>
    <row r="93" spans="1:12" ht="15.75" x14ac:dyDescent="0.25">
      <c r="A93" s="647" t="s">
        <v>961</v>
      </c>
      <c r="B93" s="648"/>
      <c r="C93" s="649"/>
      <c r="D93" s="650" t="s">
        <v>160</v>
      </c>
      <c r="E93" s="651"/>
      <c r="F93" s="653">
        <v>0.31736111111111109</v>
      </c>
      <c r="G93" s="647"/>
      <c r="H93" s="648" t="s">
        <v>459</v>
      </c>
      <c r="I93" s="649">
        <v>55</v>
      </c>
      <c r="J93" s="650" t="s">
        <v>978</v>
      </c>
      <c r="K93" s="651"/>
      <c r="L93" s="656"/>
    </row>
    <row r="94" spans="1:12" ht="15.75" x14ac:dyDescent="0.25">
      <c r="A94" s="647"/>
      <c r="B94" s="648"/>
      <c r="C94" s="649"/>
      <c r="D94" s="655" t="s">
        <v>962</v>
      </c>
      <c r="E94" s="651"/>
      <c r="F94" s="656">
        <v>0.32777777777777778</v>
      </c>
      <c r="G94" s="647"/>
      <c r="H94" s="648"/>
      <c r="I94" s="649"/>
      <c r="J94" s="655"/>
      <c r="K94" s="657"/>
      <c r="L94" s="656"/>
    </row>
    <row r="95" spans="1:12" ht="15.75" x14ac:dyDescent="0.25">
      <c r="A95" s="647"/>
      <c r="B95" s="648"/>
      <c r="C95" s="649"/>
      <c r="D95" s="655" t="s">
        <v>960</v>
      </c>
      <c r="E95" s="657">
        <v>0.36249999999999999</v>
      </c>
      <c r="F95" s="656"/>
      <c r="G95" s="647"/>
      <c r="H95" s="648" t="s">
        <v>459</v>
      </c>
      <c r="I95" s="649">
        <v>46</v>
      </c>
      <c r="J95" s="650" t="s">
        <v>979</v>
      </c>
      <c r="K95" s="651"/>
      <c r="L95" s="653"/>
    </row>
    <row r="96" spans="1:12" ht="15.75" x14ac:dyDescent="0.25">
      <c r="A96" s="647"/>
      <c r="B96" s="648" t="s">
        <v>459</v>
      </c>
      <c r="C96" s="649">
        <v>3</v>
      </c>
      <c r="D96" s="650" t="s">
        <v>980</v>
      </c>
      <c r="E96" s="651"/>
      <c r="F96" s="653"/>
      <c r="G96" s="647"/>
      <c r="H96" s="648"/>
      <c r="I96" s="649"/>
      <c r="J96" s="655" t="s">
        <v>960</v>
      </c>
      <c r="K96" s="651"/>
      <c r="L96" s="656">
        <v>0.75555555555555554</v>
      </c>
    </row>
    <row r="97" spans="1:12" ht="15.75" x14ac:dyDescent="0.25">
      <c r="A97" s="647"/>
      <c r="B97" s="648"/>
      <c r="C97" s="649"/>
      <c r="D97" s="655"/>
      <c r="E97" s="651"/>
      <c r="F97" s="656"/>
      <c r="G97" s="647" t="s">
        <v>961</v>
      </c>
      <c r="H97" s="654"/>
      <c r="I97" s="649"/>
      <c r="J97" s="650" t="s">
        <v>163</v>
      </c>
      <c r="K97" s="657"/>
      <c r="L97" s="653">
        <v>0.81597222222222243</v>
      </c>
    </row>
    <row r="98" spans="1:12" ht="15.75" x14ac:dyDescent="0.25">
      <c r="A98" s="647"/>
      <c r="B98" s="648" t="s">
        <v>459</v>
      </c>
      <c r="C98" s="649">
        <v>216</v>
      </c>
      <c r="D98" s="650" t="s">
        <v>981</v>
      </c>
      <c r="E98" s="651"/>
      <c r="F98" s="653"/>
      <c r="G98" s="647"/>
      <c r="H98" s="648"/>
      <c r="I98" s="649"/>
      <c r="J98" s="655" t="s">
        <v>164</v>
      </c>
      <c r="K98" s="651"/>
      <c r="L98" s="656">
        <v>0.84027777777777801</v>
      </c>
    </row>
    <row r="99" spans="1:12" ht="15.75" x14ac:dyDescent="0.25">
      <c r="A99" s="647"/>
      <c r="B99" s="648"/>
      <c r="C99" s="649"/>
      <c r="D99" s="655" t="s">
        <v>960</v>
      </c>
      <c r="E99" s="651"/>
      <c r="F99" s="656">
        <v>0.36249999999999999</v>
      </c>
      <c r="G99" s="647"/>
      <c r="H99" s="648"/>
      <c r="I99" s="649"/>
      <c r="J99" s="655" t="s">
        <v>166</v>
      </c>
      <c r="K99" s="651"/>
      <c r="L99" s="656">
        <v>0.85416666666666663</v>
      </c>
    </row>
    <row r="100" spans="1:12" ht="15.75" x14ac:dyDescent="0.25">
      <c r="A100" s="647" t="s">
        <v>961</v>
      </c>
      <c r="B100" s="654"/>
      <c r="C100" s="649"/>
      <c r="D100" s="650" t="s">
        <v>163</v>
      </c>
      <c r="E100" s="657"/>
      <c r="F100" s="653">
        <v>0.4201388888888889</v>
      </c>
      <c r="G100" s="647" t="s">
        <v>961</v>
      </c>
      <c r="H100" s="648"/>
      <c r="I100" s="649"/>
      <c r="J100" s="650" t="s">
        <v>160</v>
      </c>
      <c r="K100" s="651"/>
      <c r="L100" s="653">
        <v>0.89583333333333559</v>
      </c>
    </row>
    <row r="101" spans="1:12" ht="15.75" x14ac:dyDescent="0.25">
      <c r="A101" s="647"/>
      <c r="B101" s="648"/>
      <c r="C101" s="649"/>
      <c r="D101" s="655" t="s">
        <v>164</v>
      </c>
      <c r="E101" s="651"/>
      <c r="F101" s="656">
        <v>0.44791666666666669</v>
      </c>
      <c r="G101" s="647"/>
      <c r="H101" s="648"/>
      <c r="I101" s="649"/>
      <c r="J101" s="655" t="s">
        <v>962</v>
      </c>
      <c r="K101" s="651"/>
      <c r="L101" s="656">
        <v>0.90277777777778001</v>
      </c>
    </row>
    <row r="102" spans="1:12" ht="15.75" x14ac:dyDescent="0.25">
      <c r="A102" s="647"/>
      <c r="B102" s="648"/>
      <c r="C102" s="649"/>
      <c r="D102" s="655" t="s">
        <v>166</v>
      </c>
      <c r="E102" s="657">
        <v>0.46180555555555558</v>
      </c>
      <c r="F102" s="656"/>
      <c r="G102" s="647"/>
      <c r="H102" s="648"/>
      <c r="I102" s="649"/>
      <c r="J102" s="655" t="s">
        <v>960</v>
      </c>
      <c r="K102" s="657">
        <v>0.93055555555555558</v>
      </c>
      <c r="L102" s="656"/>
    </row>
    <row r="103" spans="1:12" ht="15.75" x14ac:dyDescent="0.25">
      <c r="A103" s="647"/>
      <c r="B103" s="648" t="s">
        <v>459</v>
      </c>
      <c r="C103" s="649">
        <v>216</v>
      </c>
      <c r="D103" s="650" t="s">
        <v>982</v>
      </c>
      <c r="E103" s="651"/>
      <c r="F103" s="653"/>
      <c r="G103" s="647"/>
      <c r="H103" s="648" t="s">
        <v>462</v>
      </c>
      <c r="I103" s="649" t="s">
        <v>459</v>
      </c>
      <c r="J103" s="650"/>
      <c r="K103" s="651"/>
      <c r="L103" s="656"/>
    </row>
    <row r="104" spans="1:12" ht="15.75" x14ac:dyDescent="0.25">
      <c r="A104" s="647"/>
      <c r="B104" s="648"/>
      <c r="C104" s="649"/>
      <c r="D104" s="655"/>
      <c r="E104" s="651"/>
      <c r="F104" s="656"/>
      <c r="G104" s="647"/>
      <c r="H104" s="648"/>
      <c r="I104" s="649"/>
      <c r="J104" s="655"/>
      <c r="K104" s="657"/>
      <c r="L104" s="656"/>
    </row>
    <row r="105" spans="1:12" ht="15.75" x14ac:dyDescent="0.25">
      <c r="A105" s="647"/>
      <c r="B105" s="648" t="s">
        <v>459</v>
      </c>
      <c r="C105" s="649">
        <v>17</v>
      </c>
      <c r="D105" s="650" t="s">
        <v>983</v>
      </c>
      <c r="E105" s="651"/>
      <c r="F105" s="653"/>
      <c r="G105" s="647"/>
      <c r="H105" s="648" t="s">
        <v>459</v>
      </c>
      <c r="I105" s="649">
        <v>64</v>
      </c>
      <c r="J105" s="650" t="s">
        <v>984</v>
      </c>
      <c r="K105" s="651"/>
      <c r="L105" s="653"/>
    </row>
    <row r="106" spans="1:12" ht="15.75" x14ac:dyDescent="0.25">
      <c r="A106" s="647"/>
      <c r="B106" s="648"/>
      <c r="C106" s="649"/>
      <c r="D106" s="655" t="s">
        <v>166</v>
      </c>
      <c r="E106" s="651"/>
      <c r="F106" s="656">
        <v>0.46180555555555558</v>
      </c>
      <c r="G106" s="647"/>
      <c r="H106" s="648"/>
      <c r="I106" s="649"/>
      <c r="J106" s="655" t="s">
        <v>960</v>
      </c>
      <c r="K106" s="651"/>
      <c r="L106" s="656">
        <v>0.93055555555555558</v>
      </c>
    </row>
    <row r="107" spans="1:12" ht="15.75" x14ac:dyDescent="0.25">
      <c r="A107" s="647" t="s">
        <v>961</v>
      </c>
      <c r="B107" s="648"/>
      <c r="C107" s="649"/>
      <c r="D107" s="650" t="s">
        <v>160</v>
      </c>
      <c r="E107" s="651"/>
      <c r="F107" s="653">
        <v>0.51041666666666663</v>
      </c>
      <c r="G107" s="647" t="s">
        <v>961</v>
      </c>
      <c r="H107" s="654"/>
      <c r="I107" s="649"/>
      <c r="J107" s="650" t="s">
        <v>163</v>
      </c>
      <c r="K107" s="657"/>
      <c r="L107" s="653">
        <v>0.96527777777777779</v>
      </c>
    </row>
    <row r="108" spans="1:12" ht="15.75" x14ac:dyDescent="0.25">
      <c r="A108" s="647"/>
      <c r="B108" s="648"/>
      <c r="C108" s="649"/>
      <c r="D108" s="655" t="s">
        <v>962</v>
      </c>
      <c r="E108" s="651"/>
      <c r="F108" s="656">
        <v>0.52083333333333337</v>
      </c>
      <c r="G108" s="647"/>
      <c r="H108" s="648"/>
      <c r="I108" s="649"/>
      <c r="J108" s="655" t="s">
        <v>164</v>
      </c>
      <c r="K108" s="651"/>
      <c r="L108" s="656">
        <v>0.98611111111111116</v>
      </c>
    </row>
    <row r="109" spans="1:12" ht="15.75" x14ac:dyDescent="0.25">
      <c r="A109" s="647"/>
      <c r="B109" s="648"/>
      <c r="C109" s="649"/>
      <c r="D109" s="655" t="s">
        <v>960</v>
      </c>
      <c r="E109" s="657">
        <v>0.54861111111111116</v>
      </c>
      <c r="F109" s="656"/>
      <c r="G109" s="647"/>
      <c r="H109" s="648"/>
      <c r="I109" s="649"/>
      <c r="J109" s="655" t="s">
        <v>166</v>
      </c>
      <c r="K109" s="651"/>
      <c r="L109" s="656">
        <v>0.99652777777777779</v>
      </c>
    </row>
    <row r="110" spans="1:12" ht="15.75" x14ac:dyDescent="0.25">
      <c r="A110" s="647"/>
      <c r="B110" s="648" t="s">
        <v>462</v>
      </c>
      <c r="C110" s="649" t="s">
        <v>459</v>
      </c>
      <c r="D110" s="650"/>
      <c r="E110" s="651"/>
      <c r="F110" s="656"/>
      <c r="G110" s="647" t="s">
        <v>958</v>
      </c>
      <c r="H110" s="648"/>
      <c r="I110" s="649"/>
      <c r="J110" s="650" t="s">
        <v>160</v>
      </c>
      <c r="K110" s="657">
        <v>1.0263888888888888</v>
      </c>
      <c r="L110" s="653"/>
    </row>
    <row r="111" spans="1:12" ht="15.75" x14ac:dyDescent="0.25">
      <c r="A111" s="647"/>
      <c r="B111" s="648"/>
      <c r="C111" s="649"/>
      <c r="D111" s="655"/>
      <c r="E111" s="657"/>
      <c r="F111" s="656"/>
      <c r="G111" s="647"/>
      <c r="H111" s="648"/>
      <c r="I111" s="649"/>
      <c r="J111" s="650" t="s">
        <v>963</v>
      </c>
      <c r="K111" s="657">
        <v>5.7638888888888892E-2</v>
      </c>
      <c r="L111" s="652"/>
    </row>
    <row r="112" spans="1:12" ht="15.75" x14ac:dyDescent="0.25">
      <c r="A112" s="647"/>
      <c r="B112" s="648" t="s">
        <v>459</v>
      </c>
      <c r="C112" s="649">
        <v>203</v>
      </c>
      <c r="D112" s="650" t="s">
        <v>985</v>
      </c>
      <c r="E112" s="651"/>
      <c r="F112" s="653"/>
      <c r="G112" s="647"/>
      <c r="H112" s="648" t="s">
        <v>462</v>
      </c>
      <c r="I112" s="649" t="s">
        <v>459</v>
      </c>
      <c r="J112" s="650"/>
      <c r="K112" s="657"/>
      <c r="L112" s="652"/>
    </row>
    <row r="113" spans="1:12" ht="15.75" x14ac:dyDescent="0.25">
      <c r="A113" s="647"/>
      <c r="B113" s="648"/>
      <c r="C113" s="649"/>
      <c r="D113" s="655" t="s">
        <v>960</v>
      </c>
      <c r="E113" s="651"/>
      <c r="F113" s="656">
        <v>0.54861111111111116</v>
      </c>
      <c r="G113" s="647"/>
      <c r="H113" s="648"/>
      <c r="I113" s="649"/>
      <c r="J113" s="650"/>
      <c r="K113" s="657"/>
      <c r="L113" s="652"/>
    </row>
    <row r="114" spans="1:12" ht="15.75" x14ac:dyDescent="0.25">
      <c r="A114" s="647" t="s">
        <v>961</v>
      </c>
      <c r="B114" s="654"/>
      <c r="C114" s="649"/>
      <c r="D114" s="650" t="s">
        <v>163</v>
      </c>
      <c r="E114" s="657"/>
      <c r="F114" s="653">
        <v>0.60763888888888884</v>
      </c>
      <c r="G114" s="647"/>
      <c r="H114" s="648"/>
      <c r="I114" s="649"/>
      <c r="J114" s="650"/>
      <c r="K114" s="657"/>
      <c r="L114" s="652"/>
    </row>
    <row r="115" spans="1:12" ht="15.75" x14ac:dyDescent="0.25">
      <c r="A115" s="647"/>
      <c r="B115" s="648"/>
      <c r="C115" s="649"/>
      <c r="D115" s="655" t="s">
        <v>164</v>
      </c>
      <c r="E115" s="651"/>
      <c r="F115" s="656">
        <v>0.64236111111111116</v>
      </c>
      <c r="G115" s="647"/>
      <c r="H115" s="648"/>
      <c r="I115" s="649"/>
      <c r="J115" s="650"/>
      <c r="K115" s="651"/>
      <c r="L115" s="652"/>
    </row>
    <row r="116" spans="1:12" ht="15.75" x14ac:dyDescent="0.25">
      <c r="A116" s="647"/>
      <c r="B116" s="648"/>
      <c r="C116" s="649"/>
      <c r="D116" s="655" t="s">
        <v>166</v>
      </c>
      <c r="E116" s="657">
        <v>0.65625</v>
      </c>
      <c r="F116" s="656"/>
      <c r="G116" s="647"/>
      <c r="H116" s="648"/>
      <c r="I116" s="649"/>
      <c r="J116" s="650"/>
      <c r="K116" s="651"/>
      <c r="L116" s="652"/>
    </row>
    <row r="117" spans="1:12" ht="15.75" x14ac:dyDescent="0.25">
      <c r="A117" s="647"/>
      <c r="B117" s="648" t="s">
        <v>462</v>
      </c>
      <c r="C117" s="649" t="s">
        <v>459</v>
      </c>
      <c r="D117" s="650"/>
      <c r="E117" s="657"/>
      <c r="F117" s="656"/>
      <c r="G117" s="647"/>
      <c r="H117" s="648"/>
      <c r="I117" s="649"/>
      <c r="J117" s="650"/>
      <c r="K117" s="651"/>
      <c r="L117" s="658"/>
    </row>
    <row r="118" spans="1:12" ht="15.75" x14ac:dyDescent="0.25">
      <c r="A118" s="647"/>
      <c r="B118" s="648"/>
      <c r="C118" s="649"/>
      <c r="D118" s="650"/>
      <c r="E118" s="657"/>
      <c r="F118" s="653"/>
      <c r="G118" s="647"/>
      <c r="H118" s="648"/>
      <c r="I118" s="649"/>
      <c r="J118" s="655"/>
      <c r="K118" s="651"/>
      <c r="L118" s="658"/>
    </row>
    <row r="119" spans="1:12" ht="15.75" x14ac:dyDescent="0.25">
      <c r="A119" s="647"/>
      <c r="B119" s="648"/>
      <c r="C119" s="649"/>
      <c r="D119" s="650"/>
      <c r="E119" s="651"/>
      <c r="F119" s="652"/>
      <c r="G119" s="647"/>
      <c r="H119" s="648"/>
      <c r="I119" s="649"/>
      <c r="J119" s="650"/>
      <c r="K119" s="651"/>
      <c r="L119" s="658"/>
    </row>
    <row r="120" spans="1:12" ht="16.5" thickBot="1" x14ac:dyDescent="0.3">
      <c r="A120" s="659"/>
      <c r="B120" s="660"/>
      <c r="C120" s="661"/>
      <c r="D120" s="662"/>
      <c r="E120" s="663"/>
      <c r="F120" s="664"/>
      <c r="G120" s="665"/>
      <c r="H120" s="666"/>
      <c r="I120" s="667"/>
      <c r="J120" s="668"/>
      <c r="K120" s="663"/>
      <c r="L120" s="669"/>
    </row>
    <row r="121" spans="1:12" ht="21" x14ac:dyDescent="0.35">
      <c r="A121" s="769" t="s">
        <v>945</v>
      </c>
      <c r="B121" s="770"/>
      <c r="C121" s="770"/>
      <c r="D121" s="770"/>
      <c r="E121" s="770"/>
      <c r="F121" s="770"/>
      <c r="G121" s="770"/>
      <c r="H121" s="770"/>
      <c r="I121" s="770"/>
      <c r="J121" s="770"/>
      <c r="K121" s="770"/>
      <c r="L121" s="771"/>
    </row>
    <row r="122" spans="1:12" ht="18.75" x14ac:dyDescent="0.3">
      <c r="A122" s="772" t="s">
        <v>946</v>
      </c>
      <c r="B122" s="773"/>
      <c r="C122" s="773"/>
      <c r="D122" s="773"/>
      <c r="E122" s="773"/>
      <c r="F122" s="773"/>
      <c r="G122" s="773"/>
      <c r="H122" s="773"/>
      <c r="I122" s="773"/>
      <c r="J122" s="773"/>
      <c r="K122" s="773"/>
      <c r="L122" s="774"/>
    </row>
    <row r="123" spans="1:12" ht="24" x14ac:dyDescent="0.4">
      <c r="A123" s="775" t="s">
        <v>947</v>
      </c>
      <c r="B123" s="776"/>
      <c r="C123" s="776"/>
      <c r="D123" s="776"/>
      <c r="E123" s="776"/>
      <c r="F123" s="776"/>
      <c r="G123" s="776"/>
      <c r="H123" s="776"/>
      <c r="I123" s="776"/>
      <c r="J123" s="776"/>
      <c r="K123" s="776"/>
      <c r="L123" s="777"/>
    </row>
    <row r="124" spans="1:12" ht="24" x14ac:dyDescent="0.4">
      <c r="A124" s="670" t="s">
        <v>948</v>
      </c>
      <c r="B124" s="671"/>
      <c r="C124" s="671"/>
      <c r="D124" s="672" t="s">
        <v>949</v>
      </c>
      <c r="E124" s="778" t="s">
        <v>950</v>
      </c>
      <c r="F124" s="778"/>
      <c r="G124" s="778"/>
      <c r="H124" s="778"/>
      <c r="I124" s="778"/>
      <c r="J124" s="673" t="s">
        <v>986</v>
      </c>
      <c r="K124" s="778"/>
      <c r="L124" s="779"/>
    </row>
    <row r="125" spans="1:12" ht="15.75" thickBot="1" x14ac:dyDescent="0.3">
      <c r="A125" s="674"/>
      <c r="B125" s="675"/>
      <c r="C125" s="675"/>
      <c r="D125" s="676"/>
      <c r="E125" s="675"/>
      <c r="F125" s="675"/>
      <c r="G125" s="675"/>
      <c r="H125" s="675"/>
      <c r="I125" s="780"/>
      <c r="J125" s="780"/>
      <c r="K125" s="675"/>
      <c r="L125" s="677"/>
    </row>
    <row r="126" spans="1:12" ht="16.5" thickBot="1" x14ac:dyDescent="0.3">
      <c r="A126" s="631" t="s">
        <v>952</v>
      </c>
      <c r="B126" s="632"/>
      <c r="C126" s="633"/>
      <c r="D126" s="634" t="s">
        <v>953</v>
      </c>
      <c r="E126" s="631" t="s">
        <v>954</v>
      </c>
      <c r="F126" s="635" t="s">
        <v>955</v>
      </c>
      <c r="G126" s="631" t="s">
        <v>952</v>
      </c>
      <c r="H126" s="632"/>
      <c r="I126" s="633"/>
      <c r="J126" s="634" t="s">
        <v>953</v>
      </c>
      <c r="K126" s="631" t="s">
        <v>954</v>
      </c>
      <c r="L126" s="631" t="s">
        <v>955</v>
      </c>
    </row>
    <row r="127" spans="1:12" ht="15.75" x14ac:dyDescent="0.25">
      <c r="A127" s="636"/>
      <c r="B127" s="637"/>
      <c r="C127" s="638"/>
      <c r="D127" s="639"/>
      <c r="E127" s="640"/>
      <c r="F127" s="641"/>
      <c r="G127" s="636"/>
      <c r="H127" s="642"/>
      <c r="I127" s="643"/>
      <c r="J127" s="644"/>
      <c r="K127" s="645"/>
      <c r="L127" s="646"/>
    </row>
    <row r="128" spans="1:12" ht="15.75" x14ac:dyDescent="0.25">
      <c r="A128" s="647"/>
      <c r="B128" s="648" t="s">
        <v>459</v>
      </c>
      <c r="C128" s="649">
        <v>4</v>
      </c>
      <c r="D128" s="650" t="s">
        <v>987</v>
      </c>
      <c r="E128" s="651"/>
      <c r="F128" s="652"/>
      <c r="G128" s="647"/>
      <c r="H128" s="648" t="s">
        <v>459</v>
      </c>
      <c r="I128" s="649">
        <v>52</v>
      </c>
      <c r="J128" s="650" t="s">
        <v>988</v>
      </c>
      <c r="K128" s="651"/>
      <c r="L128" s="653"/>
    </row>
    <row r="129" spans="1:12" ht="15.75" x14ac:dyDescent="0.25">
      <c r="A129" s="647" t="s">
        <v>958</v>
      </c>
      <c r="B129" s="654"/>
      <c r="C129" s="649"/>
      <c r="D129" s="655" t="s">
        <v>959</v>
      </c>
      <c r="E129" s="651"/>
      <c r="F129" s="656">
        <v>0.19444444444444445</v>
      </c>
      <c r="G129" s="647"/>
      <c r="H129" s="648"/>
      <c r="I129" s="649"/>
      <c r="J129" s="655" t="s">
        <v>166</v>
      </c>
      <c r="K129" s="651"/>
      <c r="L129" s="656">
        <v>0.80208333333333337</v>
      </c>
    </row>
    <row r="130" spans="1:12" ht="15.75" x14ac:dyDescent="0.25">
      <c r="A130" s="647" t="s">
        <v>961</v>
      </c>
      <c r="B130" s="654"/>
      <c r="C130" s="649"/>
      <c r="D130" s="650" t="s">
        <v>163</v>
      </c>
      <c r="E130" s="651"/>
      <c r="F130" s="653">
        <v>0.22222222222222221</v>
      </c>
      <c r="G130" s="647" t="s">
        <v>961</v>
      </c>
      <c r="H130" s="648"/>
      <c r="I130" s="649"/>
      <c r="J130" s="650" t="s">
        <v>160</v>
      </c>
      <c r="K130" s="651"/>
      <c r="L130" s="653">
        <v>0.84722222222222221</v>
      </c>
    </row>
    <row r="131" spans="1:12" ht="15.75" x14ac:dyDescent="0.25">
      <c r="A131" s="647"/>
      <c r="B131" s="648"/>
      <c r="C131" s="649"/>
      <c r="D131" s="655" t="s">
        <v>164</v>
      </c>
      <c r="E131" s="651"/>
      <c r="F131" s="656">
        <v>0.25</v>
      </c>
      <c r="G131" s="647"/>
      <c r="H131" s="648"/>
      <c r="I131" s="649"/>
      <c r="J131" s="655" t="s">
        <v>962</v>
      </c>
      <c r="K131" s="651"/>
      <c r="L131" s="656">
        <v>0.85416666666666663</v>
      </c>
    </row>
    <row r="132" spans="1:12" ht="15.75" x14ac:dyDescent="0.25">
      <c r="A132" s="647"/>
      <c r="B132" s="648"/>
      <c r="C132" s="649"/>
      <c r="D132" s="655" t="s">
        <v>166</v>
      </c>
      <c r="E132" s="651"/>
      <c r="F132" s="656">
        <v>0.2673611111111111</v>
      </c>
      <c r="G132" s="647"/>
      <c r="H132" s="648"/>
      <c r="I132" s="649"/>
      <c r="J132" s="655" t="s">
        <v>960</v>
      </c>
      <c r="K132" s="651"/>
      <c r="L132" s="656">
        <v>0.88194444444444442</v>
      </c>
    </row>
    <row r="133" spans="1:12" ht="15.75" x14ac:dyDescent="0.25">
      <c r="A133" s="647" t="s">
        <v>961</v>
      </c>
      <c r="B133" s="648"/>
      <c r="C133" s="649"/>
      <c r="D133" s="650" t="s">
        <v>160</v>
      </c>
      <c r="E133" s="651"/>
      <c r="F133" s="653">
        <v>0.32222222222222224</v>
      </c>
      <c r="G133" s="647" t="s">
        <v>958</v>
      </c>
      <c r="H133" s="654"/>
      <c r="I133" s="649"/>
      <c r="J133" s="650" t="s">
        <v>163</v>
      </c>
      <c r="K133" s="657">
        <v>0.92361111111111116</v>
      </c>
      <c r="L133" s="653"/>
    </row>
    <row r="134" spans="1:12" ht="15.75" x14ac:dyDescent="0.25">
      <c r="A134" s="647"/>
      <c r="B134" s="648"/>
      <c r="C134" s="649"/>
      <c r="D134" s="655" t="s">
        <v>962</v>
      </c>
      <c r="E134" s="651"/>
      <c r="F134" s="656">
        <v>0.33263888888888887</v>
      </c>
      <c r="G134" s="647"/>
      <c r="H134" s="648"/>
      <c r="I134" s="649"/>
      <c r="J134" s="650" t="s">
        <v>963</v>
      </c>
      <c r="K134" s="657">
        <v>0.94791666666666663</v>
      </c>
      <c r="L134" s="656"/>
    </row>
    <row r="135" spans="1:12" ht="15.75" x14ac:dyDescent="0.25">
      <c r="A135" s="647"/>
      <c r="B135" s="648"/>
      <c r="C135" s="649"/>
      <c r="D135" s="655" t="s">
        <v>960</v>
      </c>
      <c r="E135" s="657">
        <v>0.37083333333333335</v>
      </c>
      <c r="F135" s="656"/>
      <c r="G135" s="647"/>
      <c r="H135" s="648" t="s">
        <v>462</v>
      </c>
      <c r="I135" s="649" t="s">
        <v>459</v>
      </c>
      <c r="J135" s="650"/>
      <c r="K135" s="657"/>
      <c r="L135" s="653"/>
    </row>
    <row r="136" spans="1:12" ht="15.75" x14ac:dyDescent="0.25">
      <c r="A136" s="647"/>
      <c r="B136" s="648" t="s">
        <v>459</v>
      </c>
      <c r="C136" s="649">
        <v>4</v>
      </c>
      <c r="D136" s="650" t="s">
        <v>989</v>
      </c>
      <c r="E136" s="651"/>
      <c r="F136" s="653"/>
      <c r="G136" s="647"/>
      <c r="H136" s="648"/>
      <c r="I136" s="649"/>
      <c r="J136" s="650"/>
      <c r="K136" s="657"/>
      <c r="L136" s="653"/>
    </row>
    <row r="137" spans="1:12" ht="15.75" x14ac:dyDescent="0.25">
      <c r="A137" s="647"/>
      <c r="B137" s="648"/>
      <c r="C137" s="649"/>
      <c r="D137" s="655"/>
      <c r="E137" s="651"/>
      <c r="F137" s="656"/>
      <c r="G137" s="647"/>
      <c r="H137" s="648"/>
      <c r="I137" s="649"/>
      <c r="J137" s="650"/>
      <c r="K137" s="657"/>
      <c r="L137" s="653"/>
    </row>
    <row r="138" spans="1:12" ht="15.75" x14ac:dyDescent="0.25">
      <c r="A138" s="647"/>
      <c r="B138" s="648" t="s">
        <v>459</v>
      </c>
      <c r="C138" s="649">
        <v>217</v>
      </c>
      <c r="D138" s="650" t="s">
        <v>990</v>
      </c>
      <c r="E138" s="651"/>
      <c r="F138" s="653"/>
      <c r="G138" s="647"/>
      <c r="H138" s="648"/>
      <c r="I138" s="649"/>
      <c r="J138" s="650"/>
      <c r="K138" s="657"/>
      <c r="L138" s="653"/>
    </row>
    <row r="139" spans="1:12" ht="15.75" x14ac:dyDescent="0.25">
      <c r="A139" s="647"/>
      <c r="B139" s="648"/>
      <c r="C139" s="649"/>
      <c r="D139" s="655" t="s">
        <v>960</v>
      </c>
      <c r="E139" s="651"/>
      <c r="F139" s="656">
        <v>0.37083333333333335</v>
      </c>
      <c r="G139" s="647"/>
      <c r="H139" s="648"/>
      <c r="I139" s="649"/>
      <c r="J139" s="650"/>
      <c r="K139" s="657"/>
      <c r="L139" s="652"/>
    </row>
    <row r="140" spans="1:12" ht="15.75" x14ac:dyDescent="0.25">
      <c r="A140" s="647" t="s">
        <v>958</v>
      </c>
      <c r="B140" s="654"/>
      <c r="C140" s="649"/>
      <c r="D140" s="650" t="s">
        <v>163</v>
      </c>
      <c r="E140" s="657">
        <v>0.4201388888888889</v>
      </c>
      <c r="F140" s="653"/>
      <c r="G140" s="647"/>
      <c r="H140" s="648"/>
      <c r="I140" s="649"/>
      <c r="J140" s="650"/>
      <c r="K140" s="651"/>
      <c r="L140" s="652"/>
    </row>
    <row r="141" spans="1:12" ht="15.75" x14ac:dyDescent="0.25">
      <c r="A141" s="647"/>
      <c r="B141" s="648"/>
      <c r="C141" s="649"/>
      <c r="D141" s="650" t="s">
        <v>963</v>
      </c>
      <c r="E141" s="657">
        <v>0.44444444444444442</v>
      </c>
      <c r="F141" s="656"/>
      <c r="G141" s="647"/>
      <c r="H141" s="648"/>
      <c r="I141" s="649"/>
      <c r="J141" s="650"/>
      <c r="K141" s="651"/>
      <c r="L141" s="652"/>
    </row>
    <row r="142" spans="1:12" ht="15.75" x14ac:dyDescent="0.25">
      <c r="A142" s="647"/>
      <c r="B142" s="648" t="s">
        <v>459</v>
      </c>
      <c r="C142" s="649">
        <v>217</v>
      </c>
      <c r="D142" s="650" t="s">
        <v>991</v>
      </c>
      <c r="E142" s="657"/>
      <c r="F142" s="653"/>
      <c r="G142" s="647"/>
      <c r="H142" s="648"/>
      <c r="I142" s="649"/>
      <c r="J142" s="650"/>
      <c r="K142" s="651"/>
      <c r="L142" s="652"/>
    </row>
    <row r="143" spans="1:12" ht="15.75" x14ac:dyDescent="0.25">
      <c r="A143" s="647"/>
      <c r="B143" s="648"/>
      <c r="C143" s="649"/>
      <c r="D143" s="650"/>
      <c r="E143" s="657"/>
      <c r="F143" s="653"/>
      <c r="G143" s="647"/>
      <c r="H143" s="648"/>
      <c r="I143" s="649"/>
      <c r="J143" s="650"/>
      <c r="K143" s="651"/>
      <c r="L143" s="652"/>
    </row>
    <row r="144" spans="1:12" ht="15.75" x14ac:dyDescent="0.25">
      <c r="A144" s="647"/>
      <c r="B144" s="648" t="s">
        <v>459</v>
      </c>
      <c r="C144" s="649">
        <v>26</v>
      </c>
      <c r="D144" s="650" t="s">
        <v>992</v>
      </c>
      <c r="E144" s="651"/>
      <c r="F144" s="652"/>
      <c r="G144" s="647"/>
      <c r="H144" s="648"/>
      <c r="I144" s="649"/>
      <c r="J144" s="650"/>
      <c r="K144" s="651"/>
      <c r="L144" s="652"/>
    </row>
    <row r="145" spans="1:12" ht="15.75" x14ac:dyDescent="0.25">
      <c r="A145" s="647" t="s">
        <v>958</v>
      </c>
      <c r="B145" s="654"/>
      <c r="C145" s="649"/>
      <c r="D145" s="655" t="s">
        <v>959</v>
      </c>
      <c r="E145" s="651"/>
      <c r="F145" s="656">
        <v>0.53125</v>
      </c>
      <c r="G145" s="647"/>
      <c r="H145" s="648"/>
      <c r="I145" s="649"/>
      <c r="J145" s="650"/>
      <c r="K145" s="651"/>
      <c r="L145" s="652"/>
    </row>
    <row r="146" spans="1:12" ht="15.75" x14ac:dyDescent="0.25">
      <c r="A146" s="647" t="s">
        <v>961</v>
      </c>
      <c r="B146" s="654"/>
      <c r="C146" s="649"/>
      <c r="D146" s="650" t="s">
        <v>163</v>
      </c>
      <c r="E146" s="651"/>
      <c r="F146" s="653">
        <v>0.5625</v>
      </c>
      <c r="G146" s="647"/>
      <c r="H146" s="648"/>
      <c r="I146" s="649"/>
      <c r="J146" s="650"/>
      <c r="K146" s="651"/>
      <c r="L146" s="652"/>
    </row>
    <row r="147" spans="1:12" ht="15.75" x14ac:dyDescent="0.25">
      <c r="A147" s="647"/>
      <c r="B147" s="648"/>
      <c r="C147" s="649"/>
      <c r="D147" s="655" t="s">
        <v>164</v>
      </c>
      <c r="E147" s="651"/>
      <c r="F147" s="656">
        <v>0.59375</v>
      </c>
      <c r="G147" s="647"/>
      <c r="H147" s="648"/>
      <c r="I147" s="649"/>
      <c r="J147" s="650"/>
      <c r="K147" s="651"/>
      <c r="L147" s="658"/>
    </row>
    <row r="148" spans="1:12" ht="15.75" x14ac:dyDescent="0.25">
      <c r="A148" s="647"/>
      <c r="B148" s="648"/>
      <c r="C148" s="649"/>
      <c r="D148" s="655" t="s">
        <v>166</v>
      </c>
      <c r="E148" s="657">
        <v>0.60763888888888884</v>
      </c>
      <c r="F148" s="656"/>
      <c r="G148" s="647"/>
      <c r="H148" s="648"/>
      <c r="I148" s="649"/>
      <c r="J148" s="655"/>
      <c r="K148" s="651"/>
      <c r="L148" s="658"/>
    </row>
    <row r="149" spans="1:12" ht="15.75" x14ac:dyDescent="0.25">
      <c r="A149" s="647"/>
      <c r="B149" s="648" t="s">
        <v>462</v>
      </c>
      <c r="C149" s="649" t="s">
        <v>459</v>
      </c>
      <c r="D149" s="650"/>
      <c r="E149" s="651"/>
      <c r="F149" s="653"/>
      <c r="G149" s="647"/>
      <c r="H149" s="648"/>
      <c r="I149" s="649"/>
      <c r="J149" s="650"/>
      <c r="K149" s="651"/>
      <c r="L149" s="658"/>
    </row>
    <row r="150" spans="1:12" ht="15.75" x14ac:dyDescent="0.25">
      <c r="A150" s="647"/>
      <c r="B150" s="648"/>
      <c r="C150" s="649"/>
      <c r="D150" s="655"/>
      <c r="E150" s="651"/>
      <c r="F150" s="656"/>
      <c r="G150" s="647"/>
      <c r="H150" s="648"/>
      <c r="I150" s="649"/>
      <c r="J150" s="650"/>
      <c r="K150" s="651"/>
      <c r="L150" s="652"/>
    </row>
    <row r="151" spans="1:12" ht="15.75" x14ac:dyDescent="0.25">
      <c r="A151" s="647"/>
      <c r="B151" s="648" t="s">
        <v>459</v>
      </c>
      <c r="C151" s="649">
        <v>214</v>
      </c>
      <c r="D151" s="650" t="s">
        <v>993</v>
      </c>
      <c r="E151" s="651"/>
      <c r="F151" s="653"/>
      <c r="G151" s="647"/>
      <c r="H151" s="648"/>
      <c r="I151" s="649"/>
      <c r="J151" s="650"/>
      <c r="K151" s="651"/>
      <c r="L151" s="652"/>
    </row>
    <row r="152" spans="1:12" ht="15.75" x14ac:dyDescent="0.25">
      <c r="A152" s="647"/>
      <c r="B152" s="648"/>
      <c r="C152" s="649"/>
      <c r="D152" s="655" t="s">
        <v>166</v>
      </c>
      <c r="E152" s="651"/>
      <c r="F152" s="656">
        <v>0.60763888888888884</v>
      </c>
      <c r="G152" s="647"/>
      <c r="H152" s="648"/>
      <c r="I152" s="649"/>
      <c r="J152" s="650"/>
      <c r="K152" s="651"/>
      <c r="L152" s="652"/>
    </row>
    <row r="153" spans="1:12" ht="15.75" x14ac:dyDescent="0.25">
      <c r="A153" s="647" t="s">
        <v>961</v>
      </c>
      <c r="B153" s="648"/>
      <c r="C153" s="649"/>
      <c r="D153" s="650" t="s">
        <v>160</v>
      </c>
      <c r="E153" s="651"/>
      <c r="F153" s="653">
        <v>0.66180555555555554</v>
      </c>
      <c r="G153" s="647"/>
      <c r="H153" s="648"/>
      <c r="I153" s="649"/>
      <c r="J153" s="650"/>
      <c r="K153" s="651"/>
      <c r="L153" s="652"/>
    </row>
    <row r="154" spans="1:12" ht="15.75" x14ac:dyDescent="0.25">
      <c r="A154" s="647"/>
      <c r="B154" s="648"/>
      <c r="C154" s="649"/>
      <c r="D154" s="655" t="s">
        <v>962</v>
      </c>
      <c r="E154" s="651"/>
      <c r="F154" s="656">
        <v>0.67222222222222228</v>
      </c>
      <c r="G154" s="647"/>
      <c r="H154" s="648"/>
      <c r="I154" s="649"/>
      <c r="J154" s="650"/>
      <c r="K154" s="651"/>
      <c r="L154" s="652"/>
    </row>
    <row r="155" spans="1:12" ht="15.75" x14ac:dyDescent="0.25">
      <c r="A155" s="647"/>
      <c r="B155" s="648"/>
      <c r="C155" s="649"/>
      <c r="D155" s="655" t="s">
        <v>960</v>
      </c>
      <c r="E155" s="651"/>
      <c r="F155" s="656">
        <v>0.70347222222222228</v>
      </c>
      <c r="G155" s="647"/>
      <c r="H155" s="648"/>
      <c r="I155" s="649"/>
      <c r="J155" s="650"/>
      <c r="K155" s="651"/>
      <c r="L155" s="652"/>
    </row>
    <row r="156" spans="1:12" ht="15.75" x14ac:dyDescent="0.25">
      <c r="A156" s="647" t="s">
        <v>961</v>
      </c>
      <c r="B156" s="654"/>
      <c r="C156" s="649"/>
      <c r="D156" s="650" t="s">
        <v>163</v>
      </c>
      <c r="E156" s="657"/>
      <c r="F156" s="653">
        <v>0.76736111111111116</v>
      </c>
      <c r="G156" s="647"/>
      <c r="H156" s="648"/>
      <c r="I156" s="649"/>
      <c r="J156" s="650"/>
      <c r="K156" s="651"/>
      <c r="L156" s="652"/>
    </row>
    <row r="157" spans="1:12" ht="15.75" x14ac:dyDescent="0.25">
      <c r="A157" s="647"/>
      <c r="B157" s="648"/>
      <c r="C157" s="649"/>
      <c r="D157" s="655" t="s">
        <v>164</v>
      </c>
      <c r="E157" s="651"/>
      <c r="F157" s="656">
        <v>0.79166666666666663</v>
      </c>
      <c r="G157" s="647"/>
      <c r="H157" s="648"/>
      <c r="I157" s="649"/>
      <c r="J157" s="650"/>
      <c r="K157" s="651"/>
      <c r="L157" s="658"/>
    </row>
    <row r="158" spans="1:12" ht="15.75" x14ac:dyDescent="0.25">
      <c r="A158" s="647"/>
      <c r="B158" s="648"/>
      <c r="C158" s="649"/>
      <c r="D158" s="655" t="s">
        <v>166</v>
      </c>
      <c r="E158" s="657">
        <v>0.80208333333333337</v>
      </c>
      <c r="F158" s="656"/>
      <c r="G158" s="647"/>
      <c r="H158" s="648"/>
      <c r="I158" s="649"/>
      <c r="J158" s="655"/>
      <c r="K158" s="651"/>
      <c r="L158" s="658"/>
    </row>
    <row r="159" spans="1:12" ht="15.75" x14ac:dyDescent="0.25">
      <c r="A159" s="647"/>
      <c r="B159" s="648" t="s">
        <v>462</v>
      </c>
      <c r="C159" s="649" t="s">
        <v>459</v>
      </c>
      <c r="D159" s="650"/>
      <c r="E159" s="657"/>
      <c r="F159" s="656"/>
      <c r="G159" s="647"/>
      <c r="H159" s="648"/>
      <c r="I159" s="649"/>
      <c r="J159" s="650"/>
      <c r="K159" s="651"/>
      <c r="L159" s="658"/>
    </row>
    <row r="160" spans="1:12" ht="16.5" thickBot="1" x14ac:dyDescent="0.3">
      <c r="A160" s="659"/>
      <c r="B160" s="660"/>
      <c r="C160" s="661"/>
      <c r="D160" s="662"/>
      <c r="E160" s="663"/>
      <c r="F160" s="664"/>
      <c r="G160" s="665"/>
      <c r="H160" s="666"/>
      <c r="I160" s="667"/>
      <c r="J160" s="668"/>
      <c r="K160" s="663"/>
      <c r="L160" s="669"/>
    </row>
    <row r="161" spans="1:12" ht="21" x14ac:dyDescent="0.35">
      <c r="A161" s="769" t="s">
        <v>945</v>
      </c>
      <c r="B161" s="770"/>
      <c r="C161" s="770"/>
      <c r="D161" s="770"/>
      <c r="E161" s="770"/>
      <c r="F161" s="770"/>
      <c r="G161" s="770"/>
      <c r="H161" s="770"/>
      <c r="I161" s="770"/>
      <c r="J161" s="770"/>
      <c r="K161" s="770"/>
      <c r="L161" s="771"/>
    </row>
    <row r="162" spans="1:12" ht="18.75" x14ac:dyDescent="0.3">
      <c r="A162" s="772" t="s">
        <v>946</v>
      </c>
      <c r="B162" s="773"/>
      <c r="C162" s="773"/>
      <c r="D162" s="773"/>
      <c r="E162" s="773"/>
      <c r="F162" s="773"/>
      <c r="G162" s="773"/>
      <c r="H162" s="773"/>
      <c r="I162" s="773"/>
      <c r="J162" s="773"/>
      <c r="K162" s="773"/>
      <c r="L162" s="774"/>
    </row>
    <row r="163" spans="1:12" ht="24" x14ac:dyDescent="0.4">
      <c r="A163" s="775" t="s">
        <v>947</v>
      </c>
      <c r="B163" s="776"/>
      <c r="C163" s="776"/>
      <c r="D163" s="776"/>
      <c r="E163" s="776"/>
      <c r="F163" s="776"/>
      <c r="G163" s="776"/>
      <c r="H163" s="776"/>
      <c r="I163" s="776"/>
      <c r="J163" s="776"/>
      <c r="K163" s="776"/>
      <c r="L163" s="777"/>
    </row>
    <row r="164" spans="1:12" ht="24" x14ac:dyDescent="0.4">
      <c r="A164" s="670" t="s">
        <v>948</v>
      </c>
      <c r="B164" s="671"/>
      <c r="C164" s="671"/>
      <c r="D164" s="672" t="s">
        <v>949</v>
      </c>
      <c r="E164" s="778" t="s">
        <v>950</v>
      </c>
      <c r="F164" s="778"/>
      <c r="G164" s="778"/>
      <c r="H164" s="778"/>
      <c r="I164" s="778"/>
      <c r="J164" s="673" t="s">
        <v>994</v>
      </c>
      <c r="K164" s="778"/>
      <c r="L164" s="779"/>
    </row>
    <row r="165" spans="1:12" ht="15.75" thickBot="1" x14ac:dyDescent="0.3">
      <c r="A165" s="674"/>
      <c r="B165" s="675"/>
      <c r="C165" s="675"/>
      <c r="D165" s="676"/>
      <c r="E165" s="675"/>
      <c r="F165" s="675"/>
      <c r="G165" s="675"/>
      <c r="H165" s="675"/>
      <c r="I165" s="780"/>
      <c r="J165" s="780"/>
      <c r="K165" s="675"/>
      <c r="L165" s="677"/>
    </row>
    <row r="166" spans="1:12" ht="16.5" thickBot="1" x14ac:dyDescent="0.3">
      <c r="A166" s="631" t="s">
        <v>952</v>
      </c>
      <c r="B166" s="632"/>
      <c r="C166" s="633"/>
      <c r="D166" s="634" t="s">
        <v>953</v>
      </c>
      <c r="E166" s="631" t="s">
        <v>954</v>
      </c>
      <c r="F166" s="635" t="s">
        <v>955</v>
      </c>
      <c r="G166" s="631" t="s">
        <v>952</v>
      </c>
      <c r="H166" s="632"/>
      <c r="I166" s="633"/>
      <c r="J166" s="634" t="s">
        <v>953</v>
      </c>
      <c r="K166" s="631" t="s">
        <v>954</v>
      </c>
      <c r="L166" s="631" t="s">
        <v>955</v>
      </c>
    </row>
    <row r="167" spans="1:12" ht="15.75" x14ac:dyDescent="0.25">
      <c r="A167" s="636"/>
      <c r="B167" s="637"/>
      <c r="C167" s="638"/>
      <c r="D167" s="639"/>
      <c r="E167" s="640"/>
      <c r="F167" s="641"/>
      <c r="G167" s="636"/>
      <c r="H167" s="642"/>
      <c r="I167" s="643"/>
      <c r="J167" s="644"/>
      <c r="K167" s="645"/>
      <c r="L167" s="646"/>
    </row>
    <row r="168" spans="1:12" ht="15.75" x14ac:dyDescent="0.25">
      <c r="A168" s="647"/>
      <c r="B168" s="648" t="s">
        <v>459</v>
      </c>
      <c r="C168" s="649">
        <v>5</v>
      </c>
      <c r="D168" s="650" t="s">
        <v>995</v>
      </c>
      <c r="E168" s="651"/>
      <c r="F168" s="652"/>
      <c r="G168" s="647"/>
      <c r="H168" s="648"/>
      <c r="I168" s="649"/>
      <c r="J168" s="650"/>
      <c r="K168" s="651"/>
      <c r="L168" s="653"/>
    </row>
    <row r="169" spans="1:12" ht="15.75" x14ac:dyDescent="0.25">
      <c r="A169" s="647" t="s">
        <v>958</v>
      </c>
      <c r="B169" s="654"/>
      <c r="C169" s="649"/>
      <c r="D169" s="655" t="s">
        <v>959</v>
      </c>
      <c r="E169" s="651"/>
      <c r="F169" s="656">
        <v>0.19791666666666666</v>
      </c>
      <c r="G169" s="647"/>
      <c r="H169" s="648"/>
      <c r="I169" s="649"/>
      <c r="J169" s="655"/>
      <c r="K169" s="651"/>
      <c r="L169" s="656"/>
    </row>
    <row r="170" spans="1:12" ht="15.75" x14ac:dyDescent="0.25">
      <c r="A170" s="647" t="s">
        <v>961</v>
      </c>
      <c r="B170" s="648"/>
      <c r="C170" s="649"/>
      <c r="D170" s="650" t="s">
        <v>160</v>
      </c>
      <c r="E170" s="651"/>
      <c r="F170" s="653">
        <v>0.2361111111111111</v>
      </c>
      <c r="G170" s="647"/>
      <c r="H170" s="654"/>
      <c r="I170" s="649"/>
      <c r="J170" s="650"/>
      <c r="K170" s="651"/>
      <c r="L170" s="653"/>
    </row>
    <row r="171" spans="1:12" ht="15.75" x14ac:dyDescent="0.25">
      <c r="A171" s="647"/>
      <c r="B171" s="648"/>
      <c r="C171" s="649"/>
      <c r="D171" s="655" t="s">
        <v>962</v>
      </c>
      <c r="E171" s="651"/>
      <c r="F171" s="656">
        <v>0.24305555555555555</v>
      </c>
      <c r="G171" s="647"/>
      <c r="H171" s="648"/>
      <c r="I171" s="649"/>
      <c r="J171" s="655"/>
      <c r="K171" s="651"/>
      <c r="L171" s="656"/>
    </row>
    <row r="172" spans="1:12" ht="15.75" x14ac:dyDescent="0.25">
      <c r="A172" s="647"/>
      <c r="B172" s="648"/>
      <c r="C172" s="649"/>
      <c r="D172" s="655" t="s">
        <v>960</v>
      </c>
      <c r="E172" s="651"/>
      <c r="F172" s="656">
        <v>0.27430555555555558</v>
      </c>
      <c r="G172" s="647"/>
      <c r="H172" s="648"/>
      <c r="I172" s="649"/>
      <c r="J172" s="655"/>
      <c r="K172" s="651"/>
      <c r="L172" s="656"/>
    </row>
    <row r="173" spans="1:12" ht="15.75" x14ac:dyDescent="0.25">
      <c r="A173" s="647" t="s">
        <v>961</v>
      </c>
      <c r="B173" s="654"/>
      <c r="C173" s="649"/>
      <c r="D173" s="650" t="s">
        <v>163</v>
      </c>
      <c r="E173" s="657"/>
      <c r="F173" s="653">
        <v>0.34236111111111112</v>
      </c>
      <c r="G173" s="647"/>
      <c r="H173" s="648"/>
      <c r="I173" s="649"/>
      <c r="J173" s="650"/>
      <c r="K173" s="657"/>
      <c r="L173" s="653"/>
    </row>
    <row r="174" spans="1:12" ht="15.75" x14ac:dyDescent="0.25">
      <c r="A174" s="647"/>
      <c r="B174" s="648"/>
      <c r="C174" s="649"/>
      <c r="D174" s="655" t="s">
        <v>164</v>
      </c>
      <c r="E174" s="651"/>
      <c r="F174" s="656">
        <v>0.37013888888888891</v>
      </c>
      <c r="G174" s="647"/>
      <c r="H174" s="648"/>
      <c r="I174" s="649"/>
      <c r="J174" s="650"/>
      <c r="K174" s="657"/>
      <c r="L174" s="652"/>
    </row>
    <row r="175" spans="1:12" ht="15.75" x14ac:dyDescent="0.25">
      <c r="A175" s="647"/>
      <c r="B175" s="648"/>
      <c r="C175" s="649"/>
      <c r="D175" s="655" t="s">
        <v>166</v>
      </c>
      <c r="E175" s="657">
        <v>0.39097222222222222</v>
      </c>
      <c r="F175" s="656"/>
      <c r="G175" s="647"/>
      <c r="H175" s="648"/>
      <c r="I175" s="649"/>
      <c r="J175" s="650"/>
      <c r="K175" s="657"/>
      <c r="L175" s="652"/>
    </row>
    <row r="176" spans="1:12" ht="15.75" x14ac:dyDescent="0.25">
      <c r="A176" s="647"/>
      <c r="B176" s="648" t="s">
        <v>459</v>
      </c>
      <c r="C176" s="649">
        <v>5</v>
      </c>
      <c r="D176" s="650" t="s">
        <v>996</v>
      </c>
      <c r="E176" s="651"/>
      <c r="F176" s="653"/>
      <c r="G176" s="647"/>
      <c r="H176" s="648"/>
      <c r="I176" s="649"/>
      <c r="J176" s="650"/>
      <c r="K176" s="657"/>
      <c r="L176" s="652"/>
    </row>
    <row r="177" spans="1:12" ht="15.75" x14ac:dyDescent="0.25">
      <c r="A177" s="647"/>
      <c r="B177" s="648"/>
      <c r="C177" s="649"/>
      <c r="D177" s="655"/>
      <c r="E177" s="651"/>
      <c r="F177" s="656"/>
      <c r="G177" s="647"/>
      <c r="H177" s="648"/>
      <c r="I177" s="649"/>
      <c r="J177" s="650"/>
      <c r="K177" s="657"/>
      <c r="L177" s="652"/>
    </row>
    <row r="178" spans="1:12" ht="15.75" x14ac:dyDescent="0.25">
      <c r="A178" s="647"/>
      <c r="B178" s="648" t="s">
        <v>459</v>
      </c>
      <c r="C178" s="649">
        <v>1</v>
      </c>
      <c r="D178" s="650" t="s">
        <v>997</v>
      </c>
      <c r="E178" s="651"/>
      <c r="F178" s="653"/>
      <c r="G178" s="647"/>
      <c r="H178" s="648"/>
      <c r="I178" s="649"/>
      <c r="J178" s="650"/>
      <c r="K178" s="657"/>
      <c r="L178" s="652"/>
    </row>
    <row r="179" spans="1:12" ht="15.75" x14ac:dyDescent="0.25">
      <c r="A179" s="647"/>
      <c r="B179" s="648"/>
      <c r="C179" s="649"/>
      <c r="D179" s="655" t="s">
        <v>166</v>
      </c>
      <c r="E179" s="651"/>
      <c r="F179" s="656">
        <v>0.39097222222222222</v>
      </c>
      <c r="G179" s="647"/>
      <c r="H179" s="648"/>
      <c r="I179" s="649"/>
      <c r="J179" s="650"/>
      <c r="K179" s="657"/>
      <c r="L179" s="652"/>
    </row>
    <row r="180" spans="1:12" ht="15.75" x14ac:dyDescent="0.25">
      <c r="A180" s="647" t="s">
        <v>958</v>
      </c>
      <c r="B180" s="648"/>
      <c r="C180" s="649"/>
      <c r="D180" s="650" t="s">
        <v>160</v>
      </c>
      <c r="E180" s="657">
        <v>0.44097222222222221</v>
      </c>
      <c r="F180" s="653"/>
      <c r="G180" s="647"/>
      <c r="H180" s="648"/>
      <c r="I180" s="649"/>
      <c r="J180" s="650"/>
      <c r="K180" s="657"/>
      <c r="L180" s="653"/>
    </row>
    <row r="181" spans="1:12" ht="15.75" x14ac:dyDescent="0.25">
      <c r="A181" s="647"/>
      <c r="B181" s="648"/>
      <c r="C181" s="649"/>
      <c r="D181" s="650" t="s">
        <v>963</v>
      </c>
      <c r="E181" s="657">
        <v>0.47222222222222221</v>
      </c>
      <c r="F181" s="652"/>
      <c r="G181" s="647"/>
      <c r="H181" s="648"/>
      <c r="I181" s="649"/>
      <c r="J181" s="650"/>
      <c r="K181" s="657"/>
      <c r="L181" s="652"/>
    </row>
    <row r="182" spans="1:12" ht="15.75" x14ac:dyDescent="0.25">
      <c r="A182" s="647"/>
      <c r="B182" s="648" t="s">
        <v>462</v>
      </c>
      <c r="C182" s="649" t="s">
        <v>459</v>
      </c>
      <c r="D182" s="650"/>
      <c r="E182" s="657"/>
      <c r="F182" s="652"/>
      <c r="G182" s="647"/>
      <c r="H182" s="648"/>
      <c r="I182" s="649"/>
      <c r="J182" s="650"/>
      <c r="K182" s="657"/>
      <c r="L182" s="652"/>
    </row>
    <row r="183" spans="1:12" ht="15.75" x14ac:dyDescent="0.25">
      <c r="A183" s="647"/>
      <c r="B183" s="648"/>
      <c r="C183" s="649"/>
      <c r="D183" s="650"/>
      <c r="E183" s="657"/>
      <c r="F183" s="652"/>
      <c r="G183" s="647"/>
      <c r="H183" s="648"/>
      <c r="I183" s="649"/>
      <c r="J183" s="650"/>
      <c r="K183" s="657"/>
      <c r="L183" s="652"/>
    </row>
    <row r="184" spans="1:12" ht="15.75" x14ac:dyDescent="0.25">
      <c r="A184" s="647"/>
      <c r="B184" s="648" t="s">
        <v>459</v>
      </c>
      <c r="C184" s="649">
        <v>41</v>
      </c>
      <c r="D184" s="650" t="s">
        <v>998</v>
      </c>
      <c r="E184" s="651"/>
      <c r="F184" s="652"/>
      <c r="G184" s="647"/>
      <c r="H184" s="648"/>
      <c r="I184" s="649"/>
      <c r="J184" s="650"/>
      <c r="K184" s="657"/>
      <c r="L184" s="652"/>
    </row>
    <row r="185" spans="1:12" ht="15.75" x14ac:dyDescent="0.25">
      <c r="A185" s="647" t="s">
        <v>958</v>
      </c>
      <c r="B185" s="654"/>
      <c r="C185" s="649"/>
      <c r="D185" s="655" t="s">
        <v>959</v>
      </c>
      <c r="E185" s="651"/>
      <c r="F185" s="656">
        <v>0.55208333333333337</v>
      </c>
      <c r="G185" s="647"/>
      <c r="H185" s="648"/>
      <c r="I185" s="649"/>
      <c r="J185" s="650"/>
      <c r="K185" s="657"/>
      <c r="L185" s="652"/>
    </row>
    <row r="186" spans="1:12" ht="15.75" x14ac:dyDescent="0.25">
      <c r="A186" s="647" t="s">
        <v>961</v>
      </c>
      <c r="B186" s="648"/>
      <c r="C186" s="649"/>
      <c r="D186" s="650" t="s">
        <v>160</v>
      </c>
      <c r="E186" s="651"/>
      <c r="F186" s="653">
        <v>0.59375</v>
      </c>
      <c r="G186" s="647"/>
      <c r="H186" s="648"/>
      <c r="I186" s="649"/>
      <c r="J186" s="650"/>
      <c r="K186" s="657"/>
      <c r="L186" s="652"/>
    </row>
    <row r="187" spans="1:12" ht="15.75" x14ac:dyDescent="0.25">
      <c r="A187" s="647"/>
      <c r="B187" s="648"/>
      <c r="C187" s="649"/>
      <c r="D187" s="655" t="s">
        <v>962</v>
      </c>
      <c r="E187" s="651"/>
      <c r="F187" s="656">
        <v>0.60416666666666663</v>
      </c>
      <c r="G187" s="647"/>
      <c r="H187" s="648"/>
      <c r="I187" s="649"/>
      <c r="J187" s="650"/>
      <c r="K187" s="651"/>
      <c r="L187" s="658"/>
    </row>
    <row r="188" spans="1:12" ht="15.75" x14ac:dyDescent="0.25">
      <c r="A188" s="647"/>
      <c r="B188" s="648"/>
      <c r="C188" s="649"/>
      <c r="D188" s="655" t="s">
        <v>960</v>
      </c>
      <c r="E188" s="657">
        <v>0.63888888888888884</v>
      </c>
      <c r="F188" s="656"/>
      <c r="G188" s="647"/>
      <c r="H188" s="648"/>
      <c r="I188" s="649"/>
      <c r="J188" s="655"/>
      <c r="K188" s="651"/>
      <c r="L188" s="658"/>
    </row>
    <row r="189" spans="1:12" ht="15.75" x14ac:dyDescent="0.25">
      <c r="A189" s="647"/>
      <c r="B189" s="648" t="s">
        <v>459</v>
      </c>
      <c r="C189" s="649">
        <v>41</v>
      </c>
      <c r="D189" s="650" t="s">
        <v>999</v>
      </c>
      <c r="E189" s="651"/>
      <c r="F189" s="653"/>
      <c r="G189" s="647"/>
      <c r="H189" s="648"/>
      <c r="I189" s="649"/>
      <c r="J189" s="650"/>
      <c r="K189" s="651"/>
      <c r="L189" s="658"/>
    </row>
    <row r="190" spans="1:12" ht="15.75" x14ac:dyDescent="0.25">
      <c r="A190" s="647"/>
      <c r="B190" s="648"/>
      <c r="C190" s="649"/>
      <c r="D190" s="655"/>
      <c r="E190" s="651"/>
      <c r="F190" s="656"/>
      <c r="G190" s="647"/>
      <c r="H190" s="648"/>
      <c r="I190" s="649"/>
      <c r="J190" s="650"/>
      <c r="K190" s="651"/>
      <c r="L190" s="652"/>
    </row>
    <row r="191" spans="1:12" ht="15.75" x14ac:dyDescent="0.25">
      <c r="A191" s="647"/>
      <c r="B191" s="648" t="s">
        <v>459</v>
      </c>
      <c r="C191" s="649">
        <v>219</v>
      </c>
      <c r="D191" s="650" t="s">
        <v>1000</v>
      </c>
      <c r="E191" s="651"/>
      <c r="F191" s="653"/>
      <c r="G191" s="647"/>
      <c r="H191" s="648"/>
      <c r="I191" s="649"/>
      <c r="J191" s="650"/>
      <c r="K191" s="651"/>
      <c r="L191" s="652"/>
    </row>
    <row r="192" spans="1:12" ht="15.75" x14ac:dyDescent="0.25">
      <c r="A192" s="647"/>
      <c r="B192" s="648"/>
      <c r="C192" s="649"/>
      <c r="D192" s="655" t="s">
        <v>960</v>
      </c>
      <c r="E192" s="651"/>
      <c r="F192" s="656">
        <v>0.63888888888888884</v>
      </c>
      <c r="G192" s="647"/>
      <c r="H192" s="648"/>
      <c r="I192" s="649"/>
      <c r="J192" s="650"/>
      <c r="K192" s="651"/>
      <c r="L192" s="652"/>
    </row>
    <row r="193" spans="1:12" ht="15.75" x14ac:dyDescent="0.25">
      <c r="A193" s="647" t="s">
        <v>961</v>
      </c>
      <c r="B193" s="654"/>
      <c r="C193" s="649"/>
      <c r="D193" s="650" t="s">
        <v>163</v>
      </c>
      <c r="E193" s="651"/>
      <c r="F193" s="653">
        <v>0.70138888888888884</v>
      </c>
      <c r="G193" s="647"/>
      <c r="H193" s="648"/>
      <c r="I193" s="649"/>
      <c r="J193" s="650"/>
      <c r="K193" s="651"/>
      <c r="L193" s="652"/>
    </row>
    <row r="194" spans="1:12" ht="15.75" x14ac:dyDescent="0.25">
      <c r="A194" s="647"/>
      <c r="B194" s="648"/>
      <c r="C194" s="649"/>
      <c r="D194" s="655" t="s">
        <v>164</v>
      </c>
      <c r="E194" s="651"/>
      <c r="F194" s="656">
        <v>0.72916666666666663</v>
      </c>
      <c r="G194" s="647"/>
      <c r="H194" s="648"/>
      <c r="I194" s="649"/>
      <c r="J194" s="650"/>
      <c r="K194" s="651"/>
      <c r="L194" s="652"/>
    </row>
    <row r="195" spans="1:12" ht="15.75" x14ac:dyDescent="0.25">
      <c r="A195" s="647"/>
      <c r="B195" s="648"/>
      <c r="C195" s="649"/>
      <c r="D195" s="655" t="s">
        <v>166</v>
      </c>
      <c r="E195" s="651"/>
      <c r="F195" s="656">
        <v>0.74305555555555558</v>
      </c>
      <c r="G195" s="647"/>
      <c r="H195" s="648"/>
      <c r="I195" s="649"/>
      <c r="J195" s="650"/>
      <c r="K195" s="651"/>
      <c r="L195" s="652"/>
    </row>
    <row r="196" spans="1:12" ht="15.75" x14ac:dyDescent="0.25">
      <c r="A196" s="647" t="s">
        <v>958</v>
      </c>
      <c r="B196" s="648"/>
      <c r="C196" s="649"/>
      <c r="D196" s="650" t="s">
        <v>160</v>
      </c>
      <c r="E196" s="657">
        <v>0.78749999999999998</v>
      </c>
      <c r="F196" s="653"/>
      <c r="G196" s="647"/>
      <c r="H196" s="648"/>
      <c r="I196" s="649"/>
      <c r="J196" s="650"/>
      <c r="K196" s="651"/>
      <c r="L196" s="652"/>
    </row>
    <row r="197" spans="1:12" ht="15.75" x14ac:dyDescent="0.25">
      <c r="A197" s="647"/>
      <c r="B197" s="648"/>
      <c r="C197" s="649"/>
      <c r="D197" s="650" t="s">
        <v>963</v>
      </c>
      <c r="E197" s="657" t="s">
        <v>386</v>
      </c>
      <c r="F197" s="652"/>
      <c r="G197" s="647"/>
      <c r="H197" s="648"/>
      <c r="I197" s="649"/>
      <c r="J197" s="650"/>
      <c r="K197" s="651"/>
      <c r="L197" s="658"/>
    </row>
    <row r="198" spans="1:12" ht="15.75" x14ac:dyDescent="0.25">
      <c r="A198" s="647"/>
      <c r="B198" s="648" t="s">
        <v>462</v>
      </c>
      <c r="C198" s="649" t="s">
        <v>459</v>
      </c>
      <c r="D198" s="650"/>
      <c r="E198" s="657"/>
      <c r="F198" s="652"/>
      <c r="G198" s="647"/>
      <c r="H198" s="648"/>
      <c r="I198" s="649"/>
      <c r="J198" s="655"/>
      <c r="K198" s="651"/>
      <c r="L198" s="658"/>
    </row>
    <row r="199" spans="1:12" ht="15.75" x14ac:dyDescent="0.25">
      <c r="A199" s="647"/>
      <c r="B199" s="648"/>
      <c r="C199" s="649"/>
      <c r="D199" s="650"/>
      <c r="E199" s="651"/>
      <c r="F199" s="652"/>
      <c r="G199" s="647"/>
      <c r="H199" s="648"/>
      <c r="I199" s="649"/>
      <c r="J199" s="650"/>
      <c r="K199" s="651"/>
      <c r="L199" s="658"/>
    </row>
    <row r="200" spans="1:12" ht="16.5" thickBot="1" x14ac:dyDescent="0.3">
      <c r="A200" s="659"/>
      <c r="B200" s="660"/>
      <c r="C200" s="661"/>
      <c r="D200" s="662"/>
      <c r="E200" s="663"/>
      <c r="F200" s="664"/>
      <c r="G200" s="665"/>
      <c r="H200" s="666"/>
      <c r="I200" s="667"/>
      <c r="J200" s="668"/>
      <c r="K200" s="663"/>
      <c r="L200" s="669"/>
    </row>
    <row r="201" spans="1:12" ht="21" x14ac:dyDescent="0.35">
      <c r="A201" s="769" t="s">
        <v>945</v>
      </c>
      <c r="B201" s="770"/>
      <c r="C201" s="770"/>
      <c r="D201" s="770"/>
      <c r="E201" s="770"/>
      <c r="F201" s="770"/>
      <c r="G201" s="770"/>
      <c r="H201" s="770"/>
      <c r="I201" s="770"/>
      <c r="J201" s="770"/>
      <c r="K201" s="770"/>
      <c r="L201" s="771"/>
    </row>
    <row r="202" spans="1:12" ht="18.75" x14ac:dyDescent="0.3">
      <c r="A202" s="772" t="s">
        <v>946</v>
      </c>
      <c r="B202" s="773"/>
      <c r="C202" s="773"/>
      <c r="D202" s="773"/>
      <c r="E202" s="773"/>
      <c r="F202" s="773"/>
      <c r="G202" s="773"/>
      <c r="H202" s="773"/>
      <c r="I202" s="773"/>
      <c r="J202" s="773"/>
      <c r="K202" s="773"/>
      <c r="L202" s="774"/>
    </row>
    <row r="203" spans="1:12" ht="24" x14ac:dyDescent="0.4">
      <c r="A203" s="775" t="s">
        <v>947</v>
      </c>
      <c r="B203" s="776"/>
      <c r="C203" s="776"/>
      <c r="D203" s="776"/>
      <c r="E203" s="776"/>
      <c r="F203" s="776"/>
      <c r="G203" s="776"/>
      <c r="H203" s="776"/>
      <c r="I203" s="776"/>
      <c r="J203" s="776"/>
      <c r="K203" s="776"/>
      <c r="L203" s="777"/>
    </row>
    <row r="204" spans="1:12" ht="24" x14ac:dyDescent="0.4">
      <c r="A204" s="670" t="s">
        <v>948</v>
      </c>
      <c r="B204" s="671"/>
      <c r="C204" s="671"/>
      <c r="D204" s="672" t="s">
        <v>949</v>
      </c>
      <c r="E204" s="778" t="s">
        <v>950</v>
      </c>
      <c r="F204" s="778"/>
      <c r="G204" s="778"/>
      <c r="H204" s="778"/>
      <c r="I204" s="778"/>
      <c r="J204" s="673" t="s">
        <v>1001</v>
      </c>
      <c r="K204" s="778"/>
      <c r="L204" s="779"/>
    </row>
    <row r="205" spans="1:12" ht="15.75" thickBot="1" x14ac:dyDescent="0.3">
      <c r="A205" s="674"/>
      <c r="B205" s="675"/>
      <c r="C205" s="675"/>
      <c r="D205" s="676"/>
      <c r="E205" s="675"/>
      <c r="F205" s="675"/>
      <c r="G205" s="675"/>
      <c r="H205" s="675"/>
      <c r="I205" s="780"/>
      <c r="J205" s="780"/>
      <c r="K205" s="675"/>
      <c r="L205" s="677"/>
    </row>
    <row r="206" spans="1:12" ht="16.5" thickBot="1" x14ac:dyDescent="0.3">
      <c r="A206" s="631" t="s">
        <v>952</v>
      </c>
      <c r="B206" s="632"/>
      <c r="C206" s="633"/>
      <c r="D206" s="634" t="s">
        <v>953</v>
      </c>
      <c r="E206" s="631" t="s">
        <v>954</v>
      </c>
      <c r="F206" s="635" t="s">
        <v>955</v>
      </c>
      <c r="G206" s="631" t="s">
        <v>952</v>
      </c>
      <c r="H206" s="632"/>
      <c r="I206" s="633"/>
      <c r="J206" s="634" t="s">
        <v>953</v>
      </c>
      <c r="K206" s="631" t="s">
        <v>954</v>
      </c>
      <c r="L206" s="631" t="s">
        <v>955</v>
      </c>
    </row>
    <row r="207" spans="1:12" ht="15.75" x14ac:dyDescent="0.25">
      <c r="A207" s="636"/>
      <c r="B207" s="637"/>
      <c r="C207" s="638"/>
      <c r="D207" s="639"/>
      <c r="E207" s="640"/>
      <c r="F207" s="641"/>
      <c r="G207" s="636"/>
      <c r="H207" s="642"/>
      <c r="I207" s="643"/>
      <c r="J207" s="644"/>
      <c r="K207" s="645"/>
      <c r="L207" s="646"/>
    </row>
    <row r="208" spans="1:12" ht="15.75" x14ac:dyDescent="0.25">
      <c r="A208" s="647"/>
      <c r="B208" s="648" t="s">
        <v>459</v>
      </c>
      <c r="C208" s="649">
        <v>6</v>
      </c>
      <c r="D208" s="650" t="s">
        <v>1002</v>
      </c>
      <c r="E208" s="651"/>
      <c r="F208" s="652"/>
      <c r="G208" s="647"/>
      <c r="H208" s="648" t="s">
        <v>459</v>
      </c>
      <c r="I208" s="649">
        <v>60</v>
      </c>
      <c r="J208" s="650" t="s">
        <v>1003</v>
      </c>
      <c r="K208" s="651"/>
      <c r="L208" s="653"/>
    </row>
    <row r="209" spans="1:12" ht="15.75" x14ac:dyDescent="0.25">
      <c r="A209" s="647" t="s">
        <v>958</v>
      </c>
      <c r="B209" s="654"/>
      <c r="C209" s="649"/>
      <c r="D209" s="655" t="s">
        <v>959</v>
      </c>
      <c r="E209" s="651"/>
      <c r="F209" s="656">
        <v>0.2013888888888889</v>
      </c>
      <c r="G209" s="647"/>
      <c r="H209" s="648"/>
      <c r="I209" s="649"/>
      <c r="J209" s="655" t="s">
        <v>166</v>
      </c>
      <c r="K209" s="651"/>
      <c r="L209" s="656">
        <v>0.67013888888888884</v>
      </c>
    </row>
    <row r="210" spans="1:12" ht="15.75" x14ac:dyDescent="0.25">
      <c r="A210" s="647" t="s">
        <v>961</v>
      </c>
      <c r="B210" s="654"/>
      <c r="C210" s="649"/>
      <c r="D210" s="650" t="s">
        <v>163</v>
      </c>
      <c r="E210" s="651"/>
      <c r="F210" s="653">
        <v>0.22916666666666666</v>
      </c>
      <c r="G210" s="647" t="s">
        <v>961</v>
      </c>
      <c r="H210" s="648"/>
      <c r="I210" s="649"/>
      <c r="J210" s="650" t="s">
        <v>160</v>
      </c>
      <c r="K210" s="651"/>
      <c r="L210" s="653">
        <v>0.72777777777777775</v>
      </c>
    </row>
    <row r="211" spans="1:12" ht="15.75" x14ac:dyDescent="0.25">
      <c r="A211" s="647"/>
      <c r="B211" s="648"/>
      <c r="C211" s="649"/>
      <c r="D211" s="655" t="s">
        <v>164</v>
      </c>
      <c r="E211" s="651"/>
      <c r="F211" s="656">
        <v>0.25694444444444442</v>
      </c>
      <c r="G211" s="647"/>
      <c r="H211" s="648"/>
      <c r="I211" s="649"/>
      <c r="J211" s="655" t="s">
        <v>962</v>
      </c>
      <c r="K211" s="651"/>
      <c r="L211" s="656">
        <v>0.73472222222222228</v>
      </c>
    </row>
    <row r="212" spans="1:12" ht="15.75" x14ac:dyDescent="0.25">
      <c r="A212" s="647"/>
      <c r="B212" s="648"/>
      <c r="C212" s="649"/>
      <c r="D212" s="655" t="s">
        <v>166</v>
      </c>
      <c r="E212" s="651"/>
      <c r="F212" s="656">
        <v>0.27430555555555558</v>
      </c>
      <c r="G212" s="647"/>
      <c r="H212" s="648"/>
      <c r="I212" s="649"/>
      <c r="J212" s="655" t="s">
        <v>960</v>
      </c>
      <c r="K212" s="651"/>
      <c r="L212" s="656">
        <v>0.76597222222222228</v>
      </c>
    </row>
    <row r="213" spans="1:12" ht="15.75" x14ac:dyDescent="0.25">
      <c r="A213" s="647" t="s">
        <v>961</v>
      </c>
      <c r="B213" s="648"/>
      <c r="C213" s="649"/>
      <c r="D213" s="650" t="s">
        <v>160</v>
      </c>
      <c r="E213" s="651"/>
      <c r="F213" s="653">
        <v>0.33124999999999999</v>
      </c>
      <c r="G213" s="647" t="s">
        <v>958</v>
      </c>
      <c r="H213" s="654"/>
      <c r="I213" s="649"/>
      <c r="J213" s="650" t="s">
        <v>163</v>
      </c>
      <c r="K213" s="657">
        <v>0.81666666666666665</v>
      </c>
      <c r="L213" s="653"/>
    </row>
    <row r="214" spans="1:12" ht="15.75" x14ac:dyDescent="0.25">
      <c r="A214" s="647"/>
      <c r="B214" s="648"/>
      <c r="C214" s="649"/>
      <c r="D214" s="655" t="s">
        <v>962</v>
      </c>
      <c r="E214" s="651"/>
      <c r="F214" s="656">
        <v>0.34166666666666667</v>
      </c>
      <c r="G214" s="647"/>
      <c r="H214" s="648"/>
      <c r="I214" s="649"/>
      <c r="J214" s="650" t="s">
        <v>963</v>
      </c>
      <c r="K214" s="657">
        <v>0.84097222222222223</v>
      </c>
      <c r="L214" s="652"/>
    </row>
    <row r="215" spans="1:12" ht="15.75" x14ac:dyDescent="0.25">
      <c r="A215" s="647"/>
      <c r="B215" s="648"/>
      <c r="C215" s="649"/>
      <c r="D215" s="655" t="s">
        <v>960</v>
      </c>
      <c r="E215" s="657">
        <v>0.37986111111111109</v>
      </c>
      <c r="F215" s="656"/>
      <c r="G215" s="647"/>
      <c r="H215" s="648" t="s">
        <v>459</v>
      </c>
      <c r="I215" s="649">
        <v>60</v>
      </c>
      <c r="J215" s="650" t="s">
        <v>1004</v>
      </c>
      <c r="K215" s="657"/>
      <c r="L215" s="652"/>
    </row>
    <row r="216" spans="1:12" ht="15.75" x14ac:dyDescent="0.25">
      <c r="A216" s="647"/>
      <c r="B216" s="648" t="s">
        <v>459</v>
      </c>
      <c r="C216" s="649">
        <v>6</v>
      </c>
      <c r="D216" s="650" t="s">
        <v>1005</v>
      </c>
      <c r="E216" s="651"/>
      <c r="F216" s="653"/>
      <c r="G216" s="647"/>
      <c r="H216" s="648"/>
      <c r="I216" s="649"/>
      <c r="J216" s="650"/>
      <c r="K216" s="657"/>
      <c r="L216" s="652"/>
    </row>
    <row r="217" spans="1:12" ht="15.75" x14ac:dyDescent="0.25">
      <c r="A217" s="647"/>
      <c r="B217" s="648"/>
      <c r="C217" s="649"/>
      <c r="D217" s="655"/>
      <c r="E217" s="651"/>
      <c r="F217" s="656"/>
      <c r="G217" s="647"/>
      <c r="H217" s="648"/>
      <c r="I217" s="649"/>
      <c r="J217" s="650"/>
      <c r="K217" s="657"/>
      <c r="L217" s="652"/>
    </row>
    <row r="218" spans="1:12" ht="15.75" x14ac:dyDescent="0.25">
      <c r="A218" s="647"/>
      <c r="B218" s="648" t="s">
        <v>459</v>
      </c>
      <c r="C218" s="649">
        <v>219</v>
      </c>
      <c r="D218" s="650" t="s">
        <v>1006</v>
      </c>
      <c r="E218" s="651"/>
      <c r="F218" s="653"/>
      <c r="G218" s="647"/>
      <c r="H218" s="648"/>
      <c r="I218" s="649"/>
      <c r="J218" s="650"/>
      <c r="K218" s="651"/>
      <c r="L218" s="652"/>
    </row>
    <row r="219" spans="1:12" ht="15.75" x14ac:dyDescent="0.25">
      <c r="A219" s="647"/>
      <c r="B219" s="648"/>
      <c r="C219" s="649"/>
      <c r="D219" s="655" t="s">
        <v>960</v>
      </c>
      <c r="E219" s="651"/>
      <c r="F219" s="656">
        <v>0.37986111111111109</v>
      </c>
      <c r="G219" s="647"/>
      <c r="H219" s="648"/>
      <c r="I219" s="649"/>
      <c r="J219" s="650"/>
      <c r="K219" s="651"/>
      <c r="L219" s="652"/>
    </row>
    <row r="220" spans="1:12" ht="15.75" x14ac:dyDescent="0.25">
      <c r="A220" s="647" t="s">
        <v>961</v>
      </c>
      <c r="B220" s="654"/>
      <c r="C220" s="649"/>
      <c r="D220" s="650" t="s">
        <v>163</v>
      </c>
      <c r="E220" s="657"/>
      <c r="F220" s="653">
        <v>0.43402777777777724</v>
      </c>
      <c r="G220" s="647"/>
      <c r="H220" s="648"/>
      <c r="I220" s="649"/>
      <c r="J220" s="650"/>
      <c r="K220" s="651"/>
      <c r="L220" s="658"/>
    </row>
    <row r="221" spans="1:12" ht="15.75" x14ac:dyDescent="0.25">
      <c r="A221" s="647"/>
      <c r="B221" s="648"/>
      <c r="C221" s="649"/>
      <c r="D221" s="655" t="s">
        <v>164</v>
      </c>
      <c r="E221" s="651"/>
      <c r="F221" s="656">
        <v>0.46180555555555503</v>
      </c>
      <c r="G221" s="647"/>
      <c r="H221" s="648"/>
      <c r="I221" s="649"/>
      <c r="J221" s="655"/>
      <c r="K221" s="651"/>
      <c r="L221" s="658"/>
    </row>
    <row r="222" spans="1:12" ht="15.75" x14ac:dyDescent="0.25">
      <c r="A222" s="647"/>
      <c r="B222" s="648"/>
      <c r="C222" s="649"/>
      <c r="D222" s="655" t="s">
        <v>166</v>
      </c>
      <c r="E222" s="657">
        <v>0.47916666666666669</v>
      </c>
      <c r="F222" s="656"/>
      <c r="G222" s="647"/>
      <c r="H222" s="648"/>
      <c r="I222" s="649"/>
      <c r="J222" s="650"/>
      <c r="K222" s="651"/>
      <c r="L222" s="658"/>
    </row>
    <row r="223" spans="1:12" ht="15.75" x14ac:dyDescent="0.25">
      <c r="A223" s="647"/>
      <c r="B223" s="648" t="s">
        <v>459</v>
      </c>
      <c r="C223" s="649">
        <v>219</v>
      </c>
      <c r="D223" s="650" t="s">
        <v>1007</v>
      </c>
      <c r="E223" s="651"/>
      <c r="F223" s="653"/>
      <c r="G223" s="647"/>
      <c r="H223" s="648"/>
      <c r="I223" s="649"/>
      <c r="J223" s="650"/>
      <c r="K223" s="651"/>
      <c r="L223" s="656"/>
    </row>
    <row r="224" spans="1:12" ht="15.75" x14ac:dyDescent="0.25">
      <c r="A224" s="647"/>
      <c r="B224" s="648"/>
      <c r="C224" s="649"/>
      <c r="D224" s="655"/>
      <c r="E224" s="651"/>
      <c r="F224" s="656"/>
      <c r="G224" s="647"/>
      <c r="H224" s="648"/>
      <c r="I224" s="649"/>
      <c r="J224" s="655"/>
      <c r="K224" s="657"/>
      <c r="L224" s="656"/>
    </row>
    <row r="225" spans="1:12" ht="15.75" x14ac:dyDescent="0.25">
      <c r="A225" s="647"/>
      <c r="B225" s="648" t="s">
        <v>459</v>
      </c>
      <c r="C225" s="649">
        <v>22</v>
      </c>
      <c r="D225" s="650" t="s">
        <v>1008</v>
      </c>
      <c r="E225" s="651"/>
      <c r="F225" s="653"/>
      <c r="G225" s="647"/>
      <c r="H225" s="648"/>
      <c r="I225" s="649"/>
      <c r="J225" s="650"/>
      <c r="K225" s="651"/>
      <c r="L225" s="653"/>
    </row>
    <row r="226" spans="1:12" ht="15.75" x14ac:dyDescent="0.25">
      <c r="A226" s="647"/>
      <c r="B226" s="648"/>
      <c r="C226" s="649"/>
      <c r="D226" s="655" t="s">
        <v>166</v>
      </c>
      <c r="E226" s="651"/>
      <c r="F226" s="656">
        <v>0.47916666666666669</v>
      </c>
      <c r="G226" s="647"/>
      <c r="H226" s="648"/>
      <c r="I226" s="649"/>
      <c r="J226" s="655"/>
      <c r="K226" s="651"/>
      <c r="L226" s="656"/>
    </row>
    <row r="227" spans="1:12" ht="15.75" x14ac:dyDescent="0.25">
      <c r="A227" s="647" t="s">
        <v>961</v>
      </c>
      <c r="B227" s="648"/>
      <c r="C227" s="649"/>
      <c r="D227" s="650" t="s">
        <v>160</v>
      </c>
      <c r="E227" s="651"/>
      <c r="F227" s="653">
        <v>0.52430555555555558</v>
      </c>
      <c r="G227" s="647"/>
      <c r="H227" s="654"/>
      <c r="I227" s="649"/>
      <c r="J227" s="650"/>
      <c r="K227" s="657"/>
      <c r="L227" s="653"/>
    </row>
    <row r="228" spans="1:12" ht="15.75" x14ac:dyDescent="0.25">
      <c r="A228" s="647"/>
      <c r="B228" s="648"/>
      <c r="C228" s="649"/>
      <c r="D228" s="655" t="s">
        <v>962</v>
      </c>
      <c r="E228" s="651"/>
      <c r="F228" s="656">
        <v>0.53472222222222221</v>
      </c>
      <c r="G228" s="647"/>
      <c r="H228" s="648"/>
      <c r="I228" s="649"/>
      <c r="J228" s="655"/>
      <c r="K228" s="651"/>
      <c r="L228" s="656"/>
    </row>
    <row r="229" spans="1:12" ht="15.75" x14ac:dyDescent="0.25">
      <c r="A229" s="647"/>
      <c r="B229" s="648"/>
      <c r="C229" s="649"/>
      <c r="D229" s="655" t="s">
        <v>960</v>
      </c>
      <c r="E229" s="657">
        <v>0.55902777777777779</v>
      </c>
      <c r="F229" s="656"/>
      <c r="G229" s="647"/>
      <c r="H229" s="648"/>
      <c r="I229" s="649"/>
      <c r="J229" s="655"/>
      <c r="K229" s="651"/>
      <c r="L229" s="656"/>
    </row>
    <row r="230" spans="1:12" ht="15.75" x14ac:dyDescent="0.25">
      <c r="A230" s="647"/>
      <c r="B230" s="648" t="s">
        <v>462</v>
      </c>
      <c r="C230" s="649" t="s">
        <v>459</v>
      </c>
      <c r="D230" s="650"/>
      <c r="E230" s="651"/>
      <c r="F230" s="656"/>
      <c r="G230" s="647"/>
      <c r="H230" s="648"/>
      <c r="I230" s="649"/>
      <c r="J230" s="650"/>
      <c r="K230" s="657"/>
      <c r="L230" s="653"/>
    </row>
    <row r="231" spans="1:12" ht="15.75" x14ac:dyDescent="0.25">
      <c r="A231" s="647"/>
      <c r="B231" s="648"/>
      <c r="C231" s="649"/>
      <c r="D231" s="655"/>
      <c r="E231" s="657"/>
      <c r="F231" s="656"/>
      <c r="G231" s="647"/>
      <c r="H231" s="648"/>
      <c r="I231" s="649"/>
      <c r="J231" s="650"/>
      <c r="K231" s="657"/>
      <c r="L231" s="652"/>
    </row>
    <row r="232" spans="1:12" ht="15.75" x14ac:dyDescent="0.25">
      <c r="A232" s="647"/>
      <c r="B232" s="648" t="s">
        <v>459</v>
      </c>
      <c r="C232" s="649">
        <v>43</v>
      </c>
      <c r="D232" s="650" t="s">
        <v>1009</v>
      </c>
      <c r="E232" s="651"/>
      <c r="F232" s="653"/>
      <c r="G232" s="647"/>
      <c r="H232" s="648"/>
      <c r="I232" s="649"/>
      <c r="J232" s="650"/>
      <c r="K232" s="657"/>
      <c r="L232" s="652"/>
    </row>
    <row r="233" spans="1:12" ht="15.75" x14ac:dyDescent="0.25">
      <c r="A233" s="647"/>
      <c r="B233" s="648"/>
      <c r="C233" s="649"/>
      <c r="D233" s="655" t="s">
        <v>960</v>
      </c>
      <c r="E233" s="651"/>
      <c r="F233" s="656">
        <v>0.55902777777777779</v>
      </c>
      <c r="G233" s="647"/>
      <c r="H233" s="648"/>
      <c r="I233" s="649"/>
      <c r="J233" s="650"/>
      <c r="K233" s="657"/>
      <c r="L233" s="652"/>
    </row>
    <row r="234" spans="1:12" ht="15.75" x14ac:dyDescent="0.25">
      <c r="A234" s="647" t="s">
        <v>961</v>
      </c>
      <c r="B234" s="654"/>
      <c r="C234" s="649"/>
      <c r="D234" s="650" t="s">
        <v>163</v>
      </c>
      <c r="E234" s="657"/>
      <c r="F234" s="653">
        <v>0.62152777777777779</v>
      </c>
      <c r="G234" s="647"/>
      <c r="H234" s="648"/>
      <c r="I234" s="649"/>
      <c r="J234" s="650"/>
      <c r="K234" s="657"/>
      <c r="L234" s="652"/>
    </row>
    <row r="235" spans="1:12" ht="15.75" x14ac:dyDescent="0.25">
      <c r="A235" s="647"/>
      <c r="B235" s="648"/>
      <c r="C235" s="649"/>
      <c r="D235" s="655" t="s">
        <v>164</v>
      </c>
      <c r="E235" s="651"/>
      <c r="F235" s="656">
        <v>0.65625</v>
      </c>
      <c r="G235" s="647"/>
      <c r="H235" s="648"/>
      <c r="I235" s="649"/>
      <c r="J235" s="650"/>
      <c r="K235" s="651"/>
      <c r="L235" s="652"/>
    </row>
    <row r="236" spans="1:12" ht="15.75" x14ac:dyDescent="0.25">
      <c r="A236" s="647"/>
      <c r="B236" s="648"/>
      <c r="C236" s="649"/>
      <c r="D236" s="655" t="s">
        <v>166</v>
      </c>
      <c r="E236" s="657">
        <v>0.67013888888888884</v>
      </c>
      <c r="F236" s="656"/>
      <c r="G236" s="647"/>
      <c r="H236" s="648"/>
      <c r="I236" s="649"/>
      <c r="J236" s="650"/>
      <c r="K236" s="651"/>
      <c r="L236" s="652"/>
    </row>
    <row r="237" spans="1:12" ht="15.75" x14ac:dyDescent="0.25">
      <c r="A237" s="647"/>
      <c r="B237" s="648" t="s">
        <v>459</v>
      </c>
      <c r="C237" s="649">
        <v>43</v>
      </c>
      <c r="D237" s="650" t="s">
        <v>1010</v>
      </c>
      <c r="E237" s="657"/>
      <c r="F237" s="656"/>
      <c r="G237" s="647"/>
      <c r="H237" s="648"/>
      <c r="I237" s="649"/>
      <c r="J237" s="650"/>
      <c r="K237" s="651"/>
      <c r="L237" s="658"/>
    </row>
    <row r="238" spans="1:12" ht="15.75" x14ac:dyDescent="0.25">
      <c r="A238" s="647"/>
      <c r="B238" s="648"/>
      <c r="C238" s="649"/>
      <c r="D238" s="650"/>
      <c r="E238" s="657"/>
      <c r="F238" s="653"/>
      <c r="G238" s="647"/>
      <c r="H238" s="648"/>
      <c r="I238" s="649"/>
      <c r="J238" s="655"/>
      <c r="K238" s="651"/>
      <c r="L238" s="658"/>
    </row>
    <row r="239" spans="1:12" ht="15.75" x14ac:dyDescent="0.25">
      <c r="A239" s="647"/>
      <c r="B239" s="648"/>
      <c r="C239" s="649"/>
      <c r="D239" s="650"/>
      <c r="E239" s="651"/>
      <c r="F239" s="652"/>
      <c r="G239" s="647"/>
      <c r="H239" s="648"/>
      <c r="I239" s="649"/>
      <c r="J239" s="650"/>
      <c r="K239" s="651"/>
      <c r="L239" s="658"/>
    </row>
    <row r="240" spans="1:12" ht="16.5" thickBot="1" x14ac:dyDescent="0.3">
      <c r="A240" s="659"/>
      <c r="B240" s="660"/>
      <c r="C240" s="661"/>
      <c r="D240" s="662"/>
      <c r="E240" s="663"/>
      <c r="F240" s="664"/>
      <c r="G240" s="665"/>
      <c r="H240" s="666"/>
      <c r="I240" s="667"/>
      <c r="J240" s="668"/>
      <c r="K240" s="663"/>
      <c r="L240" s="669"/>
    </row>
    <row r="241" spans="1:12" ht="21" x14ac:dyDescent="0.35">
      <c r="A241" s="769" t="s">
        <v>945</v>
      </c>
      <c r="B241" s="770"/>
      <c r="C241" s="770"/>
      <c r="D241" s="770"/>
      <c r="E241" s="770"/>
      <c r="F241" s="770"/>
      <c r="G241" s="770"/>
      <c r="H241" s="770"/>
      <c r="I241" s="770"/>
      <c r="J241" s="770"/>
      <c r="K241" s="770"/>
      <c r="L241" s="771"/>
    </row>
    <row r="242" spans="1:12" ht="18.75" x14ac:dyDescent="0.3">
      <c r="A242" s="772" t="s">
        <v>946</v>
      </c>
      <c r="B242" s="773"/>
      <c r="C242" s="773"/>
      <c r="D242" s="773"/>
      <c r="E242" s="773"/>
      <c r="F242" s="773"/>
      <c r="G242" s="773"/>
      <c r="H242" s="773"/>
      <c r="I242" s="773"/>
      <c r="J242" s="773"/>
      <c r="K242" s="773"/>
      <c r="L242" s="774"/>
    </row>
    <row r="243" spans="1:12" ht="24" x14ac:dyDescent="0.4">
      <c r="A243" s="775" t="s">
        <v>947</v>
      </c>
      <c r="B243" s="776"/>
      <c r="C243" s="776"/>
      <c r="D243" s="776"/>
      <c r="E243" s="776"/>
      <c r="F243" s="776"/>
      <c r="G243" s="776"/>
      <c r="H243" s="776"/>
      <c r="I243" s="776"/>
      <c r="J243" s="776"/>
      <c r="K243" s="776"/>
      <c r="L243" s="777"/>
    </row>
    <row r="244" spans="1:12" ht="24" x14ac:dyDescent="0.4">
      <c r="A244" s="670" t="s">
        <v>948</v>
      </c>
      <c r="B244" s="671"/>
      <c r="C244" s="671"/>
      <c r="D244" s="672" t="s">
        <v>949</v>
      </c>
      <c r="E244" s="778" t="s">
        <v>950</v>
      </c>
      <c r="F244" s="778"/>
      <c r="G244" s="778"/>
      <c r="H244" s="778"/>
      <c r="I244" s="778"/>
      <c r="J244" s="673" t="s">
        <v>1011</v>
      </c>
      <c r="K244" s="778"/>
      <c r="L244" s="779"/>
    </row>
    <row r="245" spans="1:12" ht="15.75" thickBot="1" x14ac:dyDescent="0.3">
      <c r="A245" s="674"/>
      <c r="B245" s="675"/>
      <c r="C245" s="675"/>
      <c r="D245" s="676"/>
      <c r="E245" s="675"/>
      <c r="F245" s="675"/>
      <c r="G245" s="675"/>
      <c r="H245" s="675"/>
      <c r="I245" s="780"/>
      <c r="J245" s="780"/>
      <c r="K245" s="675"/>
      <c r="L245" s="677"/>
    </row>
    <row r="246" spans="1:12" ht="16.5" thickBot="1" x14ac:dyDescent="0.3">
      <c r="A246" s="631" t="s">
        <v>952</v>
      </c>
      <c r="B246" s="632"/>
      <c r="C246" s="633"/>
      <c r="D246" s="634" t="s">
        <v>953</v>
      </c>
      <c r="E246" s="631" t="s">
        <v>954</v>
      </c>
      <c r="F246" s="635" t="s">
        <v>955</v>
      </c>
      <c r="G246" s="631" t="s">
        <v>952</v>
      </c>
      <c r="H246" s="632"/>
      <c r="I246" s="633"/>
      <c r="J246" s="634" t="s">
        <v>953</v>
      </c>
      <c r="K246" s="631" t="s">
        <v>954</v>
      </c>
      <c r="L246" s="631" t="s">
        <v>955</v>
      </c>
    </row>
    <row r="247" spans="1:12" ht="15.75" x14ac:dyDescent="0.25">
      <c r="A247" s="636"/>
      <c r="B247" s="637"/>
      <c r="C247" s="638"/>
      <c r="D247" s="639"/>
      <c r="E247" s="640"/>
      <c r="F247" s="641"/>
      <c r="G247" s="636"/>
      <c r="H247" s="642"/>
      <c r="I247" s="643"/>
      <c r="J247" s="644"/>
      <c r="K247" s="645"/>
      <c r="L247" s="646"/>
    </row>
    <row r="248" spans="1:12" ht="15.75" x14ac:dyDescent="0.25">
      <c r="A248" s="647"/>
      <c r="B248" s="648" t="s">
        <v>459</v>
      </c>
      <c r="C248" s="649">
        <v>7</v>
      </c>
      <c r="D248" s="650" t="s">
        <v>1012</v>
      </c>
      <c r="E248" s="651"/>
      <c r="F248" s="652"/>
      <c r="G248" s="647"/>
      <c r="H248" s="648" t="s">
        <v>459</v>
      </c>
      <c r="I248" s="649">
        <v>61</v>
      </c>
      <c r="J248" s="650" t="s">
        <v>1013</v>
      </c>
      <c r="K248" s="651"/>
      <c r="L248" s="653"/>
    </row>
    <row r="249" spans="1:12" ht="15.75" x14ac:dyDescent="0.25">
      <c r="A249" s="647" t="s">
        <v>958</v>
      </c>
      <c r="B249" s="654"/>
      <c r="C249" s="649"/>
      <c r="D249" s="655" t="s">
        <v>959</v>
      </c>
      <c r="E249" s="651"/>
      <c r="F249" s="656">
        <v>0.20833333333333334</v>
      </c>
      <c r="G249" s="647"/>
      <c r="H249" s="648"/>
      <c r="I249" s="649"/>
      <c r="J249" s="655" t="s">
        <v>960</v>
      </c>
      <c r="K249" s="651"/>
      <c r="L249" s="656">
        <v>0.67569444444444449</v>
      </c>
    </row>
    <row r="250" spans="1:12" ht="15.75" x14ac:dyDescent="0.25">
      <c r="A250" s="647" t="s">
        <v>961</v>
      </c>
      <c r="B250" s="648"/>
      <c r="C250" s="649"/>
      <c r="D250" s="650" t="s">
        <v>160</v>
      </c>
      <c r="E250" s="651"/>
      <c r="F250" s="653">
        <v>0.24305555555555555</v>
      </c>
      <c r="G250" s="647" t="s">
        <v>961</v>
      </c>
      <c r="H250" s="654"/>
      <c r="I250" s="649"/>
      <c r="J250" s="650" t="s">
        <v>163</v>
      </c>
      <c r="K250" s="657"/>
      <c r="L250" s="653">
        <v>0.73819444444444438</v>
      </c>
    </row>
    <row r="251" spans="1:12" ht="15.75" x14ac:dyDescent="0.25">
      <c r="A251" s="647"/>
      <c r="B251" s="648"/>
      <c r="C251" s="649"/>
      <c r="D251" s="655" t="s">
        <v>962</v>
      </c>
      <c r="E251" s="651"/>
      <c r="F251" s="656">
        <v>0.25</v>
      </c>
      <c r="G251" s="647"/>
      <c r="H251" s="648"/>
      <c r="I251" s="649"/>
      <c r="J251" s="655" t="s">
        <v>164</v>
      </c>
      <c r="K251" s="651"/>
      <c r="L251" s="656">
        <v>0.76597222222222217</v>
      </c>
    </row>
    <row r="252" spans="1:12" ht="15.75" x14ac:dyDescent="0.25">
      <c r="A252" s="647"/>
      <c r="B252" s="648"/>
      <c r="C252" s="649"/>
      <c r="D252" s="655" t="s">
        <v>960</v>
      </c>
      <c r="E252" s="651"/>
      <c r="F252" s="656">
        <v>0.28125</v>
      </c>
      <c r="G252" s="647"/>
      <c r="H252" s="648"/>
      <c r="I252" s="649"/>
      <c r="J252" s="655" t="s">
        <v>166</v>
      </c>
      <c r="K252" s="651"/>
      <c r="L252" s="656">
        <v>0.77986111111111112</v>
      </c>
    </row>
    <row r="253" spans="1:12" ht="15.75" x14ac:dyDescent="0.25">
      <c r="A253" s="647" t="s">
        <v>961</v>
      </c>
      <c r="B253" s="654"/>
      <c r="C253" s="649"/>
      <c r="D253" s="650" t="s">
        <v>163</v>
      </c>
      <c r="E253" s="657"/>
      <c r="F253" s="653">
        <v>0.34722222222222221</v>
      </c>
      <c r="G253" s="647" t="s">
        <v>961</v>
      </c>
      <c r="H253" s="648"/>
      <c r="I253" s="649"/>
      <c r="J253" s="650" t="s">
        <v>160</v>
      </c>
      <c r="K253" s="651"/>
      <c r="L253" s="653">
        <v>0.82638888888888962</v>
      </c>
    </row>
    <row r="254" spans="1:12" ht="15.75" x14ac:dyDescent="0.25">
      <c r="A254" s="647"/>
      <c r="B254" s="648"/>
      <c r="C254" s="649"/>
      <c r="D254" s="655" t="s">
        <v>164</v>
      </c>
      <c r="E254" s="651"/>
      <c r="F254" s="656">
        <v>0.375</v>
      </c>
      <c r="G254" s="647"/>
      <c r="H254" s="648"/>
      <c r="I254" s="649"/>
      <c r="J254" s="655" t="s">
        <v>962</v>
      </c>
      <c r="K254" s="651"/>
      <c r="L254" s="656">
        <v>0.83333333333333404</v>
      </c>
    </row>
    <row r="255" spans="1:12" ht="15.75" x14ac:dyDescent="0.25">
      <c r="A255" s="647"/>
      <c r="B255" s="648"/>
      <c r="C255" s="649"/>
      <c r="D255" s="655" t="s">
        <v>166</v>
      </c>
      <c r="E255" s="657">
        <v>0.39583333333333331</v>
      </c>
      <c r="F255" s="656"/>
      <c r="G255" s="647"/>
      <c r="H255" s="648"/>
      <c r="I255" s="649"/>
      <c r="J255" s="655" t="s">
        <v>960</v>
      </c>
      <c r="K255" s="657">
        <v>0.86458333333333337</v>
      </c>
      <c r="L255" s="656"/>
    </row>
    <row r="256" spans="1:12" ht="15.75" x14ac:dyDescent="0.25">
      <c r="A256" s="647"/>
      <c r="B256" s="648" t="s">
        <v>459</v>
      </c>
      <c r="C256" s="649">
        <v>7</v>
      </c>
      <c r="D256" s="650" t="s">
        <v>1014</v>
      </c>
      <c r="E256" s="651"/>
      <c r="F256" s="653"/>
      <c r="G256" s="647"/>
      <c r="H256" s="648" t="s">
        <v>459</v>
      </c>
      <c r="I256" s="649">
        <v>61</v>
      </c>
      <c r="J256" s="650" t="s">
        <v>1015</v>
      </c>
      <c r="K256" s="657"/>
      <c r="L256" s="653"/>
    </row>
    <row r="257" spans="1:12" ht="15.75" x14ac:dyDescent="0.25">
      <c r="A257" s="647"/>
      <c r="B257" s="648"/>
      <c r="C257" s="649"/>
      <c r="D257" s="655"/>
      <c r="E257" s="651"/>
      <c r="F257" s="656"/>
      <c r="G257" s="647"/>
      <c r="H257" s="648"/>
      <c r="I257" s="649"/>
      <c r="J257" s="650"/>
      <c r="K257" s="657"/>
      <c r="L257" s="652"/>
    </row>
    <row r="258" spans="1:12" ht="15.75" x14ac:dyDescent="0.25">
      <c r="A258" s="647"/>
      <c r="B258" s="648" t="s">
        <v>459</v>
      </c>
      <c r="C258" s="649">
        <v>222</v>
      </c>
      <c r="D258" s="650" t="s">
        <v>1016</v>
      </c>
      <c r="E258" s="651"/>
      <c r="F258" s="653"/>
      <c r="G258" s="647"/>
      <c r="H258" s="648" t="s">
        <v>459</v>
      </c>
      <c r="I258" s="649">
        <v>74</v>
      </c>
      <c r="J258" s="650" t="s">
        <v>1017</v>
      </c>
      <c r="K258" s="651"/>
      <c r="L258" s="653"/>
    </row>
    <row r="259" spans="1:12" ht="15.75" x14ac:dyDescent="0.25">
      <c r="A259" s="647"/>
      <c r="B259" s="648"/>
      <c r="C259" s="649"/>
      <c r="D259" s="655" t="s">
        <v>166</v>
      </c>
      <c r="E259" s="651"/>
      <c r="F259" s="656">
        <v>0.39583333333333331</v>
      </c>
      <c r="G259" s="647"/>
      <c r="H259" s="648"/>
      <c r="I259" s="649"/>
      <c r="J259" s="655" t="s">
        <v>960</v>
      </c>
      <c r="K259" s="651"/>
      <c r="L259" s="656">
        <v>0.86458333333333337</v>
      </c>
    </row>
    <row r="260" spans="1:12" ht="15.75" x14ac:dyDescent="0.25">
      <c r="A260" s="647" t="s">
        <v>961</v>
      </c>
      <c r="B260" s="648"/>
      <c r="C260" s="649"/>
      <c r="D260" s="650" t="s">
        <v>160</v>
      </c>
      <c r="E260" s="651"/>
      <c r="F260" s="653">
        <v>0.44097222222222232</v>
      </c>
      <c r="G260" s="647" t="s">
        <v>961</v>
      </c>
      <c r="H260" s="654"/>
      <c r="I260" s="649"/>
      <c r="J260" s="650" t="s">
        <v>163</v>
      </c>
      <c r="K260" s="657"/>
      <c r="L260" s="653">
        <v>0.90972222222222165</v>
      </c>
    </row>
    <row r="261" spans="1:12" ht="15.75" x14ac:dyDescent="0.25">
      <c r="A261" s="647"/>
      <c r="B261" s="648"/>
      <c r="C261" s="649"/>
      <c r="D261" s="655" t="s">
        <v>962</v>
      </c>
      <c r="E261" s="651"/>
      <c r="F261" s="656">
        <v>0.45138888888888901</v>
      </c>
      <c r="G261" s="647"/>
      <c r="H261" s="648"/>
      <c r="I261" s="649"/>
      <c r="J261" s="655" t="s">
        <v>164</v>
      </c>
      <c r="K261" s="651"/>
      <c r="L261" s="656">
        <v>0.93055555555555503</v>
      </c>
    </row>
    <row r="262" spans="1:12" ht="15.75" x14ac:dyDescent="0.25">
      <c r="A262" s="647"/>
      <c r="B262" s="648"/>
      <c r="C262" s="649"/>
      <c r="D262" s="655" t="s">
        <v>960</v>
      </c>
      <c r="E262" s="651"/>
      <c r="F262" s="656">
        <v>0.47916666666666669</v>
      </c>
      <c r="G262" s="647"/>
      <c r="H262" s="648"/>
      <c r="I262" s="649"/>
      <c r="J262" s="655" t="s">
        <v>166</v>
      </c>
      <c r="K262" s="651"/>
      <c r="L262" s="656">
        <v>0.94097222222222221</v>
      </c>
    </row>
    <row r="263" spans="1:12" ht="15.75" x14ac:dyDescent="0.25">
      <c r="A263" s="647" t="s">
        <v>961</v>
      </c>
      <c r="B263" s="654"/>
      <c r="C263" s="649"/>
      <c r="D263" s="650" t="s">
        <v>163</v>
      </c>
      <c r="E263" s="657"/>
      <c r="F263" s="653">
        <v>0.53472222222222199</v>
      </c>
      <c r="G263" s="647" t="s">
        <v>958</v>
      </c>
      <c r="H263" s="648"/>
      <c r="I263" s="649"/>
      <c r="J263" s="650" t="s">
        <v>160</v>
      </c>
      <c r="K263" s="657">
        <v>0.97638888888888886</v>
      </c>
      <c r="L263" s="653"/>
    </row>
    <row r="264" spans="1:12" ht="15.75" x14ac:dyDescent="0.25">
      <c r="A264" s="647"/>
      <c r="B264" s="648"/>
      <c r="C264" s="649"/>
      <c r="D264" s="655" t="s">
        <v>164</v>
      </c>
      <c r="E264" s="651"/>
      <c r="F264" s="656">
        <v>0.56597222222222199</v>
      </c>
      <c r="G264" s="647"/>
      <c r="H264" s="648"/>
      <c r="I264" s="649"/>
      <c r="J264" s="650" t="s">
        <v>963</v>
      </c>
      <c r="K264" s="657">
        <v>1.007638888888889</v>
      </c>
      <c r="L264" s="652"/>
    </row>
    <row r="265" spans="1:12" ht="15.75" x14ac:dyDescent="0.25">
      <c r="A265" s="647"/>
      <c r="B265" s="648"/>
      <c r="C265" s="649"/>
      <c r="D265" s="655" t="s">
        <v>166</v>
      </c>
      <c r="E265" s="657">
        <v>0.57986111111111116</v>
      </c>
      <c r="F265" s="656"/>
      <c r="G265" s="647"/>
      <c r="H265" s="648" t="s">
        <v>459</v>
      </c>
      <c r="I265" s="649">
        <v>74</v>
      </c>
      <c r="J265" s="650" t="s">
        <v>1018</v>
      </c>
      <c r="K265" s="657"/>
      <c r="L265" s="652"/>
    </row>
    <row r="266" spans="1:12" ht="15.75" x14ac:dyDescent="0.25">
      <c r="A266" s="647"/>
      <c r="B266" s="648" t="s">
        <v>459</v>
      </c>
      <c r="C266" s="649">
        <v>222</v>
      </c>
      <c r="D266" s="650" t="s">
        <v>1019</v>
      </c>
      <c r="E266" s="651"/>
      <c r="F266" s="653"/>
      <c r="G266" s="647"/>
      <c r="H266" s="648"/>
      <c r="I266" s="649"/>
      <c r="J266" s="650"/>
      <c r="K266" s="657"/>
      <c r="L266" s="652"/>
    </row>
    <row r="267" spans="1:12" ht="15.75" x14ac:dyDescent="0.25">
      <c r="A267" s="647"/>
      <c r="B267" s="648"/>
      <c r="C267" s="649"/>
      <c r="D267" s="655"/>
      <c r="E267" s="651"/>
      <c r="F267" s="656"/>
      <c r="G267" s="647"/>
      <c r="H267" s="648"/>
      <c r="I267" s="649"/>
      <c r="J267" s="650"/>
      <c r="K267" s="651"/>
      <c r="L267" s="658"/>
    </row>
    <row r="268" spans="1:12" ht="15.75" x14ac:dyDescent="0.25">
      <c r="A268" s="647"/>
      <c r="B268" s="648" t="s">
        <v>459</v>
      </c>
      <c r="C268" s="649">
        <v>46</v>
      </c>
      <c r="D268" s="650" t="s">
        <v>1020</v>
      </c>
      <c r="E268" s="651"/>
      <c r="F268" s="653"/>
      <c r="G268" s="647"/>
      <c r="H268" s="648"/>
      <c r="I268" s="649"/>
      <c r="J268" s="655"/>
      <c r="K268" s="651"/>
      <c r="L268" s="658"/>
    </row>
    <row r="269" spans="1:12" ht="15.75" x14ac:dyDescent="0.25">
      <c r="A269" s="647"/>
      <c r="B269" s="648"/>
      <c r="C269" s="649"/>
      <c r="D269" s="655" t="s">
        <v>166</v>
      </c>
      <c r="E269" s="651"/>
      <c r="F269" s="656">
        <v>0.57986111111111116</v>
      </c>
      <c r="G269" s="647"/>
      <c r="H269" s="648"/>
      <c r="I269" s="649"/>
      <c r="J269" s="650"/>
      <c r="K269" s="651"/>
      <c r="L269" s="658"/>
    </row>
    <row r="270" spans="1:12" ht="15.75" x14ac:dyDescent="0.25">
      <c r="A270" s="647" t="s">
        <v>961</v>
      </c>
      <c r="B270" s="648"/>
      <c r="C270" s="649"/>
      <c r="D270" s="650" t="s">
        <v>160</v>
      </c>
      <c r="E270" s="651"/>
      <c r="F270" s="653">
        <v>0.63055555555555554</v>
      </c>
      <c r="G270" s="647"/>
      <c r="H270" s="648"/>
      <c r="I270" s="649"/>
      <c r="J270" s="650"/>
      <c r="K270" s="651"/>
      <c r="L270" s="652"/>
    </row>
    <row r="271" spans="1:12" ht="15.75" x14ac:dyDescent="0.25">
      <c r="A271" s="647"/>
      <c r="B271" s="648"/>
      <c r="C271" s="649"/>
      <c r="D271" s="655" t="s">
        <v>962</v>
      </c>
      <c r="E271" s="651"/>
      <c r="F271" s="656">
        <v>0.64097222222222228</v>
      </c>
      <c r="G271" s="647"/>
      <c r="H271" s="648"/>
      <c r="I271" s="649"/>
      <c r="J271" s="650"/>
      <c r="K271" s="651"/>
      <c r="L271" s="652"/>
    </row>
    <row r="272" spans="1:12" ht="15.75" x14ac:dyDescent="0.25">
      <c r="A272" s="647"/>
      <c r="B272" s="648"/>
      <c r="C272" s="649"/>
      <c r="D272" s="655" t="s">
        <v>960</v>
      </c>
      <c r="E272" s="657">
        <v>0.67569444444444449</v>
      </c>
      <c r="F272" s="656"/>
      <c r="G272" s="647"/>
      <c r="H272" s="648"/>
      <c r="I272" s="649"/>
      <c r="J272" s="650"/>
      <c r="K272" s="651"/>
      <c r="L272" s="652"/>
    </row>
    <row r="273" spans="1:12" ht="15.75" x14ac:dyDescent="0.25">
      <c r="A273" s="647"/>
      <c r="B273" s="648" t="s">
        <v>459</v>
      </c>
      <c r="C273" s="649">
        <v>46</v>
      </c>
      <c r="D273" s="650" t="s">
        <v>1021</v>
      </c>
      <c r="E273" s="657"/>
      <c r="F273" s="653"/>
      <c r="G273" s="647"/>
      <c r="H273" s="648"/>
      <c r="I273" s="649"/>
      <c r="J273" s="650"/>
      <c r="K273" s="651"/>
      <c r="L273" s="652"/>
    </row>
    <row r="274" spans="1:12" ht="15.75" x14ac:dyDescent="0.25">
      <c r="A274" s="647"/>
      <c r="B274" s="648"/>
      <c r="C274" s="649"/>
      <c r="D274" s="655"/>
      <c r="E274" s="651"/>
      <c r="F274" s="656"/>
      <c r="G274" s="647"/>
      <c r="H274" s="648"/>
      <c r="I274" s="649"/>
      <c r="J274" s="650"/>
      <c r="K274" s="651"/>
      <c r="L274" s="652"/>
    </row>
    <row r="275" spans="1:12" ht="15.75" x14ac:dyDescent="0.25">
      <c r="A275" s="647"/>
      <c r="B275" s="648"/>
      <c r="C275" s="649"/>
      <c r="D275" s="655"/>
      <c r="E275" s="657"/>
      <c r="F275" s="656"/>
      <c r="G275" s="647"/>
      <c r="H275" s="648"/>
      <c r="I275" s="649"/>
      <c r="J275" s="650"/>
      <c r="K275" s="651"/>
      <c r="L275" s="652"/>
    </row>
    <row r="276" spans="1:12" ht="15.75" x14ac:dyDescent="0.25">
      <c r="A276" s="647"/>
      <c r="B276" s="648"/>
      <c r="C276" s="649"/>
      <c r="D276" s="650"/>
      <c r="E276" s="651"/>
      <c r="F276" s="653"/>
      <c r="G276" s="647"/>
      <c r="H276" s="648"/>
      <c r="I276" s="649"/>
      <c r="J276" s="650"/>
      <c r="K276" s="651"/>
      <c r="L276" s="652"/>
    </row>
    <row r="277" spans="1:12" ht="15.75" x14ac:dyDescent="0.25">
      <c r="A277" s="647"/>
      <c r="B277" s="648"/>
      <c r="C277" s="649"/>
      <c r="D277" s="650"/>
      <c r="E277" s="657"/>
      <c r="F277" s="652"/>
      <c r="G277" s="647"/>
      <c r="H277" s="648"/>
      <c r="I277" s="649"/>
      <c r="J277" s="650"/>
      <c r="K277" s="651"/>
      <c r="L277" s="658"/>
    </row>
    <row r="278" spans="1:12" ht="15.75" x14ac:dyDescent="0.25">
      <c r="A278" s="647"/>
      <c r="B278" s="648"/>
      <c r="C278" s="649"/>
      <c r="D278" s="650"/>
      <c r="E278" s="657"/>
      <c r="F278" s="652"/>
      <c r="G278" s="647"/>
      <c r="H278" s="648"/>
      <c r="I278" s="649"/>
      <c r="J278" s="655"/>
      <c r="K278" s="651"/>
      <c r="L278" s="658"/>
    </row>
    <row r="279" spans="1:12" ht="15.75" x14ac:dyDescent="0.25">
      <c r="A279" s="647"/>
      <c r="B279" s="648"/>
      <c r="C279" s="649"/>
      <c r="D279" s="650"/>
      <c r="E279" s="651"/>
      <c r="F279" s="652"/>
      <c r="G279" s="647"/>
      <c r="H279" s="648"/>
      <c r="I279" s="649"/>
      <c r="J279" s="650"/>
      <c r="K279" s="651"/>
      <c r="L279" s="658"/>
    </row>
    <row r="280" spans="1:12" ht="16.5" thickBot="1" x14ac:dyDescent="0.3">
      <c r="A280" s="659"/>
      <c r="B280" s="660"/>
      <c r="C280" s="661"/>
      <c r="D280" s="662"/>
      <c r="E280" s="663"/>
      <c r="F280" s="664"/>
      <c r="G280" s="665"/>
      <c r="H280" s="666"/>
      <c r="I280" s="667"/>
      <c r="J280" s="668"/>
      <c r="K280" s="663"/>
      <c r="L280" s="669"/>
    </row>
    <row r="281" spans="1:12" ht="21" x14ac:dyDescent="0.35">
      <c r="A281" s="769" t="s">
        <v>945</v>
      </c>
      <c r="B281" s="770"/>
      <c r="C281" s="770"/>
      <c r="D281" s="770"/>
      <c r="E281" s="770"/>
      <c r="F281" s="770"/>
      <c r="G281" s="770"/>
      <c r="H281" s="770"/>
      <c r="I281" s="770"/>
      <c r="J281" s="770"/>
      <c r="K281" s="770"/>
      <c r="L281" s="771"/>
    </row>
    <row r="282" spans="1:12" ht="18.75" x14ac:dyDescent="0.3">
      <c r="A282" s="772" t="s">
        <v>946</v>
      </c>
      <c r="B282" s="773"/>
      <c r="C282" s="773"/>
      <c r="D282" s="773"/>
      <c r="E282" s="773"/>
      <c r="F282" s="773"/>
      <c r="G282" s="773"/>
      <c r="H282" s="773"/>
      <c r="I282" s="773"/>
      <c r="J282" s="773"/>
      <c r="K282" s="773"/>
      <c r="L282" s="774"/>
    </row>
    <row r="283" spans="1:12" ht="24" x14ac:dyDescent="0.4">
      <c r="A283" s="775" t="s">
        <v>947</v>
      </c>
      <c r="B283" s="776"/>
      <c r="C283" s="776"/>
      <c r="D283" s="776"/>
      <c r="E283" s="776"/>
      <c r="F283" s="776"/>
      <c r="G283" s="776"/>
      <c r="H283" s="776"/>
      <c r="I283" s="776"/>
      <c r="J283" s="776"/>
      <c r="K283" s="776"/>
      <c r="L283" s="777"/>
    </row>
    <row r="284" spans="1:12" ht="24" x14ac:dyDescent="0.4">
      <c r="A284" s="670" t="s">
        <v>948</v>
      </c>
      <c r="B284" s="671"/>
      <c r="C284" s="671"/>
      <c r="D284" s="672" t="s">
        <v>949</v>
      </c>
      <c r="E284" s="778" t="s">
        <v>950</v>
      </c>
      <c r="F284" s="778"/>
      <c r="G284" s="778"/>
      <c r="H284" s="778"/>
      <c r="I284" s="778"/>
      <c r="J284" s="673" t="s">
        <v>1022</v>
      </c>
      <c r="K284" s="778"/>
      <c r="L284" s="779"/>
    </row>
    <row r="285" spans="1:12" ht="15.75" thickBot="1" x14ac:dyDescent="0.3">
      <c r="A285" s="674"/>
      <c r="B285" s="675"/>
      <c r="C285" s="675"/>
      <c r="D285" s="676"/>
      <c r="E285" s="675"/>
      <c r="F285" s="675"/>
      <c r="G285" s="675"/>
      <c r="H285" s="675"/>
      <c r="I285" s="780"/>
      <c r="J285" s="780"/>
      <c r="K285" s="675"/>
      <c r="L285" s="677"/>
    </row>
    <row r="286" spans="1:12" ht="16.5" thickBot="1" x14ac:dyDescent="0.3">
      <c r="A286" s="631" t="s">
        <v>952</v>
      </c>
      <c r="B286" s="632"/>
      <c r="C286" s="633"/>
      <c r="D286" s="634" t="s">
        <v>953</v>
      </c>
      <c r="E286" s="631" t="s">
        <v>954</v>
      </c>
      <c r="F286" s="635" t="s">
        <v>955</v>
      </c>
      <c r="G286" s="631" t="s">
        <v>952</v>
      </c>
      <c r="H286" s="632"/>
      <c r="I286" s="633"/>
      <c r="J286" s="634" t="s">
        <v>953</v>
      </c>
      <c r="K286" s="631" t="s">
        <v>954</v>
      </c>
      <c r="L286" s="631" t="s">
        <v>955</v>
      </c>
    </row>
    <row r="287" spans="1:12" ht="15.75" x14ac:dyDescent="0.25">
      <c r="A287" s="636"/>
      <c r="B287" s="637"/>
      <c r="C287" s="638"/>
      <c r="D287" s="639"/>
      <c r="E287" s="640"/>
      <c r="F287" s="641"/>
      <c r="G287" s="636"/>
      <c r="H287" s="642"/>
      <c r="I287" s="643"/>
      <c r="J287" s="644"/>
      <c r="K287" s="645"/>
      <c r="L287" s="646"/>
    </row>
    <row r="288" spans="1:12" ht="15.75" x14ac:dyDescent="0.25">
      <c r="A288" s="647"/>
      <c r="B288" s="648" t="s">
        <v>459</v>
      </c>
      <c r="C288" s="649">
        <v>8</v>
      </c>
      <c r="D288" s="650" t="s">
        <v>1012</v>
      </c>
      <c r="E288" s="651"/>
      <c r="F288" s="652"/>
      <c r="G288" s="647"/>
      <c r="H288" s="648" t="s">
        <v>459</v>
      </c>
      <c r="I288" s="649">
        <v>62</v>
      </c>
      <c r="J288" s="650" t="s">
        <v>1023</v>
      </c>
      <c r="K288" s="651"/>
      <c r="L288" s="653"/>
    </row>
    <row r="289" spans="1:12" ht="15.75" x14ac:dyDescent="0.25">
      <c r="A289" s="647" t="s">
        <v>958</v>
      </c>
      <c r="B289" s="654"/>
      <c r="C289" s="649"/>
      <c r="D289" s="655" t="s">
        <v>959</v>
      </c>
      <c r="E289" s="651"/>
      <c r="F289" s="656">
        <v>0.20833333333333334</v>
      </c>
      <c r="G289" s="647"/>
      <c r="H289" s="648"/>
      <c r="I289" s="649"/>
      <c r="J289" s="655" t="s">
        <v>166</v>
      </c>
      <c r="K289" s="651"/>
      <c r="L289" s="656">
        <v>0.68055555555555558</v>
      </c>
    </row>
    <row r="290" spans="1:12" ht="15.75" x14ac:dyDescent="0.25">
      <c r="A290" s="647" t="s">
        <v>961</v>
      </c>
      <c r="B290" s="654"/>
      <c r="C290" s="649"/>
      <c r="D290" s="650" t="s">
        <v>163</v>
      </c>
      <c r="E290" s="651"/>
      <c r="F290" s="653">
        <v>0.23611111111111122</v>
      </c>
      <c r="G290" s="647" t="s">
        <v>961</v>
      </c>
      <c r="H290" s="648"/>
      <c r="I290" s="649"/>
      <c r="J290" s="650" t="s">
        <v>160</v>
      </c>
      <c r="K290" s="651"/>
      <c r="L290" s="653">
        <v>0.73819444444444449</v>
      </c>
    </row>
    <row r="291" spans="1:12" ht="15.75" x14ac:dyDescent="0.25">
      <c r="A291" s="647"/>
      <c r="B291" s="648"/>
      <c r="C291" s="649"/>
      <c r="D291" s="655" t="s">
        <v>164</v>
      </c>
      <c r="E291" s="651"/>
      <c r="F291" s="656">
        <v>0.26388888888888901</v>
      </c>
      <c r="G291" s="647"/>
      <c r="H291" s="648"/>
      <c r="I291" s="649"/>
      <c r="J291" s="655" t="s">
        <v>962</v>
      </c>
      <c r="K291" s="651"/>
      <c r="L291" s="656">
        <v>0.74513888888888891</v>
      </c>
    </row>
    <row r="292" spans="1:12" ht="15.75" x14ac:dyDescent="0.25">
      <c r="A292" s="647"/>
      <c r="B292" s="648"/>
      <c r="C292" s="649"/>
      <c r="D292" s="655" t="s">
        <v>166</v>
      </c>
      <c r="E292" s="651"/>
      <c r="F292" s="656">
        <v>0.28125000000000011</v>
      </c>
      <c r="G292" s="647"/>
      <c r="H292" s="648"/>
      <c r="I292" s="649"/>
      <c r="J292" s="655" t="s">
        <v>960</v>
      </c>
      <c r="K292" s="651"/>
      <c r="L292" s="656">
        <v>0.77638888888888891</v>
      </c>
    </row>
    <row r="293" spans="1:12" ht="15.75" x14ac:dyDescent="0.25">
      <c r="A293" s="647" t="s">
        <v>961</v>
      </c>
      <c r="B293" s="648"/>
      <c r="C293" s="649"/>
      <c r="D293" s="650" t="s">
        <v>160</v>
      </c>
      <c r="E293" s="651"/>
      <c r="F293" s="653">
        <v>0.34027777777777773</v>
      </c>
      <c r="G293" s="647" t="s">
        <v>958</v>
      </c>
      <c r="H293" s="654"/>
      <c r="I293" s="649"/>
      <c r="J293" s="650" t="s">
        <v>163</v>
      </c>
      <c r="K293" s="657">
        <v>0.82708333333333328</v>
      </c>
      <c r="L293" s="653"/>
    </row>
    <row r="294" spans="1:12" ht="15.75" x14ac:dyDescent="0.25">
      <c r="A294" s="647"/>
      <c r="B294" s="648"/>
      <c r="C294" s="649"/>
      <c r="D294" s="655" t="s">
        <v>962</v>
      </c>
      <c r="E294" s="651"/>
      <c r="F294" s="656">
        <v>0.35069444444444442</v>
      </c>
      <c r="G294" s="647"/>
      <c r="H294" s="648"/>
      <c r="I294" s="649"/>
      <c r="J294" s="650" t="s">
        <v>963</v>
      </c>
      <c r="K294" s="657">
        <v>0.85138888888888886</v>
      </c>
      <c r="L294" s="652"/>
    </row>
    <row r="295" spans="1:12" ht="15.75" x14ac:dyDescent="0.25">
      <c r="A295" s="647"/>
      <c r="B295" s="648"/>
      <c r="C295" s="649"/>
      <c r="D295" s="655" t="s">
        <v>960</v>
      </c>
      <c r="E295" s="657">
        <v>0.3888888888888889</v>
      </c>
      <c r="F295" s="656"/>
      <c r="G295" s="647"/>
      <c r="H295" s="648" t="s">
        <v>459</v>
      </c>
      <c r="I295" s="649">
        <v>62</v>
      </c>
      <c r="J295" s="650" t="s">
        <v>1024</v>
      </c>
      <c r="K295" s="657"/>
      <c r="L295" s="652"/>
    </row>
    <row r="296" spans="1:12" ht="15.75" x14ac:dyDescent="0.25">
      <c r="A296" s="647"/>
      <c r="B296" s="648" t="s">
        <v>459</v>
      </c>
      <c r="C296" s="649">
        <v>8</v>
      </c>
      <c r="D296" s="650" t="s">
        <v>1025</v>
      </c>
      <c r="E296" s="651"/>
      <c r="F296" s="653"/>
      <c r="G296" s="647"/>
      <c r="H296" s="648"/>
      <c r="I296" s="649"/>
      <c r="J296" s="650"/>
      <c r="K296" s="657"/>
      <c r="L296" s="652"/>
    </row>
    <row r="297" spans="1:12" ht="15.75" x14ac:dyDescent="0.25">
      <c r="A297" s="647"/>
      <c r="B297" s="648"/>
      <c r="C297" s="649"/>
      <c r="D297" s="655"/>
      <c r="E297" s="651"/>
      <c r="F297" s="656"/>
      <c r="G297" s="647"/>
      <c r="H297" s="648"/>
      <c r="I297" s="649"/>
      <c r="J297" s="650"/>
      <c r="K297" s="657"/>
      <c r="L297" s="652"/>
    </row>
    <row r="298" spans="1:12" ht="15.75" x14ac:dyDescent="0.25">
      <c r="A298" s="647"/>
      <c r="B298" s="648" t="s">
        <v>459</v>
      </c>
      <c r="C298" s="649">
        <v>220</v>
      </c>
      <c r="D298" s="650" t="s">
        <v>1026</v>
      </c>
      <c r="E298" s="651"/>
      <c r="F298" s="653"/>
      <c r="G298" s="647"/>
      <c r="H298" s="648"/>
      <c r="I298" s="649"/>
      <c r="J298" s="650"/>
      <c r="K298" s="651"/>
      <c r="L298" s="652"/>
    </row>
    <row r="299" spans="1:12" ht="15.75" x14ac:dyDescent="0.25">
      <c r="A299" s="647"/>
      <c r="B299" s="648"/>
      <c r="C299" s="649"/>
      <c r="D299" s="655" t="s">
        <v>960</v>
      </c>
      <c r="E299" s="651"/>
      <c r="F299" s="656">
        <v>0.3888888888888889</v>
      </c>
      <c r="G299" s="647"/>
      <c r="H299" s="648"/>
      <c r="I299" s="649"/>
      <c r="J299" s="650"/>
      <c r="K299" s="651"/>
      <c r="L299" s="652"/>
    </row>
    <row r="300" spans="1:12" ht="15.75" x14ac:dyDescent="0.25">
      <c r="A300" s="647" t="s">
        <v>961</v>
      </c>
      <c r="B300" s="654"/>
      <c r="C300" s="649"/>
      <c r="D300" s="650" t="s">
        <v>163</v>
      </c>
      <c r="E300" s="657"/>
      <c r="F300" s="653">
        <v>0.44097222222222221</v>
      </c>
      <c r="G300" s="647"/>
      <c r="H300" s="648"/>
      <c r="I300" s="649"/>
      <c r="J300" s="650"/>
      <c r="K300" s="651"/>
      <c r="L300" s="658"/>
    </row>
    <row r="301" spans="1:12" ht="15.75" x14ac:dyDescent="0.25">
      <c r="A301" s="647"/>
      <c r="B301" s="648"/>
      <c r="C301" s="649"/>
      <c r="D301" s="655" t="s">
        <v>164</v>
      </c>
      <c r="E301" s="651"/>
      <c r="F301" s="656">
        <v>0.46875</v>
      </c>
      <c r="G301" s="647"/>
      <c r="H301" s="648"/>
      <c r="I301" s="649"/>
      <c r="J301" s="655"/>
      <c r="K301" s="651"/>
      <c r="L301" s="658"/>
    </row>
    <row r="302" spans="1:12" ht="15.75" x14ac:dyDescent="0.25">
      <c r="A302" s="647"/>
      <c r="B302" s="648"/>
      <c r="C302" s="649"/>
      <c r="D302" s="655" t="s">
        <v>166</v>
      </c>
      <c r="E302" s="657">
        <v>0.4826388888888889</v>
      </c>
      <c r="F302" s="656"/>
      <c r="G302" s="647"/>
      <c r="H302" s="648"/>
      <c r="I302" s="649"/>
      <c r="J302" s="650"/>
      <c r="K302" s="651"/>
      <c r="L302" s="658"/>
    </row>
    <row r="303" spans="1:12" ht="15.75" x14ac:dyDescent="0.25">
      <c r="A303" s="647"/>
      <c r="B303" s="648" t="s">
        <v>459</v>
      </c>
      <c r="C303" s="649">
        <v>220</v>
      </c>
      <c r="D303" s="650" t="s">
        <v>1027</v>
      </c>
      <c r="E303" s="651"/>
      <c r="F303" s="653"/>
      <c r="G303" s="647"/>
      <c r="H303" s="648"/>
      <c r="I303" s="649"/>
      <c r="J303" s="650"/>
      <c r="K303" s="651"/>
      <c r="L303" s="656"/>
    </row>
    <row r="304" spans="1:12" ht="15.75" x14ac:dyDescent="0.25">
      <c r="A304" s="647"/>
      <c r="B304" s="648"/>
      <c r="C304" s="649"/>
      <c r="D304" s="655"/>
      <c r="E304" s="651"/>
      <c r="F304" s="656"/>
      <c r="G304" s="647"/>
      <c r="H304" s="648"/>
      <c r="I304" s="649"/>
      <c r="J304" s="655"/>
      <c r="K304" s="657"/>
      <c r="L304" s="656"/>
    </row>
    <row r="305" spans="1:12" ht="15.75" x14ac:dyDescent="0.25">
      <c r="A305" s="647"/>
      <c r="B305" s="648" t="s">
        <v>459</v>
      </c>
      <c r="C305" s="649">
        <v>23</v>
      </c>
      <c r="D305" s="650" t="s">
        <v>1028</v>
      </c>
      <c r="E305" s="651"/>
      <c r="F305" s="653"/>
      <c r="G305" s="647"/>
      <c r="H305" s="648"/>
      <c r="I305" s="649"/>
      <c r="J305" s="650"/>
      <c r="K305" s="651"/>
      <c r="L305" s="653"/>
    </row>
    <row r="306" spans="1:12" ht="15.75" x14ac:dyDescent="0.25">
      <c r="A306" s="647"/>
      <c r="B306" s="648"/>
      <c r="C306" s="649"/>
      <c r="D306" s="655" t="s">
        <v>166</v>
      </c>
      <c r="E306" s="651"/>
      <c r="F306" s="656">
        <v>0.4826388888888889</v>
      </c>
      <c r="G306" s="647"/>
      <c r="H306" s="648"/>
      <c r="I306" s="649"/>
      <c r="J306" s="655"/>
      <c r="K306" s="651"/>
      <c r="L306" s="656"/>
    </row>
    <row r="307" spans="1:12" ht="15.75" x14ac:dyDescent="0.25">
      <c r="A307" s="647" t="s">
        <v>961</v>
      </c>
      <c r="B307" s="648"/>
      <c r="C307" s="649"/>
      <c r="D307" s="650" t="s">
        <v>160</v>
      </c>
      <c r="E307" s="651"/>
      <c r="F307" s="653">
        <v>0.53125</v>
      </c>
      <c r="G307" s="647"/>
      <c r="H307" s="654"/>
      <c r="I307" s="649"/>
      <c r="J307" s="650"/>
      <c r="K307" s="657"/>
      <c r="L307" s="653"/>
    </row>
    <row r="308" spans="1:12" ht="15.75" x14ac:dyDescent="0.25">
      <c r="A308" s="647"/>
      <c r="B308" s="648"/>
      <c r="C308" s="649"/>
      <c r="D308" s="655" t="s">
        <v>962</v>
      </c>
      <c r="E308" s="651"/>
      <c r="F308" s="656">
        <v>0.54166666666666663</v>
      </c>
      <c r="G308" s="647"/>
      <c r="H308" s="648"/>
      <c r="I308" s="649"/>
      <c r="J308" s="655"/>
      <c r="K308" s="651"/>
      <c r="L308" s="656"/>
    </row>
    <row r="309" spans="1:12" ht="15.75" x14ac:dyDescent="0.25">
      <c r="A309" s="647"/>
      <c r="B309" s="648"/>
      <c r="C309" s="649"/>
      <c r="D309" s="655" t="s">
        <v>960</v>
      </c>
      <c r="E309" s="657">
        <v>0.57638888888888884</v>
      </c>
      <c r="F309" s="656"/>
      <c r="G309" s="647"/>
      <c r="H309" s="648"/>
      <c r="I309" s="649"/>
      <c r="J309" s="655"/>
      <c r="K309" s="651"/>
      <c r="L309" s="656"/>
    </row>
    <row r="310" spans="1:12" ht="15.75" x14ac:dyDescent="0.25">
      <c r="A310" s="647"/>
      <c r="B310" s="648" t="s">
        <v>462</v>
      </c>
      <c r="C310" s="649" t="s">
        <v>459</v>
      </c>
      <c r="D310" s="650"/>
      <c r="E310" s="651"/>
      <c r="F310" s="656"/>
      <c r="G310" s="647"/>
      <c r="H310" s="648"/>
      <c r="I310" s="649"/>
      <c r="J310" s="650"/>
      <c r="K310" s="657"/>
      <c r="L310" s="653"/>
    </row>
    <row r="311" spans="1:12" ht="15.75" x14ac:dyDescent="0.25">
      <c r="A311" s="647"/>
      <c r="B311" s="648"/>
      <c r="C311" s="649"/>
      <c r="D311" s="655"/>
      <c r="E311" s="657"/>
      <c r="F311" s="656"/>
      <c r="G311" s="647"/>
      <c r="H311" s="648"/>
      <c r="I311" s="649"/>
      <c r="J311" s="650"/>
      <c r="K311" s="657"/>
      <c r="L311" s="652"/>
    </row>
    <row r="312" spans="1:12" ht="15.75" x14ac:dyDescent="0.25">
      <c r="A312" s="647"/>
      <c r="B312" s="648" t="s">
        <v>459</v>
      </c>
      <c r="C312" s="649">
        <v>44</v>
      </c>
      <c r="D312" s="650" t="s">
        <v>1029</v>
      </c>
      <c r="E312" s="651"/>
      <c r="F312" s="653"/>
      <c r="G312" s="647"/>
      <c r="H312" s="648"/>
      <c r="I312" s="649"/>
      <c r="J312" s="650"/>
      <c r="K312" s="657"/>
      <c r="L312" s="652"/>
    </row>
    <row r="313" spans="1:12" ht="15.75" x14ac:dyDescent="0.25">
      <c r="A313" s="647"/>
      <c r="B313" s="648"/>
      <c r="C313" s="649"/>
      <c r="D313" s="655" t="s">
        <v>960</v>
      </c>
      <c r="E313" s="651"/>
      <c r="F313" s="656">
        <v>0.57638888888888884</v>
      </c>
      <c r="G313" s="647"/>
      <c r="H313" s="648"/>
      <c r="I313" s="649"/>
      <c r="J313" s="650"/>
      <c r="K313" s="657"/>
      <c r="L313" s="652"/>
    </row>
    <row r="314" spans="1:12" ht="15.75" x14ac:dyDescent="0.25">
      <c r="A314" s="647" t="s">
        <v>961</v>
      </c>
      <c r="B314" s="654"/>
      <c r="C314" s="649"/>
      <c r="D314" s="650" t="s">
        <v>163</v>
      </c>
      <c r="E314" s="657"/>
      <c r="F314" s="653">
        <v>0.63194444444444442</v>
      </c>
      <c r="G314" s="647"/>
      <c r="H314" s="648"/>
      <c r="I314" s="649"/>
      <c r="J314" s="650"/>
      <c r="K314" s="657"/>
      <c r="L314" s="652"/>
    </row>
    <row r="315" spans="1:12" ht="15.75" x14ac:dyDescent="0.25">
      <c r="A315" s="647"/>
      <c r="B315" s="648"/>
      <c r="C315" s="649"/>
      <c r="D315" s="655" t="s">
        <v>164</v>
      </c>
      <c r="E315" s="651"/>
      <c r="F315" s="656">
        <v>0.66666666666666663</v>
      </c>
      <c r="G315" s="647"/>
      <c r="H315" s="648"/>
      <c r="I315" s="649"/>
      <c r="J315" s="650"/>
      <c r="K315" s="651"/>
      <c r="L315" s="652"/>
    </row>
    <row r="316" spans="1:12" ht="15.75" x14ac:dyDescent="0.25">
      <c r="A316" s="647"/>
      <c r="B316" s="648"/>
      <c r="C316" s="649"/>
      <c r="D316" s="655" t="s">
        <v>166</v>
      </c>
      <c r="E316" s="657">
        <v>0.68055555555555558</v>
      </c>
      <c r="F316" s="656"/>
      <c r="G316" s="647"/>
      <c r="H316" s="648"/>
      <c r="I316" s="649"/>
      <c r="J316" s="650"/>
      <c r="K316" s="651"/>
      <c r="L316" s="652"/>
    </row>
    <row r="317" spans="1:12" ht="15.75" x14ac:dyDescent="0.25">
      <c r="A317" s="647"/>
      <c r="B317" s="648" t="s">
        <v>459</v>
      </c>
      <c r="C317" s="649">
        <v>44</v>
      </c>
      <c r="D317" s="650" t="s">
        <v>1030</v>
      </c>
      <c r="E317" s="657"/>
      <c r="F317" s="656"/>
      <c r="G317" s="647"/>
      <c r="H317" s="648"/>
      <c r="I317" s="649"/>
      <c r="J317" s="650"/>
      <c r="K317" s="651"/>
      <c r="L317" s="658"/>
    </row>
    <row r="318" spans="1:12" ht="15.75" x14ac:dyDescent="0.25">
      <c r="A318" s="647"/>
      <c r="B318" s="648"/>
      <c r="C318" s="649"/>
      <c r="D318" s="650"/>
      <c r="E318" s="657"/>
      <c r="F318" s="653"/>
      <c r="G318" s="647"/>
      <c r="H318" s="648"/>
      <c r="I318" s="649"/>
      <c r="J318" s="655"/>
      <c r="K318" s="651"/>
      <c r="L318" s="658"/>
    </row>
    <row r="319" spans="1:12" ht="15.75" x14ac:dyDescent="0.25">
      <c r="A319" s="647"/>
      <c r="B319" s="648"/>
      <c r="C319" s="649"/>
      <c r="D319" s="650"/>
      <c r="E319" s="651"/>
      <c r="F319" s="652"/>
      <c r="G319" s="647"/>
      <c r="H319" s="648"/>
      <c r="I319" s="649"/>
      <c r="J319" s="650"/>
      <c r="K319" s="651"/>
      <c r="L319" s="658"/>
    </row>
    <row r="320" spans="1:12" ht="16.5" thickBot="1" x14ac:dyDescent="0.3">
      <c r="A320" s="659"/>
      <c r="B320" s="660"/>
      <c r="C320" s="661"/>
      <c r="D320" s="662"/>
      <c r="E320" s="663"/>
      <c r="F320" s="664"/>
      <c r="G320" s="665"/>
      <c r="H320" s="666"/>
      <c r="I320" s="667"/>
      <c r="J320" s="668"/>
      <c r="K320" s="663"/>
      <c r="L320" s="669"/>
    </row>
    <row r="321" spans="1:12" ht="21" x14ac:dyDescent="0.35">
      <c r="A321" s="769" t="s">
        <v>945</v>
      </c>
      <c r="B321" s="770"/>
      <c r="C321" s="770"/>
      <c r="D321" s="770"/>
      <c r="E321" s="770"/>
      <c r="F321" s="770"/>
      <c r="G321" s="770"/>
      <c r="H321" s="770"/>
      <c r="I321" s="770"/>
      <c r="J321" s="770"/>
      <c r="K321" s="770"/>
      <c r="L321" s="771"/>
    </row>
    <row r="322" spans="1:12" ht="18.75" x14ac:dyDescent="0.3">
      <c r="A322" s="772" t="s">
        <v>946</v>
      </c>
      <c r="B322" s="773"/>
      <c r="C322" s="773"/>
      <c r="D322" s="773"/>
      <c r="E322" s="773"/>
      <c r="F322" s="773"/>
      <c r="G322" s="773"/>
      <c r="H322" s="773"/>
      <c r="I322" s="773"/>
      <c r="J322" s="773"/>
      <c r="K322" s="773"/>
      <c r="L322" s="774"/>
    </row>
    <row r="323" spans="1:12" ht="24" x14ac:dyDescent="0.4">
      <c r="A323" s="775" t="s">
        <v>947</v>
      </c>
      <c r="B323" s="776"/>
      <c r="C323" s="776"/>
      <c r="D323" s="776"/>
      <c r="E323" s="776"/>
      <c r="F323" s="776"/>
      <c r="G323" s="776"/>
      <c r="H323" s="776"/>
      <c r="I323" s="776"/>
      <c r="J323" s="776"/>
      <c r="K323" s="776"/>
      <c r="L323" s="777"/>
    </row>
    <row r="324" spans="1:12" ht="24" x14ac:dyDescent="0.4">
      <c r="A324" s="670" t="s">
        <v>948</v>
      </c>
      <c r="B324" s="671"/>
      <c r="C324" s="671"/>
      <c r="D324" s="672" t="s">
        <v>949</v>
      </c>
      <c r="E324" s="778" t="s">
        <v>950</v>
      </c>
      <c r="F324" s="778"/>
      <c r="G324" s="778"/>
      <c r="H324" s="778"/>
      <c r="I324" s="778"/>
      <c r="J324" s="673" t="s">
        <v>1031</v>
      </c>
      <c r="K324" s="778"/>
      <c r="L324" s="779"/>
    </row>
    <row r="325" spans="1:12" ht="15.75" thickBot="1" x14ac:dyDescent="0.3">
      <c r="A325" s="674"/>
      <c r="B325" s="675"/>
      <c r="C325" s="675"/>
      <c r="D325" s="676"/>
      <c r="E325" s="675"/>
      <c r="F325" s="675"/>
      <c r="G325" s="675"/>
      <c r="H325" s="675"/>
      <c r="I325" s="780"/>
      <c r="J325" s="780"/>
      <c r="K325" s="675"/>
      <c r="L325" s="677"/>
    </row>
    <row r="326" spans="1:12" ht="16.5" thickBot="1" x14ac:dyDescent="0.3">
      <c r="A326" s="631" t="s">
        <v>952</v>
      </c>
      <c r="B326" s="632"/>
      <c r="C326" s="633"/>
      <c r="D326" s="634" t="s">
        <v>953</v>
      </c>
      <c r="E326" s="631" t="s">
        <v>954</v>
      </c>
      <c r="F326" s="635" t="s">
        <v>955</v>
      </c>
      <c r="G326" s="631" t="s">
        <v>952</v>
      </c>
      <c r="H326" s="632"/>
      <c r="I326" s="633"/>
      <c r="J326" s="634" t="s">
        <v>953</v>
      </c>
      <c r="K326" s="631" t="s">
        <v>954</v>
      </c>
      <c r="L326" s="631" t="s">
        <v>955</v>
      </c>
    </row>
    <row r="327" spans="1:12" ht="15.75" x14ac:dyDescent="0.25">
      <c r="A327" s="636"/>
      <c r="B327" s="637"/>
      <c r="C327" s="638"/>
      <c r="D327" s="639"/>
      <c r="E327" s="640"/>
      <c r="F327" s="641"/>
      <c r="G327" s="636"/>
      <c r="H327" s="642"/>
      <c r="I327" s="643"/>
      <c r="J327" s="644"/>
      <c r="K327" s="645"/>
      <c r="L327" s="646"/>
    </row>
    <row r="328" spans="1:12" ht="15.75" x14ac:dyDescent="0.25">
      <c r="A328" s="647"/>
      <c r="B328" s="648" t="s">
        <v>459</v>
      </c>
      <c r="C328" s="649">
        <v>9</v>
      </c>
      <c r="D328" s="650" t="s">
        <v>1032</v>
      </c>
      <c r="E328" s="651"/>
      <c r="F328" s="652"/>
      <c r="G328" s="647"/>
      <c r="H328" s="648" t="s">
        <v>459</v>
      </c>
      <c r="I328" s="649">
        <v>40</v>
      </c>
      <c r="J328" s="650" t="s">
        <v>1033</v>
      </c>
      <c r="K328" s="651"/>
      <c r="L328" s="653"/>
    </row>
    <row r="329" spans="1:12" ht="15.75" x14ac:dyDescent="0.25">
      <c r="A329" s="647" t="s">
        <v>958</v>
      </c>
      <c r="B329" s="654"/>
      <c r="C329" s="649"/>
      <c r="D329" s="655" t="s">
        <v>959</v>
      </c>
      <c r="E329" s="651"/>
      <c r="F329" s="656">
        <v>0.21527777777777779</v>
      </c>
      <c r="G329" s="647"/>
      <c r="H329" s="648"/>
      <c r="I329" s="649"/>
      <c r="J329" s="655" t="s">
        <v>960</v>
      </c>
      <c r="K329" s="651"/>
      <c r="L329" s="656">
        <v>0.69444444444444442</v>
      </c>
    </row>
    <row r="330" spans="1:12" ht="15.75" x14ac:dyDescent="0.25">
      <c r="A330" s="647" t="s">
        <v>961</v>
      </c>
      <c r="B330" s="648"/>
      <c r="C330" s="649"/>
      <c r="D330" s="650" t="s">
        <v>160</v>
      </c>
      <c r="E330" s="651"/>
      <c r="F330" s="653">
        <v>0.24999999999999953</v>
      </c>
      <c r="G330" s="647" t="s">
        <v>961</v>
      </c>
      <c r="H330" s="654"/>
      <c r="I330" s="649"/>
      <c r="J330" s="650" t="s">
        <v>163</v>
      </c>
      <c r="K330" s="657"/>
      <c r="L330" s="653">
        <v>0.75347222222222221</v>
      </c>
    </row>
    <row r="331" spans="1:12" ht="15.75" x14ac:dyDescent="0.25">
      <c r="A331" s="647"/>
      <c r="B331" s="648"/>
      <c r="C331" s="649"/>
      <c r="D331" s="655" t="s">
        <v>962</v>
      </c>
      <c r="E331" s="651"/>
      <c r="F331" s="656">
        <v>0.25694444444444398</v>
      </c>
      <c r="G331" s="647"/>
      <c r="H331" s="648"/>
      <c r="I331" s="649"/>
      <c r="J331" s="655" t="s">
        <v>164</v>
      </c>
      <c r="K331" s="651"/>
      <c r="L331" s="656">
        <v>0.77777777777777779</v>
      </c>
    </row>
    <row r="332" spans="1:12" ht="15.75" x14ac:dyDescent="0.25">
      <c r="A332" s="647"/>
      <c r="B332" s="648"/>
      <c r="C332" s="649"/>
      <c r="D332" s="655" t="s">
        <v>960</v>
      </c>
      <c r="E332" s="651"/>
      <c r="F332" s="656">
        <v>0.28819444444444398</v>
      </c>
      <c r="G332" s="647"/>
      <c r="H332" s="648"/>
      <c r="I332" s="649"/>
      <c r="J332" s="655" t="s">
        <v>166</v>
      </c>
      <c r="K332" s="651"/>
      <c r="L332" s="656">
        <v>0.78819444444444442</v>
      </c>
    </row>
    <row r="333" spans="1:12" ht="15.75" x14ac:dyDescent="0.25">
      <c r="A333" s="647" t="s">
        <v>961</v>
      </c>
      <c r="B333" s="654"/>
      <c r="C333" s="649"/>
      <c r="D333" s="650" t="s">
        <v>163</v>
      </c>
      <c r="E333" s="657"/>
      <c r="F333" s="653">
        <v>0.3576388888888889</v>
      </c>
      <c r="G333" s="647" t="s">
        <v>961</v>
      </c>
      <c r="H333" s="648"/>
      <c r="I333" s="649"/>
      <c r="J333" s="650" t="s">
        <v>160</v>
      </c>
      <c r="K333" s="651"/>
      <c r="L333" s="653">
        <v>0.83333333333333459</v>
      </c>
    </row>
    <row r="334" spans="1:12" ht="15.75" x14ac:dyDescent="0.25">
      <c r="A334" s="647"/>
      <c r="B334" s="648"/>
      <c r="C334" s="649"/>
      <c r="D334" s="655" t="s">
        <v>164</v>
      </c>
      <c r="E334" s="651"/>
      <c r="F334" s="656">
        <v>0.38541666666666669</v>
      </c>
      <c r="G334" s="647"/>
      <c r="H334" s="648"/>
      <c r="I334" s="649"/>
      <c r="J334" s="655" t="s">
        <v>962</v>
      </c>
      <c r="K334" s="651"/>
      <c r="L334" s="656">
        <v>0.84027777777777901</v>
      </c>
    </row>
    <row r="335" spans="1:12" ht="15.75" x14ac:dyDescent="0.25">
      <c r="A335" s="647"/>
      <c r="B335" s="648"/>
      <c r="C335" s="649"/>
      <c r="D335" s="655" t="s">
        <v>166</v>
      </c>
      <c r="E335" s="657">
        <v>0.40277777777777779</v>
      </c>
      <c r="F335" s="656"/>
      <c r="G335" s="647"/>
      <c r="H335" s="648"/>
      <c r="I335" s="649"/>
      <c r="J335" s="655" t="s">
        <v>960</v>
      </c>
      <c r="K335" s="657">
        <v>0.86805555555555558</v>
      </c>
      <c r="L335" s="656"/>
    </row>
    <row r="336" spans="1:12" ht="15.75" x14ac:dyDescent="0.25">
      <c r="A336" s="647"/>
      <c r="B336" s="648" t="s">
        <v>462</v>
      </c>
      <c r="C336" s="649" t="s">
        <v>459</v>
      </c>
      <c r="D336" s="650"/>
      <c r="E336" s="651"/>
      <c r="F336" s="653"/>
      <c r="G336" s="647"/>
      <c r="H336" s="648" t="s">
        <v>462</v>
      </c>
      <c r="I336" s="649" t="s">
        <v>459</v>
      </c>
      <c r="J336" s="650"/>
      <c r="K336" s="657"/>
      <c r="L336" s="653"/>
    </row>
    <row r="337" spans="1:12" ht="15.75" x14ac:dyDescent="0.25">
      <c r="A337" s="647"/>
      <c r="B337" s="648"/>
      <c r="C337" s="649"/>
      <c r="D337" s="655"/>
      <c r="E337" s="651"/>
      <c r="F337" s="656"/>
      <c r="G337" s="647"/>
      <c r="H337" s="648"/>
      <c r="I337" s="649"/>
      <c r="J337" s="650"/>
      <c r="K337" s="657"/>
      <c r="L337" s="652"/>
    </row>
    <row r="338" spans="1:12" ht="15.75" x14ac:dyDescent="0.25">
      <c r="A338" s="647"/>
      <c r="B338" s="648" t="s">
        <v>459</v>
      </c>
      <c r="C338" s="649">
        <v>224</v>
      </c>
      <c r="D338" s="650" t="s">
        <v>1034</v>
      </c>
      <c r="E338" s="651"/>
      <c r="F338" s="653"/>
      <c r="G338" s="647"/>
      <c r="H338" s="648" t="s">
        <v>459</v>
      </c>
      <c r="I338" s="649">
        <v>75</v>
      </c>
      <c r="J338" s="650" t="s">
        <v>1035</v>
      </c>
      <c r="K338" s="651"/>
      <c r="L338" s="653"/>
    </row>
    <row r="339" spans="1:12" ht="15.75" x14ac:dyDescent="0.25">
      <c r="A339" s="647"/>
      <c r="B339" s="648"/>
      <c r="C339" s="649"/>
      <c r="D339" s="655" t="s">
        <v>166</v>
      </c>
      <c r="E339" s="651"/>
      <c r="F339" s="656">
        <v>0.40277777777777779</v>
      </c>
      <c r="G339" s="647"/>
      <c r="H339" s="648"/>
      <c r="I339" s="649"/>
      <c r="J339" s="655" t="s">
        <v>960</v>
      </c>
      <c r="K339" s="651"/>
      <c r="L339" s="656">
        <v>0.86805555555555558</v>
      </c>
    </row>
    <row r="340" spans="1:12" ht="15.75" x14ac:dyDescent="0.25">
      <c r="A340" s="647" t="s">
        <v>961</v>
      </c>
      <c r="B340" s="648"/>
      <c r="C340" s="649"/>
      <c r="D340" s="650" t="s">
        <v>160</v>
      </c>
      <c r="E340" s="651"/>
      <c r="F340" s="653">
        <v>0.4548611111111111</v>
      </c>
      <c r="G340" s="647" t="s">
        <v>961</v>
      </c>
      <c r="H340" s="654"/>
      <c r="I340" s="649"/>
      <c r="J340" s="650" t="s">
        <v>163</v>
      </c>
      <c r="K340" s="657"/>
      <c r="L340" s="653">
        <v>0.91666666666666563</v>
      </c>
    </row>
    <row r="341" spans="1:12" ht="15.75" x14ac:dyDescent="0.25">
      <c r="A341" s="647"/>
      <c r="B341" s="648"/>
      <c r="C341" s="649"/>
      <c r="D341" s="655" t="s">
        <v>962</v>
      </c>
      <c r="E341" s="651"/>
      <c r="F341" s="656">
        <v>0.46527777777777779</v>
      </c>
      <c r="G341" s="647"/>
      <c r="H341" s="648"/>
      <c r="I341" s="649"/>
      <c r="J341" s="655" t="s">
        <v>164</v>
      </c>
      <c r="K341" s="651"/>
      <c r="L341" s="656">
        <v>0.937499999999999</v>
      </c>
    </row>
    <row r="342" spans="1:12" ht="15.75" x14ac:dyDescent="0.25">
      <c r="A342" s="647"/>
      <c r="B342" s="648"/>
      <c r="C342" s="649"/>
      <c r="D342" s="655" t="s">
        <v>960</v>
      </c>
      <c r="E342" s="657">
        <v>0.49652777777777779</v>
      </c>
      <c r="F342" s="656"/>
      <c r="G342" s="647"/>
      <c r="H342" s="648"/>
      <c r="I342" s="649"/>
      <c r="J342" s="655" t="s">
        <v>166</v>
      </c>
      <c r="K342" s="651"/>
      <c r="L342" s="656">
        <v>0.94791666666666663</v>
      </c>
    </row>
    <row r="343" spans="1:12" ht="15.75" x14ac:dyDescent="0.25">
      <c r="A343" s="647"/>
      <c r="B343" s="648" t="s">
        <v>459</v>
      </c>
      <c r="C343" s="649">
        <v>224</v>
      </c>
      <c r="D343" s="650" t="s">
        <v>1036</v>
      </c>
      <c r="E343" s="657"/>
      <c r="F343" s="653"/>
      <c r="G343" s="647" t="s">
        <v>961</v>
      </c>
      <c r="H343" s="648"/>
      <c r="I343" s="649"/>
      <c r="J343" s="650" t="s">
        <v>160</v>
      </c>
      <c r="K343" s="651"/>
      <c r="L343" s="653">
        <v>0.97916666666666363</v>
      </c>
    </row>
    <row r="344" spans="1:12" ht="15.75" x14ac:dyDescent="0.25">
      <c r="A344" s="647"/>
      <c r="B344" s="648"/>
      <c r="C344" s="649"/>
      <c r="D344" s="650"/>
      <c r="E344" s="657"/>
      <c r="F344" s="652"/>
      <c r="G344" s="647"/>
      <c r="H344" s="648"/>
      <c r="I344" s="649"/>
      <c r="J344" s="655" t="s">
        <v>962</v>
      </c>
      <c r="K344" s="651"/>
      <c r="L344" s="656">
        <v>0.98611111111110805</v>
      </c>
    </row>
    <row r="345" spans="1:12" ht="15.75" x14ac:dyDescent="0.25">
      <c r="A345" s="647"/>
      <c r="B345" s="648" t="s">
        <v>459</v>
      </c>
      <c r="C345" s="649">
        <v>35</v>
      </c>
      <c r="D345" s="650" t="s">
        <v>1037</v>
      </c>
      <c r="E345" s="651"/>
      <c r="F345" s="653"/>
      <c r="G345" s="647"/>
      <c r="H345" s="648"/>
      <c r="I345" s="649"/>
      <c r="J345" s="655" t="s">
        <v>960</v>
      </c>
      <c r="K345" s="651"/>
      <c r="L345" s="656">
        <v>1.3888888888888888E-2</v>
      </c>
    </row>
    <row r="346" spans="1:12" ht="15.75" x14ac:dyDescent="0.25">
      <c r="A346" s="647"/>
      <c r="B346" s="648"/>
      <c r="C346" s="649"/>
      <c r="D346" s="655" t="s">
        <v>960</v>
      </c>
      <c r="E346" s="651"/>
      <c r="F346" s="656">
        <v>0.49652777777777779</v>
      </c>
      <c r="G346" s="647" t="s">
        <v>958</v>
      </c>
      <c r="H346" s="654"/>
      <c r="I346" s="649"/>
      <c r="J346" s="650" t="s">
        <v>163</v>
      </c>
      <c r="K346" s="657">
        <v>0.05</v>
      </c>
      <c r="L346" s="653"/>
    </row>
    <row r="347" spans="1:12" ht="15.75" x14ac:dyDescent="0.25">
      <c r="A347" s="647" t="s">
        <v>961</v>
      </c>
      <c r="B347" s="654"/>
      <c r="C347" s="649"/>
      <c r="D347" s="650" t="s">
        <v>163</v>
      </c>
      <c r="E347" s="657"/>
      <c r="F347" s="653">
        <v>0.54861111111111116</v>
      </c>
      <c r="G347" s="647"/>
      <c r="H347" s="648"/>
      <c r="I347" s="649"/>
      <c r="J347" s="650" t="s">
        <v>963</v>
      </c>
      <c r="K347" s="657">
        <v>7.0833333333333331E-2</v>
      </c>
      <c r="L347" s="652"/>
    </row>
    <row r="348" spans="1:12" ht="15.75" x14ac:dyDescent="0.25">
      <c r="A348" s="647"/>
      <c r="B348" s="648"/>
      <c r="C348" s="649"/>
      <c r="D348" s="655" t="s">
        <v>164</v>
      </c>
      <c r="E348" s="651"/>
      <c r="F348" s="656">
        <v>0.57986111111111116</v>
      </c>
      <c r="G348" s="647"/>
      <c r="H348" s="648" t="s">
        <v>459</v>
      </c>
      <c r="I348" s="649">
        <v>75</v>
      </c>
      <c r="J348" s="650" t="s">
        <v>1038</v>
      </c>
      <c r="K348" s="657"/>
      <c r="L348" s="652"/>
    </row>
    <row r="349" spans="1:12" ht="15.75" x14ac:dyDescent="0.25">
      <c r="A349" s="647"/>
      <c r="B349" s="648"/>
      <c r="C349" s="649"/>
      <c r="D349" s="655" t="s">
        <v>166</v>
      </c>
      <c r="E349" s="657">
        <v>0.59375</v>
      </c>
      <c r="F349" s="656"/>
      <c r="G349" s="647"/>
      <c r="H349" s="648"/>
      <c r="I349" s="649"/>
      <c r="J349" s="650"/>
      <c r="K349" s="657"/>
      <c r="L349" s="652"/>
    </row>
    <row r="350" spans="1:12" ht="15.75" x14ac:dyDescent="0.25">
      <c r="A350" s="647"/>
      <c r="B350" s="648" t="s">
        <v>459</v>
      </c>
      <c r="C350" s="649">
        <v>35</v>
      </c>
      <c r="D350" s="650" t="s">
        <v>1039</v>
      </c>
      <c r="E350" s="651"/>
      <c r="F350" s="653"/>
      <c r="G350" s="647"/>
      <c r="H350" s="648"/>
      <c r="I350" s="649"/>
      <c r="J350" s="650"/>
      <c r="K350" s="651"/>
      <c r="L350" s="652"/>
    </row>
    <row r="351" spans="1:12" ht="15.75" x14ac:dyDescent="0.25">
      <c r="A351" s="647"/>
      <c r="B351" s="648"/>
      <c r="C351" s="649"/>
      <c r="D351" s="655"/>
      <c r="E351" s="651"/>
      <c r="F351" s="656"/>
      <c r="G351" s="647"/>
      <c r="H351" s="648"/>
      <c r="I351" s="649"/>
      <c r="J351" s="650"/>
      <c r="K351" s="651"/>
      <c r="L351" s="652"/>
    </row>
    <row r="352" spans="1:12" ht="15.75" x14ac:dyDescent="0.25">
      <c r="A352" s="647"/>
      <c r="B352" s="648" t="s">
        <v>459</v>
      </c>
      <c r="C352" s="649">
        <v>48</v>
      </c>
      <c r="D352" s="650" t="s">
        <v>1040</v>
      </c>
      <c r="E352" s="651"/>
      <c r="F352" s="653"/>
      <c r="G352" s="647"/>
      <c r="H352" s="648"/>
      <c r="I352" s="649"/>
      <c r="J352" s="650"/>
      <c r="K352" s="651"/>
      <c r="L352" s="652"/>
    </row>
    <row r="353" spans="1:12" ht="15.75" x14ac:dyDescent="0.25">
      <c r="A353" s="647"/>
      <c r="B353" s="648"/>
      <c r="C353" s="649"/>
      <c r="D353" s="655" t="s">
        <v>166</v>
      </c>
      <c r="E353" s="651"/>
      <c r="F353" s="656">
        <v>0.59375</v>
      </c>
      <c r="G353" s="647"/>
      <c r="H353" s="648"/>
      <c r="I353" s="649"/>
      <c r="J353" s="650"/>
      <c r="K353" s="651"/>
      <c r="L353" s="652"/>
    </row>
    <row r="354" spans="1:12" ht="15.75" x14ac:dyDescent="0.25">
      <c r="A354" s="647" t="s">
        <v>961</v>
      </c>
      <c r="B354" s="648"/>
      <c r="C354" s="649"/>
      <c r="D354" s="650" t="s">
        <v>160</v>
      </c>
      <c r="E354" s="651"/>
      <c r="F354" s="653">
        <v>0.64583333333333337</v>
      </c>
      <c r="G354" s="647"/>
      <c r="H354" s="648"/>
      <c r="I354" s="649"/>
      <c r="J354" s="650"/>
      <c r="K354" s="651"/>
      <c r="L354" s="652"/>
    </row>
    <row r="355" spans="1:12" ht="15.75" x14ac:dyDescent="0.25">
      <c r="A355" s="647"/>
      <c r="B355" s="648"/>
      <c r="C355" s="649"/>
      <c r="D355" s="655" t="s">
        <v>962</v>
      </c>
      <c r="E355" s="651"/>
      <c r="F355" s="656">
        <v>0.65625</v>
      </c>
      <c r="G355" s="647"/>
      <c r="H355" s="648"/>
      <c r="I355" s="649"/>
      <c r="J355" s="650"/>
      <c r="K355" s="651"/>
      <c r="L355" s="652"/>
    </row>
    <row r="356" spans="1:12" ht="15.75" x14ac:dyDescent="0.25">
      <c r="A356" s="647"/>
      <c r="B356" s="648"/>
      <c r="C356" s="649"/>
      <c r="D356" s="655" t="s">
        <v>960</v>
      </c>
      <c r="E356" s="657">
        <v>0.69444444444444442</v>
      </c>
      <c r="F356" s="656"/>
      <c r="G356" s="647"/>
      <c r="H356" s="648"/>
      <c r="I356" s="649"/>
      <c r="J356" s="650"/>
      <c r="K356" s="651"/>
      <c r="L356" s="652"/>
    </row>
    <row r="357" spans="1:12" ht="15.75" x14ac:dyDescent="0.25">
      <c r="A357" s="647"/>
      <c r="B357" s="648" t="s">
        <v>459</v>
      </c>
      <c r="C357" s="649">
        <v>48</v>
      </c>
      <c r="D357" s="650" t="s">
        <v>1041</v>
      </c>
      <c r="E357" s="657"/>
      <c r="F357" s="653"/>
      <c r="G357" s="647"/>
      <c r="H357" s="648"/>
      <c r="I357" s="649"/>
      <c r="J357" s="650"/>
      <c r="K357" s="651"/>
      <c r="L357" s="658"/>
    </row>
    <row r="358" spans="1:12" ht="15.75" x14ac:dyDescent="0.25">
      <c r="A358" s="647"/>
      <c r="B358" s="648"/>
      <c r="C358" s="649"/>
      <c r="D358" s="650"/>
      <c r="E358" s="657"/>
      <c r="F358" s="652"/>
      <c r="G358" s="647"/>
      <c r="H358" s="648"/>
      <c r="I358" s="649"/>
      <c r="J358" s="655"/>
      <c r="K358" s="651"/>
      <c r="L358" s="658"/>
    </row>
    <row r="359" spans="1:12" ht="15.75" x14ac:dyDescent="0.25">
      <c r="A359" s="647"/>
      <c r="B359" s="648"/>
      <c r="C359" s="649"/>
      <c r="D359" s="650"/>
      <c r="E359" s="651"/>
      <c r="F359" s="652"/>
      <c r="G359" s="647"/>
      <c r="H359" s="648"/>
      <c r="I359" s="649"/>
      <c r="J359" s="650"/>
      <c r="K359" s="651"/>
      <c r="L359" s="658"/>
    </row>
    <row r="360" spans="1:12" ht="16.5" thickBot="1" x14ac:dyDescent="0.3">
      <c r="A360" s="659"/>
      <c r="B360" s="660"/>
      <c r="C360" s="661"/>
      <c r="D360" s="662"/>
      <c r="E360" s="663"/>
      <c r="F360" s="664"/>
      <c r="G360" s="665"/>
      <c r="H360" s="666"/>
      <c r="I360" s="667"/>
      <c r="J360" s="668"/>
      <c r="K360" s="663"/>
      <c r="L360" s="669"/>
    </row>
    <row r="361" spans="1:12" ht="21" x14ac:dyDescent="0.35">
      <c r="A361" s="769" t="s">
        <v>945</v>
      </c>
      <c r="B361" s="770"/>
      <c r="C361" s="770"/>
      <c r="D361" s="770"/>
      <c r="E361" s="770"/>
      <c r="F361" s="770"/>
      <c r="G361" s="770"/>
      <c r="H361" s="770"/>
      <c r="I361" s="770"/>
      <c r="J361" s="770"/>
      <c r="K361" s="770"/>
      <c r="L361" s="771"/>
    </row>
    <row r="362" spans="1:12" ht="18.75" x14ac:dyDescent="0.3">
      <c r="A362" s="772" t="s">
        <v>946</v>
      </c>
      <c r="B362" s="773"/>
      <c r="C362" s="773"/>
      <c r="D362" s="773"/>
      <c r="E362" s="773"/>
      <c r="F362" s="773"/>
      <c r="G362" s="773"/>
      <c r="H362" s="773"/>
      <c r="I362" s="773"/>
      <c r="J362" s="773"/>
      <c r="K362" s="773"/>
      <c r="L362" s="774"/>
    </row>
    <row r="363" spans="1:12" ht="24" x14ac:dyDescent="0.4">
      <c r="A363" s="775" t="s">
        <v>947</v>
      </c>
      <c r="B363" s="776"/>
      <c r="C363" s="776"/>
      <c r="D363" s="776"/>
      <c r="E363" s="776"/>
      <c r="F363" s="776"/>
      <c r="G363" s="776"/>
      <c r="H363" s="776"/>
      <c r="I363" s="776"/>
      <c r="J363" s="776"/>
      <c r="K363" s="776"/>
      <c r="L363" s="777"/>
    </row>
    <row r="364" spans="1:12" ht="24" x14ac:dyDescent="0.4">
      <c r="A364" s="670" t="s">
        <v>948</v>
      </c>
      <c r="B364" s="671"/>
      <c r="C364" s="671"/>
      <c r="D364" s="672" t="s">
        <v>949</v>
      </c>
      <c r="E364" s="778" t="s">
        <v>950</v>
      </c>
      <c r="F364" s="778"/>
      <c r="G364" s="778"/>
      <c r="H364" s="778"/>
      <c r="I364" s="778"/>
      <c r="J364" s="673" t="s">
        <v>1042</v>
      </c>
      <c r="K364" s="778"/>
      <c r="L364" s="779"/>
    </row>
    <row r="365" spans="1:12" ht="15.75" thickBot="1" x14ac:dyDescent="0.3">
      <c r="A365" s="674"/>
      <c r="B365" s="675"/>
      <c r="C365" s="675"/>
      <c r="D365" s="676"/>
      <c r="E365" s="675"/>
      <c r="F365" s="675"/>
      <c r="G365" s="675"/>
      <c r="H365" s="675"/>
      <c r="I365" s="780"/>
      <c r="J365" s="780"/>
      <c r="K365" s="675"/>
      <c r="L365" s="677"/>
    </row>
    <row r="366" spans="1:12" ht="16.5" thickBot="1" x14ac:dyDescent="0.3">
      <c r="A366" s="631" t="s">
        <v>952</v>
      </c>
      <c r="B366" s="632"/>
      <c r="C366" s="633"/>
      <c r="D366" s="634" t="s">
        <v>953</v>
      </c>
      <c r="E366" s="631" t="s">
        <v>954</v>
      </c>
      <c r="F366" s="635" t="s">
        <v>955</v>
      </c>
      <c r="G366" s="631" t="s">
        <v>952</v>
      </c>
      <c r="H366" s="632"/>
      <c r="I366" s="633"/>
      <c r="J366" s="634" t="s">
        <v>953</v>
      </c>
      <c r="K366" s="631" t="s">
        <v>954</v>
      </c>
      <c r="L366" s="631" t="s">
        <v>955</v>
      </c>
    </row>
    <row r="367" spans="1:12" ht="15.75" x14ac:dyDescent="0.25">
      <c r="A367" s="636"/>
      <c r="B367" s="637"/>
      <c r="C367" s="638"/>
      <c r="D367" s="639"/>
      <c r="E367" s="640"/>
      <c r="F367" s="641"/>
      <c r="G367" s="636"/>
      <c r="H367" s="642"/>
      <c r="I367" s="643"/>
      <c r="J367" s="644"/>
      <c r="K367" s="645"/>
      <c r="L367" s="646"/>
    </row>
    <row r="368" spans="1:12" ht="15.75" x14ac:dyDescent="0.25">
      <c r="A368" s="647"/>
      <c r="B368" s="648" t="s">
        <v>459</v>
      </c>
      <c r="C368" s="649">
        <v>10</v>
      </c>
      <c r="D368" s="650" t="s">
        <v>1032</v>
      </c>
      <c r="E368" s="651"/>
      <c r="F368" s="652"/>
      <c r="G368" s="647"/>
      <c r="H368" s="648" t="s">
        <v>459</v>
      </c>
      <c r="I368" s="649">
        <v>56</v>
      </c>
      <c r="J368" s="650" t="s">
        <v>1043</v>
      </c>
      <c r="K368" s="651"/>
      <c r="L368" s="653"/>
    </row>
    <row r="369" spans="1:12" ht="15.75" x14ac:dyDescent="0.25">
      <c r="A369" s="647" t="s">
        <v>958</v>
      </c>
      <c r="B369" s="654"/>
      <c r="C369" s="649"/>
      <c r="D369" s="655" t="s">
        <v>959</v>
      </c>
      <c r="E369" s="651"/>
      <c r="F369" s="656">
        <v>0.21527777777777779</v>
      </c>
      <c r="G369" s="647"/>
      <c r="H369" s="648"/>
      <c r="I369" s="649"/>
      <c r="J369" s="655" t="s">
        <v>960</v>
      </c>
      <c r="K369" s="651"/>
      <c r="L369" s="656">
        <v>0.65972222222222221</v>
      </c>
    </row>
    <row r="370" spans="1:12" ht="15.75" x14ac:dyDescent="0.25">
      <c r="A370" s="647" t="s">
        <v>961</v>
      </c>
      <c r="B370" s="654"/>
      <c r="C370" s="649"/>
      <c r="D370" s="650" t="s">
        <v>163</v>
      </c>
      <c r="E370" s="651"/>
      <c r="F370" s="653">
        <v>0.24305555555555519</v>
      </c>
      <c r="G370" s="647" t="s">
        <v>961</v>
      </c>
      <c r="H370" s="654"/>
      <c r="I370" s="649"/>
      <c r="J370" s="650" t="s">
        <v>163</v>
      </c>
      <c r="K370" s="657"/>
      <c r="L370" s="653">
        <v>0.72222222222222221</v>
      </c>
    </row>
    <row r="371" spans="1:12" ht="15.75" x14ac:dyDescent="0.25">
      <c r="A371" s="647"/>
      <c r="B371" s="648"/>
      <c r="C371" s="649"/>
      <c r="D371" s="655" t="s">
        <v>164</v>
      </c>
      <c r="E371" s="651"/>
      <c r="F371" s="656">
        <v>0.27083333333333298</v>
      </c>
      <c r="G371" s="647"/>
      <c r="H371" s="648"/>
      <c r="I371" s="649"/>
      <c r="J371" s="655" t="s">
        <v>164</v>
      </c>
      <c r="K371" s="651"/>
      <c r="L371" s="656">
        <v>0.75</v>
      </c>
    </row>
    <row r="372" spans="1:12" ht="15.75" x14ac:dyDescent="0.25">
      <c r="A372" s="647"/>
      <c r="B372" s="648"/>
      <c r="C372" s="649"/>
      <c r="D372" s="655" t="s">
        <v>166</v>
      </c>
      <c r="E372" s="651"/>
      <c r="F372" s="656">
        <v>0.28819444444444409</v>
      </c>
      <c r="G372" s="647"/>
      <c r="H372" s="648"/>
      <c r="I372" s="649"/>
      <c r="J372" s="655" t="s">
        <v>166</v>
      </c>
      <c r="K372" s="651"/>
      <c r="L372" s="656">
        <v>0.76527777777777772</v>
      </c>
    </row>
    <row r="373" spans="1:12" ht="15.75" x14ac:dyDescent="0.25">
      <c r="A373" s="647" t="s">
        <v>961</v>
      </c>
      <c r="B373" s="648"/>
      <c r="C373" s="649"/>
      <c r="D373" s="650" t="s">
        <v>160</v>
      </c>
      <c r="E373" s="651"/>
      <c r="F373" s="653">
        <v>0.34513888888888888</v>
      </c>
      <c r="G373" s="647" t="s">
        <v>958</v>
      </c>
      <c r="H373" s="648"/>
      <c r="I373" s="649"/>
      <c r="J373" s="650" t="s">
        <v>160</v>
      </c>
      <c r="K373" s="657">
        <v>0.80833333333333335</v>
      </c>
      <c r="L373" s="653"/>
    </row>
    <row r="374" spans="1:12" ht="15.75" x14ac:dyDescent="0.25">
      <c r="A374" s="647"/>
      <c r="B374" s="648"/>
      <c r="C374" s="649"/>
      <c r="D374" s="655" t="s">
        <v>962</v>
      </c>
      <c r="E374" s="651"/>
      <c r="F374" s="656">
        <v>0.35555555555555557</v>
      </c>
      <c r="G374" s="647"/>
      <c r="H374" s="648"/>
      <c r="I374" s="649"/>
      <c r="J374" s="650" t="s">
        <v>963</v>
      </c>
      <c r="K374" s="657">
        <v>0.83958333333333335</v>
      </c>
      <c r="L374" s="656"/>
    </row>
    <row r="375" spans="1:12" ht="15.75" x14ac:dyDescent="0.25">
      <c r="A375" s="647"/>
      <c r="B375" s="648"/>
      <c r="C375" s="649"/>
      <c r="D375" s="655" t="s">
        <v>960</v>
      </c>
      <c r="E375" s="657">
        <v>0.39097222222222222</v>
      </c>
      <c r="F375" s="656"/>
      <c r="G375" s="647"/>
      <c r="H375" s="648" t="s">
        <v>459</v>
      </c>
      <c r="I375" s="649">
        <v>56</v>
      </c>
      <c r="J375" s="650" t="s">
        <v>1044</v>
      </c>
      <c r="K375" s="657"/>
      <c r="L375" s="656"/>
    </row>
    <row r="376" spans="1:12" ht="15.75" x14ac:dyDescent="0.25">
      <c r="A376" s="647"/>
      <c r="B376" s="648" t="s">
        <v>459</v>
      </c>
      <c r="C376" s="649">
        <v>10</v>
      </c>
      <c r="D376" s="650" t="s">
        <v>1045</v>
      </c>
      <c r="E376" s="651"/>
      <c r="F376" s="653"/>
      <c r="G376" s="647"/>
      <c r="H376" s="648"/>
      <c r="I376" s="649"/>
      <c r="J376" s="650"/>
      <c r="K376" s="657"/>
      <c r="L376" s="652"/>
    </row>
    <row r="377" spans="1:12" ht="15.75" x14ac:dyDescent="0.25">
      <c r="A377" s="647"/>
      <c r="B377" s="648"/>
      <c r="C377" s="649"/>
      <c r="D377" s="655"/>
      <c r="E377" s="651"/>
      <c r="F377" s="656"/>
      <c r="G377" s="647"/>
      <c r="H377" s="648"/>
      <c r="I377" s="649"/>
      <c r="J377" s="650"/>
      <c r="K377" s="657"/>
      <c r="L377" s="652"/>
    </row>
    <row r="378" spans="1:12" ht="15.75" x14ac:dyDescent="0.25">
      <c r="A378" s="647"/>
      <c r="B378" s="648" t="s">
        <v>459</v>
      </c>
      <c r="C378" s="649">
        <v>221</v>
      </c>
      <c r="D378" s="650" t="s">
        <v>1046</v>
      </c>
      <c r="E378" s="651"/>
      <c r="F378" s="653"/>
      <c r="G378" s="647"/>
      <c r="H378" s="648"/>
      <c r="I378" s="649"/>
      <c r="J378" s="650"/>
      <c r="K378" s="651"/>
      <c r="L378" s="652"/>
    </row>
    <row r="379" spans="1:12" ht="15.75" x14ac:dyDescent="0.25">
      <c r="A379" s="647"/>
      <c r="B379" s="648"/>
      <c r="C379" s="649"/>
      <c r="D379" s="655" t="s">
        <v>960</v>
      </c>
      <c r="E379" s="651"/>
      <c r="F379" s="656">
        <v>0.39097222222222222</v>
      </c>
      <c r="G379" s="647"/>
      <c r="H379" s="648"/>
      <c r="I379" s="649"/>
      <c r="J379" s="650"/>
      <c r="K379" s="651"/>
      <c r="L379" s="652"/>
    </row>
    <row r="380" spans="1:12" ht="15.75" x14ac:dyDescent="0.25">
      <c r="A380" s="647" t="s">
        <v>958</v>
      </c>
      <c r="B380" s="654"/>
      <c r="C380" s="649"/>
      <c r="D380" s="650" t="s">
        <v>163</v>
      </c>
      <c r="E380" s="657">
        <v>0.44097222222222221</v>
      </c>
      <c r="F380" s="653"/>
      <c r="G380" s="647"/>
      <c r="H380" s="648"/>
      <c r="I380" s="649"/>
      <c r="J380" s="650"/>
      <c r="K380" s="651"/>
      <c r="L380" s="658"/>
    </row>
    <row r="381" spans="1:12" ht="15.75" x14ac:dyDescent="0.25">
      <c r="A381" s="647"/>
      <c r="B381" s="648"/>
      <c r="C381" s="649"/>
      <c r="D381" s="650" t="s">
        <v>963</v>
      </c>
      <c r="E381" s="657">
        <v>0.46527777777777779</v>
      </c>
      <c r="F381" s="656"/>
      <c r="G381" s="647"/>
      <c r="H381" s="648"/>
      <c r="I381" s="649"/>
      <c r="J381" s="655"/>
      <c r="K381" s="651"/>
      <c r="L381" s="658"/>
    </row>
    <row r="382" spans="1:12" ht="15.75" x14ac:dyDescent="0.25">
      <c r="A382" s="647"/>
      <c r="B382" s="648" t="s">
        <v>459</v>
      </c>
      <c r="C382" s="649">
        <v>221</v>
      </c>
      <c r="D382" s="650" t="s">
        <v>1047</v>
      </c>
      <c r="E382" s="657"/>
      <c r="F382" s="656"/>
      <c r="G382" s="647"/>
      <c r="H382" s="648"/>
      <c r="I382" s="649"/>
      <c r="J382" s="650"/>
      <c r="K382" s="651"/>
      <c r="L382" s="658"/>
    </row>
    <row r="383" spans="1:12" ht="15.75" x14ac:dyDescent="0.25">
      <c r="A383" s="647"/>
      <c r="B383" s="648"/>
      <c r="C383" s="649"/>
      <c r="D383" s="650"/>
      <c r="E383" s="651"/>
      <c r="F383" s="653"/>
      <c r="G383" s="647"/>
      <c r="H383" s="648"/>
      <c r="I383" s="649"/>
      <c r="J383" s="650"/>
      <c r="K383" s="651"/>
      <c r="L383" s="656"/>
    </row>
    <row r="384" spans="1:12" ht="15.75" x14ac:dyDescent="0.25">
      <c r="A384" s="647"/>
      <c r="B384" s="648" t="s">
        <v>459</v>
      </c>
      <c r="C384" s="649">
        <v>45</v>
      </c>
      <c r="D384" s="650" t="s">
        <v>1048</v>
      </c>
      <c r="E384" s="651"/>
      <c r="F384" s="652"/>
      <c r="G384" s="647"/>
      <c r="H384" s="648"/>
      <c r="I384" s="649"/>
      <c r="J384" s="655"/>
      <c r="K384" s="657"/>
      <c r="L384" s="656"/>
    </row>
    <row r="385" spans="1:12" ht="15.75" x14ac:dyDescent="0.25">
      <c r="A385" s="647" t="s">
        <v>958</v>
      </c>
      <c r="B385" s="654"/>
      <c r="C385" s="649"/>
      <c r="D385" s="655" t="s">
        <v>959</v>
      </c>
      <c r="E385" s="651"/>
      <c r="F385" s="656">
        <v>0.57291666666666663</v>
      </c>
      <c r="G385" s="647"/>
      <c r="H385" s="648"/>
      <c r="I385" s="649"/>
      <c r="J385" s="650"/>
      <c r="K385" s="651"/>
      <c r="L385" s="653"/>
    </row>
    <row r="386" spans="1:12" ht="15.75" x14ac:dyDescent="0.25">
      <c r="A386" s="647" t="s">
        <v>961</v>
      </c>
      <c r="B386" s="648"/>
      <c r="C386" s="649"/>
      <c r="D386" s="650" t="s">
        <v>160</v>
      </c>
      <c r="E386" s="651"/>
      <c r="F386" s="653">
        <v>0.61458333333333337</v>
      </c>
      <c r="G386" s="647"/>
      <c r="H386" s="648"/>
      <c r="I386" s="649"/>
      <c r="J386" s="655"/>
      <c r="K386" s="651"/>
      <c r="L386" s="656"/>
    </row>
    <row r="387" spans="1:12" ht="15.75" x14ac:dyDescent="0.25">
      <c r="A387" s="647"/>
      <c r="B387" s="648"/>
      <c r="C387" s="649"/>
      <c r="D387" s="655" t="s">
        <v>962</v>
      </c>
      <c r="E387" s="651"/>
      <c r="F387" s="656">
        <v>0.625</v>
      </c>
      <c r="G387" s="647"/>
      <c r="H387" s="654"/>
      <c r="I387" s="649"/>
      <c r="J387" s="650"/>
      <c r="K387" s="657"/>
      <c r="L387" s="653"/>
    </row>
    <row r="388" spans="1:12" ht="15.75" x14ac:dyDescent="0.25">
      <c r="A388" s="647"/>
      <c r="B388" s="648"/>
      <c r="C388" s="649"/>
      <c r="D388" s="655" t="s">
        <v>960</v>
      </c>
      <c r="E388" s="657">
        <v>0.65972222222222221</v>
      </c>
      <c r="F388" s="656"/>
      <c r="G388" s="647"/>
      <c r="H388" s="648"/>
      <c r="I388" s="649"/>
      <c r="J388" s="655"/>
      <c r="K388" s="651"/>
      <c r="L388" s="656"/>
    </row>
    <row r="389" spans="1:12" ht="15.75" x14ac:dyDescent="0.25">
      <c r="A389" s="647"/>
      <c r="B389" s="648" t="s">
        <v>459</v>
      </c>
      <c r="C389" s="649">
        <v>45</v>
      </c>
      <c r="D389" s="650" t="s">
        <v>1049</v>
      </c>
      <c r="E389" s="651"/>
      <c r="F389" s="656"/>
      <c r="G389" s="647"/>
      <c r="H389" s="648"/>
      <c r="I389" s="649"/>
      <c r="J389" s="655"/>
      <c r="K389" s="651"/>
      <c r="L389" s="656"/>
    </row>
    <row r="390" spans="1:12" ht="15.75" x14ac:dyDescent="0.25">
      <c r="A390" s="647"/>
      <c r="B390" s="648"/>
      <c r="C390" s="649"/>
      <c r="D390" s="655"/>
      <c r="E390" s="657"/>
      <c r="F390" s="656"/>
      <c r="G390" s="647"/>
      <c r="H390" s="648"/>
      <c r="I390" s="649"/>
      <c r="J390" s="650"/>
      <c r="K390" s="657"/>
      <c r="L390" s="653"/>
    </row>
    <row r="391" spans="1:12" ht="15.75" x14ac:dyDescent="0.25">
      <c r="A391" s="647"/>
      <c r="B391" s="648"/>
      <c r="C391" s="649"/>
      <c r="D391" s="650"/>
      <c r="E391" s="651"/>
      <c r="F391" s="653"/>
      <c r="G391" s="647"/>
      <c r="H391" s="648"/>
      <c r="I391" s="649"/>
      <c r="J391" s="650"/>
      <c r="K391" s="657"/>
      <c r="L391" s="652"/>
    </row>
    <row r="392" spans="1:12" ht="15.75" x14ac:dyDescent="0.25">
      <c r="A392" s="647"/>
      <c r="B392" s="648"/>
      <c r="C392" s="649"/>
      <c r="D392" s="655"/>
      <c r="E392" s="651"/>
      <c r="F392" s="656"/>
      <c r="G392" s="647"/>
      <c r="H392" s="648"/>
      <c r="I392" s="649"/>
      <c r="J392" s="650"/>
      <c r="K392" s="657"/>
      <c r="L392" s="652"/>
    </row>
    <row r="393" spans="1:12" ht="15.75" x14ac:dyDescent="0.25">
      <c r="A393" s="647"/>
      <c r="B393" s="654"/>
      <c r="C393" s="649"/>
      <c r="D393" s="650"/>
      <c r="E393" s="657"/>
      <c r="F393" s="653"/>
      <c r="G393" s="647"/>
      <c r="H393" s="648"/>
      <c r="I393" s="649"/>
      <c r="J393" s="650"/>
      <c r="K393" s="657"/>
      <c r="L393" s="652"/>
    </row>
    <row r="394" spans="1:12" ht="15.75" x14ac:dyDescent="0.25">
      <c r="A394" s="647"/>
      <c r="B394" s="648"/>
      <c r="C394" s="649"/>
      <c r="D394" s="655"/>
      <c r="E394" s="651"/>
      <c r="F394" s="656"/>
      <c r="G394" s="647"/>
      <c r="H394" s="648"/>
      <c r="I394" s="649"/>
      <c r="J394" s="650"/>
      <c r="K394" s="657"/>
      <c r="L394" s="652"/>
    </row>
    <row r="395" spans="1:12" ht="15.75" x14ac:dyDescent="0.25">
      <c r="A395" s="647"/>
      <c r="B395" s="648"/>
      <c r="C395" s="649"/>
      <c r="D395" s="655"/>
      <c r="E395" s="657"/>
      <c r="F395" s="656"/>
      <c r="G395" s="647"/>
      <c r="H395" s="648"/>
      <c r="I395" s="649"/>
      <c r="J395" s="650"/>
      <c r="K395" s="651"/>
      <c r="L395" s="652"/>
    </row>
    <row r="396" spans="1:12" ht="15.75" x14ac:dyDescent="0.25">
      <c r="A396" s="647"/>
      <c r="B396" s="648"/>
      <c r="C396" s="649"/>
      <c r="D396" s="650"/>
      <c r="E396" s="657"/>
      <c r="F396" s="656"/>
      <c r="G396" s="647"/>
      <c r="H396" s="648"/>
      <c r="I396" s="649"/>
      <c r="J396" s="650"/>
      <c r="K396" s="651"/>
      <c r="L396" s="652"/>
    </row>
    <row r="397" spans="1:12" ht="15.75" x14ac:dyDescent="0.25">
      <c r="A397" s="647"/>
      <c r="B397" s="648"/>
      <c r="C397" s="649"/>
      <c r="D397" s="650"/>
      <c r="E397" s="657"/>
      <c r="F397" s="653"/>
      <c r="G397" s="647"/>
      <c r="H397" s="648"/>
      <c r="I397" s="649"/>
      <c r="J397" s="650"/>
      <c r="K397" s="651"/>
      <c r="L397" s="658"/>
    </row>
    <row r="398" spans="1:12" ht="15.75" x14ac:dyDescent="0.25">
      <c r="A398" s="647"/>
      <c r="B398" s="648"/>
      <c r="C398" s="649"/>
      <c r="D398" s="650"/>
      <c r="E398" s="651"/>
      <c r="F398" s="652"/>
      <c r="G398" s="647"/>
      <c r="H398" s="648"/>
      <c r="I398" s="649"/>
      <c r="J398" s="655"/>
      <c r="K398" s="651"/>
      <c r="L398" s="658"/>
    </row>
    <row r="399" spans="1:12" ht="15.75" x14ac:dyDescent="0.25">
      <c r="A399" s="647"/>
      <c r="B399" s="648"/>
      <c r="C399" s="649"/>
      <c r="D399" s="650"/>
      <c r="E399" s="651"/>
      <c r="F399" s="652"/>
      <c r="G399" s="647"/>
      <c r="H399" s="648"/>
      <c r="I399" s="649"/>
      <c r="J399" s="650"/>
      <c r="K399" s="651"/>
      <c r="L399" s="658"/>
    </row>
    <row r="400" spans="1:12" ht="16.5" thickBot="1" x14ac:dyDescent="0.3">
      <c r="A400" s="659"/>
      <c r="B400" s="660"/>
      <c r="C400" s="661"/>
      <c r="D400" s="662"/>
      <c r="E400" s="663"/>
      <c r="F400" s="664"/>
      <c r="G400" s="665"/>
      <c r="H400" s="666"/>
      <c r="I400" s="667"/>
      <c r="J400" s="668"/>
      <c r="K400" s="663"/>
      <c r="L400" s="669"/>
    </row>
    <row r="401" spans="1:12" ht="21" x14ac:dyDescent="0.35">
      <c r="A401" s="769" t="s">
        <v>945</v>
      </c>
      <c r="B401" s="770"/>
      <c r="C401" s="770"/>
      <c r="D401" s="770"/>
      <c r="E401" s="770"/>
      <c r="F401" s="770"/>
      <c r="G401" s="770"/>
      <c r="H401" s="770"/>
      <c r="I401" s="770"/>
      <c r="J401" s="770"/>
      <c r="K401" s="770"/>
      <c r="L401" s="771"/>
    </row>
    <row r="402" spans="1:12" ht="18.75" x14ac:dyDescent="0.3">
      <c r="A402" s="772" t="s">
        <v>946</v>
      </c>
      <c r="B402" s="773"/>
      <c r="C402" s="773"/>
      <c r="D402" s="773"/>
      <c r="E402" s="773"/>
      <c r="F402" s="773"/>
      <c r="G402" s="773"/>
      <c r="H402" s="773"/>
      <c r="I402" s="773"/>
      <c r="J402" s="773"/>
      <c r="K402" s="773"/>
      <c r="L402" s="774"/>
    </row>
    <row r="403" spans="1:12" ht="24" x14ac:dyDescent="0.4">
      <c r="A403" s="775" t="s">
        <v>947</v>
      </c>
      <c r="B403" s="776"/>
      <c r="C403" s="776"/>
      <c r="D403" s="776"/>
      <c r="E403" s="776"/>
      <c r="F403" s="776"/>
      <c r="G403" s="776"/>
      <c r="H403" s="776"/>
      <c r="I403" s="776"/>
      <c r="J403" s="776"/>
      <c r="K403" s="776"/>
      <c r="L403" s="777"/>
    </row>
    <row r="404" spans="1:12" ht="24" x14ac:dyDescent="0.4">
      <c r="A404" s="670" t="s">
        <v>948</v>
      </c>
      <c r="B404" s="671"/>
      <c r="C404" s="671"/>
      <c r="D404" s="672" t="s">
        <v>949</v>
      </c>
      <c r="E404" s="778" t="s">
        <v>950</v>
      </c>
      <c r="F404" s="778"/>
      <c r="G404" s="778"/>
      <c r="H404" s="778"/>
      <c r="I404" s="778"/>
      <c r="J404" s="673" t="s">
        <v>1050</v>
      </c>
      <c r="K404" s="778"/>
      <c r="L404" s="779"/>
    </row>
    <row r="405" spans="1:12" ht="15.75" thickBot="1" x14ac:dyDescent="0.3">
      <c r="A405" s="674"/>
      <c r="B405" s="675"/>
      <c r="C405" s="675"/>
      <c r="D405" s="676"/>
      <c r="E405" s="675"/>
      <c r="F405" s="675"/>
      <c r="G405" s="675"/>
      <c r="H405" s="675"/>
      <c r="I405" s="780"/>
      <c r="J405" s="780"/>
      <c r="K405" s="675"/>
      <c r="L405" s="677"/>
    </row>
    <row r="406" spans="1:12" ht="16.5" thickBot="1" x14ac:dyDescent="0.3">
      <c r="A406" s="631" t="s">
        <v>952</v>
      </c>
      <c r="B406" s="632"/>
      <c r="C406" s="633"/>
      <c r="D406" s="634" t="s">
        <v>953</v>
      </c>
      <c r="E406" s="631" t="s">
        <v>954</v>
      </c>
      <c r="F406" s="635" t="s">
        <v>955</v>
      </c>
      <c r="G406" s="631" t="s">
        <v>952</v>
      </c>
      <c r="H406" s="632"/>
      <c r="I406" s="633"/>
      <c r="J406" s="634" t="s">
        <v>953</v>
      </c>
      <c r="K406" s="631" t="s">
        <v>954</v>
      </c>
      <c r="L406" s="631" t="s">
        <v>955</v>
      </c>
    </row>
    <row r="407" spans="1:12" ht="15.75" x14ac:dyDescent="0.25">
      <c r="A407" s="636"/>
      <c r="B407" s="637"/>
      <c r="C407" s="638"/>
      <c r="D407" s="639"/>
      <c r="E407" s="640"/>
      <c r="F407" s="641"/>
      <c r="G407" s="636"/>
      <c r="H407" s="642"/>
      <c r="I407" s="643"/>
      <c r="J407" s="644"/>
      <c r="K407" s="645"/>
      <c r="L407" s="646"/>
    </row>
    <row r="408" spans="1:12" ht="15.75" x14ac:dyDescent="0.25">
      <c r="A408" s="647"/>
      <c r="B408" s="648" t="s">
        <v>459</v>
      </c>
      <c r="C408" s="649">
        <v>11</v>
      </c>
      <c r="D408" s="650" t="s">
        <v>1051</v>
      </c>
      <c r="E408" s="651"/>
      <c r="F408" s="652"/>
      <c r="G408" s="647"/>
      <c r="H408" s="648" t="s">
        <v>459</v>
      </c>
      <c r="I408" s="649">
        <v>37</v>
      </c>
      <c r="J408" s="650" t="s">
        <v>1052</v>
      </c>
      <c r="K408" s="651"/>
      <c r="L408" s="652"/>
    </row>
    <row r="409" spans="1:12" ht="15.75" x14ac:dyDescent="0.25">
      <c r="A409" s="647" t="s">
        <v>958</v>
      </c>
      <c r="B409" s="654"/>
      <c r="C409" s="649"/>
      <c r="D409" s="655" t="s">
        <v>959</v>
      </c>
      <c r="E409" s="651"/>
      <c r="F409" s="656">
        <v>0.22222222222222221</v>
      </c>
      <c r="G409" s="647" t="s">
        <v>958</v>
      </c>
      <c r="H409" s="654"/>
      <c r="I409" s="649"/>
      <c r="J409" s="655" t="s">
        <v>959</v>
      </c>
      <c r="K409" s="651"/>
      <c r="L409" s="656">
        <v>0.75</v>
      </c>
    </row>
    <row r="410" spans="1:12" ht="15.75" x14ac:dyDescent="0.25">
      <c r="A410" s="647" t="s">
        <v>961</v>
      </c>
      <c r="B410" s="648"/>
      <c r="C410" s="649"/>
      <c r="D410" s="650" t="s">
        <v>160</v>
      </c>
      <c r="E410" s="651"/>
      <c r="F410" s="653">
        <v>0.25694444444444459</v>
      </c>
      <c r="G410" s="647" t="s">
        <v>165</v>
      </c>
      <c r="H410" s="654"/>
      <c r="I410" s="649"/>
      <c r="J410" s="650" t="s">
        <v>1053</v>
      </c>
      <c r="K410" s="657"/>
      <c r="L410" s="653">
        <v>0.77083333333333337</v>
      </c>
    </row>
    <row r="411" spans="1:12" ht="15.75" x14ac:dyDescent="0.25">
      <c r="A411" s="647"/>
      <c r="B411" s="648"/>
      <c r="C411" s="649"/>
      <c r="D411" s="655" t="s">
        <v>962</v>
      </c>
      <c r="E411" s="651"/>
      <c r="F411" s="656">
        <v>0.26388888888888901</v>
      </c>
      <c r="G411" s="647"/>
      <c r="H411" s="648"/>
      <c r="I411" s="649"/>
      <c r="J411" s="655"/>
      <c r="K411" s="651"/>
      <c r="L411" s="656"/>
    </row>
    <row r="412" spans="1:12" ht="15.75" x14ac:dyDescent="0.25">
      <c r="A412" s="647"/>
      <c r="B412" s="648"/>
      <c r="C412" s="649"/>
      <c r="D412" s="655" t="s">
        <v>960</v>
      </c>
      <c r="E412" s="651"/>
      <c r="F412" s="656">
        <v>0.29513888888888901</v>
      </c>
      <c r="G412" s="647" t="s">
        <v>958</v>
      </c>
      <c r="H412" s="648"/>
      <c r="I412" s="649"/>
      <c r="J412" s="650" t="s">
        <v>412</v>
      </c>
      <c r="K412" s="657">
        <v>0.83680555555555558</v>
      </c>
      <c r="L412" s="653"/>
    </row>
    <row r="413" spans="1:12" ht="15.75" x14ac:dyDescent="0.25">
      <c r="A413" s="647" t="s">
        <v>961</v>
      </c>
      <c r="B413" s="654"/>
      <c r="C413" s="649"/>
      <c r="D413" s="650" t="s">
        <v>163</v>
      </c>
      <c r="E413" s="657"/>
      <c r="F413" s="653">
        <v>0.36319444444444443</v>
      </c>
      <c r="G413" s="647"/>
      <c r="H413" s="648"/>
      <c r="I413" s="649"/>
      <c r="J413" s="650" t="s">
        <v>963</v>
      </c>
      <c r="K413" s="657">
        <v>0.87152777777777779</v>
      </c>
      <c r="L413" s="652"/>
    </row>
    <row r="414" spans="1:12" ht="15.75" x14ac:dyDescent="0.25">
      <c r="A414" s="647"/>
      <c r="B414" s="648"/>
      <c r="C414" s="649"/>
      <c r="D414" s="655" t="s">
        <v>164</v>
      </c>
      <c r="E414" s="651"/>
      <c r="F414" s="656">
        <v>0.39097222222222222</v>
      </c>
      <c r="G414" s="647"/>
      <c r="H414" s="648" t="s">
        <v>462</v>
      </c>
      <c r="I414" s="649" t="s">
        <v>459</v>
      </c>
      <c r="J414" s="650"/>
      <c r="K414" s="657"/>
      <c r="L414" s="652"/>
    </row>
    <row r="415" spans="1:12" ht="15.75" x14ac:dyDescent="0.25">
      <c r="A415" s="647"/>
      <c r="B415" s="648"/>
      <c r="C415" s="649"/>
      <c r="D415" s="655" t="s">
        <v>166</v>
      </c>
      <c r="E415" s="657">
        <v>0.40833333333333333</v>
      </c>
      <c r="F415" s="656"/>
      <c r="G415" s="647"/>
      <c r="H415" s="648"/>
      <c r="I415" s="649"/>
      <c r="J415" s="650"/>
      <c r="K415" s="657"/>
      <c r="L415" s="653"/>
    </row>
    <row r="416" spans="1:12" ht="15.75" x14ac:dyDescent="0.25">
      <c r="A416" s="647"/>
      <c r="B416" s="648" t="s">
        <v>462</v>
      </c>
      <c r="C416" s="649" t="s">
        <v>459</v>
      </c>
      <c r="D416" s="650"/>
      <c r="E416" s="651"/>
      <c r="F416" s="653"/>
      <c r="G416" s="647"/>
      <c r="H416" s="648"/>
      <c r="I416" s="649"/>
      <c r="J416" s="650"/>
      <c r="K416" s="657"/>
      <c r="L416" s="652"/>
    </row>
    <row r="417" spans="1:12" ht="15.75" x14ac:dyDescent="0.25">
      <c r="A417" s="647"/>
      <c r="B417" s="648"/>
      <c r="C417" s="649"/>
      <c r="D417" s="655"/>
      <c r="E417" s="651"/>
      <c r="F417" s="656"/>
      <c r="G417" s="647"/>
      <c r="H417" s="648"/>
      <c r="I417" s="649"/>
      <c r="J417" s="650"/>
      <c r="K417" s="651"/>
      <c r="L417" s="653"/>
    </row>
    <row r="418" spans="1:12" ht="15.75" x14ac:dyDescent="0.25">
      <c r="A418" s="647"/>
      <c r="B418" s="648" t="s">
        <v>459</v>
      </c>
      <c r="C418" s="649">
        <v>4</v>
      </c>
      <c r="D418" s="650" t="s">
        <v>1054</v>
      </c>
      <c r="E418" s="651"/>
      <c r="F418" s="653"/>
      <c r="G418" s="647"/>
      <c r="H418" s="648"/>
      <c r="I418" s="649"/>
      <c r="J418" s="650"/>
      <c r="K418" s="651"/>
      <c r="L418" s="653"/>
    </row>
    <row r="419" spans="1:12" ht="15.75" x14ac:dyDescent="0.25">
      <c r="A419" s="647"/>
      <c r="B419" s="648"/>
      <c r="C419" s="649"/>
      <c r="D419" s="655" t="s">
        <v>166</v>
      </c>
      <c r="E419" s="651"/>
      <c r="F419" s="656">
        <v>0.40833333333333333</v>
      </c>
      <c r="G419" s="647"/>
      <c r="H419" s="648"/>
      <c r="I419" s="649"/>
      <c r="J419" s="655"/>
      <c r="K419" s="651"/>
      <c r="L419" s="656"/>
    </row>
    <row r="420" spans="1:12" ht="15.75" x14ac:dyDescent="0.25">
      <c r="A420" s="647" t="s">
        <v>958</v>
      </c>
      <c r="B420" s="648"/>
      <c r="C420" s="649"/>
      <c r="D420" s="650" t="s">
        <v>160</v>
      </c>
      <c r="E420" s="657">
        <v>0.46180555555555558</v>
      </c>
      <c r="F420" s="653"/>
      <c r="G420" s="647"/>
      <c r="H420" s="654"/>
      <c r="I420" s="649"/>
      <c r="J420" s="650"/>
      <c r="K420" s="657"/>
      <c r="L420" s="653"/>
    </row>
    <row r="421" spans="1:12" ht="15.75" x14ac:dyDescent="0.25">
      <c r="A421" s="647"/>
      <c r="B421" s="648"/>
      <c r="C421" s="649"/>
      <c r="D421" s="650" t="s">
        <v>963</v>
      </c>
      <c r="E421" s="657">
        <v>0.49305555555555558</v>
      </c>
      <c r="F421" s="652"/>
      <c r="G421" s="647"/>
      <c r="H421" s="648"/>
      <c r="I421" s="649"/>
      <c r="J421" s="655"/>
      <c r="K421" s="651"/>
      <c r="L421" s="656"/>
    </row>
    <row r="422" spans="1:12" ht="15.75" x14ac:dyDescent="0.25">
      <c r="A422" s="647"/>
      <c r="B422" s="648" t="s">
        <v>462</v>
      </c>
      <c r="C422" s="649" t="s">
        <v>459</v>
      </c>
      <c r="D422" s="650"/>
      <c r="E422" s="657"/>
      <c r="F422" s="652"/>
      <c r="G422" s="647"/>
      <c r="H422" s="648"/>
      <c r="I422" s="649"/>
      <c r="J422" s="655"/>
      <c r="K422" s="651"/>
      <c r="L422" s="656"/>
    </row>
    <row r="423" spans="1:12" ht="15.75" x14ac:dyDescent="0.25">
      <c r="A423" s="647"/>
      <c r="B423" s="648"/>
      <c r="C423" s="649"/>
      <c r="D423" s="650"/>
      <c r="E423" s="657"/>
      <c r="F423" s="652"/>
      <c r="G423" s="647"/>
      <c r="H423" s="648"/>
      <c r="I423" s="649"/>
      <c r="J423" s="650"/>
      <c r="K423" s="651"/>
      <c r="L423" s="653"/>
    </row>
    <row r="424" spans="1:12" ht="15.75" x14ac:dyDescent="0.25">
      <c r="A424" s="647"/>
      <c r="B424" s="648" t="s">
        <v>459</v>
      </c>
      <c r="C424" s="649">
        <v>205</v>
      </c>
      <c r="D424" s="650" t="s">
        <v>1055</v>
      </c>
      <c r="E424" s="651"/>
      <c r="F424" s="652"/>
      <c r="G424" s="647"/>
      <c r="H424" s="648"/>
      <c r="I424" s="649"/>
      <c r="J424" s="655"/>
      <c r="K424" s="651"/>
      <c r="L424" s="656"/>
    </row>
    <row r="425" spans="1:12" ht="15.75" x14ac:dyDescent="0.25">
      <c r="A425" s="647" t="s">
        <v>958</v>
      </c>
      <c r="B425" s="654"/>
      <c r="C425" s="649"/>
      <c r="D425" s="655" t="s">
        <v>959</v>
      </c>
      <c r="E425" s="651"/>
      <c r="F425" s="656">
        <v>0.58333333333333337</v>
      </c>
      <c r="G425" s="647"/>
      <c r="H425" s="648"/>
      <c r="I425" s="649"/>
      <c r="J425" s="655"/>
      <c r="K425" s="651"/>
      <c r="L425" s="656"/>
    </row>
    <row r="426" spans="1:12" ht="15.75" x14ac:dyDescent="0.25">
      <c r="A426" s="647" t="s">
        <v>961</v>
      </c>
      <c r="B426" s="654"/>
      <c r="C426" s="649"/>
      <c r="D426" s="650" t="s">
        <v>163</v>
      </c>
      <c r="E426" s="657"/>
      <c r="F426" s="653">
        <v>0.61111111111111116</v>
      </c>
      <c r="G426" s="647"/>
      <c r="H426" s="654"/>
      <c r="I426" s="649"/>
      <c r="J426" s="650"/>
      <c r="K426" s="657"/>
      <c r="L426" s="653"/>
    </row>
    <row r="427" spans="1:12" ht="15.75" x14ac:dyDescent="0.25">
      <c r="A427" s="647"/>
      <c r="B427" s="648"/>
      <c r="C427" s="649"/>
      <c r="D427" s="655" t="s">
        <v>164</v>
      </c>
      <c r="E427" s="651"/>
      <c r="F427" s="656">
        <v>0.64583333333333337</v>
      </c>
      <c r="G427" s="647"/>
      <c r="H427" s="648"/>
      <c r="I427" s="649"/>
      <c r="J427" s="650"/>
      <c r="K427" s="657"/>
      <c r="L427" s="652"/>
    </row>
    <row r="428" spans="1:12" ht="15.75" x14ac:dyDescent="0.25">
      <c r="A428" s="647"/>
      <c r="B428" s="648"/>
      <c r="C428" s="649"/>
      <c r="D428" s="655" t="s">
        <v>166</v>
      </c>
      <c r="E428" s="657"/>
      <c r="F428" s="656">
        <v>0.65972222222222221</v>
      </c>
      <c r="G428" s="647"/>
      <c r="H428" s="648"/>
      <c r="I428" s="649"/>
      <c r="J428" s="650"/>
      <c r="K428" s="657"/>
      <c r="L428" s="652"/>
    </row>
    <row r="429" spans="1:12" ht="15.75" x14ac:dyDescent="0.25">
      <c r="A429" s="647" t="s">
        <v>958</v>
      </c>
      <c r="B429" s="648"/>
      <c r="C429" s="649"/>
      <c r="D429" s="650" t="s">
        <v>160</v>
      </c>
      <c r="E429" s="657">
        <v>0.71388888888888891</v>
      </c>
      <c r="F429" s="653"/>
      <c r="G429" s="647"/>
      <c r="H429" s="648"/>
      <c r="I429" s="649"/>
      <c r="J429" s="650"/>
      <c r="K429" s="657"/>
      <c r="L429" s="652"/>
    </row>
    <row r="430" spans="1:12" ht="15.75" x14ac:dyDescent="0.25">
      <c r="A430" s="647"/>
      <c r="B430" s="648"/>
      <c r="C430" s="649"/>
      <c r="D430" s="650" t="s">
        <v>963</v>
      </c>
      <c r="E430" s="657">
        <v>0.74513888888888891</v>
      </c>
      <c r="F430" s="652"/>
      <c r="G430" s="647"/>
      <c r="H430" s="648"/>
      <c r="I430" s="649"/>
      <c r="J430" s="650"/>
      <c r="K430" s="651"/>
      <c r="L430" s="652"/>
    </row>
    <row r="431" spans="1:12" ht="15.75" x14ac:dyDescent="0.25">
      <c r="A431" s="647"/>
      <c r="B431" s="648" t="s">
        <v>462</v>
      </c>
      <c r="C431" s="649" t="s">
        <v>459</v>
      </c>
      <c r="D431" s="650"/>
      <c r="E431" s="657"/>
      <c r="F431" s="652"/>
      <c r="G431" s="647"/>
      <c r="H431" s="648"/>
      <c r="I431" s="649"/>
      <c r="J431" s="650"/>
      <c r="K431" s="651"/>
      <c r="L431" s="652"/>
    </row>
    <row r="432" spans="1:12" ht="15.75" x14ac:dyDescent="0.25">
      <c r="A432" s="647"/>
      <c r="B432" s="648"/>
      <c r="C432" s="649"/>
      <c r="D432" s="650"/>
      <c r="E432" s="651"/>
      <c r="F432" s="653"/>
      <c r="G432" s="647"/>
      <c r="H432" s="648"/>
      <c r="I432" s="649"/>
      <c r="J432" s="650"/>
      <c r="K432" s="651"/>
      <c r="L432" s="652"/>
    </row>
    <row r="433" spans="1:12" ht="15.75" x14ac:dyDescent="0.25">
      <c r="A433" s="647"/>
      <c r="B433" s="648"/>
      <c r="C433" s="649"/>
      <c r="D433" s="655"/>
      <c r="E433" s="651"/>
      <c r="F433" s="656"/>
      <c r="G433" s="647"/>
      <c r="H433" s="648"/>
      <c r="I433" s="649"/>
      <c r="J433" s="650"/>
      <c r="K433" s="651"/>
      <c r="L433" s="652"/>
    </row>
    <row r="434" spans="1:12" ht="15.75" x14ac:dyDescent="0.25">
      <c r="A434" s="647"/>
      <c r="B434" s="648"/>
      <c r="C434" s="649"/>
      <c r="D434" s="650"/>
      <c r="E434" s="651"/>
      <c r="F434" s="653"/>
      <c r="G434" s="647"/>
      <c r="H434" s="648"/>
      <c r="I434" s="649"/>
      <c r="J434" s="650"/>
      <c r="K434" s="651"/>
      <c r="L434" s="652"/>
    </row>
    <row r="435" spans="1:12" ht="15.75" x14ac:dyDescent="0.25">
      <c r="A435" s="647"/>
      <c r="B435" s="648"/>
      <c r="C435" s="649"/>
      <c r="D435" s="655"/>
      <c r="E435" s="651"/>
      <c r="F435" s="656"/>
      <c r="G435" s="647"/>
      <c r="H435" s="648"/>
      <c r="I435" s="649"/>
      <c r="J435" s="650"/>
      <c r="K435" s="651"/>
      <c r="L435" s="652"/>
    </row>
    <row r="436" spans="1:12" ht="15.75" x14ac:dyDescent="0.25">
      <c r="A436" s="647"/>
      <c r="B436" s="648"/>
      <c r="C436" s="649"/>
      <c r="D436" s="655"/>
      <c r="E436" s="657"/>
      <c r="F436" s="656"/>
      <c r="G436" s="647"/>
      <c r="H436" s="648"/>
      <c r="I436" s="649"/>
      <c r="J436" s="650"/>
      <c r="K436" s="651"/>
      <c r="L436" s="652"/>
    </row>
    <row r="437" spans="1:12" ht="15.75" x14ac:dyDescent="0.25">
      <c r="A437" s="647"/>
      <c r="B437" s="648"/>
      <c r="C437" s="649"/>
      <c r="D437" s="650"/>
      <c r="E437" s="657"/>
      <c r="F437" s="653"/>
      <c r="G437" s="647"/>
      <c r="H437" s="648"/>
      <c r="I437" s="649"/>
      <c r="J437" s="650"/>
      <c r="K437" s="651"/>
      <c r="L437" s="658"/>
    </row>
    <row r="438" spans="1:12" ht="15.75" x14ac:dyDescent="0.25">
      <c r="A438" s="647"/>
      <c r="B438" s="648"/>
      <c r="C438" s="649"/>
      <c r="D438" s="650"/>
      <c r="E438" s="657"/>
      <c r="F438" s="652"/>
      <c r="G438" s="647"/>
      <c r="H438" s="648"/>
      <c r="I438" s="649"/>
      <c r="J438" s="655"/>
      <c r="K438" s="651"/>
      <c r="L438" s="658"/>
    </row>
    <row r="439" spans="1:12" ht="15.75" x14ac:dyDescent="0.25">
      <c r="A439" s="647"/>
      <c r="B439" s="648"/>
      <c r="C439" s="649"/>
      <c r="D439" s="650"/>
      <c r="E439" s="651"/>
      <c r="F439" s="652"/>
      <c r="G439" s="647"/>
      <c r="H439" s="648"/>
      <c r="I439" s="649"/>
      <c r="J439" s="650"/>
      <c r="K439" s="651"/>
      <c r="L439" s="658"/>
    </row>
    <row r="440" spans="1:12" ht="16.5" thickBot="1" x14ac:dyDescent="0.3">
      <c r="A440" s="659"/>
      <c r="B440" s="660"/>
      <c r="C440" s="661"/>
      <c r="D440" s="662"/>
      <c r="E440" s="663"/>
      <c r="F440" s="664"/>
      <c r="G440" s="665"/>
      <c r="H440" s="666"/>
      <c r="I440" s="667"/>
      <c r="J440" s="668"/>
      <c r="K440" s="663"/>
      <c r="L440" s="669"/>
    </row>
    <row r="441" spans="1:12" ht="21" x14ac:dyDescent="0.35">
      <c r="A441" s="769" t="s">
        <v>945</v>
      </c>
      <c r="B441" s="770"/>
      <c r="C441" s="770"/>
      <c r="D441" s="770"/>
      <c r="E441" s="770"/>
      <c r="F441" s="770"/>
      <c r="G441" s="770"/>
      <c r="H441" s="770"/>
      <c r="I441" s="770"/>
      <c r="J441" s="770"/>
      <c r="K441" s="770"/>
      <c r="L441" s="771"/>
    </row>
    <row r="442" spans="1:12" ht="18.75" x14ac:dyDescent="0.3">
      <c r="A442" s="772" t="s">
        <v>946</v>
      </c>
      <c r="B442" s="773"/>
      <c r="C442" s="773"/>
      <c r="D442" s="773"/>
      <c r="E442" s="773"/>
      <c r="F442" s="773"/>
      <c r="G442" s="773"/>
      <c r="H442" s="773"/>
      <c r="I442" s="773"/>
      <c r="J442" s="773"/>
      <c r="K442" s="773"/>
      <c r="L442" s="774"/>
    </row>
    <row r="443" spans="1:12" ht="24" x14ac:dyDescent="0.4">
      <c r="A443" s="775" t="s">
        <v>947</v>
      </c>
      <c r="B443" s="776"/>
      <c r="C443" s="776"/>
      <c r="D443" s="776"/>
      <c r="E443" s="776"/>
      <c r="F443" s="776"/>
      <c r="G443" s="776"/>
      <c r="H443" s="776"/>
      <c r="I443" s="776"/>
      <c r="J443" s="776"/>
      <c r="K443" s="776"/>
      <c r="L443" s="777"/>
    </row>
    <row r="444" spans="1:12" ht="24" x14ac:dyDescent="0.4">
      <c r="A444" s="670" t="s">
        <v>948</v>
      </c>
      <c r="B444" s="671"/>
      <c r="C444" s="671"/>
      <c r="D444" s="672" t="s">
        <v>949</v>
      </c>
      <c r="E444" s="778" t="s">
        <v>950</v>
      </c>
      <c r="F444" s="778"/>
      <c r="G444" s="778"/>
      <c r="H444" s="778"/>
      <c r="I444" s="778"/>
      <c r="J444" s="673" t="s">
        <v>1056</v>
      </c>
      <c r="K444" s="778"/>
      <c r="L444" s="779"/>
    </row>
    <row r="445" spans="1:12" ht="15.75" thickBot="1" x14ac:dyDescent="0.3">
      <c r="A445" s="674"/>
      <c r="B445" s="675"/>
      <c r="C445" s="675"/>
      <c r="D445" s="676"/>
      <c r="E445" s="675"/>
      <c r="F445" s="675"/>
      <c r="G445" s="675"/>
      <c r="H445" s="675"/>
      <c r="I445" s="780"/>
      <c r="J445" s="780"/>
      <c r="K445" s="675"/>
      <c r="L445" s="677"/>
    </row>
    <row r="446" spans="1:12" ht="16.5" thickBot="1" x14ac:dyDescent="0.3">
      <c r="A446" s="631" t="s">
        <v>952</v>
      </c>
      <c r="B446" s="632"/>
      <c r="C446" s="633"/>
      <c r="D446" s="634" t="s">
        <v>953</v>
      </c>
      <c r="E446" s="631" t="s">
        <v>954</v>
      </c>
      <c r="F446" s="635" t="s">
        <v>955</v>
      </c>
      <c r="G446" s="631" t="s">
        <v>952</v>
      </c>
      <c r="H446" s="632"/>
      <c r="I446" s="633"/>
      <c r="J446" s="634" t="s">
        <v>953</v>
      </c>
      <c r="K446" s="631" t="s">
        <v>954</v>
      </c>
      <c r="L446" s="631" t="s">
        <v>955</v>
      </c>
    </row>
    <row r="447" spans="1:12" ht="15.75" x14ac:dyDescent="0.25">
      <c r="A447" s="636"/>
      <c r="B447" s="637"/>
      <c r="C447" s="638"/>
      <c r="D447" s="639"/>
      <c r="E447" s="640"/>
      <c r="F447" s="641"/>
      <c r="G447" s="636"/>
      <c r="H447" s="642"/>
      <c r="I447" s="643"/>
      <c r="J447" s="644"/>
      <c r="K447" s="645"/>
      <c r="L447" s="646"/>
    </row>
    <row r="448" spans="1:12" ht="15.75" x14ac:dyDescent="0.25">
      <c r="A448" s="647"/>
      <c r="B448" s="648" t="s">
        <v>459</v>
      </c>
      <c r="C448" s="649">
        <v>12</v>
      </c>
      <c r="D448" s="650" t="s">
        <v>1051</v>
      </c>
      <c r="E448" s="651"/>
      <c r="F448" s="652"/>
      <c r="G448" s="647"/>
      <c r="H448" s="648" t="s">
        <v>459</v>
      </c>
      <c r="I448" s="649">
        <v>63</v>
      </c>
      <c r="J448" s="650" t="s">
        <v>1057</v>
      </c>
      <c r="K448" s="651"/>
      <c r="L448" s="653"/>
    </row>
    <row r="449" spans="1:12" ht="15.75" x14ac:dyDescent="0.25">
      <c r="A449" s="647" t="s">
        <v>958</v>
      </c>
      <c r="B449" s="654"/>
      <c r="C449" s="649"/>
      <c r="D449" s="655" t="s">
        <v>959</v>
      </c>
      <c r="E449" s="651"/>
      <c r="F449" s="656">
        <v>0.22222222222222221</v>
      </c>
      <c r="G449" s="647"/>
      <c r="H449" s="648"/>
      <c r="I449" s="649"/>
      <c r="J449" s="655" t="s">
        <v>166</v>
      </c>
      <c r="K449" s="651"/>
      <c r="L449" s="656">
        <v>0.68611111111111112</v>
      </c>
    </row>
    <row r="450" spans="1:12" ht="15.75" x14ac:dyDescent="0.25">
      <c r="A450" s="647" t="s">
        <v>961</v>
      </c>
      <c r="B450" s="654"/>
      <c r="C450" s="649"/>
      <c r="D450" s="650" t="s">
        <v>163</v>
      </c>
      <c r="E450" s="651"/>
      <c r="F450" s="653">
        <v>0.25000000000000022</v>
      </c>
      <c r="G450" s="647" t="s">
        <v>961</v>
      </c>
      <c r="H450" s="648"/>
      <c r="I450" s="649"/>
      <c r="J450" s="650" t="s">
        <v>160</v>
      </c>
      <c r="K450" s="651"/>
      <c r="L450" s="653">
        <v>0.74305555555555558</v>
      </c>
    </row>
    <row r="451" spans="1:12" ht="15.75" x14ac:dyDescent="0.25">
      <c r="A451" s="647"/>
      <c r="B451" s="648"/>
      <c r="C451" s="649"/>
      <c r="D451" s="655" t="s">
        <v>164</v>
      </c>
      <c r="E451" s="651"/>
      <c r="F451" s="656">
        <v>0.27777777777777801</v>
      </c>
      <c r="G451" s="647"/>
      <c r="H451" s="648"/>
      <c r="I451" s="649"/>
      <c r="J451" s="655" t="s">
        <v>962</v>
      </c>
      <c r="K451" s="651"/>
      <c r="L451" s="656">
        <v>0.75</v>
      </c>
    </row>
    <row r="452" spans="1:12" ht="15.75" x14ac:dyDescent="0.25">
      <c r="A452" s="647"/>
      <c r="B452" s="648"/>
      <c r="C452" s="649"/>
      <c r="D452" s="655" t="s">
        <v>166</v>
      </c>
      <c r="E452" s="651"/>
      <c r="F452" s="656">
        <v>0.29513888888888912</v>
      </c>
      <c r="G452" s="647"/>
      <c r="H452" s="648"/>
      <c r="I452" s="649"/>
      <c r="J452" s="655" t="s">
        <v>960</v>
      </c>
      <c r="K452" s="657">
        <v>0.78819444444444442</v>
      </c>
      <c r="L452" s="656"/>
    </row>
    <row r="453" spans="1:12" ht="15.75" x14ac:dyDescent="0.25">
      <c r="A453" s="647" t="s">
        <v>961</v>
      </c>
      <c r="B453" s="648"/>
      <c r="C453" s="649"/>
      <c r="D453" s="650" t="s">
        <v>160</v>
      </c>
      <c r="E453" s="651"/>
      <c r="F453" s="653">
        <v>0.35416666666666663</v>
      </c>
      <c r="G453" s="647"/>
      <c r="H453" s="648" t="s">
        <v>459</v>
      </c>
      <c r="I453" s="649">
        <v>63</v>
      </c>
      <c r="J453" s="650" t="s">
        <v>1058</v>
      </c>
      <c r="K453" s="651"/>
      <c r="L453" s="653"/>
    </row>
    <row r="454" spans="1:12" ht="15.75" x14ac:dyDescent="0.25">
      <c r="A454" s="647"/>
      <c r="B454" s="648"/>
      <c r="C454" s="649"/>
      <c r="D454" s="655" t="s">
        <v>962</v>
      </c>
      <c r="E454" s="651"/>
      <c r="F454" s="656">
        <v>0.36458333333333331</v>
      </c>
      <c r="G454" s="647"/>
      <c r="H454" s="648"/>
      <c r="I454" s="649"/>
      <c r="J454" s="655"/>
      <c r="K454" s="651"/>
      <c r="L454" s="656"/>
    </row>
    <row r="455" spans="1:12" ht="15.75" x14ac:dyDescent="0.25">
      <c r="A455" s="647"/>
      <c r="B455" s="648"/>
      <c r="C455" s="649"/>
      <c r="D455" s="655" t="s">
        <v>960</v>
      </c>
      <c r="E455" s="657">
        <v>0.39583333333333331</v>
      </c>
      <c r="F455" s="656"/>
      <c r="G455" s="647"/>
      <c r="H455" s="648" t="s">
        <v>459</v>
      </c>
      <c r="I455" s="649">
        <v>38</v>
      </c>
      <c r="J455" s="650" t="s">
        <v>1059</v>
      </c>
      <c r="K455" s="651"/>
      <c r="L455" s="653"/>
    </row>
    <row r="456" spans="1:12" ht="15.75" x14ac:dyDescent="0.25">
      <c r="A456" s="647"/>
      <c r="B456" s="648" t="s">
        <v>459</v>
      </c>
      <c r="C456" s="649">
        <v>12</v>
      </c>
      <c r="D456" s="650" t="s">
        <v>1060</v>
      </c>
      <c r="E456" s="651"/>
      <c r="F456" s="653"/>
      <c r="G456" s="647"/>
      <c r="H456" s="648"/>
      <c r="I456" s="649"/>
      <c r="J456" s="655" t="s">
        <v>960</v>
      </c>
      <c r="K456" s="651"/>
      <c r="L456" s="656">
        <v>0.78819444444444442</v>
      </c>
    </row>
    <row r="457" spans="1:12" ht="15.75" x14ac:dyDescent="0.25">
      <c r="A457" s="647"/>
      <c r="B457" s="648"/>
      <c r="C457" s="649"/>
      <c r="D457" s="655"/>
      <c r="E457" s="651"/>
      <c r="F457" s="656"/>
      <c r="G457" s="647" t="s">
        <v>961</v>
      </c>
      <c r="H457" s="654"/>
      <c r="I457" s="649"/>
      <c r="J457" s="650" t="s">
        <v>163</v>
      </c>
      <c r="K457" s="657"/>
      <c r="L457" s="653">
        <v>0.83333333333333259</v>
      </c>
    </row>
    <row r="458" spans="1:12" ht="15.75" x14ac:dyDescent="0.25">
      <c r="A458" s="647"/>
      <c r="B458" s="648" t="s">
        <v>459</v>
      </c>
      <c r="C458" s="649">
        <v>223</v>
      </c>
      <c r="D458" s="650" t="s">
        <v>1061</v>
      </c>
      <c r="E458" s="651"/>
      <c r="F458" s="653"/>
      <c r="G458" s="647"/>
      <c r="H458" s="648"/>
      <c r="I458" s="649"/>
      <c r="J458" s="655" t="s">
        <v>164</v>
      </c>
      <c r="K458" s="651"/>
      <c r="L458" s="656">
        <v>0.85416666666666596</v>
      </c>
    </row>
    <row r="459" spans="1:12" ht="15.75" x14ac:dyDescent="0.25">
      <c r="A459" s="647"/>
      <c r="B459" s="648"/>
      <c r="C459" s="649"/>
      <c r="D459" s="655" t="s">
        <v>960</v>
      </c>
      <c r="E459" s="651"/>
      <c r="F459" s="656">
        <v>0.39583333333333331</v>
      </c>
      <c r="G459" s="647"/>
      <c r="H459" s="648"/>
      <c r="I459" s="649"/>
      <c r="J459" s="655" t="s">
        <v>166</v>
      </c>
      <c r="K459" s="657"/>
      <c r="L459" s="656">
        <v>0.87152777777777779</v>
      </c>
    </row>
    <row r="460" spans="1:12" ht="15.75" x14ac:dyDescent="0.25">
      <c r="A460" s="647" t="s">
        <v>961</v>
      </c>
      <c r="B460" s="654"/>
      <c r="C460" s="649"/>
      <c r="D460" s="650" t="s">
        <v>163</v>
      </c>
      <c r="E460" s="657"/>
      <c r="F460" s="653">
        <v>0.44791666666666669</v>
      </c>
      <c r="G460" s="647" t="s">
        <v>958</v>
      </c>
      <c r="H460" s="648"/>
      <c r="I460" s="649"/>
      <c r="J460" s="650" t="s">
        <v>160</v>
      </c>
      <c r="K460" s="657">
        <v>0.90138888888888891</v>
      </c>
      <c r="L460" s="658"/>
    </row>
    <row r="461" spans="1:12" ht="15.75" x14ac:dyDescent="0.25">
      <c r="A461" s="647"/>
      <c r="B461" s="648"/>
      <c r="C461" s="649"/>
      <c r="D461" s="655" t="s">
        <v>164</v>
      </c>
      <c r="E461" s="651"/>
      <c r="F461" s="656">
        <v>0.47569444444444442</v>
      </c>
      <c r="G461" s="647"/>
      <c r="H461" s="648"/>
      <c r="I461" s="649"/>
      <c r="J461" s="650" t="s">
        <v>963</v>
      </c>
      <c r="K461" s="657">
        <v>0.93263888888888891</v>
      </c>
      <c r="L461" s="658"/>
    </row>
    <row r="462" spans="1:12" ht="15.75" x14ac:dyDescent="0.25">
      <c r="A462" s="647"/>
      <c r="B462" s="648"/>
      <c r="C462" s="649"/>
      <c r="D462" s="655" t="s">
        <v>166</v>
      </c>
      <c r="E462" s="657">
        <v>0.48958333333333331</v>
      </c>
      <c r="F462" s="656"/>
      <c r="G462" s="647"/>
      <c r="H462" s="648" t="s">
        <v>462</v>
      </c>
      <c r="I462" s="649" t="s">
        <v>459</v>
      </c>
      <c r="J462" s="650"/>
      <c r="K462" s="657"/>
      <c r="L462" s="658"/>
    </row>
    <row r="463" spans="1:12" ht="15.75" x14ac:dyDescent="0.25">
      <c r="A463" s="647"/>
      <c r="B463" s="648" t="s">
        <v>459</v>
      </c>
      <c r="C463" s="649">
        <v>223</v>
      </c>
      <c r="D463" s="650" t="s">
        <v>1062</v>
      </c>
      <c r="E463" s="651"/>
      <c r="F463" s="653"/>
      <c r="G463" s="647"/>
      <c r="H463" s="648"/>
      <c r="I463" s="649"/>
      <c r="J463" s="650"/>
      <c r="K463" s="651"/>
      <c r="L463" s="656"/>
    </row>
    <row r="464" spans="1:12" ht="15.75" x14ac:dyDescent="0.25">
      <c r="A464" s="647"/>
      <c r="B464" s="648"/>
      <c r="C464" s="649"/>
      <c r="D464" s="655"/>
      <c r="E464" s="651"/>
      <c r="F464" s="656"/>
      <c r="G464" s="647"/>
      <c r="H464" s="648"/>
      <c r="I464" s="649"/>
      <c r="J464" s="655"/>
      <c r="K464" s="657"/>
      <c r="L464" s="656"/>
    </row>
    <row r="465" spans="1:12" ht="15.75" x14ac:dyDescent="0.25">
      <c r="A465" s="647"/>
      <c r="B465" s="648" t="s">
        <v>459</v>
      </c>
      <c r="C465" s="649">
        <v>34</v>
      </c>
      <c r="D465" s="650" t="s">
        <v>1063</v>
      </c>
      <c r="E465" s="651"/>
      <c r="F465" s="653"/>
      <c r="G465" s="647"/>
      <c r="H465" s="648"/>
      <c r="I465" s="649"/>
      <c r="J465" s="650"/>
      <c r="K465" s="651"/>
      <c r="L465" s="653"/>
    </row>
    <row r="466" spans="1:12" ht="15.75" x14ac:dyDescent="0.25">
      <c r="A466" s="647"/>
      <c r="B466" s="648"/>
      <c r="C466" s="649"/>
      <c r="D466" s="655" t="s">
        <v>166</v>
      </c>
      <c r="E466" s="651"/>
      <c r="F466" s="656">
        <v>0.48958333333333331</v>
      </c>
      <c r="G466" s="647"/>
      <c r="H466" s="648"/>
      <c r="I466" s="649"/>
      <c r="J466" s="655"/>
      <c r="K466" s="651"/>
      <c r="L466" s="656"/>
    </row>
    <row r="467" spans="1:12" ht="15.75" x14ac:dyDescent="0.25">
      <c r="A467" s="647" t="s">
        <v>961</v>
      </c>
      <c r="B467" s="648"/>
      <c r="C467" s="649"/>
      <c r="D467" s="650" t="s">
        <v>160</v>
      </c>
      <c r="E467" s="651"/>
      <c r="F467" s="653">
        <v>0.53819444444444442</v>
      </c>
      <c r="G467" s="647"/>
      <c r="H467" s="654"/>
      <c r="I467" s="649"/>
      <c r="J467" s="650"/>
      <c r="K467" s="657"/>
      <c r="L467" s="653"/>
    </row>
    <row r="468" spans="1:12" ht="15.75" x14ac:dyDescent="0.25">
      <c r="A468" s="647"/>
      <c r="B468" s="648"/>
      <c r="C468" s="649"/>
      <c r="D468" s="655" t="s">
        <v>962</v>
      </c>
      <c r="E468" s="651"/>
      <c r="F468" s="656">
        <v>0.54861111111111116</v>
      </c>
      <c r="G468" s="647"/>
      <c r="H468" s="648"/>
      <c r="I468" s="649"/>
      <c r="J468" s="655"/>
      <c r="K468" s="651"/>
      <c r="L468" s="656"/>
    </row>
    <row r="469" spans="1:12" ht="15.75" x14ac:dyDescent="0.25">
      <c r="A469" s="647"/>
      <c r="B469" s="648"/>
      <c r="C469" s="649"/>
      <c r="D469" s="655" t="s">
        <v>960</v>
      </c>
      <c r="E469" s="651"/>
      <c r="F469" s="656">
        <v>0.57986111111111116</v>
      </c>
      <c r="G469" s="647"/>
      <c r="H469" s="648"/>
      <c r="I469" s="649"/>
      <c r="J469" s="655"/>
      <c r="K469" s="651"/>
      <c r="L469" s="656"/>
    </row>
    <row r="470" spans="1:12" ht="15.75" x14ac:dyDescent="0.25">
      <c r="A470" s="647" t="s">
        <v>961</v>
      </c>
      <c r="B470" s="654"/>
      <c r="C470" s="649"/>
      <c r="D470" s="650" t="s">
        <v>163</v>
      </c>
      <c r="E470" s="657"/>
      <c r="F470" s="653">
        <v>0.63749999999999996</v>
      </c>
      <c r="G470" s="647"/>
      <c r="H470" s="648"/>
      <c r="I470" s="649"/>
      <c r="J470" s="650"/>
      <c r="K470" s="657"/>
      <c r="L470" s="653"/>
    </row>
    <row r="471" spans="1:12" ht="15.75" x14ac:dyDescent="0.25">
      <c r="A471" s="647"/>
      <c r="B471" s="648"/>
      <c r="C471" s="649"/>
      <c r="D471" s="655" t="s">
        <v>164</v>
      </c>
      <c r="E471" s="651"/>
      <c r="F471" s="656">
        <v>0.67222222222222217</v>
      </c>
      <c r="G471" s="647"/>
      <c r="H471" s="648"/>
      <c r="I471" s="649"/>
      <c r="J471" s="650"/>
      <c r="K471" s="657"/>
      <c r="L471" s="652"/>
    </row>
    <row r="472" spans="1:12" ht="15.75" x14ac:dyDescent="0.25">
      <c r="A472" s="647"/>
      <c r="B472" s="648"/>
      <c r="C472" s="649"/>
      <c r="D472" s="655" t="s">
        <v>166</v>
      </c>
      <c r="E472" s="657">
        <v>0.68611111111111112</v>
      </c>
      <c r="F472" s="656"/>
      <c r="G472" s="647"/>
      <c r="H472" s="648"/>
      <c r="I472" s="649"/>
      <c r="J472" s="650"/>
      <c r="K472" s="657"/>
      <c r="L472" s="652"/>
    </row>
    <row r="473" spans="1:12" ht="15.75" x14ac:dyDescent="0.25">
      <c r="A473" s="647"/>
      <c r="B473" s="648" t="s">
        <v>459</v>
      </c>
      <c r="C473" s="649">
        <v>34</v>
      </c>
      <c r="D473" s="650" t="s">
        <v>1064</v>
      </c>
      <c r="E473" s="657"/>
      <c r="F473" s="656"/>
      <c r="G473" s="647"/>
      <c r="H473" s="648"/>
      <c r="I473" s="649"/>
      <c r="J473" s="650"/>
      <c r="K473" s="657"/>
      <c r="L473" s="652"/>
    </row>
    <row r="474" spans="1:12" ht="15.75" x14ac:dyDescent="0.25">
      <c r="A474" s="647"/>
      <c r="B474" s="648"/>
      <c r="C474" s="649"/>
      <c r="D474" s="650"/>
      <c r="E474" s="657"/>
      <c r="F474" s="653"/>
      <c r="G474" s="647"/>
      <c r="H474" s="648"/>
      <c r="I474" s="649"/>
      <c r="J474" s="650"/>
      <c r="K474" s="657"/>
      <c r="L474" s="652"/>
    </row>
    <row r="475" spans="1:12" ht="15.75" x14ac:dyDescent="0.25">
      <c r="A475" s="647"/>
      <c r="B475" s="648"/>
      <c r="C475" s="649"/>
      <c r="D475" s="650"/>
      <c r="E475" s="651"/>
      <c r="F475" s="652"/>
      <c r="G475" s="647"/>
      <c r="H475" s="648"/>
      <c r="I475" s="649"/>
      <c r="J475" s="650"/>
      <c r="K475" s="651"/>
      <c r="L475" s="652"/>
    </row>
    <row r="476" spans="1:12" ht="15.75" x14ac:dyDescent="0.25">
      <c r="A476" s="647"/>
      <c r="B476" s="648"/>
      <c r="C476" s="649"/>
      <c r="D476" s="655"/>
      <c r="E476" s="657"/>
      <c r="F476" s="656"/>
      <c r="G476" s="647"/>
      <c r="H476" s="648"/>
      <c r="I476" s="649"/>
      <c r="J476" s="650"/>
      <c r="K476" s="651"/>
      <c r="L476" s="652"/>
    </row>
    <row r="477" spans="1:12" ht="15.75" x14ac:dyDescent="0.25">
      <c r="A477" s="647"/>
      <c r="B477" s="648"/>
      <c r="C477" s="649"/>
      <c r="D477" s="650"/>
      <c r="E477" s="657"/>
      <c r="F477" s="656"/>
      <c r="G477" s="647"/>
      <c r="H477" s="648"/>
      <c r="I477" s="649"/>
      <c r="J477" s="650"/>
      <c r="K477" s="651"/>
      <c r="L477" s="658"/>
    </row>
    <row r="478" spans="1:12" ht="15.75" x14ac:dyDescent="0.25">
      <c r="A478" s="647"/>
      <c r="B478" s="648"/>
      <c r="C478" s="649"/>
      <c r="D478" s="650"/>
      <c r="E478" s="657"/>
      <c r="F478" s="653"/>
      <c r="G478" s="647"/>
      <c r="H478" s="648"/>
      <c r="I478" s="649"/>
      <c r="J478" s="655"/>
      <c r="K478" s="651"/>
      <c r="L478" s="658"/>
    </row>
    <row r="479" spans="1:12" ht="15.75" x14ac:dyDescent="0.25">
      <c r="A479" s="647"/>
      <c r="B479" s="648"/>
      <c r="C479" s="649"/>
      <c r="D479" s="650"/>
      <c r="E479" s="651"/>
      <c r="F479" s="652"/>
      <c r="G479" s="647"/>
      <c r="H479" s="648"/>
      <c r="I479" s="649"/>
      <c r="J479" s="650"/>
      <c r="K479" s="651"/>
      <c r="L479" s="658"/>
    </row>
    <row r="480" spans="1:12" ht="16.5" thickBot="1" x14ac:dyDescent="0.3">
      <c r="A480" s="659"/>
      <c r="B480" s="660"/>
      <c r="C480" s="661"/>
      <c r="D480" s="662"/>
      <c r="E480" s="663"/>
      <c r="F480" s="664"/>
      <c r="G480" s="665"/>
      <c r="H480" s="666"/>
      <c r="I480" s="667"/>
      <c r="J480" s="668"/>
      <c r="K480" s="663"/>
      <c r="L480" s="669"/>
    </row>
    <row r="481" spans="1:12" ht="21" x14ac:dyDescent="0.35">
      <c r="A481" s="769" t="s">
        <v>945</v>
      </c>
      <c r="B481" s="770"/>
      <c r="C481" s="770"/>
      <c r="D481" s="770"/>
      <c r="E481" s="770"/>
      <c r="F481" s="770"/>
      <c r="G481" s="770"/>
      <c r="H481" s="770"/>
      <c r="I481" s="770"/>
      <c r="J481" s="770"/>
      <c r="K481" s="770"/>
      <c r="L481" s="771"/>
    </row>
    <row r="482" spans="1:12" ht="18.75" x14ac:dyDescent="0.3">
      <c r="A482" s="772" t="s">
        <v>946</v>
      </c>
      <c r="B482" s="773"/>
      <c r="C482" s="773"/>
      <c r="D482" s="773"/>
      <c r="E482" s="773"/>
      <c r="F482" s="773"/>
      <c r="G482" s="773"/>
      <c r="H482" s="773"/>
      <c r="I482" s="773"/>
      <c r="J482" s="773"/>
      <c r="K482" s="773"/>
      <c r="L482" s="774"/>
    </row>
    <row r="483" spans="1:12" ht="24" x14ac:dyDescent="0.4">
      <c r="A483" s="775" t="s">
        <v>947</v>
      </c>
      <c r="B483" s="776"/>
      <c r="C483" s="776"/>
      <c r="D483" s="776"/>
      <c r="E483" s="776"/>
      <c r="F483" s="776"/>
      <c r="G483" s="776"/>
      <c r="H483" s="776"/>
      <c r="I483" s="776"/>
      <c r="J483" s="776"/>
      <c r="K483" s="776"/>
      <c r="L483" s="777"/>
    </row>
    <row r="484" spans="1:12" ht="24" x14ac:dyDescent="0.4">
      <c r="A484" s="670" t="s">
        <v>948</v>
      </c>
      <c r="B484" s="671"/>
      <c r="C484" s="671"/>
      <c r="D484" s="672" t="s">
        <v>949</v>
      </c>
      <c r="E484" s="778" t="s">
        <v>950</v>
      </c>
      <c r="F484" s="778"/>
      <c r="G484" s="778"/>
      <c r="H484" s="778"/>
      <c r="I484" s="778"/>
      <c r="J484" s="673" t="s">
        <v>1065</v>
      </c>
      <c r="K484" s="778"/>
      <c r="L484" s="779"/>
    </row>
    <row r="485" spans="1:12" ht="15.75" thickBot="1" x14ac:dyDescent="0.3">
      <c r="A485" s="674"/>
      <c r="B485" s="675"/>
      <c r="C485" s="675"/>
      <c r="D485" s="676"/>
      <c r="E485" s="675"/>
      <c r="F485" s="675"/>
      <c r="G485" s="675"/>
      <c r="H485" s="675"/>
      <c r="I485" s="780"/>
      <c r="J485" s="780"/>
      <c r="K485" s="675"/>
      <c r="L485" s="677"/>
    </row>
    <row r="486" spans="1:12" ht="16.5" thickBot="1" x14ac:dyDescent="0.3">
      <c r="A486" s="631" t="s">
        <v>952</v>
      </c>
      <c r="B486" s="632"/>
      <c r="C486" s="633"/>
      <c r="D486" s="634" t="s">
        <v>953</v>
      </c>
      <c r="E486" s="631" t="s">
        <v>954</v>
      </c>
      <c r="F486" s="635" t="s">
        <v>955</v>
      </c>
      <c r="G486" s="631" t="s">
        <v>952</v>
      </c>
      <c r="H486" s="632"/>
      <c r="I486" s="633"/>
      <c r="J486" s="634" t="s">
        <v>953</v>
      </c>
      <c r="K486" s="631" t="s">
        <v>954</v>
      </c>
      <c r="L486" s="631" t="s">
        <v>955</v>
      </c>
    </row>
    <row r="487" spans="1:12" ht="15.75" x14ac:dyDescent="0.25">
      <c r="A487" s="636"/>
      <c r="B487" s="637"/>
      <c r="C487" s="638"/>
      <c r="D487" s="639"/>
      <c r="E487" s="640"/>
      <c r="F487" s="641"/>
      <c r="G487" s="636"/>
      <c r="H487" s="642"/>
      <c r="I487" s="643"/>
      <c r="J487" s="644"/>
      <c r="K487" s="645"/>
      <c r="L487" s="646"/>
    </row>
    <row r="488" spans="1:12" ht="15.75" x14ac:dyDescent="0.25">
      <c r="A488" s="647"/>
      <c r="B488" s="648" t="s">
        <v>459</v>
      </c>
      <c r="C488" s="649">
        <v>14</v>
      </c>
      <c r="D488" s="650" t="s">
        <v>1066</v>
      </c>
      <c r="E488" s="651"/>
      <c r="F488" s="652"/>
      <c r="G488" s="647"/>
      <c r="H488" s="648"/>
      <c r="I488" s="649"/>
      <c r="J488" s="650"/>
      <c r="K488" s="651"/>
      <c r="L488" s="653"/>
    </row>
    <row r="489" spans="1:12" ht="15.75" x14ac:dyDescent="0.25">
      <c r="A489" s="647" t="s">
        <v>958</v>
      </c>
      <c r="B489" s="654"/>
      <c r="C489" s="649"/>
      <c r="D489" s="655" t="s">
        <v>959</v>
      </c>
      <c r="E489" s="651"/>
      <c r="F489" s="656">
        <v>0.22916666666666666</v>
      </c>
      <c r="G489" s="647"/>
      <c r="H489" s="648"/>
      <c r="I489" s="649"/>
      <c r="J489" s="655"/>
      <c r="K489" s="651"/>
      <c r="L489" s="656"/>
    </row>
    <row r="490" spans="1:12" ht="15.75" x14ac:dyDescent="0.25">
      <c r="A490" s="647" t="s">
        <v>961</v>
      </c>
      <c r="B490" s="648"/>
      <c r="C490" s="649"/>
      <c r="D490" s="650" t="s">
        <v>160</v>
      </c>
      <c r="E490" s="651"/>
      <c r="F490" s="653">
        <v>0.26388888888888856</v>
      </c>
      <c r="G490" s="647"/>
      <c r="H490" s="654"/>
      <c r="I490" s="649"/>
      <c r="J490" s="650"/>
      <c r="K490" s="657"/>
      <c r="L490" s="653"/>
    </row>
    <row r="491" spans="1:12" ht="15.75" x14ac:dyDescent="0.25">
      <c r="A491" s="647"/>
      <c r="B491" s="648"/>
      <c r="C491" s="649"/>
      <c r="D491" s="655" t="s">
        <v>962</v>
      </c>
      <c r="E491" s="651"/>
      <c r="F491" s="656">
        <v>0.27083333333333298</v>
      </c>
      <c r="G491" s="647"/>
      <c r="H491" s="648"/>
      <c r="I491" s="649"/>
      <c r="J491" s="655"/>
      <c r="K491" s="651"/>
      <c r="L491" s="656"/>
    </row>
    <row r="492" spans="1:12" ht="15.75" x14ac:dyDescent="0.25">
      <c r="A492" s="647"/>
      <c r="B492" s="648"/>
      <c r="C492" s="649"/>
      <c r="D492" s="655" t="s">
        <v>960</v>
      </c>
      <c r="E492" s="651"/>
      <c r="F492" s="656">
        <v>0.30208333333333298</v>
      </c>
      <c r="G492" s="647"/>
      <c r="H492" s="648"/>
      <c r="I492" s="649"/>
      <c r="J492" s="655"/>
      <c r="K492" s="651"/>
      <c r="L492" s="656"/>
    </row>
    <row r="493" spans="1:12" ht="15.75" x14ac:dyDescent="0.25">
      <c r="A493" s="647" t="s">
        <v>961</v>
      </c>
      <c r="B493" s="654"/>
      <c r="C493" s="649"/>
      <c r="D493" s="650" t="s">
        <v>163</v>
      </c>
      <c r="E493" s="657"/>
      <c r="F493" s="653">
        <v>0.36805555555555552</v>
      </c>
      <c r="G493" s="647"/>
      <c r="H493" s="648"/>
      <c r="I493" s="649"/>
      <c r="J493" s="650"/>
      <c r="K493" s="651"/>
      <c r="L493" s="653"/>
    </row>
    <row r="494" spans="1:12" ht="15.75" x14ac:dyDescent="0.25">
      <c r="A494" s="647"/>
      <c r="B494" s="648"/>
      <c r="C494" s="649"/>
      <c r="D494" s="655" t="s">
        <v>164</v>
      </c>
      <c r="E494" s="651"/>
      <c r="F494" s="656">
        <v>0.39583333333333331</v>
      </c>
      <c r="G494" s="647"/>
      <c r="H494" s="648"/>
      <c r="I494" s="649"/>
      <c r="J494" s="655"/>
      <c r="K494" s="651"/>
      <c r="L494" s="656"/>
    </row>
    <row r="495" spans="1:12" ht="15.75" x14ac:dyDescent="0.25">
      <c r="A495" s="647"/>
      <c r="B495" s="648"/>
      <c r="C495" s="649"/>
      <c r="D495" s="655" t="s">
        <v>166</v>
      </c>
      <c r="E495" s="657">
        <v>0.41319444444444442</v>
      </c>
      <c r="F495" s="656"/>
      <c r="G495" s="647"/>
      <c r="H495" s="648"/>
      <c r="I495" s="649"/>
      <c r="J495" s="655"/>
      <c r="K495" s="657"/>
      <c r="L495" s="656"/>
    </row>
    <row r="496" spans="1:12" ht="15.75" x14ac:dyDescent="0.25">
      <c r="A496" s="647"/>
      <c r="B496" s="648" t="s">
        <v>459</v>
      </c>
      <c r="C496" s="649">
        <v>14</v>
      </c>
      <c r="D496" s="650" t="s">
        <v>1067</v>
      </c>
      <c r="E496" s="651"/>
      <c r="F496" s="653"/>
      <c r="G496" s="647"/>
      <c r="H496" s="648"/>
      <c r="I496" s="649"/>
      <c r="J496" s="650"/>
      <c r="K496" s="657"/>
      <c r="L496" s="653"/>
    </row>
    <row r="497" spans="1:12" ht="15.75" x14ac:dyDescent="0.25">
      <c r="A497" s="647"/>
      <c r="B497" s="648"/>
      <c r="C497" s="649"/>
      <c r="D497" s="655"/>
      <c r="E497" s="651"/>
      <c r="F497" s="656"/>
      <c r="G497" s="647"/>
      <c r="H497" s="648"/>
      <c r="I497" s="649"/>
      <c r="J497" s="650"/>
      <c r="K497" s="657"/>
      <c r="L497" s="652"/>
    </row>
    <row r="498" spans="1:12" ht="15.75" x14ac:dyDescent="0.25">
      <c r="A498" s="647"/>
      <c r="B498" s="648" t="s">
        <v>459</v>
      </c>
      <c r="C498" s="649">
        <v>226</v>
      </c>
      <c r="D498" s="650" t="s">
        <v>1068</v>
      </c>
      <c r="E498" s="651"/>
      <c r="F498" s="653"/>
      <c r="G498" s="647"/>
      <c r="H498" s="648"/>
      <c r="I498" s="649"/>
      <c r="J498" s="650"/>
      <c r="K498" s="651"/>
      <c r="L498" s="653"/>
    </row>
    <row r="499" spans="1:12" ht="15.75" x14ac:dyDescent="0.25">
      <c r="A499" s="647"/>
      <c r="B499" s="648"/>
      <c r="C499" s="649"/>
      <c r="D499" s="655" t="s">
        <v>166</v>
      </c>
      <c r="E499" s="651"/>
      <c r="F499" s="656">
        <v>0.41319444444444442</v>
      </c>
      <c r="G499" s="647"/>
      <c r="H499" s="648"/>
      <c r="I499" s="649"/>
      <c r="J499" s="655"/>
      <c r="K499" s="651"/>
      <c r="L499" s="656"/>
    </row>
    <row r="500" spans="1:12" ht="15.75" x14ac:dyDescent="0.25">
      <c r="A500" s="647" t="s">
        <v>961</v>
      </c>
      <c r="B500" s="648"/>
      <c r="C500" s="649"/>
      <c r="D500" s="650" t="s">
        <v>160</v>
      </c>
      <c r="E500" s="651"/>
      <c r="F500" s="653">
        <v>0.4618055555555553</v>
      </c>
      <c r="G500" s="647"/>
      <c r="H500" s="654"/>
      <c r="I500" s="649"/>
      <c r="J500" s="650"/>
      <c r="K500" s="657"/>
      <c r="L500" s="653"/>
    </row>
    <row r="501" spans="1:12" ht="15.75" x14ac:dyDescent="0.25">
      <c r="A501" s="647"/>
      <c r="B501" s="648"/>
      <c r="C501" s="649"/>
      <c r="D501" s="655" t="s">
        <v>962</v>
      </c>
      <c r="E501" s="651"/>
      <c r="F501" s="656">
        <v>0.47222222222222199</v>
      </c>
      <c r="G501" s="647"/>
      <c r="H501" s="648"/>
      <c r="I501" s="649"/>
      <c r="J501" s="655"/>
      <c r="K501" s="651"/>
      <c r="L501" s="656"/>
    </row>
    <row r="502" spans="1:12" ht="15.75" x14ac:dyDescent="0.25">
      <c r="A502" s="647"/>
      <c r="B502" s="648"/>
      <c r="C502" s="649"/>
      <c r="D502" s="655" t="s">
        <v>960</v>
      </c>
      <c r="E502" s="651"/>
      <c r="F502" s="656">
        <v>0.50347222222222221</v>
      </c>
      <c r="G502" s="647"/>
      <c r="H502" s="648"/>
      <c r="I502" s="649"/>
      <c r="J502" s="655"/>
      <c r="K502" s="651"/>
      <c r="L502" s="656"/>
    </row>
    <row r="503" spans="1:12" ht="15.75" x14ac:dyDescent="0.25">
      <c r="A503" s="647" t="s">
        <v>961</v>
      </c>
      <c r="B503" s="654"/>
      <c r="C503" s="649"/>
      <c r="D503" s="650" t="s">
        <v>163</v>
      </c>
      <c r="E503" s="657"/>
      <c r="F503" s="653">
        <v>0.55555555555555503</v>
      </c>
      <c r="G503" s="647"/>
      <c r="H503" s="648"/>
      <c r="I503" s="649"/>
      <c r="J503" s="650"/>
      <c r="K503" s="657"/>
      <c r="L503" s="653"/>
    </row>
    <row r="504" spans="1:12" ht="15.75" x14ac:dyDescent="0.25">
      <c r="A504" s="647"/>
      <c r="B504" s="648"/>
      <c r="C504" s="649"/>
      <c r="D504" s="655" t="s">
        <v>164</v>
      </c>
      <c r="E504" s="651"/>
      <c r="F504" s="656">
        <v>0.58680555555555503</v>
      </c>
      <c r="G504" s="647"/>
      <c r="H504" s="648"/>
      <c r="I504" s="649"/>
      <c r="J504" s="650"/>
      <c r="K504" s="657"/>
      <c r="L504" s="652"/>
    </row>
    <row r="505" spans="1:12" ht="15.75" x14ac:dyDescent="0.25">
      <c r="A505" s="647"/>
      <c r="B505" s="648"/>
      <c r="C505" s="649"/>
      <c r="D505" s="655" t="s">
        <v>166</v>
      </c>
      <c r="E505" s="657">
        <v>0.60069444444444442</v>
      </c>
      <c r="F505" s="656"/>
      <c r="G505" s="647"/>
      <c r="H505" s="648"/>
      <c r="I505" s="649"/>
      <c r="J505" s="650"/>
      <c r="K505" s="657"/>
      <c r="L505" s="652"/>
    </row>
    <row r="506" spans="1:12" ht="15.75" x14ac:dyDescent="0.25">
      <c r="A506" s="647"/>
      <c r="B506" s="648" t="s">
        <v>459</v>
      </c>
      <c r="C506" s="649">
        <v>226</v>
      </c>
      <c r="D506" s="650" t="s">
        <v>1069</v>
      </c>
      <c r="E506" s="651"/>
      <c r="F506" s="653"/>
      <c r="G506" s="647"/>
      <c r="H506" s="648"/>
      <c r="I506" s="649"/>
      <c r="J506" s="650"/>
      <c r="K506" s="657"/>
      <c r="L506" s="652"/>
    </row>
    <row r="507" spans="1:12" ht="15.75" x14ac:dyDescent="0.25">
      <c r="A507" s="647"/>
      <c r="B507" s="648"/>
      <c r="C507" s="649"/>
      <c r="D507" s="655"/>
      <c r="E507" s="651"/>
      <c r="F507" s="656"/>
      <c r="G507" s="647"/>
      <c r="H507" s="648"/>
      <c r="I507" s="649"/>
      <c r="J507" s="650"/>
      <c r="K507" s="651"/>
      <c r="L507" s="658"/>
    </row>
    <row r="508" spans="1:12" ht="15.75" x14ac:dyDescent="0.25">
      <c r="A508" s="647"/>
      <c r="B508" s="648" t="s">
        <v>459</v>
      </c>
      <c r="C508" s="649">
        <v>209</v>
      </c>
      <c r="D508" s="650" t="s">
        <v>1070</v>
      </c>
      <c r="E508" s="651"/>
      <c r="F508" s="653"/>
      <c r="G508" s="647"/>
      <c r="H508" s="648"/>
      <c r="I508" s="649"/>
      <c r="J508" s="655"/>
      <c r="K508" s="651"/>
      <c r="L508" s="658"/>
    </row>
    <row r="509" spans="1:12" ht="15.75" x14ac:dyDescent="0.25">
      <c r="A509" s="647"/>
      <c r="B509" s="648"/>
      <c r="C509" s="649"/>
      <c r="D509" s="655" t="s">
        <v>166</v>
      </c>
      <c r="E509" s="651"/>
      <c r="F509" s="656">
        <v>0.60069444444444442</v>
      </c>
      <c r="G509" s="647"/>
      <c r="H509" s="648"/>
      <c r="I509" s="649"/>
      <c r="J509" s="650"/>
      <c r="K509" s="651"/>
      <c r="L509" s="658"/>
    </row>
    <row r="510" spans="1:12" ht="15.75" x14ac:dyDescent="0.25">
      <c r="A510" s="647" t="s">
        <v>961</v>
      </c>
      <c r="B510" s="648"/>
      <c r="C510" s="649"/>
      <c r="D510" s="650" t="s">
        <v>160</v>
      </c>
      <c r="E510" s="651"/>
      <c r="F510" s="653">
        <v>0.65138888888888891</v>
      </c>
      <c r="G510" s="647"/>
      <c r="H510" s="648"/>
      <c r="I510" s="649"/>
      <c r="J510" s="650"/>
      <c r="K510" s="651"/>
      <c r="L510" s="652"/>
    </row>
    <row r="511" spans="1:12" ht="15.75" x14ac:dyDescent="0.25">
      <c r="A511" s="647"/>
      <c r="B511" s="648"/>
      <c r="C511" s="649"/>
      <c r="D511" s="655" t="s">
        <v>962</v>
      </c>
      <c r="E511" s="651"/>
      <c r="F511" s="656">
        <v>0.66180555555555554</v>
      </c>
      <c r="G511" s="647"/>
      <c r="H511" s="648"/>
      <c r="I511" s="649"/>
      <c r="J511" s="650"/>
      <c r="K511" s="651"/>
      <c r="L511" s="652"/>
    </row>
    <row r="512" spans="1:12" ht="15.75" x14ac:dyDescent="0.25">
      <c r="A512" s="647"/>
      <c r="B512" s="648"/>
      <c r="C512" s="649"/>
      <c r="D512" s="655" t="s">
        <v>960</v>
      </c>
      <c r="E512" s="651"/>
      <c r="F512" s="656">
        <v>0.69305555555555554</v>
      </c>
      <c r="G512" s="647"/>
      <c r="H512" s="648"/>
      <c r="I512" s="649"/>
      <c r="J512" s="650"/>
      <c r="K512" s="651"/>
      <c r="L512" s="652"/>
    </row>
    <row r="513" spans="1:12" ht="15.75" x14ac:dyDescent="0.25">
      <c r="A513" s="647" t="s">
        <v>958</v>
      </c>
      <c r="B513" s="654"/>
      <c r="C513" s="649"/>
      <c r="D513" s="650" t="s">
        <v>163</v>
      </c>
      <c r="E513" s="657">
        <v>0.75347222222222221</v>
      </c>
      <c r="F513" s="653"/>
      <c r="G513" s="647"/>
      <c r="H513" s="648"/>
      <c r="I513" s="649"/>
      <c r="J513" s="650"/>
      <c r="K513" s="651"/>
      <c r="L513" s="652"/>
    </row>
    <row r="514" spans="1:12" ht="15.75" x14ac:dyDescent="0.25">
      <c r="A514" s="647"/>
      <c r="B514" s="648"/>
      <c r="C514" s="649"/>
      <c r="D514" s="650" t="s">
        <v>963</v>
      </c>
      <c r="E514" s="657">
        <v>0.77777777777777779</v>
      </c>
      <c r="F514" s="652"/>
      <c r="G514" s="647"/>
      <c r="H514" s="648"/>
      <c r="I514" s="649"/>
      <c r="J514" s="650"/>
      <c r="K514" s="651"/>
      <c r="L514" s="652"/>
    </row>
    <row r="515" spans="1:12" ht="15.75" x14ac:dyDescent="0.25">
      <c r="A515" s="647"/>
      <c r="B515" s="648" t="s">
        <v>462</v>
      </c>
      <c r="C515" s="649" t="s">
        <v>459</v>
      </c>
      <c r="D515" s="650"/>
      <c r="E515" s="657"/>
      <c r="F515" s="652"/>
      <c r="G515" s="647"/>
      <c r="H515" s="648"/>
      <c r="I515" s="649"/>
      <c r="J515" s="650"/>
      <c r="K515" s="651"/>
      <c r="L515" s="652"/>
    </row>
    <row r="516" spans="1:12" ht="15.75" x14ac:dyDescent="0.25">
      <c r="A516" s="647"/>
      <c r="B516" s="648"/>
      <c r="C516" s="649"/>
      <c r="D516" s="650"/>
      <c r="E516" s="657"/>
      <c r="F516" s="652"/>
      <c r="G516" s="647"/>
      <c r="H516" s="648"/>
      <c r="I516" s="649"/>
      <c r="J516" s="650"/>
      <c r="K516" s="651"/>
      <c r="L516" s="652"/>
    </row>
    <row r="517" spans="1:12" ht="15.75" x14ac:dyDescent="0.25">
      <c r="A517" s="647"/>
      <c r="B517" s="648"/>
      <c r="C517" s="649"/>
      <c r="D517" s="650"/>
      <c r="E517" s="657"/>
      <c r="F517" s="652"/>
      <c r="G517" s="647"/>
      <c r="H517" s="648"/>
      <c r="I517" s="649"/>
      <c r="J517" s="650"/>
      <c r="K517" s="651"/>
      <c r="L517" s="658"/>
    </row>
    <row r="518" spans="1:12" ht="15.75" x14ac:dyDescent="0.25">
      <c r="A518" s="647"/>
      <c r="B518" s="648"/>
      <c r="C518" s="649"/>
      <c r="D518" s="650"/>
      <c r="E518" s="657"/>
      <c r="F518" s="652"/>
      <c r="G518" s="647"/>
      <c r="H518" s="648"/>
      <c r="I518" s="649"/>
      <c r="J518" s="655"/>
      <c r="K518" s="651"/>
      <c r="L518" s="658"/>
    </row>
    <row r="519" spans="1:12" ht="15.75" x14ac:dyDescent="0.25">
      <c r="A519" s="647"/>
      <c r="B519" s="648"/>
      <c r="C519" s="649"/>
      <c r="D519" s="650"/>
      <c r="E519" s="651"/>
      <c r="F519" s="652"/>
      <c r="G519" s="647"/>
      <c r="H519" s="648"/>
      <c r="I519" s="649"/>
      <c r="J519" s="650"/>
      <c r="K519" s="651"/>
      <c r="L519" s="658"/>
    </row>
    <row r="520" spans="1:12" ht="16.5" thickBot="1" x14ac:dyDescent="0.3">
      <c r="A520" s="659"/>
      <c r="B520" s="660"/>
      <c r="C520" s="661"/>
      <c r="D520" s="662"/>
      <c r="E520" s="663"/>
      <c r="F520" s="664"/>
      <c r="G520" s="665"/>
      <c r="H520" s="666"/>
      <c r="I520" s="667"/>
      <c r="J520" s="668"/>
      <c r="K520" s="663"/>
      <c r="L520" s="669"/>
    </row>
    <row r="521" spans="1:12" ht="21" x14ac:dyDescent="0.35">
      <c r="A521" s="769" t="s">
        <v>945</v>
      </c>
      <c r="B521" s="770"/>
      <c r="C521" s="770"/>
      <c r="D521" s="770"/>
      <c r="E521" s="770"/>
      <c r="F521" s="770"/>
      <c r="G521" s="770"/>
      <c r="H521" s="770"/>
      <c r="I521" s="770"/>
      <c r="J521" s="770"/>
      <c r="K521" s="770"/>
      <c r="L521" s="771"/>
    </row>
    <row r="522" spans="1:12" ht="18.75" x14ac:dyDescent="0.3">
      <c r="A522" s="772" t="s">
        <v>946</v>
      </c>
      <c r="B522" s="773"/>
      <c r="C522" s="773"/>
      <c r="D522" s="773"/>
      <c r="E522" s="773"/>
      <c r="F522" s="773"/>
      <c r="G522" s="773"/>
      <c r="H522" s="773"/>
      <c r="I522" s="773"/>
      <c r="J522" s="773"/>
      <c r="K522" s="773"/>
      <c r="L522" s="774"/>
    </row>
    <row r="523" spans="1:12" ht="24" x14ac:dyDescent="0.4">
      <c r="A523" s="775" t="s">
        <v>947</v>
      </c>
      <c r="B523" s="776"/>
      <c r="C523" s="776"/>
      <c r="D523" s="776"/>
      <c r="E523" s="776"/>
      <c r="F523" s="776"/>
      <c r="G523" s="776"/>
      <c r="H523" s="776"/>
      <c r="I523" s="776"/>
      <c r="J523" s="776"/>
      <c r="K523" s="776"/>
      <c r="L523" s="777"/>
    </row>
    <row r="524" spans="1:12" ht="24" x14ac:dyDescent="0.4">
      <c r="A524" s="670" t="s">
        <v>948</v>
      </c>
      <c r="B524" s="671"/>
      <c r="C524" s="671"/>
      <c r="D524" s="672" t="s">
        <v>949</v>
      </c>
      <c r="E524" s="778" t="s">
        <v>950</v>
      </c>
      <c r="F524" s="778"/>
      <c r="G524" s="778"/>
      <c r="H524" s="778"/>
      <c r="I524" s="778"/>
      <c r="J524" s="673" t="s">
        <v>1071</v>
      </c>
      <c r="K524" s="778"/>
      <c r="L524" s="779"/>
    </row>
    <row r="525" spans="1:12" ht="15.75" thickBot="1" x14ac:dyDescent="0.3">
      <c r="A525" s="674"/>
      <c r="B525" s="675"/>
      <c r="C525" s="675"/>
      <c r="D525" s="676"/>
      <c r="E525" s="675"/>
      <c r="F525" s="675"/>
      <c r="G525" s="675"/>
      <c r="H525" s="675"/>
      <c r="I525" s="780"/>
      <c r="J525" s="780"/>
      <c r="K525" s="675"/>
      <c r="L525" s="677"/>
    </row>
    <row r="526" spans="1:12" ht="16.5" thickBot="1" x14ac:dyDescent="0.3">
      <c r="A526" s="631" t="s">
        <v>952</v>
      </c>
      <c r="B526" s="632"/>
      <c r="C526" s="633"/>
      <c r="D526" s="634" t="s">
        <v>953</v>
      </c>
      <c r="E526" s="631" t="s">
        <v>954</v>
      </c>
      <c r="F526" s="635" t="s">
        <v>955</v>
      </c>
      <c r="G526" s="631" t="s">
        <v>952</v>
      </c>
      <c r="H526" s="632"/>
      <c r="I526" s="633"/>
      <c r="J526" s="634" t="s">
        <v>953</v>
      </c>
      <c r="K526" s="631" t="s">
        <v>954</v>
      </c>
      <c r="L526" s="631" t="s">
        <v>955</v>
      </c>
    </row>
    <row r="527" spans="1:12" ht="15.75" x14ac:dyDescent="0.25">
      <c r="A527" s="636"/>
      <c r="B527" s="637"/>
      <c r="C527" s="638"/>
      <c r="D527" s="639"/>
      <c r="E527" s="640"/>
      <c r="F527" s="641"/>
      <c r="G527" s="636"/>
      <c r="H527" s="642"/>
      <c r="I527" s="643"/>
      <c r="J527" s="644"/>
      <c r="K527" s="645"/>
      <c r="L527" s="646"/>
    </row>
    <row r="528" spans="1:12" ht="15.75" x14ac:dyDescent="0.25">
      <c r="A528" s="647"/>
      <c r="B528" s="648" t="s">
        <v>459</v>
      </c>
      <c r="C528" s="649">
        <v>13</v>
      </c>
      <c r="D528" s="650" t="s">
        <v>1066</v>
      </c>
      <c r="E528" s="651"/>
      <c r="F528" s="652"/>
      <c r="G528" s="647"/>
      <c r="H528" s="648" t="s">
        <v>459</v>
      </c>
      <c r="I528" s="649">
        <v>64</v>
      </c>
      <c r="J528" s="650" t="s">
        <v>1072</v>
      </c>
      <c r="K528" s="651"/>
      <c r="L528" s="652"/>
    </row>
    <row r="529" spans="1:12" ht="15.75" x14ac:dyDescent="0.25">
      <c r="A529" s="647" t="s">
        <v>958</v>
      </c>
      <c r="B529" s="654"/>
      <c r="C529" s="649"/>
      <c r="D529" s="655" t="s">
        <v>959</v>
      </c>
      <c r="E529" s="651"/>
      <c r="F529" s="656">
        <v>0.22916666666666666</v>
      </c>
      <c r="G529" s="647" t="s">
        <v>958</v>
      </c>
      <c r="H529" s="654"/>
      <c r="I529" s="649"/>
      <c r="J529" s="655" t="s">
        <v>959</v>
      </c>
      <c r="K529" s="651"/>
      <c r="L529" s="656">
        <v>0.70833333333333337</v>
      </c>
    </row>
    <row r="530" spans="1:12" ht="15.75" x14ac:dyDescent="0.25">
      <c r="A530" s="647" t="s">
        <v>961</v>
      </c>
      <c r="B530" s="654"/>
      <c r="C530" s="649"/>
      <c r="D530" s="650" t="s">
        <v>163</v>
      </c>
      <c r="E530" s="651"/>
      <c r="F530" s="653">
        <v>0.2569444444444442</v>
      </c>
      <c r="G530" s="647" t="s">
        <v>165</v>
      </c>
      <c r="H530" s="654"/>
      <c r="I530" s="649"/>
      <c r="J530" s="650" t="s">
        <v>1053</v>
      </c>
      <c r="K530" s="651"/>
      <c r="L530" s="653">
        <v>0.72916666666666663</v>
      </c>
    </row>
    <row r="531" spans="1:12" ht="15.75" x14ac:dyDescent="0.25">
      <c r="A531" s="647"/>
      <c r="B531" s="648"/>
      <c r="C531" s="649"/>
      <c r="D531" s="655" t="s">
        <v>164</v>
      </c>
      <c r="E531" s="651"/>
      <c r="F531" s="656">
        <v>0.28472222222222199</v>
      </c>
      <c r="G531" s="647"/>
      <c r="H531" s="648"/>
      <c r="I531" s="649"/>
      <c r="J531" s="655"/>
      <c r="K531" s="651"/>
      <c r="L531" s="656"/>
    </row>
    <row r="532" spans="1:12" ht="15.75" x14ac:dyDescent="0.25">
      <c r="A532" s="647"/>
      <c r="B532" s="648"/>
      <c r="C532" s="649"/>
      <c r="D532" s="655" t="s">
        <v>166</v>
      </c>
      <c r="E532" s="651"/>
      <c r="F532" s="656">
        <v>0.30208333333333331</v>
      </c>
      <c r="G532" s="647" t="s">
        <v>958</v>
      </c>
      <c r="H532" s="648"/>
      <c r="I532" s="649"/>
      <c r="J532" s="650" t="s">
        <v>412</v>
      </c>
      <c r="K532" s="657">
        <v>0.80902777777777779</v>
      </c>
      <c r="L532" s="658"/>
    </row>
    <row r="533" spans="1:12" ht="15.75" x14ac:dyDescent="0.25">
      <c r="A533" s="647" t="s">
        <v>961</v>
      </c>
      <c r="B533" s="648"/>
      <c r="C533" s="649"/>
      <c r="D533" s="650" t="s">
        <v>160</v>
      </c>
      <c r="E533" s="651"/>
      <c r="F533" s="653">
        <v>0.35972222222222222</v>
      </c>
      <c r="G533" s="647"/>
      <c r="H533" s="648"/>
      <c r="I533" s="649"/>
      <c r="J533" s="650" t="s">
        <v>963</v>
      </c>
      <c r="K533" s="657">
        <v>0.84375</v>
      </c>
      <c r="L533" s="658"/>
    </row>
    <row r="534" spans="1:12" ht="15.75" x14ac:dyDescent="0.25">
      <c r="A534" s="647"/>
      <c r="B534" s="648"/>
      <c r="C534" s="649"/>
      <c r="D534" s="655" t="s">
        <v>962</v>
      </c>
      <c r="E534" s="651"/>
      <c r="F534" s="656">
        <v>0.37013888888888891</v>
      </c>
      <c r="G534" s="647"/>
      <c r="H534" s="648" t="s">
        <v>459</v>
      </c>
      <c r="I534" s="649">
        <v>64</v>
      </c>
      <c r="J534" s="650" t="s">
        <v>1073</v>
      </c>
      <c r="K534" s="657"/>
      <c r="L534" s="658"/>
    </row>
    <row r="535" spans="1:12" ht="15.75" x14ac:dyDescent="0.25">
      <c r="A535" s="647"/>
      <c r="B535" s="648"/>
      <c r="C535" s="649"/>
      <c r="D535" s="655" t="s">
        <v>960</v>
      </c>
      <c r="E535" s="657">
        <v>0.40138888888888891</v>
      </c>
      <c r="F535" s="656"/>
      <c r="G535" s="647"/>
      <c r="H535" s="648"/>
      <c r="I535" s="649"/>
      <c r="J535" s="650"/>
      <c r="K535" s="651"/>
      <c r="L535" s="656"/>
    </row>
    <row r="536" spans="1:12" ht="15.75" x14ac:dyDescent="0.25">
      <c r="A536" s="647"/>
      <c r="B536" s="648" t="s">
        <v>459</v>
      </c>
      <c r="C536" s="649">
        <v>13</v>
      </c>
      <c r="D536" s="650" t="s">
        <v>1074</v>
      </c>
      <c r="E536" s="651"/>
      <c r="F536" s="653"/>
      <c r="G536" s="647"/>
      <c r="H536" s="648"/>
      <c r="I536" s="649"/>
      <c r="J536" s="655"/>
      <c r="K536" s="651"/>
      <c r="L536" s="656"/>
    </row>
    <row r="537" spans="1:12" ht="15.75" x14ac:dyDescent="0.25">
      <c r="A537" s="647"/>
      <c r="B537" s="648"/>
      <c r="C537" s="649"/>
      <c r="D537" s="655"/>
      <c r="E537" s="651"/>
      <c r="F537" s="656"/>
      <c r="G537" s="647"/>
      <c r="H537" s="654"/>
      <c r="I537" s="649"/>
      <c r="J537" s="650"/>
      <c r="K537" s="657"/>
      <c r="L537" s="653"/>
    </row>
    <row r="538" spans="1:12" ht="15.75" x14ac:dyDescent="0.25">
      <c r="A538" s="647"/>
      <c r="B538" s="648" t="s">
        <v>459</v>
      </c>
      <c r="C538" s="649">
        <v>3</v>
      </c>
      <c r="D538" s="650" t="s">
        <v>1075</v>
      </c>
      <c r="E538" s="651"/>
      <c r="F538" s="653"/>
      <c r="G538" s="647"/>
      <c r="H538" s="648"/>
      <c r="I538" s="649"/>
      <c r="J538" s="655"/>
      <c r="K538" s="651"/>
      <c r="L538" s="656"/>
    </row>
    <row r="539" spans="1:12" ht="15.75" x14ac:dyDescent="0.25">
      <c r="A539" s="647"/>
      <c r="B539" s="648"/>
      <c r="C539" s="649"/>
      <c r="D539" s="655" t="s">
        <v>960</v>
      </c>
      <c r="E539" s="651"/>
      <c r="F539" s="656">
        <v>0.40138888888888891</v>
      </c>
      <c r="G539" s="647"/>
      <c r="H539" s="648"/>
      <c r="I539" s="649"/>
      <c r="J539" s="655"/>
      <c r="K539" s="657"/>
      <c r="L539" s="656"/>
    </row>
    <row r="540" spans="1:12" ht="15.75" x14ac:dyDescent="0.25">
      <c r="A540" s="647" t="s">
        <v>961</v>
      </c>
      <c r="B540" s="654"/>
      <c r="C540" s="649"/>
      <c r="D540" s="650" t="s">
        <v>163</v>
      </c>
      <c r="E540" s="657"/>
      <c r="F540" s="653">
        <v>0.4513888888888889</v>
      </c>
      <c r="G540" s="647"/>
      <c r="H540" s="648"/>
      <c r="I540" s="649"/>
      <c r="J540" s="650"/>
      <c r="K540" s="657"/>
      <c r="L540" s="658"/>
    </row>
    <row r="541" spans="1:12" ht="15.75" x14ac:dyDescent="0.25">
      <c r="A541" s="647"/>
      <c r="B541" s="648"/>
      <c r="C541" s="649"/>
      <c r="D541" s="655" t="s">
        <v>164</v>
      </c>
      <c r="E541" s="651"/>
      <c r="F541" s="656">
        <v>0.4826388888888889</v>
      </c>
      <c r="G541" s="647"/>
      <c r="H541" s="648"/>
      <c r="I541" s="649"/>
      <c r="J541" s="650"/>
      <c r="K541" s="657"/>
      <c r="L541" s="658"/>
    </row>
    <row r="542" spans="1:12" ht="15.75" x14ac:dyDescent="0.25">
      <c r="A542" s="647"/>
      <c r="B542" s="648"/>
      <c r="C542" s="649"/>
      <c r="D542" s="655" t="s">
        <v>166</v>
      </c>
      <c r="E542" s="657">
        <v>0.49652777777777779</v>
      </c>
      <c r="F542" s="656"/>
      <c r="G542" s="647"/>
      <c r="H542" s="648"/>
      <c r="I542" s="649"/>
      <c r="J542" s="650"/>
      <c r="K542" s="657"/>
      <c r="L542" s="658"/>
    </row>
    <row r="543" spans="1:12" ht="15.75" x14ac:dyDescent="0.25">
      <c r="A543" s="647"/>
      <c r="B543" s="648" t="s">
        <v>462</v>
      </c>
      <c r="C543" s="649" t="s">
        <v>459</v>
      </c>
      <c r="D543" s="650"/>
      <c r="E543" s="651"/>
      <c r="F543" s="653"/>
      <c r="G543" s="647"/>
      <c r="H543" s="648"/>
      <c r="I543" s="649"/>
      <c r="J543" s="650"/>
      <c r="K543" s="651"/>
      <c r="L543" s="656"/>
    </row>
    <row r="544" spans="1:12" ht="15.75" x14ac:dyDescent="0.25">
      <c r="A544" s="647"/>
      <c r="B544" s="648"/>
      <c r="C544" s="649"/>
      <c r="D544" s="655"/>
      <c r="E544" s="651"/>
      <c r="F544" s="656"/>
      <c r="G544" s="647"/>
      <c r="H544" s="648"/>
      <c r="I544" s="649"/>
      <c r="J544" s="655"/>
      <c r="K544" s="657"/>
      <c r="L544" s="656"/>
    </row>
    <row r="545" spans="1:12" ht="15.75" x14ac:dyDescent="0.25">
      <c r="A545" s="647"/>
      <c r="B545" s="648" t="s">
        <v>459</v>
      </c>
      <c r="C545" s="649">
        <v>36</v>
      </c>
      <c r="D545" s="650" t="s">
        <v>1076</v>
      </c>
      <c r="E545" s="651"/>
      <c r="F545" s="653"/>
      <c r="G545" s="647"/>
      <c r="H545" s="648"/>
      <c r="I545" s="649"/>
      <c r="J545" s="650"/>
      <c r="K545" s="651"/>
      <c r="L545" s="653"/>
    </row>
    <row r="546" spans="1:12" ht="15.75" x14ac:dyDescent="0.25">
      <c r="A546" s="647"/>
      <c r="B546" s="648"/>
      <c r="C546" s="649"/>
      <c r="D546" s="655" t="s">
        <v>166</v>
      </c>
      <c r="E546" s="651"/>
      <c r="F546" s="656">
        <v>0.49652777777777779</v>
      </c>
      <c r="G546" s="647"/>
      <c r="H546" s="648"/>
      <c r="I546" s="649"/>
      <c r="J546" s="655"/>
      <c r="K546" s="651"/>
      <c r="L546" s="656"/>
    </row>
    <row r="547" spans="1:12" ht="15.75" x14ac:dyDescent="0.25">
      <c r="A547" s="647" t="s">
        <v>961</v>
      </c>
      <c r="B547" s="648"/>
      <c r="C547" s="649"/>
      <c r="D547" s="650" t="s">
        <v>160</v>
      </c>
      <c r="E547" s="651"/>
      <c r="F547" s="653">
        <v>0.55208333333333337</v>
      </c>
      <c r="G547" s="647"/>
      <c r="H547" s="654"/>
      <c r="I547" s="649"/>
      <c r="J547" s="650"/>
      <c r="K547" s="657"/>
      <c r="L547" s="653"/>
    </row>
    <row r="548" spans="1:12" ht="15.75" x14ac:dyDescent="0.25">
      <c r="A548" s="647"/>
      <c r="B548" s="648"/>
      <c r="C548" s="649"/>
      <c r="D548" s="655" t="s">
        <v>962</v>
      </c>
      <c r="E548" s="651"/>
      <c r="F548" s="656">
        <v>0.5625</v>
      </c>
      <c r="G548" s="647"/>
      <c r="H548" s="648"/>
      <c r="I548" s="649"/>
      <c r="J548" s="655"/>
      <c r="K548" s="651"/>
      <c r="L548" s="656"/>
    </row>
    <row r="549" spans="1:12" ht="15.75" x14ac:dyDescent="0.25">
      <c r="A549" s="647"/>
      <c r="B549" s="648"/>
      <c r="C549" s="649"/>
      <c r="D549" s="655" t="s">
        <v>960</v>
      </c>
      <c r="E549" s="651"/>
      <c r="F549" s="656">
        <v>0.59722222222222221</v>
      </c>
      <c r="G549" s="647"/>
      <c r="H549" s="648"/>
      <c r="I549" s="649"/>
      <c r="J549" s="655"/>
      <c r="K549" s="651"/>
      <c r="L549" s="656"/>
    </row>
    <row r="550" spans="1:12" ht="15.75" x14ac:dyDescent="0.25">
      <c r="A550" s="647" t="s">
        <v>958</v>
      </c>
      <c r="B550" s="654"/>
      <c r="C550" s="649"/>
      <c r="D550" s="650" t="s">
        <v>163</v>
      </c>
      <c r="E550" s="657">
        <v>0.65138888888888891</v>
      </c>
      <c r="F550" s="653"/>
      <c r="G550" s="647"/>
      <c r="H550" s="648"/>
      <c r="I550" s="649"/>
      <c r="J550" s="650"/>
      <c r="K550" s="657"/>
      <c r="L550" s="653"/>
    </row>
    <row r="551" spans="1:12" ht="15.75" x14ac:dyDescent="0.25">
      <c r="A551" s="647"/>
      <c r="B551" s="648"/>
      <c r="C551" s="649"/>
      <c r="D551" s="650" t="s">
        <v>963</v>
      </c>
      <c r="E551" s="657">
        <v>0.68263888888888891</v>
      </c>
      <c r="F551" s="658"/>
      <c r="G551" s="647"/>
      <c r="H551" s="648"/>
      <c r="I551" s="649"/>
      <c r="J551" s="650"/>
      <c r="K551" s="657"/>
      <c r="L551" s="652"/>
    </row>
    <row r="552" spans="1:12" ht="15.75" x14ac:dyDescent="0.25">
      <c r="A552" s="647"/>
      <c r="B552" s="648" t="s">
        <v>462</v>
      </c>
      <c r="C552" s="649" t="s">
        <v>459</v>
      </c>
      <c r="D552" s="650"/>
      <c r="E552" s="657"/>
      <c r="F552" s="658"/>
      <c r="G552" s="647"/>
      <c r="H552" s="648"/>
      <c r="I552" s="649"/>
      <c r="J552" s="650"/>
      <c r="K552" s="657"/>
      <c r="L552" s="652"/>
    </row>
    <row r="553" spans="1:12" ht="15.75" x14ac:dyDescent="0.25">
      <c r="A553" s="647"/>
      <c r="B553" s="648"/>
      <c r="C553" s="649"/>
      <c r="D553" s="650"/>
      <c r="E553" s="651"/>
      <c r="F553" s="656"/>
      <c r="G553" s="647"/>
      <c r="H553" s="648"/>
      <c r="I553" s="649"/>
      <c r="J553" s="650"/>
      <c r="K553" s="657"/>
      <c r="L553" s="652"/>
    </row>
    <row r="554" spans="1:12" ht="15.75" x14ac:dyDescent="0.25">
      <c r="A554" s="647"/>
      <c r="B554" s="648"/>
      <c r="C554" s="649"/>
      <c r="D554" s="655"/>
      <c r="E554" s="657"/>
      <c r="F554" s="656"/>
      <c r="G554" s="647"/>
      <c r="H554" s="648"/>
      <c r="I554" s="649"/>
      <c r="J554" s="650"/>
      <c r="K554" s="657"/>
      <c r="L554" s="652"/>
    </row>
    <row r="555" spans="1:12" ht="15.75" x14ac:dyDescent="0.25">
      <c r="A555" s="647"/>
      <c r="B555" s="648"/>
      <c r="C555" s="649"/>
      <c r="D555" s="650"/>
      <c r="E555" s="651"/>
      <c r="F555" s="653"/>
      <c r="G555" s="647"/>
      <c r="H555" s="648"/>
      <c r="I555" s="649"/>
      <c r="J555" s="650"/>
      <c r="K555" s="651"/>
      <c r="L555" s="652"/>
    </row>
    <row r="556" spans="1:12" ht="15.75" x14ac:dyDescent="0.25">
      <c r="A556" s="647"/>
      <c r="B556" s="648"/>
      <c r="C556" s="649"/>
      <c r="D556" s="655"/>
      <c r="E556" s="657"/>
      <c r="F556" s="656"/>
      <c r="G556" s="647"/>
      <c r="H556" s="648"/>
      <c r="I556" s="649"/>
      <c r="J556" s="650"/>
      <c r="K556" s="651"/>
      <c r="L556" s="652"/>
    </row>
    <row r="557" spans="1:12" ht="15.75" x14ac:dyDescent="0.25">
      <c r="A557" s="647"/>
      <c r="B557" s="648"/>
      <c r="C557" s="649"/>
      <c r="D557" s="650"/>
      <c r="E557" s="657"/>
      <c r="F557" s="656"/>
      <c r="G557" s="647"/>
      <c r="H557" s="648"/>
      <c r="I557" s="649"/>
      <c r="J557" s="650"/>
      <c r="K557" s="651"/>
      <c r="L557" s="658"/>
    </row>
    <row r="558" spans="1:12" ht="15.75" x14ac:dyDescent="0.25">
      <c r="A558" s="647"/>
      <c r="B558" s="648"/>
      <c r="C558" s="649"/>
      <c r="D558" s="650"/>
      <c r="E558" s="657"/>
      <c r="F558" s="653"/>
      <c r="G558" s="647"/>
      <c r="H558" s="648"/>
      <c r="I558" s="649"/>
      <c r="J558" s="655"/>
      <c r="K558" s="651"/>
      <c r="L558" s="658"/>
    </row>
    <row r="559" spans="1:12" ht="15.75" x14ac:dyDescent="0.25">
      <c r="A559" s="647"/>
      <c r="B559" s="648"/>
      <c r="C559" s="649"/>
      <c r="D559" s="650"/>
      <c r="E559" s="651"/>
      <c r="F559" s="652"/>
      <c r="G559" s="647"/>
      <c r="H559" s="648"/>
      <c r="I559" s="649"/>
      <c r="J559" s="650"/>
      <c r="K559" s="651"/>
      <c r="L559" s="658"/>
    </row>
    <row r="560" spans="1:12" ht="16.5" thickBot="1" x14ac:dyDescent="0.3">
      <c r="A560" s="659"/>
      <c r="B560" s="660"/>
      <c r="C560" s="661"/>
      <c r="D560" s="662"/>
      <c r="E560" s="663"/>
      <c r="F560" s="664"/>
      <c r="G560" s="665"/>
      <c r="H560" s="666"/>
      <c r="I560" s="667"/>
      <c r="J560" s="668"/>
      <c r="K560" s="663"/>
      <c r="L560" s="669"/>
    </row>
    <row r="561" spans="1:12" ht="21" x14ac:dyDescent="0.35">
      <c r="A561" s="769" t="s">
        <v>945</v>
      </c>
      <c r="B561" s="770"/>
      <c r="C561" s="770"/>
      <c r="D561" s="770"/>
      <c r="E561" s="770"/>
      <c r="F561" s="770"/>
      <c r="G561" s="770"/>
      <c r="H561" s="770"/>
      <c r="I561" s="770"/>
      <c r="J561" s="770"/>
      <c r="K561" s="770"/>
      <c r="L561" s="771"/>
    </row>
    <row r="562" spans="1:12" ht="18.75" x14ac:dyDescent="0.3">
      <c r="A562" s="772" t="s">
        <v>946</v>
      </c>
      <c r="B562" s="773"/>
      <c r="C562" s="773"/>
      <c r="D562" s="773"/>
      <c r="E562" s="773"/>
      <c r="F562" s="773"/>
      <c r="G562" s="773"/>
      <c r="H562" s="773"/>
      <c r="I562" s="773"/>
      <c r="J562" s="773"/>
      <c r="K562" s="773"/>
      <c r="L562" s="774"/>
    </row>
    <row r="563" spans="1:12" ht="24" x14ac:dyDescent="0.4">
      <c r="A563" s="775" t="s">
        <v>947</v>
      </c>
      <c r="B563" s="776"/>
      <c r="C563" s="776"/>
      <c r="D563" s="776"/>
      <c r="E563" s="776"/>
      <c r="F563" s="776"/>
      <c r="G563" s="776"/>
      <c r="H563" s="776"/>
      <c r="I563" s="776"/>
      <c r="J563" s="776"/>
      <c r="K563" s="776"/>
      <c r="L563" s="777"/>
    </row>
    <row r="564" spans="1:12" ht="24" x14ac:dyDescent="0.4">
      <c r="A564" s="670" t="s">
        <v>948</v>
      </c>
      <c r="B564" s="671"/>
      <c r="C564" s="671"/>
      <c r="D564" s="672" t="s">
        <v>949</v>
      </c>
      <c r="E564" s="778" t="s">
        <v>950</v>
      </c>
      <c r="F564" s="778"/>
      <c r="G564" s="778"/>
      <c r="H564" s="778"/>
      <c r="I564" s="778"/>
      <c r="J564" s="673" t="s">
        <v>1077</v>
      </c>
      <c r="K564" s="778"/>
      <c r="L564" s="779"/>
    </row>
    <row r="565" spans="1:12" ht="15.75" thickBot="1" x14ac:dyDescent="0.3">
      <c r="A565" s="674"/>
      <c r="B565" s="675"/>
      <c r="C565" s="675"/>
      <c r="D565" s="676"/>
      <c r="E565" s="675"/>
      <c r="F565" s="675"/>
      <c r="G565" s="675"/>
      <c r="H565" s="675"/>
      <c r="I565" s="780"/>
      <c r="J565" s="780"/>
      <c r="K565" s="675"/>
      <c r="L565" s="677"/>
    </row>
    <row r="566" spans="1:12" ht="16.5" thickBot="1" x14ac:dyDescent="0.3">
      <c r="A566" s="631" t="s">
        <v>952</v>
      </c>
      <c r="B566" s="632"/>
      <c r="C566" s="633"/>
      <c r="D566" s="634" t="s">
        <v>953</v>
      </c>
      <c r="E566" s="631" t="s">
        <v>954</v>
      </c>
      <c r="F566" s="635" t="s">
        <v>955</v>
      </c>
      <c r="G566" s="631" t="s">
        <v>952</v>
      </c>
      <c r="H566" s="632"/>
      <c r="I566" s="633"/>
      <c r="J566" s="634" t="s">
        <v>953</v>
      </c>
      <c r="K566" s="631" t="s">
        <v>954</v>
      </c>
      <c r="L566" s="631" t="s">
        <v>955</v>
      </c>
    </row>
    <row r="567" spans="1:12" ht="15.75" x14ac:dyDescent="0.25">
      <c r="A567" s="636"/>
      <c r="B567" s="637"/>
      <c r="C567" s="638"/>
      <c r="D567" s="639"/>
      <c r="E567" s="640"/>
      <c r="F567" s="641"/>
      <c r="G567" s="636"/>
      <c r="H567" s="642"/>
      <c r="I567" s="643"/>
      <c r="J567" s="644"/>
      <c r="K567" s="645"/>
      <c r="L567" s="646"/>
    </row>
    <row r="568" spans="1:12" ht="15.75" x14ac:dyDescent="0.25">
      <c r="A568" s="647"/>
      <c r="B568" s="648" t="s">
        <v>459</v>
      </c>
      <c r="C568" s="649">
        <v>15</v>
      </c>
      <c r="D568" s="650" t="s">
        <v>1078</v>
      </c>
      <c r="E568" s="651"/>
      <c r="F568" s="652"/>
      <c r="G568" s="647"/>
      <c r="H568" s="648"/>
      <c r="I568" s="649"/>
      <c r="J568" s="650"/>
      <c r="K568" s="651"/>
      <c r="L568" s="652"/>
    </row>
    <row r="569" spans="1:12" ht="15.75" x14ac:dyDescent="0.25">
      <c r="A569" s="647" t="s">
        <v>958</v>
      </c>
      <c r="B569" s="654"/>
      <c r="C569" s="649"/>
      <c r="D569" s="655" t="s">
        <v>959</v>
      </c>
      <c r="E569" s="651"/>
      <c r="F569" s="656">
        <v>0.2361111111111111</v>
      </c>
      <c r="G569" s="647"/>
      <c r="H569" s="654"/>
      <c r="I569" s="649"/>
      <c r="J569" s="655"/>
      <c r="K569" s="651"/>
      <c r="L569" s="656"/>
    </row>
    <row r="570" spans="1:12" ht="15.75" x14ac:dyDescent="0.25">
      <c r="A570" s="647" t="s">
        <v>961</v>
      </c>
      <c r="B570" s="648"/>
      <c r="C570" s="649"/>
      <c r="D570" s="650" t="s">
        <v>160</v>
      </c>
      <c r="E570" s="651"/>
      <c r="F570" s="653">
        <v>0.27083333333333359</v>
      </c>
      <c r="G570" s="647"/>
      <c r="H570" s="654"/>
      <c r="I570" s="649"/>
      <c r="J570" s="650"/>
      <c r="K570" s="657"/>
      <c r="L570" s="653"/>
    </row>
    <row r="571" spans="1:12" ht="15.75" x14ac:dyDescent="0.25">
      <c r="A571" s="647"/>
      <c r="B571" s="648"/>
      <c r="C571" s="649"/>
      <c r="D571" s="655" t="s">
        <v>962</v>
      </c>
      <c r="E571" s="651"/>
      <c r="F571" s="656">
        <v>0.27777777777777801</v>
      </c>
      <c r="G571" s="647"/>
      <c r="H571" s="648"/>
      <c r="I571" s="649"/>
      <c r="J571" s="655"/>
      <c r="K571" s="651"/>
      <c r="L571" s="656"/>
    </row>
    <row r="572" spans="1:12" ht="15.75" x14ac:dyDescent="0.25">
      <c r="A572" s="647"/>
      <c r="B572" s="648"/>
      <c r="C572" s="649"/>
      <c r="D572" s="655" t="s">
        <v>960</v>
      </c>
      <c r="E572" s="651"/>
      <c r="F572" s="656">
        <v>0.31597222222222221</v>
      </c>
      <c r="G572" s="647"/>
      <c r="H572" s="648"/>
      <c r="I572" s="649"/>
      <c r="J572" s="650"/>
      <c r="K572" s="657"/>
      <c r="L572" s="653"/>
    </row>
    <row r="573" spans="1:12" ht="15.75" x14ac:dyDescent="0.25">
      <c r="A573" s="647" t="s">
        <v>961</v>
      </c>
      <c r="B573" s="654"/>
      <c r="C573" s="649"/>
      <c r="D573" s="650" t="s">
        <v>163</v>
      </c>
      <c r="E573" s="657"/>
      <c r="F573" s="653">
        <v>0.37361111111111106</v>
      </c>
      <c r="G573" s="647"/>
      <c r="H573" s="648"/>
      <c r="I573" s="649"/>
      <c r="J573" s="650"/>
      <c r="K573" s="657"/>
      <c r="L573" s="652"/>
    </row>
    <row r="574" spans="1:12" ht="15.75" x14ac:dyDescent="0.25">
      <c r="A574" s="647"/>
      <c r="B574" s="648"/>
      <c r="C574" s="649"/>
      <c r="D574" s="655" t="s">
        <v>164</v>
      </c>
      <c r="E574" s="651"/>
      <c r="F574" s="656">
        <v>0.40138888888888885</v>
      </c>
      <c r="G574" s="647"/>
      <c r="H574" s="648"/>
      <c r="I574" s="649"/>
      <c r="J574" s="650"/>
      <c r="K574" s="657"/>
      <c r="L574" s="652"/>
    </row>
    <row r="575" spans="1:12" ht="15.75" x14ac:dyDescent="0.25">
      <c r="A575" s="647"/>
      <c r="B575" s="648"/>
      <c r="C575" s="649"/>
      <c r="D575" s="655" t="s">
        <v>166</v>
      </c>
      <c r="E575" s="657">
        <v>0.4152777777777778</v>
      </c>
      <c r="F575" s="656"/>
      <c r="G575" s="647"/>
      <c r="H575" s="648"/>
      <c r="I575" s="649"/>
      <c r="J575" s="650"/>
      <c r="K575" s="657"/>
      <c r="L575" s="653"/>
    </row>
    <row r="576" spans="1:12" ht="15.75" x14ac:dyDescent="0.25">
      <c r="A576" s="647"/>
      <c r="B576" s="648" t="s">
        <v>462</v>
      </c>
      <c r="C576" s="649" t="s">
        <v>459</v>
      </c>
      <c r="D576" s="650"/>
      <c r="E576" s="651"/>
      <c r="F576" s="653"/>
      <c r="G576" s="647"/>
      <c r="H576" s="648"/>
      <c r="I576" s="649"/>
      <c r="J576" s="650"/>
      <c r="K576" s="657"/>
      <c r="L576" s="652"/>
    </row>
    <row r="577" spans="1:12" ht="15.75" x14ac:dyDescent="0.25">
      <c r="A577" s="647"/>
      <c r="B577" s="648"/>
      <c r="C577" s="649"/>
      <c r="D577" s="655"/>
      <c r="E577" s="651"/>
      <c r="F577" s="656"/>
      <c r="G577" s="647"/>
      <c r="H577" s="648"/>
      <c r="I577" s="649"/>
      <c r="J577" s="650"/>
      <c r="K577" s="651"/>
      <c r="L577" s="653"/>
    </row>
    <row r="578" spans="1:12" ht="15.75" x14ac:dyDescent="0.25">
      <c r="A578" s="647"/>
      <c r="B578" s="648" t="s">
        <v>459</v>
      </c>
      <c r="C578" s="649">
        <v>6</v>
      </c>
      <c r="D578" s="650" t="s">
        <v>1079</v>
      </c>
      <c r="E578" s="651"/>
      <c r="F578" s="653"/>
      <c r="G578" s="647"/>
      <c r="H578" s="648"/>
      <c r="I578" s="649"/>
      <c r="J578" s="650"/>
      <c r="K578" s="651"/>
      <c r="L578" s="653"/>
    </row>
    <row r="579" spans="1:12" ht="15.75" x14ac:dyDescent="0.25">
      <c r="A579" s="647"/>
      <c r="B579" s="648"/>
      <c r="C579" s="649"/>
      <c r="D579" s="655" t="s">
        <v>166</v>
      </c>
      <c r="E579" s="651"/>
      <c r="F579" s="656">
        <v>0.4152777777777778</v>
      </c>
      <c r="G579" s="647"/>
      <c r="H579" s="648"/>
      <c r="I579" s="649"/>
      <c r="J579" s="655"/>
      <c r="K579" s="651"/>
      <c r="L579" s="656"/>
    </row>
    <row r="580" spans="1:12" ht="15.75" x14ac:dyDescent="0.25">
      <c r="A580" s="647" t="s">
        <v>958</v>
      </c>
      <c r="B580" s="648"/>
      <c r="C580" s="649"/>
      <c r="D580" s="650" t="s">
        <v>160</v>
      </c>
      <c r="E580" s="657">
        <v>0.46875</v>
      </c>
      <c r="F580" s="653"/>
      <c r="G580" s="647"/>
      <c r="H580" s="654"/>
      <c r="I580" s="649"/>
      <c r="J580" s="650"/>
      <c r="K580" s="657"/>
      <c r="L580" s="653"/>
    </row>
    <row r="581" spans="1:12" ht="15.75" x14ac:dyDescent="0.25">
      <c r="A581" s="647"/>
      <c r="B581" s="648"/>
      <c r="C581" s="649"/>
      <c r="D581" s="650" t="s">
        <v>963</v>
      </c>
      <c r="E581" s="657">
        <v>0.5</v>
      </c>
      <c r="F581" s="652"/>
      <c r="G581" s="647"/>
      <c r="H581" s="648"/>
      <c r="I581" s="649"/>
      <c r="J581" s="655"/>
      <c r="K581" s="651"/>
      <c r="L581" s="656"/>
    </row>
    <row r="582" spans="1:12" ht="15.75" x14ac:dyDescent="0.25">
      <c r="A582" s="647"/>
      <c r="B582" s="648" t="s">
        <v>462</v>
      </c>
      <c r="C582" s="649" t="s">
        <v>459</v>
      </c>
      <c r="D582" s="650"/>
      <c r="E582" s="657"/>
      <c r="F582" s="652"/>
      <c r="G582" s="647"/>
      <c r="H582" s="648"/>
      <c r="I582" s="649"/>
      <c r="J582" s="655"/>
      <c r="K582" s="651"/>
      <c r="L582" s="656"/>
    </row>
    <row r="583" spans="1:12" ht="15.75" x14ac:dyDescent="0.25">
      <c r="A583" s="647"/>
      <c r="B583" s="648"/>
      <c r="C583" s="649"/>
      <c r="D583" s="650"/>
      <c r="E583" s="657"/>
      <c r="F583" s="652"/>
      <c r="G583" s="647"/>
      <c r="H583" s="648"/>
      <c r="I583" s="649"/>
      <c r="J583" s="650"/>
      <c r="K583" s="651"/>
      <c r="L583" s="653"/>
    </row>
    <row r="584" spans="1:12" ht="15.75" x14ac:dyDescent="0.25">
      <c r="A584" s="647"/>
      <c r="B584" s="648" t="s">
        <v>459</v>
      </c>
      <c r="C584" s="649">
        <v>206</v>
      </c>
      <c r="D584" s="650" t="s">
        <v>1080</v>
      </c>
      <c r="E584" s="651"/>
      <c r="F584" s="652"/>
      <c r="G584" s="647"/>
      <c r="H584" s="648"/>
      <c r="I584" s="649"/>
      <c r="J584" s="655"/>
      <c r="K584" s="651"/>
      <c r="L584" s="656"/>
    </row>
    <row r="585" spans="1:12" ht="15.75" x14ac:dyDescent="0.25">
      <c r="A585" s="647" t="s">
        <v>958</v>
      </c>
      <c r="B585" s="654"/>
      <c r="C585" s="649"/>
      <c r="D585" s="655" t="s">
        <v>959</v>
      </c>
      <c r="E585" s="651"/>
      <c r="F585" s="656">
        <v>0.59375</v>
      </c>
      <c r="G585" s="647"/>
      <c r="H585" s="648"/>
      <c r="I585" s="649"/>
      <c r="J585" s="655"/>
      <c r="K585" s="651"/>
      <c r="L585" s="656"/>
    </row>
    <row r="586" spans="1:12" ht="15.75" x14ac:dyDescent="0.25">
      <c r="A586" s="647" t="s">
        <v>961</v>
      </c>
      <c r="B586" s="648"/>
      <c r="C586" s="649"/>
      <c r="D586" s="650" t="s">
        <v>160</v>
      </c>
      <c r="E586" s="651"/>
      <c r="F586" s="653">
        <v>0.63541666666666663</v>
      </c>
      <c r="G586" s="647"/>
      <c r="H586" s="654"/>
      <c r="I586" s="649"/>
      <c r="J586" s="650"/>
      <c r="K586" s="657"/>
      <c r="L586" s="653"/>
    </row>
    <row r="587" spans="1:12" ht="15.75" x14ac:dyDescent="0.25">
      <c r="A587" s="647"/>
      <c r="B587" s="648"/>
      <c r="C587" s="649"/>
      <c r="D587" s="655" t="s">
        <v>962</v>
      </c>
      <c r="E587" s="651"/>
      <c r="F587" s="656">
        <v>0.64583333333333337</v>
      </c>
      <c r="G587" s="647"/>
      <c r="H587" s="648"/>
      <c r="I587" s="649"/>
      <c r="J587" s="650"/>
      <c r="K587" s="657"/>
      <c r="L587" s="652"/>
    </row>
    <row r="588" spans="1:12" ht="15.75" x14ac:dyDescent="0.25">
      <c r="A588" s="647"/>
      <c r="B588" s="648"/>
      <c r="C588" s="649"/>
      <c r="D588" s="655" t="s">
        <v>960</v>
      </c>
      <c r="E588" s="651"/>
      <c r="F588" s="656">
        <v>0.67708333333333337</v>
      </c>
      <c r="G588" s="647"/>
      <c r="H588" s="648"/>
      <c r="I588" s="649"/>
      <c r="J588" s="650"/>
      <c r="K588" s="657"/>
      <c r="L588" s="652"/>
    </row>
    <row r="589" spans="1:12" ht="15.75" x14ac:dyDescent="0.25">
      <c r="A589" s="647" t="s">
        <v>958</v>
      </c>
      <c r="B589" s="654"/>
      <c r="C589" s="649"/>
      <c r="D589" s="650" t="s">
        <v>163</v>
      </c>
      <c r="E589" s="657">
        <v>0.73819444444444449</v>
      </c>
      <c r="F589" s="653"/>
      <c r="G589" s="647"/>
      <c r="H589" s="648"/>
      <c r="I589" s="649"/>
      <c r="J589" s="650"/>
      <c r="K589" s="657"/>
      <c r="L589" s="652"/>
    </row>
    <row r="590" spans="1:12" ht="15.75" x14ac:dyDescent="0.25">
      <c r="A590" s="647"/>
      <c r="B590" s="648"/>
      <c r="C590" s="649"/>
      <c r="D590" s="650" t="s">
        <v>963</v>
      </c>
      <c r="E590" s="657">
        <v>0.76249999999999996</v>
      </c>
      <c r="F590" s="652"/>
      <c r="G590" s="647"/>
      <c r="H590" s="648"/>
      <c r="I590" s="649"/>
      <c r="J590" s="650"/>
      <c r="K590" s="651"/>
      <c r="L590" s="652"/>
    </row>
    <row r="591" spans="1:12" ht="15.75" x14ac:dyDescent="0.25">
      <c r="A591" s="647"/>
      <c r="B591" s="648" t="s">
        <v>462</v>
      </c>
      <c r="C591" s="649" t="s">
        <v>459</v>
      </c>
      <c r="D591" s="650"/>
      <c r="E591" s="657"/>
      <c r="F591" s="652"/>
      <c r="G591" s="647"/>
      <c r="H591" s="648"/>
      <c r="I591" s="649"/>
      <c r="J591" s="650"/>
      <c r="K591" s="651"/>
      <c r="L591" s="652"/>
    </row>
    <row r="592" spans="1:12" ht="15.75" x14ac:dyDescent="0.25">
      <c r="A592" s="647"/>
      <c r="B592" s="648"/>
      <c r="C592" s="649"/>
      <c r="D592" s="650"/>
      <c r="E592" s="651"/>
      <c r="F592" s="653"/>
      <c r="G592" s="647"/>
      <c r="H592" s="648"/>
      <c r="I592" s="649"/>
      <c r="J592" s="650"/>
      <c r="K592" s="651"/>
      <c r="L592" s="652"/>
    </row>
    <row r="593" spans="1:12" ht="15.75" x14ac:dyDescent="0.25">
      <c r="A593" s="647"/>
      <c r="B593" s="648"/>
      <c r="C593" s="649"/>
      <c r="D593" s="655"/>
      <c r="E593" s="651"/>
      <c r="F593" s="656"/>
      <c r="G593" s="647"/>
      <c r="H593" s="648"/>
      <c r="I593" s="649"/>
      <c r="J593" s="650"/>
      <c r="K593" s="651"/>
      <c r="L593" s="652"/>
    </row>
    <row r="594" spans="1:12" ht="15.75" x14ac:dyDescent="0.25">
      <c r="A594" s="647"/>
      <c r="B594" s="648"/>
      <c r="C594" s="649"/>
      <c r="D594" s="650"/>
      <c r="E594" s="651"/>
      <c r="F594" s="653"/>
      <c r="G594" s="647"/>
      <c r="H594" s="648"/>
      <c r="I594" s="649"/>
      <c r="J594" s="650"/>
      <c r="K594" s="651"/>
      <c r="L594" s="652"/>
    </row>
    <row r="595" spans="1:12" ht="15.75" x14ac:dyDescent="0.25">
      <c r="A595" s="647"/>
      <c r="B595" s="648"/>
      <c r="C595" s="649"/>
      <c r="D595" s="655"/>
      <c r="E595" s="651"/>
      <c r="F595" s="656"/>
      <c r="G595" s="647"/>
      <c r="H595" s="648"/>
      <c r="I595" s="649"/>
      <c r="J595" s="650"/>
      <c r="K595" s="651"/>
      <c r="L595" s="652"/>
    </row>
    <row r="596" spans="1:12" ht="15.75" x14ac:dyDescent="0.25">
      <c r="A596" s="647"/>
      <c r="B596" s="648"/>
      <c r="C596" s="649"/>
      <c r="D596" s="655"/>
      <c r="E596" s="657"/>
      <c r="F596" s="656"/>
      <c r="G596" s="647"/>
      <c r="H596" s="648"/>
      <c r="I596" s="649"/>
      <c r="J596" s="650"/>
      <c r="K596" s="651"/>
      <c r="L596" s="652"/>
    </row>
    <row r="597" spans="1:12" ht="15.75" x14ac:dyDescent="0.25">
      <c r="A597" s="647"/>
      <c r="B597" s="648"/>
      <c r="C597" s="649"/>
      <c r="D597" s="650"/>
      <c r="E597" s="657"/>
      <c r="F597" s="653"/>
      <c r="G597" s="647"/>
      <c r="H597" s="648"/>
      <c r="I597" s="649"/>
      <c r="J597" s="650"/>
      <c r="K597" s="651"/>
      <c r="L597" s="658"/>
    </row>
    <row r="598" spans="1:12" ht="15.75" x14ac:dyDescent="0.25">
      <c r="A598" s="647"/>
      <c r="B598" s="648"/>
      <c r="C598" s="649"/>
      <c r="D598" s="650"/>
      <c r="E598" s="657"/>
      <c r="F598" s="652"/>
      <c r="G598" s="647"/>
      <c r="H598" s="648"/>
      <c r="I598" s="649"/>
      <c r="J598" s="655"/>
      <c r="K598" s="651"/>
      <c r="L598" s="658"/>
    </row>
    <row r="599" spans="1:12" ht="15.75" x14ac:dyDescent="0.25">
      <c r="A599" s="647"/>
      <c r="B599" s="648"/>
      <c r="C599" s="649"/>
      <c r="D599" s="650"/>
      <c r="E599" s="651"/>
      <c r="F599" s="652"/>
      <c r="G599" s="647"/>
      <c r="H599" s="648"/>
      <c r="I599" s="649"/>
      <c r="J599" s="650"/>
      <c r="K599" s="651"/>
      <c r="L599" s="658"/>
    </row>
    <row r="600" spans="1:12" ht="16.5" thickBot="1" x14ac:dyDescent="0.3">
      <c r="A600" s="659"/>
      <c r="B600" s="660"/>
      <c r="C600" s="661"/>
      <c r="D600" s="662"/>
      <c r="E600" s="663"/>
      <c r="F600" s="664"/>
      <c r="G600" s="665"/>
      <c r="H600" s="666"/>
      <c r="I600" s="667"/>
      <c r="J600" s="668"/>
      <c r="K600" s="663"/>
      <c r="L600" s="669"/>
    </row>
    <row r="601" spans="1:12" ht="21" x14ac:dyDescent="0.35">
      <c r="A601" s="769" t="s">
        <v>945</v>
      </c>
      <c r="B601" s="770"/>
      <c r="C601" s="770"/>
      <c r="D601" s="770"/>
      <c r="E601" s="770"/>
      <c r="F601" s="770"/>
      <c r="G601" s="770"/>
      <c r="H601" s="770"/>
      <c r="I601" s="770"/>
      <c r="J601" s="770"/>
      <c r="K601" s="770"/>
      <c r="L601" s="771"/>
    </row>
    <row r="602" spans="1:12" ht="18.75" x14ac:dyDescent="0.3">
      <c r="A602" s="772" t="s">
        <v>946</v>
      </c>
      <c r="B602" s="773"/>
      <c r="C602" s="773"/>
      <c r="D602" s="773"/>
      <c r="E602" s="773"/>
      <c r="F602" s="773"/>
      <c r="G602" s="773"/>
      <c r="H602" s="773"/>
      <c r="I602" s="773"/>
      <c r="J602" s="773"/>
      <c r="K602" s="773"/>
      <c r="L602" s="774"/>
    </row>
    <row r="603" spans="1:12" ht="24" x14ac:dyDescent="0.4">
      <c r="A603" s="775" t="s">
        <v>947</v>
      </c>
      <c r="B603" s="776"/>
      <c r="C603" s="776"/>
      <c r="D603" s="776"/>
      <c r="E603" s="776"/>
      <c r="F603" s="776"/>
      <c r="G603" s="776"/>
      <c r="H603" s="776"/>
      <c r="I603" s="776"/>
      <c r="J603" s="776"/>
      <c r="K603" s="776"/>
      <c r="L603" s="777"/>
    </row>
    <row r="604" spans="1:12" ht="24" x14ac:dyDescent="0.4">
      <c r="A604" s="670" t="s">
        <v>948</v>
      </c>
      <c r="B604" s="671"/>
      <c r="C604" s="671"/>
      <c r="D604" s="672" t="s">
        <v>949</v>
      </c>
      <c r="E604" s="778" t="s">
        <v>950</v>
      </c>
      <c r="F604" s="778"/>
      <c r="G604" s="778"/>
      <c r="H604" s="778"/>
      <c r="I604" s="778"/>
      <c r="J604" s="673" t="s">
        <v>1081</v>
      </c>
      <c r="K604" s="778"/>
      <c r="L604" s="779"/>
    </row>
    <row r="605" spans="1:12" ht="15.75" thickBot="1" x14ac:dyDescent="0.3">
      <c r="A605" s="674"/>
      <c r="B605" s="675"/>
      <c r="C605" s="675"/>
      <c r="D605" s="676"/>
      <c r="E605" s="675"/>
      <c r="F605" s="675"/>
      <c r="G605" s="675"/>
      <c r="H605" s="675"/>
      <c r="I605" s="780"/>
      <c r="J605" s="780"/>
      <c r="K605" s="675"/>
      <c r="L605" s="677"/>
    </row>
    <row r="606" spans="1:12" ht="16.5" thickBot="1" x14ac:dyDescent="0.3">
      <c r="A606" s="631" t="s">
        <v>952</v>
      </c>
      <c r="B606" s="632"/>
      <c r="C606" s="633"/>
      <c r="D606" s="634" t="s">
        <v>953</v>
      </c>
      <c r="E606" s="631" t="s">
        <v>954</v>
      </c>
      <c r="F606" s="635" t="s">
        <v>955</v>
      </c>
      <c r="G606" s="631" t="s">
        <v>952</v>
      </c>
      <c r="H606" s="632"/>
      <c r="I606" s="633"/>
      <c r="J606" s="634" t="s">
        <v>953</v>
      </c>
      <c r="K606" s="631" t="s">
        <v>954</v>
      </c>
      <c r="L606" s="631" t="s">
        <v>955</v>
      </c>
    </row>
    <row r="607" spans="1:12" ht="15.75" x14ac:dyDescent="0.25">
      <c r="A607" s="636"/>
      <c r="B607" s="637"/>
      <c r="C607" s="638"/>
      <c r="D607" s="639"/>
      <c r="E607" s="640"/>
      <c r="F607" s="641"/>
      <c r="G607" s="636"/>
      <c r="H607" s="642"/>
      <c r="I607" s="643"/>
      <c r="J607" s="644"/>
      <c r="K607" s="645"/>
      <c r="L607" s="646"/>
    </row>
    <row r="608" spans="1:12" ht="15.75" x14ac:dyDescent="0.25">
      <c r="A608" s="647"/>
      <c r="B608" s="648" t="s">
        <v>459</v>
      </c>
      <c r="C608" s="649">
        <v>16</v>
      </c>
      <c r="D608" s="650" t="s">
        <v>1078</v>
      </c>
      <c r="E608" s="651"/>
      <c r="F608" s="652"/>
      <c r="G608" s="647"/>
      <c r="H608" s="648"/>
      <c r="I608" s="649"/>
      <c r="J608" s="650"/>
      <c r="K608" s="651"/>
      <c r="L608" s="653"/>
    </row>
    <row r="609" spans="1:12" ht="15.75" x14ac:dyDescent="0.25">
      <c r="A609" s="647" t="s">
        <v>958</v>
      </c>
      <c r="B609" s="654"/>
      <c r="C609" s="649"/>
      <c r="D609" s="655" t="s">
        <v>959</v>
      </c>
      <c r="E609" s="651"/>
      <c r="F609" s="656">
        <v>0.2361111111111111</v>
      </c>
      <c r="G609" s="647"/>
      <c r="H609" s="648"/>
      <c r="I609" s="649"/>
      <c r="J609" s="655"/>
      <c r="K609" s="651"/>
      <c r="L609" s="656"/>
    </row>
    <row r="610" spans="1:12" ht="15.75" x14ac:dyDescent="0.25">
      <c r="A610" s="647" t="s">
        <v>961</v>
      </c>
      <c r="B610" s="654"/>
      <c r="C610" s="649"/>
      <c r="D610" s="650" t="s">
        <v>163</v>
      </c>
      <c r="E610" s="651"/>
      <c r="F610" s="653">
        <v>0.26388888888888923</v>
      </c>
      <c r="G610" s="647"/>
      <c r="H610" s="648"/>
      <c r="I610" s="649"/>
      <c r="J610" s="650"/>
      <c r="K610" s="651"/>
      <c r="L610" s="653"/>
    </row>
    <row r="611" spans="1:12" ht="15.75" x14ac:dyDescent="0.25">
      <c r="A611" s="647"/>
      <c r="B611" s="648"/>
      <c r="C611" s="649"/>
      <c r="D611" s="655" t="s">
        <v>164</v>
      </c>
      <c r="E611" s="651"/>
      <c r="F611" s="656">
        <v>0.29166666666666702</v>
      </c>
      <c r="G611" s="647"/>
      <c r="H611" s="648"/>
      <c r="I611" s="649"/>
      <c r="J611" s="655"/>
      <c r="K611" s="651"/>
      <c r="L611" s="656"/>
    </row>
    <row r="612" spans="1:12" ht="15.75" x14ac:dyDescent="0.25">
      <c r="A612" s="647"/>
      <c r="B612" s="648"/>
      <c r="C612" s="649"/>
      <c r="D612" s="655" t="s">
        <v>166</v>
      </c>
      <c r="E612" s="651"/>
      <c r="F612" s="656">
        <v>0.30902777777777812</v>
      </c>
      <c r="G612" s="647"/>
      <c r="H612" s="648"/>
      <c r="I612" s="649"/>
      <c r="J612" s="655"/>
      <c r="K612" s="651"/>
      <c r="L612" s="656"/>
    </row>
    <row r="613" spans="1:12" ht="15.75" x14ac:dyDescent="0.25">
      <c r="A613" s="647" t="s">
        <v>961</v>
      </c>
      <c r="B613" s="648"/>
      <c r="C613" s="649"/>
      <c r="D613" s="650" t="s">
        <v>160</v>
      </c>
      <c r="E613" s="651"/>
      <c r="F613" s="653">
        <v>0.36458333333333331</v>
      </c>
      <c r="G613" s="647"/>
      <c r="H613" s="654"/>
      <c r="I613" s="649"/>
      <c r="J613" s="650"/>
      <c r="K613" s="657"/>
      <c r="L613" s="653"/>
    </row>
    <row r="614" spans="1:12" ht="15.75" x14ac:dyDescent="0.25">
      <c r="A614" s="647"/>
      <c r="B614" s="648"/>
      <c r="C614" s="649"/>
      <c r="D614" s="655" t="s">
        <v>962</v>
      </c>
      <c r="E614" s="651"/>
      <c r="F614" s="656">
        <v>0.375</v>
      </c>
      <c r="G614" s="647"/>
      <c r="H614" s="648"/>
      <c r="I614" s="649"/>
      <c r="J614" s="650"/>
      <c r="K614" s="657"/>
      <c r="L614" s="652"/>
    </row>
    <row r="615" spans="1:12" ht="15.75" x14ac:dyDescent="0.25">
      <c r="A615" s="647"/>
      <c r="B615" s="648"/>
      <c r="C615" s="649"/>
      <c r="D615" s="655" t="s">
        <v>960</v>
      </c>
      <c r="E615" s="657">
        <v>0.40625</v>
      </c>
      <c r="F615" s="656"/>
      <c r="G615" s="647"/>
      <c r="H615" s="648"/>
      <c r="I615" s="649"/>
      <c r="J615" s="650"/>
      <c r="K615" s="657"/>
      <c r="L615" s="652"/>
    </row>
    <row r="616" spans="1:12" ht="15.75" x14ac:dyDescent="0.25">
      <c r="A616" s="647"/>
      <c r="B616" s="648" t="s">
        <v>459</v>
      </c>
      <c r="C616" s="649">
        <v>16</v>
      </c>
      <c r="D616" s="650" t="s">
        <v>1082</v>
      </c>
      <c r="E616" s="651"/>
      <c r="F616" s="653"/>
      <c r="G616" s="647"/>
      <c r="H616" s="648"/>
      <c r="I616" s="649"/>
      <c r="J616" s="650"/>
      <c r="K616" s="657"/>
      <c r="L616" s="652"/>
    </row>
    <row r="617" spans="1:12" ht="15.75" x14ac:dyDescent="0.25">
      <c r="A617" s="647"/>
      <c r="B617" s="648"/>
      <c r="C617" s="649"/>
      <c r="D617" s="655"/>
      <c r="E617" s="651"/>
      <c r="F617" s="656"/>
      <c r="G617" s="647"/>
      <c r="H617" s="648"/>
      <c r="I617" s="649"/>
      <c r="J617" s="650"/>
      <c r="K617" s="657"/>
      <c r="L617" s="652"/>
    </row>
    <row r="618" spans="1:12" ht="15.75" x14ac:dyDescent="0.25">
      <c r="A618" s="647"/>
      <c r="B618" s="648" t="s">
        <v>459</v>
      </c>
      <c r="C618" s="649">
        <v>225</v>
      </c>
      <c r="D618" s="650" t="s">
        <v>1083</v>
      </c>
      <c r="E618" s="651"/>
      <c r="F618" s="653"/>
      <c r="G618" s="647"/>
      <c r="H618" s="648"/>
      <c r="I618" s="649"/>
      <c r="J618" s="650"/>
      <c r="K618" s="651"/>
      <c r="L618" s="652"/>
    </row>
    <row r="619" spans="1:12" ht="15.75" x14ac:dyDescent="0.25">
      <c r="A619" s="647"/>
      <c r="B619" s="648"/>
      <c r="C619" s="649"/>
      <c r="D619" s="655" t="s">
        <v>960</v>
      </c>
      <c r="E619" s="651"/>
      <c r="F619" s="656">
        <v>0.40625</v>
      </c>
      <c r="G619" s="647"/>
      <c r="H619" s="648"/>
      <c r="I619" s="649"/>
      <c r="J619" s="650"/>
      <c r="K619" s="651"/>
      <c r="L619" s="652"/>
    </row>
    <row r="620" spans="1:12" ht="15.75" x14ac:dyDescent="0.25">
      <c r="A620" s="647" t="s">
        <v>961</v>
      </c>
      <c r="B620" s="654"/>
      <c r="C620" s="649"/>
      <c r="D620" s="650" t="s">
        <v>163</v>
      </c>
      <c r="E620" s="657"/>
      <c r="F620" s="653">
        <v>0.45833333333333298</v>
      </c>
      <c r="G620" s="647"/>
      <c r="H620" s="648"/>
      <c r="I620" s="649"/>
      <c r="J620" s="650"/>
      <c r="K620" s="651"/>
      <c r="L620" s="658"/>
    </row>
    <row r="621" spans="1:12" ht="15.75" x14ac:dyDescent="0.25">
      <c r="A621" s="647"/>
      <c r="B621" s="648"/>
      <c r="C621" s="649"/>
      <c r="D621" s="655" t="s">
        <v>164</v>
      </c>
      <c r="E621" s="651"/>
      <c r="F621" s="656">
        <v>0.48958333333333298</v>
      </c>
      <c r="G621" s="647"/>
      <c r="H621" s="648"/>
      <c r="I621" s="649"/>
      <c r="J621" s="655"/>
      <c r="K621" s="651"/>
      <c r="L621" s="658"/>
    </row>
    <row r="622" spans="1:12" ht="15.75" x14ac:dyDescent="0.25">
      <c r="A622" s="647"/>
      <c r="B622" s="648"/>
      <c r="C622" s="649"/>
      <c r="D622" s="655" t="s">
        <v>166</v>
      </c>
      <c r="E622" s="651"/>
      <c r="F622" s="656">
        <v>0.50347222222222221</v>
      </c>
      <c r="G622" s="647"/>
      <c r="H622" s="648"/>
      <c r="I622" s="649"/>
      <c r="J622" s="650"/>
      <c r="K622" s="651"/>
      <c r="L622" s="658"/>
    </row>
    <row r="623" spans="1:12" ht="15.75" x14ac:dyDescent="0.25">
      <c r="A623" s="647" t="s">
        <v>961</v>
      </c>
      <c r="B623" s="648"/>
      <c r="C623" s="649"/>
      <c r="D623" s="650" t="s">
        <v>160</v>
      </c>
      <c r="E623" s="651"/>
      <c r="F623" s="653">
        <v>0.55902777777777735</v>
      </c>
      <c r="G623" s="647"/>
      <c r="H623" s="648"/>
      <c r="I623" s="649"/>
      <c r="J623" s="650"/>
      <c r="K623" s="651"/>
      <c r="L623" s="656"/>
    </row>
    <row r="624" spans="1:12" ht="15.75" x14ac:dyDescent="0.25">
      <c r="A624" s="647"/>
      <c r="B624" s="648"/>
      <c r="C624" s="649"/>
      <c r="D624" s="655" t="s">
        <v>962</v>
      </c>
      <c r="E624" s="651"/>
      <c r="F624" s="656">
        <v>0.56944444444444398</v>
      </c>
      <c r="G624" s="647"/>
      <c r="H624" s="648"/>
      <c r="I624" s="649"/>
      <c r="J624" s="655"/>
      <c r="K624" s="657"/>
      <c r="L624" s="656"/>
    </row>
    <row r="625" spans="1:12" ht="15.75" x14ac:dyDescent="0.25">
      <c r="A625" s="647"/>
      <c r="B625" s="648"/>
      <c r="C625" s="649"/>
      <c r="D625" s="655" t="s">
        <v>960</v>
      </c>
      <c r="E625" s="657">
        <v>0.60416666666666663</v>
      </c>
      <c r="F625" s="656"/>
      <c r="G625" s="647"/>
      <c r="H625" s="648"/>
      <c r="I625" s="649"/>
      <c r="J625" s="650"/>
      <c r="K625" s="651"/>
      <c r="L625" s="653"/>
    </row>
    <row r="626" spans="1:12" ht="15.75" x14ac:dyDescent="0.25">
      <c r="A626" s="647"/>
      <c r="B626" s="648" t="s">
        <v>459</v>
      </c>
      <c r="C626" s="649">
        <v>225</v>
      </c>
      <c r="D626" s="650" t="s">
        <v>1084</v>
      </c>
      <c r="E626" s="651"/>
      <c r="F626" s="656"/>
      <c r="G626" s="647"/>
      <c r="H626" s="648"/>
      <c r="I626" s="649"/>
      <c r="J626" s="655"/>
      <c r="K626" s="651"/>
      <c r="L626" s="656"/>
    </row>
    <row r="627" spans="1:12" ht="15.75" x14ac:dyDescent="0.25">
      <c r="A627" s="647"/>
      <c r="B627" s="648"/>
      <c r="C627" s="649"/>
      <c r="D627" s="655"/>
      <c r="E627" s="657"/>
      <c r="F627" s="656"/>
      <c r="G627" s="647"/>
      <c r="H627" s="654"/>
      <c r="I627" s="649"/>
      <c r="J627" s="650"/>
      <c r="K627" s="657"/>
      <c r="L627" s="653"/>
    </row>
    <row r="628" spans="1:12" ht="15.75" x14ac:dyDescent="0.25">
      <c r="A628" s="647"/>
      <c r="B628" s="648" t="s">
        <v>459</v>
      </c>
      <c r="C628" s="649">
        <v>210</v>
      </c>
      <c r="D628" s="650" t="s">
        <v>1085</v>
      </c>
      <c r="E628" s="651"/>
      <c r="F628" s="653"/>
      <c r="G628" s="647"/>
      <c r="H628" s="648"/>
      <c r="I628" s="649"/>
      <c r="J628" s="655"/>
      <c r="K628" s="651"/>
      <c r="L628" s="656"/>
    </row>
    <row r="629" spans="1:12" ht="15.75" x14ac:dyDescent="0.25">
      <c r="A629" s="647"/>
      <c r="B629" s="648"/>
      <c r="C629" s="649"/>
      <c r="D629" s="655" t="s">
        <v>960</v>
      </c>
      <c r="E629" s="651"/>
      <c r="F629" s="656">
        <v>0.60416666666666663</v>
      </c>
      <c r="G629" s="647"/>
      <c r="H629" s="648"/>
      <c r="I629" s="649"/>
      <c r="J629" s="655"/>
      <c r="K629" s="651"/>
      <c r="L629" s="656"/>
    </row>
    <row r="630" spans="1:12" ht="15.75" x14ac:dyDescent="0.25">
      <c r="A630" s="647" t="s">
        <v>961</v>
      </c>
      <c r="B630" s="654"/>
      <c r="C630" s="649"/>
      <c r="D630" s="650" t="s">
        <v>163</v>
      </c>
      <c r="E630" s="657"/>
      <c r="F630" s="653">
        <v>0.65625</v>
      </c>
      <c r="G630" s="647"/>
      <c r="H630" s="648"/>
      <c r="I630" s="649"/>
      <c r="J630" s="650"/>
      <c r="K630" s="657"/>
      <c r="L630" s="653"/>
    </row>
    <row r="631" spans="1:12" ht="15.75" x14ac:dyDescent="0.25">
      <c r="A631" s="647"/>
      <c r="B631" s="648"/>
      <c r="C631" s="649"/>
      <c r="D631" s="655" t="s">
        <v>164</v>
      </c>
      <c r="E631" s="651"/>
      <c r="F631" s="656">
        <v>0.6875</v>
      </c>
      <c r="G631" s="647"/>
      <c r="H631" s="648"/>
      <c r="I631" s="649"/>
      <c r="J631" s="650"/>
      <c r="K631" s="657"/>
      <c r="L631" s="652"/>
    </row>
    <row r="632" spans="1:12" ht="15.75" x14ac:dyDescent="0.25">
      <c r="A632" s="647"/>
      <c r="B632" s="648"/>
      <c r="C632" s="649"/>
      <c r="D632" s="655" t="s">
        <v>166</v>
      </c>
      <c r="E632" s="651"/>
      <c r="F632" s="656">
        <v>0.70138888888888884</v>
      </c>
      <c r="G632" s="647"/>
      <c r="H632" s="648"/>
      <c r="I632" s="649"/>
      <c r="J632" s="650"/>
      <c r="K632" s="657"/>
      <c r="L632" s="652"/>
    </row>
    <row r="633" spans="1:12" ht="15.75" x14ac:dyDescent="0.25">
      <c r="A633" s="647" t="s">
        <v>958</v>
      </c>
      <c r="B633" s="648"/>
      <c r="C633" s="649"/>
      <c r="D633" s="650" t="s">
        <v>160</v>
      </c>
      <c r="E633" s="657">
        <v>0.75347222222222221</v>
      </c>
      <c r="F633" s="653"/>
      <c r="G633" s="647"/>
      <c r="H633" s="648"/>
      <c r="I633" s="649"/>
      <c r="J633" s="650"/>
      <c r="K633" s="657"/>
      <c r="L633" s="652"/>
    </row>
    <row r="634" spans="1:12" ht="15.75" x14ac:dyDescent="0.25">
      <c r="A634" s="647"/>
      <c r="B634" s="648"/>
      <c r="C634" s="649"/>
      <c r="D634" s="650" t="s">
        <v>963</v>
      </c>
      <c r="E634" s="657">
        <v>0.78472222222222221</v>
      </c>
      <c r="F634" s="653"/>
      <c r="G634" s="647"/>
      <c r="H634" s="648"/>
      <c r="I634" s="649"/>
      <c r="J634" s="650"/>
      <c r="K634" s="657"/>
      <c r="L634" s="652"/>
    </row>
    <row r="635" spans="1:12" ht="15.75" x14ac:dyDescent="0.25">
      <c r="A635" s="647"/>
      <c r="B635" s="648" t="s">
        <v>462</v>
      </c>
      <c r="C635" s="649" t="s">
        <v>459</v>
      </c>
      <c r="D635" s="650"/>
      <c r="E635" s="657"/>
      <c r="F635" s="652"/>
      <c r="G635" s="647"/>
      <c r="H635" s="648"/>
      <c r="I635" s="649"/>
      <c r="J635" s="650"/>
      <c r="K635" s="651"/>
      <c r="L635" s="652"/>
    </row>
    <row r="636" spans="1:12" ht="15.75" x14ac:dyDescent="0.25">
      <c r="A636" s="647"/>
      <c r="B636" s="648"/>
      <c r="C636" s="649"/>
      <c r="D636" s="650"/>
      <c r="E636" s="657"/>
      <c r="F636" s="656"/>
      <c r="G636" s="647"/>
      <c r="H636" s="648"/>
      <c r="I636" s="649"/>
      <c r="J636" s="650"/>
      <c r="K636" s="651"/>
      <c r="L636" s="652"/>
    </row>
    <row r="637" spans="1:12" ht="15.75" x14ac:dyDescent="0.25">
      <c r="A637" s="647"/>
      <c r="B637" s="648"/>
      <c r="C637" s="649"/>
      <c r="D637" s="650"/>
      <c r="E637" s="657"/>
      <c r="F637" s="656"/>
      <c r="G637" s="647"/>
      <c r="H637" s="648"/>
      <c r="I637" s="649"/>
      <c r="J637" s="650"/>
      <c r="K637" s="651"/>
      <c r="L637" s="658"/>
    </row>
    <row r="638" spans="1:12" ht="15.75" x14ac:dyDescent="0.25">
      <c r="A638" s="647"/>
      <c r="B638" s="648"/>
      <c r="C638" s="649"/>
      <c r="D638" s="650"/>
      <c r="E638" s="657"/>
      <c r="F638" s="653"/>
      <c r="G638" s="647"/>
      <c r="H638" s="648"/>
      <c r="I638" s="649"/>
      <c r="J638" s="655"/>
      <c r="K638" s="651"/>
      <c r="L638" s="658"/>
    </row>
    <row r="639" spans="1:12" ht="15.75" x14ac:dyDescent="0.25">
      <c r="A639" s="647"/>
      <c r="B639" s="648"/>
      <c r="C639" s="649"/>
      <c r="D639" s="650"/>
      <c r="E639" s="651"/>
      <c r="F639" s="652"/>
      <c r="G639" s="647"/>
      <c r="H639" s="648"/>
      <c r="I639" s="649"/>
      <c r="J639" s="650"/>
      <c r="K639" s="651"/>
      <c r="L639" s="658"/>
    </row>
    <row r="640" spans="1:12" ht="16.5" thickBot="1" x14ac:dyDescent="0.3">
      <c r="A640" s="659"/>
      <c r="B640" s="660"/>
      <c r="C640" s="661"/>
      <c r="D640" s="662"/>
      <c r="E640" s="663"/>
      <c r="F640" s="664"/>
      <c r="G640" s="665"/>
      <c r="H640" s="666"/>
      <c r="I640" s="667"/>
      <c r="J640" s="668"/>
      <c r="K640" s="663"/>
      <c r="L640" s="669"/>
    </row>
    <row r="641" spans="1:12" ht="21" x14ac:dyDescent="0.35">
      <c r="A641" s="769" t="s">
        <v>945</v>
      </c>
      <c r="B641" s="770"/>
      <c r="C641" s="770"/>
      <c r="D641" s="770"/>
      <c r="E641" s="770"/>
      <c r="F641" s="770"/>
      <c r="G641" s="770"/>
      <c r="H641" s="770"/>
      <c r="I641" s="770"/>
      <c r="J641" s="770"/>
      <c r="K641" s="770"/>
      <c r="L641" s="771"/>
    </row>
    <row r="642" spans="1:12" ht="18.75" x14ac:dyDescent="0.3">
      <c r="A642" s="772" t="s">
        <v>946</v>
      </c>
      <c r="B642" s="773"/>
      <c r="C642" s="773"/>
      <c r="D642" s="773"/>
      <c r="E642" s="773"/>
      <c r="F642" s="773"/>
      <c r="G642" s="773"/>
      <c r="H642" s="773"/>
      <c r="I642" s="773"/>
      <c r="J642" s="773"/>
      <c r="K642" s="773"/>
      <c r="L642" s="774"/>
    </row>
    <row r="643" spans="1:12" ht="24" x14ac:dyDescent="0.4">
      <c r="A643" s="775" t="s">
        <v>947</v>
      </c>
      <c r="B643" s="776"/>
      <c r="C643" s="776"/>
      <c r="D643" s="776"/>
      <c r="E643" s="776"/>
      <c r="F643" s="776"/>
      <c r="G643" s="776"/>
      <c r="H643" s="776"/>
      <c r="I643" s="776"/>
      <c r="J643" s="776"/>
      <c r="K643" s="776"/>
      <c r="L643" s="777"/>
    </row>
    <row r="644" spans="1:12" ht="24" x14ac:dyDescent="0.4">
      <c r="A644" s="670" t="s">
        <v>948</v>
      </c>
      <c r="B644" s="671"/>
      <c r="C644" s="671"/>
      <c r="D644" s="672" t="s">
        <v>949</v>
      </c>
      <c r="E644" s="778" t="s">
        <v>950</v>
      </c>
      <c r="F644" s="778"/>
      <c r="G644" s="778"/>
      <c r="H644" s="778"/>
      <c r="I644" s="778"/>
      <c r="J644" s="673" t="s">
        <v>1086</v>
      </c>
      <c r="K644" s="778"/>
      <c r="L644" s="779"/>
    </row>
    <row r="645" spans="1:12" ht="15.75" thickBot="1" x14ac:dyDescent="0.3">
      <c r="A645" s="674"/>
      <c r="B645" s="675"/>
      <c r="C645" s="675"/>
      <c r="D645" s="676"/>
      <c r="E645" s="675"/>
      <c r="F645" s="675"/>
      <c r="G645" s="675"/>
      <c r="H645" s="675"/>
      <c r="I645" s="780"/>
      <c r="J645" s="780"/>
      <c r="K645" s="675"/>
      <c r="L645" s="677"/>
    </row>
    <row r="646" spans="1:12" ht="16.5" thickBot="1" x14ac:dyDescent="0.3">
      <c r="A646" s="631" t="s">
        <v>952</v>
      </c>
      <c r="B646" s="632"/>
      <c r="C646" s="633"/>
      <c r="D646" s="634" t="s">
        <v>953</v>
      </c>
      <c r="E646" s="631" t="s">
        <v>954</v>
      </c>
      <c r="F646" s="635" t="s">
        <v>955</v>
      </c>
      <c r="G646" s="631" t="s">
        <v>952</v>
      </c>
      <c r="H646" s="632"/>
      <c r="I646" s="633"/>
      <c r="J646" s="634" t="s">
        <v>953</v>
      </c>
      <c r="K646" s="631" t="s">
        <v>954</v>
      </c>
      <c r="L646" s="631" t="s">
        <v>955</v>
      </c>
    </row>
    <row r="647" spans="1:12" ht="15.75" x14ac:dyDescent="0.25">
      <c r="A647" s="636"/>
      <c r="B647" s="637"/>
      <c r="C647" s="638"/>
      <c r="D647" s="639"/>
      <c r="E647" s="640"/>
      <c r="F647" s="641"/>
      <c r="G647" s="636"/>
      <c r="H647" s="642"/>
      <c r="I647" s="643"/>
      <c r="J647" s="644"/>
      <c r="K647" s="645"/>
      <c r="L647" s="646"/>
    </row>
    <row r="648" spans="1:12" ht="15.75" x14ac:dyDescent="0.25">
      <c r="A648" s="647"/>
      <c r="B648" s="648" t="s">
        <v>459</v>
      </c>
      <c r="C648" s="649">
        <v>17</v>
      </c>
      <c r="D648" s="650" t="s">
        <v>1087</v>
      </c>
      <c r="E648" s="651"/>
      <c r="F648" s="652"/>
      <c r="G648" s="647"/>
      <c r="H648" s="648" t="s">
        <v>459</v>
      </c>
      <c r="I648" s="649">
        <v>220</v>
      </c>
      <c r="J648" s="650" t="s">
        <v>1088</v>
      </c>
      <c r="K648" s="651"/>
      <c r="L648" s="653"/>
    </row>
    <row r="649" spans="1:12" ht="15.75" x14ac:dyDescent="0.25">
      <c r="A649" s="647" t="s">
        <v>958</v>
      </c>
      <c r="B649" s="654"/>
      <c r="C649" s="649"/>
      <c r="D649" s="655" t="s">
        <v>959</v>
      </c>
      <c r="E649" s="651"/>
      <c r="F649" s="656">
        <v>0.24305555555555555</v>
      </c>
      <c r="G649" s="647"/>
      <c r="H649" s="648"/>
      <c r="I649" s="649"/>
      <c r="J649" s="655" t="s">
        <v>166</v>
      </c>
      <c r="K649" s="651"/>
      <c r="L649" s="656">
        <v>0.61458333333333337</v>
      </c>
    </row>
    <row r="650" spans="1:12" ht="15.75" x14ac:dyDescent="0.25">
      <c r="A650" s="647" t="s">
        <v>961</v>
      </c>
      <c r="B650" s="648"/>
      <c r="C650" s="649"/>
      <c r="D650" s="650" t="s">
        <v>160</v>
      </c>
      <c r="E650" s="651"/>
      <c r="F650" s="653">
        <v>0.27777777777777757</v>
      </c>
      <c r="G650" s="647" t="s">
        <v>961</v>
      </c>
      <c r="H650" s="648"/>
      <c r="I650" s="649"/>
      <c r="J650" s="650" t="s">
        <v>160</v>
      </c>
      <c r="K650" s="651"/>
      <c r="L650" s="653">
        <v>0.67222222222222228</v>
      </c>
    </row>
    <row r="651" spans="1:12" ht="15.75" x14ac:dyDescent="0.25">
      <c r="A651" s="647"/>
      <c r="B651" s="648"/>
      <c r="C651" s="649"/>
      <c r="D651" s="655" t="s">
        <v>962</v>
      </c>
      <c r="E651" s="651"/>
      <c r="F651" s="656">
        <v>0.28472222222222199</v>
      </c>
      <c r="G651" s="647"/>
      <c r="H651" s="648"/>
      <c r="I651" s="649"/>
      <c r="J651" s="655" t="s">
        <v>962</v>
      </c>
      <c r="K651" s="651"/>
      <c r="L651" s="656">
        <v>0.68263888888888891</v>
      </c>
    </row>
    <row r="652" spans="1:12" ht="15.75" x14ac:dyDescent="0.25">
      <c r="A652" s="647"/>
      <c r="B652" s="648"/>
      <c r="C652" s="649"/>
      <c r="D652" s="655" t="s">
        <v>960</v>
      </c>
      <c r="E652" s="651"/>
      <c r="F652" s="656">
        <v>0.32291666666666669</v>
      </c>
      <c r="G652" s="647"/>
      <c r="H652" s="648"/>
      <c r="I652" s="649"/>
      <c r="J652" s="655" t="s">
        <v>960</v>
      </c>
      <c r="K652" s="651"/>
      <c r="L652" s="656">
        <v>0.71388888888888891</v>
      </c>
    </row>
    <row r="653" spans="1:12" ht="15.75" x14ac:dyDescent="0.25">
      <c r="A653" s="647" t="s">
        <v>961</v>
      </c>
      <c r="B653" s="654"/>
      <c r="C653" s="649"/>
      <c r="D653" s="650" t="s">
        <v>163</v>
      </c>
      <c r="E653" s="657"/>
      <c r="F653" s="653">
        <v>0.37847222222222221</v>
      </c>
      <c r="G653" s="647" t="s">
        <v>961</v>
      </c>
      <c r="H653" s="654"/>
      <c r="I653" s="649"/>
      <c r="J653" s="650" t="s">
        <v>163</v>
      </c>
      <c r="K653" s="657"/>
      <c r="L653" s="653">
        <v>0.77430555555555547</v>
      </c>
    </row>
    <row r="654" spans="1:12" ht="15.75" x14ac:dyDescent="0.25">
      <c r="A654" s="647"/>
      <c r="B654" s="648"/>
      <c r="C654" s="649"/>
      <c r="D654" s="655" t="s">
        <v>164</v>
      </c>
      <c r="E654" s="651"/>
      <c r="F654" s="656">
        <v>0.40625</v>
      </c>
      <c r="G654" s="647"/>
      <c r="H654" s="648"/>
      <c r="I654" s="649"/>
      <c r="J654" s="655" t="s">
        <v>164</v>
      </c>
      <c r="K654" s="651"/>
      <c r="L654" s="656">
        <v>0.79861111111111105</v>
      </c>
    </row>
    <row r="655" spans="1:12" ht="15.75" x14ac:dyDescent="0.25">
      <c r="A655" s="647"/>
      <c r="B655" s="648"/>
      <c r="C655" s="649"/>
      <c r="D655" s="655" t="s">
        <v>166</v>
      </c>
      <c r="E655" s="657">
        <v>0.4236111111111111</v>
      </c>
      <c r="F655" s="656"/>
      <c r="G655" s="647"/>
      <c r="H655" s="648"/>
      <c r="I655" s="649"/>
      <c r="J655" s="655" t="s">
        <v>166</v>
      </c>
      <c r="K655" s="657">
        <v>0.8125</v>
      </c>
      <c r="L655" s="656"/>
    </row>
    <row r="656" spans="1:12" ht="15.75" x14ac:dyDescent="0.25">
      <c r="A656" s="647"/>
      <c r="B656" s="648" t="s">
        <v>459</v>
      </c>
      <c r="C656" s="649">
        <v>17</v>
      </c>
      <c r="D656" s="650" t="s">
        <v>1089</v>
      </c>
      <c r="E656" s="651"/>
      <c r="F656" s="653"/>
      <c r="G656" s="647"/>
      <c r="H656" s="648" t="s">
        <v>462</v>
      </c>
      <c r="I656" s="649" t="s">
        <v>459</v>
      </c>
      <c r="J656" s="650"/>
      <c r="K656" s="651"/>
      <c r="L656" s="653"/>
    </row>
    <row r="657" spans="1:12" ht="15.75" x14ac:dyDescent="0.25">
      <c r="A657" s="647"/>
      <c r="B657" s="648"/>
      <c r="C657" s="649"/>
      <c r="D657" s="655"/>
      <c r="E657" s="651"/>
      <c r="F657" s="656"/>
      <c r="G657" s="647"/>
      <c r="H657" s="648"/>
      <c r="I657" s="649"/>
      <c r="J657" s="655"/>
      <c r="K657" s="651"/>
      <c r="L657" s="656"/>
    </row>
    <row r="658" spans="1:12" ht="15.75" x14ac:dyDescent="0.25">
      <c r="A658" s="647"/>
      <c r="B658" s="648" t="s">
        <v>459</v>
      </c>
      <c r="C658" s="649">
        <v>8</v>
      </c>
      <c r="D658" s="650" t="s">
        <v>1090</v>
      </c>
      <c r="E658" s="651"/>
      <c r="F658" s="653"/>
      <c r="G658" s="647"/>
      <c r="H658" s="648" t="s">
        <v>459</v>
      </c>
      <c r="I658" s="649">
        <v>59</v>
      </c>
      <c r="J658" s="650" t="s">
        <v>1091</v>
      </c>
      <c r="K658" s="651"/>
      <c r="L658" s="653"/>
    </row>
    <row r="659" spans="1:12" ht="15.75" x14ac:dyDescent="0.25">
      <c r="A659" s="647"/>
      <c r="B659" s="648"/>
      <c r="C659" s="649"/>
      <c r="D659" s="655" t="s">
        <v>166</v>
      </c>
      <c r="E659" s="651"/>
      <c r="F659" s="656">
        <v>0.4236111111111111</v>
      </c>
      <c r="G659" s="647"/>
      <c r="H659" s="648"/>
      <c r="I659" s="649"/>
      <c r="J659" s="655" t="s">
        <v>166</v>
      </c>
      <c r="K659" s="651"/>
      <c r="L659" s="656">
        <v>0.8125</v>
      </c>
    </row>
    <row r="660" spans="1:12" ht="15.75" x14ac:dyDescent="0.25">
      <c r="A660" s="647" t="s">
        <v>961</v>
      </c>
      <c r="B660" s="648"/>
      <c r="C660" s="649"/>
      <c r="D660" s="650" t="s">
        <v>160</v>
      </c>
      <c r="E660" s="651"/>
      <c r="F660" s="653">
        <v>0.46875</v>
      </c>
      <c r="G660" s="647" t="s">
        <v>961</v>
      </c>
      <c r="H660" s="648"/>
      <c r="I660" s="649"/>
      <c r="J660" s="650" t="s">
        <v>160</v>
      </c>
      <c r="K660" s="651"/>
      <c r="L660" s="653">
        <v>0.85416666666666663</v>
      </c>
    </row>
    <row r="661" spans="1:12" ht="15.75" x14ac:dyDescent="0.25">
      <c r="A661" s="647"/>
      <c r="B661" s="648"/>
      <c r="C661" s="649"/>
      <c r="D661" s="655" t="s">
        <v>962</v>
      </c>
      <c r="E661" s="651"/>
      <c r="F661" s="656">
        <v>0.47916666666666669</v>
      </c>
      <c r="G661" s="647"/>
      <c r="H661" s="648"/>
      <c r="I661" s="649"/>
      <c r="J661" s="655" t="s">
        <v>962</v>
      </c>
      <c r="K661" s="651"/>
      <c r="L661" s="656">
        <v>0.86111111111111116</v>
      </c>
    </row>
    <row r="662" spans="1:12" ht="15.75" x14ac:dyDescent="0.25">
      <c r="A662" s="647"/>
      <c r="B662" s="648"/>
      <c r="C662" s="649"/>
      <c r="D662" s="655" t="s">
        <v>960</v>
      </c>
      <c r="E662" s="657">
        <v>0.51041666666666663</v>
      </c>
      <c r="F662" s="656"/>
      <c r="G662" s="647"/>
      <c r="H662" s="648"/>
      <c r="I662" s="649"/>
      <c r="J662" s="655" t="s">
        <v>960</v>
      </c>
      <c r="K662" s="657"/>
      <c r="L662" s="656">
        <v>0.88888888888888884</v>
      </c>
    </row>
    <row r="663" spans="1:12" ht="15.75" x14ac:dyDescent="0.25">
      <c r="A663" s="647"/>
      <c r="B663" s="648" t="s">
        <v>462</v>
      </c>
      <c r="C663" s="649" t="s">
        <v>459</v>
      </c>
      <c r="D663" s="650"/>
      <c r="E663" s="657"/>
      <c r="F663" s="653"/>
      <c r="G663" s="647" t="s">
        <v>958</v>
      </c>
      <c r="H663" s="654"/>
      <c r="I663" s="649"/>
      <c r="J663" s="650" t="s">
        <v>163</v>
      </c>
      <c r="K663" s="657">
        <v>0.93055555555555558</v>
      </c>
      <c r="L663" s="653"/>
    </row>
    <row r="664" spans="1:12" ht="15.75" x14ac:dyDescent="0.25">
      <c r="A664" s="647"/>
      <c r="B664" s="648"/>
      <c r="C664" s="649"/>
      <c r="D664" s="650"/>
      <c r="E664" s="657"/>
      <c r="F664" s="652"/>
      <c r="G664" s="647"/>
      <c r="H664" s="648"/>
      <c r="I664" s="649"/>
      <c r="J664" s="650" t="s">
        <v>963</v>
      </c>
      <c r="K664" s="657">
        <v>0.95486111111111116</v>
      </c>
      <c r="L664" s="652"/>
    </row>
    <row r="665" spans="1:12" ht="15.75" x14ac:dyDescent="0.25">
      <c r="A665" s="647"/>
      <c r="B665" s="648" t="s">
        <v>459</v>
      </c>
      <c r="C665" s="649">
        <v>27</v>
      </c>
      <c r="D665" s="650" t="s">
        <v>1092</v>
      </c>
      <c r="E665" s="651"/>
      <c r="F665" s="653"/>
      <c r="G665" s="647"/>
      <c r="H665" s="648" t="s">
        <v>462</v>
      </c>
      <c r="I665" s="649" t="s">
        <v>459</v>
      </c>
      <c r="J665" s="650"/>
      <c r="K665" s="657"/>
      <c r="L665" s="652"/>
    </row>
    <row r="666" spans="1:12" ht="15.75" x14ac:dyDescent="0.25">
      <c r="A666" s="647"/>
      <c r="B666" s="648"/>
      <c r="C666" s="649"/>
      <c r="D666" s="655" t="s">
        <v>960</v>
      </c>
      <c r="E666" s="651"/>
      <c r="F666" s="656">
        <v>0.51041666666666663</v>
      </c>
      <c r="G666" s="647"/>
      <c r="H666" s="648"/>
      <c r="I666" s="649"/>
      <c r="J666" s="650"/>
      <c r="K666" s="651"/>
      <c r="L666" s="652"/>
    </row>
    <row r="667" spans="1:12" ht="15.75" x14ac:dyDescent="0.25">
      <c r="A667" s="647" t="s">
        <v>961</v>
      </c>
      <c r="B667" s="654"/>
      <c r="C667" s="649"/>
      <c r="D667" s="650" t="s">
        <v>163</v>
      </c>
      <c r="E667" s="657"/>
      <c r="F667" s="653">
        <v>0.56944444444444442</v>
      </c>
      <c r="G667" s="647"/>
      <c r="H667" s="648"/>
      <c r="I667" s="649"/>
      <c r="J667" s="655"/>
      <c r="K667" s="651"/>
      <c r="L667" s="656"/>
    </row>
    <row r="668" spans="1:12" ht="15.75" x14ac:dyDescent="0.25">
      <c r="A668" s="647"/>
      <c r="B668" s="648"/>
      <c r="C668" s="649"/>
      <c r="D668" s="655" t="s">
        <v>164</v>
      </c>
      <c r="E668" s="651"/>
      <c r="F668" s="656">
        <v>0.60069444444444442</v>
      </c>
      <c r="G668" s="647"/>
      <c r="H668" s="648"/>
      <c r="I668" s="649"/>
      <c r="J668" s="655"/>
      <c r="K668" s="651"/>
      <c r="L668" s="656"/>
    </row>
    <row r="669" spans="1:12" ht="15.75" x14ac:dyDescent="0.25">
      <c r="A669" s="647"/>
      <c r="B669" s="648"/>
      <c r="C669" s="649"/>
      <c r="D669" s="655" t="s">
        <v>166</v>
      </c>
      <c r="E669" s="657">
        <v>0.61458333333333337</v>
      </c>
      <c r="F669" s="656"/>
      <c r="G669" s="647"/>
      <c r="H669" s="654"/>
      <c r="I669" s="649"/>
      <c r="J669" s="650"/>
      <c r="K669" s="657"/>
      <c r="L669" s="653"/>
    </row>
    <row r="670" spans="1:12" ht="15.75" x14ac:dyDescent="0.25">
      <c r="A670" s="647"/>
      <c r="B670" s="648" t="s">
        <v>462</v>
      </c>
      <c r="C670" s="649" t="s">
        <v>459</v>
      </c>
      <c r="D670" s="650"/>
      <c r="E670" s="651"/>
      <c r="F670" s="653"/>
      <c r="G670" s="647"/>
      <c r="H670" s="648"/>
      <c r="I670" s="649"/>
      <c r="J670" s="650"/>
      <c r="K670" s="657"/>
      <c r="L670" s="652"/>
    </row>
    <row r="671" spans="1:12" ht="15.75" x14ac:dyDescent="0.25">
      <c r="A671" s="647"/>
      <c r="B671" s="648"/>
      <c r="C671" s="649"/>
      <c r="D671" s="655"/>
      <c r="E671" s="651"/>
      <c r="F671" s="656"/>
      <c r="G671" s="647"/>
      <c r="H671" s="648"/>
      <c r="I671" s="649"/>
      <c r="J671" s="650"/>
      <c r="K671" s="657"/>
      <c r="L671" s="652"/>
    </row>
    <row r="672" spans="1:12" ht="15.75" x14ac:dyDescent="0.25">
      <c r="A672" s="647"/>
      <c r="B672" s="648"/>
      <c r="C672" s="649"/>
      <c r="D672" s="650"/>
      <c r="E672" s="651"/>
      <c r="F672" s="653"/>
      <c r="G672" s="647"/>
      <c r="H672" s="648"/>
      <c r="I672" s="649"/>
      <c r="J672" s="650"/>
      <c r="K672" s="651"/>
      <c r="L672" s="652"/>
    </row>
    <row r="673" spans="1:12" ht="15.75" x14ac:dyDescent="0.25">
      <c r="A673" s="647"/>
      <c r="B673" s="648"/>
      <c r="C673" s="649"/>
      <c r="D673" s="655"/>
      <c r="E673" s="651"/>
      <c r="F673" s="656"/>
      <c r="G673" s="647"/>
      <c r="H673" s="648"/>
      <c r="I673" s="649"/>
      <c r="J673" s="650"/>
      <c r="K673" s="651"/>
      <c r="L673" s="658"/>
    </row>
    <row r="674" spans="1:12" ht="15.75" x14ac:dyDescent="0.25">
      <c r="A674" s="647"/>
      <c r="B674" s="648"/>
      <c r="C674" s="649"/>
      <c r="D674" s="650"/>
      <c r="E674" s="651"/>
      <c r="F674" s="653"/>
      <c r="G674" s="647"/>
      <c r="H674" s="648"/>
      <c r="I674" s="649"/>
      <c r="J674" s="655"/>
      <c r="K674" s="651"/>
      <c r="L674" s="658"/>
    </row>
    <row r="675" spans="1:12" ht="15.75" x14ac:dyDescent="0.25">
      <c r="A675" s="647"/>
      <c r="B675" s="648"/>
      <c r="C675" s="649"/>
      <c r="D675" s="655"/>
      <c r="E675" s="651"/>
      <c r="F675" s="656"/>
      <c r="G675" s="647"/>
      <c r="H675" s="648"/>
      <c r="I675" s="649"/>
      <c r="J675" s="650"/>
      <c r="K675" s="651"/>
      <c r="L675" s="658"/>
    </row>
    <row r="676" spans="1:12" ht="15.75" x14ac:dyDescent="0.25">
      <c r="A676" s="647"/>
      <c r="B676" s="648"/>
      <c r="C676" s="649"/>
      <c r="D676" s="655"/>
      <c r="E676" s="657"/>
      <c r="F676" s="656"/>
      <c r="G676" s="647"/>
      <c r="H676" s="648"/>
      <c r="I676" s="649"/>
      <c r="J676" s="650"/>
      <c r="K676" s="651"/>
      <c r="L676" s="652"/>
    </row>
    <row r="677" spans="1:12" ht="15.75" x14ac:dyDescent="0.25">
      <c r="A677" s="647"/>
      <c r="B677" s="648"/>
      <c r="C677" s="649"/>
      <c r="D677" s="650"/>
      <c r="E677" s="657"/>
      <c r="F677" s="653"/>
      <c r="G677" s="647"/>
      <c r="H677" s="648"/>
      <c r="I677" s="649"/>
      <c r="J677" s="650"/>
      <c r="K677" s="651"/>
      <c r="L677" s="658"/>
    </row>
    <row r="678" spans="1:12" ht="15.75" x14ac:dyDescent="0.25">
      <c r="A678" s="647"/>
      <c r="B678" s="648"/>
      <c r="C678" s="649"/>
      <c r="D678" s="650"/>
      <c r="E678" s="657"/>
      <c r="F678" s="652"/>
      <c r="G678" s="647"/>
      <c r="H678" s="648"/>
      <c r="I678" s="649"/>
      <c r="J678" s="655"/>
      <c r="K678" s="651"/>
      <c r="L678" s="658"/>
    </row>
    <row r="679" spans="1:12" ht="15.75" x14ac:dyDescent="0.25">
      <c r="A679" s="647"/>
      <c r="B679" s="648"/>
      <c r="C679" s="649"/>
      <c r="D679" s="650"/>
      <c r="E679" s="651"/>
      <c r="F679" s="652"/>
      <c r="G679" s="647"/>
      <c r="H679" s="648"/>
      <c r="I679" s="649"/>
      <c r="J679" s="650"/>
      <c r="K679" s="651"/>
      <c r="L679" s="658"/>
    </row>
    <row r="680" spans="1:12" ht="16.5" thickBot="1" x14ac:dyDescent="0.3">
      <c r="A680" s="659"/>
      <c r="B680" s="660"/>
      <c r="C680" s="661"/>
      <c r="D680" s="662"/>
      <c r="E680" s="663"/>
      <c r="F680" s="664"/>
      <c r="G680" s="665"/>
      <c r="H680" s="666"/>
      <c r="I680" s="667"/>
      <c r="J680" s="668"/>
      <c r="K680" s="663"/>
      <c r="L680" s="669"/>
    </row>
    <row r="681" spans="1:12" ht="21" x14ac:dyDescent="0.35">
      <c r="A681" s="769" t="s">
        <v>945</v>
      </c>
      <c r="B681" s="770"/>
      <c r="C681" s="770"/>
      <c r="D681" s="770"/>
      <c r="E681" s="770"/>
      <c r="F681" s="770"/>
      <c r="G681" s="770"/>
      <c r="H681" s="770"/>
      <c r="I681" s="770"/>
      <c r="J681" s="770"/>
      <c r="K681" s="770"/>
      <c r="L681" s="771"/>
    </row>
    <row r="682" spans="1:12" ht="18.75" x14ac:dyDescent="0.3">
      <c r="A682" s="772" t="s">
        <v>946</v>
      </c>
      <c r="B682" s="773"/>
      <c r="C682" s="773"/>
      <c r="D682" s="773"/>
      <c r="E682" s="773"/>
      <c r="F682" s="773"/>
      <c r="G682" s="773"/>
      <c r="H682" s="773"/>
      <c r="I682" s="773"/>
      <c r="J682" s="773"/>
      <c r="K682" s="773"/>
      <c r="L682" s="774"/>
    </row>
    <row r="683" spans="1:12" ht="24" x14ac:dyDescent="0.4">
      <c r="A683" s="775" t="s">
        <v>947</v>
      </c>
      <c r="B683" s="776"/>
      <c r="C683" s="776"/>
      <c r="D683" s="776"/>
      <c r="E683" s="776"/>
      <c r="F683" s="776"/>
      <c r="G683" s="776"/>
      <c r="H683" s="776"/>
      <c r="I683" s="776"/>
      <c r="J683" s="776"/>
      <c r="K683" s="776"/>
      <c r="L683" s="777"/>
    </row>
    <row r="684" spans="1:12" ht="24" x14ac:dyDescent="0.4">
      <c r="A684" s="670" t="s">
        <v>948</v>
      </c>
      <c r="B684" s="671"/>
      <c r="C684" s="671"/>
      <c r="D684" s="672" t="s">
        <v>949</v>
      </c>
      <c r="E684" s="778" t="s">
        <v>950</v>
      </c>
      <c r="F684" s="778"/>
      <c r="G684" s="778"/>
      <c r="H684" s="778"/>
      <c r="I684" s="778"/>
      <c r="J684" s="673" t="s">
        <v>1093</v>
      </c>
      <c r="K684" s="778"/>
      <c r="L684" s="779"/>
    </row>
    <row r="685" spans="1:12" ht="15.75" thickBot="1" x14ac:dyDescent="0.3">
      <c r="A685" s="674"/>
      <c r="B685" s="675"/>
      <c r="C685" s="675"/>
      <c r="D685" s="676"/>
      <c r="E685" s="675"/>
      <c r="F685" s="675"/>
      <c r="G685" s="675"/>
      <c r="H685" s="675"/>
      <c r="I685" s="780"/>
      <c r="J685" s="780"/>
      <c r="K685" s="675"/>
      <c r="L685" s="677"/>
    </row>
    <row r="686" spans="1:12" ht="16.5" thickBot="1" x14ac:dyDescent="0.3">
      <c r="A686" s="631" t="s">
        <v>952</v>
      </c>
      <c r="B686" s="632"/>
      <c r="C686" s="633"/>
      <c r="D686" s="634" t="s">
        <v>953</v>
      </c>
      <c r="E686" s="631" t="s">
        <v>954</v>
      </c>
      <c r="F686" s="635" t="s">
        <v>955</v>
      </c>
      <c r="G686" s="631" t="s">
        <v>952</v>
      </c>
      <c r="H686" s="632"/>
      <c r="I686" s="633"/>
      <c r="J686" s="634" t="s">
        <v>953</v>
      </c>
      <c r="K686" s="631" t="s">
        <v>954</v>
      </c>
      <c r="L686" s="631" t="s">
        <v>955</v>
      </c>
    </row>
    <row r="687" spans="1:12" ht="15.75" x14ac:dyDescent="0.25">
      <c r="A687" s="636"/>
      <c r="B687" s="637"/>
      <c r="C687" s="638"/>
      <c r="D687" s="639"/>
      <c r="E687" s="640"/>
      <c r="F687" s="641"/>
      <c r="G687" s="636"/>
      <c r="H687" s="642"/>
      <c r="I687" s="643"/>
      <c r="J687" s="644"/>
      <c r="K687" s="645"/>
      <c r="L687" s="646"/>
    </row>
    <row r="688" spans="1:12" ht="15.75" x14ac:dyDescent="0.25">
      <c r="A688" s="647"/>
      <c r="B688" s="648" t="s">
        <v>459</v>
      </c>
      <c r="C688" s="649">
        <v>18</v>
      </c>
      <c r="D688" s="650" t="s">
        <v>1087</v>
      </c>
      <c r="E688" s="651"/>
      <c r="F688" s="652"/>
      <c r="G688" s="647"/>
      <c r="H688" s="648" t="s">
        <v>459</v>
      </c>
      <c r="I688" s="649">
        <v>42</v>
      </c>
      <c r="J688" s="650" t="s">
        <v>1094</v>
      </c>
      <c r="K688" s="651"/>
      <c r="L688" s="653"/>
    </row>
    <row r="689" spans="1:12" ht="15.75" x14ac:dyDescent="0.25">
      <c r="A689" s="647" t="s">
        <v>958</v>
      </c>
      <c r="B689" s="654"/>
      <c r="C689" s="649"/>
      <c r="D689" s="655" t="s">
        <v>959</v>
      </c>
      <c r="E689" s="651"/>
      <c r="F689" s="656">
        <v>0.24305555555555555</v>
      </c>
      <c r="G689" s="647"/>
      <c r="H689" s="648"/>
      <c r="I689" s="649"/>
      <c r="J689" s="655" t="s">
        <v>166</v>
      </c>
      <c r="K689" s="651"/>
      <c r="L689" s="656">
        <v>0.71111111111111114</v>
      </c>
    </row>
    <row r="690" spans="1:12" ht="15.75" x14ac:dyDescent="0.25">
      <c r="A690" s="647" t="s">
        <v>961</v>
      </c>
      <c r="B690" s="654"/>
      <c r="C690" s="649"/>
      <c r="D690" s="650" t="s">
        <v>163</v>
      </c>
      <c r="E690" s="651"/>
      <c r="F690" s="653">
        <v>0.2708333333333332</v>
      </c>
      <c r="G690" s="647" t="s">
        <v>961</v>
      </c>
      <c r="H690" s="648"/>
      <c r="I690" s="649"/>
      <c r="J690" s="650" t="s">
        <v>160</v>
      </c>
      <c r="K690" s="651"/>
      <c r="L690" s="653">
        <v>0.76388888888888884</v>
      </c>
    </row>
    <row r="691" spans="1:12" ht="15.75" x14ac:dyDescent="0.25">
      <c r="A691" s="647"/>
      <c r="B691" s="648"/>
      <c r="C691" s="649"/>
      <c r="D691" s="655" t="s">
        <v>164</v>
      </c>
      <c r="E691" s="651"/>
      <c r="F691" s="656">
        <v>0.29861111111111099</v>
      </c>
      <c r="G691" s="647"/>
      <c r="H691" s="648"/>
      <c r="I691" s="649"/>
      <c r="J691" s="655" t="s">
        <v>962</v>
      </c>
      <c r="K691" s="651"/>
      <c r="L691" s="656">
        <v>0.77083333333333337</v>
      </c>
    </row>
    <row r="692" spans="1:12" ht="15.75" x14ac:dyDescent="0.25">
      <c r="A692" s="647"/>
      <c r="B692" s="648"/>
      <c r="C692" s="649"/>
      <c r="D692" s="655" t="s">
        <v>166</v>
      </c>
      <c r="E692" s="651"/>
      <c r="F692" s="656">
        <v>0.31597222222222221</v>
      </c>
      <c r="G692" s="647"/>
      <c r="H692" s="648"/>
      <c r="I692" s="649"/>
      <c r="J692" s="655" t="s">
        <v>960</v>
      </c>
      <c r="K692" s="651"/>
      <c r="L692" s="656">
        <v>0.79861111111111116</v>
      </c>
    </row>
    <row r="693" spans="1:12" ht="15.75" x14ac:dyDescent="0.25">
      <c r="A693" s="647" t="s">
        <v>961</v>
      </c>
      <c r="B693" s="648"/>
      <c r="C693" s="649"/>
      <c r="D693" s="650" t="s">
        <v>160</v>
      </c>
      <c r="E693" s="651"/>
      <c r="F693" s="653">
        <v>0.37152777777777779</v>
      </c>
      <c r="G693" s="647" t="s">
        <v>958</v>
      </c>
      <c r="H693" s="654"/>
      <c r="I693" s="649"/>
      <c r="J693" s="650" t="s">
        <v>163</v>
      </c>
      <c r="K693" s="657">
        <v>0.85069444444444442</v>
      </c>
      <c r="L693" s="653"/>
    </row>
    <row r="694" spans="1:12" ht="15.75" x14ac:dyDescent="0.25">
      <c r="A694" s="647"/>
      <c r="B694" s="648"/>
      <c r="C694" s="649"/>
      <c r="D694" s="655" t="s">
        <v>962</v>
      </c>
      <c r="E694" s="651"/>
      <c r="F694" s="656">
        <v>0.38194444444444442</v>
      </c>
      <c r="G694" s="647"/>
      <c r="H694" s="648"/>
      <c r="I694" s="649"/>
      <c r="J694" s="650" t="s">
        <v>963</v>
      </c>
      <c r="K694" s="657">
        <v>0.875</v>
      </c>
      <c r="L694" s="658"/>
    </row>
    <row r="695" spans="1:12" ht="15.75" x14ac:dyDescent="0.25">
      <c r="A695" s="647"/>
      <c r="B695" s="648"/>
      <c r="C695" s="649"/>
      <c r="D695" s="655" t="s">
        <v>960</v>
      </c>
      <c r="E695" s="657">
        <v>0.41319444444444442</v>
      </c>
      <c r="F695" s="656"/>
      <c r="G695" s="647"/>
      <c r="H695" s="648" t="s">
        <v>462</v>
      </c>
      <c r="I695" s="649" t="s">
        <v>459</v>
      </c>
      <c r="J695" s="650"/>
      <c r="K695" s="657"/>
      <c r="L695" s="658"/>
    </row>
    <row r="696" spans="1:12" ht="15.75" x14ac:dyDescent="0.25">
      <c r="A696" s="647"/>
      <c r="B696" s="648" t="s">
        <v>459</v>
      </c>
      <c r="C696" s="649">
        <v>18</v>
      </c>
      <c r="D696" s="650" t="s">
        <v>1095</v>
      </c>
      <c r="E696" s="651"/>
      <c r="F696" s="653"/>
      <c r="G696" s="647"/>
      <c r="H696" s="648"/>
      <c r="I696" s="649"/>
      <c r="J696" s="650"/>
      <c r="K696" s="651"/>
      <c r="L696" s="656"/>
    </row>
    <row r="697" spans="1:12" ht="15.75" x14ac:dyDescent="0.25">
      <c r="A697" s="647"/>
      <c r="B697" s="648"/>
      <c r="C697" s="649"/>
      <c r="D697" s="655"/>
      <c r="E697" s="651"/>
      <c r="F697" s="656"/>
      <c r="G697" s="647"/>
      <c r="H697" s="648"/>
      <c r="I697" s="649"/>
      <c r="J697" s="655"/>
      <c r="K697" s="657"/>
      <c r="L697" s="656"/>
    </row>
    <row r="698" spans="1:12" ht="15.75" x14ac:dyDescent="0.25">
      <c r="A698" s="647"/>
      <c r="B698" s="648" t="s">
        <v>459</v>
      </c>
      <c r="C698" s="649">
        <v>2</v>
      </c>
      <c r="D698" s="650" t="s">
        <v>1096</v>
      </c>
      <c r="E698" s="651"/>
      <c r="F698" s="653"/>
      <c r="G698" s="647"/>
      <c r="H698" s="648"/>
      <c r="I698" s="649"/>
      <c r="J698" s="650"/>
      <c r="K698" s="651"/>
      <c r="L698" s="653"/>
    </row>
    <row r="699" spans="1:12" ht="15.75" x14ac:dyDescent="0.25">
      <c r="A699" s="647"/>
      <c r="B699" s="648"/>
      <c r="C699" s="649"/>
      <c r="D699" s="655" t="s">
        <v>960</v>
      </c>
      <c r="E699" s="651"/>
      <c r="F699" s="656">
        <v>0.41319444444444442</v>
      </c>
      <c r="G699" s="647"/>
      <c r="H699" s="648"/>
      <c r="I699" s="649"/>
      <c r="J699" s="655"/>
      <c r="K699" s="651"/>
      <c r="L699" s="656"/>
    </row>
    <row r="700" spans="1:12" ht="15.75" x14ac:dyDescent="0.25">
      <c r="A700" s="647" t="s">
        <v>961</v>
      </c>
      <c r="B700" s="654"/>
      <c r="C700" s="649"/>
      <c r="D700" s="650" t="s">
        <v>163</v>
      </c>
      <c r="E700" s="657"/>
      <c r="F700" s="653">
        <v>0.46527777777777779</v>
      </c>
      <c r="G700" s="647"/>
      <c r="H700" s="654"/>
      <c r="I700" s="649"/>
      <c r="J700" s="650"/>
      <c r="K700" s="657"/>
      <c r="L700" s="653"/>
    </row>
    <row r="701" spans="1:12" ht="15.75" x14ac:dyDescent="0.25">
      <c r="A701" s="647"/>
      <c r="B701" s="648"/>
      <c r="C701" s="649"/>
      <c r="D701" s="655" t="s">
        <v>164</v>
      </c>
      <c r="E701" s="651"/>
      <c r="F701" s="656">
        <v>0.49652777777777779</v>
      </c>
      <c r="G701" s="647"/>
      <c r="H701" s="648"/>
      <c r="I701" s="649"/>
      <c r="J701" s="655"/>
      <c r="K701" s="651"/>
      <c r="L701" s="656"/>
    </row>
    <row r="702" spans="1:12" ht="15.75" x14ac:dyDescent="0.25">
      <c r="A702" s="647"/>
      <c r="B702" s="648"/>
      <c r="C702" s="649"/>
      <c r="D702" s="655" t="s">
        <v>166</v>
      </c>
      <c r="E702" s="657">
        <v>0.51041666666666663</v>
      </c>
      <c r="F702" s="656"/>
      <c r="G702" s="647"/>
      <c r="H702" s="648"/>
      <c r="I702" s="649"/>
      <c r="J702" s="655"/>
      <c r="K702" s="651"/>
      <c r="L702" s="656"/>
    </row>
    <row r="703" spans="1:12" ht="15.75" x14ac:dyDescent="0.25">
      <c r="A703" s="647"/>
      <c r="B703" s="648" t="s">
        <v>462</v>
      </c>
      <c r="C703" s="649" t="s">
        <v>459</v>
      </c>
      <c r="D703" s="650"/>
      <c r="E703" s="651"/>
      <c r="F703" s="653"/>
      <c r="G703" s="647"/>
      <c r="H703" s="648"/>
      <c r="I703" s="649"/>
      <c r="J703" s="650"/>
      <c r="K703" s="657"/>
      <c r="L703" s="653"/>
    </row>
    <row r="704" spans="1:12" ht="15.75" x14ac:dyDescent="0.25">
      <c r="A704" s="647"/>
      <c r="B704" s="648"/>
      <c r="C704" s="649"/>
      <c r="D704" s="655"/>
      <c r="E704" s="651"/>
      <c r="F704" s="656"/>
      <c r="G704" s="647"/>
      <c r="H704" s="648"/>
      <c r="I704" s="649"/>
      <c r="J704" s="650"/>
      <c r="K704" s="657"/>
      <c r="L704" s="652"/>
    </row>
    <row r="705" spans="1:12" ht="15.75" x14ac:dyDescent="0.25">
      <c r="A705" s="647"/>
      <c r="B705" s="648" t="s">
        <v>459</v>
      </c>
      <c r="C705" s="649">
        <v>37</v>
      </c>
      <c r="D705" s="650" t="s">
        <v>1097</v>
      </c>
      <c r="E705" s="651"/>
      <c r="F705" s="653"/>
      <c r="G705" s="647"/>
      <c r="H705" s="648"/>
      <c r="I705" s="649"/>
      <c r="J705" s="650"/>
      <c r="K705" s="657"/>
      <c r="L705" s="652"/>
    </row>
    <row r="706" spans="1:12" ht="15.75" x14ac:dyDescent="0.25">
      <c r="A706" s="647"/>
      <c r="B706" s="648"/>
      <c r="C706" s="649"/>
      <c r="D706" s="655" t="s">
        <v>166</v>
      </c>
      <c r="E706" s="651"/>
      <c r="F706" s="656">
        <v>0.51041666666666663</v>
      </c>
      <c r="G706" s="647"/>
      <c r="H706" s="648"/>
      <c r="I706" s="649"/>
      <c r="J706" s="650"/>
      <c r="K706" s="657"/>
      <c r="L706" s="652"/>
    </row>
    <row r="707" spans="1:12" ht="15.75" x14ac:dyDescent="0.25">
      <c r="A707" s="647" t="s">
        <v>961</v>
      </c>
      <c r="B707" s="648"/>
      <c r="C707" s="649"/>
      <c r="D707" s="650" t="s">
        <v>160</v>
      </c>
      <c r="E707" s="651"/>
      <c r="F707" s="653">
        <v>0.56597222222222132</v>
      </c>
      <c r="G707" s="647"/>
      <c r="H707" s="654"/>
      <c r="I707" s="649"/>
      <c r="J707" s="650"/>
      <c r="K707" s="657"/>
      <c r="L707" s="653"/>
    </row>
    <row r="708" spans="1:12" ht="15.75" x14ac:dyDescent="0.25">
      <c r="A708" s="647"/>
      <c r="B708" s="648"/>
      <c r="C708" s="649"/>
      <c r="D708" s="655" t="s">
        <v>962</v>
      </c>
      <c r="E708" s="651"/>
      <c r="F708" s="656">
        <v>0.57638888888888795</v>
      </c>
      <c r="G708" s="647"/>
      <c r="H708" s="648"/>
      <c r="I708" s="649"/>
      <c r="J708" s="655"/>
      <c r="K708" s="651"/>
      <c r="L708" s="656"/>
    </row>
    <row r="709" spans="1:12" ht="15.75" x14ac:dyDescent="0.25">
      <c r="A709" s="647"/>
      <c r="B709" s="648"/>
      <c r="C709" s="649"/>
      <c r="D709" s="655" t="s">
        <v>960</v>
      </c>
      <c r="E709" s="651"/>
      <c r="F709" s="656">
        <v>0.60763888888888884</v>
      </c>
      <c r="G709" s="647"/>
      <c r="H709" s="648"/>
      <c r="I709" s="649"/>
      <c r="J709" s="655"/>
      <c r="K709" s="651"/>
      <c r="L709" s="656"/>
    </row>
    <row r="710" spans="1:12" ht="15.75" x14ac:dyDescent="0.25">
      <c r="A710" s="647" t="s">
        <v>961</v>
      </c>
      <c r="B710" s="654"/>
      <c r="C710" s="649"/>
      <c r="D710" s="650" t="s">
        <v>163</v>
      </c>
      <c r="E710" s="657"/>
      <c r="F710" s="653">
        <v>0.6659722222222223</v>
      </c>
      <c r="G710" s="647"/>
      <c r="H710" s="648"/>
      <c r="I710" s="649"/>
      <c r="J710" s="650"/>
      <c r="K710" s="657"/>
      <c r="L710" s="653"/>
    </row>
    <row r="711" spans="1:12" ht="15.75" x14ac:dyDescent="0.25">
      <c r="A711" s="647"/>
      <c r="B711" s="648"/>
      <c r="C711" s="649"/>
      <c r="D711" s="655" t="s">
        <v>164</v>
      </c>
      <c r="E711" s="651"/>
      <c r="F711" s="656">
        <v>0.6972222222222223</v>
      </c>
      <c r="G711" s="647"/>
      <c r="H711" s="648"/>
      <c r="I711" s="649"/>
      <c r="J711" s="650"/>
      <c r="K711" s="657"/>
      <c r="L711" s="652"/>
    </row>
    <row r="712" spans="1:12" ht="15.75" x14ac:dyDescent="0.25">
      <c r="A712" s="647"/>
      <c r="B712" s="648"/>
      <c r="C712" s="649"/>
      <c r="D712" s="655" t="s">
        <v>166</v>
      </c>
      <c r="E712" s="657">
        <v>0.71111111111111114</v>
      </c>
      <c r="F712" s="656"/>
      <c r="G712" s="647"/>
      <c r="H712" s="648"/>
      <c r="I712" s="649"/>
      <c r="J712" s="650"/>
      <c r="K712" s="657"/>
      <c r="L712" s="652"/>
    </row>
    <row r="713" spans="1:12" ht="15.75" x14ac:dyDescent="0.25">
      <c r="A713" s="647"/>
      <c r="B713" s="648" t="s">
        <v>459</v>
      </c>
      <c r="C713" s="649">
        <v>37</v>
      </c>
      <c r="D713" s="650" t="s">
        <v>1098</v>
      </c>
      <c r="E713" s="657"/>
      <c r="F713" s="656"/>
      <c r="G713" s="647"/>
      <c r="H713" s="648"/>
      <c r="I713" s="649"/>
      <c r="J713" s="650"/>
      <c r="K713" s="657"/>
      <c r="L713" s="652"/>
    </row>
    <row r="714" spans="1:12" ht="15.75" x14ac:dyDescent="0.25">
      <c r="A714" s="647"/>
      <c r="B714" s="648"/>
      <c r="C714" s="649"/>
      <c r="D714" s="650"/>
      <c r="E714" s="657"/>
      <c r="F714" s="653"/>
      <c r="G714" s="647"/>
      <c r="H714" s="648"/>
      <c r="I714" s="649"/>
      <c r="J714" s="650"/>
      <c r="K714" s="657"/>
      <c r="L714" s="652"/>
    </row>
    <row r="715" spans="1:12" ht="15.75" x14ac:dyDescent="0.25">
      <c r="A715" s="647"/>
      <c r="B715" s="648"/>
      <c r="C715" s="649"/>
      <c r="D715" s="650"/>
      <c r="E715" s="651"/>
      <c r="F715" s="652"/>
      <c r="G715" s="647"/>
      <c r="H715" s="648"/>
      <c r="I715" s="649"/>
      <c r="J715" s="650"/>
      <c r="K715" s="651"/>
      <c r="L715" s="652"/>
    </row>
    <row r="716" spans="1:12" ht="15.75" x14ac:dyDescent="0.25">
      <c r="A716" s="647"/>
      <c r="B716" s="648"/>
      <c r="C716" s="649"/>
      <c r="D716" s="655"/>
      <c r="E716" s="657"/>
      <c r="F716" s="656"/>
      <c r="G716" s="647"/>
      <c r="H716" s="648"/>
      <c r="I716" s="649"/>
      <c r="J716" s="650"/>
      <c r="K716" s="651"/>
      <c r="L716" s="652"/>
    </row>
    <row r="717" spans="1:12" ht="15.75" x14ac:dyDescent="0.25">
      <c r="A717" s="647"/>
      <c r="B717" s="648"/>
      <c r="C717" s="649"/>
      <c r="D717" s="650"/>
      <c r="E717" s="657"/>
      <c r="F717" s="656"/>
      <c r="G717" s="647"/>
      <c r="H717" s="648"/>
      <c r="I717" s="649"/>
      <c r="J717" s="650"/>
      <c r="K717" s="651"/>
      <c r="L717" s="658"/>
    </row>
    <row r="718" spans="1:12" ht="15.75" x14ac:dyDescent="0.25">
      <c r="A718" s="647"/>
      <c r="B718" s="648"/>
      <c r="C718" s="649"/>
      <c r="D718" s="650"/>
      <c r="E718" s="657"/>
      <c r="F718" s="653"/>
      <c r="G718" s="647"/>
      <c r="H718" s="648"/>
      <c r="I718" s="649"/>
      <c r="J718" s="655"/>
      <c r="K718" s="651"/>
      <c r="L718" s="658"/>
    </row>
    <row r="719" spans="1:12" ht="15.75" x14ac:dyDescent="0.25">
      <c r="A719" s="647"/>
      <c r="B719" s="648"/>
      <c r="C719" s="649"/>
      <c r="D719" s="650"/>
      <c r="E719" s="651"/>
      <c r="F719" s="652"/>
      <c r="G719" s="647"/>
      <c r="H719" s="648"/>
      <c r="I719" s="649"/>
      <c r="J719" s="650"/>
      <c r="K719" s="651"/>
      <c r="L719" s="658"/>
    </row>
    <row r="720" spans="1:12" ht="16.5" thickBot="1" x14ac:dyDescent="0.3">
      <c r="A720" s="659"/>
      <c r="B720" s="660"/>
      <c r="C720" s="661"/>
      <c r="D720" s="662"/>
      <c r="E720" s="663"/>
      <c r="F720" s="664"/>
      <c r="G720" s="665"/>
      <c r="H720" s="666"/>
      <c r="I720" s="667"/>
      <c r="J720" s="668"/>
      <c r="K720" s="663"/>
      <c r="L720" s="669"/>
    </row>
    <row r="721" spans="1:12" ht="21" x14ac:dyDescent="0.35">
      <c r="A721" s="769" t="s">
        <v>945</v>
      </c>
      <c r="B721" s="770"/>
      <c r="C721" s="770"/>
      <c r="D721" s="770"/>
      <c r="E721" s="770"/>
      <c r="F721" s="770"/>
      <c r="G721" s="770"/>
      <c r="H721" s="770"/>
      <c r="I721" s="770"/>
      <c r="J721" s="770"/>
      <c r="K721" s="770"/>
      <c r="L721" s="771"/>
    </row>
    <row r="722" spans="1:12" ht="18.75" x14ac:dyDescent="0.3">
      <c r="A722" s="772" t="s">
        <v>946</v>
      </c>
      <c r="B722" s="773"/>
      <c r="C722" s="773"/>
      <c r="D722" s="773"/>
      <c r="E722" s="773"/>
      <c r="F722" s="773"/>
      <c r="G722" s="773"/>
      <c r="H722" s="773"/>
      <c r="I722" s="773"/>
      <c r="J722" s="773"/>
      <c r="K722" s="773"/>
      <c r="L722" s="774"/>
    </row>
    <row r="723" spans="1:12" ht="24" x14ac:dyDescent="0.4">
      <c r="A723" s="775" t="s">
        <v>947</v>
      </c>
      <c r="B723" s="776"/>
      <c r="C723" s="776"/>
      <c r="D723" s="776"/>
      <c r="E723" s="776"/>
      <c r="F723" s="776"/>
      <c r="G723" s="776"/>
      <c r="H723" s="776"/>
      <c r="I723" s="776"/>
      <c r="J723" s="776"/>
      <c r="K723" s="776"/>
      <c r="L723" s="777"/>
    </row>
    <row r="724" spans="1:12" ht="24" x14ac:dyDescent="0.4">
      <c r="A724" s="670" t="s">
        <v>948</v>
      </c>
      <c r="B724" s="671"/>
      <c r="C724" s="671"/>
      <c r="D724" s="672" t="s">
        <v>949</v>
      </c>
      <c r="E724" s="778" t="s">
        <v>950</v>
      </c>
      <c r="F724" s="778"/>
      <c r="G724" s="778"/>
      <c r="H724" s="778"/>
      <c r="I724" s="778"/>
      <c r="J724" s="673" t="s">
        <v>1099</v>
      </c>
      <c r="K724" s="778"/>
      <c r="L724" s="779"/>
    </row>
    <row r="725" spans="1:12" ht="15.75" thickBot="1" x14ac:dyDescent="0.3">
      <c r="A725" s="674"/>
      <c r="B725" s="675"/>
      <c r="C725" s="675"/>
      <c r="D725" s="676"/>
      <c r="E725" s="675"/>
      <c r="F725" s="675"/>
      <c r="G725" s="675"/>
      <c r="H725" s="675"/>
      <c r="I725" s="780"/>
      <c r="J725" s="780"/>
      <c r="K725" s="675"/>
      <c r="L725" s="677"/>
    </row>
    <row r="726" spans="1:12" ht="16.5" thickBot="1" x14ac:dyDescent="0.3">
      <c r="A726" s="631" t="s">
        <v>952</v>
      </c>
      <c r="B726" s="632"/>
      <c r="C726" s="633"/>
      <c r="D726" s="634" t="s">
        <v>953</v>
      </c>
      <c r="E726" s="631" t="s">
        <v>954</v>
      </c>
      <c r="F726" s="635" t="s">
        <v>955</v>
      </c>
      <c r="G726" s="631" t="s">
        <v>952</v>
      </c>
      <c r="H726" s="632"/>
      <c r="I726" s="633"/>
      <c r="J726" s="634" t="s">
        <v>953</v>
      </c>
      <c r="K726" s="631" t="s">
        <v>954</v>
      </c>
      <c r="L726" s="631" t="s">
        <v>955</v>
      </c>
    </row>
    <row r="727" spans="1:12" ht="15.75" x14ac:dyDescent="0.25">
      <c r="A727" s="636"/>
      <c r="B727" s="637"/>
      <c r="C727" s="638"/>
      <c r="D727" s="639"/>
      <c r="E727" s="640"/>
      <c r="F727" s="641"/>
      <c r="G727" s="636"/>
      <c r="H727" s="642"/>
      <c r="I727" s="643"/>
      <c r="J727" s="644"/>
      <c r="K727" s="645"/>
      <c r="L727" s="646"/>
    </row>
    <row r="728" spans="1:12" ht="15.75" x14ac:dyDescent="0.25">
      <c r="A728" s="647"/>
      <c r="B728" s="648" t="s">
        <v>459</v>
      </c>
      <c r="C728" s="649">
        <v>19</v>
      </c>
      <c r="D728" s="650" t="s">
        <v>1100</v>
      </c>
      <c r="E728" s="651"/>
      <c r="F728" s="652"/>
      <c r="G728" s="647"/>
      <c r="H728" s="648"/>
      <c r="I728" s="649"/>
      <c r="J728" s="650"/>
      <c r="K728" s="651"/>
      <c r="L728" s="653"/>
    </row>
    <row r="729" spans="1:12" ht="15.75" x14ac:dyDescent="0.25">
      <c r="A729" s="647" t="s">
        <v>958</v>
      </c>
      <c r="B729" s="654"/>
      <c r="C729" s="649"/>
      <c r="D729" s="655" t="s">
        <v>959</v>
      </c>
      <c r="E729" s="651"/>
      <c r="F729" s="656">
        <v>0.24652777777777779</v>
      </c>
      <c r="G729" s="647"/>
      <c r="H729" s="648"/>
      <c r="I729" s="649"/>
      <c r="J729" s="655"/>
      <c r="K729" s="651"/>
      <c r="L729" s="656"/>
    </row>
    <row r="730" spans="1:12" ht="15.75" x14ac:dyDescent="0.25">
      <c r="A730" s="647" t="s">
        <v>961</v>
      </c>
      <c r="B730" s="654"/>
      <c r="C730" s="649"/>
      <c r="D730" s="650" t="s">
        <v>163</v>
      </c>
      <c r="E730" s="651"/>
      <c r="F730" s="653">
        <v>0.27430555555555552</v>
      </c>
      <c r="G730" s="647"/>
      <c r="H730" s="648"/>
      <c r="I730" s="649"/>
      <c r="J730" s="650"/>
      <c r="K730" s="651"/>
      <c r="L730" s="653"/>
    </row>
    <row r="731" spans="1:12" ht="15.75" x14ac:dyDescent="0.25">
      <c r="A731" s="647"/>
      <c r="B731" s="648"/>
      <c r="C731" s="649"/>
      <c r="D731" s="655" t="s">
        <v>164</v>
      </c>
      <c r="E731" s="651"/>
      <c r="F731" s="656">
        <v>0.30208333333333331</v>
      </c>
      <c r="G731" s="647"/>
      <c r="H731" s="648"/>
      <c r="I731" s="649"/>
      <c r="J731" s="655"/>
      <c r="K731" s="651"/>
      <c r="L731" s="656"/>
    </row>
    <row r="732" spans="1:12" ht="15.75" x14ac:dyDescent="0.25">
      <c r="A732" s="647"/>
      <c r="B732" s="648"/>
      <c r="C732" s="649"/>
      <c r="D732" s="655" t="s">
        <v>166</v>
      </c>
      <c r="E732" s="651"/>
      <c r="F732" s="656">
        <v>0.31944444444444442</v>
      </c>
      <c r="G732" s="647"/>
      <c r="H732" s="648"/>
      <c r="I732" s="649"/>
      <c r="J732" s="655"/>
      <c r="K732" s="651"/>
      <c r="L732" s="656"/>
    </row>
    <row r="733" spans="1:12" ht="15.75" x14ac:dyDescent="0.25">
      <c r="A733" s="647" t="s">
        <v>961</v>
      </c>
      <c r="B733" s="648"/>
      <c r="C733" s="649"/>
      <c r="D733" s="650" t="s">
        <v>160</v>
      </c>
      <c r="E733" s="651"/>
      <c r="F733" s="653">
        <v>0.37847222222222221</v>
      </c>
      <c r="G733" s="647"/>
      <c r="H733" s="654"/>
      <c r="I733" s="649"/>
      <c r="J733" s="650"/>
      <c r="K733" s="657"/>
      <c r="L733" s="653"/>
    </row>
    <row r="734" spans="1:12" ht="15.75" x14ac:dyDescent="0.25">
      <c r="A734" s="647"/>
      <c r="B734" s="648"/>
      <c r="C734" s="649"/>
      <c r="D734" s="655" t="s">
        <v>962</v>
      </c>
      <c r="E734" s="651"/>
      <c r="F734" s="656">
        <v>0.3888888888888889</v>
      </c>
      <c r="G734" s="647"/>
      <c r="H734" s="648"/>
      <c r="I734" s="649"/>
      <c r="J734" s="650"/>
      <c r="K734" s="657"/>
      <c r="L734" s="652"/>
    </row>
    <row r="735" spans="1:12" ht="15.75" x14ac:dyDescent="0.25">
      <c r="A735" s="647"/>
      <c r="B735" s="648"/>
      <c r="C735" s="649"/>
      <c r="D735" s="655" t="s">
        <v>960</v>
      </c>
      <c r="E735" s="657">
        <v>0.4201388888888889</v>
      </c>
      <c r="F735" s="656"/>
      <c r="G735" s="647"/>
      <c r="H735" s="648"/>
      <c r="I735" s="649"/>
      <c r="J735" s="650"/>
      <c r="K735" s="657"/>
      <c r="L735" s="652"/>
    </row>
    <row r="736" spans="1:12" ht="15.75" x14ac:dyDescent="0.25">
      <c r="A736" s="647"/>
      <c r="B736" s="648" t="s">
        <v>459</v>
      </c>
      <c r="C736" s="649">
        <v>19</v>
      </c>
      <c r="D736" s="650" t="s">
        <v>1101</v>
      </c>
      <c r="E736" s="651"/>
      <c r="F736" s="653"/>
      <c r="G736" s="647"/>
      <c r="H736" s="648"/>
      <c r="I736" s="649"/>
      <c r="J736" s="650"/>
      <c r="K736" s="657"/>
      <c r="L736" s="652"/>
    </row>
    <row r="737" spans="1:12" ht="15.75" x14ac:dyDescent="0.25">
      <c r="A737" s="647"/>
      <c r="B737" s="648"/>
      <c r="C737" s="649"/>
      <c r="D737" s="655"/>
      <c r="E737" s="651"/>
      <c r="F737" s="656"/>
      <c r="G737" s="647"/>
      <c r="H737" s="648"/>
      <c r="I737" s="649"/>
      <c r="J737" s="650"/>
      <c r="K737" s="657"/>
      <c r="L737" s="652"/>
    </row>
    <row r="738" spans="1:12" ht="15.75" x14ac:dyDescent="0.25">
      <c r="A738" s="647"/>
      <c r="B738" s="648" t="s">
        <v>459</v>
      </c>
      <c r="C738" s="649">
        <v>25</v>
      </c>
      <c r="D738" s="650" t="s">
        <v>1102</v>
      </c>
      <c r="E738" s="651"/>
      <c r="F738" s="653"/>
      <c r="G738" s="647"/>
      <c r="H738" s="648"/>
      <c r="I738" s="649"/>
      <c r="J738" s="650"/>
      <c r="K738" s="651"/>
      <c r="L738" s="652"/>
    </row>
    <row r="739" spans="1:12" ht="15.75" x14ac:dyDescent="0.25">
      <c r="A739" s="647"/>
      <c r="B739" s="648"/>
      <c r="C739" s="649"/>
      <c r="D739" s="655" t="s">
        <v>960</v>
      </c>
      <c r="E739" s="651"/>
      <c r="F739" s="656">
        <v>0.4201388888888889</v>
      </c>
      <c r="G739" s="647"/>
      <c r="H739" s="648"/>
      <c r="I739" s="649"/>
      <c r="J739" s="650"/>
      <c r="K739" s="651"/>
      <c r="L739" s="652"/>
    </row>
    <row r="740" spans="1:12" ht="15.75" x14ac:dyDescent="0.25">
      <c r="A740" s="647" t="s">
        <v>961</v>
      </c>
      <c r="B740" s="654"/>
      <c r="C740" s="649"/>
      <c r="D740" s="650" t="s">
        <v>163</v>
      </c>
      <c r="E740" s="657"/>
      <c r="F740" s="653">
        <v>0.47222222222222199</v>
      </c>
      <c r="G740" s="647"/>
      <c r="H740" s="648"/>
      <c r="I740" s="649"/>
      <c r="J740" s="650"/>
      <c r="K740" s="651"/>
      <c r="L740" s="658"/>
    </row>
    <row r="741" spans="1:12" ht="15.75" x14ac:dyDescent="0.25">
      <c r="A741" s="647"/>
      <c r="B741" s="648"/>
      <c r="C741" s="649"/>
      <c r="D741" s="655" t="s">
        <v>164</v>
      </c>
      <c r="E741" s="651"/>
      <c r="F741" s="656">
        <v>0.50347222222222199</v>
      </c>
      <c r="G741" s="647"/>
      <c r="H741" s="648"/>
      <c r="I741" s="649"/>
      <c r="J741" s="655"/>
      <c r="K741" s="651"/>
      <c r="L741" s="658"/>
    </row>
    <row r="742" spans="1:12" ht="15.75" x14ac:dyDescent="0.25">
      <c r="A742" s="647"/>
      <c r="B742" s="648"/>
      <c r="C742" s="649"/>
      <c r="D742" s="655" t="s">
        <v>166</v>
      </c>
      <c r="E742" s="651"/>
      <c r="F742" s="656">
        <v>0.51736111111111116</v>
      </c>
      <c r="G742" s="647"/>
      <c r="H742" s="648"/>
      <c r="I742" s="649"/>
      <c r="J742" s="650"/>
      <c r="K742" s="651"/>
      <c r="L742" s="658"/>
    </row>
    <row r="743" spans="1:12" ht="15.75" x14ac:dyDescent="0.25">
      <c r="A743" s="647" t="s">
        <v>961</v>
      </c>
      <c r="B743" s="648"/>
      <c r="C743" s="649"/>
      <c r="D743" s="650" t="s">
        <v>160</v>
      </c>
      <c r="E743" s="651"/>
      <c r="F743" s="653">
        <v>0.57291666666666641</v>
      </c>
      <c r="G743" s="647"/>
      <c r="H743" s="648"/>
      <c r="I743" s="649"/>
      <c r="J743" s="650"/>
      <c r="K743" s="651"/>
      <c r="L743" s="656"/>
    </row>
    <row r="744" spans="1:12" ht="15.75" x14ac:dyDescent="0.25">
      <c r="A744" s="647"/>
      <c r="B744" s="648"/>
      <c r="C744" s="649"/>
      <c r="D744" s="655" t="s">
        <v>962</v>
      </c>
      <c r="E744" s="651"/>
      <c r="F744" s="656">
        <v>0.58333333333333304</v>
      </c>
      <c r="G744" s="647"/>
      <c r="H744" s="648"/>
      <c r="I744" s="649"/>
      <c r="J744" s="655"/>
      <c r="K744" s="657"/>
      <c r="L744" s="656"/>
    </row>
    <row r="745" spans="1:12" ht="15.75" x14ac:dyDescent="0.25">
      <c r="A745" s="647"/>
      <c r="B745" s="648"/>
      <c r="C745" s="649"/>
      <c r="D745" s="655" t="s">
        <v>960</v>
      </c>
      <c r="E745" s="657">
        <v>0.61458333333333337</v>
      </c>
      <c r="F745" s="656"/>
      <c r="G745" s="647"/>
      <c r="H745" s="648"/>
      <c r="I745" s="649"/>
      <c r="J745" s="650"/>
      <c r="K745" s="651"/>
      <c r="L745" s="653"/>
    </row>
    <row r="746" spans="1:12" ht="15.75" x14ac:dyDescent="0.25">
      <c r="A746" s="647"/>
      <c r="B746" s="648" t="s">
        <v>462</v>
      </c>
      <c r="C746" s="649" t="s">
        <v>459</v>
      </c>
      <c r="D746" s="650"/>
      <c r="E746" s="651"/>
      <c r="F746" s="656"/>
      <c r="G746" s="647"/>
      <c r="H746" s="648"/>
      <c r="I746" s="649"/>
      <c r="J746" s="655"/>
      <c r="K746" s="651"/>
      <c r="L746" s="656"/>
    </row>
    <row r="747" spans="1:12" ht="15.75" x14ac:dyDescent="0.25">
      <c r="A747" s="647"/>
      <c r="B747" s="648"/>
      <c r="C747" s="649"/>
      <c r="D747" s="655"/>
      <c r="E747" s="657"/>
      <c r="F747" s="656"/>
      <c r="G747" s="647"/>
      <c r="H747" s="654"/>
      <c r="I747" s="649"/>
      <c r="J747" s="650"/>
      <c r="K747" s="657"/>
      <c r="L747" s="653"/>
    </row>
    <row r="748" spans="1:12" ht="15.75" x14ac:dyDescent="0.25">
      <c r="A748" s="647"/>
      <c r="B748" s="648" t="s">
        <v>459</v>
      </c>
      <c r="C748" s="649">
        <v>213</v>
      </c>
      <c r="D748" s="650" t="s">
        <v>1103</v>
      </c>
      <c r="E748" s="651"/>
      <c r="F748" s="653"/>
      <c r="G748" s="647"/>
      <c r="H748" s="648"/>
      <c r="I748" s="649"/>
      <c r="J748" s="655"/>
      <c r="K748" s="651"/>
      <c r="L748" s="656"/>
    </row>
    <row r="749" spans="1:12" ht="15.75" x14ac:dyDescent="0.25">
      <c r="A749" s="647"/>
      <c r="B749" s="648"/>
      <c r="C749" s="649"/>
      <c r="D749" s="655" t="s">
        <v>960</v>
      </c>
      <c r="E749" s="651"/>
      <c r="F749" s="656">
        <v>0.61458333333333337</v>
      </c>
      <c r="G749" s="647"/>
      <c r="H749" s="648"/>
      <c r="I749" s="649"/>
      <c r="J749" s="655"/>
      <c r="K749" s="651"/>
      <c r="L749" s="656"/>
    </row>
    <row r="750" spans="1:12" ht="15.75" x14ac:dyDescent="0.25">
      <c r="A750" s="647" t="s">
        <v>961</v>
      </c>
      <c r="B750" s="654"/>
      <c r="C750" s="649"/>
      <c r="D750" s="650" t="s">
        <v>163</v>
      </c>
      <c r="E750" s="657"/>
      <c r="F750" s="653">
        <v>0.67013888888888884</v>
      </c>
      <c r="G750" s="647"/>
      <c r="H750" s="648"/>
      <c r="I750" s="649"/>
      <c r="J750" s="650"/>
      <c r="K750" s="657"/>
      <c r="L750" s="653"/>
    </row>
    <row r="751" spans="1:12" ht="15.75" x14ac:dyDescent="0.25">
      <c r="A751" s="647"/>
      <c r="B751" s="648"/>
      <c r="C751" s="649"/>
      <c r="D751" s="655" t="s">
        <v>164</v>
      </c>
      <c r="E751" s="651"/>
      <c r="F751" s="656">
        <v>0.70138888888888884</v>
      </c>
      <c r="G751" s="647"/>
      <c r="H751" s="648"/>
      <c r="I751" s="649"/>
      <c r="J751" s="650"/>
      <c r="K751" s="657"/>
      <c r="L751" s="652"/>
    </row>
    <row r="752" spans="1:12" ht="15.75" x14ac:dyDescent="0.25">
      <c r="A752" s="647"/>
      <c r="B752" s="648"/>
      <c r="C752" s="649"/>
      <c r="D752" s="655" t="s">
        <v>166</v>
      </c>
      <c r="E752" s="651"/>
      <c r="F752" s="656">
        <v>0.71527777777777768</v>
      </c>
      <c r="G752" s="647"/>
      <c r="H752" s="648"/>
      <c r="I752" s="649"/>
      <c r="J752" s="650"/>
      <c r="K752" s="657"/>
      <c r="L752" s="652"/>
    </row>
    <row r="753" spans="1:12" ht="15.75" x14ac:dyDescent="0.25">
      <c r="A753" s="647" t="s">
        <v>958</v>
      </c>
      <c r="B753" s="648"/>
      <c r="C753" s="649"/>
      <c r="D753" s="650" t="s">
        <v>160</v>
      </c>
      <c r="E753" s="657">
        <v>0.76666666666666672</v>
      </c>
      <c r="F753" s="653"/>
      <c r="G753" s="647"/>
      <c r="H753" s="648"/>
      <c r="I753" s="649"/>
      <c r="J753" s="650"/>
      <c r="K753" s="657"/>
      <c r="L753" s="652"/>
    </row>
    <row r="754" spans="1:12" ht="15.75" x14ac:dyDescent="0.25">
      <c r="A754" s="647"/>
      <c r="B754" s="648"/>
      <c r="C754" s="649"/>
      <c r="D754" s="650" t="s">
        <v>963</v>
      </c>
      <c r="E754" s="657">
        <v>0.79861111111111116</v>
      </c>
      <c r="F754" s="653"/>
      <c r="G754" s="647"/>
      <c r="H754" s="648"/>
      <c r="I754" s="649"/>
      <c r="J754" s="650"/>
      <c r="K754" s="657"/>
      <c r="L754" s="652"/>
    </row>
    <row r="755" spans="1:12" ht="15.75" x14ac:dyDescent="0.25">
      <c r="A755" s="647"/>
      <c r="B755" s="648" t="s">
        <v>462</v>
      </c>
      <c r="C755" s="649" t="s">
        <v>459</v>
      </c>
      <c r="D755" s="650"/>
      <c r="E755" s="657"/>
      <c r="F755" s="652"/>
      <c r="G755" s="647"/>
      <c r="H755" s="648"/>
      <c r="I755" s="649"/>
      <c r="J755" s="650"/>
      <c r="K755" s="651"/>
      <c r="L755" s="652"/>
    </row>
    <row r="756" spans="1:12" ht="15.75" x14ac:dyDescent="0.25">
      <c r="A756" s="647"/>
      <c r="B756" s="648"/>
      <c r="C756" s="649"/>
      <c r="D756" s="650"/>
      <c r="E756" s="657"/>
      <c r="F756" s="656"/>
      <c r="G756" s="647"/>
      <c r="H756" s="648"/>
      <c r="I756" s="649"/>
      <c r="J756" s="650"/>
      <c r="K756" s="651"/>
      <c r="L756" s="652"/>
    </row>
    <row r="757" spans="1:12" ht="15.75" x14ac:dyDescent="0.25">
      <c r="A757" s="647"/>
      <c r="B757" s="648"/>
      <c r="C757" s="649"/>
      <c r="D757" s="650"/>
      <c r="E757" s="657"/>
      <c r="F757" s="656"/>
      <c r="G757" s="647"/>
      <c r="H757" s="648"/>
      <c r="I757" s="649"/>
      <c r="J757" s="650"/>
      <c r="K757" s="651"/>
      <c r="L757" s="658"/>
    </row>
    <row r="758" spans="1:12" ht="15.75" x14ac:dyDescent="0.25">
      <c r="A758" s="647"/>
      <c r="B758" s="648"/>
      <c r="C758" s="649"/>
      <c r="D758" s="650"/>
      <c r="E758" s="657"/>
      <c r="F758" s="653"/>
      <c r="G758" s="647"/>
      <c r="H758" s="648"/>
      <c r="I758" s="649"/>
      <c r="J758" s="655"/>
      <c r="K758" s="651"/>
      <c r="L758" s="658"/>
    </row>
    <row r="759" spans="1:12" ht="15.75" x14ac:dyDescent="0.25">
      <c r="A759" s="647"/>
      <c r="B759" s="648"/>
      <c r="C759" s="649"/>
      <c r="D759" s="650"/>
      <c r="E759" s="651"/>
      <c r="F759" s="652"/>
      <c r="G759" s="647"/>
      <c r="H759" s="648"/>
      <c r="I759" s="649"/>
      <c r="J759" s="650"/>
      <c r="K759" s="651"/>
      <c r="L759" s="658"/>
    </row>
    <row r="760" spans="1:12" ht="16.5" thickBot="1" x14ac:dyDescent="0.3">
      <c r="A760" s="659"/>
      <c r="B760" s="660"/>
      <c r="C760" s="661"/>
      <c r="D760" s="662"/>
      <c r="E760" s="663"/>
      <c r="F760" s="664"/>
      <c r="G760" s="665"/>
      <c r="H760" s="666"/>
      <c r="I760" s="667"/>
      <c r="J760" s="668"/>
      <c r="K760" s="663"/>
      <c r="L760" s="669"/>
    </row>
    <row r="761" spans="1:12" ht="21" x14ac:dyDescent="0.35">
      <c r="A761" s="769" t="s">
        <v>945</v>
      </c>
      <c r="B761" s="770"/>
      <c r="C761" s="770"/>
      <c r="D761" s="770"/>
      <c r="E761" s="770"/>
      <c r="F761" s="770"/>
      <c r="G761" s="770"/>
      <c r="H761" s="770"/>
      <c r="I761" s="770"/>
      <c r="J761" s="770"/>
      <c r="K761" s="770"/>
      <c r="L761" s="771"/>
    </row>
    <row r="762" spans="1:12" ht="18.75" x14ac:dyDescent="0.3">
      <c r="A762" s="772" t="s">
        <v>946</v>
      </c>
      <c r="B762" s="773"/>
      <c r="C762" s="773"/>
      <c r="D762" s="773"/>
      <c r="E762" s="773"/>
      <c r="F762" s="773"/>
      <c r="G762" s="773"/>
      <c r="H762" s="773"/>
      <c r="I762" s="773"/>
      <c r="J762" s="773"/>
      <c r="K762" s="773"/>
      <c r="L762" s="774"/>
    </row>
    <row r="763" spans="1:12" ht="24" x14ac:dyDescent="0.4">
      <c r="A763" s="775" t="s">
        <v>947</v>
      </c>
      <c r="B763" s="776"/>
      <c r="C763" s="776"/>
      <c r="D763" s="776"/>
      <c r="E763" s="776"/>
      <c r="F763" s="776"/>
      <c r="G763" s="776"/>
      <c r="H763" s="776"/>
      <c r="I763" s="776"/>
      <c r="J763" s="776"/>
      <c r="K763" s="776"/>
      <c r="L763" s="777"/>
    </row>
    <row r="764" spans="1:12" ht="24" x14ac:dyDescent="0.4">
      <c r="A764" s="670" t="s">
        <v>948</v>
      </c>
      <c r="B764" s="671"/>
      <c r="C764" s="671"/>
      <c r="D764" s="672" t="s">
        <v>949</v>
      </c>
      <c r="E764" s="778" t="s">
        <v>950</v>
      </c>
      <c r="F764" s="778"/>
      <c r="G764" s="778"/>
      <c r="H764" s="778"/>
      <c r="I764" s="778"/>
      <c r="J764" s="673" t="s">
        <v>1104</v>
      </c>
      <c r="K764" s="778"/>
      <c r="L764" s="779"/>
    </row>
    <row r="765" spans="1:12" ht="15.75" thickBot="1" x14ac:dyDescent="0.3">
      <c r="A765" s="674"/>
      <c r="B765" s="675"/>
      <c r="C765" s="675"/>
      <c r="D765" s="676"/>
      <c r="E765" s="675"/>
      <c r="F765" s="675"/>
      <c r="G765" s="675"/>
      <c r="H765" s="675"/>
      <c r="I765" s="780"/>
      <c r="J765" s="780"/>
      <c r="K765" s="675"/>
      <c r="L765" s="677"/>
    </row>
    <row r="766" spans="1:12" ht="16.5" thickBot="1" x14ac:dyDescent="0.3">
      <c r="A766" s="631" t="s">
        <v>952</v>
      </c>
      <c r="B766" s="632"/>
      <c r="C766" s="633"/>
      <c r="D766" s="634" t="s">
        <v>953</v>
      </c>
      <c r="E766" s="631" t="s">
        <v>954</v>
      </c>
      <c r="F766" s="635" t="s">
        <v>955</v>
      </c>
      <c r="G766" s="631" t="s">
        <v>952</v>
      </c>
      <c r="H766" s="632"/>
      <c r="I766" s="633"/>
      <c r="J766" s="634" t="s">
        <v>953</v>
      </c>
      <c r="K766" s="631" t="s">
        <v>954</v>
      </c>
      <c r="L766" s="631" t="s">
        <v>955</v>
      </c>
    </row>
    <row r="767" spans="1:12" ht="15.75" x14ac:dyDescent="0.25">
      <c r="A767" s="636"/>
      <c r="B767" s="637"/>
      <c r="C767" s="638"/>
      <c r="D767" s="639"/>
      <c r="E767" s="640"/>
      <c r="F767" s="641"/>
      <c r="G767" s="636"/>
      <c r="H767" s="642"/>
      <c r="I767" s="643"/>
      <c r="J767" s="644"/>
      <c r="K767" s="645"/>
      <c r="L767" s="646"/>
    </row>
    <row r="768" spans="1:12" ht="15.75" x14ac:dyDescent="0.25">
      <c r="A768" s="647"/>
      <c r="B768" s="648" t="s">
        <v>459</v>
      </c>
      <c r="C768" s="649">
        <v>20</v>
      </c>
      <c r="D768" s="650" t="s">
        <v>1105</v>
      </c>
      <c r="E768" s="651"/>
      <c r="F768" s="652"/>
      <c r="G768" s="647"/>
      <c r="H768" s="648"/>
      <c r="I768" s="649"/>
      <c r="J768" s="650"/>
      <c r="K768" s="651"/>
      <c r="L768" s="653"/>
    </row>
    <row r="769" spans="1:12" ht="15.75" x14ac:dyDescent="0.25">
      <c r="A769" s="647" t="s">
        <v>958</v>
      </c>
      <c r="B769" s="654"/>
      <c r="C769" s="649"/>
      <c r="D769" s="655" t="s">
        <v>959</v>
      </c>
      <c r="E769" s="651"/>
      <c r="F769" s="656">
        <v>0.25</v>
      </c>
      <c r="G769" s="647"/>
      <c r="H769" s="648"/>
      <c r="I769" s="649"/>
      <c r="J769" s="655"/>
      <c r="K769" s="651"/>
      <c r="L769" s="656"/>
    </row>
    <row r="770" spans="1:12" ht="15.75" x14ac:dyDescent="0.25">
      <c r="A770" s="647" t="s">
        <v>961</v>
      </c>
      <c r="B770" s="648"/>
      <c r="C770" s="649"/>
      <c r="D770" s="650" t="s">
        <v>160</v>
      </c>
      <c r="E770" s="651"/>
      <c r="F770" s="653">
        <v>0.2847222222222226</v>
      </c>
      <c r="G770" s="647"/>
      <c r="H770" s="648"/>
      <c r="I770" s="649"/>
      <c r="J770" s="650"/>
      <c r="K770" s="651"/>
      <c r="L770" s="653"/>
    </row>
    <row r="771" spans="1:12" ht="15.75" x14ac:dyDescent="0.25">
      <c r="A771" s="647"/>
      <c r="B771" s="648"/>
      <c r="C771" s="649"/>
      <c r="D771" s="655" t="s">
        <v>962</v>
      </c>
      <c r="E771" s="651"/>
      <c r="F771" s="656">
        <v>0.29166666666666702</v>
      </c>
      <c r="G771" s="647"/>
      <c r="H771" s="648"/>
      <c r="I771" s="649"/>
      <c r="J771" s="655"/>
      <c r="K771" s="651"/>
      <c r="L771" s="656"/>
    </row>
    <row r="772" spans="1:12" ht="15.75" x14ac:dyDescent="0.25">
      <c r="A772" s="647"/>
      <c r="B772" s="648"/>
      <c r="C772" s="649"/>
      <c r="D772" s="655" t="s">
        <v>960</v>
      </c>
      <c r="E772" s="651"/>
      <c r="F772" s="656">
        <v>0.3298611111111111</v>
      </c>
      <c r="G772" s="647"/>
      <c r="H772" s="648"/>
      <c r="I772" s="649"/>
      <c r="J772" s="655"/>
      <c r="K772" s="657"/>
      <c r="L772" s="656"/>
    </row>
    <row r="773" spans="1:12" ht="15.75" x14ac:dyDescent="0.25">
      <c r="A773" s="647" t="s">
        <v>961</v>
      </c>
      <c r="B773" s="654"/>
      <c r="C773" s="649"/>
      <c r="D773" s="650" t="s">
        <v>163</v>
      </c>
      <c r="E773" s="657"/>
      <c r="F773" s="653">
        <v>0.38541666666666663</v>
      </c>
      <c r="G773" s="647"/>
      <c r="H773" s="654"/>
      <c r="I773" s="649"/>
      <c r="J773" s="650"/>
      <c r="K773" s="657"/>
      <c r="L773" s="653"/>
    </row>
    <row r="774" spans="1:12" ht="15.75" x14ac:dyDescent="0.25">
      <c r="A774" s="647"/>
      <c r="B774" s="648"/>
      <c r="C774" s="649"/>
      <c r="D774" s="655" t="s">
        <v>164</v>
      </c>
      <c r="E774" s="651"/>
      <c r="F774" s="656">
        <v>0.41319444444444442</v>
      </c>
      <c r="G774" s="647"/>
      <c r="H774" s="648"/>
      <c r="I774" s="649"/>
      <c r="J774" s="650"/>
      <c r="K774" s="657"/>
      <c r="L774" s="652"/>
    </row>
    <row r="775" spans="1:12" ht="15.75" x14ac:dyDescent="0.25">
      <c r="A775" s="647"/>
      <c r="B775" s="648"/>
      <c r="C775" s="649"/>
      <c r="D775" s="655" t="s">
        <v>166</v>
      </c>
      <c r="E775" s="657">
        <v>0.42708333333333331</v>
      </c>
      <c r="F775" s="656"/>
      <c r="G775" s="647"/>
      <c r="H775" s="648"/>
      <c r="I775" s="649"/>
      <c r="J775" s="650"/>
      <c r="K775" s="657"/>
      <c r="L775" s="652"/>
    </row>
    <row r="776" spans="1:12" ht="15.75" x14ac:dyDescent="0.25">
      <c r="A776" s="647"/>
      <c r="B776" s="648" t="s">
        <v>459</v>
      </c>
      <c r="C776" s="649">
        <v>20</v>
      </c>
      <c r="D776" s="650" t="s">
        <v>1106</v>
      </c>
      <c r="E776" s="651"/>
      <c r="F776" s="653"/>
      <c r="G776" s="647"/>
      <c r="H776" s="648"/>
      <c r="I776" s="649"/>
      <c r="J776" s="650"/>
      <c r="K776" s="651"/>
      <c r="L776" s="652"/>
    </row>
    <row r="777" spans="1:12" ht="15.75" x14ac:dyDescent="0.25">
      <c r="A777" s="647"/>
      <c r="B777" s="648"/>
      <c r="C777" s="649"/>
      <c r="D777" s="655"/>
      <c r="E777" s="651"/>
      <c r="F777" s="656"/>
      <c r="G777" s="647"/>
      <c r="H777" s="648"/>
      <c r="I777" s="649"/>
      <c r="J777" s="655"/>
      <c r="K777" s="651"/>
      <c r="L777" s="656"/>
    </row>
    <row r="778" spans="1:12" ht="15.75" x14ac:dyDescent="0.25">
      <c r="A778" s="647"/>
      <c r="B778" s="648" t="s">
        <v>459</v>
      </c>
      <c r="C778" s="649">
        <v>5</v>
      </c>
      <c r="D778" s="650" t="s">
        <v>1107</v>
      </c>
      <c r="E778" s="651"/>
      <c r="F778" s="653"/>
      <c r="G778" s="647"/>
      <c r="H778" s="648"/>
      <c r="I778" s="649"/>
      <c r="J778" s="655"/>
      <c r="K778" s="651"/>
      <c r="L778" s="656"/>
    </row>
    <row r="779" spans="1:12" ht="15.75" x14ac:dyDescent="0.25">
      <c r="A779" s="647"/>
      <c r="B779" s="648"/>
      <c r="C779" s="649"/>
      <c r="D779" s="655" t="s">
        <v>166</v>
      </c>
      <c r="E779" s="651"/>
      <c r="F779" s="656">
        <v>0.42708333333333331</v>
      </c>
      <c r="G779" s="647"/>
      <c r="H779" s="654"/>
      <c r="I779" s="649"/>
      <c r="J779" s="650"/>
      <c r="K779" s="657"/>
      <c r="L779" s="653"/>
    </row>
    <row r="780" spans="1:12" ht="15.75" x14ac:dyDescent="0.25">
      <c r="A780" s="647" t="s">
        <v>961</v>
      </c>
      <c r="B780" s="648"/>
      <c r="C780" s="649"/>
      <c r="D780" s="650" t="s">
        <v>160</v>
      </c>
      <c r="E780" s="651"/>
      <c r="F780" s="653">
        <v>0.47569444444444442</v>
      </c>
      <c r="G780" s="647"/>
      <c r="H780" s="648"/>
      <c r="I780" s="649"/>
      <c r="J780" s="650"/>
      <c r="K780" s="657"/>
      <c r="L780" s="652"/>
    </row>
    <row r="781" spans="1:12" ht="15.75" x14ac:dyDescent="0.25">
      <c r="A781" s="647"/>
      <c r="B781" s="648"/>
      <c r="C781" s="649"/>
      <c r="D781" s="655" t="s">
        <v>962</v>
      </c>
      <c r="E781" s="651"/>
      <c r="F781" s="656">
        <v>0.4861111111111111</v>
      </c>
      <c r="G781" s="647"/>
      <c r="H781" s="648"/>
      <c r="I781" s="649"/>
      <c r="J781" s="650"/>
      <c r="K781" s="657"/>
      <c r="L781" s="652"/>
    </row>
    <row r="782" spans="1:12" ht="15.75" x14ac:dyDescent="0.25">
      <c r="A782" s="647"/>
      <c r="B782" s="648"/>
      <c r="C782" s="649"/>
      <c r="D782" s="655" t="s">
        <v>960</v>
      </c>
      <c r="E782" s="657">
        <v>0.51388888888888884</v>
      </c>
      <c r="F782" s="656"/>
      <c r="G782" s="647"/>
      <c r="H782" s="648"/>
      <c r="I782" s="649"/>
      <c r="J782" s="650"/>
      <c r="K782" s="651"/>
      <c r="L782" s="652"/>
    </row>
    <row r="783" spans="1:12" ht="15.75" x14ac:dyDescent="0.25">
      <c r="A783" s="647"/>
      <c r="B783" s="648" t="s">
        <v>462</v>
      </c>
      <c r="C783" s="649" t="s">
        <v>459</v>
      </c>
      <c r="D783" s="650"/>
      <c r="E783" s="657"/>
      <c r="F783" s="653"/>
      <c r="G783" s="647"/>
      <c r="H783" s="648"/>
      <c r="I783" s="649"/>
      <c r="J783" s="650"/>
      <c r="K783" s="651"/>
      <c r="L783" s="658"/>
    </row>
    <row r="784" spans="1:12" ht="15.75" x14ac:dyDescent="0.25">
      <c r="A784" s="647"/>
      <c r="B784" s="648"/>
      <c r="C784" s="649"/>
      <c r="D784" s="650"/>
      <c r="E784" s="657"/>
      <c r="F784" s="652"/>
      <c r="G784" s="647"/>
      <c r="H784" s="648"/>
      <c r="I784" s="649"/>
      <c r="J784" s="655"/>
      <c r="K784" s="651"/>
      <c r="L784" s="658"/>
    </row>
    <row r="785" spans="1:12" ht="15.75" x14ac:dyDescent="0.25">
      <c r="A785" s="647"/>
      <c r="B785" s="648" t="s">
        <v>459</v>
      </c>
      <c r="C785" s="649">
        <v>30</v>
      </c>
      <c r="D785" s="650" t="s">
        <v>1108</v>
      </c>
      <c r="E785" s="651"/>
      <c r="F785" s="653"/>
      <c r="G785" s="647"/>
      <c r="H785" s="648"/>
      <c r="I785" s="649"/>
      <c r="J785" s="650"/>
      <c r="K785" s="651"/>
      <c r="L785" s="658"/>
    </row>
    <row r="786" spans="1:12" ht="15.75" x14ac:dyDescent="0.25">
      <c r="A786" s="647"/>
      <c r="B786" s="648"/>
      <c r="C786" s="649"/>
      <c r="D786" s="655" t="s">
        <v>960</v>
      </c>
      <c r="E786" s="651"/>
      <c r="F786" s="656">
        <v>0.51388888888888884</v>
      </c>
      <c r="G786" s="647"/>
      <c r="H786" s="648"/>
      <c r="I786" s="649"/>
      <c r="J786" s="650"/>
      <c r="K786" s="651"/>
      <c r="L786" s="652"/>
    </row>
    <row r="787" spans="1:12" ht="15.75" x14ac:dyDescent="0.25">
      <c r="A787" s="647" t="s">
        <v>961</v>
      </c>
      <c r="B787" s="654"/>
      <c r="C787" s="649"/>
      <c r="D787" s="650" t="s">
        <v>163</v>
      </c>
      <c r="E787" s="657"/>
      <c r="F787" s="653">
        <v>0.57291666666666663</v>
      </c>
      <c r="G787" s="647"/>
      <c r="H787" s="648"/>
      <c r="I787" s="649"/>
      <c r="J787" s="650"/>
      <c r="K787" s="651"/>
      <c r="L787" s="658"/>
    </row>
    <row r="788" spans="1:12" ht="15.75" x14ac:dyDescent="0.25">
      <c r="A788" s="647"/>
      <c r="B788" s="648"/>
      <c r="C788" s="649"/>
      <c r="D788" s="655" t="s">
        <v>164</v>
      </c>
      <c r="E788" s="651"/>
      <c r="F788" s="656">
        <v>0.60763888888888884</v>
      </c>
      <c r="G788" s="647"/>
      <c r="H788" s="648"/>
      <c r="I788" s="649"/>
      <c r="J788" s="655"/>
      <c r="K788" s="651"/>
      <c r="L788" s="656"/>
    </row>
    <row r="789" spans="1:12" ht="15.75" x14ac:dyDescent="0.25">
      <c r="A789" s="647"/>
      <c r="B789" s="648"/>
      <c r="C789" s="649"/>
      <c r="D789" s="655" t="s">
        <v>166</v>
      </c>
      <c r="E789" s="657">
        <v>0.62152777777777779</v>
      </c>
      <c r="F789" s="656"/>
      <c r="G789" s="647"/>
      <c r="H789" s="654"/>
      <c r="I789" s="649"/>
      <c r="J789" s="650"/>
      <c r="K789" s="657"/>
      <c r="L789" s="653"/>
    </row>
    <row r="790" spans="1:12" ht="15.75" x14ac:dyDescent="0.25">
      <c r="A790" s="647"/>
      <c r="B790" s="648" t="s">
        <v>462</v>
      </c>
      <c r="C790" s="649" t="s">
        <v>459</v>
      </c>
      <c r="D790" s="650"/>
      <c r="E790" s="651"/>
      <c r="F790" s="653"/>
      <c r="G790" s="647"/>
      <c r="H790" s="648"/>
      <c r="I790" s="649"/>
      <c r="J790" s="650"/>
      <c r="K790" s="657"/>
      <c r="L790" s="652"/>
    </row>
    <row r="791" spans="1:12" ht="15.75" x14ac:dyDescent="0.25">
      <c r="A791" s="647"/>
      <c r="B791" s="648"/>
      <c r="C791" s="649"/>
      <c r="D791" s="655"/>
      <c r="E791" s="651"/>
      <c r="F791" s="656"/>
      <c r="G791" s="647"/>
      <c r="H791" s="648"/>
      <c r="I791" s="649"/>
      <c r="J791" s="650"/>
      <c r="K791" s="657"/>
      <c r="L791" s="652"/>
    </row>
    <row r="792" spans="1:12" ht="15.75" x14ac:dyDescent="0.25">
      <c r="A792" s="647"/>
      <c r="B792" s="648" t="s">
        <v>459</v>
      </c>
      <c r="C792" s="649">
        <v>50</v>
      </c>
      <c r="D792" s="650" t="s">
        <v>1109</v>
      </c>
      <c r="E792" s="651"/>
      <c r="F792" s="653"/>
      <c r="G792" s="647"/>
      <c r="H792" s="648"/>
      <c r="I792" s="649"/>
      <c r="J792" s="650"/>
      <c r="K792" s="651"/>
      <c r="L792" s="652"/>
    </row>
    <row r="793" spans="1:12" ht="15.75" x14ac:dyDescent="0.25">
      <c r="A793" s="647"/>
      <c r="B793" s="648"/>
      <c r="C793" s="649"/>
      <c r="D793" s="655" t="s">
        <v>166</v>
      </c>
      <c r="E793" s="651"/>
      <c r="F793" s="656">
        <v>0.62152777777777779</v>
      </c>
      <c r="G793" s="647"/>
      <c r="H793" s="648"/>
      <c r="I793" s="649"/>
      <c r="J793" s="650"/>
      <c r="K793" s="651"/>
      <c r="L793" s="658"/>
    </row>
    <row r="794" spans="1:12" ht="15.75" x14ac:dyDescent="0.25">
      <c r="A794" s="647" t="s">
        <v>961</v>
      </c>
      <c r="B794" s="648"/>
      <c r="C794" s="649"/>
      <c r="D794" s="650" t="s">
        <v>160</v>
      </c>
      <c r="E794" s="651"/>
      <c r="F794" s="653">
        <v>0.67708333333333337</v>
      </c>
      <c r="G794" s="647"/>
      <c r="H794" s="648"/>
      <c r="I794" s="649"/>
      <c r="J794" s="655"/>
      <c r="K794" s="651"/>
      <c r="L794" s="658"/>
    </row>
    <row r="795" spans="1:12" ht="15.75" x14ac:dyDescent="0.25">
      <c r="A795" s="647"/>
      <c r="B795" s="648"/>
      <c r="C795" s="649"/>
      <c r="D795" s="655" t="s">
        <v>962</v>
      </c>
      <c r="E795" s="651"/>
      <c r="F795" s="656">
        <v>0.6875</v>
      </c>
      <c r="G795" s="647"/>
      <c r="H795" s="648"/>
      <c r="I795" s="649"/>
      <c r="J795" s="650"/>
      <c r="K795" s="651"/>
      <c r="L795" s="658"/>
    </row>
    <row r="796" spans="1:12" ht="15.75" x14ac:dyDescent="0.25">
      <c r="A796" s="647"/>
      <c r="B796" s="648"/>
      <c r="C796" s="649"/>
      <c r="D796" s="655" t="s">
        <v>960</v>
      </c>
      <c r="E796" s="657"/>
      <c r="F796" s="656">
        <v>0.71875</v>
      </c>
      <c r="G796" s="647"/>
      <c r="H796" s="648"/>
      <c r="I796" s="649"/>
      <c r="J796" s="650"/>
      <c r="K796" s="651"/>
      <c r="L796" s="652"/>
    </row>
    <row r="797" spans="1:12" ht="15.75" x14ac:dyDescent="0.25">
      <c r="A797" s="647" t="s">
        <v>958</v>
      </c>
      <c r="B797" s="654"/>
      <c r="C797" s="649"/>
      <c r="D797" s="650" t="s">
        <v>163</v>
      </c>
      <c r="E797" s="657">
        <v>0.77777777777777779</v>
      </c>
      <c r="F797" s="653"/>
      <c r="G797" s="647"/>
      <c r="H797" s="648"/>
      <c r="I797" s="649"/>
      <c r="J797" s="650"/>
      <c r="K797" s="651"/>
      <c r="L797" s="658"/>
    </row>
    <row r="798" spans="1:12" ht="15.75" x14ac:dyDescent="0.25">
      <c r="A798" s="647"/>
      <c r="B798" s="648"/>
      <c r="C798" s="649"/>
      <c r="D798" s="650" t="s">
        <v>963</v>
      </c>
      <c r="E798" s="657">
        <v>0.80208333333333337</v>
      </c>
      <c r="F798" s="652"/>
      <c r="G798" s="647"/>
      <c r="H798" s="648"/>
      <c r="I798" s="649"/>
      <c r="J798" s="655"/>
      <c r="K798" s="651"/>
      <c r="L798" s="658"/>
    </row>
    <row r="799" spans="1:12" ht="15.75" x14ac:dyDescent="0.25">
      <c r="A799" s="647"/>
      <c r="B799" s="648" t="s">
        <v>459</v>
      </c>
      <c r="C799" s="649">
        <v>50</v>
      </c>
      <c r="D799" s="650" t="s">
        <v>1110</v>
      </c>
      <c r="E799" s="657"/>
      <c r="F799" s="652"/>
      <c r="G799" s="647"/>
      <c r="H799" s="648"/>
      <c r="I799" s="649"/>
      <c r="J799" s="650"/>
      <c r="K799" s="651"/>
      <c r="L799" s="658"/>
    </row>
    <row r="800" spans="1:12" ht="16.5" thickBot="1" x14ac:dyDescent="0.3">
      <c r="A800" s="659"/>
      <c r="B800" s="660"/>
      <c r="C800" s="661"/>
      <c r="D800" s="662"/>
      <c r="E800" s="663"/>
      <c r="F800" s="664"/>
      <c r="G800" s="665"/>
      <c r="H800" s="666"/>
      <c r="I800" s="667"/>
      <c r="J800" s="668"/>
      <c r="K800" s="663"/>
      <c r="L800" s="669"/>
    </row>
    <row r="801" spans="1:12" ht="21" x14ac:dyDescent="0.35">
      <c r="A801" s="769" t="s">
        <v>945</v>
      </c>
      <c r="B801" s="770"/>
      <c r="C801" s="770"/>
      <c r="D801" s="770"/>
      <c r="E801" s="770"/>
      <c r="F801" s="770"/>
      <c r="G801" s="770"/>
      <c r="H801" s="770"/>
      <c r="I801" s="770"/>
      <c r="J801" s="770"/>
      <c r="K801" s="770"/>
      <c r="L801" s="771"/>
    </row>
    <row r="802" spans="1:12" ht="18.75" x14ac:dyDescent="0.3">
      <c r="A802" s="772" t="s">
        <v>946</v>
      </c>
      <c r="B802" s="773"/>
      <c r="C802" s="773"/>
      <c r="D802" s="773"/>
      <c r="E802" s="773"/>
      <c r="F802" s="773"/>
      <c r="G802" s="773"/>
      <c r="H802" s="773"/>
      <c r="I802" s="773"/>
      <c r="J802" s="773"/>
      <c r="K802" s="773"/>
      <c r="L802" s="774"/>
    </row>
    <row r="803" spans="1:12" ht="24" x14ac:dyDescent="0.4">
      <c r="A803" s="775" t="s">
        <v>947</v>
      </c>
      <c r="B803" s="776"/>
      <c r="C803" s="776"/>
      <c r="D803" s="776"/>
      <c r="E803" s="776"/>
      <c r="F803" s="776"/>
      <c r="G803" s="776"/>
      <c r="H803" s="776"/>
      <c r="I803" s="776"/>
      <c r="J803" s="776"/>
      <c r="K803" s="776"/>
      <c r="L803" s="777"/>
    </row>
    <row r="804" spans="1:12" ht="24" x14ac:dyDescent="0.4">
      <c r="A804" s="670" t="s">
        <v>948</v>
      </c>
      <c r="B804" s="671"/>
      <c r="C804" s="671"/>
      <c r="D804" s="672" t="s">
        <v>949</v>
      </c>
      <c r="E804" s="778" t="s">
        <v>950</v>
      </c>
      <c r="F804" s="778"/>
      <c r="G804" s="778"/>
      <c r="H804" s="778"/>
      <c r="I804" s="778"/>
      <c r="J804" s="673" t="s">
        <v>1111</v>
      </c>
      <c r="K804" s="778"/>
      <c r="L804" s="779"/>
    </row>
    <row r="805" spans="1:12" ht="15.75" thickBot="1" x14ac:dyDescent="0.3">
      <c r="A805" s="674"/>
      <c r="B805" s="675"/>
      <c r="C805" s="675"/>
      <c r="D805" s="676"/>
      <c r="E805" s="675"/>
      <c r="F805" s="675"/>
      <c r="G805" s="675"/>
      <c r="H805" s="675"/>
      <c r="I805" s="780"/>
      <c r="J805" s="780"/>
      <c r="K805" s="675"/>
      <c r="L805" s="677"/>
    </row>
    <row r="806" spans="1:12" ht="16.5" thickBot="1" x14ac:dyDescent="0.3">
      <c r="A806" s="631" t="s">
        <v>952</v>
      </c>
      <c r="B806" s="632"/>
      <c r="C806" s="633"/>
      <c r="D806" s="634" t="s">
        <v>953</v>
      </c>
      <c r="E806" s="631" t="s">
        <v>954</v>
      </c>
      <c r="F806" s="635" t="s">
        <v>955</v>
      </c>
      <c r="G806" s="631" t="s">
        <v>952</v>
      </c>
      <c r="H806" s="632"/>
      <c r="I806" s="633"/>
      <c r="J806" s="634" t="s">
        <v>953</v>
      </c>
      <c r="K806" s="631" t="s">
        <v>954</v>
      </c>
      <c r="L806" s="631" t="s">
        <v>955</v>
      </c>
    </row>
    <row r="807" spans="1:12" ht="15.75" x14ac:dyDescent="0.25">
      <c r="A807" s="636"/>
      <c r="B807" s="637"/>
      <c r="C807" s="638"/>
      <c r="D807" s="639"/>
      <c r="E807" s="640"/>
      <c r="F807" s="641"/>
      <c r="G807" s="636"/>
      <c r="H807" s="642"/>
      <c r="I807" s="643"/>
      <c r="J807" s="644"/>
      <c r="K807" s="645"/>
      <c r="L807" s="646"/>
    </row>
    <row r="808" spans="1:12" ht="15.75" x14ac:dyDescent="0.25">
      <c r="A808" s="647"/>
      <c r="B808" s="648" t="s">
        <v>459</v>
      </c>
      <c r="C808" s="649">
        <v>21</v>
      </c>
      <c r="D808" s="650" t="s">
        <v>1112</v>
      </c>
      <c r="E808" s="651"/>
      <c r="F808" s="652"/>
      <c r="G808" s="647"/>
      <c r="H808" s="648" t="s">
        <v>459</v>
      </c>
      <c r="I808" s="649">
        <v>72</v>
      </c>
      <c r="J808" s="650" t="s">
        <v>1113</v>
      </c>
      <c r="K808" s="651"/>
      <c r="L808" s="653"/>
    </row>
    <row r="809" spans="1:12" ht="15.75" x14ac:dyDescent="0.25">
      <c r="A809" s="647" t="s">
        <v>958</v>
      </c>
      <c r="B809" s="654"/>
      <c r="C809" s="649"/>
      <c r="D809" s="655" t="s">
        <v>959</v>
      </c>
      <c r="E809" s="651"/>
      <c r="F809" s="656">
        <v>0.25208333333333333</v>
      </c>
      <c r="G809" s="647"/>
      <c r="H809" s="648"/>
      <c r="I809" s="649"/>
      <c r="J809" s="655" t="s">
        <v>960</v>
      </c>
      <c r="K809" s="651"/>
      <c r="L809" s="656">
        <v>0.79166666666666663</v>
      </c>
    </row>
    <row r="810" spans="1:12" ht="15.75" x14ac:dyDescent="0.25">
      <c r="A810" s="647" t="s">
        <v>961</v>
      </c>
      <c r="B810" s="654"/>
      <c r="C810" s="649"/>
      <c r="D810" s="650" t="s">
        <v>163</v>
      </c>
      <c r="E810" s="651"/>
      <c r="F810" s="653">
        <v>0.27986111111111112</v>
      </c>
      <c r="G810" s="647" t="s">
        <v>961</v>
      </c>
      <c r="H810" s="654"/>
      <c r="I810" s="649"/>
      <c r="J810" s="650" t="s">
        <v>163</v>
      </c>
      <c r="K810" s="657"/>
      <c r="L810" s="653">
        <v>0.84027777777777768</v>
      </c>
    </row>
    <row r="811" spans="1:12" ht="15.75" x14ac:dyDescent="0.25">
      <c r="A811" s="647"/>
      <c r="B811" s="648"/>
      <c r="C811" s="649"/>
      <c r="D811" s="655" t="s">
        <v>164</v>
      </c>
      <c r="E811" s="651"/>
      <c r="F811" s="656">
        <v>0.30763888888888891</v>
      </c>
      <c r="G811" s="647"/>
      <c r="H811" s="648"/>
      <c r="I811" s="649"/>
      <c r="J811" s="655" t="s">
        <v>164</v>
      </c>
      <c r="K811" s="651"/>
      <c r="L811" s="656">
        <v>0.86111111111111105</v>
      </c>
    </row>
    <row r="812" spans="1:12" ht="15.75" x14ac:dyDescent="0.25">
      <c r="A812" s="647"/>
      <c r="B812" s="648"/>
      <c r="C812" s="649"/>
      <c r="D812" s="655" t="s">
        <v>166</v>
      </c>
      <c r="E812" s="651"/>
      <c r="F812" s="656">
        <v>0.32500000000000001</v>
      </c>
      <c r="G812" s="647"/>
      <c r="H812" s="648"/>
      <c r="I812" s="649"/>
      <c r="J812" s="655" t="s">
        <v>166</v>
      </c>
      <c r="K812" s="651"/>
      <c r="L812" s="656">
        <v>0.87847222222222221</v>
      </c>
    </row>
    <row r="813" spans="1:12" ht="15.75" x14ac:dyDescent="0.25">
      <c r="A813" s="647" t="s">
        <v>958</v>
      </c>
      <c r="B813" s="648"/>
      <c r="C813" s="649"/>
      <c r="D813" s="650" t="s">
        <v>160</v>
      </c>
      <c r="E813" s="657">
        <v>0.38541666666666669</v>
      </c>
      <c r="F813" s="653"/>
      <c r="G813" s="647" t="s">
        <v>961</v>
      </c>
      <c r="H813" s="648"/>
      <c r="I813" s="649"/>
      <c r="J813" s="650" t="s">
        <v>160</v>
      </c>
      <c r="K813" s="657"/>
      <c r="L813" s="653">
        <v>0.90277777777777957</v>
      </c>
    </row>
    <row r="814" spans="1:12" ht="15.75" x14ac:dyDescent="0.25">
      <c r="A814" s="647"/>
      <c r="B814" s="648"/>
      <c r="C814" s="649"/>
      <c r="D814" s="650" t="s">
        <v>963</v>
      </c>
      <c r="E814" s="657">
        <v>0.4201388888888889</v>
      </c>
      <c r="F814" s="653"/>
      <c r="G814" s="647"/>
      <c r="H814" s="648"/>
      <c r="I814" s="649"/>
      <c r="J814" s="655" t="s">
        <v>962</v>
      </c>
      <c r="K814" s="651"/>
      <c r="L814" s="656">
        <v>0.90972222222222399</v>
      </c>
    </row>
    <row r="815" spans="1:12" ht="15.75" x14ac:dyDescent="0.25">
      <c r="A815" s="647"/>
      <c r="B815" s="648" t="s">
        <v>462</v>
      </c>
      <c r="C815" s="649" t="s">
        <v>459</v>
      </c>
      <c r="D815" s="650"/>
      <c r="E815" s="657"/>
      <c r="F815" s="652"/>
      <c r="G815" s="647"/>
      <c r="H815" s="648"/>
      <c r="I815" s="649"/>
      <c r="J815" s="655" t="s">
        <v>960</v>
      </c>
      <c r="K815" s="657">
        <v>0.9375</v>
      </c>
      <c r="L815" s="656"/>
    </row>
    <row r="816" spans="1:12" ht="15.75" x14ac:dyDescent="0.25">
      <c r="A816" s="647"/>
      <c r="B816" s="648"/>
      <c r="C816" s="649"/>
      <c r="D816" s="650"/>
      <c r="E816" s="657"/>
      <c r="F816" s="656"/>
      <c r="G816" s="647"/>
      <c r="H816" s="648" t="s">
        <v>459</v>
      </c>
      <c r="I816" s="649">
        <v>72</v>
      </c>
      <c r="J816" s="650" t="s">
        <v>1114</v>
      </c>
      <c r="K816" s="651"/>
      <c r="L816" s="656"/>
    </row>
    <row r="817" spans="1:12" ht="15.75" x14ac:dyDescent="0.25">
      <c r="A817" s="647"/>
      <c r="B817" s="648" t="s">
        <v>459</v>
      </c>
      <c r="C817" s="649">
        <v>24</v>
      </c>
      <c r="D817" s="650" t="s">
        <v>1115</v>
      </c>
      <c r="E817" s="651"/>
      <c r="F817" s="652"/>
      <c r="G817" s="647"/>
      <c r="H817" s="648"/>
      <c r="I817" s="649"/>
      <c r="J817" s="650"/>
      <c r="K817" s="657"/>
      <c r="L817" s="652"/>
    </row>
    <row r="818" spans="1:12" ht="15.75" x14ac:dyDescent="0.25">
      <c r="A818" s="647" t="s">
        <v>958</v>
      </c>
      <c r="B818" s="654"/>
      <c r="C818" s="649"/>
      <c r="D818" s="655" t="s">
        <v>959</v>
      </c>
      <c r="E818" s="651"/>
      <c r="F818" s="656">
        <v>0.50347222222222221</v>
      </c>
      <c r="G818" s="647"/>
      <c r="H818" s="648" t="s">
        <v>459</v>
      </c>
      <c r="I818" s="649">
        <v>77</v>
      </c>
      <c r="J818" s="650" t="s">
        <v>1116</v>
      </c>
      <c r="K818" s="651"/>
      <c r="L818" s="653"/>
    </row>
    <row r="819" spans="1:12" ht="15.75" x14ac:dyDescent="0.25">
      <c r="A819" s="647" t="s">
        <v>961</v>
      </c>
      <c r="B819" s="648"/>
      <c r="C819" s="649"/>
      <c r="D819" s="650" t="s">
        <v>160</v>
      </c>
      <c r="E819" s="651"/>
      <c r="F819" s="653">
        <v>0.54513888888888884</v>
      </c>
      <c r="G819" s="647"/>
      <c r="H819" s="648"/>
      <c r="I819" s="649"/>
      <c r="J819" s="655" t="s">
        <v>960</v>
      </c>
      <c r="K819" s="651"/>
      <c r="L819" s="656">
        <v>0.9375</v>
      </c>
    </row>
    <row r="820" spans="1:12" ht="15.75" x14ac:dyDescent="0.25">
      <c r="A820" s="647"/>
      <c r="B820" s="648"/>
      <c r="C820" s="649"/>
      <c r="D820" s="655" t="s">
        <v>962</v>
      </c>
      <c r="E820" s="651"/>
      <c r="F820" s="656">
        <v>0.55555555555555558</v>
      </c>
      <c r="G820" s="647" t="s">
        <v>961</v>
      </c>
      <c r="H820" s="654"/>
      <c r="I820" s="649"/>
      <c r="J820" s="650" t="s">
        <v>163</v>
      </c>
      <c r="K820" s="657"/>
      <c r="L820" s="653">
        <v>0.97916666666666663</v>
      </c>
    </row>
    <row r="821" spans="1:12" ht="15.75" x14ac:dyDescent="0.25">
      <c r="A821" s="647"/>
      <c r="B821" s="648"/>
      <c r="C821" s="649"/>
      <c r="D821" s="655" t="s">
        <v>960</v>
      </c>
      <c r="E821" s="657">
        <v>0.59027777777777779</v>
      </c>
      <c r="F821" s="656"/>
      <c r="G821" s="647"/>
      <c r="H821" s="648"/>
      <c r="I821" s="649"/>
      <c r="J821" s="655" t="s">
        <v>164</v>
      </c>
      <c r="K821" s="651"/>
      <c r="L821" s="656">
        <v>0.98611111111111105</v>
      </c>
    </row>
    <row r="822" spans="1:12" ht="15.75" x14ac:dyDescent="0.25">
      <c r="A822" s="647"/>
      <c r="B822" s="648" t="s">
        <v>462</v>
      </c>
      <c r="C822" s="649" t="s">
        <v>459</v>
      </c>
      <c r="D822" s="650"/>
      <c r="E822" s="651"/>
      <c r="F822" s="656"/>
      <c r="G822" s="647"/>
      <c r="H822" s="648"/>
      <c r="I822" s="649"/>
      <c r="J822" s="655" t="s">
        <v>166</v>
      </c>
      <c r="K822" s="651"/>
      <c r="L822" s="656">
        <v>1.0416666666666666E-2</v>
      </c>
    </row>
    <row r="823" spans="1:12" ht="15.75" x14ac:dyDescent="0.25">
      <c r="A823" s="647"/>
      <c r="B823" s="648"/>
      <c r="C823" s="649"/>
      <c r="D823" s="655"/>
      <c r="E823" s="657"/>
      <c r="F823" s="656"/>
      <c r="G823" s="647" t="s">
        <v>961</v>
      </c>
      <c r="H823" s="648"/>
      <c r="I823" s="649"/>
      <c r="J823" s="650" t="s">
        <v>160</v>
      </c>
      <c r="K823" s="657"/>
      <c r="L823" s="653">
        <v>7.6388888888888895E-2</v>
      </c>
    </row>
    <row r="824" spans="1:12" ht="15.75" x14ac:dyDescent="0.25">
      <c r="A824" s="647"/>
      <c r="B824" s="648" t="s">
        <v>459</v>
      </c>
      <c r="C824" s="649">
        <v>47</v>
      </c>
      <c r="D824" s="650" t="s">
        <v>1117</v>
      </c>
      <c r="E824" s="651"/>
      <c r="F824" s="653"/>
      <c r="G824" s="647"/>
      <c r="H824" s="648"/>
      <c r="I824" s="649"/>
      <c r="J824" s="655" t="s">
        <v>962</v>
      </c>
      <c r="K824" s="651"/>
      <c r="L824" s="656">
        <v>8.3333333333334897E-2</v>
      </c>
    </row>
    <row r="825" spans="1:12" ht="15.75" x14ac:dyDescent="0.25">
      <c r="A825" s="647"/>
      <c r="B825" s="648"/>
      <c r="C825" s="649"/>
      <c r="D825" s="655" t="s">
        <v>960</v>
      </c>
      <c r="E825" s="651"/>
      <c r="F825" s="656">
        <v>0.59027777777777779</v>
      </c>
      <c r="G825" s="647"/>
      <c r="H825" s="648"/>
      <c r="I825" s="649"/>
      <c r="J825" s="655" t="s">
        <v>960</v>
      </c>
      <c r="K825" s="657">
        <v>0.1111111111111111</v>
      </c>
      <c r="L825" s="656"/>
    </row>
    <row r="826" spans="1:12" ht="15.75" x14ac:dyDescent="0.25">
      <c r="A826" s="647" t="s">
        <v>961</v>
      </c>
      <c r="B826" s="654"/>
      <c r="C826" s="649"/>
      <c r="D826" s="650" t="s">
        <v>163</v>
      </c>
      <c r="E826" s="657"/>
      <c r="F826" s="653">
        <v>0.64236111111111116</v>
      </c>
      <c r="G826" s="647"/>
      <c r="H826" s="648" t="s">
        <v>459</v>
      </c>
      <c r="I826" s="649">
        <v>77</v>
      </c>
      <c r="J826" s="650" t="s">
        <v>1118</v>
      </c>
      <c r="K826" s="651"/>
      <c r="L826" s="656"/>
    </row>
    <row r="827" spans="1:12" ht="15.75" x14ac:dyDescent="0.25">
      <c r="A827" s="647"/>
      <c r="B827" s="648"/>
      <c r="C827" s="649"/>
      <c r="D827" s="655" t="s">
        <v>164</v>
      </c>
      <c r="E827" s="651"/>
      <c r="F827" s="656">
        <v>0.67708333333333337</v>
      </c>
      <c r="G827" s="647"/>
      <c r="H827" s="654"/>
      <c r="I827" s="649"/>
      <c r="J827" s="650"/>
      <c r="K827" s="657"/>
      <c r="L827" s="653"/>
    </row>
    <row r="828" spans="1:12" ht="15.75" x14ac:dyDescent="0.25">
      <c r="A828" s="647"/>
      <c r="B828" s="648"/>
      <c r="C828" s="649"/>
      <c r="D828" s="655" t="s">
        <v>166</v>
      </c>
      <c r="E828" s="651"/>
      <c r="F828" s="656">
        <v>0.69097222222222221</v>
      </c>
      <c r="G828" s="647"/>
      <c r="H828" s="648" t="s">
        <v>459</v>
      </c>
      <c r="I828" s="649">
        <v>75</v>
      </c>
      <c r="J828" s="650" t="s">
        <v>1119</v>
      </c>
      <c r="K828" s="651"/>
      <c r="L828" s="653"/>
    </row>
    <row r="829" spans="1:12" ht="15.75" x14ac:dyDescent="0.25">
      <c r="A829" s="647" t="s">
        <v>961</v>
      </c>
      <c r="B829" s="648"/>
      <c r="C829" s="649"/>
      <c r="D829" s="650" t="s">
        <v>160</v>
      </c>
      <c r="E829" s="657"/>
      <c r="F829" s="653">
        <v>0.75000000000000011</v>
      </c>
      <c r="G829" s="647"/>
      <c r="H829" s="648"/>
      <c r="I829" s="649"/>
      <c r="J829" s="655" t="s">
        <v>960</v>
      </c>
      <c r="K829" s="651"/>
      <c r="L829" s="656">
        <v>0.1111111111111111</v>
      </c>
    </row>
    <row r="830" spans="1:12" ht="15.75" x14ac:dyDescent="0.25">
      <c r="A830" s="647"/>
      <c r="B830" s="648"/>
      <c r="C830" s="649"/>
      <c r="D830" s="655" t="s">
        <v>962</v>
      </c>
      <c r="E830" s="651"/>
      <c r="F830" s="656">
        <v>0.75694444444444453</v>
      </c>
      <c r="G830" s="647" t="s">
        <v>961</v>
      </c>
      <c r="H830" s="654"/>
      <c r="I830" s="649"/>
      <c r="J830" s="650" t="s">
        <v>163</v>
      </c>
      <c r="K830" s="657"/>
      <c r="L830" s="653">
        <v>0.14583333333348567</v>
      </c>
    </row>
    <row r="831" spans="1:12" ht="15.75" x14ac:dyDescent="0.25">
      <c r="A831" s="647"/>
      <c r="B831" s="648"/>
      <c r="C831" s="649"/>
      <c r="D831" s="655" t="s">
        <v>960</v>
      </c>
      <c r="E831" s="657">
        <v>0.79166666666666663</v>
      </c>
      <c r="F831" s="656"/>
      <c r="G831" s="647"/>
      <c r="H831" s="648"/>
      <c r="I831" s="649"/>
      <c r="J831" s="655" t="s">
        <v>164</v>
      </c>
      <c r="K831" s="651"/>
      <c r="L831" s="656">
        <v>0.16666666666681901</v>
      </c>
    </row>
    <row r="832" spans="1:12" ht="15.75" x14ac:dyDescent="0.25">
      <c r="A832" s="647"/>
      <c r="B832" s="648" t="s">
        <v>459</v>
      </c>
      <c r="C832" s="649">
        <v>47</v>
      </c>
      <c r="D832" s="650" t="s">
        <v>1120</v>
      </c>
      <c r="E832" s="651"/>
      <c r="F832" s="656"/>
      <c r="G832" s="647"/>
      <c r="H832" s="648"/>
      <c r="I832" s="649"/>
      <c r="J832" s="655" t="s">
        <v>166</v>
      </c>
      <c r="K832" s="651"/>
      <c r="L832" s="656">
        <v>1.1770833333333333</v>
      </c>
    </row>
    <row r="833" spans="1:12" ht="15.75" x14ac:dyDescent="0.25">
      <c r="A833" s="647"/>
      <c r="B833" s="648"/>
      <c r="C833" s="649"/>
      <c r="D833" s="650"/>
      <c r="E833" s="657"/>
      <c r="F833" s="653"/>
      <c r="G833" s="647" t="s">
        <v>958</v>
      </c>
      <c r="H833" s="648"/>
      <c r="I833" s="649"/>
      <c r="J833" s="650" t="s">
        <v>160</v>
      </c>
      <c r="K833" s="657">
        <v>0.20694444444444443</v>
      </c>
      <c r="L833" s="653"/>
    </row>
    <row r="834" spans="1:12" ht="15.75" x14ac:dyDescent="0.25">
      <c r="A834" s="647"/>
      <c r="B834" s="648"/>
      <c r="C834" s="649"/>
      <c r="D834" s="650"/>
      <c r="E834" s="657"/>
      <c r="F834" s="653"/>
      <c r="G834" s="647"/>
      <c r="H834" s="648"/>
      <c r="I834" s="649"/>
      <c r="J834" s="650" t="s">
        <v>963</v>
      </c>
      <c r="K834" s="657">
        <v>0.23749999999999999</v>
      </c>
      <c r="L834" s="652"/>
    </row>
    <row r="835" spans="1:12" ht="15.75" x14ac:dyDescent="0.25">
      <c r="A835" s="647"/>
      <c r="B835" s="648"/>
      <c r="C835" s="649"/>
      <c r="D835" s="650"/>
      <c r="E835" s="657"/>
      <c r="F835" s="652"/>
      <c r="G835" s="647"/>
      <c r="H835" s="648" t="s">
        <v>462</v>
      </c>
      <c r="I835" s="649" t="s">
        <v>459</v>
      </c>
      <c r="J835" s="650"/>
      <c r="K835" s="657"/>
      <c r="L835" s="652"/>
    </row>
    <row r="836" spans="1:12" ht="15.75" x14ac:dyDescent="0.25">
      <c r="A836" s="647"/>
      <c r="B836" s="648"/>
      <c r="C836" s="649"/>
      <c r="D836" s="650"/>
      <c r="E836" s="657"/>
      <c r="F836" s="656"/>
      <c r="G836" s="647"/>
      <c r="H836" s="648"/>
      <c r="I836" s="649"/>
      <c r="J836" s="650"/>
      <c r="K836" s="651"/>
      <c r="L836" s="652"/>
    </row>
    <row r="837" spans="1:12" ht="15.75" x14ac:dyDescent="0.25">
      <c r="A837" s="647"/>
      <c r="B837" s="648"/>
      <c r="C837" s="649"/>
      <c r="D837" s="650"/>
      <c r="E837" s="657"/>
      <c r="F837" s="656"/>
      <c r="G837" s="647"/>
      <c r="H837" s="648"/>
      <c r="I837" s="649"/>
      <c r="J837" s="650"/>
      <c r="K837" s="651"/>
      <c r="L837" s="658"/>
    </row>
    <row r="838" spans="1:12" ht="15.75" x14ac:dyDescent="0.25">
      <c r="A838" s="647"/>
      <c r="B838" s="648"/>
      <c r="C838" s="649"/>
      <c r="D838" s="650"/>
      <c r="E838" s="657"/>
      <c r="F838" s="653"/>
      <c r="G838" s="647"/>
      <c r="H838" s="648"/>
      <c r="I838" s="649"/>
      <c r="J838" s="655"/>
      <c r="K838" s="651"/>
      <c r="L838" s="658"/>
    </row>
    <row r="839" spans="1:12" ht="15.75" x14ac:dyDescent="0.25">
      <c r="A839" s="647"/>
      <c r="B839" s="648"/>
      <c r="C839" s="649"/>
      <c r="D839" s="650"/>
      <c r="E839" s="651"/>
      <c r="F839" s="652"/>
      <c r="G839" s="647"/>
      <c r="H839" s="648"/>
      <c r="I839" s="649"/>
      <c r="J839" s="650"/>
      <c r="K839" s="651"/>
      <c r="L839" s="658"/>
    </row>
    <row r="840" spans="1:12" ht="16.5" thickBot="1" x14ac:dyDescent="0.3">
      <c r="A840" s="659"/>
      <c r="B840" s="660"/>
      <c r="C840" s="661"/>
      <c r="D840" s="662"/>
      <c r="E840" s="663"/>
      <c r="F840" s="664"/>
      <c r="G840" s="665"/>
      <c r="H840" s="666"/>
      <c r="I840" s="667"/>
      <c r="J840" s="668"/>
      <c r="K840" s="663"/>
      <c r="L840" s="669"/>
    </row>
    <row r="841" spans="1:12" ht="21" x14ac:dyDescent="0.35">
      <c r="A841" s="769" t="s">
        <v>945</v>
      </c>
      <c r="B841" s="770"/>
      <c r="C841" s="770"/>
      <c r="D841" s="770"/>
      <c r="E841" s="770"/>
      <c r="F841" s="770"/>
      <c r="G841" s="770"/>
      <c r="H841" s="770"/>
      <c r="I841" s="770"/>
      <c r="J841" s="770"/>
      <c r="K841" s="770"/>
      <c r="L841" s="771"/>
    </row>
    <row r="842" spans="1:12" ht="18.75" x14ac:dyDescent="0.3">
      <c r="A842" s="772" t="s">
        <v>946</v>
      </c>
      <c r="B842" s="773"/>
      <c r="C842" s="773"/>
      <c r="D842" s="773"/>
      <c r="E842" s="773"/>
      <c r="F842" s="773"/>
      <c r="G842" s="773"/>
      <c r="H842" s="773"/>
      <c r="I842" s="773"/>
      <c r="J842" s="773"/>
      <c r="K842" s="773"/>
      <c r="L842" s="774"/>
    </row>
    <row r="843" spans="1:12" ht="24" x14ac:dyDescent="0.4">
      <c r="A843" s="775" t="s">
        <v>947</v>
      </c>
      <c r="B843" s="776"/>
      <c r="C843" s="776"/>
      <c r="D843" s="776"/>
      <c r="E843" s="776"/>
      <c r="F843" s="776"/>
      <c r="G843" s="776"/>
      <c r="H843" s="776"/>
      <c r="I843" s="776"/>
      <c r="J843" s="776"/>
      <c r="K843" s="776"/>
      <c r="L843" s="777"/>
    </row>
    <row r="844" spans="1:12" ht="24" x14ac:dyDescent="0.4">
      <c r="A844" s="670" t="s">
        <v>948</v>
      </c>
      <c r="B844" s="671"/>
      <c r="C844" s="671"/>
      <c r="D844" s="672" t="s">
        <v>949</v>
      </c>
      <c r="E844" s="778" t="s">
        <v>950</v>
      </c>
      <c r="F844" s="778"/>
      <c r="G844" s="778"/>
      <c r="H844" s="778"/>
      <c r="I844" s="778"/>
      <c r="J844" s="673" t="s">
        <v>1121</v>
      </c>
      <c r="K844" s="778"/>
      <c r="L844" s="779"/>
    </row>
    <row r="845" spans="1:12" ht="15.75" thickBot="1" x14ac:dyDescent="0.3">
      <c r="A845" s="674"/>
      <c r="B845" s="675"/>
      <c r="C845" s="675"/>
      <c r="D845" s="676"/>
      <c r="E845" s="675"/>
      <c r="F845" s="675"/>
      <c r="G845" s="675"/>
      <c r="H845" s="675"/>
      <c r="I845" s="780"/>
      <c r="J845" s="780"/>
      <c r="K845" s="675"/>
      <c r="L845" s="677"/>
    </row>
    <row r="846" spans="1:12" ht="16.5" thickBot="1" x14ac:dyDescent="0.3">
      <c r="A846" s="631" t="s">
        <v>952</v>
      </c>
      <c r="B846" s="632"/>
      <c r="C846" s="633"/>
      <c r="D846" s="634" t="s">
        <v>953</v>
      </c>
      <c r="E846" s="631" t="s">
        <v>954</v>
      </c>
      <c r="F846" s="635" t="s">
        <v>955</v>
      </c>
      <c r="G846" s="631" t="s">
        <v>952</v>
      </c>
      <c r="H846" s="632"/>
      <c r="I846" s="633"/>
      <c r="J846" s="634" t="s">
        <v>953</v>
      </c>
      <c r="K846" s="631" t="s">
        <v>954</v>
      </c>
      <c r="L846" s="631" t="s">
        <v>955</v>
      </c>
    </row>
    <row r="847" spans="1:12" ht="15.75" x14ac:dyDescent="0.25">
      <c r="A847" s="636"/>
      <c r="B847" s="637"/>
      <c r="C847" s="638"/>
      <c r="D847" s="639"/>
      <c r="E847" s="640"/>
      <c r="F847" s="641"/>
      <c r="G847" s="636"/>
      <c r="H847" s="642"/>
      <c r="I847" s="643"/>
      <c r="J847" s="644"/>
      <c r="K847" s="645"/>
      <c r="L847" s="646"/>
    </row>
    <row r="848" spans="1:12" ht="15.75" x14ac:dyDescent="0.25">
      <c r="A848" s="647"/>
      <c r="B848" s="648" t="s">
        <v>459</v>
      </c>
      <c r="C848" s="649">
        <v>22</v>
      </c>
      <c r="D848" s="650" t="s">
        <v>1122</v>
      </c>
      <c r="E848" s="651"/>
      <c r="F848" s="652"/>
      <c r="G848" s="647"/>
      <c r="H848" s="648" t="s">
        <v>459</v>
      </c>
      <c r="I848" s="649">
        <v>36</v>
      </c>
      <c r="J848" s="650" t="s">
        <v>1123</v>
      </c>
      <c r="K848" s="651"/>
      <c r="L848" s="653"/>
    </row>
    <row r="849" spans="1:12" ht="15.75" x14ac:dyDescent="0.25">
      <c r="A849" s="647" t="s">
        <v>958</v>
      </c>
      <c r="B849" s="654"/>
      <c r="C849" s="649"/>
      <c r="D849" s="655" t="s">
        <v>959</v>
      </c>
      <c r="E849" s="651"/>
      <c r="F849" s="656">
        <v>0.25347222222222221</v>
      </c>
      <c r="G849" s="647"/>
      <c r="H849" s="648"/>
      <c r="I849" s="649"/>
      <c r="J849" s="655" t="s">
        <v>166</v>
      </c>
      <c r="K849" s="651"/>
      <c r="L849" s="656">
        <v>0.72499999999999998</v>
      </c>
    </row>
    <row r="850" spans="1:12" ht="15.75" x14ac:dyDescent="0.25">
      <c r="A850" s="647" t="s">
        <v>961</v>
      </c>
      <c r="B850" s="654"/>
      <c r="C850" s="649"/>
      <c r="D850" s="650" t="s">
        <v>163</v>
      </c>
      <c r="E850" s="651"/>
      <c r="F850" s="653">
        <v>0.28125</v>
      </c>
      <c r="G850" s="647" t="s">
        <v>961</v>
      </c>
      <c r="H850" s="648"/>
      <c r="I850" s="649"/>
      <c r="J850" s="650" t="s">
        <v>160</v>
      </c>
      <c r="K850" s="651"/>
      <c r="L850" s="653">
        <v>0.77777777777777779</v>
      </c>
    </row>
    <row r="851" spans="1:12" ht="15.75" x14ac:dyDescent="0.25">
      <c r="A851" s="647"/>
      <c r="B851" s="648"/>
      <c r="C851" s="649"/>
      <c r="D851" s="655" t="s">
        <v>164</v>
      </c>
      <c r="E851" s="651"/>
      <c r="F851" s="656">
        <v>0.3125</v>
      </c>
      <c r="G851" s="647"/>
      <c r="H851" s="648"/>
      <c r="I851" s="649"/>
      <c r="J851" s="655" t="s">
        <v>962</v>
      </c>
      <c r="K851" s="651"/>
      <c r="L851" s="656">
        <v>0.78472222222222221</v>
      </c>
    </row>
    <row r="852" spans="1:12" ht="15.75" x14ac:dyDescent="0.25">
      <c r="A852" s="647"/>
      <c r="B852" s="648"/>
      <c r="C852" s="649"/>
      <c r="D852" s="655" t="s">
        <v>166</v>
      </c>
      <c r="E852" s="651"/>
      <c r="F852" s="656">
        <v>0.3298611111111111</v>
      </c>
      <c r="G852" s="647"/>
      <c r="H852" s="648"/>
      <c r="I852" s="649"/>
      <c r="J852" s="655" t="s">
        <v>960</v>
      </c>
      <c r="K852" s="651"/>
      <c r="L852" s="656">
        <v>0.81250000000000078</v>
      </c>
    </row>
    <row r="853" spans="1:12" ht="15.75" x14ac:dyDescent="0.25">
      <c r="A853" s="647" t="s">
        <v>961</v>
      </c>
      <c r="B853" s="648"/>
      <c r="C853" s="649"/>
      <c r="D853" s="650" t="s">
        <v>160</v>
      </c>
      <c r="E853" s="651"/>
      <c r="F853" s="653">
        <v>0.38541666666666669</v>
      </c>
      <c r="G853" s="647" t="s">
        <v>961</v>
      </c>
      <c r="H853" s="654"/>
      <c r="I853" s="649"/>
      <c r="J853" s="650" t="s">
        <v>163</v>
      </c>
      <c r="K853" s="657"/>
      <c r="L853" s="653">
        <v>0.86111111111111061</v>
      </c>
    </row>
    <row r="854" spans="1:12" ht="15.75" x14ac:dyDescent="0.25">
      <c r="A854" s="647"/>
      <c r="B854" s="648"/>
      <c r="C854" s="649"/>
      <c r="D854" s="655" t="s">
        <v>962</v>
      </c>
      <c r="E854" s="651"/>
      <c r="F854" s="656">
        <v>0.39583333333333331</v>
      </c>
      <c r="G854" s="647"/>
      <c r="H854" s="648"/>
      <c r="I854" s="649"/>
      <c r="J854" s="655" t="s">
        <v>164</v>
      </c>
      <c r="K854" s="651"/>
      <c r="L854" s="656">
        <v>0.88194444444444398</v>
      </c>
    </row>
    <row r="855" spans="1:12" ht="15.75" x14ac:dyDescent="0.25">
      <c r="A855" s="647"/>
      <c r="B855" s="648"/>
      <c r="C855" s="649"/>
      <c r="D855" s="655" t="s">
        <v>960</v>
      </c>
      <c r="E855" s="657">
        <v>0.43055555555555558</v>
      </c>
      <c r="F855" s="656"/>
      <c r="G855" s="647"/>
      <c r="H855" s="648"/>
      <c r="I855" s="649"/>
      <c r="J855" s="655" t="s">
        <v>166</v>
      </c>
      <c r="K855" s="657">
        <v>0.89236111111111116</v>
      </c>
      <c r="L855" s="656"/>
    </row>
    <row r="856" spans="1:12" ht="15.75" x14ac:dyDescent="0.25">
      <c r="A856" s="647"/>
      <c r="B856" s="648" t="s">
        <v>459</v>
      </c>
      <c r="C856" s="649">
        <v>22</v>
      </c>
      <c r="D856" s="650" t="s">
        <v>1124</v>
      </c>
      <c r="E856" s="651"/>
      <c r="F856" s="653"/>
      <c r="G856" s="647"/>
      <c r="H856" s="648" t="s">
        <v>462</v>
      </c>
      <c r="I856" s="649" t="s">
        <v>459</v>
      </c>
      <c r="J856" s="650"/>
      <c r="K856" s="657"/>
      <c r="L856" s="656"/>
    </row>
    <row r="857" spans="1:12" ht="15.75" x14ac:dyDescent="0.25">
      <c r="A857" s="647"/>
      <c r="B857" s="648"/>
      <c r="C857" s="649"/>
      <c r="D857" s="655"/>
      <c r="E857" s="651"/>
      <c r="F857" s="656"/>
      <c r="G857" s="647"/>
      <c r="H857" s="648"/>
      <c r="I857" s="649"/>
      <c r="J857" s="650"/>
      <c r="K857" s="657"/>
      <c r="L857" s="653"/>
    </row>
    <row r="858" spans="1:12" ht="15.75" x14ac:dyDescent="0.25">
      <c r="A858" s="647"/>
      <c r="B858" s="648" t="s">
        <v>459</v>
      </c>
      <c r="C858" s="649">
        <v>10</v>
      </c>
      <c r="D858" s="650" t="s">
        <v>1125</v>
      </c>
      <c r="E858" s="651"/>
      <c r="F858" s="653"/>
      <c r="G858" s="647"/>
      <c r="H858" s="648" t="s">
        <v>459</v>
      </c>
      <c r="I858" s="649">
        <v>57</v>
      </c>
      <c r="J858" s="650" t="s">
        <v>1126</v>
      </c>
      <c r="K858" s="651"/>
      <c r="L858" s="653"/>
    </row>
    <row r="859" spans="1:12" ht="15.75" x14ac:dyDescent="0.25">
      <c r="A859" s="647"/>
      <c r="B859" s="648"/>
      <c r="C859" s="649"/>
      <c r="D859" s="655" t="s">
        <v>960</v>
      </c>
      <c r="E859" s="651"/>
      <c r="F859" s="656">
        <v>0.43055555555555558</v>
      </c>
      <c r="G859" s="647"/>
      <c r="H859" s="648"/>
      <c r="I859" s="649"/>
      <c r="J859" s="655" t="s">
        <v>166</v>
      </c>
      <c r="K859" s="651"/>
      <c r="L859" s="656">
        <v>0.89236111111111116</v>
      </c>
    </row>
    <row r="860" spans="1:12" ht="15.75" x14ac:dyDescent="0.25">
      <c r="A860" s="647" t="s">
        <v>961</v>
      </c>
      <c r="B860" s="654"/>
      <c r="C860" s="649"/>
      <c r="D860" s="650" t="s">
        <v>163</v>
      </c>
      <c r="E860" s="657"/>
      <c r="F860" s="653">
        <v>0.47916666666666669</v>
      </c>
      <c r="G860" s="647" t="s">
        <v>961</v>
      </c>
      <c r="H860" s="648"/>
      <c r="I860" s="649"/>
      <c r="J860" s="650" t="s">
        <v>160</v>
      </c>
      <c r="K860" s="651"/>
      <c r="L860" s="653">
        <v>0.92361111111111116</v>
      </c>
    </row>
    <row r="861" spans="1:12" ht="15.75" x14ac:dyDescent="0.25">
      <c r="A861" s="647"/>
      <c r="B861" s="648"/>
      <c r="C861" s="649"/>
      <c r="D861" s="655" t="s">
        <v>164</v>
      </c>
      <c r="E861" s="651"/>
      <c r="F861" s="656">
        <v>0.51041666666666663</v>
      </c>
      <c r="G861" s="647"/>
      <c r="H861" s="648"/>
      <c r="I861" s="649"/>
      <c r="J861" s="655" t="s">
        <v>962</v>
      </c>
      <c r="K861" s="651"/>
      <c r="L861" s="656">
        <v>0.93055555555555558</v>
      </c>
    </row>
    <row r="862" spans="1:12" ht="15.75" x14ac:dyDescent="0.25">
      <c r="A862" s="647"/>
      <c r="B862" s="648"/>
      <c r="C862" s="649"/>
      <c r="D862" s="655" t="s">
        <v>166</v>
      </c>
      <c r="E862" s="657">
        <v>0.52430555555555558</v>
      </c>
      <c r="F862" s="656"/>
      <c r="G862" s="647"/>
      <c r="H862" s="648"/>
      <c r="I862" s="649"/>
      <c r="J862" s="655" t="s">
        <v>960</v>
      </c>
      <c r="K862" s="651"/>
      <c r="L862" s="656">
        <v>0.95833333333333337</v>
      </c>
    </row>
    <row r="863" spans="1:12" ht="15.75" x14ac:dyDescent="0.25">
      <c r="A863" s="647"/>
      <c r="B863" s="648" t="s">
        <v>462</v>
      </c>
      <c r="C863" s="649" t="s">
        <v>459</v>
      </c>
      <c r="D863" s="650"/>
      <c r="E863" s="651"/>
      <c r="F863" s="653"/>
      <c r="G863" s="647" t="s">
        <v>958</v>
      </c>
      <c r="H863" s="654"/>
      <c r="I863" s="649"/>
      <c r="J863" s="650" t="s">
        <v>163</v>
      </c>
      <c r="K863" s="657">
        <v>0.99444444444444446</v>
      </c>
      <c r="L863" s="653"/>
    </row>
    <row r="864" spans="1:12" ht="15.75" x14ac:dyDescent="0.25">
      <c r="A864" s="647"/>
      <c r="B864" s="648"/>
      <c r="C864" s="649"/>
      <c r="D864" s="655"/>
      <c r="E864" s="651"/>
      <c r="F864" s="656"/>
      <c r="G864" s="647"/>
      <c r="H864" s="648"/>
      <c r="I864" s="649"/>
      <c r="J864" s="650" t="s">
        <v>963</v>
      </c>
      <c r="K864" s="657">
        <v>1.0152777777777777</v>
      </c>
      <c r="L864" s="658"/>
    </row>
    <row r="865" spans="1:12" ht="15.75" x14ac:dyDescent="0.25">
      <c r="A865" s="647"/>
      <c r="B865" s="648" t="s">
        <v>459</v>
      </c>
      <c r="C865" s="649">
        <v>38</v>
      </c>
      <c r="D865" s="650" t="s">
        <v>1127</v>
      </c>
      <c r="E865" s="651"/>
      <c r="F865" s="653"/>
      <c r="G865" s="647"/>
      <c r="H865" s="648" t="s">
        <v>462</v>
      </c>
      <c r="I865" s="649" t="s">
        <v>459</v>
      </c>
      <c r="J865" s="650"/>
      <c r="K865" s="657"/>
      <c r="L865" s="658"/>
    </row>
    <row r="866" spans="1:12" ht="15.75" x14ac:dyDescent="0.25">
      <c r="A866" s="647"/>
      <c r="B866" s="648"/>
      <c r="C866" s="649"/>
      <c r="D866" s="655" t="s">
        <v>166</v>
      </c>
      <c r="E866" s="651"/>
      <c r="F866" s="656">
        <v>0.52430555555555558</v>
      </c>
      <c r="G866" s="647"/>
      <c r="H866" s="648"/>
      <c r="I866" s="649"/>
      <c r="J866" s="650"/>
      <c r="K866" s="651"/>
      <c r="L866" s="656"/>
    </row>
    <row r="867" spans="1:12" ht="15.75" x14ac:dyDescent="0.25">
      <c r="A867" s="647" t="s">
        <v>961</v>
      </c>
      <c r="B867" s="648"/>
      <c r="C867" s="649"/>
      <c r="D867" s="650" t="s">
        <v>160</v>
      </c>
      <c r="E867" s="651"/>
      <c r="F867" s="653">
        <v>0.57847222222222228</v>
      </c>
      <c r="G867" s="647"/>
      <c r="H867" s="648"/>
      <c r="I867" s="649"/>
      <c r="J867" s="655"/>
      <c r="K867" s="657"/>
      <c r="L867" s="656"/>
    </row>
    <row r="868" spans="1:12" ht="15.75" x14ac:dyDescent="0.25">
      <c r="A868" s="647"/>
      <c r="B868" s="648"/>
      <c r="C868" s="649"/>
      <c r="D868" s="655" t="s">
        <v>962</v>
      </c>
      <c r="E868" s="651"/>
      <c r="F868" s="656">
        <v>0.58888888888888891</v>
      </c>
      <c r="G868" s="647"/>
      <c r="H868" s="648"/>
      <c r="I868" s="649"/>
      <c r="J868" s="650"/>
      <c r="K868" s="651"/>
      <c r="L868" s="653"/>
    </row>
    <row r="869" spans="1:12" ht="15.75" x14ac:dyDescent="0.25">
      <c r="A869" s="647"/>
      <c r="B869" s="648"/>
      <c r="C869" s="649"/>
      <c r="D869" s="655" t="s">
        <v>960</v>
      </c>
      <c r="E869" s="651"/>
      <c r="F869" s="656">
        <v>0.6166666666666667</v>
      </c>
      <c r="G869" s="647"/>
      <c r="H869" s="648"/>
      <c r="I869" s="649"/>
      <c r="J869" s="650"/>
      <c r="K869" s="651"/>
      <c r="L869" s="658"/>
    </row>
    <row r="870" spans="1:12" ht="15.75" x14ac:dyDescent="0.25">
      <c r="A870" s="647" t="s">
        <v>961</v>
      </c>
      <c r="B870" s="654"/>
      <c r="C870" s="649"/>
      <c r="D870" s="650" t="s">
        <v>163</v>
      </c>
      <c r="E870" s="657"/>
      <c r="F870" s="653">
        <v>0.67986111111111114</v>
      </c>
      <c r="G870" s="647"/>
      <c r="H870" s="648"/>
      <c r="I870" s="649"/>
      <c r="J870" s="650"/>
      <c r="K870" s="651"/>
      <c r="L870" s="653"/>
    </row>
    <row r="871" spans="1:12" ht="15.75" x14ac:dyDescent="0.25">
      <c r="A871" s="647"/>
      <c r="B871" s="648"/>
      <c r="C871" s="649"/>
      <c r="D871" s="655" t="s">
        <v>164</v>
      </c>
      <c r="E871" s="651"/>
      <c r="F871" s="656">
        <v>0.71111111111111114</v>
      </c>
      <c r="G871" s="647"/>
      <c r="H871" s="648"/>
      <c r="I871" s="649"/>
      <c r="J871" s="655"/>
      <c r="K871" s="651"/>
      <c r="L871" s="656"/>
    </row>
    <row r="872" spans="1:12" ht="15.75" x14ac:dyDescent="0.25">
      <c r="A872" s="647"/>
      <c r="B872" s="648"/>
      <c r="C872" s="649"/>
      <c r="D872" s="655" t="s">
        <v>166</v>
      </c>
      <c r="E872" s="657">
        <v>0.72499999999999998</v>
      </c>
      <c r="F872" s="656"/>
      <c r="G872" s="647"/>
      <c r="H872" s="648"/>
      <c r="I872" s="649"/>
      <c r="J872" s="655"/>
      <c r="K872" s="651"/>
      <c r="L872" s="656"/>
    </row>
    <row r="873" spans="1:12" ht="15.75" x14ac:dyDescent="0.25">
      <c r="A873" s="647"/>
      <c r="B873" s="648" t="s">
        <v>459</v>
      </c>
      <c r="C873" s="649">
        <v>38</v>
      </c>
      <c r="D873" s="650" t="s">
        <v>1128</v>
      </c>
      <c r="E873" s="657"/>
      <c r="F873" s="656"/>
      <c r="G873" s="647"/>
      <c r="H873" s="654"/>
      <c r="I873" s="649"/>
      <c r="J873" s="650"/>
      <c r="K873" s="657"/>
      <c r="L873" s="653"/>
    </row>
    <row r="874" spans="1:12" ht="15.75" x14ac:dyDescent="0.25">
      <c r="A874" s="647"/>
      <c r="B874" s="648"/>
      <c r="C874" s="649"/>
      <c r="D874" s="650"/>
      <c r="E874" s="657"/>
      <c r="F874" s="653"/>
      <c r="G874" s="647"/>
      <c r="H874" s="648"/>
      <c r="I874" s="649"/>
      <c r="J874" s="650"/>
      <c r="K874" s="657"/>
      <c r="L874" s="658"/>
    </row>
    <row r="875" spans="1:12" ht="15.75" x14ac:dyDescent="0.25">
      <c r="A875" s="647"/>
      <c r="B875" s="648"/>
      <c r="C875" s="649"/>
      <c r="D875" s="650"/>
      <c r="E875" s="651"/>
      <c r="F875" s="652"/>
      <c r="G875" s="647"/>
      <c r="H875" s="648"/>
      <c r="I875" s="649"/>
      <c r="J875" s="650"/>
      <c r="K875" s="657"/>
      <c r="L875" s="658"/>
    </row>
    <row r="876" spans="1:12" ht="15.75" x14ac:dyDescent="0.25">
      <c r="A876" s="647"/>
      <c r="B876" s="648"/>
      <c r="C876" s="649"/>
      <c r="D876" s="655"/>
      <c r="E876" s="657"/>
      <c r="F876" s="656"/>
      <c r="G876" s="647"/>
      <c r="H876" s="648"/>
      <c r="I876" s="649"/>
      <c r="J876" s="650"/>
      <c r="K876" s="651"/>
      <c r="L876" s="656"/>
    </row>
    <row r="877" spans="1:12" ht="15.75" x14ac:dyDescent="0.25">
      <c r="A877" s="647"/>
      <c r="B877" s="648"/>
      <c r="C877" s="649"/>
      <c r="D877" s="650"/>
      <c r="E877" s="657"/>
      <c r="F877" s="656"/>
      <c r="G877" s="647"/>
      <c r="H877" s="648"/>
      <c r="I877" s="649"/>
      <c r="J877" s="655"/>
      <c r="K877" s="657"/>
      <c r="L877" s="656"/>
    </row>
    <row r="878" spans="1:12" ht="15.75" x14ac:dyDescent="0.25">
      <c r="A878" s="647"/>
      <c r="B878" s="648"/>
      <c r="C878" s="649"/>
      <c r="D878" s="650"/>
      <c r="E878" s="657"/>
      <c r="F878" s="653"/>
      <c r="G878" s="647"/>
      <c r="H878" s="648"/>
      <c r="I878" s="649"/>
      <c r="J878" s="650"/>
      <c r="K878" s="651"/>
      <c r="L878" s="653"/>
    </row>
    <row r="879" spans="1:12" ht="15.75" x14ac:dyDescent="0.25">
      <c r="A879" s="647"/>
      <c r="B879" s="648"/>
      <c r="C879" s="649"/>
      <c r="D879" s="650"/>
      <c r="E879" s="651"/>
      <c r="F879" s="652"/>
      <c r="G879" s="647"/>
      <c r="H879" s="648"/>
      <c r="I879" s="649"/>
      <c r="J879" s="650"/>
      <c r="K879" s="651"/>
      <c r="L879" s="658"/>
    </row>
    <row r="880" spans="1:12" ht="16.5" thickBot="1" x14ac:dyDescent="0.3">
      <c r="A880" s="659"/>
      <c r="B880" s="660"/>
      <c r="C880" s="661"/>
      <c r="D880" s="662"/>
      <c r="E880" s="663"/>
      <c r="F880" s="664"/>
      <c r="G880" s="665"/>
      <c r="H880" s="666"/>
      <c r="I880" s="667"/>
      <c r="J880" s="668"/>
      <c r="K880" s="663"/>
      <c r="L880" s="669"/>
    </row>
    <row r="881" spans="1:12" ht="21" x14ac:dyDescent="0.35">
      <c r="A881" s="769" t="s">
        <v>945</v>
      </c>
      <c r="B881" s="770"/>
      <c r="C881" s="770"/>
      <c r="D881" s="770"/>
      <c r="E881" s="770"/>
      <c r="F881" s="770"/>
      <c r="G881" s="770"/>
      <c r="H881" s="770"/>
      <c r="I881" s="770"/>
      <c r="J881" s="770"/>
      <c r="K881" s="770"/>
      <c r="L881" s="771"/>
    </row>
    <row r="882" spans="1:12" ht="18.75" x14ac:dyDescent="0.3">
      <c r="A882" s="772" t="s">
        <v>946</v>
      </c>
      <c r="B882" s="773"/>
      <c r="C882" s="773"/>
      <c r="D882" s="773"/>
      <c r="E882" s="773"/>
      <c r="F882" s="773"/>
      <c r="G882" s="773"/>
      <c r="H882" s="773"/>
      <c r="I882" s="773"/>
      <c r="J882" s="773"/>
      <c r="K882" s="773"/>
      <c r="L882" s="774"/>
    </row>
    <row r="883" spans="1:12" ht="24" x14ac:dyDescent="0.4">
      <c r="A883" s="775" t="s">
        <v>947</v>
      </c>
      <c r="B883" s="776"/>
      <c r="C883" s="776"/>
      <c r="D883" s="776"/>
      <c r="E883" s="776"/>
      <c r="F883" s="776"/>
      <c r="G883" s="776"/>
      <c r="H883" s="776"/>
      <c r="I883" s="776"/>
      <c r="J883" s="776"/>
      <c r="K883" s="776"/>
      <c r="L883" s="777"/>
    </row>
    <row r="884" spans="1:12" ht="24" x14ac:dyDescent="0.4">
      <c r="A884" s="670" t="s">
        <v>948</v>
      </c>
      <c r="B884" s="671"/>
      <c r="C884" s="671"/>
      <c r="D884" s="672" t="s">
        <v>949</v>
      </c>
      <c r="E884" s="778" t="s">
        <v>950</v>
      </c>
      <c r="F884" s="778"/>
      <c r="G884" s="778"/>
      <c r="H884" s="778"/>
      <c r="I884" s="778"/>
      <c r="J884" s="673" t="s">
        <v>1129</v>
      </c>
      <c r="K884" s="778"/>
      <c r="L884" s="779"/>
    </row>
    <row r="885" spans="1:12" ht="15.75" thickBot="1" x14ac:dyDescent="0.3">
      <c r="A885" s="674"/>
      <c r="B885" s="675"/>
      <c r="C885" s="675"/>
      <c r="D885" s="676"/>
      <c r="E885" s="675"/>
      <c r="F885" s="675"/>
      <c r="G885" s="675"/>
      <c r="H885" s="675"/>
      <c r="I885" s="780"/>
      <c r="J885" s="780"/>
      <c r="K885" s="675"/>
      <c r="L885" s="677"/>
    </row>
    <row r="886" spans="1:12" ht="16.5" thickBot="1" x14ac:dyDescent="0.3">
      <c r="A886" s="631" t="s">
        <v>952</v>
      </c>
      <c r="B886" s="632"/>
      <c r="C886" s="633"/>
      <c r="D886" s="634" t="s">
        <v>953</v>
      </c>
      <c r="E886" s="631" t="s">
        <v>954</v>
      </c>
      <c r="F886" s="635" t="s">
        <v>955</v>
      </c>
      <c r="G886" s="631" t="s">
        <v>952</v>
      </c>
      <c r="H886" s="632"/>
      <c r="I886" s="633"/>
      <c r="J886" s="634" t="s">
        <v>953</v>
      </c>
      <c r="K886" s="631" t="s">
        <v>954</v>
      </c>
      <c r="L886" s="631" t="s">
        <v>955</v>
      </c>
    </row>
    <row r="887" spans="1:12" ht="15.75" x14ac:dyDescent="0.25">
      <c r="A887" s="636"/>
      <c r="B887" s="637"/>
      <c r="C887" s="638"/>
      <c r="D887" s="639"/>
      <c r="E887" s="640"/>
      <c r="F887" s="641"/>
      <c r="G887" s="636"/>
      <c r="H887" s="642"/>
      <c r="I887" s="643"/>
      <c r="J887" s="644"/>
      <c r="K887" s="645"/>
      <c r="L887" s="646"/>
    </row>
    <row r="888" spans="1:12" ht="15.75" x14ac:dyDescent="0.25">
      <c r="A888" s="647"/>
      <c r="B888" s="648" t="s">
        <v>459</v>
      </c>
      <c r="C888" s="649">
        <v>23</v>
      </c>
      <c r="D888" s="650" t="s">
        <v>1130</v>
      </c>
      <c r="E888" s="651"/>
      <c r="F888" s="652"/>
      <c r="G888" s="647"/>
      <c r="H888" s="648" t="s">
        <v>459</v>
      </c>
      <c r="I888" s="649">
        <v>224</v>
      </c>
      <c r="J888" s="650" t="s">
        <v>1131</v>
      </c>
      <c r="K888" s="651"/>
      <c r="L888" s="653"/>
    </row>
    <row r="889" spans="1:12" ht="15.75" x14ac:dyDescent="0.25">
      <c r="A889" s="647" t="s">
        <v>958</v>
      </c>
      <c r="B889" s="654"/>
      <c r="C889" s="649"/>
      <c r="D889" s="655" t="s">
        <v>959</v>
      </c>
      <c r="E889" s="651"/>
      <c r="F889" s="656">
        <v>0.25555555555555554</v>
      </c>
      <c r="G889" s="647"/>
      <c r="H889" s="648"/>
      <c r="I889" s="649"/>
      <c r="J889" s="655" t="s">
        <v>166</v>
      </c>
      <c r="K889" s="651"/>
      <c r="L889" s="656">
        <v>0.62847222222222221</v>
      </c>
    </row>
    <row r="890" spans="1:12" ht="15.75" x14ac:dyDescent="0.25">
      <c r="A890" s="647" t="s">
        <v>961</v>
      </c>
      <c r="B890" s="648"/>
      <c r="C890" s="649"/>
      <c r="D890" s="650" t="s">
        <v>160</v>
      </c>
      <c r="E890" s="651"/>
      <c r="F890" s="653">
        <v>0.2902777777777778</v>
      </c>
      <c r="G890" s="647" t="s">
        <v>961</v>
      </c>
      <c r="H890" s="648"/>
      <c r="I890" s="649"/>
      <c r="J890" s="650" t="s">
        <v>160</v>
      </c>
      <c r="K890" s="651"/>
      <c r="L890" s="653">
        <v>0.68263888888888891</v>
      </c>
    </row>
    <row r="891" spans="1:12" ht="15.75" x14ac:dyDescent="0.25">
      <c r="A891" s="647"/>
      <c r="B891" s="648"/>
      <c r="C891" s="649"/>
      <c r="D891" s="655" t="s">
        <v>962</v>
      </c>
      <c r="E891" s="651"/>
      <c r="F891" s="656">
        <v>0.29722222222222222</v>
      </c>
      <c r="G891" s="647"/>
      <c r="H891" s="648"/>
      <c r="I891" s="649"/>
      <c r="J891" s="655" t="s">
        <v>962</v>
      </c>
      <c r="K891" s="651"/>
      <c r="L891" s="656">
        <v>0.69305555555555554</v>
      </c>
    </row>
    <row r="892" spans="1:12" ht="15.75" x14ac:dyDescent="0.25">
      <c r="A892" s="647"/>
      <c r="B892" s="648"/>
      <c r="C892" s="649"/>
      <c r="D892" s="655" t="s">
        <v>960</v>
      </c>
      <c r="E892" s="651"/>
      <c r="F892" s="656">
        <v>0.33541666666666664</v>
      </c>
      <c r="G892" s="647"/>
      <c r="H892" s="648"/>
      <c r="I892" s="649"/>
      <c r="J892" s="655" t="s">
        <v>960</v>
      </c>
      <c r="K892" s="651"/>
      <c r="L892" s="656">
        <v>0.72430555555555554</v>
      </c>
    </row>
    <row r="893" spans="1:12" ht="15.75" x14ac:dyDescent="0.25">
      <c r="A893" s="647" t="s">
        <v>961</v>
      </c>
      <c r="B893" s="654"/>
      <c r="C893" s="649"/>
      <c r="D893" s="650" t="s">
        <v>163</v>
      </c>
      <c r="E893" s="657"/>
      <c r="F893" s="653">
        <v>0.39236111111111122</v>
      </c>
      <c r="G893" s="647" t="s">
        <v>961</v>
      </c>
      <c r="H893" s="654"/>
      <c r="I893" s="649"/>
      <c r="J893" s="650" t="s">
        <v>163</v>
      </c>
      <c r="K893" s="657"/>
      <c r="L893" s="653">
        <v>0.78125</v>
      </c>
    </row>
    <row r="894" spans="1:12" ht="15.75" x14ac:dyDescent="0.25">
      <c r="A894" s="647"/>
      <c r="B894" s="648"/>
      <c r="C894" s="649"/>
      <c r="D894" s="655" t="s">
        <v>164</v>
      </c>
      <c r="E894" s="651"/>
      <c r="F894" s="656">
        <v>0.42013888888888901</v>
      </c>
      <c r="G894" s="647"/>
      <c r="H894" s="648"/>
      <c r="I894" s="649"/>
      <c r="J894" s="655" t="s">
        <v>164</v>
      </c>
      <c r="K894" s="651"/>
      <c r="L894" s="656">
        <v>0.80555555555555558</v>
      </c>
    </row>
    <row r="895" spans="1:12" ht="15.75" x14ac:dyDescent="0.25">
      <c r="A895" s="647"/>
      <c r="B895" s="648"/>
      <c r="C895" s="649"/>
      <c r="D895" s="655" t="s">
        <v>166</v>
      </c>
      <c r="E895" s="657">
        <v>0.43402777777777779</v>
      </c>
      <c r="F895" s="656"/>
      <c r="G895" s="647"/>
      <c r="H895" s="648"/>
      <c r="I895" s="649"/>
      <c r="J895" s="655" t="s">
        <v>166</v>
      </c>
      <c r="K895" s="657">
        <v>0.81944444444444442</v>
      </c>
      <c r="L895" s="656"/>
    </row>
    <row r="896" spans="1:12" ht="15.75" x14ac:dyDescent="0.25">
      <c r="A896" s="647"/>
      <c r="B896" s="648" t="s">
        <v>459</v>
      </c>
      <c r="C896" s="649">
        <v>23</v>
      </c>
      <c r="D896" s="650" t="s">
        <v>1132</v>
      </c>
      <c r="E896" s="651"/>
      <c r="F896" s="653"/>
      <c r="G896" s="647"/>
      <c r="H896" s="648" t="s">
        <v>462</v>
      </c>
      <c r="I896" s="649" t="s">
        <v>459</v>
      </c>
      <c r="J896" s="650"/>
      <c r="K896" s="651"/>
      <c r="L896" s="653"/>
    </row>
    <row r="897" spans="1:12" ht="15.75" x14ac:dyDescent="0.25">
      <c r="A897" s="647"/>
      <c r="B897" s="648"/>
      <c r="C897" s="649"/>
      <c r="D897" s="655"/>
      <c r="E897" s="651"/>
      <c r="F897" s="656"/>
      <c r="G897" s="647"/>
      <c r="H897" s="648"/>
      <c r="I897" s="649"/>
      <c r="J897" s="655"/>
      <c r="K897" s="651"/>
      <c r="L897" s="656"/>
    </row>
    <row r="898" spans="1:12" ht="15.75" x14ac:dyDescent="0.25">
      <c r="A898" s="647"/>
      <c r="B898" s="648" t="s">
        <v>459</v>
      </c>
      <c r="C898" s="649">
        <v>7</v>
      </c>
      <c r="D898" s="650" t="s">
        <v>1133</v>
      </c>
      <c r="E898" s="651"/>
      <c r="F898" s="653"/>
      <c r="G898" s="647"/>
      <c r="H898" s="648" t="s">
        <v>459</v>
      </c>
      <c r="I898" s="649">
        <v>53</v>
      </c>
      <c r="J898" s="650" t="s">
        <v>1134</v>
      </c>
      <c r="K898" s="651"/>
      <c r="L898" s="653"/>
    </row>
    <row r="899" spans="1:12" ht="15.75" x14ac:dyDescent="0.25">
      <c r="A899" s="647"/>
      <c r="B899" s="648"/>
      <c r="C899" s="649"/>
      <c r="D899" s="655" t="s">
        <v>166</v>
      </c>
      <c r="E899" s="651"/>
      <c r="F899" s="656">
        <v>0.43402777777777779</v>
      </c>
      <c r="G899" s="647"/>
      <c r="H899" s="648"/>
      <c r="I899" s="649"/>
      <c r="J899" s="655" t="s">
        <v>166</v>
      </c>
      <c r="K899" s="651"/>
      <c r="L899" s="656">
        <v>0.81944444444444442</v>
      </c>
    </row>
    <row r="900" spans="1:12" ht="15.75" x14ac:dyDescent="0.25">
      <c r="A900" s="647" t="s">
        <v>961</v>
      </c>
      <c r="B900" s="648"/>
      <c r="C900" s="649"/>
      <c r="D900" s="650" t="s">
        <v>160</v>
      </c>
      <c r="E900" s="651"/>
      <c r="F900" s="653">
        <v>0.4826388888888889</v>
      </c>
      <c r="G900" s="647" t="s">
        <v>961</v>
      </c>
      <c r="H900" s="648"/>
      <c r="I900" s="649"/>
      <c r="J900" s="650" t="s">
        <v>160</v>
      </c>
      <c r="K900" s="651"/>
      <c r="L900" s="653">
        <v>0.86111111111111116</v>
      </c>
    </row>
    <row r="901" spans="1:12" ht="15.75" x14ac:dyDescent="0.25">
      <c r="A901" s="647"/>
      <c r="B901" s="648"/>
      <c r="C901" s="649"/>
      <c r="D901" s="655" t="s">
        <v>962</v>
      </c>
      <c r="E901" s="651"/>
      <c r="F901" s="656">
        <v>0.49305555555555558</v>
      </c>
      <c r="G901" s="647"/>
      <c r="H901" s="648"/>
      <c r="I901" s="649"/>
      <c r="J901" s="655" t="s">
        <v>962</v>
      </c>
      <c r="K901" s="651"/>
      <c r="L901" s="656">
        <v>0.86805555555555558</v>
      </c>
    </row>
    <row r="902" spans="1:12" ht="15.75" x14ac:dyDescent="0.25">
      <c r="A902" s="647"/>
      <c r="B902" s="648"/>
      <c r="C902" s="649"/>
      <c r="D902" s="655" t="s">
        <v>960</v>
      </c>
      <c r="E902" s="657">
        <v>0.51736111111111116</v>
      </c>
      <c r="F902" s="656"/>
      <c r="G902" s="647"/>
      <c r="H902" s="648"/>
      <c r="I902" s="649"/>
      <c r="J902" s="655" t="s">
        <v>960</v>
      </c>
      <c r="K902" s="657"/>
      <c r="L902" s="656">
        <v>0.89583333333333337</v>
      </c>
    </row>
    <row r="903" spans="1:12" ht="15.75" x14ac:dyDescent="0.25">
      <c r="A903" s="647"/>
      <c r="B903" s="648" t="s">
        <v>462</v>
      </c>
      <c r="C903" s="649" t="s">
        <v>459</v>
      </c>
      <c r="D903" s="650"/>
      <c r="E903" s="657"/>
      <c r="F903" s="653"/>
      <c r="G903" s="647" t="s">
        <v>961</v>
      </c>
      <c r="H903" s="654"/>
      <c r="I903" s="649"/>
      <c r="J903" s="650" t="s">
        <v>163</v>
      </c>
      <c r="K903" s="657"/>
      <c r="L903" s="653">
        <v>0.93055555555555458</v>
      </c>
    </row>
    <row r="904" spans="1:12" ht="15.75" x14ac:dyDescent="0.25">
      <c r="A904" s="647"/>
      <c r="B904" s="648"/>
      <c r="C904" s="649"/>
      <c r="D904" s="650"/>
      <c r="E904" s="657"/>
      <c r="F904" s="652"/>
      <c r="G904" s="647"/>
      <c r="H904" s="648"/>
      <c r="I904" s="649"/>
      <c r="J904" s="655" t="s">
        <v>164</v>
      </c>
      <c r="K904" s="651"/>
      <c r="L904" s="656">
        <v>0.95138888888888795</v>
      </c>
    </row>
    <row r="905" spans="1:12" ht="15.75" x14ac:dyDescent="0.25">
      <c r="A905" s="647"/>
      <c r="B905" s="648" t="s">
        <v>459</v>
      </c>
      <c r="C905" s="649">
        <v>31</v>
      </c>
      <c r="D905" s="650" t="s">
        <v>1135</v>
      </c>
      <c r="E905" s="651"/>
      <c r="F905" s="653"/>
      <c r="G905" s="647"/>
      <c r="H905" s="648"/>
      <c r="I905" s="649"/>
      <c r="J905" s="655" t="s">
        <v>166</v>
      </c>
      <c r="K905" s="651"/>
      <c r="L905" s="656">
        <v>0.96180555555555558</v>
      </c>
    </row>
    <row r="906" spans="1:12" ht="15.75" x14ac:dyDescent="0.25">
      <c r="A906" s="647"/>
      <c r="B906" s="648"/>
      <c r="C906" s="649"/>
      <c r="D906" s="655" t="s">
        <v>960</v>
      </c>
      <c r="E906" s="651"/>
      <c r="F906" s="656">
        <v>0.51736111111111116</v>
      </c>
      <c r="G906" s="647" t="s">
        <v>958</v>
      </c>
      <c r="H906" s="648"/>
      <c r="I906" s="649"/>
      <c r="J906" s="650" t="s">
        <v>160</v>
      </c>
      <c r="K906" s="657">
        <v>0.9916666666666667</v>
      </c>
      <c r="L906" s="653"/>
    </row>
    <row r="907" spans="1:12" ht="15.75" x14ac:dyDescent="0.25">
      <c r="A907" s="647" t="s">
        <v>961</v>
      </c>
      <c r="B907" s="654"/>
      <c r="C907" s="649"/>
      <c r="D907" s="650" t="s">
        <v>163</v>
      </c>
      <c r="E907" s="657"/>
      <c r="F907" s="653">
        <v>0.57986111111111116</v>
      </c>
      <c r="G907" s="647"/>
      <c r="H907" s="648"/>
      <c r="I907" s="649"/>
      <c r="J907" s="650" t="s">
        <v>963</v>
      </c>
      <c r="K907" s="657">
        <v>1.0229166666666667</v>
      </c>
      <c r="L907" s="653"/>
    </row>
    <row r="908" spans="1:12" ht="15.75" x14ac:dyDescent="0.25">
      <c r="A908" s="647"/>
      <c r="B908" s="648"/>
      <c r="C908" s="649"/>
      <c r="D908" s="655" t="s">
        <v>164</v>
      </c>
      <c r="E908" s="651"/>
      <c r="F908" s="656">
        <v>0.61458333333333337</v>
      </c>
      <c r="G908" s="647"/>
      <c r="H908" s="648" t="s">
        <v>462</v>
      </c>
      <c r="I908" s="649" t="s">
        <v>459</v>
      </c>
      <c r="J908" s="650"/>
      <c r="K908" s="657"/>
      <c r="L908" s="656"/>
    </row>
    <row r="909" spans="1:12" ht="15.75" x14ac:dyDescent="0.25">
      <c r="A909" s="647"/>
      <c r="B909" s="648"/>
      <c r="C909" s="649"/>
      <c r="D909" s="655" t="s">
        <v>166</v>
      </c>
      <c r="E909" s="657">
        <v>0.62847222222222221</v>
      </c>
      <c r="F909" s="656"/>
      <c r="G909" s="647"/>
      <c r="H909" s="654"/>
      <c r="I909" s="649"/>
      <c r="J909" s="650"/>
      <c r="K909" s="657"/>
      <c r="L909" s="653"/>
    </row>
    <row r="910" spans="1:12" ht="15.75" x14ac:dyDescent="0.25">
      <c r="A910" s="647"/>
      <c r="B910" s="648" t="s">
        <v>462</v>
      </c>
      <c r="C910" s="649" t="s">
        <v>459</v>
      </c>
      <c r="D910" s="650"/>
      <c r="E910" s="651"/>
      <c r="F910" s="653"/>
      <c r="G910" s="647"/>
      <c r="H910" s="648"/>
      <c r="I910" s="649"/>
      <c r="J910" s="650"/>
      <c r="K910" s="657"/>
      <c r="L910" s="652"/>
    </row>
    <row r="911" spans="1:12" ht="15.75" x14ac:dyDescent="0.25">
      <c r="A911" s="647"/>
      <c r="B911" s="648"/>
      <c r="C911" s="649"/>
      <c r="D911" s="655"/>
      <c r="E911" s="651"/>
      <c r="F911" s="656"/>
      <c r="G911" s="647"/>
      <c r="H911" s="648"/>
      <c r="I911" s="649"/>
      <c r="J911" s="650"/>
      <c r="K911" s="657"/>
      <c r="L911" s="652"/>
    </row>
    <row r="912" spans="1:12" ht="15.75" x14ac:dyDescent="0.25">
      <c r="A912" s="647"/>
      <c r="B912" s="648"/>
      <c r="C912" s="649"/>
      <c r="D912" s="650"/>
      <c r="E912" s="651"/>
      <c r="F912" s="653"/>
      <c r="G912" s="647"/>
      <c r="H912" s="648"/>
      <c r="I912" s="649"/>
      <c r="J912" s="650"/>
      <c r="K912" s="651"/>
      <c r="L912" s="652"/>
    </row>
    <row r="913" spans="1:12" ht="15.75" x14ac:dyDescent="0.25">
      <c r="A913" s="647"/>
      <c r="B913" s="648"/>
      <c r="C913" s="649"/>
      <c r="D913" s="655"/>
      <c r="E913" s="651"/>
      <c r="F913" s="656"/>
      <c r="G913" s="647"/>
      <c r="H913" s="648"/>
      <c r="I913" s="649"/>
      <c r="J913" s="650"/>
      <c r="K913" s="651"/>
      <c r="L913" s="658"/>
    </row>
    <row r="914" spans="1:12" ht="15.75" x14ac:dyDescent="0.25">
      <c r="A914" s="647"/>
      <c r="B914" s="648"/>
      <c r="C914" s="649"/>
      <c r="D914" s="650"/>
      <c r="E914" s="657"/>
      <c r="F914" s="653"/>
      <c r="G914" s="647"/>
      <c r="H914" s="648"/>
      <c r="I914" s="649"/>
      <c r="J914" s="655"/>
      <c r="K914" s="651"/>
      <c r="L914" s="658"/>
    </row>
    <row r="915" spans="1:12" ht="15.75" x14ac:dyDescent="0.25">
      <c r="A915" s="647"/>
      <c r="B915" s="648"/>
      <c r="C915" s="649"/>
      <c r="D915" s="650"/>
      <c r="E915" s="657"/>
      <c r="F915" s="656"/>
      <c r="G915" s="647"/>
      <c r="H915" s="648"/>
      <c r="I915" s="649"/>
      <c r="J915" s="650"/>
      <c r="K915" s="651"/>
      <c r="L915" s="658"/>
    </row>
    <row r="916" spans="1:12" ht="15.75" x14ac:dyDescent="0.25">
      <c r="A916" s="647"/>
      <c r="B916" s="648"/>
      <c r="C916" s="649"/>
      <c r="D916" s="650"/>
      <c r="E916" s="651"/>
      <c r="F916" s="656"/>
      <c r="G916" s="647"/>
      <c r="H916" s="648"/>
      <c r="I916" s="649"/>
      <c r="J916" s="650"/>
      <c r="K916" s="651"/>
      <c r="L916" s="652"/>
    </row>
    <row r="917" spans="1:12" ht="15.75" x14ac:dyDescent="0.25">
      <c r="A917" s="647"/>
      <c r="B917" s="648"/>
      <c r="C917" s="649"/>
      <c r="D917" s="650"/>
      <c r="E917" s="657"/>
      <c r="F917" s="653"/>
      <c r="G917" s="647"/>
      <c r="H917" s="648"/>
      <c r="I917" s="649"/>
      <c r="J917" s="650"/>
      <c r="K917" s="651"/>
      <c r="L917" s="658"/>
    </row>
    <row r="918" spans="1:12" ht="15.75" x14ac:dyDescent="0.25">
      <c r="A918" s="647"/>
      <c r="B918" s="648"/>
      <c r="C918" s="649"/>
      <c r="D918" s="650"/>
      <c r="E918" s="657"/>
      <c r="F918" s="652"/>
      <c r="G918" s="647"/>
      <c r="H918" s="648"/>
      <c r="I918" s="649"/>
      <c r="J918" s="655"/>
      <c r="K918" s="651"/>
      <c r="L918" s="658"/>
    </row>
    <row r="919" spans="1:12" ht="15.75" x14ac:dyDescent="0.25">
      <c r="A919" s="647"/>
      <c r="B919" s="648"/>
      <c r="C919" s="649"/>
      <c r="D919" s="650"/>
      <c r="E919" s="651"/>
      <c r="F919" s="652"/>
      <c r="G919" s="647"/>
      <c r="H919" s="648"/>
      <c r="I919" s="649"/>
      <c r="J919" s="650"/>
      <c r="K919" s="651"/>
      <c r="L919" s="658"/>
    </row>
    <row r="920" spans="1:12" ht="16.5" thickBot="1" x14ac:dyDescent="0.3">
      <c r="A920" s="659"/>
      <c r="B920" s="660"/>
      <c r="C920" s="661"/>
      <c r="D920" s="662"/>
      <c r="E920" s="663"/>
      <c r="F920" s="664"/>
      <c r="G920" s="665"/>
      <c r="H920" s="666"/>
      <c r="I920" s="667"/>
      <c r="J920" s="668"/>
      <c r="K920" s="663"/>
      <c r="L920" s="669"/>
    </row>
    <row r="921" spans="1:12" ht="21" x14ac:dyDescent="0.35">
      <c r="A921" s="769" t="s">
        <v>945</v>
      </c>
      <c r="B921" s="770"/>
      <c r="C921" s="770"/>
      <c r="D921" s="770"/>
      <c r="E921" s="770"/>
      <c r="F921" s="770"/>
      <c r="G921" s="770"/>
      <c r="H921" s="770"/>
      <c r="I921" s="770"/>
      <c r="J921" s="770"/>
      <c r="K921" s="770"/>
      <c r="L921" s="771"/>
    </row>
    <row r="922" spans="1:12" ht="18.75" x14ac:dyDescent="0.3">
      <c r="A922" s="772" t="s">
        <v>946</v>
      </c>
      <c r="B922" s="773"/>
      <c r="C922" s="773"/>
      <c r="D922" s="773"/>
      <c r="E922" s="773"/>
      <c r="F922" s="773"/>
      <c r="G922" s="773"/>
      <c r="H922" s="773"/>
      <c r="I922" s="773"/>
      <c r="J922" s="773"/>
      <c r="K922" s="773"/>
      <c r="L922" s="774"/>
    </row>
    <row r="923" spans="1:12" ht="24" x14ac:dyDescent="0.4">
      <c r="A923" s="775" t="s">
        <v>947</v>
      </c>
      <c r="B923" s="776"/>
      <c r="C923" s="776"/>
      <c r="D923" s="776"/>
      <c r="E923" s="776"/>
      <c r="F923" s="776"/>
      <c r="G923" s="776"/>
      <c r="H923" s="776"/>
      <c r="I923" s="776"/>
      <c r="J923" s="776"/>
      <c r="K923" s="776"/>
      <c r="L923" s="777"/>
    </row>
    <row r="924" spans="1:12" ht="24" x14ac:dyDescent="0.4">
      <c r="A924" s="670" t="s">
        <v>948</v>
      </c>
      <c r="B924" s="671"/>
      <c r="C924" s="671"/>
      <c r="D924" s="672" t="s">
        <v>949</v>
      </c>
      <c r="E924" s="778" t="s">
        <v>950</v>
      </c>
      <c r="F924" s="778"/>
      <c r="G924" s="778"/>
      <c r="H924" s="778"/>
      <c r="I924" s="778"/>
      <c r="J924" s="673" t="s">
        <v>1136</v>
      </c>
      <c r="K924" s="778"/>
      <c r="L924" s="779"/>
    </row>
    <row r="925" spans="1:12" ht="15.75" thickBot="1" x14ac:dyDescent="0.3">
      <c r="A925" s="674"/>
      <c r="B925" s="675"/>
      <c r="C925" s="675"/>
      <c r="D925" s="676"/>
      <c r="E925" s="675"/>
      <c r="F925" s="675"/>
      <c r="G925" s="675"/>
      <c r="H925" s="675"/>
      <c r="I925" s="780"/>
      <c r="J925" s="780"/>
      <c r="K925" s="675"/>
      <c r="L925" s="677"/>
    </row>
    <row r="926" spans="1:12" ht="16.5" thickBot="1" x14ac:dyDescent="0.3">
      <c r="A926" s="631" t="s">
        <v>952</v>
      </c>
      <c r="B926" s="632"/>
      <c r="C926" s="633"/>
      <c r="D926" s="634" t="s">
        <v>953</v>
      </c>
      <c r="E926" s="631" t="s">
        <v>954</v>
      </c>
      <c r="F926" s="635" t="s">
        <v>955</v>
      </c>
      <c r="G926" s="631" t="s">
        <v>952</v>
      </c>
      <c r="H926" s="632"/>
      <c r="I926" s="633"/>
      <c r="J926" s="634" t="s">
        <v>953</v>
      </c>
      <c r="K926" s="631" t="s">
        <v>954</v>
      </c>
      <c r="L926" s="631" t="s">
        <v>955</v>
      </c>
    </row>
    <row r="927" spans="1:12" ht="15.75" x14ac:dyDescent="0.25">
      <c r="A927" s="636"/>
      <c r="B927" s="637"/>
      <c r="C927" s="638"/>
      <c r="D927" s="639"/>
      <c r="E927" s="640"/>
      <c r="F927" s="641"/>
      <c r="G927" s="636"/>
      <c r="H927" s="642"/>
      <c r="I927" s="643"/>
      <c r="J927" s="644"/>
      <c r="K927" s="645"/>
      <c r="L927" s="646"/>
    </row>
    <row r="928" spans="1:12" ht="15.75" x14ac:dyDescent="0.25">
      <c r="A928" s="647"/>
      <c r="B928" s="648" t="s">
        <v>459</v>
      </c>
      <c r="C928" s="649">
        <v>24</v>
      </c>
      <c r="D928" s="650" t="s">
        <v>1137</v>
      </c>
      <c r="E928" s="651"/>
      <c r="F928" s="652"/>
      <c r="G928" s="647"/>
      <c r="H928" s="648" t="s">
        <v>459</v>
      </c>
      <c r="I928" s="649">
        <v>35</v>
      </c>
      <c r="J928" s="650" t="s">
        <v>1138</v>
      </c>
      <c r="K928" s="651"/>
      <c r="L928" s="653"/>
    </row>
    <row r="929" spans="1:12" ht="15.75" x14ac:dyDescent="0.25">
      <c r="A929" s="647" t="s">
        <v>958</v>
      </c>
      <c r="B929" s="654"/>
      <c r="C929" s="649"/>
      <c r="D929" s="655" t="s">
        <v>959</v>
      </c>
      <c r="E929" s="651"/>
      <c r="F929" s="656">
        <v>0.25694444444444442</v>
      </c>
      <c r="G929" s="647"/>
      <c r="H929" s="648"/>
      <c r="I929" s="649"/>
      <c r="J929" s="655" t="s">
        <v>166</v>
      </c>
      <c r="K929" s="651"/>
      <c r="L929" s="656">
        <v>0.63541666666666663</v>
      </c>
    </row>
    <row r="930" spans="1:12" ht="15.75" x14ac:dyDescent="0.25">
      <c r="A930" s="647" t="s">
        <v>961</v>
      </c>
      <c r="B930" s="648"/>
      <c r="C930" s="649"/>
      <c r="D930" s="650" t="s">
        <v>160</v>
      </c>
      <c r="E930" s="651"/>
      <c r="F930" s="653">
        <v>0.2951388888888889</v>
      </c>
      <c r="G930" s="647" t="s">
        <v>961</v>
      </c>
      <c r="H930" s="648"/>
      <c r="I930" s="649"/>
      <c r="J930" s="650" t="s">
        <v>160</v>
      </c>
      <c r="K930" s="651"/>
      <c r="L930" s="653">
        <v>0.69305555555555554</v>
      </c>
    </row>
    <row r="931" spans="1:12" ht="15.75" x14ac:dyDescent="0.25">
      <c r="A931" s="647"/>
      <c r="B931" s="648"/>
      <c r="C931" s="649"/>
      <c r="D931" s="655" t="s">
        <v>962</v>
      </c>
      <c r="E931" s="651"/>
      <c r="F931" s="656">
        <v>0.30208333333333331</v>
      </c>
      <c r="G931" s="647"/>
      <c r="H931" s="648"/>
      <c r="I931" s="649"/>
      <c r="J931" s="655" t="s">
        <v>962</v>
      </c>
      <c r="K931" s="651"/>
      <c r="L931" s="656">
        <v>0.70347222222222228</v>
      </c>
    </row>
    <row r="932" spans="1:12" ht="15.75" x14ac:dyDescent="0.25">
      <c r="A932" s="647"/>
      <c r="B932" s="648"/>
      <c r="C932" s="649"/>
      <c r="D932" s="655" t="s">
        <v>960</v>
      </c>
      <c r="E932" s="651"/>
      <c r="F932" s="656">
        <v>0.34027777777777779</v>
      </c>
      <c r="G932" s="647"/>
      <c r="H932" s="648"/>
      <c r="I932" s="649"/>
      <c r="J932" s="655" t="s">
        <v>960</v>
      </c>
      <c r="K932" s="651"/>
      <c r="L932" s="656">
        <v>0.73472222222222228</v>
      </c>
    </row>
    <row r="933" spans="1:12" ht="15.75" x14ac:dyDescent="0.25">
      <c r="A933" s="647" t="s">
        <v>961</v>
      </c>
      <c r="B933" s="654"/>
      <c r="C933" s="649"/>
      <c r="D933" s="650" t="s">
        <v>163</v>
      </c>
      <c r="E933" s="657"/>
      <c r="F933" s="653">
        <v>0.39930555555555519</v>
      </c>
      <c r="G933" s="647" t="s">
        <v>961</v>
      </c>
      <c r="H933" s="654"/>
      <c r="I933" s="649"/>
      <c r="J933" s="650" t="s">
        <v>163</v>
      </c>
      <c r="K933" s="657"/>
      <c r="L933" s="653">
        <v>0.7951388888888884</v>
      </c>
    </row>
    <row r="934" spans="1:12" ht="15.75" x14ac:dyDescent="0.25">
      <c r="A934" s="647"/>
      <c r="B934" s="648"/>
      <c r="C934" s="649"/>
      <c r="D934" s="655" t="s">
        <v>164</v>
      </c>
      <c r="E934" s="651"/>
      <c r="F934" s="656">
        <v>0.42708333333333298</v>
      </c>
      <c r="G934" s="647"/>
      <c r="H934" s="648"/>
      <c r="I934" s="649"/>
      <c r="J934" s="655" t="s">
        <v>164</v>
      </c>
      <c r="K934" s="651"/>
      <c r="L934" s="656">
        <v>0.81944444444444398</v>
      </c>
    </row>
    <row r="935" spans="1:12" ht="15.75" x14ac:dyDescent="0.25">
      <c r="A935" s="647"/>
      <c r="B935" s="648"/>
      <c r="C935" s="649"/>
      <c r="D935" s="655" t="s">
        <v>166</v>
      </c>
      <c r="E935" s="657">
        <v>0.44097222222222221</v>
      </c>
      <c r="F935" s="656"/>
      <c r="G935" s="647"/>
      <c r="H935" s="648"/>
      <c r="I935" s="649"/>
      <c r="J935" s="655" t="s">
        <v>166</v>
      </c>
      <c r="K935" s="657">
        <v>0.83333333333333337</v>
      </c>
      <c r="L935" s="656"/>
    </row>
    <row r="936" spans="1:12" ht="15.75" x14ac:dyDescent="0.25">
      <c r="A936" s="647"/>
      <c r="B936" s="648" t="s">
        <v>459</v>
      </c>
      <c r="C936" s="649">
        <v>24</v>
      </c>
      <c r="D936" s="650" t="s">
        <v>1139</v>
      </c>
      <c r="E936" s="651"/>
      <c r="F936" s="653"/>
      <c r="G936" s="647"/>
      <c r="H936" s="648" t="s">
        <v>462</v>
      </c>
      <c r="I936" s="649" t="s">
        <v>459</v>
      </c>
      <c r="J936" s="650"/>
      <c r="K936" s="651"/>
      <c r="L936" s="653"/>
    </row>
    <row r="937" spans="1:12" ht="15.75" x14ac:dyDescent="0.25">
      <c r="A937" s="647"/>
      <c r="B937" s="648"/>
      <c r="C937" s="649"/>
      <c r="D937" s="655"/>
      <c r="E937" s="651"/>
      <c r="F937" s="656"/>
      <c r="G937" s="647"/>
      <c r="H937" s="648"/>
      <c r="I937" s="649"/>
      <c r="J937" s="655"/>
      <c r="K937" s="651"/>
      <c r="L937" s="656"/>
    </row>
    <row r="938" spans="1:12" ht="15.75" x14ac:dyDescent="0.25">
      <c r="A938" s="647"/>
      <c r="B938" s="648" t="s">
        <v>459</v>
      </c>
      <c r="C938" s="649">
        <v>13</v>
      </c>
      <c r="D938" s="650" t="s">
        <v>1140</v>
      </c>
      <c r="E938" s="651"/>
      <c r="F938" s="653"/>
      <c r="G938" s="647"/>
      <c r="H938" s="648" t="s">
        <v>459</v>
      </c>
      <c r="I938" s="649">
        <v>47</v>
      </c>
      <c r="J938" s="650" t="s">
        <v>1141</v>
      </c>
      <c r="K938" s="651"/>
      <c r="L938" s="653"/>
    </row>
    <row r="939" spans="1:12" ht="15.75" x14ac:dyDescent="0.25">
      <c r="A939" s="647"/>
      <c r="B939" s="648"/>
      <c r="C939" s="649"/>
      <c r="D939" s="655" t="s">
        <v>166</v>
      </c>
      <c r="E939" s="651"/>
      <c r="F939" s="656">
        <v>0.44097222222222221</v>
      </c>
      <c r="G939" s="647"/>
      <c r="H939" s="648"/>
      <c r="I939" s="649"/>
      <c r="J939" s="655" t="s">
        <v>166</v>
      </c>
      <c r="K939" s="651"/>
      <c r="L939" s="656">
        <v>0.83333333333333337</v>
      </c>
    </row>
    <row r="940" spans="1:12" ht="15.75" x14ac:dyDescent="0.25">
      <c r="A940" s="647" t="s">
        <v>961</v>
      </c>
      <c r="B940" s="648"/>
      <c r="C940" s="649"/>
      <c r="D940" s="650" t="s">
        <v>160</v>
      </c>
      <c r="E940" s="651"/>
      <c r="F940" s="653">
        <v>0.48958333333333331</v>
      </c>
      <c r="G940" s="647" t="s">
        <v>961</v>
      </c>
      <c r="H940" s="648"/>
      <c r="I940" s="649"/>
      <c r="J940" s="650" t="s">
        <v>160</v>
      </c>
      <c r="K940" s="651"/>
      <c r="L940" s="653">
        <v>0.875</v>
      </c>
    </row>
    <row r="941" spans="1:12" ht="15.75" x14ac:dyDescent="0.25">
      <c r="A941" s="647"/>
      <c r="B941" s="648"/>
      <c r="C941" s="649"/>
      <c r="D941" s="655" t="s">
        <v>962</v>
      </c>
      <c r="E941" s="651"/>
      <c r="F941" s="656">
        <v>0.5</v>
      </c>
      <c r="G941" s="647"/>
      <c r="H941" s="648"/>
      <c r="I941" s="649"/>
      <c r="J941" s="655" t="s">
        <v>962</v>
      </c>
      <c r="K941" s="651"/>
      <c r="L941" s="656">
        <v>0.88194444444444442</v>
      </c>
    </row>
    <row r="942" spans="1:12" ht="15.75" x14ac:dyDescent="0.25">
      <c r="A942" s="647"/>
      <c r="B942" s="648"/>
      <c r="C942" s="649"/>
      <c r="D942" s="655" t="s">
        <v>960</v>
      </c>
      <c r="E942" s="657">
        <v>0.53472222222222221</v>
      </c>
      <c r="F942" s="656"/>
      <c r="G942" s="647"/>
      <c r="H942" s="648"/>
      <c r="I942" s="649"/>
      <c r="J942" s="655" t="s">
        <v>960</v>
      </c>
      <c r="K942" s="657">
        <v>0.90972222222222221</v>
      </c>
      <c r="L942" s="656"/>
    </row>
    <row r="943" spans="1:12" ht="15.75" x14ac:dyDescent="0.25">
      <c r="A943" s="647"/>
      <c r="B943" s="648" t="s">
        <v>462</v>
      </c>
      <c r="C943" s="649" t="s">
        <v>459</v>
      </c>
      <c r="D943" s="650"/>
      <c r="E943" s="657"/>
      <c r="F943" s="653"/>
      <c r="G943" s="647"/>
      <c r="H943" s="648" t="s">
        <v>462</v>
      </c>
      <c r="I943" s="649" t="s">
        <v>459</v>
      </c>
      <c r="J943" s="650"/>
      <c r="K943" s="657"/>
      <c r="L943" s="653"/>
    </row>
    <row r="944" spans="1:12" ht="15.75" x14ac:dyDescent="0.25">
      <c r="A944" s="647"/>
      <c r="B944" s="648"/>
      <c r="C944" s="649"/>
      <c r="D944" s="650"/>
      <c r="E944" s="657"/>
      <c r="F944" s="652"/>
      <c r="G944" s="647"/>
      <c r="H944" s="648"/>
      <c r="I944" s="649"/>
      <c r="J944" s="650"/>
      <c r="K944" s="657"/>
      <c r="L944" s="652"/>
    </row>
    <row r="945" spans="1:12" ht="15.75" x14ac:dyDescent="0.25">
      <c r="A945" s="647"/>
      <c r="B945" s="648" t="s">
        <v>459</v>
      </c>
      <c r="C945" s="649">
        <v>32</v>
      </c>
      <c r="D945" s="650" t="s">
        <v>1142</v>
      </c>
      <c r="E945" s="651"/>
      <c r="F945" s="653"/>
      <c r="G945" s="647"/>
      <c r="H945" s="648" t="s">
        <v>459</v>
      </c>
      <c r="I945" s="649">
        <v>62</v>
      </c>
      <c r="J945" s="650" t="s">
        <v>1143</v>
      </c>
      <c r="K945" s="651"/>
      <c r="L945" s="653"/>
    </row>
    <row r="946" spans="1:12" ht="15.75" x14ac:dyDescent="0.25">
      <c r="A946" s="647"/>
      <c r="B946" s="648"/>
      <c r="C946" s="649"/>
      <c r="D946" s="655" t="s">
        <v>960</v>
      </c>
      <c r="E946" s="651"/>
      <c r="F946" s="656">
        <v>0.53472222222222221</v>
      </c>
      <c r="G946" s="647"/>
      <c r="H946" s="648"/>
      <c r="I946" s="649"/>
      <c r="J946" s="655" t="s">
        <v>960</v>
      </c>
      <c r="K946" s="651"/>
      <c r="L946" s="656">
        <v>0.90972222222222221</v>
      </c>
    </row>
    <row r="947" spans="1:12" ht="15.75" x14ac:dyDescent="0.25">
      <c r="A947" s="647" t="s">
        <v>961</v>
      </c>
      <c r="B947" s="654"/>
      <c r="C947" s="649"/>
      <c r="D947" s="650" t="s">
        <v>163</v>
      </c>
      <c r="E947" s="657"/>
      <c r="F947" s="653">
        <v>0.58680555555555558</v>
      </c>
      <c r="G947" s="647" t="s">
        <v>961</v>
      </c>
      <c r="H947" s="654"/>
      <c r="I947" s="649"/>
      <c r="J947" s="650" t="s">
        <v>163</v>
      </c>
      <c r="K947" s="657"/>
      <c r="L947" s="653">
        <v>0.95138888888888884</v>
      </c>
    </row>
    <row r="948" spans="1:12" ht="15.75" x14ac:dyDescent="0.25">
      <c r="A948" s="647"/>
      <c r="B948" s="648"/>
      <c r="C948" s="649"/>
      <c r="D948" s="655" t="s">
        <v>164</v>
      </c>
      <c r="E948" s="651"/>
      <c r="F948" s="656">
        <v>0.62152777777777779</v>
      </c>
      <c r="G948" s="647"/>
      <c r="H948" s="648"/>
      <c r="I948" s="649"/>
      <c r="J948" s="655" t="s">
        <v>164</v>
      </c>
      <c r="K948" s="651"/>
      <c r="L948" s="656">
        <v>0.97222222222222221</v>
      </c>
    </row>
    <row r="949" spans="1:12" ht="15.75" x14ac:dyDescent="0.25">
      <c r="A949" s="647"/>
      <c r="B949" s="648"/>
      <c r="C949" s="649"/>
      <c r="D949" s="655" t="s">
        <v>166</v>
      </c>
      <c r="E949" s="657">
        <v>0.63541666666666663</v>
      </c>
      <c r="F949" s="656"/>
      <c r="G949" s="647"/>
      <c r="H949" s="648"/>
      <c r="I949" s="649"/>
      <c r="J949" s="655" t="s">
        <v>166</v>
      </c>
      <c r="K949" s="651"/>
      <c r="L949" s="656">
        <v>0.98263888888888884</v>
      </c>
    </row>
    <row r="950" spans="1:12" ht="15.75" x14ac:dyDescent="0.25">
      <c r="A950" s="647"/>
      <c r="B950" s="648" t="s">
        <v>462</v>
      </c>
      <c r="C950" s="649" t="s">
        <v>459</v>
      </c>
      <c r="D950" s="650"/>
      <c r="E950" s="651"/>
      <c r="F950" s="653"/>
      <c r="G950" s="647" t="s">
        <v>958</v>
      </c>
      <c r="H950" s="648"/>
      <c r="I950" s="649"/>
      <c r="J950" s="650" t="s">
        <v>160</v>
      </c>
      <c r="K950" s="657">
        <v>1.0125</v>
      </c>
      <c r="L950" s="653"/>
    </row>
    <row r="951" spans="1:12" ht="15.75" x14ac:dyDescent="0.25">
      <c r="A951" s="647"/>
      <c r="B951" s="648"/>
      <c r="C951" s="649"/>
      <c r="D951" s="655"/>
      <c r="E951" s="651"/>
      <c r="F951" s="656"/>
      <c r="G951" s="647"/>
      <c r="H951" s="648"/>
      <c r="I951" s="649"/>
      <c r="J951" s="650" t="s">
        <v>963</v>
      </c>
      <c r="K951" s="657">
        <v>4.3749999999999997E-2</v>
      </c>
      <c r="L951" s="653"/>
    </row>
    <row r="952" spans="1:12" ht="15.75" x14ac:dyDescent="0.25">
      <c r="A952" s="647"/>
      <c r="B952" s="648"/>
      <c r="C952" s="649"/>
      <c r="D952" s="650"/>
      <c r="E952" s="651"/>
      <c r="F952" s="653"/>
      <c r="G952" s="647"/>
      <c r="H952" s="648" t="s">
        <v>462</v>
      </c>
      <c r="I952" s="649" t="s">
        <v>459</v>
      </c>
      <c r="J952" s="650"/>
      <c r="K952" s="657"/>
      <c r="L952" s="656"/>
    </row>
    <row r="953" spans="1:12" ht="15.75" x14ac:dyDescent="0.25">
      <c r="A953" s="647"/>
      <c r="B953" s="648"/>
      <c r="C953" s="649"/>
      <c r="D953" s="655"/>
      <c r="E953" s="651"/>
      <c r="F953" s="656"/>
      <c r="G953" s="647"/>
      <c r="H953" s="648"/>
      <c r="I953" s="649"/>
      <c r="J953" s="650"/>
      <c r="K953" s="651"/>
      <c r="L953" s="658"/>
    </row>
    <row r="954" spans="1:12" ht="15.75" x14ac:dyDescent="0.25">
      <c r="A954" s="647"/>
      <c r="B954" s="648"/>
      <c r="C954" s="649"/>
      <c r="D954" s="650"/>
      <c r="E954" s="657"/>
      <c r="F954" s="653"/>
      <c r="G954" s="647"/>
      <c r="H954" s="648"/>
      <c r="I954" s="649"/>
      <c r="J954" s="655"/>
      <c r="K954" s="651"/>
      <c r="L954" s="658"/>
    </row>
    <row r="955" spans="1:12" ht="15.75" x14ac:dyDescent="0.25">
      <c r="A955" s="647"/>
      <c r="B955" s="648"/>
      <c r="C955" s="649"/>
      <c r="D955" s="650"/>
      <c r="E955" s="657"/>
      <c r="F955" s="656"/>
      <c r="G955" s="647"/>
      <c r="H955" s="648"/>
      <c r="I955" s="649"/>
      <c r="J955" s="650"/>
      <c r="K955" s="651"/>
      <c r="L955" s="658"/>
    </row>
    <row r="956" spans="1:12" ht="15.75" x14ac:dyDescent="0.25">
      <c r="A956" s="647"/>
      <c r="B956" s="648"/>
      <c r="C956" s="649"/>
      <c r="D956" s="650"/>
      <c r="E956" s="651"/>
      <c r="F956" s="656"/>
      <c r="G956" s="647"/>
      <c r="H956" s="648"/>
      <c r="I956" s="649"/>
      <c r="J956" s="650"/>
      <c r="K956" s="651"/>
      <c r="L956" s="652"/>
    </row>
    <row r="957" spans="1:12" ht="15.75" x14ac:dyDescent="0.25">
      <c r="A957" s="647"/>
      <c r="B957" s="648"/>
      <c r="C957" s="649"/>
      <c r="D957" s="650"/>
      <c r="E957" s="657"/>
      <c r="F957" s="653"/>
      <c r="G957" s="647"/>
      <c r="H957" s="648"/>
      <c r="I957" s="649"/>
      <c r="J957" s="650"/>
      <c r="K957" s="651"/>
      <c r="L957" s="658"/>
    </row>
    <row r="958" spans="1:12" ht="15.75" x14ac:dyDescent="0.25">
      <c r="A958" s="647"/>
      <c r="B958" s="648"/>
      <c r="C958" s="649"/>
      <c r="D958" s="650"/>
      <c r="E958" s="657"/>
      <c r="F958" s="652"/>
      <c r="G958" s="647"/>
      <c r="H958" s="648"/>
      <c r="I958" s="649"/>
      <c r="J958" s="655"/>
      <c r="K958" s="651"/>
      <c r="L958" s="658"/>
    </row>
    <row r="959" spans="1:12" ht="15.75" x14ac:dyDescent="0.25">
      <c r="A959" s="647"/>
      <c r="B959" s="648"/>
      <c r="C959" s="649"/>
      <c r="D959" s="650"/>
      <c r="E959" s="651"/>
      <c r="F959" s="652"/>
      <c r="G959" s="647"/>
      <c r="H959" s="648"/>
      <c r="I959" s="649"/>
      <c r="J959" s="650"/>
      <c r="K959" s="651"/>
      <c r="L959" s="658"/>
    </row>
    <row r="960" spans="1:12" ht="16.5" thickBot="1" x14ac:dyDescent="0.3">
      <c r="A960" s="659"/>
      <c r="B960" s="660"/>
      <c r="C960" s="661"/>
      <c r="D960" s="662"/>
      <c r="E960" s="663"/>
      <c r="F960" s="664"/>
      <c r="G960" s="665"/>
      <c r="H960" s="666"/>
      <c r="I960" s="667"/>
      <c r="J960" s="668"/>
      <c r="K960" s="663"/>
      <c r="L960" s="669"/>
    </row>
    <row r="961" spans="1:12" ht="21" x14ac:dyDescent="0.35">
      <c r="A961" s="769" t="s">
        <v>945</v>
      </c>
      <c r="B961" s="770"/>
      <c r="C961" s="770"/>
      <c r="D961" s="770"/>
      <c r="E961" s="770"/>
      <c r="F961" s="770"/>
      <c r="G961" s="770"/>
      <c r="H961" s="770"/>
      <c r="I961" s="770"/>
      <c r="J961" s="770"/>
      <c r="K961" s="770"/>
      <c r="L961" s="771"/>
    </row>
    <row r="962" spans="1:12" ht="18.75" x14ac:dyDescent="0.3">
      <c r="A962" s="772" t="s">
        <v>946</v>
      </c>
      <c r="B962" s="773"/>
      <c r="C962" s="773"/>
      <c r="D962" s="773"/>
      <c r="E962" s="773"/>
      <c r="F962" s="773"/>
      <c r="G962" s="773"/>
      <c r="H962" s="773"/>
      <c r="I962" s="773"/>
      <c r="J962" s="773"/>
      <c r="K962" s="773"/>
      <c r="L962" s="774"/>
    </row>
    <row r="963" spans="1:12" ht="24" x14ac:dyDescent="0.4">
      <c r="A963" s="775" t="s">
        <v>947</v>
      </c>
      <c r="B963" s="776"/>
      <c r="C963" s="776"/>
      <c r="D963" s="776"/>
      <c r="E963" s="776"/>
      <c r="F963" s="776"/>
      <c r="G963" s="776"/>
      <c r="H963" s="776"/>
      <c r="I963" s="776"/>
      <c r="J963" s="776"/>
      <c r="K963" s="776"/>
      <c r="L963" s="777"/>
    </row>
    <row r="964" spans="1:12" ht="24" x14ac:dyDescent="0.4">
      <c r="A964" s="670" t="s">
        <v>948</v>
      </c>
      <c r="B964" s="671"/>
      <c r="C964" s="671"/>
      <c r="D964" s="672" t="s">
        <v>949</v>
      </c>
      <c r="E964" s="778" t="s">
        <v>950</v>
      </c>
      <c r="F964" s="778"/>
      <c r="G964" s="778"/>
      <c r="H964" s="778"/>
      <c r="I964" s="778"/>
      <c r="J964" s="673" t="s">
        <v>1144</v>
      </c>
      <c r="K964" s="778"/>
      <c r="L964" s="779"/>
    </row>
    <row r="965" spans="1:12" ht="15.75" thickBot="1" x14ac:dyDescent="0.3">
      <c r="A965" s="674"/>
      <c r="B965" s="675"/>
      <c r="C965" s="675"/>
      <c r="D965" s="676"/>
      <c r="E965" s="675"/>
      <c r="F965" s="675"/>
      <c r="G965" s="675"/>
      <c r="H965" s="675"/>
      <c r="I965" s="780"/>
      <c r="J965" s="780"/>
      <c r="K965" s="675"/>
      <c r="L965" s="677"/>
    </row>
    <row r="966" spans="1:12" ht="16.5" thickBot="1" x14ac:dyDescent="0.3">
      <c r="A966" s="631" t="s">
        <v>952</v>
      </c>
      <c r="B966" s="632"/>
      <c r="C966" s="633"/>
      <c r="D966" s="634" t="s">
        <v>953</v>
      </c>
      <c r="E966" s="631" t="s">
        <v>954</v>
      </c>
      <c r="F966" s="635" t="s">
        <v>955</v>
      </c>
      <c r="G966" s="631" t="s">
        <v>952</v>
      </c>
      <c r="H966" s="632"/>
      <c r="I966" s="633"/>
      <c r="J966" s="634" t="s">
        <v>953</v>
      </c>
      <c r="K966" s="631" t="s">
        <v>954</v>
      </c>
      <c r="L966" s="631" t="s">
        <v>955</v>
      </c>
    </row>
    <row r="967" spans="1:12" ht="15.75" x14ac:dyDescent="0.25">
      <c r="A967" s="636"/>
      <c r="B967" s="637"/>
      <c r="C967" s="638"/>
      <c r="D967" s="639"/>
      <c r="E967" s="640"/>
      <c r="F967" s="641"/>
      <c r="G967" s="636"/>
      <c r="H967" s="642"/>
      <c r="I967" s="643"/>
      <c r="J967" s="644"/>
      <c r="K967" s="645"/>
      <c r="L967" s="646"/>
    </row>
    <row r="968" spans="1:12" ht="15.75" x14ac:dyDescent="0.25">
      <c r="A968" s="647"/>
      <c r="B968" s="648" t="s">
        <v>459</v>
      </c>
      <c r="C968" s="649">
        <v>25</v>
      </c>
      <c r="D968" s="650" t="s">
        <v>1137</v>
      </c>
      <c r="E968" s="651"/>
      <c r="F968" s="652"/>
      <c r="G968" s="647"/>
      <c r="H968" s="648" t="s">
        <v>459</v>
      </c>
      <c r="I968" s="649">
        <v>71</v>
      </c>
      <c r="J968" s="650" t="s">
        <v>1145</v>
      </c>
      <c r="K968" s="651"/>
      <c r="L968" s="652"/>
    </row>
    <row r="969" spans="1:12" ht="15.75" x14ac:dyDescent="0.25">
      <c r="A969" s="647" t="s">
        <v>958</v>
      </c>
      <c r="B969" s="654"/>
      <c r="C969" s="649"/>
      <c r="D969" s="655" t="s">
        <v>959</v>
      </c>
      <c r="E969" s="651"/>
      <c r="F969" s="656">
        <v>0.25694444444444442</v>
      </c>
      <c r="G969" s="647"/>
      <c r="H969" s="654"/>
      <c r="I969" s="649"/>
      <c r="J969" s="655" t="s">
        <v>166</v>
      </c>
      <c r="K969" s="651"/>
      <c r="L969" s="656">
        <v>0.95486111111111116</v>
      </c>
    </row>
    <row r="970" spans="1:12" ht="15.75" x14ac:dyDescent="0.25">
      <c r="A970" s="647" t="s">
        <v>165</v>
      </c>
      <c r="B970" s="648"/>
      <c r="C970" s="649"/>
      <c r="D970" s="650" t="s">
        <v>412</v>
      </c>
      <c r="E970" s="651"/>
      <c r="F970" s="653">
        <v>0.28472222222222221</v>
      </c>
      <c r="G970" s="647" t="s">
        <v>961</v>
      </c>
      <c r="H970" s="648"/>
      <c r="I970" s="649"/>
      <c r="J970" s="650" t="s">
        <v>160</v>
      </c>
      <c r="K970" s="651"/>
      <c r="L970" s="653">
        <v>0.99305555555555058</v>
      </c>
    </row>
    <row r="971" spans="1:12" ht="15.75" x14ac:dyDescent="0.25">
      <c r="A971" s="647"/>
      <c r="B971" s="648"/>
      <c r="C971" s="649"/>
      <c r="D971" s="655"/>
      <c r="E971" s="651"/>
      <c r="F971" s="656"/>
      <c r="G971" s="647"/>
      <c r="H971" s="648"/>
      <c r="I971" s="649"/>
      <c r="J971" s="655" t="s">
        <v>962</v>
      </c>
      <c r="K971" s="651"/>
      <c r="L971" s="656">
        <v>0.999999999999995</v>
      </c>
    </row>
    <row r="972" spans="1:12" ht="15.75" x14ac:dyDescent="0.25">
      <c r="A972" s="647" t="s">
        <v>958</v>
      </c>
      <c r="B972" s="648"/>
      <c r="C972" s="649"/>
      <c r="D972" s="650" t="s">
        <v>1053</v>
      </c>
      <c r="E972" s="657">
        <v>0.36458333333333331</v>
      </c>
      <c r="F972" s="656"/>
      <c r="G972" s="647"/>
      <c r="H972" s="648"/>
      <c r="I972" s="649"/>
      <c r="J972" s="655" t="s">
        <v>960</v>
      </c>
      <c r="K972" s="651"/>
      <c r="L972" s="656">
        <v>2.7777777777777776E-2</v>
      </c>
    </row>
    <row r="973" spans="1:12" ht="15.75" x14ac:dyDescent="0.25">
      <c r="A973" s="647"/>
      <c r="B973" s="648"/>
      <c r="C973" s="649"/>
      <c r="D973" s="650" t="s">
        <v>963</v>
      </c>
      <c r="E973" s="657">
        <v>0.38541666666666669</v>
      </c>
      <c r="F973" s="653"/>
      <c r="G973" s="647" t="s">
        <v>961</v>
      </c>
      <c r="H973" s="654"/>
      <c r="I973" s="649"/>
      <c r="J973" s="650" t="s">
        <v>163</v>
      </c>
      <c r="K973" s="657"/>
      <c r="L973" s="653">
        <v>6.25E-2</v>
      </c>
    </row>
    <row r="974" spans="1:12" ht="15.75" x14ac:dyDescent="0.25">
      <c r="A974" s="647"/>
      <c r="B974" s="648" t="s">
        <v>459</v>
      </c>
      <c r="C974" s="649">
        <v>25</v>
      </c>
      <c r="D974" s="650" t="s">
        <v>1146</v>
      </c>
      <c r="E974" s="651"/>
      <c r="F974" s="656"/>
      <c r="G974" s="647"/>
      <c r="H974" s="648"/>
      <c r="I974" s="649"/>
      <c r="J974" s="655" t="s">
        <v>164</v>
      </c>
      <c r="K974" s="651"/>
      <c r="L974" s="656">
        <v>6.9444444444500222E-2</v>
      </c>
    </row>
    <row r="975" spans="1:12" ht="15.75" x14ac:dyDescent="0.25">
      <c r="A975" s="647"/>
      <c r="B975" s="648"/>
      <c r="C975" s="649"/>
      <c r="D975" s="655"/>
      <c r="E975" s="651"/>
      <c r="F975" s="653"/>
      <c r="G975" s="647"/>
      <c r="H975" s="648"/>
      <c r="I975" s="649"/>
      <c r="J975" s="655" t="s">
        <v>166</v>
      </c>
      <c r="K975" s="657">
        <v>9.375E-2</v>
      </c>
      <c r="L975" s="656"/>
    </row>
    <row r="976" spans="1:12" ht="15.75" x14ac:dyDescent="0.25">
      <c r="A976" s="647"/>
      <c r="B976" s="648" t="s">
        <v>459</v>
      </c>
      <c r="C976" s="649">
        <v>49</v>
      </c>
      <c r="D976" s="650" t="s">
        <v>1147</v>
      </c>
      <c r="E976" s="651"/>
      <c r="F976" s="652"/>
      <c r="G976" s="647"/>
      <c r="H976" s="648" t="s">
        <v>462</v>
      </c>
      <c r="I976" s="649" t="s">
        <v>459</v>
      </c>
      <c r="J976" s="650"/>
      <c r="K976" s="651"/>
      <c r="L976" s="653"/>
    </row>
    <row r="977" spans="1:12" ht="15.75" x14ac:dyDescent="0.25">
      <c r="A977" s="647" t="s">
        <v>958</v>
      </c>
      <c r="B977" s="654"/>
      <c r="C977" s="649"/>
      <c r="D977" s="655" t="s">
        <v>959</v>
      </c>
      <c r="E977" s="651"/>
      <c r="F977" s="656">
        <v>0.61458333333333337</v>
      </c>
      <c r="G977" s="647"/>
      <c r="H977" s="648"/>
      <c r="I977" s="649"/>
      <c r="J977" s="655"/>
      <c r="K977" s="651"/>
      <c r="L977" s="656"/>
    </row>
    <row r="978" spans="1:12" ht="15.75" x14ac:dyDescent="0.25">
      <c r="A978" s="647" t="s">
        <v>961</v>
      </c>
      <c r="B978" s="648"/>
      <c r="C978" s="649"/>
      <c r="D978" s="650" t="s">
        <v>160</v>
      </c>
      <c r="E978" s="651"/>
      <c r="F978" s="653">
        <v>0.65625</v>
      </c>
      <c r="G978" s="647"/>
      <c r="H978" s="648" t="s">
        <v>459</v>
      </c>
      <c r="I978" s="649">
        <v>74</v>
      </c>
      <c r="J978" s="650" t="s">
        <v>1148</v>
      </c>
      <c r="K978" s="651"/>
      <c r="L978" s="652"/>
    </row>
    <row r="979" spans="1:12" ht="15.75" x14ac:dyDescent="0.25">
      <c r="A979" s="647"/>
      <c r="B979" s="648"/>
      <c r="C979" s="649"/>
      <c r="D979" s="655" t="s">
        <v>962</v>
      </c>
      <c r="E979" s="651"/>
      <c r="F979" s="656">
        <v>0.66666666666666663</v>
      </c>
      <c r="G979" s="647"/>
      <c r="H979" s="654"/>
      <c r="I979" s="649"/>
      <c r="J979" s="655" t="s">
        <v>166</v>
      </c>
      <c r="K979" s="651"/>
      <c r="L979" s="656">
        <v>9.375E-2</v>
      </c>
    </row>
    <row r="980" spans="1:12" ht="15.75" x14ac:dyDescent="0.25">
      <c r="A980" s="647"/>
      <c r="B980" s="648"/>
      <c r="C980" s="649"/>
      <c r="D980" s="655" t="s">
        <v>960</v>
      </c>
      <c r="E980" s="651"/>
      <c r="F980" s="656">
        <v>0.69791666666666663</v>
      </c>
      <c r="G980" s="647" t="s">
        <v>961</v>
      </c>
      <c r="H980" s="648"/>
      <c r="I980" s="649"/>
      <c r="J980" s="650" t="s">
        <v>160</v>
      </c>
      <c r="K980" s="651"/>
      <c r="L980" s="653">
        <v>0.15972222222222221</v>
      </c>
    </row>
    <row r="981" spans="1:12" ht="15.75" x14ac:dyDescent="0.25">
      <c r="A981" s="647" t="s">
        <v>961</v>
      </c>
      <c r="B981" s="654"/>
      <c r="C981" s="649"/>
      <c r="D981" s="650" t="s">
        <v>163</v>
      </c>
      <c r="E981" s="657"/>
      <c r="F981" s="653">
        <v>0.76041666666666663</v>
      </c>
      <c r="G981" s="647"/>
      <c r="H981" s="648"/>
      <c r="I981" s="649"/>
      <c r="J981" s="655" t="s">
        <v>962</v>
      </c>
      <c r="K981" s="651"/>
      <c r="L981" s="656">
        <v>0.166666666666685</v>
      </c>
    </row>
    <row r="982" spans="1:12" ht="15.75" x14ac:dyDescent="0.25">
      <c r="A982" s="647"/>
      <c r="B982" s="648"/>
      <c r="C982" s="649"/>
      <c r="D982" s="655" t="s">
        <v>164</v>
      </c>
      <c r="E982" s="651"/>
      <c r="F982" s="656">
        <v>0.78472222222222221</v>
      </c>
      <c r="G982" s="647"/>
      <c r="H982" s="648"/>
      <c r="I982" s="649"/>
      <c r="J982" s="655" t="s">
        <v>960</v>
      </c>
      <c r="K982" s="651"/>
      <c r="L982" s="656">
        <v>0.19444444444444445</v>
      </c>
    </row>
    <row r="983" spans="1:12" ht="15.75" x14ac:dyDescent="0.25">
      <c r="A983" s="647"/>
      <c r="B983" s="648"/>
      <c r="C983" s="649"/>
      <c r="D983" s="655" t="s">
        <v>166</v>
      </c>
      <c r="E983" s="657">
        <v>0.79861111111111116</v>
      </c>
      <c r="F983" s="656"/>
      <c r="G983" s="647" t="s">
        <v>958</v>
      </c>
      <c r="H983" s="654"/>
      <c r="I983" s="649"/>
      <c r="J983" s="650" t="s">
        <v>163</v>
      </c>
      <c r="K983" s="657">
        <v>0.23055555555555557</v>
      </c>
      <c r="L983" s="653"/>
    </row>
    <row r="984" spans="1:12" ht="15.75" x14ac:dyDescent="0.25">
      <c r="A984" s="647"/>
      <c r="B984" s="648" t="s">
        <v>459</v>
      </c>
      <c r="C984" s="649">
        <v>49</v>
      </c>
      <c r="D984" s="650" t="s">
        <v>1149</v>
      </c>
      <c r="E984" s="651"/>
      <c r="F984" s="653"/>
      <c r="G984" s="647"/>
      <c r="H984" s="648"/>
      <c r="I984" s="649"/>
      <c r="J984" s="650" t="s">
        <v>963</v>
      </c>
      <c r="K984" s="657">
        <v>0.25</v>
      </c>
      <c r="L984" s="653"/>
    </row>
    <row r="985" spans="1:12" ht="15.75" x14ac:dyDescent="0.25">
      <c r="A985" s="647"/>
      <c r="B985" s="648"/>
      <c r="C985" s="649"/>
      <c r="D985" s="650"/>
      <c r="E985" s="651"/>
      <c r="F985" s="653"/>
      <c r="G985" s="647"/>
      <c r="H985" s="648" t="s">
        <v>462</v>
      </c>
      <c r="I985" s="649" t="s">
        <v>459</v>
      </c>
      <c r="J985" s="650"/>
      <c r="K985" s="657"/>
      <c r="L985" s="656"/>
    </row>
    <row r="986" spans="1:12" ht="15.75" x14ac:dyDescent="0.25">
      <c r="A986" s="647"/>
      <c r="B986" s="648" t="s">
        <v>459</v>
      </c>
      <c r="C986" s="649">
        <v>73</v>
      </c>
      <c r="D986" s="650" t="s">
        <v>1150</v>
      </c>
      <c r="E986" s="651"/>
      <c r="F986" s="652"/>
      <c r="G986" s="647"/>
      <c r="H986" s="648"/>
      <c r="I986" s="649"/>
      <c r="J986" s="650"/>
      <c r="K986" s="651"/>
      <c r="L986" s="658"/>
    </row>
    <row r="987" spans="1:12" ht="15.75" x14ac:dyDescent="0.25">
      <c r="A987" s="647"/>
      <c r="B987" s="654"/>
      <c r="C987" s="649"/>
      <c r="D987" s="655" t="s">
        <v>166</v>
      </c>
      <c r="E987" s="651"/>
      <c r="F987" s="656">
        <v>0.79861111111111116</v>
      </c>
      <c r="G987" s="647"/>
      <c r="H987" s="648"/>
      <c r="I987" s="649"/>
      <c r="J987" s="650"/>
      <c r="K987" s="651"/>
      <c r="L987" s="658"/>
    </row>
    <row r="988" spans="1:12" ht="15.75" x14ac:dyDescent="0.25">
      <c r="A988" s="647" t="s">
        <v>961</v>
      </c>
      <c r="B988" s="648"/>
      <c r="C988" s="649"/>
      <c r="D988" s="650" t="s">
        <v>160</v>
      </c>
      <c r="E988" s="651"/>
      <c r="F988" s="653">
        <v>0.84027777777777779</v>
      </c>
      <c r="G988" s="647"/>
      <c r="H988" s="648"/>
      <c r="I988" s="649"/>
      <c r="J988" s="655"/>
      <c r="K988" s="651"/>
      <c r="L988" s="658"/>
    </row>
    <row r="989" spans="1:12" ht="15.75" x14ac:dyDescent="0.25">
      <c r="A989" s="647"/>
      <c r="B989" s="648"/>
      <c r="C989" s="649"/>
      <c r="D989" s="655" t="s">
        <v>962</v>
      </c>
      <c r="E989" s="651"/>
      <c r="F989" s="656">
        <v>0.84722222222222221</v>
      </c>
      <c r="G989" s="647"/>
      <c r="H989" s="648"/>
      <c r="I989" s="649"/>
      <c r="J989" s="650"/>
      <c r="K989" s="651"/>
      <c r="L989" s="658"/>
    </row>
    <row r="990" spans="1:12" ht="15.75" x14ac:dyDescent="0.25">
      <c r="A990" s="647"/>
      <c r="B990" s="648"/>
      <c r="C990" s="649"/>
      <c r="D990" s="655" t="s">
        <v>960</v>
      </c>
      <c r="E990" s="651"/>
      <c r="F990" s="656">
        <v>0.875</v>
      </c>
      <c r="G990" s="647"/>
      <c r="H990" s="654"/>
      <c r="I990" s="649"/>
      <c r="J990" s="650"/>
      <c r="K990" s="657"/>
      <c r="L990" s="653"/>
    </row>
    <row r="991" spans="1:12" ht="15.75" x14ac:dyDescent="0.25">
      <c r="A991" s="647" t="s">
        <v>961</v>
      </c>
      <c r="B991" s="654"/>
      <c r="C991" s="649"/>
      <c r="D991" s="650" t="s">
        <v>163</v>
      </c>
      <c r="E991" s="657"/>
      <c r="F991" s="653">
        <v>0.92361111111110961</v>
      </c>
      <c r="G991" s="647"/>
      <c r="H991" s="648"/>
      <c r="I991" s="649"/>
      <c r="J991" s="655"/>
      <c r="K991" s="651"/>
      <c r="L991" s="656"/>
    </row>
    <row r="992" spans="1:12" ht="15.75" x14ac:dyDescent="0.25">
      <c r="A992" s="647"/>
      <c r="B992" s="648"/>
      <c r="C992" s="649"/>
      <c r="D992" s="655" t="s">
        <v>164</v>
      </c>
      <c r="E992" s="651"/>
      <c r="F992" s="656">
        <v>0.94444444444444298</v>
      </c>
      <c r="G992" s="647"/>
      <c r="H992" s="648"/>
      <c r="I992" s="649"/>
      <c r="J992" s="655"/>
      <c r="K992" s="651"/>
      <c r="L992" s="656"/>
    </row>
    <row r="993" spans="1:12" ht="15.75" x14ac:dyDescent="0.25">
      <c r="A993" s="647"/>
      <c r="B993" s="648"/>
      <c r="C993" s="649"/>
      <c r="D993" s="655" t="s">
        <v>166</v>
      </c>
      <c r="E993" s="657">
        <v>0.95486111111111116</v>
      </c>
      <c r="F993" s="656"/>
      <c r="G993" s="647"/>
      <c r="H993" s="648"/>
      <c r="I993" s="649"/>
      <c r="J993" s="650"/>
      <c r="K993" s="657"/>
      <c r="L993" s="653"/>
    </row>
    <row r="994" spans="1:12" ht="15.75" x14ac:dyDescent="0.25">
      <c r="A994" s="647"/>
      <c r="B994" s="648" t="s">
        <v>459</v>
      </c>
      <c r="C994" s="649">
        <v>73</v>
      </c>
      <c r="D994" s="650" t="s">
        <v>1151</v>
      </c>
      <c r="E994" s="651"/>
      <c r="F994" s="653"/>
      <c r="G994" s="647"/>
      <c r="H994" s="648"/>
      <c r="I994" s="649"/>
      <c r="J994" s="650"/>
      <c r="K994" s="657"/>
      <c r="L994" s="653"/>
    </row>
    <row r="995" spans="1:12" ht="15.75" x14ac:dyDescent="0.25">
      <c r="A995" s="647"/>
      <c r="B995" s="648"/>
      <c r="C995" s="649"/>
      <c r="D995" s="650"/>
      <c r="E995" s="657"/>
      <c r="F995" s="656"/>
      <c r="G995" s="647"/>
      <c r="H995" s="648"/>
      <c r="I995" s="649"/>
      <c r="J995" s="650"/>
      <c r="K995" s="657"/>
      <c r="L995" s="656"/>
    </row>
    <row r="996" spans="1:12" ht="15.75" x14ac:dyDescent="0.25">
      <c r="A996" s="647"/>
      <c r="B996" s="648"/>
      <c r="C996" s="649"/>
      <c r="D996" s="650"/>
      <c r="E996" s="651"/>
      <c r="F996" s="656"/>
      <c r="G996" s="647"/>
      <c r="H996" s="648"/>
      <c r="I996" s="649"/>
      <c r="J996" s="650"/>
      <c r="K996" s="651"/>
      <c r="L996" s="658"/>
    </row>
    <row r="997" spans="1:12" ht="15.75" x14ac:dyDescent="0.25">
      <c r="A997" s="647"/>
      <c r="B997" s="648"/>
      <c r="C997" s="649"/>
      <c r="D997" s="650"/>
      <c r="E997" s="657"/>
      <c r="F997" s="653"/>
      <c r="G997" s="647"/>
      <c r="H997" s="648"/>
      <c r="I997" s="649"/>
      <c r="J997" s="650"/>
      <c r="K997" s="651"/>
      <c r="L997" s="658"/>
    </row>
    <row r="998" spans="1:12" ht="15.75" x14ac:dyDescent="0.25">
      <c r="A998" s="647"/>
      <c r="B998" s="648"/>
      <c r="C998" s="649"/>
      <c r="D998" s="650"/>
      <c r="E998" s="657"/>
      <c r="F998" s="652"/>
      <c r="G998" s="647"/>
      <c r="H998" s="648"/>
      <c r="I998" s="649"/>
      <c r="J998" s="655"/>
      <c r="K998" s="651"/>
      <c r="L998" s="658"/>
    </row>
    <row r="999" spans="1:12" ht="15.75" x14ac:dyDescent="0.25">
      <c r="A999" s="647"/>
      <c r="B999" s="648"/>
      <c r="C999" s="649"/>
      <c r="D999" s="650"/>
      <c r="E999" s="651"/>
      <c r="F999" s="652"/>
      <c r="G999" s="647"/>
      <c r="H999" s="648"/>
      <c r="I999" s="649"/>
      <c r="J999" s="650"/>
      <c r="K999" s="651"/>
      <c r="L999" s="658"/>
    </row>
    <row r="1000" spans="1:12" ht="16.5" thickBot="1" x14ac:dyDescent="0.3">
      <c r="A1000" s="659"/>
      <c r="B1000" s="660"/>
      <c r="C1000" s="661"/>
      <c r="D1000" s="662"/>
      <c r="E1000" s="663"/>
      <c r="F1000" s="664"/>
      <c r="G1000" s="665"/>
      <c r="H1000" s="666"/>
      <c r="I1000" s="667"/>
      <c r="J1000" s="668"/>
      <c r="K1000" s="663"/>
      <c r="L1000" s="669"/>
    </row>
    <row r="1001" spans="1:12" ht="21" x14ac:dyDescent="0.35">
      <c r="A1001" s="769" t="s">
        <v>945</v>
      </c>
      <c r="B1001" s="770"/>
      <c r="C1001" s="770"/>
      <c r="D1001" s="770"/>
      <c r="E1001" s="770"/>
      <c r="F1001" s="770"/>
      <c r="G1001" s="770"/>
      <c r="H1001" s="770"/>
      <c r="I1001" s="770"/>
      <c r="J1001" s="770"/>
      <c r="K1001" s="770"/>
      <c r="L1001" s="771"/>
    </row>
    <row r="1002" spans="1:12" ht="18.75" x14ac:dyDescent="0.3">
      <c r="A1002" s="772" t="s">
        <v>946</v>
      </c>
      <c r="B1002" s="773"/>
      <c r="C1002" s="773"/>
      <c r="D1002" s="773"/>
      <c r="E1002" s="773"/>
      <c r="F1002" s="773"/>
      <c r="G1002" s="773"/>
      <c r="H1002" s="773"/>
      <c r="I1002" s="773"/>
      <c r="J1002" s="773"/>
      <c r="K1002" s="773"/>
      <c r="L1002" s="774"/>
    </row>
    <row r="1003" spans="1:12" ht="24" x14ac:dyDescent="0.4">
      <c r="A1003" s="775" t="s">
        <v>947</v>
      </c>
      <c r="B1003" s="776"/>
      <c r="C1003" s="776"/>
      <c r="D1003" s="776"/>
      <c r="E1003" s="776"/>
      <c r="F1003" s="776"/>
      <c r="G1003" s="776"/>
      <c r="H1003" s="776"/>
      <c r="I1003" s="776"/>
      <c r="J1003" s="776"/>
      <c r="K1003" s="776"/>
      <c r="L1003" s="777"/>
    </row>
    <row r="1004" spans="1:12" ht="24" x14ac:dyDescent="0.4">
      <c r="A1004" s="670" t="s">
        <v>948</v>
      </c>
      <c r="B1004" s="671"/>
      <c r="C1004" s="671"/>
      <c r="D1004" s="672" t="s">
        <v>949</v>
      </c>
      <c r="E1004" s="778" t="s">
        <v>950</v>
      </c>
      <c r="F1004" s="778"/>
      <c r="G1004" s="778"/>
      <c r="H1004" s="778"/>
      <c r="I1004" s="778"/>
      <c r="J1004" s="673" t="s">
        <v>1152</v>
      </c>
      <c r="K1004" s="778"/>
      <c r="L1004" s="779"/>
    </row>
    <row r="1005" spans="1:12" ht="15.75" thickBot="1" x14ac:dyDescent="0.3">
      <c r="A1005" s="674"/>
      <c r="B1005" s="675"/>
      <c r="C1005" s="675"/>
      <c r="D1005" s="676"/>
      <c r="E1005" s="675"/>
      <c r="F1005" s="675"/>
      <c r="G1005" s="675"/>
      <c r="H1005" s="675"/>
      <c r="I1005" s="780"/>
      <c r="J1005" s="780"/>
      <c r="K1005" s="675"/>
      <c r="L1005" s="677"/>
    </row>
    <row r="1006" spans="1:12" ht="16.5" thickBot="1" x14ac:dyDescent="0.3">
      <c r="A1006" s="631" t="s">
        <v>952</v>
      </c>
      <c r="B1006" s="632"/>
      <c r="C1006" s="633"/>
      <c r="D1006" s="634" t="s">
        <v>953</v>
      </c>
      <c r="E1006" s="631" t="s">
        <v>954</v>
      </c>
      <c r="F1006" s="635" t="s">
        <v>955</v>
      </c>
      <c r="G1006" s="631" t="s">
        <v>952</v>
      </c>
      <c r="H1006" s="632"/>
      <c r="I1006" s="633"/>
      <c r="J1006" s="634" t="s">
        <v>953</v>
      </c>
      <c r="K1006" s="631" t="s">
        <v>954</v>
      </c>
      <c r="L1006" s="631" t="s">
        <v>955</v>
      </c>
    </row>
    <row r="1007" spans="1:12" ht="15.75" x14ac:dyDescent="0.25">
      <c r="A1007" s="636"/>
      <c r="B1007" s="637"/>
      <c r="C1007" s="638"/>
      <c r="D1007" s="639"/>
      <c r="E1007" s="640"/>
      <c r="F1007" s="641"/>
      <c r="G1007" s="636"/>
      <c r="H1007" s="642"/>
      <c r="I1007" s="643"/>
      <c r="J1007" s="644"/>
      <c r="K1007" s="645"/>
      <c r="L1007" s="646"/>
    </row>
    <row r="1008" spans="1:12" ht="15.75" x14ac:dyDescent="0.25">
      <c r="A1008" s="647"/>
      <c r="B1008" s="648" t="s">
        <v>459</v>
      </c>
      <c r="C1008" s="649">
        <v>26</v>
      </c>
      <c r="D1008" s="650" t="s">
        <v>1153</v>
      </c>
      <c r="E1008" s="651"/>
      <c r="F1008" s="652"/>
      <c r="G1008" s="647"/>
      <c r="H1008" s="648"/>
      <c r="I1008" s="649"/>
      <c r="J1008" s="650"/>
      <c r="K1008" s="651"/>
      <c r="L1008" s="653"/>
    </row>
    <row r="1009" spans="1:12" ht="15.75" x14ac:dyDescent="0.25">
      <c r="A1009" s="647" t="s">
        <v>958</v>
      </c>
      <c r="B1009" s="654"/>
      <c r="C1009" s="649"/>
      <c r="D1009" s="655" t="s">
        <v>959</v>
      </c>
      <c r="E1009" s="651"/>
      <c r="F1009" s="656">
        <v>0.2590277777777778</v>
      </c>
      <c r="G1009" s="647"/>
      <c r="H1009" s="648"/>
      <c r="I1009" s="649"/>
      <c r="J1009" s="655"/>
      <c r="K1009" s="651"/>
      <c r="L1009" s="656"/>
    </row>
    <row r="1010" spans="1:12" ht="15.75" x14ac:dyDescent="0.25">
      <c r="A1010" s="647" t="s">
        <v>961</v>
      </c>
      <c r="B1010" s="648"/>
      <c r="C1010" s="649"/>
      <c r="D1010" s="650" t="s">
        <v>160</v>
      </c>
      <c r="E1010" s="651"/>
      <c r="F1010" s="653">
        <v>0.30069444444444449</v>
      </c>
      <c r="G1010" s="647"/>
      <c r="H1010" s="654"/>
      <c r="I1010" s="649"/>
      <c r="J1010" s="650"/>
      <c r="K1010" s="657"/>
      <c r="L1010" s="653"/>
    </row>
    <row r="1011" spans="1:12" ht="15.75" x14ac:dyDescent="0.25">
      <c r="A1011" s="647"/>
      <c r="B1011" s="648"/>
      <c r="C1011" s="649"/>
      <c r="D1011" s="655" t="s">
        <v>962</v>
      </c>
      <c r="E1011" s="651"/>
      <c r="F1011" s="656">
        <v>0.30763888888888891</v>
      </c>
      <c r="G1011" s="647"/>
      <c r="H1011" s="648"/>
      <c r="I1011" s="649"/>
      <c r="J1011" s="655"/>
      <c r="K1011" s="651"/>
      <c r="L1011" s="656"/>
    </row>
    <row r="1012" spans="1:12" ht="15.75" x14ac:dyDescent="0.25">
      <c r="A1012" s="647"/>
      <c r="B1012" s="648"/>
      <c r="C1012" s="649"/>
      <c r="D1012" s="655" t="s">
        <v>960</v>
      </c>
      <c r="E1012" s="651"/>
      <c r="F1012" s="656">
        <v>0.34375</v>
      </c>
      <c r="G1012" s="647"/>
      <c r="H1012" s="648"/>
      <c r="I1012" s="649"/>
      <c r="J1012" s="655"/>
      <c r="K1012" s="651"/>
      <c r="L1012" s="656"/>
    </row>
    <row r="1013" spans="1:12" ht="15.75" x14ac:dyDescent="0.25">
      <c r="A1013" s="647" t="s">
        <v>961</v>
      </c>
      <c r="B1013" s="654"/>
      <c r="C1013" s="649"/>
      <c r="D1013" s="650" t="s">
        <v>163</v>
      </c>
      <c r="E1013" s="657"/>
      <c r="F1013" s="653">
        <v>0.40625000000000022</v>
      </c>
      <c r="G1013" s="647"/>
      <c r="H1013" s="648"/>
      <c r="I1013" s="649"/>
      <c r="J1013" s="650"/>
      <c r="K1013" s="651"/>
      <c r="L1013" s="653"/>
    </row>
    <row r="1014" spans="1:12" ht="15.75" x14ac:dyDescent="0.25">
      <c r="A1014" s="647"/>
      <c r="B1014" s="648"/>
      <c r="C1014" s="649"/>
      <c r="D1014" s="655" t="s">
        <v>164</v>
      </c>
      <c r="E1014" s="651"/>
      <c r="F1014" s="656">
        <v>0.43402777777777801</v>
      </c>
      <c r="G1014" s="647"/>
      <c r="H1014" s="648"/>
      <c r="I1014" s="649"/>
      <c r="J1014" s="655"/>
      <c r="K1014" s="651"/>
      <c r="L1014" s="656"/>
    </row>
    <row r="1015" spans="1:12" ht="15.75" x14ac:dyDescent="0.25">
      <c r="A1015" s="647"/>
      <c r="B1015" s="648"/>
      <c r="C1015" s="649"/>
      <c r="D1015" s="655" t="s">
        <v>166</v>
      </c>
      <c r="E1015" s="657">
        <v>0.44791666666666669</v>
      </c>
      <c r="F1015" s="656"/>
      <c r="G1015" s="647"/>
      <c r="H1015" s="648"/>
      <c r="I1015" s="649"/>
      <c r="J1015" s="655"/>
      <c r="K1015" s="657"/>
      <c r="L1015" s="656"/>
    </row>
    <row r="1016" spans="1:12" ht="15.75" x14ac:dyDescent="0.25">
      <c r="A1016" s="647"/>
      <c r="B1016" s="648" t="s">
        <v>459</v>
      </c>
      <c r="C1016" s="649">
        <v>26</v>
      </c>
      <c r="D1016" s="650" t="s">
        <v>1154</v>
      </c>
      <c r="E1016" s="651"/>
      <c r="F1016" s="653"/>
      <c r="G1016" s="647"/>
      <c r="H1016" s="648"/>
      <c r="I1016" s="649"/>
      <c r="J1016" s="650"/>
      <c r="K1016" s="657"/>
      <c r="L1016" s="653"/>
    </row>
    <row r="1017" spans="1:12" ht="15.75" x14ac:dyDescent="0.25">
      <c r="A1017" s="647"/>
      <c r="B1017" s="648"/>
      <c r="C1017" s="649"/>
      <c r="D1017" s="655"/>
      <c r="E1017" s="651"/>
      <c r="F1017" s="656"/>
      <c r="G1017" s="647"/>
      <c r="H1017" s="648"/>
      <c r="I1017" s="649"/>
      <c r="J1017" s="650"/>
      <c r="K1017" s="657"/>
      <c r="L1017" s="652"/>
    </row>
    <row r="1018" spans="1:12" ht="15.75" x14ac:dyDescent="0.25">
      <c r="A1018" s="647"/>
      <c r="B1018" s="648" t="s">
        <v>459</v>
      </c>
      <c r="C1018" s="649">
        <v>29</v>
      </c>
      <c r="D1018" s="650" t="s">
        <v>1155</v>
      </c>
      <c r="E1018" s="651"/>
      <c r="F1018" s="653"/>
      <c r="G1018" s="647"/>
      <c r="H1018" s="648"/>
      <c r="I1018" s="649"/>
      <c r="J1018" s="650"/>
      <c r="K1018" s="651"/>
      <c r="L1018" s="653"/>
    </row>
    <row r="1019" spans="1:12" ht="15.75" x14ac:dyDescent="0.25">
      <c r="A1019" s="647"/>
      <c r="B1019" s="648"/>
      <c r="C1019" s="649"/>
      <c r="D1019" s="655" t="s">
        <v>166</v>
      </c>
      <c r="E1019" s="651"/>
      <c r="F1019" s="656">
        <v>0.44791666666666669</v>
      </c>
      <c r="G1019" s="647"/>
      <c r="H1019" s="648"/>
      <c r="I1019" s="649"/>
      <c r="J1019" s="655"/>
      <c r="K1019" s="651"/>
      <c r="L1019" s="656"/>
    </row>
    <row r="1020" spans="1:12" ht="15.75" x14ac:dyDescent="0.25">
      <c r="A1020" s="647" t="s">
        <v>961</v>
      </c>
      <c r="B1020" s="648"/>
      <c r="C1020" s="649"/>
      <c r="D1020" s="650" t="s">
        <v>160</v>
      </c>
      <c r="E1020" s="651"/>
      <c r="F1020" s="653">
        <v>0.49652777777777779</v>
      </c>
      <c r="G1020" s="647"/>
      <c r="H1020" s="654"/>
      <c r="I1020" s="649"/>
      <c r="J1020" s="650"/>
      <c r="K1020" s="657"/>
      <c r="L1020" s="653"/>
    </row>
    <row r="1021" spans="1:12" ht="15.75" x14ac:dyDescent="0.25">
      <c r="A1021" s="647"/>
      <c r="B1021" s="648"/>
      <c r="C1021" s="649"/>
      <c r="D1021" s="655" t="s">
        <v>962</v>
      </c>
      <c r="E1021" s="651"/>
      <c r="F1021" s="656">
        <v>0.50694444444444442</v>
      </c>
      <c r="G1021" s="647"/>
      <c r="H1021" s="648"/>
      <c r="I1021" s="649"/>
      <c r="J1021" s="655"/>
      <c r="K1021" s="651"/>
      <c r="L1021" s="656"/>
    </row>
    <row r="1022" spans="1:12" ht="15.75" x14ac:dyDescent="0.25">
      <c r="A1022" s="647"/>
      <c r="B1022" s="648"/>
      <c r="C1022" s="649"/>
      <c r="D1022" s="655" t="s">
        <v>960</v>
      </c>
      <c r="E1022" s="651"/>
      <c r="F1022" s="656">
        <v>0.53819444444444442</v>
      </c>
      <c r="G1022" s="647"/>
      <c r="H1022" s="648"/>
      <c r="I1022" s="649"/>
      <c r="J1022" s="655"/>
      <c r="K1022" s="651"/>
      <c r="L1022" s="656"/>
    </row>
    <row r="1023" spans="1:12" ht="15.75" x14ac:dyDescent="0.25">
      <c r="A1023" s="647" t="s">
        <v>961</v>
      </c>
      <c r="B1023" s="654"/>
      <c r="C1023" s="649"/>
      <c r="D1023" s="650" t="s">
        <v>163</v>
      </c>
      <c r="E1023" s="657"/>
      <c r="F1023" s="653">
        <v>0.59375</v>
      </c>
      <c r="G1023" s="647"/>
      <c r="H1023" s="648"/>
      <c r="I1023" s="649"/>
      <c r="J1023" s="650"/>
      <c r="K1023" s="657"/>
      <c r="L1023" s="653"/>
    </row>
    <row r="1024" spans="1:12" ht="15.75" x14ac:dyDescent="0.25">
      <c r="A1024" s="647"/>
      <c r="B1024" s="648"/>
      <c r="C1024" s="649"/>
      <c r="D1024" s="655" t="s">
        <v>164</v>
      </c>
      <c r="E1024" s="651"/>
      <c r="F1024" s="656">
        <v>0.62847222222222221</v>
      </c>
      <c r="G1024" s="647"/>
      <c r="H1024" s="648"/>
      <c r="I1024" s="649"/>
      <c r="J1024" s="650"/>
      <c r="K1024" s="657"/>
      <c r="L1024" s="652"/>
    </row>
    <row r="1025" spans="1:12" ht="15.75" x14ac:dyDescent="0.25">
      <c r="A1025" s="647"/>
      <c r="B1025" s="648"/>
      <c r="C1025" s="649"/>
      <c r="D1025" s="655" t="s">
        <v>166</v>
      </c>
      <c r="E1025" s="657">
        <v>0.64236111111111116</v>
      </c>
      <c r="F1025" s="656"/>
      <c r="G1025" s="647"/>
      <c r="H1025" s="648"/>
      <c r="I1025" s="649"/>
      <c r="J1025" s="650"/>
      <c r="K1025" s="657"/>
      <c r="L1025" s="652"/>
    </row>
    <row r="1026" spans="1:12" ht="15.75" x14ac:dyDescent="0.25">
      <c r="A1026" s="647"/>
      <c r="B1026" s="648" t="s">
        <v>462</v>
      </c>
      <c r="C1026" s="649" t="s">
        <v>459</v>
      </c>
      <c r="D1026" s="650"/>
      <c r="E1026" s="651"/>
      <c r="F1026" s="653"/>
      <c r="G1026" s="647"/>
      <c r="H1026" s="648"/>
      <c r="I1026" s="649"/>
      <c r="J1026" s="650"/>
      <c r="K1026" s="657"/>
      <c r="L1026" s="652"/>
    </row>
    <row r="1027" spans="1:12" ht="15.75" x14ac:dyDescent="0.25">
      <c r="A1027" s="647"/>
      <c r="B1027" s="648"/>
      <c r="C1027" s="649"/>
      <c r="D1027" s="655"/>
      <c r="E1027" s="651"/>
      <c r="F1027" s="656"/>
      <c r="G1027" s="647"/>
      <c r="H1027" s="648"/>
      <c r="I1027" s="649"/>
      <c r="J1027" s="650"/>
      <c r="K1027" s="651"/>
      <c r="L1027" s="658"/>
    </row>
    <row r="1028" spans="1:12" ht="15.75" x14ac:dyDescent="0.25">
      <c r="A1028" s="647"/>
      <c r="B1028" s="648" t="s">
        <v>459</v>
      </c>
      <c r="C1028" s="649">
        <v>223</v>
      </c>
      <c r="D1028" s="650" t="s">
        <v>1156</v>
      </c>
      <c r="E1028" s="651"/>
      <c r="F1028" s="653"/>
      <c r="G1028" s="647"/>
      <c r="H1028" s="648"/>
      <c r="I1028" s="649"/>
      <c r="J1028" s="655"/>
      <c r="K1028" s="651"/>
      <c r="L1028" s="658"/>
    </row>
    <row r="1029" spans="1:12" ht="15.75" x14ac:dyDescent="0.25">
      <c r="A1029" s="647"/>
      <c r="B1029" s="648"/>
      <c r="C1029" s="649"/>
      <c r="D1029" s="655" t="s">
        <v>166</v>
      </c>
      <c r="E1029" s="651"/>
      <c r="F1029" s="656">
        <v>0.64236111111111116</v>
      </c>
      <c r="G1029" s="647"/>
      <c r="H1029" s="648"/>
      <c r="I1029" s="649"/>
      <c r="J1029" s="650"/>
      <c r="K1029" s="651"/>
      <c r="L1029" s="658"/>
    </row>
    <row r="1030" spans="1:12" ht="15.75" x14ac:dyDescent="0.25">
      <c r="A1030" s="647" t="s">
        <v>961</v>
      </c>
      <c r="B1030" s="648"/>
      <c r="C1030" s="649"/>
      <c r="D1030" s="650" t="s">
        <v>160</v>
      </c>
      <c r="E1030" s="651"/>
      <c r="F1030" s="653">
        <v>0.69791666666666663</v>
      </c>
      <c r="G1030" s="647"/>
      <c r="H1030" s="648"/>
      <c r="I1030" s="649"/>
      <c r="J1030" s="650"/>
      <c r="K1030" s="651"/>
      <c r="L1030" s="652"/>
    </row>
    <row r="1031" spans="1:12" ht="15.75" x14ac:dyDescent="0.25">
      <c r="A1031" s="647"/>
      <c r="B1031" s="648"/>
      <c r="C1031" s="649"/>
      <c r="D1031" s="655" t="s">
        <v>962</v>
      </c>
      <c r="E1031" s="651"/>
      <c r="F1031" s="656">
        <v>0.70833333333333337</v>
      </c>
      <c r="G1031" s="647"/>
      <c r="H1031" s="648"/>
      <c r="I1031" s="649"/>
      <c r="J1031" s="650"/>
      <c r="K1031" s="651"/>
      <c r="L1031" s="652"/>
    </row>
    <row r="1032" spans="1:12" ht="15.75" x14ac:dyDescent="0.25">
      <c r="A1032" s="647"/>
      <c r="B1032" s="648"/>
      <c r="C1032" s="649"/>
      <c r="D1032" s="655" t="s">
        <v>960</v>
      </c>
      <c r="E1032" s="651"/>
      <c r="F1032" s="656">
        <v>0.73958333333333337</v>
      </c>
      <c r="G1032" s="647"/>
      <c r="H1032" s="648"/>
      <c r="I1032" s="649"/>
      <c r="J1032" s="650"/>
      <c r="K1032" s="651"/>
      <c r="L1032" s="652"/>
    </row>
    <row r="1033" spans="1:12" ht="15.75" x14ac:dyDescent="0.25">
      <c r="A1033" s="647" t="s">
        <v>958</v>
      </c>
      <c r="B1033" s="654"/>
      <c r="C1033" s="649"/>
      <c r="D1033" s="650" t="s">
        <v>163</v>
      </c>
      <c r="E1033" s="657">
        <v>0.79513888888888884</v>
      </c>
      <c r="F1033" s="653"/>
      <c r="G1033" s="647"/>
      <c r="H1033" s="648"/>
      <c r="I1033" s="649"/>
      <c r="J1033" s="650"/>
      <c r="K1033" s="651"/>
      <c r="L1033" s="652"/>
    </row>
    <row r="1034" spans="1:12" ht="15.75" x14ac:dyDescent="0.25">
      <c r="A1034" s="647"/>
      <c r="B1034" s="648"/>
      <c r="C1034" s="649"/>
      <c r="D1034" s="650" t="s">
        <v>963</v>
      </c>
      <c r="E1034" s="657">
        <v>0.81944444444444442</v>
      </c>
      <c r="F1034" s="652"/>
      <c r="G1034" s="647"/>
      <c r="H1034" s="648"/>
      <c r="I1034" s="649"/>
      <c r="J1034" s="650"/>
      <c r="K1034" s="651"/>
      <c r="L1034" s="652"/>
    </row>
    <row r="1035" spans="1:12" ht="15.75" x14ac:dyDescent="0.25">
      <c r="A1035" s="647"/>
      <c r="B1035" s="648" t="s">
        <v>462</v>
      </c>
      <c r="C1035" s="649" t="s">
        <v>459</v>
      </c>
      <c r="D1035" s="650"/>
      <c r="E1035" s="657"/>
      <c r="F1035" s="652"/>
      <c r="G1035" s="647"/>
      <c r="H1035" s="648"/>
      <c r="I1035" s="649"/>
      <c r="J1035" s="650"/>
      <c r="K1035" s="651"/>
      <c r="L1035" s="652"/>
    </row>
    <row r="1036" spans="1:12" ht="15.75" x14ac:dyDescent="0.25">
      <c r="A1036" s="647"/>
      <c r="B1036" s="648"/>
      <c r="C1036" s="649"/>
      <c r="D1036" s="650"/>
      <c r="E1036" s="657"/>
      <c r="F1036" s="652"/>
      <c r="G1036" s="647"/>
      <c r="H1036" s="648"/>
      <c r="I1036" s="649"/>
      <c r="J1036" s="650"/>
      <c r="K1036" s="651"/>
      <c r="L1036" s="652"/>
    </row>
    <row r="1037" spans="1:12" ht="15.75" x14ac:dyDescent="0.25">
      <c r="A1037" s="647"/>
      <c r="B1037" s="648"/>
      <c r="C1037" s="649"/>
      <c r="D1037" s="650"/>
      <c r="E1037" s="657"/>
      <c r="F1037" s="652"/>
      <c r="G1037" s="647"/>
      <c r="H1037" s="648"/>
      <c r="I1037" s="649"/>
      <c r="J1037" s="650"/>
      <c r="K1037" s="651"/>
      <c r="L1037" s="658"/>
    </row>
    <row r="1038" spans="1:12" ht="15.75" x14ac:dyDescent="0.25">
      <c r="A1038" s="647"/>
      <c r="B1038" s="648"/>
      <c r="C1038" s="649"/>
      <c r="D1038" s="650"/>
      <c r="E1038" s="657"/>
      <c r="F1038" s="652"/>
      <c r="G1038" s="647"/>
      <c r="H1038" s="648"/>
      <c r="I1038" s="649"/>
      <c r="J1038" s="655"/>
      <c r="K1038" s="651"/>
      <c r="L1038" s="658"/>
    </row>
    <row r="1039" spans="1:12" ht="15.75" x14ac:dyDescent="0.25">
      <c r="A1039" s="647"/>
      <c r="B1039" s="648"/>
      <c r="C1039" s="649"/>
      <c r="D1039" s="650"/>
      <c r="E1039" s="651"/>
      <c r="F1039" s="652"/>
      <c r="G1039" s="647"/>
      <c r="H1039" s="648"/>
      <c r="I1039" s="649"/>
      <c r="J1039" s="650"/>
      <c r="K1039" s="651"/>
      <c r="L1039" s="658"/>
    </row>
    <row r="1040" spans="1:12" ht="16.5" thickBot="1" x14ac:dyDescent="0.3">
      <c r="A1040" s="659"/>
      <c r="B1040" s="660"/>
      <c r="C1040" s="661"/>
      <c r="D1040" s="662"/>
      <c r="E1040" s="663"/>
      <c r="F1040" s="664"/>
      <c r="G1040" s="665"/>
      <c r="H1040" s="666"/>
      <c r="I1040" s="667"/>
      <c r="J1040" s="668"/>
      <c r="K1040" s="663"/>
      <c r="L1040" s="669"/>
    </row>
    <row r="1041" spans="1:12" ht="21" x14ac:dyDescent="0.35">
      <c r="A1041" s="769" t="s">
        <v>945</v>
      </c>
      <c r="B1041" s="770"/>
      <c r="C1041" s="770"/>
      <c r="D1041" s="770"/>
      <c r="E1041" s="770"/>
      <c r="F1041" s="770"/>
      <c r="G1041" s="770"/>
      <c r="H1041" s="770"/>
      <c r="I1041" s="770"/>
      <c r="J1041" s="770"/>
      <c r="K1041" s="770"/>
      <c r="L1041" s="771"/>
    </row>
    <row r="1042" spans="1:12" ht="18.75" x14ac:dyDescent="0.3">
      <c r="A1042" s="772" t="s">
        <v>946</v>
      </c>
      <c r="B1042" s="773"/>
      <c r="C1042" s="773"/>
      <c r="D1042" s="773"/>
      <c r="E1042" s="773"/>
      <c r="F1042" s="773"/>
      <c r="G1042" s="773"/>
      <c r="H1042" s="773"/>
      <c r="I1042" s="773"/>
      <c r="J1042" s="773"/>
      <c r="K1042" s="773"/>
      <c r="L1042" s="774"/>
    </row>
    <row r="1043" spans="1:12" ht="24" x14ac:dyDescent="0.4">
      <c r="A1043" s="775" t="s">
        <v>947</v>
      </c>
      <c r="B1043" s="776"/>
      <c r="C1043" s="776"/>
      <c r="D1043" s="776"/>
      <c r="E1043" s="776"/>
      <c r="F1043" s="776"/>
      <c r="G1043" s="776"/>
      <c r="H1043" s="776"/>
      <c r="I1043" s="776"/>
      <c r="J1043" s="776"/>
      <c r="K1043" s="776"/>
      <c r="L1043" s="777"/>
    </row>
    <row r="1044" spans="1:12" ht="24" x14ac:dyDescent="0.4">
      <c r="A1044" s="670" t="s">
        <v>948</v>
      </c>
      <c r="B1044" s="671"/>
      <c r="C1044" s="671"/>
      <c r="D1044" s="672" t="s">
        <v>949</v>
      </c>
      <c r="E1044" s="778" t="s">
        <v>950</v>
      </c>
      <c r="F1044" s="778"/>
      <c r="G1044" s="778"/>
      <c r="H1044" s="778"/>
      <c r="I1044" s="778"/>
      <c r="J1044" s="673" t="s">
        <v>1157</v>
      </c>
      <c r="K1044" s="778"/>
      <c r="L1044" s="779"/>
    </row>
    <row r="1045" spans="1:12" ht="15.75" thickBot="1" x14ac:dyDescent="0.3">
      <c r="A1045" s="674"/>
      <c r="B1045" s="675"/>
      <c r="C1045" s="675"/>
      <c r="D1045" s="676"/>
      <c r="E1045" s="675"/>
      <c r="F1045" s="675"/>
      <c r="G1045" s="675"/>
      <c r="H1045" s="675"/>
      <c r="I1045" s="780"/>
      <c r="J1045" s="780"/>
      <c r="K1045" s="675"/>
      <c r="L1045" s="677"/>
    </row>
    <row r="1046" spans="1:12" ht="16.5" thickBot="1" x14ac:dyDescent="0.3">
      <c r="A1046" s="631" t="s">
        <v>952</v>
      </c>
      <c r="B1046" s="632"/>
      <c r="C1046" s="633"/>
      <c r="D1046" s="634" t="s">
        <v>953</v>
      </c>
      <c r="E1046" s="631" t="s">
        <v>954</v>
      </c>
      <c r="F1046" s="635" t="s">
        <v>955</v>
      </c>
      <c r="G1046" s="631" t="s">
        <v>952</v>
      </c>
      <c r="H1046" s="632"/>
      <c r="I1046" s="633"/>
      <c r="J1046" s="634" t="s">
        <v>953</v>
      </c>
      <c r="K1046" s="631" t="s">
        <v>954</v>
      </c>
      <c r="L1046" s="631" t="s">
        <v>955</v>
      </c>
    </row>
    <row r="1047" spans="1:12" ht="15.75" x14ac:dyDescent="0.25">
      <c r="A1047" s="636"/>
      <c r="B1047" s="637"/>
      <c r="C1047" s="638"/>
      <c r="D1047" s="639"/>
      <c r="E1047" s="640"/>
      <c r="F1047" s="641"/>
      <c r="G1047" s="636"/>
      <c r="H1047" s="642"/>
      <c r="I1047" s="643"/>
      <c r="J1047" s="644"/>
      <c r="K1047" s="645"/>
      <c r="L1047" s="646"/>
    </row>
    <row r="1048" spans="1:12" ht="15.75" x14ac:dyDescent="0.25">
      <c r="A1048" s="647"/>
      <c r="B1048" s="648" t="s">
        <v>459</v>
      </c>
      <c r="C1048" s="649">
        <v>27</v>
      </c>
      <c r="D1048" s="650" t="s">
        <v>1153</v>
      </c>
      <c r="E1048" s="651"/>
      <c r="F1048" s="652"/>
      <c r="G1048" s="647"/>
      <c r="H1048" s="648"/>
      <c r="I1048" s="649"/>
      <c r="J1048" s="650"/>
      <c r="K1048" s="651"/>
      <c r="L1048" s="653"/>
    </row>
    <row r="1049" spans="1:12" ht="15.75" x14ac:dyDescent="0.25">
      <c r="A1049" s="647" t="s">
        <v>958</v>
      </c>
      <c r="B1049" s="654"/>
      <c r="C1049" s="649"/>
      <c r="D1049" s="655" t="s">
        <v>959</v>
      </c>
      <c r="E1049" s="651"/>
      <c r="F1049" s="656">
        <v>0.2590277777777778</v>
      </c>
      <c r="G1049" s="647"/>
      <c r="H1049" s="648"/>
      <c r="I1049" s="649"/>
      <c r="J1049" s="655"/>
      <c r="K1049" s="651"/>
      <c r="L1049" s="656"/>
    </row>
    <row r="1050" spans="1:12" ht="15.75" x14ac:dyDescent="0.25">
      <c r="A1050" s="647" t="s">
        <v>961</v>
      </c>
      <c r="B1050" s="654"/>
      <c r="C1050" s="649"/>
      <c r="D1050" s="650" t="s">
        <v>163</v>
      </c>
      <c r="E1050" s="651"/>
      <c r="F1050" s="653">
        <v>0.28680555555555554</v>
      </c>
      <c r="G1050" s="647"/>
      <c r="H1050" s="654"/>
      <c r="I1050" s="649"/>
      <c r="J1050" s="650"/>
      <c r="K1050" s="657"/>
      <c r="L1050" s="653"/>
    </row>
    <row r="1051" spans="1:12" ht="15.75" x14ac:dyDescent="0.25">
      <c r="A1051" s="647"/>
      <c r="B1051" s="648"/>
      <c r="C1051" s="649"/>
      <c r="D1051" s="655" t="s">
        <v>164</v>
      </c>
      <c r="E1051" s="651"/>
      <c r="F1051" s="656">
        <v>0.31805555555555554</v>
      </c>
      <c r="G1051" s="647"/>
      <c r="H1051" s="648"/>
      <c r="I1051" s="649"/>
      <c r="J1051" s="655"/>
      <c r="K1051" s="651"/>
      <c r="L1051" s="656"/>
    </row>
    <row r="1052" spans="1:12" ht="15.75" x14ac:dyDescent="0.25">
      <c r="A1052" s="647"/>
      <c r="B1052" s="648"/>
      <c r="C1052" s="649"/>
      <c r="D1052" s="655" t="s">
        <v>166</v>
      </c>
      <c r="E1052" s="651"/>
      <c r="F1052" s="656">
        <v>0.33541666666666664</v>
      </c>
      <c r="G1052" s="647"/>
      <c r="H1052" s="648"/>
      <c r="I1052" s="649"/>
      <c r="J1052" s="655"/>
      <c r="K1052" s="651"/>
      <c r="L1052" s="656"/>
    </row>
    <row r="1053" spans="1:12" ht="15.75" x14ac:dyDescent="0.25">
      <c r="A1053" s="647" t="s">
        <v>958</v>
      </c>
      <c r="B1053" s="648"/>
      <c r="C1053" s="649"/>
      <c r="D1053" s="650" t="s">
        <v>160</v>
      </c>
      <c r="E1053" s="657">
        <v>0.3923611111111111</v>
      </c>
      <c r="F1053" s="653"/>
      <c r="G1053" s="647"/>
      <c r="H1053" s="648"/>
      <c r="I1053" s="649"/>
      <c r="J1053" s="650"/>
      <c r="K1053" s="657"/>
      <c r="L1053" s="653"/>
    </row>
    <row r="1054" spans="1:12" ht="15.75" x14ac:dyDescent="0.25">
      <c r="A1054" s="647"/>
      <c r="B1054" s="648"/>
      <c r="C1054" s="649"/>
      <c r="D1054" s="650" t="s">
        <v>963</v>
      </c>
      <c r="E1054" s="657">
        <v>0.42708333333333331</v>
      </c>
      <c r="F1054" s="653"/>
      <c r="G1054" s="647"/>
      <c r="H1054" s="648"/>
      <c r="I1054" s="649"/>
      <c r="J1054" s="655"/>
      <c r="K1054" s="651"/>
      <c r="L1054" s="656"/>
    </row>
    <row r="1055" spans="1:12" ht="15.75" x14ac:dyDescent="0.25">
      <c r="A1055" s="647"/>
      <c r="B1055" s="648" t="s">
        <v>459</v>
      </c>
      <c r="C1055" s="649">
        <v>27</v>
      </c>
      <c r="D1055" s="650" t="s">
        <v>1158</v>
      </c>
      <c r="E1055" s="657"/>
      <c r="F1055" s="652"/>
      <c r="G1055" s="647"/>
      <c r="H1055" s="648"/>
      <c r="I1055" s="649"/>
      <c r="J1055" s="655"/>
      <c r="K1055" s="657"/>
      <c r="L1055" s="656"/>
    </row>
    <row r="1056" spans="1:12" ht="15.75" x14ac:dyDescent="0.25">
      <c r="A1056" s="647"/>
      <c r="B1056" s="648"/>
      <c r="C1056" s="649"/>
      <c r="D1056" s="650"/>
      <c r="E1056" s="657"/>
      <c r="F1056" s="656"/>
      <c r="G1056" s="647"/>
      <c r="H1056" s="648"/>
      <c r="I1056" s="649"/>
      <c r="J1056" s="650"/>
      <c r="K1056" s="651"/>
      <c r="L1056" s="656"/>
    </row>
    <row r="1057" spans="1:12" ht="15.75" x14ac:dyDescent="0.25">
      <c r="A1057" s="647"/>
      <c r="B1057" s="648" t="s">
        <v>459</v>
      </c>
      <c r="C1057" s="649">
        <v>212</v>
      </c>
      <c r="D1057" s="650" t="s">
        <v>1159</v>
      </c>
      <c r="E1057" s="651"/>
      <c r="F1057" s="652"/>
      <c r="G1057" s="647"/>
      <c r="H1057" s="648"/>
      <c r="I1057" s="649"/>
      <c r="J1057" s="650"/>
      <c r="K1057" s="657"/>
      <c r="L1057" s="652"/>
    </row>
    <row r="1058" spans="1:12" ht="15.75" x14ac:dyDescent="0.25">
      <c r="A1058" s="647" t="s">
        <v>958</v>
      </c>
      <c r="B1058" s="654"/>
      <c r="C1058" s="649"/>
      <c r="D1058" s="655" t="s">
        <v>959</v>
      </c>
      <c r="E1058" s="651"/>
      <c r="F1058" s="656">
        <v>0.62986111111111109</v>
      </c>
      <c r="G1058" s="647"/>
      <c r="H1058" s="648"/>
      <c r="I1058" s="649"/>
      <c r="J1058" s="650"/>
      <c r="K1058" s="651"/>
      <c r="L1058" s="653"/>
    </row>
    <row r="1059" spans="1:12" ht="15.75" x14ac:dyDescent="0.25">
      <c r="A1059" s="647" t="s">
        <v>961</v>
      </c>
      <c r="B1059" s="654"/>
      <c r="C1059" s="649"/>
      <c r="D1059" s="650" t="s">
        <v>163</v>
      </c>
      <c r="E1059" s="657"/>
      <c r="F1059" s="653">
        <v>0.66111111111111109</v>
      </c>
      <c r="G1059" s="647"/>
      <c r="H1059" s="648"/>
      <c r="I1059" s="649"/>
      <c r="J1059" s="655"/>
      <c r="K1059" s="651"/>
      <c r="L1059" s="656"/>
    </row>
    <row r="1060" spans="1:12" ht="15.75" x14ac:dyDescent="0.25">
      <c r="A1060" s="647"/>
      <c r="B1060" s="648"/>
      <c r="C1060" s="649"/>
      <c r="D1060" s="655" t="s">
        <v>164</v>
      </c>
      <c r="E1060" s="651"/>
      <c r="F1060" s="656">
        <v>0.69236111111111109</v>
      </c>
      <c r="G1060" s="647"/>
      <c r="H1060" s="654"/>
      <c r="I1060" s="649"/>
      <c r="J1060" s="650"/>
      <c r="K1060" s="657"/>
      <c r="L1060" s="653"/>
    </row>
    <row r="1061" spans="1:12" ht="15.75" x14ac:dyDescent="0.25">
      <c r="A1061" s="647"/>
      <c r="B1061" s="648"/>
      <c r="C1061" s="649"/>
      <c r="D1061" s="655" t="s">
        <v>166</v>
      </c>
      <c r="E1061" s="651"/>
      <c r="F1061" s="656">
        <v>0.70694444444444449</v>
      </c>
      <c r="G1061" s="647"/>
      <c r="H1061" s="648"/>
      <c r="I1061" s="649"/>
      <c r="J1061" s="655"/>
      <c r="K1061" s="651"/>
      <c r="L1061" s="656"/>
    </row>
    <row r="1062" spans="1:12" ht="15.75" x14ac:dyDescent="0.25">
      <c r="A1062" s="647" t="s">
        <v>961</v>
      </c>
      <c r="B1062" s="648"/>
      <c r="C1062" s="649"/>
      <c r="D1062" s="650" t="s">
        <v>160</v>
      </c>
      <c r="E1062" s="657"/>
      <c r="F1062" s="653">
        <v>0.75694444444444453</v>
      </c>
      <c r="G1062" s="647"/>
      <c r="H1062" s="648"/>
      <c r="I1062" s="649"/>
      <c r="J1062" s="655"/>
      <c r="K1062" s="651"/>
      <c r="L1062" s="656"/>
    </row>
    <row r="1063" spans="1:12" ht="15.75" x14ac:dyDescent="0.25">
      <c r="A1063" s="647"/>
      <c r="B1063" s="648"/>
      <c r="C1063" s="649"/>
      <c r="D1063" s="655" t="s">
        <v>962</v>
      </c>
      <c r="E1063" s="651"/>
      <c r="F1063" s="656">
        <v>0.76388888888888895</v>
      </c>
      <c r="G1063" s="647"/>
      <c r="H1063" s="648"/>
      <c r="I1063" s="649"/>
      <c r="J1063" s="650"/>
      <c r="K1063" s="657"/>
      <c r="L1063" s="653"/>
    </row>
    <row r="1064" spans="1:12" ht="15.75" x14ac:dyDescent="0.25">
      <c r="A1064" s="647"/>
      <c r="B1064" s="648"/>
      <c r="C1064" s="649"/>
      <c r="D1064" s="655" t="s">
        <v>960</v>
      </c>
      <c r="E1064" s="657">
        <v>0.79513888888888884</v>
      </c>
      <c r="F1064" s="656"/>
      <c r="G1064" s="647"/>
      <c r="H1064" s="648"/>
      <c r="I1064" s="649"/>
      <c r="J1064" s="655"/>
      <c r="K1064" s="651"/>
      <c r="L1064" s="656"/>
    </row>
    <row r="1065" spans="1:12" ht="15.75" x14ac:dyDescent="0.25">
      <c r="A1065" s="647"/>
      <c r="B1065" s="648" t="s">
        <v>462</v>
      </c>
      <c r="C1065" s="649" t="s">
        <v>459</v>
      </c>
      <c r="D1065" s="650"/>
      <c r="E1065" s="651"/>
      <c r="F1065" s="656"/>
      <c r="G1065" s="647"/>
      <c r="H1065" s="648"/>
      <c r="I1065" s="649"/>
      <c r="J1065" s="655"/>
      <c r="K1065" s="657"/>
      <c r="L1065" s="656"/>
    </row>
    <row r="1066" spans="1:12" ht="15.75" x14ac:dyDescent="0.25">
      <c r="A1066" s="647"/>
      <c r="B1066" s="648"/>
      <c r="C1066" s="649"/>
      <c r="D1066" s="650"/>
      <c r="E1066" s="657"/>
      <c r="F1066" s="653"/>
      <c r="G1066" s="647"/>
      <c r="H1066" s="648"/>
      <c r="I1066" s="649"/>
      <c r="J1066" s="650"/>
      <c r="K1066" s="651"/>
      <c r="L1066" s="656"/>
    </row>
    <row r="1067" spans="1:12" ht="15.75" x14ac:dyDescent="0.25">
      <c r="A1067" s="647"/>
      <c r="B1067" s="648" t="s">
        <v>459</v>
      </c>
      <c r="C1067" s="649">
        <v>55</v>
      </c>
      <c r="D1067" s="650" t="s">
        <v>1160</v>
      </c>
      <c r="E1067" s="651"/>
      <c r="F1067" s="653"/>
      <c r="G1067" s="647"/>
      <c r="H1067" s="654"/>
      <c r="I1067" s="649"/>
      <c r="J1067" s="650"/>
      <c r="K1067" s="657"/>
      <c r="L1067" s="653"/>
    </row>
    <row r="1068" spans="1:12" ht="15.75" x14ac:dyDescent="0.25">
      <c r="A1068" s="647"/>
      <c r="B1068" s="648"/>
      <c r="C1068" s="649"/>
      <c r="D1068" s="655" t="s">
        <v>960</v>
      </c>
      <c r="E1068" s="651"/>
      <c r="F1068" s="656">
        <v>0.79513888888888884</v>
      </c>
      <c r="G1068" s="647"/>
      <c r="H1068" s="648"/>
      <c r="I1068" s="649"/>
      <c r="J1068" s="650"/>
      <c r="K1068" s="651"/>
      <c r="L1068" s="653"/>
    </row>
    <row r="1069" spans="1:12" ht="15.75" x14ac:dyDescent="0.25">
      <c r="A1069" s="647" t="s">
        <v>961</v>
      </c>
      <c r="B1069" s="654"/>
      <c r="C1069" s="649"/>
      <c r="D1069" s="650" t="s">
        <v>163</v>
      </c>
      <c r="E1069" s="657"/>
      <c r="F1069" s="653">
        <v>0.84722222222222165</v>
      </c>
      <c r="G1069" s="647"/>
      <c r="H1069" s="648"/>
      <c r="I1069" s="649"/>
      <c r="J1069" s="655"/>
      <c r="K1069" s="651"/>
      <c r="L1069" s="656"/>
    </row>
    <row r="1070" spans="1:12" ht="15.75" x14ac:dyDescent="0.25">
      <c r="A1070" s="647"/>
      <c r="B1070" s="648"/>
      <c r="C1070" s="649"/>
      <c r="D1070" s="655" t="s">
        <v>164</v>
      </c>
      <c r="E1070" s="651"/>
      <c r="F1070" s="656">
        <v>0.86805555555555503</v>
      </c>
      <c r="G1070" s="647"/>
      <c r="H1070" s="654"/>
      <c r="I1070" s="649"/>
      <c r="J1070" s="650"/>
      <c r="K1070" s="657"/>
      <c r="L1070" s="653"/>
    </row>
    <row r="1071" spans="1:12" ht="15.75" x14ac:dyDescent="0.25">
      <c r="A1071" s="647"/>
      <c r="B1071" s="648"/>
      <c r="C1071" s="649"/>
      <c r="D1071" s="655" t="s">
        <v>166</v>
      </c>
      <c r="E1071" s="651"/>
      <c r="F1071" s="656">
        <v>0.87847222222222221</v>
      </c>
      <c r="G1071" s="647"/>
      <c r="H1071" s="648"/>
      <c r="I1071" s="649"/>
      <c r="J1071" s="655"/>
      <c r="K1071" s="651"/>
      <c r="L1071" s="656"/>
    </row>
    <row r="1072" spans="1:12" ht="15.75" x14ac:dyDescent="0.25">
      <c r="A1072" s="647" t="s">
        <v>961</v>
      </c>
      <c r="B1072" s="648"/>
      <c r="C1072" s="649"/>
      <c r="D1072" s="650" t="s">
        <v>160</v>
      </c>
      <c r="E1072" s="657"/>
      <c r="F1072" s="653">
        <v>0.90972222222222454</v>
      </c>
      <c r="G1072" s="647"/>
      <c r="H1072" s="648"/>
      <c r="I1072" s="649"/>
      <c r="J1072" s="655"/>
      <c r="K1072" s="651"/>
      <c r="L1072" s="656"/>
    </row>
    <row r="1073" spans="1:12" ht="15.75" x14ac:dyDescent="0.25">
      <c r="A1073" s="647"/>
      <c r="B1073" s="648"/>
      <c r="C1073" s="649"/>
      <c r="D1073" s="655" t="s">
        <v>962</v>
      </c>
      <c r="E1073" s="651"/>
      <c r="F1073" s="656">
        <v>0.91666666666666896</v>
      </c>
      <c r="G1073" s="647"/>
      <c r="H1073" s="648"/>
      <c r="I1073" s="649"/>
      <c r="J1073" s="650"/>
      <c r="K1073" s="657"/>
      <c r="L1073" s="653"/>
    </row>
    <row r="1074" spans="1:12" ht="15.75" x14ac:dyDescent="0.25">
      <c r="A1074" s="647"/>
      <c r="B1074" s="648"/>
      <c r="C1074" s="649"/>
      <c r="D1074" s="655" t="s">
        <v>960</v>
      </c>
      <c r="E1074" s="651"/>
      <c r="F1074" s="656">
        <v>0.94444444444444442</v>
      </c>
      <c r="G1074" s="647"/>
      <c r="H1074" s="648"/>
      <c r="I1074" s="649"/>
      <c r="J1074" s="650"/>
      <c r="K1074" s="657"/>
      <c r="L1074" s="652"/>
    </row>
    <row r="1075" spans="1:12" ht="15.75" x14ac:dyDescent="0.25">
      <c r="A1075" s="647" t="s">
        <v>958</v>
      </c>
      <c r="B1075" s="654"/>
      <c r="C1075" s="649"/>
      <c r="D1075" s="650" t="s">
        <v>163</v>
      </c>
      <c r="E1075" s="657">
        <v>0.98055555555555551</v>
      </c>
      <c r="F1075" s="656"/>
      <c r="G1075" s="647"/>
      <c r="H1075" s="648"/>
      <c r="I1075" s="649"/>
      <c r="J1075" s="650"/>
      <c r="K1075" s="657"/>
      <c r="L1075" s="652"/>
    </row>
    <row r="1076" spans="1:12" ht="15.75" x14ac:dyDescent="0.25">
      <c r="A1076" s="647"/>
      <c r="B1076" s="648"/>
      <c r="C1076" s="649"/>
      <c r="D1076" s="650" t="s">
        <v>963</v>
      </c>
      <c r="E1076" s="657">
        <v>1.0013888888888889</v>
      </c>
      <c r="F1076" s="656"/>
      <c r="G1076" s="647"/>
      <c r="H1076" s="648"/>
      <c r="I1076" s="649"/>
      <c r="J1076" s="650"/>
      <c r="K1076" s="651"/>
      <c r="L1076" s="652"/>
    </row>
    <row r="1077" spans="1:12" ht="15.75" x14ac:dyDescent="0.25">
      <c r="A1077" s="647"/>
      <c r="B1077" s="648" t="s">
        <v>462</v>
      </c>
      <c r="C1077" s="649" t="s">
        <v>459</v>
      </c>
      <c r="D1077" s="650"/>
      <c r="E1077" s="657"/>
      <c r="F1077" s="656"/>
      <c r="G1077" s="647"/>
      <c r="H1077" s="648"/>
      <c r="I1077" s="649"/>
      <c r="J1077" s="650"/>
      <c r="K1077" s="651"/>
      <c r="L1077" s="658"/>
    </row>
    <row r="1078" spans="1:12" ht="15.75" x14ac:dyDescent="0.25">
      <c r="A1078" s="647"/>
      <c r="B1078" s="648"/>
      <c r="C1078" s="649"/>
      <c r="D1078" s="650"/>
      <c r="E1078" s="651"/>
      <c r="F1078" s="653"/>
      <c r="G1078" s="647"/>
      <c r="H1078" s="648"/>
      <c r="I1078" s="649"/>
      <c r="J1078" s="655"/>
      <c r="K1078" s="651"/>
      <c r="L1078" s="658"/>
    </row>
    <row r="1079" spans="1:12" ht="15.75" x14ac:dyDescent="0.25">
      <c r="A1079" s="647"/>
      <c r="B1079" s="648"/>
      <c r="C1079" s="649"/>
      <c r="D1079" s="650"/>
      <c r="E1079" s="651"/>
      <c r="F1079" s="652"/>
      <c r="G1079" s="647"/>
      <c r="H1079" s="648"/>
      <c r="I1079" s="649"/>
      <c r="J1079" s="650"/>
      <c r="K1079" s="651"/>
      <c r="L1079" s="658"/>
    </row>
    <row r="1080" spans="1:12" ht="16.5" thickBot="1" x14ac:dyDescent="0.3">
      <c r="A1080" s="659"/>
      <c r="B1080" s="660"/>
      <c r="C1080" s="661"/>
      <c r="D1080" s="662"/>
      <c r="E1080" s="663"/>
      <c r="F1080" s="664"/>
      <c r="G1080" s="665"/>
      <c r="H1080" s="666"/>
      <c r="I1080" s="667"/>
      <c r="J1080" s="668"/>
      <c r="K1080" s="663"/>
      <c r="L1080" s="669"/>
    </row>
    <row r="1081" spans="1:12" ht="21" x14ac:dyDescent="0.35">
      <c r="A1081" s="769" t="s">
        <v>945</v>
      </c>
      <c r="B1081" s="770"/>
      <c r="C1081" s="770"/>
      <c r="D1081" s="770"/>
      <c r="E1081" s="770"/>
      <c r="F1081" s="770"/>
      <c r="G1081" s="770"/>
      <c r="H1081" s="770"/>
      <c r="I1081" s="770"/>
      <c r="J1081" s="770"/>
      <c r="K1081" s="770"/>
      <c r="L1081" s="771"/>
    </row>
    <row r="1082" spans="1:12" ht="18.75" x14ac:dyDescent="0.3">
      <c r="A1082" s="772" t="s">
        <v>946</v>
      </c>
      <c r="B1082" s="773"/>
      <c r="C1082" s="773"/>
      <c r="D1082" s="773"/>
      <c r="E1082" s="773"/>
      <c r="F1082" s="773"/>
      <c r="G1082" s="773"/>
      <c r="H1082" s="773"/>
      <c r="I1082" s="773"/>
      <c r="J1082" s="773"/>
      <c r="K1082" s="773"/>
      <c r="L1082" s="774"/>
    </row>
    <row r="1083" spans="1:12" ht="24" x14ac:dyDescent="0.4">
      <c r="A1083" s="775" t="s">
        <v>947</v>
      </c>
      <c r="B1083" s="776"/>
      <c r="C1083" s="776"/>
      <c r="D1083" s="776"/>
      <c r="E1083" s="776"/>
      <c r="F1083" s="776"/>
      <c r="G1083" s="776"/>
      <c r="H1083" s="776"/>
      <c r="I1083" s="776"/>
      <c r="J1083" s="776"/>
      <c r="K1083" s="776"/>
      <c r="L1083" s="777"/>
    </row>
    <row r="1084" spans="1:12" ht="24" x14ac:dyDescent="0.4">
      <c r="A1084" s="670" t="s">
        <v>948</v>
      </c>
      <c r="B1084" s="671"/>
      <c r="C1084" s="671"/>
      <c r="D1084" s="672" t="s">
        <v>949</v>
      </c>
      <c r="E1084" s="778" t="s">
        <v>950</v>
      </c>
      <c r="F1084" s="778"/>
      <c r="G1084" s="778"/>
      <c r="H1084" s="778"/>
      <c r="I1084" s="778"/>
      <c r="J1084" s="673" t="s">
        <v>1161</v>
      </c>
      <c r="K1084" s="778"/>
      <c r="L1084" s="779"/>
    </row>
    <row r="1085" spans="1:12" ht="15.75" thickBot="1" x14ac:dyDescent="0.3">
      <c r="A1085" s="674"/>
      <c r="B1085" s="675"/>
      <c r="C1085" s="675"/>
      <c r="D1085" s="676"/>
      <c r="E1085" s="675"/>
      <c r="F1085" s="675"/>
      <c r="G1085" s="675"/>
      <c r="H1085" s="675"/>
      <c r="I1085" s="780"/>
      <c r="J1085" s="780"/>
      <c r="K1085" s="675"/>
      <c r="L1085" s="677"/>
    </row>
    <row r="1086" spans="1:12" ht="16.5" thickBot="1" x14ac:dyDescent="0.3">
      <c r="A1086" s="631" t="s">
        <v>952</v>
      </c>
      <c r="B1086" s="632"/>
      <c r="C1086" s="633"/>
      <c r="D1086" s="634" t="s">
        <v>953</v>
      </c>
      <c r="E1086" s="631" t="s">
        <v>954</v>
      </c>
      <c r="F1086" s="635" t="s">
        <v>955</v>
      </c>
      <c r="G1086" s="631" t="s">
        <v>952</v>
      </c>
      <c r="H1086" s="632"/>
      <c r="I1086" s="633"/>
      <c r="J1086" s="634" t="s">
        <v>953</v>
      </c>
      <c r="K1086" s="631" t="s">
        <v>954</v>
      </c>
      <c r="L1086" s="631" t="s">
        <v>955</v>
      </c>
    </row>
    <row r="1087" spans="1:12" ht="15.75" x14ac:dyDescent="0.25">
      <c r="A1087" s="636"/>
      <c r="B1087" s="637"/>
      <c r="C1087" s="638"/>
      <c r="D1087" s="639"/>
      <c r="E1087" s="640"/>
      <c r="F1087" s="641"/>
      <c r="G1087" s="636"/>
      <c r="H1087" s="642"/>
      <c r="I1087" s="643"/>
      <c r="J1087" s="644"/>
      <c r="K1087" s="645"/>
      <c r="L1087" s="646"/>
    </row>
    <row r="1088" spans="1:12" ht="15.75" x14ac:dyDescent="0.25">
      <c r="A1088" s="647"/>
      <c r="B1088" s="648" t="s">
        <v>459</v>
      </c>
      <c r="C1088" s="649">
        <v>28</v>
      </c>
      <c r="D1088" s="650" t="s">
        <v>1162</v>
      </c>
      <c r="E1088" s="651"/>
      <c r="F1088" s="652"/>
      <c r="G1088" s="647"/>
      <c r="H1088" s="648"/>
      <c r="I1088" s="649"/>
      <c r="J1088" s="650"/>
      <c r="K1088" s="651"/>
      <c r="L1088" s="652"/>
    </row>
    <row r="1089" spans="1:12" ht="15.75" x14ac:dyDescent="0.25">
      <c r="A1089" s="647" t="s">
        <v>958</v>
      </c>
      <c r="B1089" s="654"/>
      <c r="C1089" s="649"/>
      <c r="D1089" s="655" t="s">
        <v>959</v>
      </c>
      <c r="E1089" s="651"/>
      <c r="F1089" s="656">
        <v>0.26041666666666669</v>
      </c>
      <c r="G1089" s="647"/>
      <c r="H1089" s="654"/>
      <c r="I1089" s="649"/>
      <c r="J1089" s="655"/>
      <c r="K1089" s="651"/>
      <c r="L1089" s="656"/>
    </row>
    <row r="1090" spans="1:12" ht="15.75" x14ac:dyDescent="0.25">
      <c r="A1090" s="647" t="s">
        <v>165</v>
      </c>
      <c r="B1090" s="648"/>
      <c r="C1090" s="649"/>
      <c r="D1090" s="650" t="s">
        <v>412</v>
      </c>
      <c r="E1090" s="651"/>
      <c r="F1090" s="653">
        <v>0.29166666666666669</v>
      </c>
      <c r="G1090" s="647"/>
      <c r="H1090" s="648"/>
      <c r="I1090" s="649"/>
      <c r="J1090" s="650"/>
      <c r="K1090" s="651"/>
      <c r="L1090" s="653"/>
    </row>
    <row r="1091" spans="1:12" ht="15.75" x14ac:dyDescent="0.25">
      <c r="A1091" s="647"/>
      <c r="B1091" s="648"/>
      <c r="C1091" s="649"/>
      <c r="D1091" s="655"/>
      <c r="E1091" s="651"/>
      <c r="F1091" s="656"/>
      <c r="G1091" s="647"/>
      <c r="H1091" s="648"/>
      <c r="I1091" s="649"/>
      <c r="J1091" s="655"/>
      <c r="K1091" s="651"/>
      <c r="L1091" s="656"/>
    </row>
    <row r="1092" spans="1:12" ht="15.75" x14ac:dyDescent="0.25">
      <c r="A1092" s="647" t="s">
        <v>958</v>
      </c>
      <c r="B1092" s="648"/>
      <c r="C1092" s="649"/>
      <c r="D1092" s="650" t="s">
        <v>1053</v>
      </c>
      <c r="E1092" s="657">
        <v>0.375</v>
      </c>
      <c r="F1092" s="656"/>
      <c r="G1092" s="647"/>
      <c r="H1092" s="648"/>
      <c r="I1092" s="649"/>
      <c r="J1092" s="655"/>
      <c r="K1092" s="651"/>
      <c r="L1092" s="656"/>
    </row>
    <row r="1093" spans="1:12" ht="15.75" x14ac:dyDescent="0.25">
      <c r="A1093" s="647"/>
      <c r="B1093" s="648"/>
      <c r="C1093" s="649"/>
      <c r="D1093" s="650" t="s">
        <v>963</v>
      </c>
      <c r="E1093" s="657">
        <v>0.39583333333333331</v>
      </c>
      <c r="F1093" s="653"/>
      <c r="G1093" s="647"/>
      <c r="H1093" s="654"/>
      <c r="I1093" s="649"/>
      <c r="J1093" s="650"/>
      <c r="K1093" s="657"/>
      <c r="L1093" s="653"/>
    </row>
    <row r="1094" spans="1:12" ht="15.75" x14ac:dyDescent="0.25">
      <c r="A1094" s="647"/>
      <c r="B1094" s="648" t="s">
        <v>459</v>
      </c>
      <c r="C1094" s="649">
        <v>28</v>
      </c>
      <c r="D1094" s="650" t="s">
        <v>1163</v>
      </c>
      <c r="E1094" s="651"/>
      <c r="F1094" s="656"/>
      <c r="G1094" s="647"/>
      <c r="H1094" s="648"/>
      <c r="I1094" s="649"/>
      <c r="J1094" s="655"/>
      <c r="K1094" s="651"/>
      <c r="L1094" s="656"/>
    </row>
    <row r="1095" spans="1:12" ht="15.75" x14ac:dyDescent="0.25">
      <c r="A1095" s="647"/>
      <c r="B1095" s="648"/>
      <c r="C1095" s="649"/>
      <c r="D1095" s="655"/>
      <c r="E1095" s="651"/>
      <c r="F1095" s="653"/>
      <c r="G1095" s="647"/>
      <c r="H1095" s="648"/>
      <c r="I1095" s="649"/>
      <c r="J1095" s="655"/>
      <c r="K1095" s="657"/>
      <c r="L1095" s="656"/>
    </row>
    <row r="1096" spans="1:12" ht="15.75" x14ac:dyDescent="0.25">
      <c r="A1096" s="647"/>
      <c r="B1096" s="648" t="s">
        <v>459</v>
      </c>
      <c r="C1096" s="649">
        <v>51</v>
      </c>
      <c r="D1096" s="650" t="s">
        <v>1164</v>
      </c>
      <c r="E1096" s="651"/>
      <c r="F1096" s="652"/>
      <c r="G1096" s="647"/>
      <c r="H1096" s="648"/>
      <c r="I1096" s="649"/>
      <c r="J1096" s="650"/>
      <c r="K1096" s="651"/>
      <c r="L1096" s="653"/>
    </row>
    <row r="1097" spans="1:12" ht="15.75" x14ac:dyDescent="0.25">
      <c r="A1097" s="647" t="s">
        <v>958</v>
      </c>
      <c r="B1097" s="654"/>
      <c r="C1097" s="649"/>
      <c r="D1097" s="655" t="s">
        <v>959</v>
      </c>
      <c r="E1097" s="651"/>
      <c r="F1097" s="656">
        <v>0.61805555555555558</v>
      </c>
      <c r="G1097" s="647"/>
      <c r="H1097" s="648"/>
      <c r="I1097" s="649"/>
      <c r="J1097" s="655"/>
      <c r="K1097" s="651"/>
      <c r="L1097" s="656"/>
    </row>
    <row r="1098" spans="1:12" ht="15.75" x14ac:dyDescent="0.25">
      <c r="A1098" s="647" t="s">
        <v>961</v>
      </c>
      <c r="B1098" s="654"/>
      <c r="C1098" s="649"/>
      <c r="D1098" s="650" t="s">
        <v>163</v>
      </c>
      <c r="E1098" s="657"/>
      <c r="F1098" s="653">
        <v>0.6479166666666667</v>
      </c>
      <c r="G1098" s="647"/>
      <c r="H1098" s="648"/>
      <c r="I1098" s="649"/>
      <c r="J1098" s="650"/>
      <c r="K1098" s="651"/>
      <c r="L1098" s="652"/>
    </row>
    <row r="1099" spans="1:12" ht="15.75" x14ac:dyDescent="0.25">
      <c r="A1099" s="647"/>
      <c r="B1099" s="648"/>
      <c r="C1099" s="649"/>
      <c r="D1099" s="655" t="s">
        <v>164</v>
      </c>
      <c r="E1099" s="651"/>
      <c r="F1099" s="656">
        <v>0.68263888888888891</v>
      </c>
      <c r="G1099" s="647"/>
      <c r="H1099" s="654"/>
      <c r="I1099" s="649"/>
      <c r="J1099" s="655"/>
      <c r="K1099" s="651"/>
      <c r="L1099" s="656"/>
    </row>
    <row r="1100" spans="1:12" ht="15.75" x14ac:dyDescent="0.25">
      <c r="A1100" s="647"/>
      <c r="B1100" s="654"/>
      <c r="C1100" s="649"/>
      <c r="D1100" s="655" t="s">
        <v>166</v>
      </c>
      <c r="E1100" s="651"/>
      <c r="F1100" s="656">
        <v>0.69652777777777775</v>
      </c>
      <c r="G1100" s="647"/>
      <c r="H1100" s="648"/>
      <c r="I1100" s="649"/>
      <c r="J1100" s="650"/>
      <c r="K1100" s="651"/>
      <c r="L1100" s="653"/>
    </row>
    <row r="1101" spans="1:12" ht="15.75" x14ac:dyDescent="0.25">
      <c r="A1101" s="647" t="s">
        <v>958</v>
      </c>
      <c r="B1101" s="648"/>
      <c r="C1101" s="649"/>
      <c r="D1101" s="650" t="s">
        <v>160</v>
      </c>
      <c r="E1101" s="657">
        <v>0.75</v>
      </c>
      <c r="F1101" s="653"/>
      <c r="G1101" s="647"/>
      <c r="H1101" s="648"/>
      <c r="I1101" s="649"/>
      <c r="J1101" s="655"/>
      <c r="K1101" s="651"/>
      <c r="L1101" s="656"/>
    </row>
    <row r="1102" spans="1:12" ht="15.75" x14ac:dyDescent="0.25">
      <c r="A1102" s="647"/>
      <c r="B1102" s="648"/>
      <c r="C1102" s="649"/>
      <c r="D1102" s="650" t="s">
        <v>963</v>
      </c>
      <c r="E1102" s="657">
        <v>0.78125</v>
      </c>
      <c r="F1102" s="656"/>
      <c r="G1102" s="647"/>
      <c r="H1102" s="648"/>
      <c r="I1102" s="649"/>
      <c r="J1102" s="655"/>
      <c r="K1102" s="651"/>
      <c r="L1102" s="656"/>
    </row>
    <row r="1103" spans="1:12" ht="15.75" x14ac:dyDescent="0.25">
      <c r="A1103" s="647"/>
      <c r="B1103" s="648" t="s">
        <v>459</v>
      </c>
      <c r="C1103" s="649">
        <v>51</v>
      </c>
      <c r="D1103" s="650" t="s">
        <v>1165</v>
      </c>
      <c r="E1103" s="657"/>
      <c r="F1103" s="656"/>
      <c r="G1103" s="647"/>
      <c r="H1103" s="654"/>
      <c r="I1103" s="649"/>
      <c r="J1103" s="650"/>
      <c r="K1103" s="657"/>
      <c r="L1103" s="653"/>
    </row>
    <row r="1104" spans="1:12" ht="15.75" x14ac:dyDescent="0.25">
      <c r="A1104" s="647"/>
      <c r="B1104" s="648"/>
      <c r="C1104" s="649"/>
      <c r="D1104" s="650"/>
      <c r="E1104" s="651"/>
      <c r="F1104" s="653"/>
      <c r="G1104" s="647"/>
      <c r="H1104" s="648"/>
      <c r="I1104" s="649"/>
      <c r="J1104" s="650"/>
      <c r="K1104" s="657"/>
      <c r="L1104" s="653"/>
    </row>
    <row r="1105" spans="1:12" ht="15.75" x14ac:dyDescent="0.25">
      <c r="A1105" s="647"/>
      <c r="B1105" s="648"/>
      <c r="C1105" s="649"/>
      <c r="D1105" s="650"/>
      <c r="E1105" s="651"/>
      <c r="F1105" s="653"/>
      <c r="G1105" s="647"/>
      <c r="H1105" s="648"/>
      <c r="I1105" s="649"/>
      <c r="J1105" s="650"/>
      <c r="K1105" s="657"/>
      <c r="L1105" s="656"/>
    </row>
    <row r="1106" spans="1:12" ht="15.75" x14ac:dyDescent="0.25">
      <c r="A1106" s="647"/>
      <c r="B1106" s="648"/>
      <c r="C1106" s="649"/>
      <c r="D1106" s="650"/>
      <c r="E1106" s="651"/>
      <c r="F1106" s="652"/>
      <c r="G1106" s="647"/>
      <c r="H1106" s="648"/>
      <c r="I1106" s="649"/>
      <c r="J1106" s="650"/>
      <c r="K1106" s="651"/>
      <c r="L1106" s="658"/>
    </row>
    <row r="1107" spans="1:12" ht="15.75" x14ac:dyDescent="0.25">
      <c r="A1107" s="647"/>
      <c r="B1107" s="654"/>
      <c r="C1107" s="649"/>
      <c r="D1107" s="655"/>
      <c r="E1107" s="651"/>
      <c r="F1107" s="656"/>
      <c r="G1107" s="647"/>
      <c r="H1107" s="648"/>
      <c r="I1107" s="649"/>
      <c r="J1107" s="650"/>
      <c r="K1107" s="651"/>
      <c r="L1107" s="658"/>
    </row>
    <row r="1108" spans="1:12" ht="15.75" x14ac:dyDescent="0.25">
      <c r="A1108" s="647"/>
      <c r="B1108" s="648"/>
      <c r="C1108" s="649"/>
      <c r="D1108" s="650"/>
      <c r="E1108" s="651"/>
      <c r="F1108" s="653"/>
      <c r="G1108" s="647"/>
      <c r="H1108" s="648"/>
      <c r="I1108" s="649"/>
      <c r="J1108" s="655"/>
      <c r="K1108" s="651"/>
      <c r="L1108" s="658"/>
    </row>
    <row r="1109" spans="1:12" ht="15.75" x14ac:dyDescent="0.25">
      <c r="A1109" s="647"/>
      <c r="B1109" s="648"/>
      <c r="C1109" s="649"/>
      <c r="D1109" s="655"/>
      <c r="E1109" s="651"/>
      <c r="F1109" s="656"/>
      <c r="G1109" s="647"/>
      <c r="H1109" s="648"/>
      <c r="I1109" s="649"/>
      <c r="J1109" s="650"/>
      <c r="K1109" s="651"/>
      <c r="L1109" s="658"/>
    </row>
    <row r="1110" spans="1:12" ht="15.75" x14ac:dyDescent="0.25">
      <c r="A1110" s="647"/>
      <c r="B1110" s="648"/>
      <c r="C1110" s="649"/>
      <c r="D1110" s="655"/>
      <c r="E1110" s="651"/>
      <c r="F1110" s="656"/>
      <c r="G1110" s="647"/>
      <c r="H1110" s="654"/>
      <c r="I1110" s="649"/>
      <c r="J1110" s="650"/>
      <c r="K1110" s="657"/>
      <c r="L1110" s="653"/>
    </row>
    <row r="1111" spans="1:12" ht="15.75" x14ac:dyDescent="0.25">
      <c r="A1111" s="647"/>
      <c r="B1111" s="654"/>
      <c r="C1111" s="649"/>
      <c r="D1111" s="650"/>
      <c r="E1111" s="657"/>
      <c r="F1111" s="653"/>
      <c r="G1111" s="647"/>
      <c r="H1111" s="648"/>
      <c r="I1111" s="649"/>
      <c r="J1111" s="655"/>
      <c r="K1111" s="651"/>
      <c r="L1111" s="656"/>
    </row>
    <row r="1112" spans="1:12" ht="15.75" x14ac:dyDescent="0.25">
      <c r="A1112" s="647"/>
      <c r="B1112" s="648"/>
      <c r="C1112" s="649"/>
      <c r="D1112" s="655"/>
      <c r="E1112" s="651"/>
      <c r="F1112" s="656"/>
      <c r="G1112" s="647"/>
      <c r="H1112" s="648"/>
      <c r="I1112" s="649"/>
      <c r="J1112" s="655"/>
      <c r="K1112" s="651"/>
      <c r="L1112" s="656"/>
    </row>
    <row r="1113" spans="1:12" ht="15.75" x14ac:dyDescent="0.25">
      <c r="A1113" s="647"/>
      <c r="B1113" s="648"/>
      <c r="C1113" s="649"/>
      <c r="D1113" s="655"/>
      <c r="E1113" s="657"/>
      <c r="F1113" s="656"/>
      <c r="G1113" s="647"/>
      <c r="H1113" s="648"/>
      <c r="I1113" s="649"/>
      <c r="J1113" s="650"/>
      <c r="K1113" s="657"/>
      <c r="L1113" s="653"/>
    </row>
    <row r="1114" spans="1:12" ht="15.75" x14ac:dyDescent="0.25">
      <c r="A1114" s="647"/>
      <c r="B1114" s="648"/>
      <c r="C1114" s="649"/>
      <c r="D1114" s="650"/>
      <c r="E1114" s="651"/>
      <c r="F1114" s="653"/>
      <c r="G1114" s="647"/>
      <c r="H1114" s="648"/>
      <c r="I1114" s="649"/>
      <c r="J1114" s="650"/>
      <c r="K1114" s="657"/>
      <c r="L1114" s="653"/>
    </row>
    <row r="1115" spans="1:12" ht="15.75" x14ac:dyDescent="0.25">
      <c r="A1115" s="647"/>
      <c r="B1115" s="648"/>
      <c r="C1115" s="649"/>
      <c r="D1115" s="650"/>
      <c r="E1115" s="657"/>
      <c r="F1115" s="656"/>
      <c r="G1115" s="647"/>
      <c r="H1115" s="648"/>
      <c r="I1115" s="649"/>
      <c r="J1115" s="650"/>
      <c r="K1115" s="657"/>
      <c r="L1115" s="656"/>
    </row>
    <row r="1116" spans="1:12" ht="15.75" x14ac:dyDescent="0.25">
      <c r="A1116" s="647"/>
      <c r="B1116" s="648"/>
      <c r="C1116" s="649"/>
      <c r="D1116" s="650"/>
      <c r="E1116" s="651"/>
      <c r="F1116" s="656"/>
      <c r="G1116" s="647"/>
      <c r="H1116" s="648"/>
      <c r="I1116" s="649"/>
      <c r="J1116" s="650"/>
      <c r="K1116" s="651"/>
      <c r="L1116" s="658"/>
    </row>
    <row r="1117" spans="1:12" ht="15.75" x14ac:dyDescent="0.25">
      <c r="A1117" s="647"/>
      <c r="B1117" s="648"/>
      <c r="C1117" s="649"/>
      <c r="D1117" s="650"/>
      <c r="E1117" s="657"/>
      <c r="F1117" s="653"/>
      <c r="G1117" s="647"/>
      <c r="H1117" s="648"/>
      <c r="I1117" s="649"/>
      <c r="J1117" s="650"/>
      <c r="K1117" s="651"/>
      <c r="L1117" s="658"/>
    </row>
    <row r="1118" spans="1:12" ht="15.75" x14ac:dyDescent="0.25">
      <c r="A1118" s="647"/>
      <c r="B1118" s="648"/>
      <c r="C1118" s="649"/>
      <c r="D1118" s="650"/>
      <c r="E1118" s="657"/>
      <c r="F1118" s="652"/>
      <c r="G1118" s="647"/>
      <c r="H1118" s="648"/>
      <c r="I1118" s="649"/>
      <c r="J1118" s="655"/>
      <c r="K1118" s="651"/>
      <c r="L1118" s="658"/>
    </row>
    <row r="1119" spans="1:12" ht="15.75" x14ac:dyDescent="0.25">
      <c r="A1119" s="647"/>
      <c r="B1119" s="648"/>
      <c r="C1119" s="649"/>
      <c r="D1119" s="650"/>
      <c r="E1119" s="651"/>
      <c r="F1119" s="652"/>
      <c r="G1119" s="647"/>
      <c r="H1119" s="648"/>
      <c r="I1119" s="649"/>
      <c r="J1119" s="650"/>
      <c r="K1119" s="651"/>
      <c r="L1119" s="658"/>
    </row>
    <row r="1120" spans="1:12" ht="16.5" thickBot="1" x14ac:dyDescent="0.3">
      <c r="A1120" s="659"/>
      <c r="B1120" s="660"/>
      <c r="C1120" s="661"/>
      <c r="D1120" s="662"/>
      <c r="E1120" s="663"/>
      <c r="F1120" s="664"/>
      <c r="G1120" s="665"/>
      <c r="H1120" s="666"/>
      <c r="I1120" s="667"/>
      <c r="J1120" s="668"/>
      <c r="K1120" s="663"/>
      <c r="L1120" s="669"/>
    </row>
    <row r="1121" spans="1:12" ht="21" x14ac:dyDescent="0.35">
      <c r="A1121" s="769" t="s">
        <v>945</v>
      </c>
      <c r="B1121" s="770"/>
      <c r="C1121" s="770"/>
      <c r="D1121" s="770"/>
      <c r="E1121" s="770"/>
      <c r="F1121" s="770"/>
      <c r="G1121" s="770"/>
      <c r="H1121" s="770"/>
      <c r="I1121" s="770"/>
      <c r="J1121" s="770"/>
      <c r="K1121" s="770"/>
      <c r="L1121" s="771"/>
    </row>
    <row r="1122" spans="1:12" ht="18.75" x14ac:dyDescent="0.3">
      <c r="A1122" s="772" t="s">
        <v>946</v>
      </c>
      <c r="B1122" s="773"/>
      <c r="C1122" s="773"/>
      <c r="D1122" s="773"/>
      <c r="E1122" s="773"/>
      <c r="F1122" s="773"/>
      <c r="G1122" s="773"/>
      <c r="H1122" s="773"/>
      <c r="I1122" s="773"/>
      <c r="J1122" s="773"/>
      <c r="K1122" s="773"/>
      <c r="L1122" s="774"/>
    </row>
    <row r="1123" spans="1:12" ht="24" x14ac:dyDescent="0.4">
      <c r="A1123" s="775" t="s">
        <v>947</v>
      </c>
      <c r="B1123" s="776"/>
      <c r="C1123" s="776"/>
      <c r="D1123" s="776"/>
      <c r="E1123" s="776"/>
      <c r="F1123" s="776"/>
      <c r="G1123" s="776"/>
      <c r="H1123" s="776"/>
      <c r="I1123" s="776"/>
      <c r="J1123" s="776"/>
      <c r="K1123" s="776"/>
      <c r="L1123" s="777"/>
    </row>
    <row r="1124" spans="1:12" ht="24" x14ac:dyDescent="0.4">
      <c r="A1124" s="670" t="s">
        <v>948</v>
      </c>
      <c r="B1124" s="671"/>
      <c r="C1124" s="671"/>
      <c r="D1124" s="672" t="s">
        <v>949</v>
      </c>
      <c r="E1124" s="778" t="s">
        <v>950</v>
      </c>
      <c r="F1124" s="778"/>
      <c r="G1124" s="778"/>
      <c r="H1124" s="778"/>
      <c r="I1124" s="778"/>
      <c r="J1124" s="673" t="s">
        <v>1166</v>
      </c>
      <c r="K1124" s="778"/>
      <c r="L1124" s="779"/>
    </row>
    <row r="1125" spans="1:12" ht="15.75" thickBot="1" x14ac:dyDescent="0.3">
      <c r="A1125" s="674"/>
      <c r="B1125" s="675"/>
      <c r="C1125" s="675"/>
      <c r="D1125" s="676"/>
      <c r="E1125" s="675"/>
      <c r="F1125" s="675"/>
      <c r="G1125" s="675"/>
      <c r="H1125" s="675"/>
      <c r="I1125" s="780"/>
      <c r="J1125" s="780"/>
      <c r="K1125" s="675"/>
      <c r="L1125" s="677"/>
    </row>
    <row r="1126" spans="1:12" ht="16.5" thickBot="1" x14ac:dyDescent="0.3">
      <c r="A1126" s="631" t="s">
        <v>952</v>
      </c>
      <c r="B1126" s="632"/>
      <c r="C1126" s="633"/>
      <c r="D1126" s="634" t="s">
        <v>953</v>
      </c>
      <c r="E1126" s="631" t="s">
        <v>954</v>
      </c>
      <c r="F1126" s="635" t="s">
        <v>955</v>
      </c>
      <c r="G1126" s="631" t="s">
        <v>952</v>
      </c>
      <c r="H1126" s="632"/>
      <c r="I1126" s="633"/>
      <c r="J1126" s="634" t="s">
        <v>953</v>
      </c>
      <c r="K1126" s="631" t="s">
        <v>954</v>
      </c>
      <c r="L1126" s="631" t="s">
        <v>955</v>
      </c>
    </row>
    <row r="1127" spans="1:12" ht="15.75" x14ac:dyDescent="0.25">
      <c r="A1127" s="636"/>
      <c r="B1127" s="637"/>
      <c r="C1127" s="638"/>
      <c r="D1127" s="639"/>
      <c r="E1127" s="640"/>
      <c r="F1127" s="641"/>
      <c r="G1127" s="636"/>
      <c r="H1127" s="642"/>
      <c r="I1127" s="643"/>
      <c r="J1127" s="644"/>
      <c r="K1127" s="645"/>
      <c r="L1127" s="646"/>
    </row>
    <row r="1128" spans="1:12" ht="15.75" x14ac:dyDescent="0.25">
      <c r="A1128" s="647"/>
      <c r="B1128" s="648" t="s">
        <v>459</v>
      </c>
      <c r="C1128" s="649">
        <v>29</v>
      </c>
      <c r="D1128" s="650" t="s">
        <v>1167</v>
      </c>
      <c r="E1128" s="651"/>
      <c r="F1128" s="652"/>
      <c r="G1128" s="647"/>
      <c r="H1128" s="648"/>
      <c r="I1128" s="649"/>
      <c r="J1128" s="650"/>
      <c r="K1128" s="651"/>
      <c r="L1128" s="652"/>
    </row>
    <row r="1129" spans="1:12" ht="15.75" x14ac:dyDescent="0.25">
      <c r="A1129" s="647" t="s">
        <v>958</v>
      </c>
      <c r="B1129" s="654"/>
      <c r="C1129" s="649"/>
      <c r="D1129" s="655" t="s">
        <v>959</v>
      </c>
      <c r="E1129" s="651"/>
      <c r="F1129" s="656">
        <v>0.2638888888888889</v>
      </c>
      <c r="G1129" s="647"/>
      <c r="H1129" s="654"/>
      <c r="I1129" s="649"/>
      <c r="J1129" s="655"/>
      <c r="K1129" s="651"/>
      <c r="L1129" s="656"/>
    </row>
    <row r="1130" spans="1:12" ht="15.75" x14ac:dyDescent="0.25">
      <c r="A1130" s="647" t="s">
        <v>165</v>
      </c>
      <c r="B1130" s="648"/>
      <c r="C1130" s="649"/>
      <c r="D1130" s="650" t="s">
        <v>412</v>
      </c>
      <c r="E1130" s="651"/>
      <c r="F1130" s="653">
        <v>0.2986111111111111</v>
      </c>
      <c r="G1130" s="647"/>
      <c r="H1130" s="648"/>
      <c r="I1130" s="649"/>
      <c r="J1130" s="650"/>
      <c r="K1130" s="651"/>
      <c r="L1130" s="653"/>
    </row>
    <row r="1131" spans="1:12" ht="15.75" x14ac:dyDescent="0.25">
      <c r="A1131" s="647"/>
      <c r="B1131" s="648"/>
      <c r="C1131" s="649"/>
      <c r="D1131" s="655"/>
      <c r="E1131" s="651"/>
      <c r="F1131" s="656"/>
      <c r="G1131" s="647"/>
      <c r="H1131" s="648"/>
      <c r="I1131" s="649"/>
      <c r="J1131" s="655"/>
      <c r="K1131" s="651"/>
      <c r="L1131" s="656"/>
    </row>
    <row r="1132" spans="1:12" ht="15.75" x14ac:dyDescent="0.25">
      <c r="A1132" s="647" t="s">
        <v>958</v>
      </c>
      <c r="B1132" s="648"/>
      <c r="C1132" s="649"/>
      <c r="D1132" s="650" t="s">
        <v>1053</v>
      </c>
      <c r="E1132" s="657">
        <v>0.38194444444444442</v>
      </c>
      <c r="F1132" s="656"/>
      <c r="G1132" s="647"/>
      <c r="H1132" s="648"/>
      <c r="I1132" s="649"/>
      <c r="J1132" s="655"/>
      <c r="K1132" s="651"/>
      <c r="L1132" s="656"/>
    </row>
    <row r="1133" spans="1:12" ht="15.75" x14ac:dyDescent="0.25">
      <c r="A1133" s="647"/>
      <c r="B1133" s="648"/>
      <c r="C1133" s="649"/>
      <c r="D1133" s="650" t="s">
        <v>963</v>
      </c>
      <c r="E1133" s="657">
        <v>0.40277777777777779</v>
      </c>
      <c r="F1133" s="653"/>
      <c r="G1133" s="647"/>
      <c r="H1133" s="654"/>
      <c r="I1133" s="649"/>
      <c r="J1133" s="650"/>
      <c r="K1133" s="657"/>
      <c r="L1133" s="653"/>
    </row>
    <row r="1134" spans="1:12" ht="15.75" x14ac:dyDescent="0.25">
      <c r="A1134" s="647"/>
      <c r="B1134" s="648" t="s">
        <v>459</v>
      </c>
      <c r="C1134" s="649">
        <v>29</v>
      </c>
      <c r="D1134" s="650" t="s">
        <v>1168</v>
      </c>
      <c r="E1134" s="651"/>
      <c r="F1134" s="656"/>
      <c r="G1134" s="647"/>
      <c r="H1134" s="648"/>
      <c r="I1134" s="649"/>
      <c r="J1134" s="655"/>
      <c r="K1134" s="651"/>
      <c r="L1134" s="656"/>
    </row>
    <row r="1135" spans="1:12" ht="15.75" x14ac:dyDescent="0.25">
      <c r="A1135" s="647"/>
      <c r="B1135" s="648"/>
      <c r="C1135" s="649"/>
      <c r="D1135" s="655"/>
      <c r="E1135" s="651"/>
      <c r="F1135" s="653"/>
      <c r="G1135" s="647"/>
      <c r="H1135" s="648"/>
      <c r="I1135" s="649"/>
      <c r="J1135" s="655"/>
      <c r="K1135" s="657"/>
      <c r="L1135" s="656"/>
    </row>
    <row r="1136" spans="1:12" ht="15.75" x14ac:dyDescent="0.25">
      <c r="A1136" s="647"/>
      <c r="B1136" s="648" t="s">
        <v>459</v>
      </c>
      <c r="C1136" s="649">
        <v>211</v>
      </c>
      <c r="D1136" s="650" t="s">
        <v>1169</v>
      </c>
      <c r="E1136" s="651"/>
      <c r="F1136" s="652"/>
      <c r="G1136" s="647"/>
      <c r="H1136" s="648"/>
      <c r="I1136" s="649"/>
      <c r="J1136" s="650"/>
      <c r="K1136" s="651"/>
      <c r="L1136" s="653"/>
    </row>
    <row r="1137" spans="1:12" ht="15.75" x14ac:dyDescent="0.25">
      <c r="A1137" s="647" t="s">
        <v>958</v>
      </c>
      <c r="B1137" s="654"/>
      <c r="C1137" s="649"/>
      <c r="D1137" s="655" t="s">
        <v>959</v>
      </c>
      <c r="E1137" s="651"/>
      <c r="F1137" s="656">
        <v>0.625</v>
      </c>
      <c r="G1137" s="647"/>
      <c r="H1137" s="648"/>
      <c r="I1137" s="649"/>
      <c r="J1137" s="655"/>
      <c r="K1137" s="651"/>
      <c r="L1137" s="656"/>
    </row>
    <row r="1138" spans="1:12" ht="15.75" x14ac:dyDescent="0.25">
      <c r="A1138" s="647" t="s">
        <v>961</v>
      </c>
      <c r="B1138" s="648"/>
      <c r="C1138" s="649"/>
      <c r="D1138" s="650" t="s">
        <v>160</v>
      </c>
      <c r="E1138" s="651"/>
      <c r="F1138" s="653">
        <v>0.66666666666666663</v>
      </c>
      <c r="G1138" s="647"/>
      <c r="H1138" s="648"/>
      <c r="I1138" s="649"/>
      <c r="J1138" s="650"/>
      <c r="K1138" s="651"/>
      <c r="L1138" s="652"/>
    </row>
    <row r="1139" spans="1:12" ht="15.75" x14ac:dyDescent="0.25">
      <c r="A1139" s="647"/>
      <c r="B1139" s="648"/>
      <c r="C1139" s="649"/>
      <c r="D1139" s="655" t="s">
        <v>962</v>
      </c>
      <c r="E1139" s="651"/>
      <c r="F1139" s="656">
        <v>0.67708333333333337</v>
      </c>
      <c r="G1139" s="647"/>
      <c r="H1139" s="654"/>
      <c r="I1139" s="649"/>
      <c r="J1139" s="655"/>
      <c r="K1139" s="651"/>
      <c r="L1139" s="656"/>
    </row>
    <row r="1140" spans="1:12" ht="15.75" x14ac:dyDescent="0.25">
      <c r="A1140" s="647"/>
      <c r="B1140" s="648"/>
      <c r="C1140" s="649"/>
      <c r="D1140" s="655" t="s">
        <v>960</v>
      </c>
      <c r="E1140" s="651"/>
      <c r="F1140" s="656">
        <v>0.70833333333333337</v>
      </c>
      <c r="G1140" s="647"/>
      <c r="H1140" s="648"/>
      <c r="I1140" s="649"/>
      <c r="J1140" s="650"/>
      <c r="K1140" s="651"/>
      <c r="L1140" s="653"/>
    </row>
    <row r="1141" spans="1:12" ht="15.75" x14ac:dyDescent="0.25">
      <c r="A1141" s="647" t="s">
        <v>958</v>
      </c>
      <c r="B1141" s="654"/>
      <c r="C1141" s="649"/>
      <c r="D1141" s="650" t="s">
        <v>163</v>
      </c>
      <c r="E1141" s="657">
        <v>0.76736111111111116</v>
      </c>
      <c r="F1141" s="653"/>
      <c r="G1141" s="647"/>
      <c r="H1141" s="648"/>
      <c r="I1141" s="649"/>
      <c r="J1141" s="655"/>
      <c r="K1141" s="651"/>
      <c r="L1141" s="656"/>
    </row>
    <row r="1142" spans="1:12" ht="15.75" x14ac:dyDescent="0.25">
      <c r="A1142" s="647"/>
      <c r="B1142" s="648"/>
      <c r="C1142" s="649"/>
      <c r="D1142" s="650" t="s">
        <v>963</v>
      </c>
      <c r="E1142" s="657">
        <v>0.79166666666666663</v>
      </c>
      <c r="F1142" s="653"/>
      <c r="G1142" s="647"/>
      <c r="H1142" s="648"/>
      <c r="I1142" s="649"/>
      <c r="J1142" s="655"/>
      <c r="K1142" s="651"/>
      <c r="L1142" s="656"/>
    </row>
    <row r="1143" spans="1:12" ht="15.75" x14ac:dyDescent="0.25">
      <c r="A1143" s="647"/>
      <c r="B1143" s="648" t="s">
        <v>462</v>
      </c>
      <c r="C1143" s="649" t="s">
        <v>459</v>
      </c>
      <c r="D1143" s="650"/>
      <c r="E1143" s="657"/>
      <c r="F1143" s="656"/>
      <c r="G1143" s="647"/>
      <c r="H1143" s="654"/>
      <c r="I1143" s="649"/>
      <c r="J1143" s="650"/>
      <c r="K1143" s="657"/>
      <c r="L1143" s="653"/>
    </row>
    <row r="1144" spans="1:12" ht="15.75" x14ac:dyDescent="0.25">
      <c r="A1144" s="647"/>
      <c r="B1144" s="648"/>
      <c r="C1144" s="649"/>
      <c r="D1144" s="650"/>
      <c r="E1144" s="651"/>
      <c r="F1144" s="653"/>
      <c r="G1144" s="647"/>
      <c r="H1144" s="648"/>
      <c r="I1144" s="649"/>
      <c r="J1144" s="650"/>
      <c r="K1144" s="657"/>
      <c r="L1144" s="653"/>
    </row>
    <row r="1145" spans="1:12" ht="15.75" x14ac:dyDescent="0.25">
      <c r="A1145" s="647"/>
      <c r="B1145" s="648"/>
      <c r="C1145" s="649"/>
      <c r="D1145" s="650"/>
      <c r="E1145" s="651"/>
      <c r="F1145" s="653"/>
      <c r="G1145" s="647"/>
      <c r="H1145" s="648"/>
      <c r="I1145" s="649"/>
      <c r="J1145" s="650"/>
      <c r="K1145" s="657"/>
      <c r="L1145" s="656"/>
    </row>
    <row r="1146" spans="1:12" ht="15.75" x14ac:dyDescent="0.25">
      <c r="A1146" s="647"/>
      <c r="B1146" s="648"/>
      <c r="C1146" s="649"/>
      <c r="D1146" s="650"/>
      <c r="E1146" s="651"/>
      <c r="F1146" s="652"/>
      <c r="G1146" s="647"/>
      <c r="H1146" s="648"/>
      <c r="I1146" s="649"/>
      <c r="J1146" s="650"/>
      <c r="K1146" s="651"/>
      <c r="L1146" s="658"/>
    </row>
    <row r="1147" spans="1:12" ht="15.75" x14ac:dyDescent="0.25">
      <c r="A1147" s="647"/>
      <c r="B1147" s="654"/>
      <c r="C1147" s="649"/>
      <c r="D1147" s="655"/>
      <c r="E1147" s="651"/>
      <c r="F1147" s="656"/>
      <c r="G1147" s="647"/>
      <c r="H1147" s="648"/>
      <c r="I1147" s="649"/>
      <c r="J1147" s="650"/>
      <c r="K1147" s="651"/>
      <c r="L1147" s="658"/>
    </row>
    <row r="1148" spans="1:12" ht="15.75" x14ac:dyDescent="0.25">
      <c r="A1148" s="647"/>
      <c r="B1148" s="648"/>
      <c r="C1148" s="649"/>
      <c r="D1148" s="650"/>
      <c r="E1148" s="651"/>
      <c r="F1148" s="653"/>
      <c r="G1148" s="647"/>
      <c r="H1148" s="648"/>
      <c r="I1148" s="649"/>
      <c r="J1148" s="655"/>
      <c r="K1148" s="651"/>
      <c r="L1148" s="658"/>
    </row>
    <row r="1149" spans="1:12" ht="15.75" x14ac:dyDescent="0.25">
      <c r="A1149" s="647"/>
      <c r="B1149" s="648"/>
      <c r="C1149" s="649"/>
      <c r="D1149" s="655"/>
      <c r="E1149" s="651"/>
      <c r="F1149" s="656"/>
      <c r="G1149" s="647"/>
      <c r="H1149" s="648"/>
      <c r="I1149" s="649"/>
      <c r="J1149" s="650"/>
      <c r="K1149" s="651"/>
      <c r="L1149" s="658"/>
    </row>
    <row r="1150" spans="1:12" ht="15.75" x14ac:dyDescent="0.25">
      <c r="A1150" s="647"/>
      <c r="B1150" s="648"/>
      <c r="C1150" s="649"/>
      <c r="D1150" s="655"/>
      <c r="E1150" s="651"/>
      <c r="F1150" s="656"/>
      <c r="G1150" s="647"/>
      <c r="H1150" s="654"/>
      <c r="I1150" s="649"/>
      <c r="J1150" s="650"/>
      <c r="K1150" s="657"/>
      <c r="L1150" s="653"/>
    </row>
    <row r="1151" spans="1:12" ht="15.75" x14ac:dyDescent="0.25">
      <c r="A1151" s="647"/>
      <c r="B1151" s="654"/>
      <c r="C1151" s="649"/>
      <c r="D1151" s="650"/>
      <c r="E1151" s="657"/>
      <c r="F1151" s="653"/>
      <c r="G1151" s="647"/>
      <c r="H1151" s="648"/>
      <c r="I1151" s="649"/>
      <c r="J1151" s="655"/>
      <c r="K1151" s="651"/>
      <c r="L1151" s="656"/>
    </row>
    <row r="1152" spans="1:12" ht="15.75" x14ac:dyDescent="0.25">
      <c r="A1152" s="647"/>
      <c r="B1152" s="648"/>
      <c r="C1152" s="649"/>
      <c r="D1152" s="655"/>
      <c r="E1152" s="651"/>
      <c r="F1152" s="656"/>
      <c r="G1152" s="647"/>
      <c r="H1152" s="648"/>
      <c r="I1152" s="649"/>
      <c r="J1152" s="655"/>
      <c r="K1152" s="651"/>
      <c r="L1152" s="656"/>
    </row>
    <row r="1153" spans="1:12" ht="15.75" x14ac:dyDescent="0.25">
      <c r="A1153" s="647"/>
      <c r="B1153" s="648"/>
      <c r="C1153" s="649"/>
      <c r="D1153" s="655"/>
      <c r="E1153" s="657"/>
      <c r="F1153" s="656"/>
      <c r="G1153" s="647"/>
      <c r="H1153" s="648"/>
      <c r="I1153" s="649"/>
      <c r="J1153" s="650"/>
      <c r="K1153" s="657"/>
      <c r="L1153" s="653"/>
    </row>
    <row r="1154" spans="1:12" ht="15.75" x14ac:dyDescent="0.25">
      <c r="A1154" s="647"/>
      <c r="B1154" s="648"/>
      <c r="C1154" s="649"/>
      <c r="D1154" s="650"/>
      <c r="E1154" s="651"/>
      <c r="F1154" s="653"/>
      <c r="G1154" s="647"/>
      <c r="H1154" s="648"/>
      <c r="I1154" s="649"/>
      <c r="J1154" s="650"/>
      <c r="K1154" s="657"/>
      <c r="L1154" s="653"/>
    </row>
    <row r="1155" spans="1:12" ht="15.75" x14ac:dyDescent="0.25">
      <c r="A1155" s="647"/>
      <c r="B1155" s="648"/>
      <c r="C1155" s="649"/>
      <c r="D1155" s="650"/>
      <c r="E1155" s="657"/>
      <c r="F1155" s="656"/>
      <c r="G1155" s="647"/>
      <c r="H1155" s="648"/>
      <c r="I1155" s="649"/>
      <c r="J1155" s="650"/>
      <c r="K1155" s="657"/>
      <c r="L1155" s="656"/>
    </row>
    <row r="1156" spans="1:12" ht="15.75" x14ac:dyDescent="0.25">
      <c r="A1156" s="647"/>
      <c r="B1156" s="648"/>
      <c r="C1156" s="649"/>
      <c r="D1156" s="650"/>
      <c r="E1156" s="651"/>
      <c r="F1156" s="656"/>
      <c r="G1156" s="647"/>
      <c r="H1156" s="648"/>
      <c r="I1156" s="649"/>
      <c r="J1156" s="650"/>
      <c r="K1156" s="651"/>
      <c r="L1156" s="658"/>
    </row>
    <row r="1157" spans="1:12" ht="15.75" x14ac:dyDescent="0.25">
      <c r="A1157" s="647"/>
      <c r="B1157" s="648"/>
      <c r="C1157" s="649"/>
      <c r="D1157" s="650"/>
      <c r="E1157" s="657"/>
      <c r="F1157" s="653"/>
      <c r="G1157" s="647"/>
      <c r="H1157" s="648"/>
      <c r="I1157" s="649"/>
      <c r="J1157" s="650"/>
      <c r="K1157" s="651"/>
      <c r="L1157" s="658"/>
    </row>
    <row r="1158" spans="1:12" ht="15.75" x14ac:dyDescent="0.25">
      <c r="A1158" s="647"/>
      <c r="B1158" s="648"/>
      <c r="C1158" s="649"/>
      <c r="D1158" s="650"/>
      <c r="E1158" s="657"/>
      <c r="F1158" s="652"/>
      <c r="G1158" s="647"/>
      <c r="H1158" s="648"/>
      <c r="I1158" s="649"/>
      <c r="J1158" s="655"/>
      <c r="K1158" s="651"/>
      <c r="L1158" s="658"/>
    </row>
    <row r="1159" spans="1:12" ht="15.75" x14ac:dyDescent="0.25">
      <c r="A1159" s="647"/>
      <c r="B1159" s="648"/>
      <c r="C1159" s="649"/>
      <c r="D1159" s="650"/>
      <c r="E1159" s="651"/>
      <c r="F1159" s="652"/>
      <c r="G1159" s="647"/>
      <c r="H1159" s="648"/>
      <c r="I1159" s="649"/>
      <c r="J1159" s="650"/>
      <c r="K1159" s="651"/>
      <c r="L1159" s="658"/>
    </row>
    <row r="1160" spans="1:12" ht="16.5" thickBot="1" x14ac:dyDescent="0.3">
      <c r="A1160" s="659"/>
      <c r="B1160" s="660"/>
      <c r="C1160" s="661"/>
      <c r="D1160" s="662"/>
      <c r="E1160" s="663"/>
      <c r="F1160" s="664"/>
      <c r="G1160" s="665"/>
      <c r="H1160" s="666"/>
      <c r="I1160" s="667"/>
      <c r="J1160" s="668"/>
      <c r="K1160" s="663"/>
      <c r="L1160" s="669"/>
    </row>
    <row r="1161" spans="1:12" ht="21" x14ac:dyDescent="0.35">
      <c r="A1161" s="769" t="s">
        <v>945</v>
      </c>
      <c r="B1161" s="770"/>
      <c r="C1161" s="770"/>
      <c r="D1161" s="770"/>
      <c r="E1161" s="770"/>
      <c r="F1161" s="770"/>
      <c r="G1161" s="770"/>
      <c r="H1161" s="770"/>
      <c r="I1161" s="770"/>
      <c r="J1161" s="770"/>
      <c r="K1161" s="770"/>
      <c r="L1161" s="771"/>
    </row>
    <row r="1162" spans="1:12" ht="18.75" x14ac:dyDescent="0.3">
      <c r="A1162" s="772" t="s">
        <v>946</v>
      </c>
      <c r="B1162" s="773"/>
      <c r="C1162" s="773"/>
      <c r="D1162" s="773"/>
      <c r="E1162" s="773"/>
      <c r="F1162" s="773"/>
      <c r="G1162" s="773"/>
      <c r="H1162" s="773"/>
      <c r="I1162" s="773"/>
      <c r="J1162" s="773"/>
      <c r="K1162" s="773"/>
      <c r="L1162" s="774"/>
    </row>
    <row r="1163" spans="1:12" ht="24" x14ac:dyDescent="0.4">
      <c r="A1163" s="775" t="s">
        <v>947</v>
      </c>
      <c r="B1163" s="776"/>
      <c r="C1163" s="776"/>
      <c r="D1163" s="776"/>
      <c r="E1163" s="776"/>
      <c r="F1163" s="776"/>
      <c r="G1163" s="776"/>
      <c r="H1163" s="776"/>
      <c r="I1163" s="776"/>
      <c r="J1163" s="776"/>
      <c r="K1163" s="776"/>
      <c r="L1163" s="777"/>
    </row>
    <row r="1164" spans="1:12" ht="24" x14ac:dyDescent="0.4">
      <c r="A1164" s="670" t="s">
        <v>948</v>
      </c>
      <c r="B1164" s="671"/>
      <c r="C1164" s="671"/>
      <c r="D1164" s="672" t="s">
        <v>949</v>
      </c>
      <c r="E1164" s="778" t="s">
        <v>950</v>
      </c>
      <c r="F1164" s="778"/>
      <c r="G1164" s="778"/>
      <c r="H1164" s="778"/>
      <c r="I1164" s="778"/>
      <c r="J1164" s="673" t="s">
        <v>1170</v>
      </c>
      <c r="K1164" s="778"/>
      <c r="L1164" s="779"/>
    </row>
    <row r="1165" spans="1:12" ht="15.75" thickBot="1" x14ac:dyDescent="0.3">
      <c r="A1165" s="674"/>
      <c r="B1165" s="675"/>
      <c r="C1165" s="675"/>
      <c r="D1165" s="676"/>
      <c r="E1165" s="675"/>
      <c r="F1165" s="675"/>
      <c r="G1165" s="675"/>
      <c r="H1165" s="675"/>
      <c r="I1165" s="780"/>
      <c r="J1165" s="780"/>
      <c r="K1165" s="675"/>
      <c r="L1165" s="677"/>
    </row>
    <row r="1166" spans="1:12" ht="16.5" thickBot="1" x14ac:dyDescent="0.3">
      <c r="A1166" s="631" t="s">
        <v>952</v>
      </c>
      <c r="B1166" s="632"/>
      <c r="C1166" s="633"/>
      <c r="D1166" s="634" t="s">
        <v>953</v>
      </c>
      <c r="E1166" s="631" t="s">
        <v>954</v>
      </c>
      <c r="F1166" s="635" t="s">
        <v>955</v>
      </c>
      <c r="G1166" s="631" t="s">
        <v>952</v>
      </c>
      <c r="H1166" s="632"/>
      <c r="I1166" s="633"/>
      <c r="J1166" s="634" t="s">
        <v>953</v>
      </c>
      <c r="K1166" s="631" t="s">
        <v>954</v>
      </c>
      <c r="L1166" s="631" t="s">
        <v>955</v>
      </c>
    </row>
    <row r="1167" spans="1:12" ht="15.75" x14ac:dyDescent="0.25">
      <c r="A1167" s="636"/>
      <c r="B1167" s="637"/>
      <c r="C1167" s="638"/>
      <c r="D1167" s="639"/>
      <c r="E1167" s="640"/>
      <c r="F1167" s="641"/>
      <c r="G1167" s="636"/>
      <c r="H1167" s="642"/>
      <c r="I1167" s="643"/>
      <c r="J1167" s="644"/>
      <c r="K1167" s="645"/>
      <c r="L1167" s="646"/>
    </row>
    <row r="1168" spans="1:12" ht="15.75" x14ac:dyDescent="0.25">
      <c r="A1168" s="647"/>
      <c r="B1168" s="648" t="s">
        <v>459</v>
      </c>
      <c r="C1168" s="649">
        <v>30</v>
      </c>
      <c r="D1168" s="650" t="s">
        <v>1167</v>
      </c>
      <c r="E1168" s="651"/>
      <c r="F1168" s="652"/>
      <c r="G1168" s="647"/>
      <c r="H1168" s="648"/>
      <c r="I1168" s="649"/>
      <c r="J1168" s="650"/>
      <c r="K1168" s="651"/>
      <c r="L1168" s="653"/>
    </row>
    <row r="1169" spans="1:12" ht="15.75" x14ac:dyDescent="0.25">
      <c r="A1169" s="647" t="s">
        <v>958</v>
      </c>
      <c r="B1169" s="654"/>
      <c r="C1169" s="649"/>
      <c r="D1169" s="655" t="s">
        <v>959</v>
      </c>
      <c r="E1169" s="651"/>
      <c r="F1169" s="656">
        <v>0.2638888888888889</v>
      </c>
      <c r="G1169" s="647"/>
      <c r="H1169" s="648"/>
      <c r="I1169" s="649"/>
      <c r="J1169" s="655"/>
      <c r="K1169" s="651"/>
      <c r="L1169" s="656"/>
    </row>
    <row r="1170" spans="1:12" ht="15.75" x14ac:dyDescent="0.25">
      <c r="A1170" s="647" t="s">
        <v>961</v>
      </c>
      <c r="B1170" s="654"/>
      <c r="C1170" s="649"/>
      <c r="D1170" s="650" t="s">
        <v>163</v>
      </c>
      <c r="E1170" s="651"/>
      <c r="F1170" s="653">
        <v>0.29166666666666669</v>
      </c>
      <c r="G1170" s="647"/>
      <c r="H1170" s="648"/>
      <c r="I1170" s="649"/>
      <c r="J1170" s="650"/>
      <c r="K1170" s="657"/>
      <c r="L1170" s="653"/>
    </row>
    <row r="1171" spans="1:12" ht="15.75" x14ac:dyDescent="0.25">
      <c r="A1171" s="647"/>
      <c r="B1171" s="648"/>
      <c r="C1171" s="649"/>
      <c r="D1171" s="655" t="s">
        <v>164</v>
      </c>
      <c r="E1171" s="651"/>
      <c r="F1171" s="656">
        <v>0.32291666666666669</v>
      </c>
      <c r="G1171" s="647"/>
      <c r="H1171" s="648"/>
      <c r="I1171" s="649"/>
      <c r="J1171" s="650"/>
      <c r="K1171" s="657"/>
      <c r="L1171" s="658"/>
    </row>
    <row r="1172" spans="1:12" ht="15.75" x14ac:dyDescent="0.25">
      <c r="A1172" s="647"/>
      <c r="B1172" s="648"/>
      <c r="C1172" s="649"/>
      <c r="D1172" s="655" t="s">
        <v>166</v>
      </c>
      <c r="E1172" s="651"/>
      <c r="F1172" s="656">
        <v>0.34027777777777779</v>
      </c>
      <c r="G1172" s="647"/>
      <c r="H1172" s="648"/>
      <c r="I1172" s="649"/>
      <c r="J1172" s="650"/>
      <c r="K1172" s="657"/>
      <c r="L1172" s="658"/>
    </row>
    <row r="1173" spans="1:12" ht="15.75" x14ac:dyDescent="0.25">
      <c r="A1173" s="647" t="s">
        <v>961</v>
      </c>
      <c r="B1173" s="648"/>
      <c r="C1173" s="649"/>
      <c r="D1173" s="650" t="s">
        <v>160</v>
      </c>
      <c r="E1173" s="651"/>
      <c r="F1173" s="653">
        <v>0.3923611111111111</v>
      </c>
      <c r="G1173" s="647"/>
      <c r="H1173" s="648"/>
      <c r="I1173" s="649"/>
      <c r="J1173" s="650"/>
      <c r="K1173" s="651"/>
      <c r="L1173" s="656"/>
    </row>
    <row r="1174" spans="1:12" ht="15.75" x14ac:dyDescent="0.25">
      <c r="A1174" s="647"/>
      <c r="B1174" s="648"/>
      <c r="C1174" s="649"/>
      <c r="D1174" s="655" t="s">
        <v>962</v>
      </c>
      <c r="E1174" s="651"/>
      <c r="F1174" s="656">
        <v>0.40277777777777779</v>
      </c>
      <c r="G1174" s="647"/>
      <c r="H1174" s="648"/>
      <c r="I1174" s="649"/>
      <c r="J1174" s="655"/>
      <c r="K1174" s="657"/>
      <c r="L1174" s="656"/>
    </row>
    <row r="1175" spans="1:12" ht="15.75" x14ac:dyDescent="0.25">
      <c r="A1175" s="647"/>
      <c r="B1175" s="648"/>
      <c r="C1175" s="649"/>
      <c r="D1175" s="655" t="s">
        <v>960</v>
      </c>
      <c r="E1175" s="657">
        <v>0.4375</v>
      </c>
      <c r="F1175" s="656"/>
      <c r="G1175" s="647"/>
      <c r="H1175" s="648"/>
      <c r="I1175" s="649"/>
      <c r="J1175" s="650"/>
      <c r="K1175" s="651"/>
      <c r="L1175" s="653"/>
    </row>
    <row r="1176" spans="1:12" ht="15.75" x14ac:dyDescent="0.25">
      <c r="A1176" s="647"/>
      <c r="B1176" s="648" t="s">
        <v>459</v>
      </c>
      <c r="C1176" s="649">
        <v>30</v>
      </c>
      <c r="D1176" s="650" t="s">
        <v>1171</v>
      </c>
      <c r="E1176" s="651"/>
      <c r="F1176" s="653"/>
      <c r="G1176" s="647"/>
      <c r="H1176" s="648"/>
      <c r="I1176" s="649"/>
      <c r="J1176" s="650"/>
      <c r="K1176" s="651"/>
      <c r="L1176" s="658"/>
    </row>
    <row r="1177" spans="1:12" ht="15.75" x14ac:dyDescent="0.25">
      <c r="A1177" s="647"/>
      <c r="B1177" s="648"/>
      <c r="C1177" s="649"/>
      <c r="D1177" s="655"/>
      <c r="E1177" s="651"/>
      <c r="F1177" s="656"/>
      <c r="G1177" s="647"/>
      <c r="H1177" s="648"/>
      <c r="I1177" s="649"/>
      <c r="J1177" s="650"/>
      <c r="K1177" s="651"/>
      <c r="L1177" s="653"/>
    </row>
    <row r="1178" spans="1:12" ht="15.75" x14ac:dyDescent="0.25">
      <c r="A1178" s="647"/>
      <c r="B1178" s="648" t="s">
        <v>459</v>
      </c>
      <c r="C1178" s="649">
        <v>12</v>
      </c>
      <c r="D1178" s="650" t="s">
        <v>1172</v>
      </c>
      <c r="E1178" s="651"/>
      <c r="F1178" s="653"/>
      <c r="G1178" s="647"/>
      <c r="H1178" s="648"/>
      <c r="I1178" s="649"/>
      <c r="J1178" s="655"/>
      <c r="K1178" s="651"/>
      <c r="L1178" s="656"/>
    </row>
    <row r="1179" spans="1:12" ht="15.75" x14ac:dyDescent="0.25">
      <c r="A1179" s="647"/>
      <c r="B1179" s="648"/>
      <c r="C1179" s="649"/>
      <c r="D1179" s="655" t="s">
        <v>960</v>
      </c>
      <c r="E1179" s="651"/>
      <c r="F1179" s="656">
        <v>0.4375</v>
      </c>
      <c r="G1179" s="647"/>
      <c r="H1179" s="648"/>
      <c r="I1179" s="649"/>
      <c r="J1179" s="655"/>
      <c r="K1179" s="651"/>
      <c r="L1179" s="656"/>
    </row>
    <row r="1180" spans="1:12" ht="15.75" x14ac:dyDescent="0.25">
      <c r="A1180" s="647" t="s">
        <v>961</v>
      </c>
      <c r="B1180" s="654"/>
      <c r="C1180" s="649"/>
      <c r="D1180" s="650" t="s">
        <v>163</v>
      </c>
      <c r="E1180" s="657"/>
      <c r="F1180" s="653">
        <v>0.4861111111111111</v>
      </c>
      <c r="G1180" s="647"/>
      <c r="H1180" s="654"/>
      <c r="I1180" s="649"/>
      <c r="J1180" s="650"/>
      <c r="K1180" s="657"/>
      <c r="L1180" s="653"/>
    </row>
    <row r="1181" spans="1:12" ht="15.75" x14ac:dyDescent="0.25">
      <c r="A1181" s="647"/>
      <c r="B1181" s="648"/>
      <c r="C1181" s="649"/>
      <c r="D1181" s="655" t="s">
        <v>164</v>
      </c>
      <c r="E1181" s="651"/>
      <c r="F1181" s="656">
        <v>0.51736111111111116</v>
      </c>
      <c r="G1181" s="647"/>
      <c r="H1181" s="648"/>
      <c r="I1181" s="649"/>
      <c r="J1181" s="650"/>
      <c r="K1181" s="657"/>
      <c r="L1181" s="658"/>
    </row>
    <row r="1182" spans="1:12" ht="15.75" x14ac:dyDescent="0.25">
      <c r="A1182" s="647"/>
      <c r="B1182" s="648"/>
      <c r="C1182" s="649"/>
      <c r="D1182" s="655" t="s">
        <v>166</v>
      </c>
      <c r="E1182" s="657">
        <v>0.53125</v>
      </c>
      <c r="F1182" s="656"/>
      <c r="G1182" s="647"/>
      <c r="H1182" s="648"/>
      <c r="I1182" s="649"/>
      <c r="J1182" s="650"/>
      <c r="K1182" s="657"/>
      <c r="L1182" s="658"/>
    </row>
    <row r="1183" spans="1:12" ht="15.75" x14ac:dyDescent="0.25">
      <c r="A1183" s="647"/>
      <c r="B1183" s="648" t="s">
        <v>462</v>
      </c>
      <c r="C1183" s="649" t="s">
        <v>459</v>
      </c>
      <c r="D1183" s="650"/>
      <c r="E1183" s="651"/>
      <c r="F1183" s="653"/>
      <c r="G1183" s="647"/>
      <c r="H1183" s="648"/>
      <c r="I1183" s="649"/>
      <c r="J1183" s="650"/>
      <c r="K1183" s="651"/>
      <c r="L1183" s="656"/>
    </row>
    <row r="1184" spans="1:12" ht="15.75" x14ac:dyDescent="0.25">
      <c r="A1184" s="647"/>
      <c r="B1184" s="648"/>
      <c r="C1184" s="649"/>
      <c r="D1184" s="655"/>
      <c r="E1184" s="651"/>
      <c r="F1184" s="656"/>
      <c r="G1184" s="647"/>
      <c r="H1184" s="648"/>
      <c r="I1184" s="649"/>
      <c r="J1184" s="655"/>
      <c r="K1184" s="657"/>
      <c r="L1184" s="656"/>
    </row>
    <row r="1185" spans="1:12" ht="15.75" x14ac:dyDescent="0.25">
      <c r="A1185" s="647"/>
      <c r="B1185" s="648" t="s">
        <v>459</v>
      </c>
      <c r="C1185" s="649">
        <v>39</v>
      </c>
      <c r="D1185" s="650" t="s">
        <v>1173</v>
      </c>
      <c r="E1185" s="651"/>
      <c r="F1185" s="653"/>
      <c r="G1185" s="647"/>
      <c r="H1185" s="648"/>
      <c r="I1185" s="649"/>
      <c r="J1185" s="650"/>
      <c r="K1185" s="651"/>
      <c r="L1185" s="653"/>
    </row>
    <row r="1186" spans="1:12" ht="15.75" x14ac:dyDescent="0.25">
      <c r="A1186" s="647"/>
      <c r="B1186" s="648"/>
      <c r="C1186" s="649"/>
      <c r="D1186" s="655" t="s">
        <v>166</v>
      </c>
      <c r="E1186" s="651"/>
      <c r="F1186" s="656">
        <v>0.53125</v>
      </c>
      <c r="G1186" s="647"/>
      <c r="H1186" s="648"/>
      <c r="I1186" s="649"/>
      <c r="J1186" s="650"/>
      <c r="K1186" s="651"/>
      <c r="L1186" s="658"/>
    </row>
    <row r="1187" spans="1:12" ht="15.75" x14ac:dyDescent="0.25">
      <c r="A1187" s="647" t="s">
        <v>961</v>
      </c>
      <c r="B1187" s="648"/>
      <c r="C1187" s="649"/>
      <c r="D1187" s="650" t="s">
        <v>160</v>
      </c>
      <c r="E1187" s="651"/>
      <c r="F1187" s="653">
        <v>0.58333333333333337</v>
      </c>
      <c r="G1187" s="647"/>
      <c r="H1187" s="648"/>
      <c r="I1187" s="649"/>
      <c r="J1187" s="655"/>
      <c r="K1187" s="657"/>
      <c r="L1187" s="656"/>
    </row>
    <row r="1188" spans="1:12" ht="15.75" x14ac:dyDescent="0.25">
      <c r="A1188" s="647"/>
      <c r="B1188" s="648"/>
      <c r="C1188" s="649"/>
      <c r="D1188" s="655" t="s">
        <v>962</v>
      </c>
      <c r="E1188" s="651"/>
      <c r="F1188" s="656">
        <v>0.59375</v>
      </c>
      <c r="G1188" s="647"/>
      <c r="H1188" s="648"/>
      <c r="I1188" s="649"/>
      <c r="J1188" s="650"/>
      <c r="K1188" s="651"/>
      <c r="L1188" s="653"/>
    </row>
    <row r="1189" spans="1:12" ht="15.75" x14ac:dyDescent="0.25">
      <c r="A1189" s="647"/>
      <c r="B1189" s="648"/>
      <c r="C1189" s="649"/>
      <c r="D1189" s="655" t="s">
        <v>960</v>
      </c>
      <c r="E1189" s="651"/>
      <c r="F1189" s="656">
        <v>0.62152777777777779</v>
      </c>
      <c r="G1189" s="647"/>
      <c r="H1189" s="648"/>
      <c r="I1189" s="649"/>
      <c r="J1189" s="650"/>
      <c r="K1189" s="651"/>
      <c r="L1189" s="658"/>
    </row>
    <row r="1190" spans="1:12" ht="15.75" x14ac:dyDescent="0.25">
      <c r="A1190" s="647" t="s">
        <v>961</v>
      </c>
      <c r="B1190" s="654"/>
      <c r="C1190" s="649"/>
      <c r="D1190" s="650" t="s">
        <v>163</v>
      </c>
      <c r="E1190" s="657"/>
      <c r="F1190" s="653">
        <v>0.68402777777777779</v>
      </c>
      <c r="G1190" s="647"/>
      <c r="H1190" s="648"/>
      <c r="I1190" s="649"/>
      <c r="J1190" s="650"/>
      <c r="K1190" s="651"/>
      <c r="L1190" s="653"/>
    </row>
    <row r="1191" spans="1:12" ht="15.75" x14ac:dyDescent="0.25">
      <c r="A1191" s="647"/>
      <c r="B1191" s="648"/>
      <c r="C1191" s="649"/>
      <c r="D1191" s="655" t="s">
        <v>164</v>
      </c>
      <c r="E1191" s="651"/>
      <c r="F1191" s="656">
        <v>0.71527777777777779</v>
      </c>
      <c r="G1191" s="647"/>
      <c r="H1191" s="648"/>
      <c r="I1191" s="649"/>
      <c r="J1191" s="655"/>
      <c r="K1191" s="651"/>
      <c r="L1191" s="656"/>
    </row>
    <row r="1192" spans="1:12" ht="15.75" x14ac:dyDescent="0.25">
      <c r="A1192" s="647"/>
      <c r="B1192" s="648"/>
      <c r="C1192" s="649"/>
      <c r="D1192" s="655" t="s">
        <v>166</v>
      </c>
      <c r="E1192" s="657">
        <v>0.72916666666666663</v>
      </c>
      <c r="F1192" s="656"/>
      <c r="G1192" s="647"/>
      <c r="H1192" s="648"/>
      <c r="I1192" s="649"/>
      <c r="J1192" s="655"/>
      <c r="K1192" s="651"/>
      <c r="L1192" s="656"/>
    </row>
    <row r="1193" spans="1:12" ht="15.75" x14ac:dyDescent="0.25">
      <c r="A1193" s="647"/>
      <c r="B1193" s="648" t="s">
        <v>459</v>
      </c>
      <c r="C1193" s="649">
        <v>39</v>
      </c>
      <c r="D1193" s="650" t="s">
        <v>1174</v>
      </c>
      <c r="E1193" s="657"/>
      <c r="F1193" s="656"/>
      <c r="G1193" s="647"/>
      <c r="H1193" s="654"/>
      <c r="I1193" s="649"/>
      <c r="J1193" s="650"/>
      <c r="K1193" s="657"/>
      <c r="L1193" s="653"/>
    </row>
    <row r="1194" spans="1:12" ht="15.75" x14ac:dyDescent="0.25">
      <c r="A1194" s="647"/>
      <c r="B1194" s="648"/>
      <c r="C1194" s="649"/>
      <c r="D1194" s="650"/>
      <c r="E1194" s="657"/>
      <c r="F1194" s="653"/>
      <c r="G1194" s="647"/>
      <c r="H1194" s="648"/>
      <c r="I1194" s="649"/>
      <c r="J1194" s="650"/>
      <c r="K1194" s="657"/>
      <c r="L1194" s="658"/>
    </row>
    <row r="1195" spans="1:12" ht="15.75" x14ac:dyDescent="0.25">
      <c r="A1195" s="647"/>
      <c r="B1195" s="648" t="s">
        <v>459</v>
      </c>
      <c r="C1195" s="649">
        <v>226</v>
      </c>
      <c r="D1195" s="650" t="s">
        <v>1175</v>
      </c>
      <c r="E1195" s="651"/>
      <c r="F1195" s="653"/>
      <c r="G1195" s="647"/>
      <c r="H1195" s="648"/>
      <c r="I1195" s="649"/>
      <c r="J1195" s="650"/>
      <c r="K1195" s="657"/>
      <c r="L1195" s="658"/>
    </row>
    <row r="1196" spans="1:12" ht="15.75" x14ac:dyDescent="0.25">
      <c r="A1196" s="647"/>
      <c r="B1196" s="648"/>
      <c r="C1196" s="649"/>
      <c r="D1196" s="655" t="s">
        <v>166</v>
      </c>
      <c r="E1196" s="651"/>
      <c r="F1196" s="656">
        <v>0.72916666666666663</v>
      </c>
      <c r="G1196" s="647"/>
      <c r="H1196" s="648"/>
      <c r="I1196" s="649"/>
      <c r="J1196" s="650"/>
      <c r="K1196" s="651"/>
      <c r="L1196" s="656"/>
    </row>
    <row r="1197" spans="1:12" ht="15.75" x14ac:dyDescent="0.25">
      <c r="A1197" s="647" t="s">
        <v>958</v>
      </c>
      <c r="B1197" s="648"/>
      <c r="C1197" s="649"/>
      <c r="D1197" s="650" t="s">
        <v>160</v>
      </c>
      <c r="E1197" s="657">
        <v>0.78055555555555556</v>
      </c>
      <c r="F1197" s="653"/>
      <c r="G1197" s="647"/>
      <c r="H1197" s="648"/>
      <c r="I1197" s="649"/>
      <c r="J1197" s="655"/>
      <c r="K1197" s="657"/>
      <c r="L1197" s="656"/>
    </row>
    <row r="1198" spans="1:12" ht="15.75" x14ac:dyDescent="0.25">
      <c r="A1198" s="647"/>
      <c r="B1198" s="648"/>
      <c r="C1198" s="649"/>
      <c r="D1198" s="650" t="s">
        <v>963</v>
      </c>
      <c r="E1198" s="657">
        <v>0.81180555555555556</v>
      </c>
      <c r="F1198" s="658"/>
      <c r="G1198" s="647"/>
      <c r="H1198" s="648"/>
      <c r="I1198" s="649"/>
      <c r="J1198" s="650"/>
      <c r="K1198" s="651"/>
      <c r="L1198" s="653"/>
    </row>
    <row r="1199" spans="1:12" ht="15.75" x14ac:dyDescent="0.25">
      <c r="A1199" s="647"/>
      <c r="B1199" s="648" t="s">
        <v>462</v>
      </c>
      <c r="C1199" s="649" t="s">
        <v>459</v>
      </c>
      <c r="D1199" s="650"/>
      <c r="E1199" s="657"/>
      <c r="F1199" s="658"/>
      <c r="G1199" s="647"/>
      <c r="H1199" s="648"/>
      <c r="I1199" s="649"/>
      <c r="J1199" s="650"/>
      <c r="K1199" s="651"/>
      <c r="L1199" s="658"/>
    </row>
    <row r="1200" spans="1:12" ht="16.5" thickBot="1" x14ac:dyDescent="0.3">
      <c r="A1200" s="659"/>
      <c r="B1200" s="660"/>
      <c r="C1200" s="661"/>
      <c r="D1200" s="662"/>
      <c r="E1200" s="663"/>
      <c r="F1200" s="664"/>
      <c r="G1200" s="665"/>
      <c r="H1200" s="666"/>
      <c r="I1200" s="667"/>
      <c r="J1200" s="668"/>
      <c r="K1200" s="663"/>
      <c r="L1200" s="669"/>
    </row>
    <row r="1201" spans="1:12" ht="21" x14ac:dyDescent="0.35">
      <c r="A1201" s="769" t="s">
        <v>945</v>
      </c>
      <c r="B1201" s="770"/>
      <c r="C1201" s="770"/>
      <c r="D1201" s="770"/>
      <c r="E1201" s="770"/>
      <c r="F1201" s="770"/>
      <c r="G1201" s="770"/>
      <c r="H1201" s="770"/>
      <c r="I1201" s="770"/>
      <c r="J1201" s="770"/>
      <c r="K1201" s="770"/>
      <c r="L1201" s="771"/>
    </row>
    <row r="1202" spans="1:12" ht="18.75" x14ac:dyDescent="0.3">
      <c r="A1202" s="772" t="s">
        <v>946</v>
      </c>
      <c r="B1202" s="773"/>
      <c r="C1202" s="773"/>
      <c r="D1202" s="773"/>
      <c r="E1202" s="773"/>
      <c r="F1202" s="773"/>
      <c r="G1202" s="773"/>
      <c r="H1202" s="773"/>
      <c r="I1202" s="773"/>
      <c r="J1202" s="773"/>
      <c r="K1202" s="773"/>
      <c r="L1202" s="774"/>
    </row>
    <row r="1203" spans="1:12" ht="24" x14ac:dyDescent="0.4">
      <c r="A1203" s="775" t="s">
        <v>947</v>
      </c>
      <c r="B1203" s="776"/>
      <c r="C1203" s="776"/>
      <c r="D1203" s="776"/>
      <c r="E1203" s="776"/>
      <c r="F1203" s="776"/>
      <c r="G1203" s="776"/>
      <c r="H1203" s="776"/>
      <c r="I1203" s="776"/>
      <c r="J1203" s="776"/>
      <c r="K1203" s="776"/>
      <c r="L1203" s="777"/>
    </row>
    <row r="1204" spans="1:12" ht="24" x14ac:dyDescent="0.4">
      <c r="A1204" s="670" t="s">
        <v>948</v>
      </c>
      <c r="B1204" s="671"/>
      <c r="C1204" s="671"/>
      <c r="D1204" s="672" t="s">
        <v>949</v>
      </c>
      <c r="E1204" s="778" t="s">
        <v>950</v>
      </c>
      <c r="F1204" s="778"/>
      <c r="G1204" s="778"/>
      <c r="H1204" s="778"/>
      <c r="I1204" s="778"/>
      <c r="J1204" s="673" t="s">
        <v>1176</v>
      </c>
      <c r="K1204" s="778"/>
      <c r="L1204" s="779"/>
    </row>
    <row r="1205" spans="1:12" ht="15.75" thickBot="1" x14ac:dyDescent="0.3">
      <c r="A1205" s="674"/>
      <c r="B1205" s="675"/>
      <c r="C1205" s="675"/>
      <c r="D1205" s="676"/>
      <c r="E1205" s="675"/>
      <c r="F1205" s="675"/>
      <c r="G1205" s="675"/>
      <c r="H1205" s="675"/>
      <c r="I1205" s="780"/>
      <c r="J1205" s="780"/>
      <c r="K1205" s="675"/>
      <c r="L1205" s="677"/>
    </row>
    <row r="1206" spans="1:12" ht="16.5" thickBot="1" x14ac:dyDescent="0.3">
      <c r="A1206" s="631" t="s">
        <v>952</v>
      </c>
      <c r="B1206" s="632"/>
      <c r="C1206" s="633"/>
      <c r="D1206" s="634" t="s">
        <v>953</v>
      </c>
      <c r="E1206" s="631" t="s">
        <v>954</v>
      </c>
      <c r="F1206" s="635" t="s">
        <v>955</v>
      </c>
      <c r="G1206" s="631" t="s">
        <v>952</v>
      </c>
      <c r="H1206" s="632"/>
      <c r="I1206" s="633"/>
      <c r="J1206" s="634" t="s">
        <v>953</v>
      </c>
      <c r="K1206" s="631" t="s">
        <v>954</v>
      </c>
      <c r="L1206" s="631" t="s">
        <v>955</v>
      </c>
    </row>
    <row r="1207" spans="1:12" ht="15.75" x14ac:dyDescent="0.25">
      <c r="A1207" s="636"/>
      <c r="B1207" s="637"/>
      <c r="C1207" s="638"/>
      <c r="D1207" s="639"/>
      <c r="E1207" s="640"/>
      <c r="F1207" s="641"/>
      <c r="G1207" s="636"/>
      <c r="H1207" s="642"/>
      <c r="I1207" s="643"/>
      <c r="J1207" s="644"/>
      <c r="K1207" s="645"/>
      <c r="L1207" s="646"/>
    </row>
    <row r="1208" spans="1:12" ht="15.75" x14ac:dyDescent="0.25">
      <c r="A1208" s="647"/>
      <c r="B1208" s="648" t="s">
        <v>459</v>
      </c>
      <c r="C1208" s="649">
        <v>31</v>
      </c>
      <c r="D1208" s="650" t="s">
        <v>1177</v>
      </c>
      <c r="E1208" s="651"/>
      <c r="F1208" s="652"/>
      <c r="G1208" s="647"/>
      <c r="H1208" s="648" t="s">
        <v>459</v>
      </c>
      <c r="I1208" s="649">
        <v>56</v>
      </c>
      <c r="J1208" s="650" t="s">
        <v>1178</v>
      </c>
      <c r="K1208" s="651"/>
      <c r="L1208" s="653"/>
    </row>
    <row r="1209" spans="1:12" ht="15.75" x14ac:dyDescent="0.25">
      <c r="A1209" s="647" t="s">
        <v>958</v>
      </c>
      <c r="B1209" s="654"/>
      <c r="C1209" s="649"/>
      <c r="D1209" s="655" t="s">
        <v>959</v>
      </c>
      <c r="E1209" s="651"/>
      <c r="F1209" s="656">
        <v>0.26597222222222222</v>
      </c>
      <c r="G1209" s="647"/>
      <c r="H1209" s="648"/>
      <c r="I1209" s="649"/>
      <c r="J1209" s="655" t="s">
        <v>166</v>
      </c>
      <c r="K1209" s="651"/>
      <c r="L1209" s="656">
        <v>0.88541666666666663</v>
      </c>
    </row>
    <row r="1210" spans="1:12" ht="15.75" x14ac:dyDescent="0.25">
      <c r="A1210" s="647" t="s">
        <v>961</v>
      </c>
      <c r="B1210" s="648"/>
      <c r="C1210" s="649"/>
      <c r="D1210" s="650" t="s">
        <v>160</v>
      </c>
      <c r="E1210" s="651"/>
      <c r="F1210" s="653">
        <v>0.30763888888888885</v>
      </c>
      <c r="G1210" s="647" t="s">
        <v>961</v>
      </c>
      <c r="H1210" s="648"/>
      <c r="I1210" s="649"/>
      <c r="J1210" s="650" t="s">
        <v>160</v>
      </c>
      <c r="K1210" s="651"/>
      <c r="L1210" s="653">
        <v>0.91666666666666663</v>
      </c>
    </row>
    <row r="1211" spans="1:12" ht="15.75" x14ac:dyDescent="0.25">
      <c r="A1211" s="647"/>
      <c r="B1211" s="648"/>
      <c r="C1211" s="649"/>
      <c r="D1211" s="655" t="s">
        <v>962</v>
      </c>
      <c r="E1211" s="651"/>
      <c r="F1211" s="656">
        <v>0.31805555555555554</v>
      </c>
      <c r="G1211" s="647"/>
      <c r="H1211" s="648"/>
      <c r="I1211" s="649"/>
      <c r="J1211" s="655" t="s">
        <v>962</v>
      </c>
      <c r="K1211" s="651"/>
      <c r="L1211" s="656">
        <v>0.92361111111111116</v>
      </c>
    </row>
    <row r="1212" spans="1:12" ht="15.75" x14ac:dyDescent="0.25">
      <c r="A1212" s="647"/>
      <c r="B1212" s="648"/>
      <c r="C1212" s="649"/>
      <c r="D1212" s="655" t="s">
        <v>960</v>
      </c>
      <c r="E1212" s="651"/>
      <c r="F1212" s="656">
        <v>0.35625000000000001</v>
      </c>
      <c r="G1212" s="647"/>
      <c r="H1212" s="648"/>
      <c r="I1212" s="649"/>
      <c r="J1212" s="655" t="s">
        <v>960</v>
      </c>
      <c r="K1212" s="651"/>
      <c r="L1212" s="656">
        <v>0.95138888888888884</v>
      </c>
    </row>
    <row r="1213" spans="1:12" ht="15.75" x14ac:dyDescent="0.25">
      <c r="A1213" s="647" t="s">
        <v>958</v>
      </c>
      <c r="B1213" s="654"/>
      <c r="C1213" s="649"/>
      <c r="D1213" s="650" t="s">
        <v>163</v>
      </c>
      <c r="E1213" s="657">
        <v>0.40833333333333333</v>
      </c>
      <c r="F1213" s="653"/>
      <c r="G1213" s="647" t="s">
        <v>958</v>
      </c>
      <c r="H1213" s="654"/>
      <c r="I1213" s="649"/>
      <c r="J1213" s="650" t="s">
        <v>163</v>
      </c>
      <c r="K1213" s="657">
        <v>0.98750000000000004</v>
      </c>
      <c r="L1213" s="653"/>
    </row>
    <row r="1214" spans="1:12" ht="15.75" x14ac:dyDescent="0.25">
      <c r="A1214" s="647"/>
      <c r="B1214" s="648"/>
      <c r="C1214" s="649"/>
      <c r="D1214" s="650" t="s">
        <v>963</v>
      </c>
      <c r="E1214" s="657">
        <v>0.43263888888888891</v>
      </c>
      <c r="F1214" s="656"/>
      <c r="G1214" s="647"/>
      <c r="H1214" s="648"/>
      <c r="I1214" s="649"/>
      <c r="J1214" s="650" t="s">
        <v>963</v>
      </c>
      <c r="K1214" s="657">
        <v>1.0083333333333333</v>
      </c>
      <c r="L1214" s="656"/>
    </row>
    <row r="1215" spans="1:12" ht="15.75" x14ac:dyDescent="0.25">
      <c r="A1215" s="647"/>
      <c r="B1215" s="648" t="s">
        <v>459</v>
      </c>
      <c r="C1215" s="649">
        <v>31</v>
      </c>
      <c r="D1215" s="650" t="s">
        <v>1179</v>
      </c>
      <c r="E1215" s="657"/>
      <c r="F1215" s="653"/>
      <c r="G1215" s="647"/>
      <c r="H1215" s="648" t="s">
        <v>462</v>
      </c>
      <c r="I1215" s="649" t="s">
        <v>459</v>
      </c>
      <c r="J1215" s="650"/>
      <c r="K1215" s="657"/>
      <c r="L1215" s="653"/>
    </row>
    <row r="1216" spans="1:12" ht="15.75" x14ac:dyDescent="0.25">
      <c r="A1216" s="647"/>
      <c r="B1216" s="648"/>
      <c r="C1216" s="649"/>
      <c r="D1216" s="650"/>
      <c r="E1216" s="657"/>
      <c r="F1216" s="653"/>
      <c r="G1216" s="647"/>
      <c r="H1216" s="648"/>
      <c r="I1216" s="649"/>
      <c r="J1216" s="650"/>
      <c r="K1216" s="657"/>
      <c r="L1216" s="653"/>
    </row>
    <row r="1217" spans="1:12" ht="15.75" x14ac:dyDescent="0.25">
      <c r="A1217" s="647"/>
      <c r="B1217" s="648" t="s">
        <v>459</v>
      </c>
      <c r="C1217" s="649">
        <v>53</v>
      </c>
      <c r="D1217" s="650" t="s">
        <v>1180</v>
      </c>
      <c r="E1217" s="651"/>
      <c r="F1217" s="652"/>
      <c r="G1217" s="647"/>
      <c r="H1217" s="648"/>
      <c r="I1217" s="649"/>
      <c r="J1217" s="650"/>
      <c r="K1217" s="657"/>
      <c r="L1217" s="653"/>
    </row>
    <row r="1218" spans="1:12" ht="15.75" x14ac:dyDescent="0.25">
      <c r="A1218" s="647" t="s">
        <v>958</v>
      </c>
      <c r="B1218" s="654"/>
      <c r="C1218" s="649"/>
      <c r="D1218" s="655" t="s">
        <v>959</v>
      </c>
      <c r="E1218" s="651"/>
      <c r="F1218" s="656">
        <v>0.64027777777777772</v>
      </c>
      <c r="G1218" s="647"/>
      <c r="H1218" s="648"/>
      <c r="I1218" s="649"/>
      <c r="J1218" s="650"/>
      <c r="K1218" s="657"/>
      <c r="L1218" s="653"/>
    </row>
    <row r="1219" spans="1:12" ht="15.75" x14ac:dyDescent="0.25">
      <c r="A1219" s="647" t="s">
        <v>961</v>
      </c>
      <c r="B1219" s="654"/>
      <c r="C1219" s="649"/>
      <c r="D1219" s="650" t="s">
        <v>163</v>
      </c>
      <c r="E1219" s="651"/>
      <c r="F1219" s="653">
        <v>0.67500000000000004</v>
      </c>
      <c r="G1219" s="647"/>
      <c r="H1219" s="648"/>
      <c r="I1219" s="649"/>
      <c r="J1219" s="650"/>
      <c r="K1219" s="657"/>
      <c r="L1219" s="652"/>
    </row>
    <row r="1220" spans="1:12" ht="15.75" x14ac:dyDescent="0.25">
      <c r="A1220" s="647"/>
      <c r="B1220" s="648"/>
      <c r="C1220" s="649"/>
      <c r="D1220" s="655" t="s">
        <v>164</v>
      </c>
      <c r="E1220" s="651"/>
      <c r="F1220" s="656">
        <v>0.70625000000000004</v>
      </c>
      <c r="G1220" s="647"/>
      <c r="H1220" s="648"/>
      <c r="I1220" s="649"/>
      <c r="J1220" s="650"/>
      <c r="K1220" s="651"/>
      <c r="L1220" s="652"/>
    </row>
    <row r="1221" spans="1:12" ht="15.75" x14ac:dyDescent="0.25">
      <c r="A1221" s="647"/>
      <c r="B1221" s="648"/>
      <c r="C1221" s="649"/>
      <c r="D1221" s="655" t="s">
        <v>166</v>
      </c>
      <c r="E1221" s="657">
        <v>0.72013888888888888</v>
      </c>
      <c r="F1221" s="656"/>
      <c r="G1221" s="647"/>
      <c r="H1221" s="648"/>
      <c r="I1221" s="649"/>
      <c r="J1221" s="650"/>
      <c r="K1221" s="651"/>
      <c r="L1221" s="652"/>
    </row>
    <row r="1222" spans="1:12" ht="15.75" x14ac:dyDescent="0.25">
      <c r="A1222" s="647"/>
      <c r="B1222" s="648" t="s">
        <v>459</v>
      </c>
      <c r="C1222" s="649">
        <v>53</v>
      </c>
      <c r="D1222" s="650" t="s">
        <v>1181</v>
      </c>
      <c r="E1222" s="657"/>
      <c r="F1222" s="656"/>
      <c r="G1222" s="647"/>
      <c r="H1222" s="648"/>
      <c r="I1222" s="649"/>
      <c r="J1222" s="650"/>
      <c r="K1222" s="651"/>
      <c r="L1222" s="652"/>
    </row>
    <row r="1223" spans="1:12" ht="15.75" x14ac:dyDescent="0.25">
      <c r="A1223" s="647"/>
      <c r="B1223" s="648"/>
      <c r="C1223" s="649"/>
      <c r="D1223" s="650"/>
      <c r="E1223" s="657"/>
      <c r="F1223" s="653"/>
      <c r="G1223" s="647"/>
      <c r="H1223" s="648"/>
      <c r="I1223" s="649"/>
      <c r="J1223" s="650"/>
      <c r="K1223" s="651"/>
      <c r="L1223" s="652"/>
    </row>
    <row r="1224" spans="1:12" ht="15.75" x14ac:dyDescent="0.25">
      <c r="A1224" s="647"/>
      <c r="B1224" s="648" t="s">
        <v>459</v>
      </c>
      <c r="C1224" s="649">
        <v>45</v>
      </c>
      <c r="D1224" s="650" t="s">
        <v>1182</v>
      </c>
      <c r="E1224" s="651"/>
      <c r="F1224" s="653"/>
      <c r="G1224" s="647"/>
      <c r="H1224" s="648"/>
      <c r="I1224" s="649"/>
      <c r="J1224" s="650"/>
      <c r="K1224" s="651"/>
      <c r="L1224" s="652"/>
    </row>
    <row r="1225" spans="1:12" ht="15.75" x14ac:dyDescent="0.25">
      <c r="A1225" s="647"/>
      <c r="B1225" s="648"/>
      <c r="C1225" s="649"/>
      <c r="D1225" s="655" t="s">
        <v>166</v>
      </c>
      <c r="E1225" s="651"/>
      <c r="F1225" s="656">
        <v>0.72013888888888888</v>
      </c>
      <c r="G1225" s="647"/>
      <c r="H1225" s="648"/>
      <c r="I1225" s="649"/>
      <c r="J1225" s="650"/>
      <c r="K1225" s="651"/>
      <c r="L1225" s="652"/>
    </row>
    <row r="1226" spans="1:12" ht="15.75" x14ac:dyDescent="0.25">
      <c r="A1226" s="647" t="s">
        <v>961</v>
      </c>
      <c r="B1226" s="648"/>
      <c r="C1226" s="649"/>
      <c r="D1226" s="650" t="s">
        <v>160</v>
      </c>
      <c r="E1226" s="651"/>
      <c r="F1226" s="653">
        <v>0.77083333333333337</v>
      </c>
      <c r="G1226" s="647"/>
      <c r="H1226" s="648"/>
      <c r="I1226" s="649"/>
      <c r="J1226" s="650"/>
      <c r="K1226" s="651"/>
      <c r="L1226" s="652"/>
    </row>
    <row r="1227" spans="1:12" ht="15.75" x14ac:dyDescent="0.25">
      <c r="A1227" s="647"/>
      <c r="B1227" s="648"/>
      <c r="C1227" s="649"/>
      <c r="D1227" s="655" t="s">
        <v>962</v>
      </c>
      <c r="E1227" s="651"/>
      <c r="F1227" s="656">
        <v>0.77777777777777779</v>
      </c>
      <c r="G1227" s="647"/>
      <c r="H1227" s="648"/>
      <c r="I1227" s="649"/>
      <c r="J1227" s="650"/>
      <c r="K1227" s="651"/>
      <c r="L1227" s="658"/>
    </row>
    <row r="1228" spans="1:12" ht="15.75" x14ac:dyDescent="0.25">
      <c r="A1228" s="647"/>
      <c r="B1228" s="648"/>
      <c r="C1228" s="649"/>
      <c r="D1228" s="655" t="s">
        <v>960</v>
      </c>
      <c r="E1228" s="651"/>
      <c r="F1228" s="656">
        <v>0.80555555555555558</v>
      </c>
      <c r="G1228" s="647"/>
      <c r="H1228" s="648"/>
      <c r="I1228" s="649"/>
      <c r="J1228" s="655"/>
      <c r="K1228" s="651"/>
      <c r="L1228" s="658"/>
    </row>
    <row r="1229" spans="1:12" ht="15.75" x14ac:dyDescent="0.25">
      <c r="A1229" s="647" t="s">
        <v>961</v>
      </c>
      <c r="B1229" s="654"/>
      <c r="C1229" s="649"/>
      <c r="D1229" s="650" t="s">
        <v>163</v>
      </c>
      <c r="E1229" s="657"/>
      <c r="F1229" s="653">
        <v>0.85416666666666563</v>
      </c>
      <c r="G1229" s="647"/>
      <c r="H1229" s="648"/>
      <c r="I1229" s="649"/>
      <c r="J1229" s="650"/>
      <c r="K1229" s="651"/>
      <c r="L1229" s="658"/>
    </row>
    <row r="1230" spans="1:12" ht="15.75" x14ac:dyDescent="0.25">
      <c r="A1230" s="647"/>
      <c r="B1230" s="648"/>
      <c r="C1230" s="649"/>
      <c r="D1230" s="655" t="s">
        <v>164</v>
      </c>
      <c r="E1230" s="651"/>
      <c r="F1230" s="656">
        <v>0.874999999999999</v>
      </c>
      <c r="G1230" s="647"/>
      <c r="H1230" s="648"/>
      <c r="I1230" s="649"/>
      <c r="J1230" s="650"/>
      <c r="K1230" s="651"/>
      <c r="L1230" s="652"/>
    </row>
    <row r="1231" spans="1:12" ht="15.75" x14ac:dyDescent="0.25">
      <c r="A1231" s="647"/>
      <c r="B1231" s="648"/>
      <c r="C1231" s="649"/>
      <c r="D1231" s="655" t="s">
        <v>166</v>
      </c>
      <c r="E1231" s="657">
        <v>0.88541666666666663</v>
      </c>
      <c r="F1231" s="656"/>
      <c r="G1231" s="647"/>
      <c r="H1231" s="648"/>
      <c r="I1231" s="649"/>
      <c r="J1231" s="650"/>
      <c r="K1231" s="651"/>
      <c r="L1231" s="652"/>
    </row>
    <row r="1232" spans="1:12" ht="15.75" x14ac:dyDescent="0.25">
      <c r="A1232" s="647"/>
      <c r="B1232" s="648" t="s">
        <v>462</v>
      </c>
      <c r="C1232" s="649" t="s">
        <v>459</v>
      </c>
      <c r="D1232" s="650"/>
      <c r="E1232" s="657"/>
      <c r="F1232" s="656"/>
      <c r="G1232" s="647"/>
      <c r="H1232" s="648"/>
      <c r="I1232" s="649"/>
      <c r="J1232" s="650"/>
      <c r="K1232" s="651"/>
      <c r="L1232" s="652"/>
    </row>
    <row r="1233" spans="1:12" ht="15.75" x14ac:dyDescent="0.25">
      <c r="A1233" s="647"/>
      <c r="B1233" s="648"/>
      <c r="C1233" s="649"/>
      <c r="D1233" s="650"/>
      <c r="E1233" s="657"/>
      <c r="F1233" s="653"/>
      <c r="G1233" s="647"/>
      <c r="H1233" s="648"/>
      <c r="I1233" s="649"/>
      <c r="J1233" s="650"/>
      <c r="K1233" s="651"/>
      <c r="L1233" s="652"/>
    </row>
    <row r="1234" spans="1:12" ht="15.75" x14ac:dyDescent="0.25">
      <c r="A1234" s="647"/>
      <c r="B1234" s="648"/>
      <c r="C1234" s="649"/>
      <c r="D1234" s="650"/>
      <c r="E1234" s="651"/>
      <c r="F1234" s="653"/>
      <c r="G1234" s="647"/>
      <c r="H1234" s="648"/>
      <c r="I1234" s="649"/>
      <c r="J1234" s="650"/>
      <c r="K1234" s="651"/>
      <c r="L1234" s="652"/>
    </row>
    <row r="1235" spans="1:12" ht="15.75" x14ac:dyDescent="0.25">
      <c r="A1235" s="647"/>
      <c r="B1235" s="648"/>
      <c r="C1235" s="649"/>
      <c r="D1235" s="655"/>
      <c r="E1235" s="651"/>
      <c r="F1235" s="656"/>
      <c r="G1235" s="647"/>
      <c r="H1235" s="648"/>
      <c r="I1235" s="649"/>
      <c r="J1235" s="650"/>
      <c r="K1235" s="651"/>
      <c r="L1235" s="652"/>
    </row>
    <row r="1236" spans="1:12" ht="15.75" x14ac:dyDescent="0.25">
      <c r="A1236" s="647"/>
      <c r="B1236" s="648"/>
      <c r="C1236" s="649"/>
      <c r="D1236" s="650"/>
      <c r="E1236" s="651"/>
      <c r="F1236" s="653"/>
      <c r="G1236" s="647"/>
      <c r="H1236" s="648"/>
      <c r="I1236" s="649"/>
      <c r="J1236" s="650"/>
      <c r="K1236" s="651"/>
      <c r="L1236" s="652"/>
    </row>
    <row r="1237" spans="1:12" ht="15.75" x14ac:dyDescent="0.25">
      <c r="A1237" s="647"/>
      <c r="B1237" s="648"/>
      <c r="C1237" s="649"/>
      <c r="D1237" s="655"/>
      <c r="E1237" s="651"/>
      <c r="F1237" s="656"/>
      <c r="G1237" s="647"/>
      <c r="H1237" s="648"/>
      <c r="I1237" s="649"/>
      <c r="J1237" s="650"/>
      <c r="K1237" s="651"/>
      <c r="L1237" s="658"/>
    </row>
    <row r="1238" spans="1:12" ht="15.75" x14ac:dyDescent="0.25">
      <c r="A1238" s="647"/>
      <c r="B1238" s="648"/>
      <c r="C1238" s="649"/>
      <c r="D1238" s="655"/>
      <c r="E1238" s="651"/>
      <c r="F1238" s="656"/>
      <c r="G1238" s="647"/>
      <c r="H1238" s="648"/>
      <c r="I1238" s="649"/>
      <c r="J1238" s="655"/>
      <c r="K1238" s="651"/>
      <c r="L1238" s="658"/>
    </row>
    <row r="1239" spans="1:12" ht="15.75" x14ac:dyDescent="0.25">
      <c r="A1239" s="647"/>
      <c r="B1239" s="654"/>
      <c r="C1239" s="649"/>
      <c r="D1239" s="650"/>
      <c r="E1239" s="657"/>
      <c r="F1239" s="653"/>
      <c r="G1239" s="647"/>
      <c r="H1239" s="648"/>
      <c r="I1239" s="649"/>
      <c r="J1239" s="650"/>
      <c r="K1239" s="651"/>
      <c r="L1239" s="658"/>
    </row>
    <row r="1240" spans="1:12" ht="16.5" thickBot="1" x14ac:dyDescent="0.3">
      <c r="A1240" s="659"/>
      <c r="B1240" s="660"/>
      <c r="C1240" s="661"/>
      <c r="D1240" s="662"/>
      <c r="E1240" s="663"/>
      <c r="F1240" s="664"/>
      <c r="G1240" s="665"/>
      <c r="H1240" s="666"/>
      <c r="I1240" s="667"/>
      <c r="J1240" s="668"/>
      <c r="K1240" s="663"/>
      <c r="L1240" s="669"/>
    </row>
    <row r="1241" spans="1:12" ht="21" x14ac:dyDescent="0.35">
      <c r="A1241" s="769" t="s">
        <v>945</v>
      </c>
      <c r="B1241" s="770"/>
      <c r="C1241" s="770"/>
      <c r="D1241" s="770"/>
      <c r="E1241" s="770"/>
      <c r="F1241" s="770"/>
      <c r="G1241" s="770"/>
      <c r="H1241" s="770"/>
      <c r="I1241" s="770"/>
      <c r="J1241" s="770"/>
      <c r="K1241" s="770"/>
      <c r="L1241" s="771"/>
    </row>
    <row r="1242" spans="1:12" ht="18.75" x14ac:dyDescent="0.3">
      <c r="A1242" s="772" t="s">
        <v>946</v>
      </c>
      <c r="B1242" s="773"/>
      <c r="C1242" s="773"/>
      <c r="D1242" s="773"/>
      <c r="E1242" s="773"/>
      <c r="F1242" s="773"/>
      <c r="G1242" s="773"/>
      <c r="H1242" s="773"/>
      <c r="I1242" s="773"/>
      <c r="J1242" s="773"/>
      <c r="K1242" s="773"/>
      <c r="L1242" s="774"/>
    </row>
    <row r="1243" spans="1:12" ht="24" x14ac:dyDescent="0.4">
      <c r="A1243" s="775" t="s">
        <v>947</v>
      </c>
      <c r="B1243" s="776"/>
      <c r="C1243" s="776"/>
      <c r="D1243" s="776"/>
      <c r="E1243" s="776"/>
      <c r="F1243" s="776"/>
      <c r="G1243" s="776"/>
      <c r="H1243" s="776"/>
      <c r="I1243" s="776"/>
      <c r="J1243" s="776"/>
      <c r="K1243" s="776"/>
      <c r="L1243" s="777"/>
    </row>
    <row r="1244" spans="1:12" ht="24" x14ac:dyDescent="0.4">
      <c r="A1244" s="670" t="s">
        <v>948</v>
      </c>
      <c r="B1244" s="671"/>
      <c r="C1244" s="671"/>
      <c r="D1244" s="672" t="s">
        <v>949</v>
      </c>
      <c r="E1244" s="778" t="s">
        <v>950</v>
      </c>
      <c r="F1244" s="778"/>
      <c r="G1244" s="778"/>
      <c r="H1244" s="778"/>
      <c r="I1244" s="778"/>
      <c r="J1244" s="673" t="s">
        <v>1183</v>
      </c>
      <c r="K1244" s="778"/>
      <c r="L1244" s="779"/>
    </row>
    <row r="1245" spans="1:12" ht="15.75" thickBot="1" x14ac:dyDescent="0.3">
      <c r="A1245" s="674"/>
      <c r="B1245" s="675"/>
      <c r="C1245" s="675"/>
      <c r="D1245" s="676"/>
      <c r="E1245" s="675"/>
      <c r="F1245" s="675"/>
      <c r="G1245" s="675"/>
      <c r="H1245" s="675"/>
      <c r="I1245" s="780"/>
      <c r="J1245" s="780"/>
      <c r="K1245" s="675"/>
      <c r="L1245" s="677"/>
    </row>
    <row r="1246" spans="1:12" ht="16.5" thickBot="1" x14ac:dyDescent="0.3">
      <c r="A1246" s="631" t="s">
        <v>952</v>
      </c>
      <c r="B1246" s="632"/>
      <c r="C1246" s="633"/>
      <c r="D1246" s="634" t="s">
        <v>953</v>
      </c>
      <c r="E1246" s="631" t="s">
        <v>954</v>
      </c>
      <c r="F1246" s="635" t="s">
        <v>955</v>
      </c>
      <c r="G1246" s="631" t="s">
        <v>952</v>
      </c>
      <c r="H1246" s="632"/>
      <c r="I1246" s="633"/>
      <c r="J1246" s="634" t="s">
        <v>953</v>
      </c>
      <c r="K1246" s="631" t="s">
        <v>954</v>
      </c>
      <c r="L1246" s="631" t="s">
        <v>955</v>
      </c>
    </row>
    <row r="1247" spans="1:12" ht="15.75" x14ac:dyDescent="0.25">
      <c r="A1247" s="636"/>
      <c r="B1247" s="637"/>
      <c r="C1247" s="638"/>
      <c r="D1247" s="639"/>
      <c r="E1247" s="640"/>
      <c r="F1247" s="641"/>
      <c r="G1247" s="636"/>
      <c r="H1247" s="642"/>
      <c r="I1247" s="643"/>
      <c r="J1247" s="644"/>
      <c r="K1247" s="645"/>
      <c r="L1247" s="646"/>
    </row>
    <row r="1248" spans="1:12" ht="15.75" x14ac:dyDescent="0.25">
      <c r="A1248" s="647"/>
      <c r="B1248" s="648" t="s">
        <v>459</v>
      </c>
      <c r="C1248" s="649">
        <v>32</v>
      </c>
      <c r="D1248" s="650" t="s">
        <v>1184</v>
      </c>
      <c r="E1248" s="651"/>
      <c r="F1248" s="652"/>
      <c r="G1248" s="647"/>
      <c r="H1248" s="648" t="s">
        <v>459</v>
      </c>
      <c r="I1248" s="649">
        <v>34</v>
      </c>
      <c r="J1248" s="650" t="s">
        <v>1185</v>
      </c>
      <c r="K1248" s="651"/>
      <c r="L1248" s="653"/>
    </row>
    <row r="1249" spans="1:12" ht="15.75" x14ac:dyDescent="0.25">
      <c r="A1249" s="647" t="s">
        <v>958</v>
      </c>
      <c r="B1249" s="654"/>
      <c r="C1249" s="649"/>
      <c r="D1249" s="655" t="s">
        <v>959</v>
      </c>
      <c r="E1249" s="651"/>
      <c r="F1249" s="656">
        <v>0.26944444444444443</v>
      </c>
      <c r="G1249" s="647"/>
      <c r="H1249" s="648"/>
      <c r="I1249" s="649"/>
      <c r="J1249" s="655" t="s">
        <v>166</v>
      </c>
      <c r="K1249" s="651"/>
      <c r="L1249" s="656">
        <v>0.73402777777777772</v>
      </c>
    </row>
    <row r="1250" spans="1:12" ht="15.75" x14ac:dyDescent="0.25">
      <c r="A1250" s="647" t="s">
        <v>961</v>
      </c>
      <c r="B1250" s="654"/>
      <c r="C1250" s="649"/>
      <c r="D1250" s="650" t="s">
        <v>163</v>
      </c>
      <c r="E1250" s="651"/>
      <c r="F1250" s="653">
        <v>0.29722222222222222</v>
      </c>
      <c r="G1250" s="647" t="s">
        <v>961</v>
      </c>
      <c r="H1250" s="648"/>
      <c r="I1250" s="649"/>
      <c r="J1250" s="650" t="s">
        <v>160</v>
      </c>
      <c r="K1250" s="651"/>
      <c r="L1250" s="653">
        <v>0.78472222222222221</v>
      </c>
    </row>
    <row r="1251" spans="1:12" ht="15.75" x14ac:dyDescent="0.25">
      <c r="A1251" s="647"/>
      <c r="B1251" s="648"/>
      <c r="C1251" s="649"/>
      <c r="D1251" s="655" t="s">
        <v>164</v>
      </c>
      <c r="E1251" s="651"/>
      <c r="F1251" s="656">
        <v>0.32847222222222222</v>
      </c>
      <c r="G1251" s="647"/>
      <c r="H1251" s="648"/>
      <c r="I1251" s="649"/>
      <c r="J1251" s="655" t="s">
        <v>962</v>
      </c>
      <c r="K1251" s="651"/>
      <c r="L1251" s="656">
        <v>0.79166666666666663</v>
      </c>
    </row>
    <row r="1252" spans="1:12" ht="15.75" x14ac:dyDescent="0.25">
      <c r="A1252" s="647"/>
      <c r="B1252" s="648"/>
      <c r="C1252" s="649"/>
      <c r="D1252" s="655" t="s">
        <v>166</v>
      </c>
      <c r="E1252" s="651"/>
      <c r="F1252" s="656">
        <v>0.34583333333333333</v>
      </c>
      <c r="G1252" s="647"/>
      <c r="H1252" s="648"/>
      <c r="I1252" s="649"/>
      <c r="J1252" s="655" t="s">
        <v>960</v>
      </c>
      <c r="K1252" s="651"/>
      <c r="L1252" s="656">
        <v>0.81944444444444442</v>
      </c>
    </row>
    <row r="1253" spans="1:12" ht="15.75" x14ac:dyDescent="0.25">
      <c r="A1253" s="647" t="s">
        <v>961</v>
      </c>
      <c r="B1253" s="648"/>
      <c r="C1253" s="649"/>
      <c r="D1253" s="650" t="s">
        <v>160</v>
      </c>
      <c r="E1253" s="651"/>
      <c r="F1253" s="653">
        <v>0.39930555555555558</v>
      </c>
      <c r="G1253" s="647" t="s">
        <v>961</v>
      </c>
      <c r="H1253" s="654"/>
      <c r="I1253" s="649"/>
      <c r="J1253" s="650" t="s">
        <v>163</v>
      </c>
      <c r="K1253" s="657"/>
      <c r="L1253" s="653">
        <v>0.86805555555555558</v>
      </c>
    </row>
    <row r="1254" spans="1:12" ht="15.75" x14ac:dyDescent="0.25">
      <c r="A1254" s="647"/>
      <c r="B1254" s="648"/>
      <c r="C1254" s="649"/>
      <c r="D1254" s="655" t="s">
        <v>962</v>
      </c>
      <c r="E1254" s="651"/>
      <c r="F1254" s="656">
        <v>0.40972222222222221</v>
      </c>
      <c r="G1254" s="647"/>
      <c r="H1254" s="648"/>
      <c r="I1254" s="649"/>
      <c r="J1254" s="655" t="s">
        <v>164</v>
      </c>
      <c r="K1254" s="651"/>
      <c r="L1254" s="656">
        <v>0.88888888888888884</v>
      </c>
    </row>
    <row r="1255" spans="1:12" ht="15.75" x14ac:dyDescent="0.25">
      <c r="A1255" s="647"/>
      <c r="B1255" s="648"/>
      <c r="C1255" s="649"/>
      <c r="D1255" s="655" t="s">
        <v>960</v>
      </c>
      <c r="E1255" s="657">
        <v>0.44444444444444442</v>
      </c>
      <c r="F1255" s="656"/>
      <c r="G1255" s="647"/>
      <c r="H1255" s="648"/>
      <c r="I1255" s="649"/>
      <c r="J1255" s="655" t="s">
        <v>166</v>
      </c>
      <c r="K1255" s="657">
        <v>0.89583333333333337</v>
      </c>
      <c r="L1255" s="656"/>
    </row>
    <row r="1256" spans="1:12" ht="15.75" x14ac:dyDescent="0.25">
      <c r="A1256" s="647"/>
      <c r="B1256" s="648" t="s">
        <v>459</v>
      </c>
      <c r="C1256" s="649">
        <v>32</v>
      </c>
      <c r="D1256" s="650" t="s">
        <v>1186</v>
      </c>
      <c r="E1256" s="651"/>
      <c r="F1256" s="653"/>
      <c r="G1256" s="647"/>
      <c r="H1256" s="648" t="s">
        <v>462</v>
      </c>
      <c r="I1256" s="649" t="s">
        <v>459</v>
      </c>
      <c r="J1256" s="650"/>
      <c r="K1256" s="657"/>
      <c r="L1256" s="656"/>
    </row>
    <row r="1257" spans="1:12" ht="15.75" x14ac:dyDescent="0.25">
      <c r="A1257" s="647"/>
      <c r="B1257" s="648"/>
      <c r="C1257" s="649"/>
      <c r="D1257" s="655"/>
      <c r="E1257" s="651"/>
      <c r="F1257" s="656"/>
      <c r="G1257" s="647"/>
      <c r="H1257" s="648"/>
      <c r="I1257" s="649"/>
      <c r="J1257" s="650"/>
      <c r="K1257" s="657"/>
      <c r="L1257" s="653"/>
    </row>
    <row r="1258" spans="1:12" ht="15.75" x14ac:dyDescent="0.25">
      <c r="A1258" s="647"/>
      <c r="B1258" s="648" t="s">
        <v>459</v>
      </c>
      <c r="C1258" s="649">
        <v>28</v>
      </c>
      <c r="D1258" s="650" t="s">
        <v>1187</v>
      </c>
      <c r="E1258" s="651"/>
      <c r="F1258" s="653"/>
      <c r="G1258" s="647"/>
      <c r="H1258" s="648" t="s">
        <v>459</v>
      </c>
      <c r="I1258" s="649">
        <v>58</v>
      </c>
      <c r="J1258" s="650" t="s">
        <v>1188</v>
      </c>
      <c r="K1258" s="651"/>
      <c r="L1258" s="653"/>
    </row>
    <row r="1259" spans="1:12" ht="15.75" x14ac:dyDescent="0.25">
      <c r="A1259" s="647"/>
      <c r="B1259" s="648"/>
      <c r="C1259" s="649"/>
      <c r="D1259" s="655" t="s">
        <v>960</v>
      </c>
      <c r="E1259" s="651"/>
      <c r="F1259" s="656">
        <v>0.44444444444444442</v>
      </c>
      <c r="G1259" s="647"/>
      <c r="H1259" s="648"/>
      <c r="I1259" s="649"/>
      <c r="J1259" s="655" t="s">
        <v>166</v>
      </c>
      <c r="K1259" s="651"/>
      <c r="L1259" s="656">
        <v>0.89583333333333337</v>
      </c>
    </row>
    <row r="1260" spans="1:12" ht="15.75" x14ac:dyDescent="0.25">
      <c r="A1260" s="647" t="s">
        <v>961</v>
      </c>
      <c r="B1260" s="654"/>
      <c r="C1260" s="649"/>
      <c r="D1260" s="650" t="s">
        <v>163</v>
      </c>
      <c r="E1260" s="657"/>
      <c r="F1260" s="653">
        <v>0.49305555555555503</v>
      </c>
      <c r="G1260" s="647" t="s">
        <v>961</v>
      </c>
      <c r="H1260" s="648"/>
      <c r="I1260" s="649"/>
      <c r="J1260" s="650" t="s">
        <v>160</v>
      </c>
      <c r="K1260" s="651"/>
      <c r="L1260" s="653">
        <v>0.93055555555555558</v>
      </c>
    </row>
    <row r="1261" spans="1:12" ht="15.75" x14ac:dyDescent="0.25">
      <c r="A1261" s="647"/>
      <c r="B1261" s="648"/>
      <c r="C1261" s="649"/>
      <c r="D1261" s="655" t="s">
        <v>164</v>
      </c>
      <c r="E1261" s="651"/>
      <c r="F1261" s="656">
        <v>0.52430555555555503</v>
      </c>
      <c r="G1261" s="647"/>
      <c r="H1261" s="648"/>
      <c r="I1261" s="649"/>
      <c r="J1261" s="655" t="s">
        <v>962</v>
      </c>
      <c r="K1261" s="651"/>
      <c r="L1261" s="656">
        <v>0.9375</v>
      </c>
    </row>
    <row r="1262" spans="1:12" ht="15.75" x14ac:dyDescent="0.25">
      <c r="A1262" s="647"/>
      <c r="B1262" s="648"/>
      <c r="C1262" s="649"/>
      <c r="D1262" s="655" t="s">
        <v>166</v>
      </c>
      <c r="E1262" s="651"/>
      <c r="F1262" s="656">
        <v>0.53819444444444442</v>
      </c>
      <c r="G1262" s="647"/>
      <c r="H1262" s="648"/>
      <c r="I1262" s="649"/>
      <c r="J1262" s="655" t="s">
        <v>960</v>
      </c>
      <c r="K1262" s="651"/>
      <c r="L1262" s="656">
        <v>0.96527777777777779</v>
      </c>
    </row>
    <row r="1263" spans="1:12" ht="15.75" x14ac:dyDescent="0.25">
      <c r="A1263" s="647" t="s">
        <v>961</v>
      </c>
      <c r="B1263" s="648"/>
      <c r="C1263" s="649"/>
      <c r="D1263" s="650" t="s">
        <v>160</v>
      </c>
      <c r="E1263" s="651"/>
      <c r="F1263" s="653">
        <v>0.58888888888888891</v>
      </c>
      <c r="G1263" s="647" t="s">
        <v>958</v>
      </c>
      <c r="H1263" s="654"/>
      <c r="I1263" s="649"/>
      <c r="J1263" s="650" t="s">
        <v>163</v>
      </c>
      <c r="K1263" s="657">
        <v>1.0013888888888889</v>
      </c>
      <c r="L1263" s="653"/>
    </row>
    <row r="1264" spans="1:12" ht="15.75" x14ac:dyDescent="0.25">
      <c r="A1264" s="647"/>
      <c r="B1264" s="648"/>
      <c r="C1264" s="649"/>
      <c r="D1264" s="655" t="s">
        <v>962</v>
      </c>
      <c r="E1264" s="651"/>
      <c r="F1264" s="656">
        <v>0.59930555555555554</v>
      </c>
      <c r="G1264" s="647"/>
      <c r="H1264" s="648"/>
      <c r="I1264" s="649"/>
      <c r="J1264" s="650" t="s">
        <v>963</v>
      </c>
      <c r="K1264" s="657">
        <v>1.0222222222222221</v>
      </c>
      <c r="L1264" s="658"/>
    </row>
    <row r="1265" spans="1:12" ht="15.75" x14ac:dyDescent="0.25">
      <c r="A1265" s="647"/>
      <c r="B1265" s="648"/>
      <c r="C1265" s="649"/>
      <c r="D1265" s="655" t="s">
        <v>960</v>
      </c>
      <c r="E1265" s="657">
        <v>0.63402777777777775</v>
      </c>
      <c r="F1265" s="656"/>
      <c r="G1265" s="647"/>
      <c r="H1265" s="648" t="s">
        <v>462</v>
      </c>
      <c r="I1265" s="649" t="s">
        <v>459</v>
      </c>
      <c r="J1265" s="650"/>
      <c r="K1265" s="657"/>
      <c r="L1265" s="658"/>
    </row>
    <row r="1266" spans="1:12" ht="15.75" x14ac:dyDescent="0.25">
      <c r="A1266" s="647"/>
      <c r="B1266" s="648" t="s">
        <v>462</v>
      </c>
      <c r="C1266" s="649" t="s">
        <v>459</v>
      </c>
      <c r="D1266" s="650"/>
      <c r="E1266" s="651"/>
      <c r="F1266" s="653"/>
      <c r="G1266" s="647"/>
      <c r="H1266" s="648"/>
      <c r="I1266" s="649"/>
      <c r="J1266" s="650"/>
      <c r="K1266" s="651"/>
      <c r="L1266" s="656"/>
    </row>
    <row r="1267" spans="1:12" ht="15.75" x14ac:dyDescent="0.25">
      <c r="A1267" s="647"/>
      <c r="B1267" s="648"/>
      <c r="C1267" s="649"/>
      <c r="D1267" s="655"/>
      <c r="E1267" s="651"/>
      <c r="F1267" s="656"/>
      <c r="G1267" s="647"/>
      <c r="H1267" s="648"/>
      <c r="I1267" s="649"/>
      <c r="J1267" s="655"/>
      <c r="K1267" s="657"/>
      <c r="L1267" s="656"/>
    </row>
    <row r="1268" spans="1:12" ht="15.75" x14ac:dyDescent="0.25">
      <c r="A1268" s="647"/>
      <c r="B1268" s="648" t="s">
        <v>459</v>
      </c>
      <c r="C1268" s="649">
        <v>52</v>
      </c>
      <c r="D1268" s="650" t="s">
        <v>1189</v>
      </c>
      <c r="E1268" s="651"/>
      <c r="F1268" s="653"/>
      <c r="G1268" s="647"/>
      <c r="H1268" s="648"/>
      <c r="I1268" s="649"/>
      <c r="J1268" s="650"/>
      <c r="K1268" s="651"/>
      <c r="L1268" s="653"/>
    </row>
    <row r="1269" spans="1:12" ht="15.75" x14ac:dyDescent="0.25">
      <c r="A1269" s="647"/>
      <c r="B1269" s="648"/>
      <c r="C1269" s="649"/>
      <c r="D1269" s="655" t="s">
        <v>960</v>
      </c>
      <c r="E1269" s="651"/>
      <c r="F1269" s="656">
        <v>0.63402777777777775</v>
      </c>
      <c r="G1269" s="647"/>
      <c r="H1269" s="648"/>
      <c r="I1269" s="649"/>
      <c r="J1269" s="650"/>
      <c r="K1269" s="651"/>
      <c r="L1269" s="658"/>
    </row>
    <row r="1270" spans="1:12" ht="15.75" x14ac:dyDescent="0.25">
      <c r="A1270" s="647" t="s">
        <v>961</v>
      </c>
      <c r="B1270" s="654"/>
      <c r="C1270" s="649"/>
      <c r="D1270" s="650" t="s">
        <v>163</v>
      </c>
      <c r="E1270" s="657"/>
      <c r="F1270" s="653">
        <v>0.68888888888888888</v>
      </c>
      <c r="G1270" s="647"/>
      <c r="H1270" s="648"/>
      <c r="I1270" s="649"/>
      <c r="J1270" s="650"/>
      <c r="K1270" s="651"/>
      <c r="L1270" s="653"/>
    </row>
    <row r="1271" spans="1:12" ht="15.75" x14ac:dyDescent="0.25">
      <c r="A1271" s="647"/>
      <c r="B1271" s="648"/>
      <c r="C1271" s="649"/>
      <c r="D1271" s="655" t="s">
        <v>164</v>
      </c>
      <c r="E1271" s="651"/>
      <c r="F1271" s="656">
        <v>0.72013888888888888</v>
      </c>
      <c r="G1271" s="647"/>
      <c r="H1271" s="648"/>
      <c r="I1271" s="649"/>
      <c r="J1271" s="655"/>
      <c r="K1271" s="651"/>
      <c r="L1271" s="656"/>
    </row>
    <row r="1272" spans="1:12" ht="15.75" x14ac:dyDescent="0.25">
      <c r="A1272" s="647"/>
      <c r="B1272" s="648"/>
      <c r="C1272" s="649"/>
      <c r="D1272" s="655" t="s">
        <v>166</v>
      </c>
      <c r="E1272" s="657">
        <v>0.73402777777777772</v>
      </c>
      <c r="F1272" s="656"/>
      <c r="G1272" s="647"/>
      <c r="H1272" s="648"/>
      <c r="I1272" s="649"/>
      <c r="J1272" s="655"/>
      <c r="K1272" s="651"/>
      <c r="L1272" s="656"/>
    </row>
    <row r="1273" spans="1:12" ht="15.75" x14ac:dyDescent="0.25">
      <c r="A1273" s="647"/>
      <c r="B1273" s="648" t="s">
        <v>459</v>
      </c>
      <c r="C1273" s="649">
        <v>52</v>
      </c>
      <c r="D1273" s="650" t="s">
        <v>1190</v>
      </c>
      <c r="E1273" s="657"/>
      <c r="F1273" s="656"/>
      <c r="G1273" s="647"/>
      <c r="H1273" s="654"/>
      <c r="I1273" s="649"/>
      <c r="J1273" s="650"/>
      <c r="K1273" s="657"/>
      <c r="L1273" s="653"/>
    </row>
    <row r="1274" spans="1:12" ht="15.75" x14ac:dyDescent="0.25">
      <c r="A1274" s="647"/>
      <c r="B1274" s="648"/>
      <c r="C1274" s="649"/>
      <c r="D1274" s="650"/>
      <c r="E1274" s="657"/>
      <c r="F1274" s="653"/>
      <c r="G1274" s="647"/>
      <c r="H1274" s="648"/>
      <c r="I1274" s="649"/>
      <c r="J1274" s="650"/>
      <c r="K1274" s="657"/>
      <c r="L1274" s="658"/>
    </row>
    <row r="1275" spans="1:12" ht="15.75" x14ac:dyDescent="0.25">
      <c r="A1275" s="647"/>
      <c r="B1275" s="648"/>
      <c r="C1275" s="649"/>
      <c r="D1275" s="650"/>
      <c r="E1275" s="651"/>
      <c r="F1275" s="652"/>
      <c r="G1275" s="647"/>
      <c r="H1275" s="648"/>
      <c r="I1275" s="649"/>
      <c r="J1275" s="650"/>
      <c r="K1275" s="657"/>
      <c r="L1275" s="658"/>
    </row>
    <row r="1276" spans="1:12" ht="15.75" x14ac:dyDescent="0.25">
      <c r="A1276" s="647"/>
      <c r="B1276" s="648"/>
      <c r="C1276" s="649"/>
      <c r="D1276" s="655"/>
      <c r="E1276" s="657"/>
      <c r="F1276" s="656"/>
      <c r="G1276" s="647"/>
      <c r="H1276" s="648"/>
      <c r="I1276" s="649"/>
      <c r="J1276" s="650"/>
      <c r="K1276" s="651"/>
      <c r="L1276" s="656"/>
    </row>
    <row r="1277" spans="1:12" ht="15.75" x14ac:dyDescent="0.25">
      <c r="A1277" s="647"/>
      <c r="B1277" s="648"/>
      <c r="C1277" s="649"/>
      <c r="D1277" s="650"/>
      <c r="E1277" s="657"/>
      <c r="F1277" s="656"/>
      <c r="G1277" s="647"/>
      <c r="H1277" s="648"/>
      <c r="I1277" s="649"/>
      <c r="J1277" s="655"/>
      <c r="K1277" s="657"/>
      <c r="L1277" s="656"/>
    </row>
    <row r="1278" spans="1:12" ht="15.75" x14ac:dyDescent="0.25">
      <c r="A1278" s="647"/>
      <c r="B1278" s="648"/>
      <c r="C1278" s="649"/>
      <c r="D1278" s="650"/>
      <c r="E1278" s="657"/>
      <c r="F1278" s="653"/>
      <c r="G1278" s="647"/>
      <c r="H1278" s="648"/>
      <c r="I1278" s="649"/>
      <c r="J1278" s="650"/>
      <c r="K1278" s="651"/>
      <c r="L1278" s="653"/>
    </row>
    <row r="1279" spans="1:12" ht="15.75" x14ac:dyDescent="0.25">
      <c r="A1279" s="647"/>
      <c r="B1279" s="648"/>
      <c r="C1279" s="649"/>
      <c r="D1279" s="650"/>
      <c r="E1279" s="651"/>
      <c r="F1279" s="652"/>
      <c r="G1279" s="647"/>
      <c r="H1279" s="648"/>
      <c r="I1279" s="649"/>
      <c r="J1279" s="650"/>
      <c r="K1279" s="651"/>
      <c r="L1279" s="658"/>
    </row>
    <row r="1280" spans="1:12" ht="16.5" thickBot="1" x14ac:dyDescent="0.3">
      <c r="A1280" s="659"/>
      <c r="B1280" s="660"/>
      <c r="C1280" s="661"/>
      <c r="D1280" s="662"/>
      <c r="E1280" s="663"/>
      <c r="F1280" s="664"/>
      <c r="G1280" s="665"/>
      <c r="H1280" s="666"/>
      <c r="I1280" s="667"/>
      <c r="J1280" s="668"/>
      <c r="K1280" s="663"/>
      <c r="L1280" s="669"/>
    </row>
    <row r="1281" spans="1:12" ht="21" x14ac:dyDescent="0.35">
      <c r="A1281" s="769" t="s">
        <v>945</v>
      </c>
      <c r="B1281" s="770"/>
      <c r="C1281" s="770"/>
      <c r="D1281" s="770"/>
      <c r="E1281" s="770"/>
      <c r="F1281" s="770"/>
      <c r="G1281" s="770"/>
      <c r="H1281" s="770"/>
      <c r="I1281" s="770"/>
      <c r="J1281" s="770"/>
      <c r="K1281" s="770"/>
      <c r="L1281" s="771"/>
    </row>
    <row r="1282" spans="1:12" ht="18.75" x14ac:dyDescent="0.3">
      <c r="A1282" s="772" t="s">
        <v>946</v>
      </c>
      <c r="B1282" s="773"/>
      <c r="C1282" s="773"/>
      <c r="D1282" s="773"/>
      <c r="E1282" s="773"/>
      <c r="F1282" s="773"/>
      <c r="G1282" s="773"/>
      <c r="H1282" s="773"/>
      <c r="I1282" s="773"/>
      <c r="J1282" s="773"/>
      <c r="K1282" s="773"/>
      <c r="L1282" s="774"/>
    </row>
    <row r="1283" spans="1:12" ht="24" x14ac:dyDescent="0.4">
      <c r="A1283" s="775" t="s">
        <v>947</v>
      </c>
      <c r="B1283" s="776"/>
      <c r="C1283" s="776"/>
      <c r="D1283" s="776"/>
      <c r="E1283" s="776"/>
      <c r="F1283" s="776"/>
      <c r="G1283" s="776"/>
      <c r="H1283" s="776"/>
      <c r="I1283" s="776"/>
      <c r="J1283" s="776"/>
      <c r="K1283" s="776"/>
      <c r="L1283" s="777"/>
    </row>
    <row r="1284" spans="1:12" ht="24" x14ac:dyDescent="0.4">
      <c r="A1284" s="670" t="s">
        <v>948</v>
      </c>
      <c r="B1284" s="671"/>
      <c r="C1284" s="671"/>
      <c r="D1284" s="672" t="s">
        <v>949</v>
      </c>
      <c r="E1284" s="778" t="s">
        <v>950</v>
      </c>
      <c r="F1284" s="778"/>
      <c r="G1284" s="778"/>
      <c r="H1284" s="778"/>
      <c r="I1284" s="778"/>
      <c r="J1284" s="673" t="s">
        <v>1191</v>
      </c>
      <c r="K1284" s="778"/>
      <c r="L1284" s="779"/>
    </row>
    <row r="1285" spans="1:12" ht="15.75" thickBot="1" x14ac:dyDescent="0.3">
      <c r="A1285" s="674"/>
      <c r="B1285" s="675"/>
      <c r="C1285" s="675"/>
      <c r="D1285" s="676"/>
      <c r="E1285" s="675"/>
      <c r="F1285" s="675"/>
      <c r="G1285" s="675"/>
      <c r="H1285" s="675"/>
      <c r="I1285" s="780"/>
      <c r="J1285" s="780"/>
      <c r="K1285" s="675"/>
      <c r="L1285" s="677"/>
    </row>
    <row r="1286" spans="1:12" ht="16.5" thickBot="1" x14ac:dyDescent="0.3">
      <c r="A1286" s="631" t="s">
        <v>952</v>
      </c>
      <c r="B1286" s="632"/>
      <c r="C1286" s="633"/>
      <c r="D1286" s="634" t="s">
        <v>953</v>
      </c>
      <c r="E1286" s="631" t="s">
        <v>954</v>
      </c>
      <c r="F1286" s="635" t="s">
        <v>955</v>
      </c>
      <c r="G1286" s="631" t="s">
        <v>952</v>
      </c>
      <c r="H1286" s="632"/>
      <c r="I1286" s="633"/>
      <c r="J1286" s="634" t="s">
        <v>953</v>
      </c>
      <c r="K1286" s="631" t="s">
        <v>954</v>
      </c>
      <c r="L1286" s="631" t="s">
        <v>955</v>
      </c>
    </row>
    <row r="1287" spans="1:12" ht="15.75" x14ac:dyDescent="0.25">
      <c r="A1287" s="636"/>
      <c r="B1287" s="637"/>
      <c r="C1287" s="638"/>
      <c r="D1287" s="639"/>
      <c r="E1287" s="640"/>
      <c r="F1287" s="641"/>
      <c r="G1287" s="636"/>
      <c r="H1287" s="642"/>
      <c r="I1287" s="643"/>
      <c r="J1287" s="644"/>
      <c r="K1287" s="645"/>
      <c r="L1287" s="646"/>
    </row>
    <row r="1288" spans="1:12" ht="15.75" x14ac:dyDescent="0.25">
      <c r="A1288" s="647"/>
      <c r="B1288" s="648" t="s">
        <v>459</v>
      </c>
      <c r="C1288" s="649">
        <v>201</v>
      </c>
      <c r="D1288" s="650" t="s">
        <v>1192</v>
      </c>
      <c r="E1288" s="651"/>
      <c r="F1288" s="652"/>
      <c r="G1288" s="647"/>
      <c r="H1288" s="648" t="s">
        <v>459</v>
      </c>
      <c r="I1288" s="649">
        <v>54</v>
      </c>
      <c r="J1288" s="650" t="s">
        <v>1193</v>
      </c>
      <c r="K1288" s="651"/>
      <c r="L1288" s="653"/>
    </row>
    <row r="1289" spans="1:12" ht="15.75" x14ac:dyDescent="0.25">
      <c r="A1289" s="647" t="s">
        <v>958</v>
      </c>
      <c r="B1289" s="654"/>
      <c r="C1289" s="649"/>
      <c r="D1289" s="655" t="s">
        <v>959</v>
      </c>
      <c r="E1289" s="651"/>
      <c r="F1289" s="656">
        <v>0.27083333333333331</v>
      </c>
      <c r="G1289" s="647"/>
      <c r="H1289" s="648"/>
      <c r="I1289" s="649"/>
      <c r="J1289" s="655" t="s">
        <v>166</v>
      </c>
      <c r="K1289" s="651"/>
      <c r="L1289" s="656">
        <v>0.64930555555555558</v>
      </c>
    </row>
    <row r="1290" spans="1:12" ht="15.75" x14ac:dyDescent="0.25">
      <c r="A1290" s="647" t="s">
        <v>961</v>
      </c>
      <c r="B1290" s="648"/>
      <c r="C1290" s="649"/>
      <c r="D1290" s="650" t="s">
        <v>160</v>
      </c>
      <c r="E1290" s="651"/>
      <c r="F1290" s="653">
        <v>0.3125</v>
      </c>
      <c r="G1290" s="647" t="s">
        <v>961</v>
      </c>
      <c r="H1290" s="648"/>
      <c r="I1290" s="649"/>
      <c r="J1290" s="650" t="s">
        <v>160</v>
      </c>
      <c r="K1290" s="651"/>
      <c r="L1290" s="653">
        <v>0.70347222222222228</v>
      </c>
    </row>
    <row r="1291" spans="1:12" ht="15.75" x14ac:dyDescent="0.25">
      <c r="A1291" s="647"/>
      <c r="B1291" s="648"/>
      <c r="C1291" s="649"/>
      <c r="D1291" s="655" t="s">
        <v>962</v>
      </c>
      <c r="E1291" s="651"/>
      <c r="F1291" s="656">
        <v>0.32291666666666669</v>
      </c>
      <c r="G1291" s="647"/>
      <c r="H1291" s="648"/>
      <c r="I1291" s="649"/>
      <c r="J1291" s="655" t="s">
        <v>962</v>
      </c>
      <c r="K1291" s="651"/>
      <c r="L1291" s="656">
        <v>0.71388888888888891</v>
      </c>
    </row>
    <row r="1292" spans="1:12" ht="15.75" x14ac:dyDescent="0.25">
      <c r="A1292" s="647"/>
      <c r="B1292" s="648"/>
      <c r="C1292" s="649"/>
      <c r="D1292" s="655" t="s">
        <v>960</v>
      </c>
      <c r="E1292" s="651"/>
      <c r="F1292" s="656">
        <v>0.36458333333333331</v>
      </c>
      <c r="G1292" s="647"/>
      <c r="H1292" s="648"/>
      <c r="I1292" s="649"/>
      <c r="J1292" s="655" t="s">
        <v>960</v>
      </c>
      <c r="K1292" s="651"/>
      <c r="L1292" s="656">
        <v>0.74513888888888891</v>
      </c>
    </row>
    <row r="1293" spans="1:12" ht="15.75" x14ac:dyDescent="0.25">
      <c r="A1293" s="647" t="s">
        <v>961</v>
      </c>
      <c r="B1293" s="654"/>
      <c r="C1293" s="649"/>
      <c r="D1293" s="650" t="s">
        <v>163</v>
      </c>
      <c r="E1293" s="657"/>
      <c r="F1293" s="653">
        <v>0.4131944444444442</v>
      </c>
      <c r="G1293" s="647" t="s">
        <v>961</v>
      </c>
      <c r="H1293" s="654"/>
      <c r="I1293" s="649"/>
      <c r="J1293" s="650" t="s">
        <v>163</v>
      </c>
      <c r="K1293" s="657"/>
      <c r="L1293" s="653">
        <v>0.80208333333333337</v>
      </c>
    </row>
    <row r="1294" spans="1:12" ht="15.75" x14ac:dyDescent="0.25">
      <c r="A1294" s="647"/>
      <c r="B1294" s="648"/>
      <c r="C1294" s="649"/>
      <c r="D1294" s="655" t="s">
        <v>164</v>
      </c>
      <c r="E1294" s="651"/>
      <c r="F1294" s="656">
        <v>0.44097222222222199</v>
      </c>
      <c r="G1294" s="647"/>
      <c r="H1294" s="648"/>
      <c r="I1294" s="649"/>
      <c r="J1294" s="655" t="s">
        <v>164</v>
      </c>
      <c r="K1294" s="651"/>
      <c r="L1294" s="656">
        <v>0.82638888888888895</v>
      </c>
    </row>
    <row r="1295" spans="1:12" ht="15.75" x14ac:dyDescent="0.25">
      <c r="A1295" s="647"/>
      <c r="B1295" s="648"/>
      <c r="C1295" s="649"/>
      <c r="D1295" s="655" t="s">
        <v>166</v>
      </c>
      <c r="E1295" s="657">
        <v>0.4548611111111111</v>
      </c>
      <c r="F1295" s="656"/>
      <c r="G1295" s="647"/>
      <c r="H1295" s="648"/>
      <c r="I1295" s="649"/>
      <c r="J1295" s="655" t="s">
        <v>166</v>
      </c>
      <c r="K1295" s="657">
        <v>0.84027777777777779</v>
      </c>
      <c r="L1295" s="656"/>
    </row>
    <row r="1296" spans="1:12" ht="15.75" x14ac:dyDescent="0.25">
      <c r="A1296" s="647"/>
      <c r="B1296" s="648" t="s">
        <v>459</v>
      </c>
      <c r="C1296" s="649">
        <v>201</v>
      </c>
      <c r="D1296" s="650" t="s">
        <v>1194</v>
      </c>
      <c r="E1296" s="651"/>
      <c r="F1296" s="653"/>
      <c r="G1296" s="647"/>
      <c r="H1296" s="648" t="s">
        <v>459</v>
      </c>
      <c r="I1296" s="649">
        <v>54</v>
      </c>
      <c r="J1296" s="650" t="s">
        <v>1195</v>
      </c>
      <c r="K1296" s="651"/>
      <c r="L1296" s="653"/>
    </row>
    <row r="1297" spans="1:12" ht="15.75" x14ac:dyDescent="0.25">
      <c r="A1297" s="647"/>
      <c r="B1297" s="648"/>
      <c r="C1297" s="649"/>
      <c r="D1297" s="655"/>
      <c r="E1297" s="651"/>
      <c r="F1297" s="656"/>
      <c r="G1297" s="647"/>
      <c r="H1297" s="648"/>
      <c r="I1297" s="649"/>
      <c r="J1297" s="655"/>
      <c r="K1297" s="651"/>
      <c r="L1297" s="656"/>
    </row>
    <row r="1298" spans="1:12" ht="15.75" x14ac:dyDescent="0.25">
      <c r="A1298" s="647"/>
      <c r="B1298" s="648" t="s">
        <v>459</v>
      </c>
      <c r="C1298" s="649">
        <v>14</v>
      </c>
      <c r="D1298" s="650" t="s">
        <v>1196</v>
      </c>
      <c r="E1298" s="651"/>
      <c r="F1298" s="653"/>
      <c r="G1298" s="647"/>
      <c r="H1298" s="648" t="s">
        <v>459</v>
      </c>
      <c r="I1298" s="649">
        <v>50</v>
      </c>
      <c r="J1298" s="650" t="s">
        <v>1197</v>
      </c>
      <c r="K1298" s="651"/>
      <c r="L1298" s="653"/>
    </row>
    <row r="1299" spans="1:12" ht="15.75" x14ac:dyDescent="0.25">
      <c r="A1299" s="647"/>
      <c r="B1299" s="648"/>
      <c r="C1299" s="649"/>
      <c r="D1299" s="655" t="s">
        <v>166</v>
      </c>
      <c r="E1299" s="651"/>
      <c r="F1299" s="656">
        <v>0.4548611111111111</v>
      </c>
      <c r="G1299" s="647"/>
      <c r="H1299" s="648"/>
      <c r="I1299" s="649"/>
      <c r="J1299" s="655" t="s">
        <v>166</v>
      </c>
      <c r="K1299" s="651"/>
      <c r="L1299" s="656">
        <v>0.84027777777777779</v>
      </c>
    </row>
    <row r="1300" spans="1:12" ht="15.75" x14ac:dyDescent="0.25">
      <c r="A1300" s="647" t="s">
        <v>961</v>
      </c>
      <c r="B1300" s="648"/>
      <c r="C1300" s="649"/>
      <c r="D1300" s="650" t="s">
        <v>160</v>
      </c>
      <c r="E1300" s="651"/>
      <c r="F1300" s="653">
        <v>0.50347222222222221</v>
      </c>
      <c r="G1300" s="647" t="s">
        <v>961</v>
      </c>
      <c r="H1300" s="648"/>
      <c r="I1300" s="649"/>
      <c r="J1300" s="650" t="s">
        <v>160</v>
      </c>
      <c r="K1300" s="651"/>
      <c r="L1300" s="653">
        <v>0.88194444444444653</v>
      </c>
    </row>
    <row r="1301" spans="1:12" ht="15.75" x14ac:dyDescent="0.25">
      <c r="A1301" s="647"/>
      <c r="B1301" s="648"/>
      <c r="C1301" s="649"/>
      <c r="D1301" s="655" t="s">
        <v>962</v>
      </c>
      <c r="E1301" s="651"/>
      <c r="F1301" s="656">
        <v>0.51388888888888884</v>
      </c>
      <c r="G1301" s="647"/>
      <c r="H1301" s="648"/>
      <c r="I1301" s="649"/>
      <c r="J1301" s="655" t="s">
        <v>962</v>
      </c>
      <c r="K1301" s="651"/>
      <c r="L1301" s="656">
        <v>0.88888888888889095</v>
      </c>
    </row>
    <row r="1302" spans="1:12" ht="15.75" x14ac:dyDescent="0.25">
      <c r="A1302" s="647"/>
      <c r="B1302" s="648"/>
      <c r="C1302" s="649"/>
      <c r="D1302" s="655" t="s">
        <v>960</v>
      </c>
      <c r="E1302" s="657">
        <v>0.54513888888888884</v>
      </c>
      <c r="F1302" s="656"/>
      <c r="G1302" s="647"/>
      <c r="H1302" s="648"/>
      <c r="I1302" s="649"/>
      <c r="J1302" s="655" t="s">
        <v>960</v>
      </c>
      <c r="K1302" s="651"/>
      <c r="L1302" s="656">
        <v>0.91666666666666663</v>
      </c>
    </row>
    <row r="1303" spans="1:12" ht="15.75" x14ac:dyDescent="0.25">
      <c r="A1303" s="647"/>
      <c r="B1303" s="648" t="s">
        <v>462</v>
      </c>
      <c r="C1303" s="649" t="s">
        <v>459</v>
      </c>
      <c r="D1303" s="650"/>
      <c r="E1303" s="651"/>
      <c r="F1303" s="656"/>
      <c r="G1303" s="647" t="s">
        <v>958</v>
      </c>
      <c r="H1303" s="654"/>
      <c r="I1303" s="649"/>
      <c r="J1303" s="650" t="s">
        <v>163</v>
      </c>
      <c r="K1303" s="657">
        <v>0.95277777777777772</v>
      </c>
      <c r="L1303" s="653"/>
    </row>
    <row r="1304" spans="1:12" ht="15.75" x14ac:dyDescent="0.25">
      <c r="A1304" s="647"/>
      <c r="B1304" s="648"/>
      <c r="C1304" s="649"/>
      <c r="D1304" s="655"/>
      <c r="E1304" s="657"/>
      <c r="F1304" s="656"/>
      <c r="G1304" s="647"/>
      <c r="H1304" s="648"/>
      <c r="I1304" s="649"/>
      <c r="J1304" s="650" t="s">
        <v>963</v>
      </c>
      <c r="K1304" s="657">
        <v>0.97361111111111109</v>
      </c>
      <c r="L1304" s="652"/>
    </row>
    <row r="1305" spans="1:12" ht="15.75" x14ac:dyDescent="0.25">
      <c r="A1305" s="647"/>
      <c r="B1305" s="648" t="s">
        <v>459</v>
      </c>
      <c r="C1305" s="649">
        <v>40</v>
      </c>
      <c r="D1305" s="650" t="s">
        <v>1198</v>
      </c>
      <c r="E1305" s="651"/>
      <c r="F1305" s="653"/>
      <c r="G1305" s="647"/>
      <c r="H1305" s="648" t="s">
        <v>462</v>
      </c>
      <c r="I1305" s="649" t="s">
        <v>459</v>
      </c>
      <c r="J1305" s="650"/>
      <c r="K1305" s="657"/>
      <c r="L1305" s="652"/>
    </row>
    <row r="1306" spans="1:12" ht="15.75" x14ac:dyDescent="0.25">
      <c r="A1306" s="647"/>
      <c r="B1306" s="648"/>
      <c r="C1306" s="649"/>
      <c r="D1306" s="655" t="s">
        <v>960</v>
      </c>
      <c r="E1306" s="651"/>
      <c r="F1306" s="656">
        <v>0.54513888888888884</v>
      </c>
      <c r="G1306" s="647"/>
      <c r="H1306" s="648"/>
      <c r="I1306" s="649"/>
      <c r="J1306" s="650"/>
      <c r="K1306" s="657"/>
      <c r="L1306" s="652"/>
    </row>
    <row r="1307" spans="1:12" ht="15.75" x14ac:dyDescent="0.25">
      <c r="A1307" s="647" t="s">
        <v>961</v>
      </c>
      <c r="B1307" s="654"/>
      <c r="C1307" s="649"/>
      <c r="D1307" s="650" t="s">
        <v>163</v>
      </c>
      <c r="E1307" s="657"/>
      <c r="F1307" s="653">
        <v>0.60069444444444442</v>
      </c>
      <c r="G1307" s="647"/>
      <c r="H1307" s="648"/>
      <c r="I1307" s="649"/>
      <c r="J1307" s="650"/>
      <c r="K1307" s="657"/>
      <c r="L1307" s="652"/>
    </row>
    <row r="1308" spans="1:12" ht="15.75" x14ac:dyDescent="0.25">
      <c r="A1308" s="647"/>
      <c r="B1308" s="648"/>
      <c r="C1308" s="649"/>
      <c r="D1308" s="655" t="s">
        <v>164</v>
      </c>
      <c r="E1308" s="651"/>
      <c r="F1308" s="656">
        <v>0.63541666666666663</v>
      </c>
      <c r="G1308" s="647"/>
      <c r="H1308" s="648"/>
      <c r="I1308" s="649"/>
      <c r="J1308" s="650"/>
      <c r="K1308" s="651"/>
      <c r="L1308" s="652"/>
    </row>
    <row r="1309" spans="1:12" ht="15.75" x14ac:dyDescent="0.25">
      <c r="A1309" s="647"/>
      <c r="B1309" s="648"/>
      <c r="C1309" s="649"/>
      <c r="D1309" s="655" t="s">
        <v>166</v>
      </c>
      <c r="E1309" s="657">
        <v>0.64930555555555558</v>
      </c>
      <c r="F1309" s="656"/>
      <c r="G1309" s="647"/>
      <c r="H1309" s="648"/>
      <c r="I1309" s="649"/>
      <c r="J1309" s="650"/>
      <c r="K1309" s="651"/>
      <c r="L1309" s="652"/>
    </row>
    <row r="1310" spans="1:12" ht="15.75" x14ac:dyDescent="0.25">
      <c r="A1310" s="647"/>
      <c r="B1310" s="648" t="s">
        <v>459</v>
      </c>
      <c r="C1310" s="649">
        <v>40</v>
      </c>
      <c r="D1310" s="650" t="s">
        <v>1199</v>
      </c>
      <c r="E1310" s="657"/>
      <c r="F1310" s="656"/>
      <c r="G1310" s="647"/>
      <c r="H1310" s="648"/>
      <c r="I1310" s="649"/>
      <c r="J1310" s="650"/>
      <c r="K1310" s="651"/>
      <c r="L1310" s="658"/>
    </row>
    <row r="1311" spans="1:12" ht="15.75" x14ac:dyDescent="0.25">
      <c r="A1311" s="647"/>
      <c r="B1311" s="648"/>
      <c r="C1311" s="649"/>
      <c r="D1311" s="650"/>
      <c r="E1311" s="657"/>
      <c r="F1311" s="653"/>
      <c r="G1311" s="647"/>
      <c r="H1311" s="648"/>
      <c r="I1311" s="649"/>
      <c r="J1311" s="655"/>
      <c r="K1311" s="651"/>
      <c r="L1311" s="658"/>
    </row>
    <row r="1312" spans="1:12" ht="15.75" x14ac:dyDescent="0.25">
      <c r="A1312" s="647"/>
      <c r="B1312" s="648"/>
      <c r="C1312" s="649"/>
      <c r="D1312" s="650"/>
      <c r="E1312" s="651"/>
      <c r="F1312" s="652"/>
      <c r="G1312" s="647"/>
      <c r="H1312" s="648"/>
      <c r="I1312" s="649"/>
      <c r="J1312" s="650"/>
      <c r="K1312" s="651"/>
      <c r="L1312" s="658"/>
    </row>
    <row r="1313" spans="1:12" ht="15.75" x14ac:dyDescent="0.25">
      <c r="A1313" s="647"/>
      <c r="B1313" s="648"/>
      <c r="C1313" s="649"/>
      <c r="D1313" s="650"/>
      <c r="E1313" s="657"/>
      <c r="F1313" s="656"/>
      <c r="G1313" s="647"/>
      <c r="H1313" s="648"/>
      <c r="I1313" s="649"/>
      <c r="J1313" s="650"/>
      <c r="K1313" s="657"/>
      <c r="L1313" s="652"/>
    </row>
    <row r="1314" spans="1:12" ht="15.75" x14ac:dyDescent="0.25">
      <c r="A1314" s="647"/>
      <c r="B1314" s="648"/>
      <c r="C1314" s="649"/>
      <c r="D1314" s="650"/>
      <c r="E1314" s="657"/>
      <c r="F1314" s="653"/>
      <c r="G1314" s="647"/>
      <c r="H1314" s="648"/>
      <c r="I1314" s="649"/>
      <c r="J1314" s="650"/>
      <c r="K1314" s="657"/>
      <c r="L1314" s="652"/>
    </row>
    <row r="1315" spans="1:12" ht="15.75" x14ac:dyDescent="0.25">
      <c r="A1315" s="647"/>
      <c r="B1315" s="648"/>
      <c r="C1315" s="649"/>
      <c r="D1315" s="650"/>
      <c r="E1315" s="651"/>
      <c r="F1315" s="652"/>
      <c r="G1315" s="647"/>
      <c r="H1315" s="648"/>
      <c r="I1315" s="649"/>
      <c r="J1315" s="650"/>
      <c r="K1315" s="651"/>
      <c r="L1315" s="652"/>
    </row>
    <row r="1316" spans="1:12" ht="15.75" x14ac:dyDescent="0.25">
      <c r="A1316" s="647"/>
      <c r="B1316" s="648"/>
      <c r="C1316" s="649"/>
      <c r="D1316" s="650"/>
      <c r="E1316" s="651"/>
      <c r="F1316" s="652"/>
      <c r="G1316" s="647"/>
      <c r="H1316" s="648"/>
      <c r="I1316" s="649"/>
      <c r="J1316" s="650"/>
      <c r="K1316" s="651"/>
      <c r="L1316" s="652"/>
    </row>
    <row r="1317" spans="1:12" ht="15.75" x14ac:dyDescent="0.25">
      <c r="A1317" s="647"/>
      <c r="B1317" s="648"/>
      <c r="C1317" s="649"/>
      <c r="D1317" s="650"/>
      <c r="E1317" s="657"/>
      <c r="F1317" s="656"/>
      <c r="G1317" s="647"/>
      <c r="H1317" s="648"/>
      <c r="I1317" s="649"/>
      <c r="J1317" s="650"/>
      <c r="K1317" s="651"/>
      <c r="L1317" s="658"/>
    </row>
    <row r="1318" spans="1:12" ht="15.75" x14ac:dyDescent="0.25">
      <c r="A1318" s="647"/>
      <c r="B1318" s="648"/>
      <c r="C1318" s="649"/>
      <c r="D1318" s="650"/>
      <c r="E1318" s="657"/>
      <c r="F1318" s="653"/>
      <c r="G1318" s="647"/>
      <c r="H1318" s="648"/>
      <c r="I1318" s="649"/>
      <c r="J1318" s="655"/>
      <c r="K1318" s="651"/>
      <c r="L1318" s="658"/>
    </row>
    <row r="1319" spans="1:12" ht="15.75" x14ac:dyDescent="0.25">
      <c r="A1319" s="647"/>
      <c r="B1319" s="648"/>
      <c r="C1319" s="649"/>
      <c r="D1319" s="650"/>
      <c r="E1319" s="651"/>
      <c r="F1319" s="652"/>
      <c r="G1319" s="647"/>
      <c r="H1319" s="648"/>
      <c r="I1319" s="649"/>
      <c r="J1319" s="650"/>
      <c r="K1319" s="651"/>
      <c r="L1319" s="658"/>
    </row>
    <row r="1320" spans="1:12" ht="16.5" thickBot="1" x14ac:dyDescent="0.3">
      <c r="A1320" s="659"/>
      <c r="B1320" s="660"/>
      <c r="C1320" s="661"/>
      <c r="D1320" s="662"/>
      <c r="E1320" s="663"/>
      <c r="F1320" s="664"/>
      <c r="G1320" s="665"/>
      <c r="H1320" s="666"/>
      <c r="I1320" s="667"/>
      <c r="J1320" s="668"/>
      <c r="K1320" s="663"/>
      <c r="L1320" s="669"/>
    </row>
    <row r="1321" spans="1:12" ht="21" x14ac:dyDescent="0.35">
      <c r="A1321" s="769" t="s">
        <v>945</v>
      </c>
      <c r="B1321" s="770"/>
      <c r="C1321" s="770"/>
      <c r="D1321" s="770"/>
      <c r="E1321" s="770"/>
      <c r="F1321" s="770"/>
      <c r="G1321" s="770"/>
      <c r="H1321" s="770"/>
      <c r="I1321" s="770"/>
      <c r="J1321" s="770"/>
      <c r="K1321" s="770"/>
      <c r="L1321" s="771"/>
    </row>
    <row r="1322" spans="1:12" ht="18.75" x14ac:dyDescent="0.3">
      <c r="A1322" s="772" t="s">
        <v>946</v>
      </c>
      <c r="B1322" s="773"/>
      <c r="C1322" s="773"/>
      <c r="D1322" s="773"/>
      <c r="E1322" s="773"/>
      <c r="F1322" s="773"/>
      <c r="G1322" s="773"/>
      <c r="H1322" s="773"/>
      <c r="I1322" s="773"/>
      <c r="J1322" s="773"/>
      <c r="K1322" s="773"/>
      <c r="L1322" s="774"/>
    </row>
    <row r="1323" spans="1:12" ht="24" x14ac:dyDescent="0.4">
      <c r="A1323" s="775" t="s">
        <v>947</v>
      </c>
      <c r="B1323" s="776"/>
      <c r="C1323" s="776"/>
      <c r="D1323" s="776"/>
      <c r="E1323" s="776"/>
      <c r="F1323" s="776"/>
      <c r="G1323" s="776"/>
      <c r="H1323" s="776"/>
      <c r="I1323" s="776"/>
      <c r="J1323" s="776"/>
      <c r="K1323" s="776"/>
      <c r="L1323" s="777"/>
    </row>
    <row r="1324" spans="1:12" ht="24" x14ac:dyDescent="0.4">
      <c r="A1324" s="670" t="s">
        <v>948</v>
      </c>
      <c r="B1324" s="671"/>
      <c r="C1324" s="671"/>
      <c r="D1324" s="672" t="s">
        <v>949</v>
      </c>
      <c r="E1324" s="778" t="s">
        <v>950</v>
      </c>
      <c r="F1324" s="778"/>
      <c r="G1324" s="778"/>
      <c r="H1324" s="778"/>
      <c r="I1324" s="778"/>
      <c r="J1324" s="673" t="s">
        <v>1200</v>
      </c>
      <c r="K1324" s="778"/>
      <c r="L1324" s="779"/>
    </row>
    <row r="1325" spans="1:12" ht="15.75" thickBot="1" x14ac:dyDescent="0.3">
      <c r="A1325" s="674"/>
      <c r="B1325" s="675"/>
      <c r="C1325" s="675"/>
      <c r="D1325" s="676"/>
      <c r="E1325" s="675"/>
      <c r="F1325" s="675"/>
      <c r="G1325" s="675"/>
      <c r="H1325" s="675"/>
      <c r="I1325" s="780"/>
      <c r="J1325" s="780"/>
      <c r="K1325" s="675"/>
      <c r="L1325" s="677"/>
    </row>
    <row r="1326" spans="1:12" ht="16.5" thickBot="1" x14ac:dyDescent="0.3">
      <c r="A1326" s="631" t="s">
        <v>952</v>
      </c>
      <c r="B1326" s="632"/>
      <c r="C1326" s="633"/>
      <c r="D1326" s="634" t="s">
        <v>953</v>
      </c>
      <c r="E1326" s="631" t="s">
        <v>954</v>
      </c>
      <c r="F1326" s="635" t="s">
        <v>955</v>
      </c>
      <c r="G1326" s="631" t="s">
        <v>952</v>
      </c>
      <c r="H1326" s="632"/>
      <c r="I1326" s="633"/>
      <c r="J1326" s="634" t="s">
        <v>953</v>
      </c>
      <c r="K1326" s="631" t="s">
        <v>954</v>
      </c>
      <c r="L1326" s="631" t="s">
        <v>955</v>
      </c>
    </row>
    <row r="1327" spans="1:12" ht="15.75" x14ac:dyDescent="0.25">
      <c r="A1327" s="636"/>
      <c r="B1327" s="637"/>
      <c r="C1327" s="638"/>
      <c r="D1327" s="639"/>
      <c r="E1327" s="640"/>
      <c r="F1327" s="641"/>
      <c r="G1327" s="636"/>
      <c r="H1327" s="642"/>
      <c r="I1327" s="643"/>
      <c r="J1327" s="644"/>
      <c r="K1327" s="645"/>
      <c r="L1327" s="646"/>
    </row>
    <row r="1328" spans="1:12" ht="15.75" x14ac:dyDescent="0.25">
      <c r="A1328" s="647"/>
      <c r="B1328" s="648" t="s">
        <v>459</v>
      </c>
      <c r="C1328" s="649">
        <v>202</v>
      </c>
      <c r="D1328" s="650" t="s">
        <v>1192</v>
      </c>
      <c r="E1328" s="651"/>
      <c r="F1328" s="652"/>
      <c r="G1328" s="647"/>
      <c r="H1328" s="648"/>
      <c r="I1328" s="649"/>
      <c r="J1328" s="650"/>
      <c r="K1328" s="651"/>
      <c r="L1328" s="652"/>
    </row>
    <row r="1329" spans="1:12" ht="15.75" x14ac:dyDescent="0.25">
      <c r="A1329" s="647" t="s">
        <v>958</v>
      </c>
      <c r="B1329" s="654"/>
      <c r="C1329" s="649"/>
      <c r="D1329" s="655" t="s">
        <v>959</v>
      </c>
      <c r="E1329" s="651"/>
      <c r="F1329" s="656">
        <v>0.27083333333333331</v>
      </c>
      <c r="G1329" s="647"/>
      <c r="H1329" s="654"/>
      <c r="I1329" s="649"/>
      <c r="J1329" s="655"/>
      <c r="K1329" s="651"/>
      <c r="L1329" s="656"/>
    </row>
    <row r="1330" spans="1:12" ht="15.75" x14ac:dyDescent="0.25">
      <c r="A1330" s="647" t="s">
        <v>165</v>
      </c>
      <c r="B1330" s="648"/>
      <c r="C1330" s="649"/>
      <c r="D1330" s="650" t="s">
        <v>412</v>
      </c>
      <c r="E1330" s="651"/>
      <c r="F1330" s="653">
        <v>0.3125</v>
      </c>
      <c r="G1330" s="647"/>
      <c r="H1330" s="648"/>
      <c r="I1330" s="649"/>
      <c r="J1330" s="650"/>
      <c r="K1330" s="651"/>
      <c r="L1330" s="653"/>
    </row>
    <row r="1331" spans="1:12" ht="15.75" x14ac:dyDescent="0.25">
      <c r="A1331" s="647"/>
      <c r="B1331" s="648"/>
      <c r="C1331" s="649"/>
      <c r="D1331" s="655"/>
      <c r="E1331" s="651"/>
      <c r="F1331" s="656"/>
      <c r="G1331" s="647"/>
      <c r="H1331" s="648"/>
      <c r="I1331" s="649"/>
      <c r="J1331" s="655"/>
      <c r="K1331" s="651"/>
      <c r="L1331" s="656"/>
    </row>
    <row r="1332" spans="1:12" ht="15.75" x14ac:dyDescent="0.25">
      <c r="A1332" s="647" t="s">
        <v>958</v>
      </c>
      <c r="B1332" s="648"/>
      <c r="C1332" s="649"/>
      <c r="D1332" s="650" t="s">
        <v>1053</v>
      </c>
      <c r="E1332" s="657">
        <v>0.39583333333333331</v>
      </c>
      <c r="F1332" s="656"/>
      <c r="G1332" s="647"/>
      <c r="H1332" s="648"/>
      <c r="I1332" s="649"/>
      <c r="J1332" s="655"/>
      <c r="K1332" s="651"/>
      <c r="L1332" s="656"/>
    </row>
    <row r="1333" spans="1:12" ht="15.75" x14ac:dyDescent="0.25">
      <c r="A1333" s="647"/>
      <c r="B1333" s="648"/>
      <c r="C1333" s="649"/>
      <c r="D1333" s="650" t="s">
        <v>963</v>
      </c>
      <c r="E1333" s="657">
        <v>0.41666666666666669</v>
      </c>
      <c r="F1333" s="653"/>
      <c r="G1333" s="647"/>
      <c r="H1333" s="654"/>
      <c r="I1333" s="649"/>
      <c r="J1333" s="650"/>
      <c r="K1333" s="657"/>
      <c r="L1333" s="653"/>
    </row>
    <row r="1334" spans="1:12" ht="15.75" x14ac:dyDescent="0.25">
      <c r="A1334" s="647"/>
      <c r="B1334" s="648" t="s">
        <v>459</v>
      </c>
      <c r="C1334" s="649">
        <v>202</v>
      </c>
      <c r="D1334" s="650" t="s">
        <v>1201</v>
      </c>
      <c r="E1334" s="651"/>
      <c r="F1334" s="656"/>
      <c r="G1334" s="647"/>
      <c r="H1334" s="648"/>
      <c r="I1334" s="649"/>
      <c r="J1334" s="655"/>
      <c r="K1334" s="651"/>
      <c r="L1334" s="656"/>
    </row>
    <row r="1335" spans="1:12" ht="15.75" x14ac:dyDescent="0.25">
      <c r="A1335" s="647"/>
      <c r="B1335" s="648"/>
      <c r="C1335" s="649"/>
      <c r="D1335" s="655"/>
      <c r="E1335" s="651"/>
      <c r="F1335" s="653"/>
      <c r="G1335" s="647"/>
      <c r="H1335" s="648"/>
      <c r="I1335" s="649"/>
      <c r="J1335" s="655"/>
      <c r="K1335" s="657"/>
      <c r="L1335" s="656"/>
    </row>
    <row r="1336" spans="1:12" ht="15.75" x14ac:dyDescent="0.25">
      <c r="A1336" s="647"/>
      <c r="B1336" s="648" t="s">
        <v>459</v>
      </c>
      <c r="C1336" s="649">
        <v>217</v>
      </c>
      <c r="D1336" s="650" t="s">
        <v>1202</v>
      </c>
      <c r="E1336" s="651"/>
      <c r="F1336" s="652"/>
      <c r="G1336" s="647"/>
      <c r="H1336" s="648"/>
      <c r="I1336" s="649"/>
      <c r="J1336" s="650"/>
      <c r="K1336" s="651"/>
      <c r="L1336" s="653"/>
    </row>
    <row r="1337" spans="1:12" ht="15.75" x14ac:dyDescent="0.25">
      <c r="A1337" s="647" t="s">
        <v>958</v>
      </c>
      <c r="B1337" s="654"/>
      <c r="C1337" s="649"/>
      <c r="D1337" s="655" t="s">
        <v>959</v>
      </c>
      <c r="E1337" s="651"/>
      <c r="F1337" s="656">
        <v>0.64583333333333337</v>
      </c>
      <c r="G1337" s="647"/>
      <c r="H1337" s="648"/>
      <c r="I1337" s="649"/>
      <c r="J1337" s="655"/>
      <c r="K1337" s="651"/>
      <c r="L1337" s="656"/>
    </row>
    <row r="1338" spans="1:12" ht="15.75" x14ac:dyDescent="0.25">
      <c r="A1338" s="647" t="s">
        <v>961</v>
      </c>
      <c r="B1338" s="648"/>
      <c r="C1338" s="649"/>
      <c r="D1338" s="650" t="s">
        <v>160</v>
      </c>
      <c r="E1338" s="651"/>
      <c r="F1338" s="653">
        <v>0.6875</v>
      </c>
      <c r="G1338" s="647"/>
      <c r="H1338" s="648"/>
      <c r="I1338" s="649"/>
      <c r="J1338" s="650"/>
      <c r="K1338" s="651"/>
      <c r="L1338" s="652"/>
    </row>
    <row r="1339" spans="1:12" ht="15.75" x14ac:dyDescent="0.25">
      <c r="A1339" s="647"/>
      <c r="B1339" s="648"/>
      <c r="C1339" s="649"/>
      <c r="D1339" s="655" t="s">
        <v>962</v>
      </c>
      <c r="E1339" s="651"/>
      <c r="F1339" s="656">
        <v>0.69791666666666663</v>
      </c>
      <c r="G1339" s="647"/>
      <c r="H1339" s="654"/>
      <c r="I1339" s="649"/>
      <c r="J1339" s="655"/>
      <c r="K1339" s="651"/>
      <c r="L1339" s="656"/>
    </row>
    <row r="1340" spans="1:12" ht="15.75" x14ac:dyDescent="0.25">
      <c r="A1340" s="647"/>
      <c r="B1340" s="648"/>
      <c r="C1340" s="649"/>
      <c r="D1340" s="655" t="s">
        <v>960</v>
      </c>
      <c r="E1340" s="651"/>
      <c r="F1340" s="656">
        <v>0.72916666666666663</v>
      </c>
      <c r="G1340" s="647"/>
      <c r="H1340" s="648"/>
      <c r="I1340" s="649"/>
      <c r="J1340" s="650"/>
      <c r="K1340" s="651"/>
      <c r="L1340" s="653"/>
    </row>
    <row r="1341" spans="1:12" ht="15.75" x14ac:dyDescent="0.25">
      <c r="A1341" s="647" t="s">
        <v>961</v>
      </c>
      <c r="B1341" s="654"/>
      <c r="C1341" s="649"/>
      <c r="D1341" s="650" t="s">
        <v>163</v>
      </c>
      <c r="E1341" s="657"/>
      <c r="F1341" s="653">
        <v>0.78819444444444442</v>
      </c>
      <c r="G1341" s="647"/>
      <c r="H1341" s="648"/>
      <c r="I1341" s="649"/>
      <c r="J1341" s="655"/>
      <c r="K1341" s="651"/>
      <c r="L1341" s="656"/>
    </row>
    <row r="1342" spans="1:12" ht="15.75" x14ac:dyDescent="0.25">
      <c r="A1342" s="647"/>
      <c r="B1342" s="648"/>
      <c r="C1342" s="649"/>
      <c r="D1342" s="655" t="s">
        <v>164</v>
      </c>
      <c r="E1342" s="651"/>
      <c r="F1342" s="656">
        <v>0.8125</v>
      </c>
      <c r="G1342" s="647"/>
      <c r="H1342" s="648"/>
      <c r="I1342" s="649"/>
      <c r="J1342" s="655"/>
      <c r="K1342" s="651"/>
      <c r="L1342" s="656"/>
    </row>
    <row r="1343" spans="1:12" ht="15.75" x14ac:dyDescent="0.25">
      <c r="A1343" s="647"/>
      <c r="B1343" s="648"/>
      <c r="C1343" s="649"/>
      <c r="D1343" s="655" t="s">
        <v>166</v>
      </c>
      <c r="E1343" s="657">
        <v>0.82638888888888884</v>
      </c>
      <c r="F1343" s="656"/>
      <c r="G1343" s="647"/>
      <c r="H1343" s="654"/>
      <c r="I1343" s="649"/>
      <c r="J1343" s="650"/>
      <c r="K1343" s="657"/>
      <c r="L1343" s="653"/>
    </row>
    <row r="1344" spans="1:12" ht="15.75" x14ac:dyDescent="0.25">
      <c r="A1344" s="647"/>
      <c r="B1344" s="648" t="s">
        <v>462</v>
      </c>
      <c r="C1344" s="649" t="s">
        <v>459</v>
      </c>
      <c r="D1344" s="650"/>
      <c r="E1344" s="651"/>
      <c r="F1344" s="653"/>
      <c r="G1344" s="647"/>
      <c r="H1344" s="648"/>
      <c r="I1344" s="649"/>
      <c r="J1344" s="650"/>
      <c r="K1344" s="657"/>
      <c r="L1344" s="653"/>
    </row>
    <row r="1345" spans="1:12" ht="15.75" x14ac:dyDescent="0.25">
      <c r="A1345" s="647"/>
      <c r="B1345" s="648"/>
      <c r="C1345" s="649"/>
      <c r="D1345" s="650"/>
      <c r="E1345" s="651"/>
      <c r="F1345" s="653"/>
      <c r="G1345" s="647"/>
      <c r="H1345" s="648"/>
      <c r="I1345" s="649"/>
      <c r="J1345" s="650"/>
      <c r="K1345" s="657"/>
      <c r="L1345" s="656"/>
    </row>
    <row r="1346" spans="1:12" ht="15.75" x14ac:dyDescent="0.25">
      <c r="A1346" s="647"/>
      <c r="B1346" s="648" t="s">
        <v>459</v>
      </c>
      <c r="C1346" s="649">
        <v>63</v>
      </c>
      <c r="D1346" s="650" t="s">
        <v>1203</v>
      </c>
      <c r="E1346" s="651"/>
      <c r="F1346" s="652"/>
      <c r="G1346" s="647"/>
      <c r="H1346" s="648"/>
      <c r="I1346" s="649"/>
      <c r="J1346" s="650"/>
      <c r="K1346" s="651"/>
      <c r="L1346" s="658"/>
    </row>
    <row r="1347" spans="1:12" ht="15.75" x14ac:dyDescent="0.25">
      <c r="A1347" s="647"/>
      <c r="B1347" s="654"/>
      <c r="C1347" s="649"/>
      <c r="D1347" s="655" t="s">
        <v>166</v>
      </c>
      <c r="E1347" s="651"/>
      <c r="F1347" s="656">
        <v>0.82638888888888884</v>
      </c>
      <c r="G1347" s="647"/>
      <c r="H1347" s="648"/>
      <c r="I1347" s="649"/>
      <c r="J1347" s="650"/>
      <c r="K1347" s="651"/>
      <c r="L1347" s="658"/>
    </row>
    <row r="1348" spans="1:12" ht="15.75" x14ac:dyDescent="0.25">
      <c r="A1348" s="647" t="s">
        <v>961</v>
      </c>
      <c r="B1348" s="648"/>
      <c r="C1348" s="649"/>
      <c r="D1348" s="650" t="s">
        <v>160</v>
      </c>
      <c r="E1348" s="651"/>
      <c r="F1348" s="653">
        <v>0.86805555555555558</v>
      </c>
      <c r="G1348" s="647"/>
      <c r="H1348" s="648"/>
      <c r="I1348" s="649"/>
      <c r="J1348" s="655"/>
      <c r="K1348" s="651"/>
      <c r="L1348" s="658"/>
    </row>
    <row r="1349" spans="1:12" ht="15.75" x14ac:dyDescent="0.25">
      <c r="A1349" s="647"/>
      <c r="B1349" s="648"/>
      <c r="C1349" s="649"/>
      <c r="D1349" s="655" t="s">
        <v>962</v>
      </c>
      <c r="E1349" s="651"/>
      <c r="F1349" s="656">
        <v>0.875</v>
      </c>
      <c r="G1349" s="647"/>
      <c r="H1349" s="648"/>
      <c r="I1349" s="649"/>
      <c r="J1349" s="650"/>
      <c r="K1349" s="651"/>
      <c r="L1349" s="658"/>
    </row>
    <row r="1350" spans="1:12" ht="15.75" x14ac:dyDescent="0.25">
      <c r="A1350" s="647"/>
      <c r="B1350" s="648"/>
      <c r="C1350" s="649"/>
      <c r="D1350" s="655" t="s">
        <v>960</v>
      </c>
      <c r="E1350" s="651"/>
      <c r="F1350" s="656">
        <v>0.90277777777777779</v>
      </c>
      <c r="G1350" s="647"/>
      <c r="H1350" s="654"/>
      <c r="I1350" s="649"/>
      <c r="J1350" s="650"/>
      <c r="K1350" s="657"/>
      <c r="L1350" s="653"/>
    </row>
    <row r="1351" spans="1:12" ht="15.75" x14ac:dyDescent="0.25">
      <c r="A1351" s="647" t="s">
        <v>961</v>
      </c>
      <c r="B1351" s="654"/>
      <c r="C1351" s="649"/>
      <c r="D1351" s="650" t="s">
        <v>163</v>
      </c>
      <c r="E1351" s="657"/>
      <c r="F1351" s="653">
        <v>0.9375</v>
      </c>
      <c r="G1351" s="647"/>
      <c r="H1351" s="648"/>
      <c r="I1351" s="649"/>
      <c r="J1351" s="655"/>
      <c r="K1351" s="651"/>
      <c r="L1351" s="656"/>
    </row>
    <row r="1352" spans="1:12" ht="15.75" x14ac:dyDescent="0.25">
      <c r="A1352" s="647"/>
      <c r="B1352" s="648"/>
      <c r="C1352" s="649"/>
      <c r="D1352" s="655" t="s">
        <v>164</v>
      </c>
      <c r="E1352" s="651"/>
      <c r="F1352" s="656">
        <v>0.95833333333333337</v>
      </c>
      <c r="G1352" s="647"/>
      <c r="H1352" s="648"/>
      <c r="I1352" s="649"/>
      <c r="J1352" s="655"/>
      <c r="K1352" s="651"/>
      <c r="L1352" s="656"/>
    </row>
    <row r="1353" spans="1:12" ht="15.75" x14ac:dyDescent="0.25">
      <c r="A1353" s="647"/>
      <c r="B1353" s="654"/>
      <c r="C1353" s="649"/>
      <c r="D1353" s="655" t="s">
        <v>166</v>
      </c>
      <c r="E1353" s="651"/>
      <c r="F1353" s="656">
        <v>0.96875</v>
      </c>
      <c r="G1353" s="647"/>
      <c r="H1353" s="648"/>
      <c r="I1353" s="649"/>
      <c r="J1353" s="650"/>
      <c r="K1353" s="657"/>
      <c r="L1353" s="653"/>
    </row>
    <row r="1354" spans="1:12" ht="15.75" x14ac:dyDescent="0.25">
      <c r="A1354" s="647" t="s">
        <v>958</v>
      </c>
      <c r="B1354" s="648"/>
      <c r="C1354" s="649"/>
      <c r="D1354" s="650" t="s">
        <v>160</v>
      </c>
      <c r="E1354" s="657">
        <v>0.99861111111111112</v>
      </c>
      <c r="F1354" s="653"/>
      <c r="G1354" s="647"/>
      <c r="H1354" s="648"/>
      <c r="I1354" s="649"/>
      <c r="J1354" s="650"/>
      <c r="K1354" s="657"/>
      <c r="L1354" s="653"/>
    </row>
    <row r="1355" spans="1:12" ht="15.75" x14ac:dyDescent="0.25">
      <c r="A1355" s="647"/>
      <c r="B1355" s="648"/>
      <c r="C1355" s="649"/>
      <c r="D1355" s="650" t="s">
        <v>963</v>
      </c>
      <c r="E1355" s="657">
        <v>1.0298611111111111</v>
      </c>
      <c r="F1355" s="656"/>
      <c r="G1355" s="647"/>
      <c r="H1355" s="648"/>
      <c r="I1355" s="649"/>
      <c r="J1355" s="650"/>
      <c r="K1355" s="657"/>
      <c r="L1355" s="656"/>
    </row>
    <row r="1356" spans="1:12" ht="15.75" x14ac:dyDescent="0.25">
      <c r="A1356" s="647"/>
      <c r="B1356" s="648" t="s">
        <v>462</v>
      </c>
      <c r="C1356" s="649" t="s">
        <v>459</v>
      </c>
      <c r="D1356" s="650"/>
      <c r="E1356" s="657"/>
      <c r="F1356" s="656"/>
      <c r="G1356" s="647"/>
      <c r="H1356" s="648"/>
      <c r="I1356" s="649"/>
      <c r="J1356" s="650"/>
      <c r="K1356" s="651"/>
      <c r="L1356" s="658"/>
    </row>
    <row r="1357" spans="1:12" ht="15.75" x14ac:dyDescent="0.25">
      <c r="A1357" s="647"/>
      <c r="B1357" s="648"/>
      <c r="C1357" s="649"/>
      <c r="D1357" s="650"/>
      <c r="E1357" s="657"/>
      <c r="F1357" s="653"/>
      <c r="G1357" s="647"/>
      <c r="H1357" s="648"/>
      <c r="I1357" s="649"/>
      <c r="J1357" s="650"/>
      <c r="K1357" s="651"/>
      <c r="L1357" s="658"/>
    </row>
    <row r="1358" spans="1:12" ht="15.75" x14ac:dyDescent="0.25">
      <c r="A1358" s="647"/>
      <c r="B1358" s="648"/>
      <c r="C1358" s="649"/>
      <c r="D1358" s="650"/>
      <c r="E1358" s="657"/>
      <c r="F1358" s="652"/>
      <c r="G1358" s="647"/>
      <c r="H1358" s="648"/>
      <c r="I1358" s="649"/>
      <c r="J1358" s="655"/>
      <c r="K1358" s="651"/>
      <c r="L1358" s="658"/>
    </row>
    <row r="1359" spans="1:12" ht="15.75" x14ac:dyDescent="0.25">
      <c r="A1359" s="647"/>
      <c r="B1359" s="648"/>
      <c r="C1359" s="649"/>
      <c r="D1359" s="650"/>
      <c r="E1359" s="651"/>
      <c r="F1359" s="652"/>
      <c r="G1359" s="647"/>
      <c r="H1359" s="648"/>
      <c r="I1359" s="649"/>
      <c r="J1359" s="650"/>
      <c r="K1359" s="651"/>
      <c r="L1359" s="658"/>
    </row>
    <row r="1360" spans="1:12" ht="16.5" thickBot="1" x14ac:dyDescent="0.3">
      <c r="A1360" s="659"/>
      <c r="B1360" s="660"/>
      <c r="C1360" s="661"/>
      <c r="D1360" s="662"/>
      <c r="E1360" s="663"/>
      <c r="F1360" s="664"/>
      <c r="G1360" s="665"/>
      <c r="H1360" s="666"/>
      <c r="I1360" s="667"/>
      <c r="J1360" s="668"/>
      <c r="K1360" s="663"/>
      <c r="L1360" s="669"/>
    </row>
    <row r="1361" spans="1:12" ht="21" x14ac:dyDescent="0.35">
      <c r="A1361" s="769" t="s">
        <v>945</v>
      </c>
      <c r="B1361" s="770"/>
      <c r="C1361" s="770"/>
      <c r="D1361" s="770"/>
      <c r="E1361" s="770"/>
      <c r="F1361" s="770"/>
      <c r="G1361" s="770"/>
      <c r="H1361" s="770"/>
      <c r="I1361" s="770"/>
      <c r="J1361" s="770"/>
      <c r="K1361" s="770"/>
      <c r="L1361" s="771"/>
    </row>
    <row r="1362" spans="1:12" ht="18.75" x14ac:dyDescent="0.3">
      <c r="A1362" s="772" t="s">
        <v>946</v>
      </c>
      <c r="B1362" s="773"/>
      <c r="C1362" s="773"/>
      <c r="D1362" s="773"/>
      <c r="E1362" s="773"/>
      <c r="F1362" s="773"/>
      <c r="G1362" s="773"/>
      <c r="H1362" s="773"/>
      <c r="I1362" s="773"/>
      <c r="J1362" s="773"/>
      <c r="K1362" s="773"/>
      <c r="L1362" s="774"/>
    </row>
    <row r="1363" spans="1:12" ht="24" x14ac:dyDescent="0.4">
      <c r="A1363" s="775" t="s">
        <v>947</v>
      </c>
      <c r="B1363" s="776"/>
      <c r="C1363" s="776"/>
      <c r="D1363" s="776"/>
      <c r="E1363" s="776"/>
      <c r="F1363" s="776"/>
      <c r="G1363" s="776"/>
      <c r="H1363" s="776"/>
      <c r="I1363" s="776"/>
      <c r="J1363" s="776"/>
      <c r="K1363" s="776"/>
      <c r="L1363" s="777"/>
    </row>
    <row r="1364" spans="1:12" ht="24" x14ac:dyDescent="0.4">
      <c r="A1364" s="670" t="s">
        <v>948</v>
      </c>
      <c r="B1364" s="671"/>
      <c r="C1364" s="671"/>
      <c r="D1364" s="672" t="s">
        <v>949</v>
      </c>
      <c r="E1364" s="778" t="s">
        <v>950</v>
      </c>
      <c r="F1364" s="778"/>
      <c r="G1364" s="778"/>
      <c r="H1364" s="778"/>
      <c r="I1364" s="778"/>
      <c r="J1364" s="673" t="s">
        <v>1204</v>
      </c>
      <c r="K1364" s="778"/>
      <c r="L1364" s="779"/>
    </row>
    <row r="1365" spans="1:12" ht="15.75" thickBot="1" x14ac:dyDescent="0.3">
      <c r="A1365" s="674"/>
      <c r="B1365" s="675"/>
      <c r="C1365" s="675"/>
      <c r="D1365" s="676"/>
      <c r="E1365" s="675"/>
      <c r="F1365" s="675"/>
      <c r="G1365" s="675"/>
      <c r="H1365" s="675"/>
      <c r="I1365" s="780"/>
      <c r="J1365" s="780"/>
      <c r="K1365" s="675"/>
      <c r="L1365" s="677"/>
    </row>
    <row r="1366" spans="1:12" ht="16.5" thickBot="1" x14ac:dyDescent="0.3">
      <c r="A1366" s="631" t="s">
        <v>952</v>
      </c>
      <c r="B1366" s="632"/>
      <c r="C1366" s="633"/>
      <c r="D1366" s="634" t="s">
        <v>953</v>
      </c>
      <c r="E1366" s="631" t="s">
        <v>954</v>
      </c>
      <c r="F1366" s="635" t="s">
        <v>955</v>
      </c>
      <c r="G1366" s="631" t="s">
        <v>952</v>
      </c>
      <c r="H1366" s="632"/>
      <c r="I1366" s="633"/>
      <c r="J1366" s="634" t="s">
        <v>953</v>
      </c>
      <c r="K1366" s="631" t="s">
        <v>954</v>
      </c>
      <c r="L1366" s="631" t="s">
        <v>955</v>
      </c>
    </row>
    <row r="1367" spans="1:12" ht="15.75" x14ac:dyDescent="0.25">
      <c r="A1367" s="636"/>
      <c r="B1367" s="637"/>
      <c r="C1367" s="638"/>
      <c r="D1367" s="639"/>
      <c r="E1367" s="640"/>
      <c r="F1367" s="641"/>
      <c r="G1367" s="636"/>
      <c r="H1367" s="642"/>
      <c r="I1367" s="643"/>
      <c r="J1367" s="644"/>
      <c r="K1367" s="645"/>
      <c r="L1367" s="646"/>
    </row>
    <row r="1368" spans="1:12" ht="15.75" x14ac:dyDescent="0.25">
      <c r="A1368" s="647"/>
      <c r="B1368" s="648" t="s">
        <v>459</v>
      </c>
      <c r="C1368" s="649">
        <v>203</v>
      </c>
      <c r="D1368" s="650" t="s">
        <v>1205</v>
      </c>
      <c r="E1368" s="651"/>
      <c r="F1368" s="652"/>
      <c r="G1368" s="647"/>
      <c r="H1368" s="648" t="s">
        <v>459</v>
      </c>
      <c r="I1368" s="649">
        <v>221</v>
      </c>
      <c r="J1368" s="650" t="s">
        <v>1206</v>
      </c>
      <c r="K1368" s="651"/>
      <c r="L1368" s="653"/>
    </row>
    <row r="1369" spans="1:12" ht="15.75" x14ac:dyDescent="0.25">
      <c r="A1369" s="647" t="s">
        <v>958</v>
      </c>
      <c r="B1369" s="654"/>
      <c r="C1369" s="649"/>
      <c r="D1369" s="655" t="s">
        <v>959</v>
      </c>
      <c r="E1369" s="651"/>
      <c r="F1369" s="656">
        <v>0.27430555555555558</v>
      </c>
      <c r="G1369" s="647"/>
      <c r="H1369" s="648"/>
      <c r="I1369" s="649"/>
      <c r="J1369" s="655" t="s">
        <v>960</v>
      </c>
      <c r="K1369" s="651"/>
      <c r="L1369" s="656">
        <v>0.64236111111111116</v>
      </c>
    </row>
    <row r="1370" spans="1:12" ht="15.75" x14ac:dyDescent="0.25">
      <c r="A1370" s="647" t="s">
        <v>961</v>
      </c>
      <c r="B1370" s="654"/>
      <c r="C1370" s="649"/>
      <c r="D1370" s="650" t="s">
        <v>163</v>
      </c>
      <c r="E1370" s="657"/>
      <c r="F1370" s="653">
        <v>0.30208333333333331</v>
      </c>
      <c r="G1370" s="647" t="s">
        <v>961</v>
      </c>
      <c r="H1370" s="654"/>
      <c r="I1370" s="649"/>
      <c r="J1370" s="650" t="s">
        <v>163</v>
      </c>
      <c r="K1370" s="657"/>
      <c r="L1370" s="653">
        <v>0.70694444444444449</v>
      </c>
    </row>
    <row r="1371" spans="1:12" ht="15.75" x14ac:dyDescent="0.25">
      <c r="A1371" s="647"/>
      <c r="B1371" s="648"/>
      <c r="C1371" s="649"/>
      <c r="D1371" s="655" t="s">
        <v>164</v>
      </c>
      <c r="E1371" s="651"/>
      <c r="F1371" s="656">
        <v>0.33333333333333331</v>
      </c>
      <c r="G1371" s="647"/>
      <c r="H1371" s="648"/>
      <c r="I1371" s="649"/>
      <c r="J1371" s="655" t="s">
        <v>164</v>
      </c>
      <c r="K1371" s="651"/>
      <c r="L1371" s="656">
        <v>0.73472222222222228</v>
      </c>
    </row>
    <row r="1372" spans="1:12" ht="15.75" x14ac:dyDescent="0.25">
      <c r="A1372" s="647"/>
      <c r="B1372" s="648"/>
      <c r="C1372" s="649"/>
      <c r="D1372" s="655" t="s">
        <v>166</v>
      </c>
      <c r="E1372" s="651"/>
      <c r="F1372" s="656">
        <v>0.35069444444444442</v>
      </c>
      <c r="G1372" s="647"/>
      <c r="H1372" s="648"/>
      <c r="I1372" s="649"/>
      <c r="J1372" s="655" t="s">
        <v>166</v>
      </c>
      <c r="K1372" s="651"/>
      <c r="L1372" s="656">
        <v>0.74861111111111112</v>
      </c>
    </row>
    <row r="1373" spans="1:12" ht="15.75" x14ac:dyDescent="0.25">
      <c r="A1373" s="647" t="s">
        <v>961</v>
      </c>
      <c r="B1373" s="648"/>
      <c r="C1373" s="649"/>
      <c r="D1373" s="650" t="s">
        <v>160</v>
      </c>
      <c r="E1373" s="651"/>
      <c r="F1373" s="653">
        <v>0.40625</v>
      </c>
      <c r="G1373" s="647" t="s">
        <v>958</v>
      </c>
      <c r="H1373" s="648"/>
      <c r="I1373" s="649"/>
      <c r="J1373" s="650" t="s">
        <v>160</v>
      </c>
      <c r="K1373" s="657">
        <v>0.79305555555555551</v>
      </c>
      <c r="L1373" s="653"/>
    </row>
    <row r="1374" spans="1:12" ht="15.75" x14ac:dyDescent="0.25">
      <c r="A1374" s="647"/>
      <c r="B1374" s="648"/>
      <c r="C1374" s="649"/>
      <c r="D1374" s="655" t="s">
        <v>962</v>
      </c>
      <c r="E1374" s="651"/>
      <c r="F1374" s="656">
        <v>0.41666666666666669</v>
      </c>
      <c r="G1374" s="647"/>
      <c r="H1374" s="648"/>
      <c r="I1374" s="649"/>
      <c r="J1374" s="650" t="s">
        <v>963</v>
      </c>
      <c r="K1374" s="657">
        <v>0.82430555555555551</v>
      </c>
      <c r="L1374" s="652"/>
    </row>
    <row r="1375" spans="1:12" ht="15.75" x14ac:dyDescent="0.25">
      <c r="A1375" s="647"/>
      <c r="B1375" s="648"/>
      <c r="C1375" s="649"/>
      <c r="D1375" s="655" t="s">
        <v>960</v>
      </c>
      <c r="E1375" s="657">
        <v>0.4513888888888889</v>
      </c>
      <c r="F1375" s="656"/>
      <c r="G1375" s="647"/>
      <c r="H1375" s="648" t="s">
        <v>462</v>
      </c>
      <c r="I1375" s="649" t="s">
        <v>459</v>
      </c>
      <c r="J1375" s="650"/>
      <c r="K1375" s="657"/>
      <c r="L1375" s="652"/>
    </row>
    <row r="1376" spans="1:12" ht="15.75" x14ac:dyDescent="0.25">
      <c r="A1376" s="647"/>
      <c r="B1376" s="648" t="s">
        <v>459</v>
      </c>
      <c r="C1376" s="649">
        <v>203</v>
      </c>
      <c r="D1376" s="650" t="s">
        <v>1207</v>
      </c>
      <c r="E1376" s="657"/>
      <c r="F1376" s="653"/>
      <c r="G1376" s="647"/>
      <c r="H1376" s="648"/>
      <c r="I1376" s="649"/>
      <c r="J1376" s="650"/>
      <c r="K1376" s="657"/>
      <c r="L1376" s="652"/>
    </row>
    <row r="1377" spans="1:12" ht="15.75" x14ac:dyDescent="0.25">
      <c r="A1377" s="647"/>
      <c r="B1377" s="648"/>
      <c r="C1377" s="649"/>
      <c r="D1377" s="650"/>
      <c r="E1377" s="657"/>
      <c r="F1377" s="652"/>
      <c r="G1377" s="647"/>
      <c r="H1377" s="648"/>
      <c r="I1377" s="649"/>
      <c r="J1377" s="650"/>
      <c r="K1377" s="651"/>
      <c r="L1377" s="652"/>
    </row>
    <row r="1378" spans="1:12" ht="15.75" x14ac:dyDescent="0.25">
      <c r="A1378" s="647"/>
      <c r="B1378" s="648" t="s">
        <v>459</v>
      </c>
      <c r="C1378" s="649">
        <v>16</v>
      </c>
      <c r="D1378" s="650" t="s">
        <v>1208</v>
      </c>
      <c r="E1378" s="651"/>
      <c r="F1378" s="653"/>
      <c r="G1378" s="647"/>
      <c r="H1378" s="648"/>
      <c r="I1378" s="649"/>
      <c r="J1378" s="650"/>
      <c r="K1378" s="651"/>
      <c r="L1378" s="652"/>
    </row>
    <row r="1379" spans="1:12" ht="15.75" x14ac:dyDescent="0.25">
      <c r="A1379" s="647"/>
      <c r="B1379" s="648"/>
      <c r="C1379" s="649"/>
      <c r="D1379" s="655" t="s">
        <v>960</v>
      </c>
      <c r="E1379" s="651"/>
      <c r="F1379" s="656">
        <v>0.4513888888888889</v>
      </c>
      <c r="G1379" s="647"/>
      <c r="H1379" s="648"/>
      <c r="I1379" s="649"/>
      <c r="J1379" s="650"/>
      <c r="K1379" s="651"/>
      <c r="L1379" s="652"/>
    </row>
    <row r="1380" spans="1:12" ht="15.75" x14ac:dyDescent="0.25">
      <c r="A1380" s="647" t="s">
        <v>961</v>
      </c>
      <c r="B1380" s="654"/>
      <c r="C1380" s="649"/>
      <c r="D1380" s="650" t="s">
        <v>163</v>
      </c>
      <c r="E1380" s="657"/>
      <c r="F1380" s="653">
        <v>0.5</v>
      </c>
      <c r="G1380" s="647"/>
      <c r="H1380" s="648"/>
      <c r="I1380" s="649"/>
      <c r="J1380" s="650"/>
      <c r="K1380" s="651"/>
      <c r="L1380" s="652"/>
    </row>
    <row r="1381" spans="1:12" ht="15.75" x14ac:dyDescent="0.25">
      <c r="A1381" s="647"/>
      <c r="B1381" s="648"/>
      <c r="C1381" s="649"/>
      <c r="D1381" s="655" t="s">
        <v>164</v>
      </c>
      <c r="E1381" s="651"/>
      <c r="F1381" s="656">
        <v>0.53125</v>
      </c>
      <c r="G1381" s="647"/>
      <c r="H1381" s="648"/>
      <c r="I1381" s="649"/>
      <c r="J1381" s="650"/>
      <c r="K1381" s="651"/>
      <c r="L1381" s="652"/>
    </row>
    <row r="1382" spans="1:12" ht="15.75" x14ac:dyDescent="0.25">
      <c r="A1382" s="647"/>
      <c r="B1382" s="648"/>
      <c r="C1382" s="649"/>
      <c r="D1382" s="655" t="s">
        <v>166</v>
      </c>
      <c r="E1382" s="657">
        <v>0.54513888888888884</v>
      </c>
      <c r="F1382" s="656"/>
      <c r="G1382" s="647"/>
      <c r="H1382" s="648"/>
      <c r="I1382" s="649"/>
      <c r="J1382" s="650"/>
      <c r="K1382" s="651"/>
      <c r="L1382" s="652"/>
    </row>
    <row r="1383" spans="1:12" ht="15.75" x14ac:dyDescent="0.25">
      <c r="A1383" s="647"/>
      <c r="B1383" s="648" t="s">
        <v>462</v>
      </c>
      <c r="C1383" s="649" t="s">
        <v>459</v>
      </c>
      <c r="D1383" s="650"/>
      <c r="E1383" s="651"/>
      <c r="F1383" s="653"/>
      <c r="G1383" s="647"/>
      <c r="H1383" s="648"/>
      <c r="I1383" s="649"/>
      <c r="J1383" s="650"/>
      <c r="K1383" s="651"/>
      <c r="L1383" s="652"/>
    </row>
    <row r="1384" spans="1:12" ht="15.75" x14ac:dyDescent="0.25">
      <c r="A1384" s="647"/>
      <c r="B1384" s="648"/>
      <c r="C1384" s="649"/>
      <c r="D1384" s="655"/>
      <c r="E1384" s="651"/>
      <c r="F1384" s="656"/>
      <c r="G1384" s="647"/>
      <c r="H1384" s="648"/>
      <c r="I1384" s="649"/>
      <c r="J1384" s="650"/>
      <c r="K1384" s="651"/>
      <c r="L1384" s="658"/>
    </row>
    <row r="1385" spans="1:12" ht="15.75" x14ac:dyDescent="0.25">
      <c r="A1385" s="647"/>
      <c r="B1385" s="648" t="s">
        <v>459</v>
      </c>
      <c r="C1385" s="649">
        <v>201</v>
      </c>
      <c r="D1385" s="650" t="s">
        <v>1209</v>
      </c>
      <c r="E1385" s="651"/>
      <c r="F1385" s="653"/>
      <c r="G1385" s="647"/>
      <c r="H1385" s="648"/>
      <c r="I1385" s="649"/>
      <c r="J1385" s="655"/>
      <c r="K1385" s="651"/>
      <c r="L1385" s="658"/>
    </row>
    <row r="1386" spans="1:12" ht="15.75" x14ac:dyDescent="0.25">
      <c r="A1386" s="647"/>
      <c r="B1386" s="648"/>
      <c r="C1386" s="649"/>
      <c r="D1386" s="655" t="s">
        <v>166</v>
      </c>
      <c r="E1386" s="651"/>
      <c r="F1386" s="656">
        <v>0.54513888888888884</v>
      </c>
      <c r="G1386" s="647"/>
      <c r="H1386" s="648"/>
      <c r="I1386" s="649"/>
      <c r="J1386" s="650"/>
      <c r="K1386" s="651"/>
      <c r="L1386" s="658"/>
    </row>
    <row r="1387" spans="1:12" ht="15.75" x14ac:dyDescent="0.25">
      <c r="A1387" s="647" t="s">
        <v>961</v>
      </c>
      <c r="B1387" s="648"/>
      <c r="C1387" s="649"/>
      <c r="D1387" s="650" t="s">
        <v>160</v>
      </c>
      <c r="E1387" s="651"/>
      <c r="F1387" s="653">
        <v>0.59930555555555554</v>
      </c>
      <c r="G1387" s="647"/>
      <c r="H1387" s="648"/>
      <c r="I1387" s="649"/>
      <c r="J1387" s="650"/>
      <c r="K1387" s="657"/>
      <c r="L1387" s="652"/>
    </row>
    <row r="1388" spans="1:12" ht="15.75" x14ac:dyDescent="0.25">
      <c r="A1388" s="647"/>
      <c r="B1388" s="648"/>
      <c r="C1388" s="649"/>
      <c r="D1388" s="655" t="s">
        <v>962</v>
      </c>
      <c r="E1388" s="651"/>
      <c r="F1388" s="656">
        <v>0.60972222222222228</v>
      </c>
      <c r="G1388" s="647"/>
      <c r="H1388" s="648"/>
      <c r="I1388" s="649"/>
      <c r="J1388" s="650"/>
      <c r="K1388" s="657"/>
      <c r="L1388" s="652"/>
    </row>
    <row r="1389" spans="1:12" ht="15.75" x14ac:dyDescent="0.25">
      <c r="A1389" s="647"/>
      <c r="B1389" s="648"/>
      <c r="C1389" s="649"/>
      <c r="D1389" s="655" t="s">
        <v>960</v>
      </c>
      <c r="E1389" s="657">
        <v>0.64236111111111116</v>
      </c>
      <c r="F1389" s="656"/>
      <c r="G1389" s="647"/>
      <c r="H1389" s="648"/>
      <c r="I1389" s="649"/>
      <c r="J1389" s="650"/>
      <c r="K1389" s="657"/>
      <c r="L1389" s="652"/>
    </row>
    <row r="1390" spans="1:12" ht="15.75" x14ac:dyDescent="0.25">
      <c r="A1390" s="647"/>
      <c r="B1390" s="648" t="s">
        <v>462</v>
      </c>
      <c r="C1390" s="649" t="s">
        <v>459</v>
      </c>
      <c r="D1390" s="650"/>
      <c r="E1390" s="657"/>
      <c r="F1390" s="653"/>
      <c r="G1390" s="647"/>
      <c r="H1390" s="648"/>
      <c r="I1390" s="649"/>
      <c r="J1390" s="650"/>
      <c r="K1390" s="651"/>
      <c r="L1390" s="652"/>
    </row>
    <row r="1391" spans="1:12" ht="15.75" x14ac:dyDescent="0.25">
      <c r="A1391" s="647"/>
      <c r="B1391" s="648"/>
      <c r="C1391" s="649"/>
      <c r="D1391" s="650"/>
      <c r="E1391" s="657"/>
      <c r="F1391" s="652"/>
      <c r="G1391" s="647"/>
      <c r="H1391" s="648"/>
      <c r="I1391" s="649"/>
      <c r="J1391" s="650"/>
      <c r="K1391" s="651"/>
      <c r="L1391" s="652"/>
    </row>
    <row r="1392" spans="1:12" ht="15.75" x14ac:dyDescent="0.25">
      <c r="A1392" s="647"/>
      <c r="B1392" s="648"/>
      <c r="C1392" s="649"/>
      <c r="D1392" s="650"/>
      <c r="E1392" s="651"/>
      <c r="F1392" s="652"/>
      <c r="G1392" s="647"/>
      <c r="H1392" s="648"/>
      <c r="I1392" s="649"/>
      <c r="J1392" s="650"/>
      <c r="K1392" s="651"/>
      <c r="L1392" s="652"/>
    </row>
    <row r="1393" spans="1:12" ht="15.75" x14ac:dyDescent="0.25">
      <c r="A1393" s="647"/>
      <c r="B1393" s="648"/>
      <c r="C1393" s="649"/>
      <c r="D1393" s="650"/>
      <c r="E1393" s="657"/>
      <c r="F1393" s="653"/>
      <c r="G1393" s="647"/>
      <c r="H1393" s="648"/>
      <c r="I1393" s="649"/>
      <c r="J1393" s="650"/>
      <c r="K1393" s="651"/>
      <c r="L1393" s="652"/>
    </row>
    <row r="1394" spans="1:12" ht="15.75" x14ac:dyDescent="0.25">
      <c r="A1394" s="647"/>
      <c r="B1394" s="648"/>
      <c r="C1394" s="649"/>
      <c r="D1394" s="650"/>
      <c r="E1394" s="657"/>
      <c r="F1394" s="652"/>
      <c r="G1394" s="647"/>
      <c r="H1394" s="648"/>
      <c r="I1394" s="649"/>
      <c r="J1394" s="650"/>
      <c r="K1394" s="651"/>
      <c r="L1394" s="652"/>
    </row>
    <row r="1395" spans="1:12" ht="15.75" x14ac:dyDescent="0.25">
      <c r="A1395" s="647"/>
      <c r="B1395" s="648"/>
      <c r="C1395" s="649"/>
      <c r="D1395" s="650"/>
      <c r="E1395" s="651"/>
      <c r="F1395" s="652"/>
      <c r="G1395" s="647"/>
      <c r="H1395" s="648"/>
      <c r="I1395" s="649"/>
      <c r="J1395" s="650"/>
      <c r="K1395" s="651"/>
      <c r="L1395" s="652"/>
    </row>
    <row r="1396" spans="1:12" ht="15.75" x14ac:dyDescent="0.25">
      <c r="A1396" s="647"/>
      <c r="B1396" s="648"/>
      <c r="C1396" s="649"/>
      <c r="D1396" s="650"/>
      <c r="E1396" s="651"/>
      <c r="F1396" s="652"/>
      <c r="G1396" s="647"/>
      <c r="H1396" s="648"/>
      <c r="I1396" s="649"/>
      <c r="J1396" s="650"/>
      <c r="K1396" s="651"/>
      <c r="L1396" s="652"/>
    </row>
    <row r="1397" spans="1:12" ht="15.75" x14ac:dyDescent="0.25">
      <c r="A1397" s="647"/>
      <c r="B1397" s="648"/>
      <c r="C1397" s="649"/>
      <c r="D1397" s="650"/>
      <c r="E1397" s="657"/>
      <c r="F1397" s="653"/>
      <c r="G1397" s="647"/>
      <c r="H1397" s="648"/>
      <c r="I1397" s="649"/>
      <c r="J1397" s="650"/>
      <c r="K1397" s="651"/>
      <c r="L1397" s="658"/>
    </row>
    <row r="1398" spans="1:12" ht="15.75" x14ac:dyDescent="0.25">
      <c r="A1398" s="647"/>
      <c r="B1398" s="648"/>
      <c r="C1398" s="649"/>
      <c r="D1398" s="650"/>
      <c r="E1398" s="657"/>
      <c r="F1398" s="652"/>
      <c r="G1398" s="647"/>
      <c r="H1398" s="648"/>
      <c r="I1398" s="649"/>
      <c r="J1398" s="655"/>
      <c r="K1398" s="651"/>
      <c r="L1398" s="658"/>
    </row>
    <row r="1399" spans="1:12" ht="15.75" x14ac:dyDescent="0.25">
      <c r="A1399" s="647"/>
      <c r="B1399" s="648"/>
      <c r="C1399" s="649"/>
      <c r="D1399" s="650"/>
      <c r="E1399" s="651"/>
      <c r="F1399" s="652"/>
      <c r="G1399" s="647"/>
      <c r="H1399" s="648"/>
      <c r="I1399" s="649"/>
      <c r="J1399" s="650"/>
      <c r="K1399" s="651"/>
      <c r="L1399" s="658"/>
    </row>
    <row r="1400" spans="1:12" ht="16.5" thickBot="1" x14ac:dyDescent="0.3">
      <c r="A1400" s="659"/>
      <c r="B1400" s="660"/>
      <c r="C1400" s="661"/>
      <c r="D1400" s="662"/>
      <c r="E1400" s="663"/>
      <c r="F1400" s="664"/>
      <c r="G1400" s="665"/>
      <c r="H1400" s="666"/>
      <c r="I1400" s="667"/>
      <c r="J1400" s="668"/>
      <c r="K1400" s="663"/>
      <c r="L1400" s="669"/>
    </row>
    <row r="1401" spans="1:12" ht="21" x14ac:dyDescent="0.35">
      <c r="A1401" s="769" t="s">
        <v>945</v>
      </c>
      <c r="B1401" s="770"/>
      <c r="C1401" s="770"/>
      <c r="D1401" s="770"/>
      <c r="E1401" s="770"/>
      <c r="F1401" s="770"/>
      <c r="G1401" s="770"/>
      <c r="H1401" s="770"/>
      <c r="I1401" s="770"/>
      <c r="J1401" s="770"/>
      <c r="K1401" s="770"/>
      <c r="L1401" s="771"/>
    </row>
    <row r="1402" spans="1:12" ht="18.75" x14ac:dyDescent="0.3">
      <c r="A1402" s="772" t="s">
        <v>946</v>
      </c>
      <c r="B1402" s="773"/>
      <c r="C1402" s="773"/>
      <c r="D1402" s="773"/>
      <c r="E1402" s="773"/>
      <c r="F1402" s="773"/>
      <c r="G1402" s="773"/>
      <c r="H1402" s="773"/>
      <c r="I1402" s="773"/>
      <c r="J1402" s="773"/>
      <c r="K1402" s="773"/>
      <c r="L1402" s="774"/>
    </row>
    <row r="1403" spans="1:12" ht="24" x14ac:dyDescent="0.4">
      <c r="A1403" s="775" t="s">
        <v>947</v>
      </c>
      <c r="B1403" s="776"/>
      <c r="C1403" s="776"/>
      <c r="D1403" s="776"/>
      <c r="E1403" s="776"/>
      <c r="F1403" s="776"/>
      <c r="G1403" s="776"/>
      <c r="H1403" s="776"/>
      <c r="I1403" s="776"/>
      <c r="J1403" s="776"/>
      <c r="K1403" s="776"/>
      <c r="L1403" s="777"/>
    </row>
    <row r="1404" spans="1:12" ht="24" x14ac:dyDescent="0.4">
      <c r="A1404" s="670" t="s">
        <v>948</v>
      </c>
      <c r="B1404" s="671"/>
      <c r="C1404" s="671"/>
      <c r="D1404" s="672" t="s">
        <v>949</v>
      </c>
      <c r="E1404" s="778" t="s">
        <v>950</v>
      </c>
      <c r="F1404" s="778"/>
      <c r="G1404" s="778"/>
      <c r="H1404" s="778"/>
      <c r="I1404" s="778"/>
      <c r="J1404" s="673" t="s">
        <v>1210</v>
      </c>
      <c r="K1404" s="778"/>
      <c r="L1404" s="779"/>
    </row>
    <row r="1405" spans="1:12" ht="15.75" thickBot="1" x14ac:dyDescent="0.3">
      <c r="A1405" s="674"/>
      <c r="B1405" s="675"/>
      <c r="C1405" s="675"/>
      <c r="D1405" s="676"/>
      <c r="E1405" s="675"/>
      <c r="F1405" s="675"/>
      <c r="G1405" s="675"/>
      <c r="H1405" s="675"/>
      <c r="I1405" s="780"/>
      <c r="J1405" s="780"/>
      <c r="K1405" s="675"/>
      <c r="L1405" s="677"/>
    </row>
    <row r="1406" spans="1:12" ht="16.5" thickBot="1" x14ac:dyDescent="0.3">
      <c r="A1406" s="631" t="s">
        <v>952</v>
      </c>
      <c r="B1406" s="632"/>
      <c r="C1406" s="633"/>
      <c r="D1406" s="634" t="s">
        <v>953</v>
      </c>
      <c r="E1406" s="631" t="s">
        <v>954</v>
      </c>
      <c r="F1406" s="635" t="s">
        <v>955</v>
      </c>
      <c r="G1406" s="631" t="s">
        <v>952</v>
      </c>
      <c r="H1406" s="632"/>
      <c r="I1406" s="633"/>
      <c r="J1406" s="634" t="s">
        <v>953</v>
      </c>
      <c r="K1406" s="631" t="s">
        <v>954</v>
      </c>
      <c r="L1406" s="631" t="s">
        <v>955</v>
      </c>
    </row>
    <row r="1407" spans="1:12" ht="15.75" x14ac:dyDescent="0.25">
      <c r="A1407" s="636"/>
      <c r="B1407" s="637"/>
      <c r="C1407" s="638"/>
      <c r="D1407" s="639"/>
      <c r="E1407" s="640"/>
      <c r="F1407" s="641"/>
      <c r="G1407" s="636"/>
      <c r="H1407" s="642"/>
      <c r="I1407" s="643"/>
      <c r="J1407" s="644"/>
      <c r="K1407" s="645"/>
      <c r="L1407" s="646"/>
    </row>
    <row r="1408" spans="1:12" ht="15.75" x14ac:dyDescent="0.25">
      <c r="A1408" s="647"/>
      <c r="B1408" s="648" t="s">
        <v>459</v>
      </c>
      <c r="C1408" s="649">
        <v>204</v>
      </c>
      <c r="D1408" s="650" t="s">
        <v>1211</v>
      </c>
      <c r="E1408" s="651"/>
      <c r="F1408" s="652"/>
      <c r="G1408" s="647"/>
      <c r="H1408" s="648"/>
      <c r="I1408" s="649"/>
      <c r="J1408" s="650"/>
      <c r="K1408" s="651"/>
      <c r="L1408" s="652"/>
    </row>
    <row r="1409" spans="1:12" ht="15.75" x14ac:dyDescent="0.25">
      <c r="A1409" s="647" t="s">
        <v>958</v>
      </c>
      <c r="B1409" s="654"/>
      <c r="C1409" s="649"/>
      <c r="D1409" s="655" t="s">
        <v>959</v>
      </c>
      <c r="E1409" s="651"/>
      <c r="F1409" s="656">
        <v>0.27777777777777779</v>
      </c>
      <c r="G1409" s="647"/>
      <c r="H1409" s="654"/>
      <c r="I1409" s="649"/>
      <c r="J1409" s="655"/>
      <c r="K1409" s="651"/>
      <c r="L1409" s="656"/>
    </row>
    <row r="1410" spans="1:12" ht="15.75" x14ac:dyDescent="0.25">
      <c r="A1410" s="647" t="s">
        <v>165</v>
      </c>
      <c r="B1410" s="648"/>
      <c r="C1410" s="649"/>
      <c r="D1410" s="650" t="s">
        <v>412</v>
      </c>
      <c r="E1410" s="651"/>
      <c r="F1410" s="653">
        <v>0.31944444444444442</v>
      </c>
      <c r="G1410" s="647"/>
      <c r="H1410" s="648"/>
      <c r="I1410" s="649"/>
      <c r="J1410" s="650"/>
      <c r="K1410" s="651"/>
      <c r="L1410" s="653"/>
    </row>
    <row r="1411" spans="1:12" ht="15.75" x14ac:dyDescent="0.25">
      <c r="A1411" s="647"/>
      <c r="B1411" s="648"/>
      <c r="C1411" s="649"/>
      <c r="D1411" s="655"/>
      <c r="E1411" s="651"/>
      <c r="F1411" s="656"/>
      <c r="G1411" s="647"/>
      <c r="H1411" s="648"/>
      <c r="I1411" s="649"/>
      <c r="J1411" s="655"/>
      <c r="K1411" s="651"/>
      <c r="L1411" s="656"/>
    </row>
    <row r="1412" spans="1:12" ht="15.75" x14ac:dyDescent="0.25">
      <c r="A1412" s="647" t="s">
        <v>958</v>
      </c>
      <c r="B1412" s="648"/>
      <c r="C1412" s="649"/>
      <c r="D1412" s="650" t="s">
        <v>1053</v>
      </c>
      <c r="E1412" s="657">
        <v>0.40277777777777779</v>
      </c>
      <c r="F1412" s="656"/>
      <c r="G1412" s="647"/>
      <c r="H1412" s="648"/>
      <c r="I1412" s="649"/>
      <c r="J1412" s="655"/>
      <c r="K1412" s="651"/>
      <c r="L1412" s="656"/>
    </row>
    <row r="1413" spans="1:12" ht="15.75" x14ac:dyDescent="0.25">
      <c r="A1413" s="647"/>
      <c r="B1413" s="648"/>
      <c r="C1413" s="649"/>
      <c r="D1413" s="650" t="s">
        <v>963</v>
      </c>
      <c r="E1413" s="657">
        <v>0.4236111111111111</v>
      </c>
      <c r="F1413" s="653"/>
      <c r="G1413" s="647"/>
      <c r="H1413" s="654"/>
      <c r="I1413" s="649"/>
      <c r="J1413" s="650"/>
      <c r="K1413" s="657"/>
      <c r="L1413" s="653"/>
    </row>
    <row r="1414" spans="1:12" ht="15.75" x14ac:dyDescent="0.25">
      <c r="A1414" s="647"/>
      <c r="B1414" s="648" t="s">
        <v>459</v>
      </c>
      <c r="C1414" s="649">
        <v>204</v>
      </c>
      <c r="D1414" s="650" t="s">
        <v>1212</v>
      </c>
      <c r="E1414" s="651"/>
      <c r="F1414" s="656"/>
      <c r="G1414" s="647"/>
      <c r="H1414" s="648"/>
      <c r="I1414" s="649"/>
      <c r="J1414" s="655"/>
      <c r="K1414" s="651"/>
      <c r="L1414" s="656"/>
    </row>
    <row r="1415" spans="1:12" ht="15.75" x14ac:dyDescent="0.25">
      <c r="A1415" s="647"/>
      <c r="B1415" s="648"/>
      <c r="C1415" s="649"/>
      <c r="D1415" s="655"/>
      <c r="E1415" s="651"/>
      <c r="F1415" s="653"/>
      <c r="G1415" s="647"/>
      <c r="H1415" s="648"/>
      <c r="I1415" s="649"/>
      <c r="J1415" s="655"/>
      <c r="K1415" s="657"/>
      <c r="L1415" s="656"/>
    </row>
    <row r="1416" spans="1:12" ht="15.75" x14ac:dyDescent="0.25">
      <c r="A1416" s="647"/>
      <c r="B1416" s="648" t="s">
        <v>459</v>
      </c>
      <c r="C1416" s="649">
        <v>57</v>
      </c>
      <c r="D1416" s="650" t="s">
        <v>1213</v>
      </c>
      <c r="E1416" s="651"/>
      <c r="F1416" s="652"/>
      <c r="G1416" s="647"/>
      <c r="H1416" s="648"/>
      <c r="I1416" s="649"/>
      <c r="J1416" s="650"/>
      <c r="K1416" s="651"/>
      <c r="L1416" s="653"/>
    </row>
    <row r="1417" spans="1:12" ht="15.75" x14ac:dyDescent="0.25">
      <c r="A1417" s="647" t="s">
        <v>958</v>
      </c>
      <c r="B1417" s="654"/>
      <c r="C1417" s="649"/>
      <c r="D1417" s="655" t="s">
        <v>959</v>
      </c>
      <c r="E1417" s="651"/>
      <c r="F1417" s="656">
        <v>0.65972222222222221</v>
      </c>
      <c r="G1417" s="647"/>
      <c r="H1417" s="648"/>
      <c r="I1417" s="649"/>
      <c r="J1417" s="655"/>
      <c r="K1417" s="651"/>
      <c r="L1417" s="656"/>
    </row>
    <row r="1418" spans="1:12" ht="15.75" x14ac:dyDescent="0.25">
      <c r="A1418" s="647" t="s">
        <v>961</v>
      </c>
      <c r="B1418" s="648"/>
      <c r="C1418" s="649"/>
      <c r="D1418" s="650" t="s">
        <v>160</v>
      </c>
      <c r="E1418" s="651"/>
      <c r="F1418" s="653">
        <v>0.70833333333333337</v>
      </c>
      <c r="G1418" s="647"/>
      <c r="H1418" s="648"/>
      <c r="I1418" s="649"/>
      <c r="J1418" s="650"/>
      <c r="K1418" s="651"/>
      <c r="L1418" s="652"/>
    </row>
    <row r="1419" spans="1:12" ht="15.75" x14ac:dyDescent="0.25">
      <c r="A1419" s="647"/>
      <c r="B1419" s="648"/>
      <c r="C1419" s="649"/>
      <c r="D1419" s="655" t="s">
        <v>962</v>
      </c>
      <c r="E1419" s="651"/>
      <c r="F1419" s="656">
        <v>0.71875</v>
      </c>
      <c r="G1419" s="647"/>
      <c r="H1419" s="654"/>
      <c r="I1419" s="649"/>
      <c r="J1419" s="655"/>
      <c r="K1419" s="651"/>
      <c r="L1419" s="656"/>
    </row>
    <row r="1420" spans="1:12" ht="15.75" x14ac:dyDescent="0.25">
      <c r="A1420" s="647"/>
      <c r="B1420" s="648"/>
      <c r="C1420" s="649"/>
      <c r="D1420" s="655" t="s">
        <v>960</v>
      </c>
      <c r="E1420" s="651"/>
      <c r="F1420" s="656">
        <v>0.75</v>
      </c>
      <c r="G1420" s="647"/>
      <c r="H1420" s="648"/>
      <c r="I1420" s="649"/>
      <c r="J1420" s="650"/>
      <c r="K1420" s="651"/>
      <c r="L1420" s="653"/>
    </row>
    <row r="1421" spans="1:12" ht="15.75" x14ac:dyDescent="0.25">
      <c r="A1421" s="647" t="s">
        <v>961</v>
      </c>
      <c r="B1421" s="654"/>
      <c r="C1421" s="649"/>
      <c r="D1421" s="650" t="s">
        <v>163</v>
      </c>
      <c r="E1421" s="657"/>
      <c r="F1421" s="653">
        <v>0.80902777777777779</v>
      </c>
      <c r="G1421" s="647"/>
      <c r="H1421" s="648"/>
      <c r="I1421" s="649"/>
      <c r="J1421" s="655"/>
      <c r="K1421" s="651"/>
      <c r="L1421" s="656"/>
    </row>
    <row r="1422" spans="1:12" ht="15.75" x14ac:dyDescent="0.25">
      <c r="A1422" s="647"/>
      <c r="B1422" s="648"/>
      <c r="C1422" s="649"/>
      <c r="D1422" s="655" t="s">
        <v>164</v>
      </c>
      <c r="E1422" s="651"/>
      <c r="F1422" s="656">
        <v>0.83333333333333337</v>
      </c>
      <c r="G1422" s="647"/>
      <c r="H1422" s="648"/>
      <c r="I1422" s="649"/>
      <c r="J1422" s="655"/>
      <c r="K1422" s="651"/>
      <c r="L1422" s="656"/>
    </row>
    <row r="1423" spans="1:12" ht="15.75" x14ac:dyDescent="0.25">
      <c r="A1423" s="647"/>
      <c r="B1423" s="648"/>
      <c r="C1423" s="649"/>
      <c r="D1423" s="655" t="s">
        <v>166</v>
      </c>
      <c r="E1423" s="657">
        <v>0.84722222222222221</v>
      </c>
      <c r="F1423" s="656"/>
      <c r="G1423" s="647"/>
      <c r="H1423" s="654"/>
      <c r="I1423" s="649"/>
      <c r="J1423" s="650"/>
      <c r="K1423" s="657"/>
      <c r="L1423" s="653"/>
    </row>
    <row r="1424" spans="1:12" ht="15.75" x14ac:dyDescent="0.25">
      <c r="A1424" s="647"/>
      <c r="B1424" s="648" t="s">
        <v>459</v>
      </c>
      <c r="C1424" s="649">
        <v>57</v>
      </c>
      <c r="D1424" s="650" t="s">
        <v>1214</v>
      </c>
      <c r="E1424" s="651"/>
      <c r="F1424" s="653"/>
      <c r="G1424" s="647"/>
      <c r="H1424" s="648"/>
      <c r="I1424" s="649"/>
      <c r="J1424" s="650"/>
      <c r="K1424" s="657"/>
      <c r="L1424" s="653"/>
    </row>
    <row r="1425" spans="1:12" ht="15.75" x14ac:dyDescent="0.25">
      <c r="A1425" s="647"/>
      <c r="B1425" s="648"/>
      <c r="C1425" s="649"/>
      <c r="D1425" s="650"/>
      <c r="E1425" s="651"/>
      <c r="F1425" s="653"/>
      <c r="G1425" s="647"/>
      <c r="H1425" s="648"/>
      <c r="I1425" s="649"/>
      <c r="J1425" s="650"/>
      <c r="K1425" s="657"/>
      <c r="L1425" s="656"/>
    </row>
    <row r="1426" spans="1:12" ht="15.75" x14ac:dyDescent="0.25">
      <c r="A1426" s="647"/>
      <c r="B1426" s="648" t="s">
        <v>459</v>
      </c>
      <c r="C1426" s="649">
        <v>49</v>
      </c>
      <c r="D1426" s="650" t="s">
        <v>1215</v>
      </c>
      <c r="E1426" s="651"/>
      <c r="F1426" s="652"/>
      <c r="G1426" s="647"/>
      <c r="H1426" s="648"/>
      <c r="I1426" s="649"/>
      <c r="J1426" s="650"/>
      <c r="K1426" s="651"/>
      <c r="L1426" s="658"/>
    </row>
    <row r="1427" spans="1:12" ht="15.75" x14ac:dyDescent="0.25">
      <c r="A1427" s="647"/>
      <c r="B1427" s="654"/>
      <c r="C1427" s="649"/>
      <c r="D1427" s="655" t="s">
        <v>166</v>
      </c>
      <c r="E1427" s="651"/>
      <c r="F1427" s="656">
        <v>0.84722222222222221</v>
      </c>
      <c r="G1427" s="647"/>
      <c r="H1427" s="648"/>
      <c r="I1427" s="649"/>
      <c r="J1427" s="650"/>
      <c r="K1427" s="651"/>
      <c r="L1427" s="658"/>
    </row>
    <row r="1428" spans="1:12" ht="15.75" x14ac:dyDescent="0.25">
      <c r="A1428" s="647" t="s">
        <v>961</v>
      </c>
      <c r="B1428" s="648"/>
      <c r="C1428" s="649"/>
      <c r="D1428" s="650" t="s">
        <v>160</v>
      </c>
      <c r="E1428" s="651"/>
      <c r="F1428" s="653">
        <v>0.88888888888888884</v>
      </c>
      <c r="G1428" s="647"/>
      <c r="H1428" s="648"/>
      <c r="I1428" s="649"/>
      <c r="J1428" s="655"/>
      <c r="K1428" s="651"/>
      <c r="L1428" s="658"/>
    </row>
    <row r="1429" spans="1:12" ht="15.75" x14ac:dyDescent="0.25">
      <c r="A1429" s="647"/>
      <c r="B1429" s="648"/>
      <c r="C1429" s="649"/>
      <c r="D1429" s="655" t="s">
        <v>962</v>
      </c>
      <c r="E1429" s="651"/>
      <c r="F1429" s="656">
        <v>0.89583333333333337</v>
      </c>
      <c r="G1429" s="647"/>
      <c r="H1429" s="648"/>
      <c r="I1429" s="649"/>
      <c r="J1429" s="650"/>
      <c r="K1429" s="651"/>
      <c r="L1429" s="658"/>
    </row>
    <row r="1430" spans="1:12" ht="15.75" x14ac:dyDescent="0.25">
      <c r="A1430" s="647"/>
      <c r="B1430" s="648"/>
      <c r="C1430" s="649"/>
      <c r="D1430" s="655" t="s">
        <v>960</v>
      </c>
      <c r="E1430" s="651"/>
      <c r="F1430" s="656">
        <v>0.92361111111111116</v>
      </c>
      <c r="G1430" s="647"/>
      <c r="H1430" s="654"/>
      <c r="I1430" s="649"/>
      <c r="J1430" s="650"/>
      <c r="K1430" s="657"/>
      <c r="L1430" s="653"/>
    </row>
    <row r="1431" spans="1:12" ht="15.75" x14ac:dyDescent="0.25">
      <c r="A1431" s="647" t="s">
        <v>958</v>
      </c>
      <c r="B1431" s="654"/>
      <c r="C1431" s="649"/>
      <c r="D1431" s="650" t="s">
        <v>163</v>
      </c>
      <c r="E1431" s="657">
        <v>0.95972222222222225</v>
      </c>
      <c r="F1431" s="653"/>
      <c r="G1431" s="647"/>
      <c r="H1431" s="648"/>
      <c r="I1431" s="649"/>
      <c r="J1431" s="655"/>
      <c r="K1431" s="651"/>
      <c r="L1431" s="656"/>
    </row>
    <row r="1432" spans="1:12" ht="15.75" x14ac:dyDescent="0.25">
      <c r="A1432" s="647"/>
      <c r="B1432" s="648"/>
      <c r="C1432" s="649"/>
      <c r="D1432" s="650" t="s">
        <v>963</v>
      </c>
      <c r="E1432" s="657">
        <v>0.98055555555555551</v>
      </c>
      <c r="F1432" s="656"/>
      <c r="G1432" s="647"/>
      <c r="H1432" s="648"/>
      <c r="I1432" s="649"/>
      <c r="J1432" s="655"/>
      <c r="K1432" s="651"/>
      <c r="L1432" s="656"/>
    </row>
    <row r="1433" spans="1:12" ht="15.75" x14ac:dyDescent="0.25">
      <c r="A1433" s="647"/>
      <c r="B1433" s="648" t="s">
        <v>462</v>
      </c>
      <c r="C1433" s="649" t="s">
        <v>459</v>
      </c>
      <c r="D1433" s="650"/>
      <c r="E1433" s="657"/>
      <c r="F1433" s="656"/>
      <c r="G1433" s="647"/>
      <c r="H1433" s="648"/>
      <c r="I1433" s="649"/>
      <c r="J1433" s="650"/>
      <c r="K1433" s="657"/>
      <c r="L1433" s="653"/>
    </row>
    <row r="1434" spans="1:12" ht="15.75" x14ac:dyDescent="0.25">
      <c r="A1434" s="647"/>
      <c r="B1434" s="648"/>
      <c r="C1434" s="649"/>
      <c r="D1434" s="650"/>
      <c r="E1434" s="657"/>
      <c r="F1434" s="653"/>
      <c r="G1434" s="647"/>
      <c r="H1434" s="648"/>
      <c r="I1434" s="649"/>
      <c r="J1434" s="650"/>
      <c r="K1434" s="657"/>
      <c r="L1434" s="653"/>
    </row>
    <row r="1435" spans="1:12" ht="15.75" x14ac:dyDescent="0.25">
      <c r="A1435" s="647"/>
      <c r="B1435" s="648"/>
      <c r="C1435" s="649"/>
      <c r="D1435" s="650"/>
      <c r="E1435" s="657"/>
      <c r="F1435" s="652"/>
      <c r="G1435" s="647"/>
      <c r="H1435" s="648"/>
      <c r="I1435" s="649"/>
      <c r="J1435" s="650"/>
      <c r="K1435" s="657"/>
      <c r="L1435" s="656"/>
    </row>
    <row r="1436" spans="1:12" ht="15.75" x14ac:dyDescent="0.25">
      <c r="A1436" s="647"/>
      <c r="B1436" s="648"/>
      <c r="C1436" s="649"/>
      <c r="D1436" s="650"/>
      <c r="E1436" s="651"/>
      <c r="F1436" s="652"/>
      <c r="G1436" s="647"/>
      <c r="H1436" s="648"/>
      <c r="I1436" s="649"/>
      <c r="J1436" s="650"/>
      <c r="K1436" s="651"/>
      <c r="L1436" s="658"/>
    </row>
    <row r="1437" spans="1:12" ht="15.75" x14ac:dyDescent="0.25">
      <c r="A1437" s="647"/>
      <c r="B1437" s="648"/>
      <c r="C1437" s="649"/>
      <c r="D1437" s="650"/>
      <c r="E1437" s="657"/>
      <c r="F1437" s="653"/>
      <c r="G1437" s="647"/>
      <c r="H1437" s="648"/>
      <c r="I1437" s="649"/>
      <c r="J1437" s="650"/>
      <c r="K1437" s="651"/>
      <c r="L1437" s="658"/>
    </row>
    <row r="1438" spans="1:12" ht="15.75" x14ac:dyDescent="0.25">
      <c r="A1438" s="647"/>
      <c r="B1438" s="648"/>
      <c r="C1438" s="649"/>
      <c r="D1438" s="650"/>
      <c r="E1438" s="657"/>
      <c r="F1438" s="652"/>
      <c r="G1438" s="647"/>
      <c r="H1438" s="648"/>
      <c r="I1438" s="649"/>
      <c r="J1438" s="655"/>
      <c r="K1438" s="651"/>
      <c r="L1438" s="658"/>
    </row>
    <row r="1439" spans="1:12" ht="15.75" x14ac:dyDescent="0.25">
      <c r="A1439" s="647"/>
      <c r="B1439" s="648"/>
      <c r="C1439" s="649"/>
      <c r="D1439" s="650"/>
      <c r="E1439" s="651"/>
      <c r="F1439" s="652"/>
      <c r="G1439" s="647"/>
      <c r="H1439" s="648"/>
      <c r="I1439" s="649"/>
      <c r="J1439" s="650"/>
      <c r="K1439" s="651"/>
      <c r="L1439" s="658"/>
    </row>
    <row r="1440" spans="1:12" ht="16.5" thickBot="1" x14ac:dyDescent="0.3">
      <c r="A1440" s="659"/>
      <c r="B1440" s="660"/>
      <c r="C1440" s="661"/>
      <c r="D1440" s="662"/>
      <c r="E1440" s="663"/>
      <c r="F1440" s="664"/>
      <c r="G1440" s="665"/>
      <c r="H1440" s="666"/>
      <c r="I1440" s="667"/>
      <c r="J1440" s="668"/>
      <c r="K1440" s="663"/>
      <c r="L1440" s="669"/>
    </row>
    <row r="1441" spans="1:12" ht="21" x14ac:dyDescent="0.35">
      <c r="A1441" s="769" t="s">
        <v>945</v>
      </c>
      <c r="B1441" s="770"/>
      <c r="C1441" s="770"/>
      <c r="D1441" s="770"/>
      <c r="E1441" s="770"/>
      <c r="F1441" s="770"/>
      <c r="G1441" s="770"/>
      <c r="H1441" s="770"/>
      <c r="I1441" s="770"/>
      <c r="J1441" s="770"/>
      <c r="K1441" s="770"/>
      <c r="L1441" s="771"/>
    </row>
    <row r="1442" spans="1:12" ht="18.75" x14ac:dyDescent="0.3">
      <c r="A1442" s="772" t="s">
        <v>946</v>
      </c>
      <c r="B1442" s="773"/>
      <c r="C1442" s="773"/>
      <c r="D1442" s="773"/>
      <c r="E1442" s="773"/>
      <c r="F1442" s="773"/>
      <c r="G1442" s="773"/>
      <c r="H1442" s="773"/>
      <c r="I1442" s="773"/>
      <c r="J1442" s="773"/>
      <c r="K1442" s="773"/>
      <c r="L1442" s="774"/>
    </row>
    <row r="1443" spans="1:12" ht="24" x14ac:dyDescent="0.4">
      <c r="A1443" s="775" t="s">
        <v>947</v>
      </c>
      <c r="B1443" s="776"/>
      <c r="C1443" s="776"/>
      <c r="D1443" s="776"/>
      <c r="E1443" s="776"/>
      <c r="F1443" s="776"/>
      <c r="G1443" s="776"/>
      <c r="H1443" s="776"/>
      <c r="I1443" s="776"/>
      <c r="J1443" s="776"/>
      <c r="K1443" s="776"/>
      <c r="L1443" s="777"/>
    </row>
    <row r="1444" spans="1:12" ht="24" x14ac:dyDescent="0.4">
      <c r="A1444" s="670" t="s">
        <v>948</v>
      </c>
      <c r="B1444" s="671"/>
      <c r="C1444" s="671"/>
      <c r="D1444" s="672" t="s">
        <v>949</v>
      </c>
      <c r="E1444" s="778" t="s">
        <v>950</v>
      </c>
      <c r="F1444" s="778"/>
      <c r="G1444" s="778"/>
      <c r="H1444" s="778"/>
      <c r="I1444" s="778"/>
      <c r="J1444" s="673" t="s">
        <v>1216</v>
      </c>
      <c r="K1444" s="778"/>
      <c r="L1444" s="779"/>
    </row>
    <row r="1445" spans="1:12" ht="15.75" thickBot="1" x14ac:dyDescent="0.3">
      <c r="A1445" s="674"/>
      <c r="B1445" s="675"/>
      <c r="C1445" s="675"/>
      <c r="D1445" s="676"/>
      <c r="E1445" s="675"/>
      <c r="F1445" s="675"/>
      <c r="G1445" s="675"/>
      <c r="H1445" s="675"/>
      <c r="I1445" s="780"/>
      <c r="J1445" s="780"/>
      <c r="K1445" s="675"/>
      <c r="L1445" s="677"/>
    </row>
    <row r="1446" spans="1:12" ht="16.5" thickBot="1" x14ac:dyDescent="0.3">
      <c r="A1446" s="631" t="s">
        <v>952</v>
      </c>
      <c r="B1446" s="632"/>
      <c r="C1446" s="633"/>
      <c r="D1446" s="634" t="s">
        <v>953</v>
      </c>
      <c r="E1446" s="631" t="s">
        <v>954</v>
      </c>
      <c r="F1446" s="635" t="s">
        <v>955</v>
      </c>
      <c r="G1446" s="631" t="s">
        <v>952</v>
      </c>
      <c r="H1446" s="632"/>
      <c r="I1446" s="633"/>
      <c r="J1446" s="634" t="s">
        <v>953</v>
      </c>
      <c r="K1446" s="631" t="s">
        <v>954</v>
      </c>
      <c r="L1446" s="631" t="s">
        <v>955</v>
      </c>
    </row>
    <row r="1447" spans="1:12" ht="15.75" x14ac:dyDescent="0.25">
      <c r="A1447" s="636"/>
      <c r="B1447" s="637"/>
      <c r="C1447" s="638"/>
      <c r="D1447" s="639"/>
      <c r="E1447" s="640"/>
      <c r="F1447" s="641"/>
      <c r="G1447" s="636"/>
      <c r="H1447" s="642"/>
      <c r="I1447" s="643"/>
      <c r="J1447" s="644"/>
      <c r="K1447" s="645"/>
      <c r="L1447" s="646"/>
    </row>
    <row r="1448" spans="1:12" ht="15.75" x14ac:dyDescent="0.25">
      <c r="A1448" s="647"/>
      <c r="B1448" s="648" t="s">
        <v>459</v>
      </c>
      <c r="C1448" s="649">
        <v>205</v>
      </c>
      <c r="D1448" s="650" t="s">
        <v>1217</v>
      </c>
      <c r="E1448" s="651"/>
      <c r="F1448" s="652"/>
      <c r="G1448" s="647"/>
      <c r="H1448" s="648" t="s">
        <v>459</v>
      </c>
      <c r="I1448" s="649">
        <v>43</v>
      </c>
      <c r="J1448" s="650" t="s">
        <v>1218</v>
      </c>
      <c r="K1448" s="651"/>
      <c r="L1448" s="653"/>
    </row>
    <row r="1449" spans="1:12" ht="15.75" x14ac:dyDescent="0.25">
      <c r="A1449" s="647" t="s">
        <v>958</v>
      </c>
      <c r="B1449" s="654"/>
      <c r="C1449" s="649"/>
      <c r="D1449" s="655" t="s">
        <v>959</v>
      </c>
      <c r="E1449" s="651"/>
      <c r="F1449" s="656">
        <v>0.27986111111111112</v>
      </c>
      <c r="G1449" s="647"/>
      <c r="H1449" s="648"/>
      <c r="I1449" s="649"/>
      <c r="J1449" s="655" t="s">
        <v>166</v>
      </c>
      <c r="K1449" s="651"/>
      <c r="L1449" s="656">
        <v>0.75347222222222221</v>
      </c>
    </row>
    <row r="1450" spans="1:12" ht="15.75" x14ac:dyDescent="0.25">
      <c r="A1450" s="647" t="s">
        <v>961</v>
      </c>
      <c r="B1450" s="654"/>
      <c r="C1450" s="649"/>
      <c r="D1450" s="650" t="s">
        <v>163</v>
      </c>
      <c r="E1450" s="657"/>
      <c r="F1450" s="653">
        <v>0.30763888888888885</v>
      </c>
      <c r="G1450" s="647" t="s">
        <v>961</v>
      </c>
      <c r="H1450" s="648"/>
      <c r="I1450" s="649"/>
      <c r="J1450" s="650" t="s">
        <v>160</v>
      </c>
      <c r="K1450" s="651"/>
      <c r="L1450" s="653">
        <v>0.79861111111111116</v>
      </c>
    </row>
    <row r="1451" spans="1:12" ht="15.75" x14ac:dyDescent="0.25">
      <c r="A1451" s="647"/>
      <c r="B1451" s="648"/>
      <c r="C1451" s="649"/>
      <c r="D1451" s="655" t="s">
        <v>164</v>
      </c>
      <c r="E1451" s="651"/>
      <c r="F1451" s="656">
        <v>0.33888888888888885</v>
      </c>
      <c r="G1451" s="647"/>
      <c r="H1451" s="648"/>
      <c r="I1451" s="649"/>
      <c r="J1451" s="655" t="s">
        <v>962</v>
      </c>
      <c r="K1451" s="651"/>
      <c r="L1451" s="656">
        <v>0.80555555555555558</v>
      </c>
    </row>
    <row r="1452" spans="1:12" ht="15.75" x14ac:dyDescent="0.25">
      <c r="A1452" s="647"/>
      <c r="B1452" s="648"/>
      <c r="C1452" s="649"/>
      <c r="D1452" s="655" t="s">
        <v>166</v>
      </c>
      <c r="E1452" s="651"/>
      <c r="F1452" s="656">
        <v>0.35625000000000001</v>
      </c>
      <c r="G1452" s="647"/>
      <c r="H1452" s="648"/>
      <c r="I1452" s="649"/>
      <c r="J1452" s="655" t="s">
        <v>960</v>
      </c>
      <c r="K1452" s="651"/>
      <c r="L1452" s="656">
        <v>0.83333333333333337</v>
      </c>
    </row>
    <row r="1453" spans="1:12" ht="15.75" x14ac:dyDescent="0.25">
      <c r="A1453" s="647" t="s">
        <v>961</v>
      </c>
      <c r="B1453" s="648"/>
      <c r="C1453" s="649"/>
      <c r="D1453" s="650" t="s">
        <v>160</v>
      </c>
      <c r="E1453" s="651"/>
      <c r="F1453" s="653">
        <v>0.41319444444444442</v>
      </c>
      <c r="G1453" s="647" t="s">
        <v>961</v>
      </c>
      <c r="H1453" s="654"/>
      <c r="I1453" s="649"/>
      <c r="J1453" s="650" t="s">
        <v>163</v>
      </c>
      <c r="K1453" s="657"/>
      <c r="L1453" s="653">
        <v>0.88194444444444364</v>
      </c>
    </row>
    <row r="1454" spans="1:12" ht="15.75" x14ac:dyDescent="0.25">
      <c r="A1454" s="647"/>
      <c r="B1454" s="648"/>
      <c r="C1454" s="649"/>
      <c r="D1454" s="655" t="s">
        <v>962</v>
      </c>
      <c r="E1454" s="651"/>
      <c r="F1454" s="656">
        <v>0.4236111111111111</v>
      </c>
      <c r="G1454" s="647"/>
      <c r="H1454" s="648"/>
      <c r="I1454" s="649"/>
      <c r="J1454" s="655" t="s">
        <v>164</v>
      </c>
      <c r="K1454" s="651"/>
      <c r="L1454" s="656">
        <v>0.90277777777777701</v>
      </c>
    </row>
    <row r="1455" spans="1:12" ht="15.75" x14ac:dyDescent="0.25">
      <c r="A1455" s="647"/>
      <c r="B1455" s="648"/>
      <c r="C1455" s="649"/>
      <c r="D1455" s="655" t="s">
        <v>960</v>
      </c>
      <c r="E1455" s="657">
        <v>0.45833333333333331</v>
      </c>
      <c r="F1455" s="656"/>
      <c r="G1455" s="647"/>
      <c r="H1455" s="648"/>
      <c r="I1455" s="649"/>
      <c r="J1455" s="655" t="s">
        <v>166</v>
      </c>
      <c r="K1455" s="657">
        <v>0.91319444444444442</v>
      </c>
      <c r="L1455" s="656"/>
    </row>
    <row r="1456" spans="1:12" ht="15.75" x14ac:dyDescent="0.25">
      <c r="A1456" s="647"/>
      <c r="B1456" s="648" t="s">
        <v>459</v>
      </c>
      <c r="C1456" s="649">
        <v>205</v>
      </c>
      <c r="D1456" s="650" t="s">
        <v>1219</v>
      </c>
      <c r="E1456" s="657"/>
      <c r="F1456" s="653"/>
      <c r="G1456" s="647"/>
      <c r="H1456" s="648" t="s">
        <v>462</v>
      </c>
      <c r="I1456" s="649" t="s">
        <v>459</v>
      </c>
      <c r="J1456" s="650"/>
      <c r="K1456" s="651"/>
      <c r="L1456" s="653"/>
    </row>
    <row r="1457" spans="1:12" ht="15.75" x14ac:dyDescent="0.25">
      <c r="A1457" s="647"/>
      <c r="B1457" s="648"/>
      <c r="C1457" s="649"/>
      <c r="D1457" s="650"/>
      <c r="E1457" s="657"/>
      <c r="F1457" s="652"/>
      <c r="G1457" s="647"/>
      <c r="H1457" s="648"/>
      <c r="I1457" s="649"/>
      <c r="J1457" s="650"/>
      <c r="K1457" s="651"/>
      <c r="L1457" s="652"/>
    </row>
    <row r="1458" spans="1:12" ht="15.75" x14ac:dyDescent="0.25">
      <c r="A1458" s="647"/>
      <c r="B1458" s="648" t="s">
        <v>459</v>
      </c>
      <c r="C1458" s="649">
        <v>18</v>
      </c>
      <c r="D1458" s="650" t="s">
        <v>1220</v>
      </c>
      <c r="E1458" s="651"/>
      <c r="F1458" s="653"/>
      <c r="G1458" s="647"/>
      <c r="H1458" s="648" t="s">
        <v>459</v>
      </c>
      <c r="I1458" s="649">
        <v>60</v>
      </c>
      <c r="J1458" s="650" t="s">
        <v>1221</v>
      </c>
      <c r="K1458" s="651"/>
      <c r="L1458" s="653"/>
    </row>
    <row r="1459" spans="1:12" ht="15.75" x14ac:dyDescent="0.25">
      <c r="A1459" s="647"/>
      <c r="B1459" s="648"/>
      <c r="C1459" s="649"/>
      <c r="D1459" s="655" t="s">
        <v>960</v>
      </c>
      <c r="E1459" s="651"/>
      <c r="F1459" s="656">
        <v>0.45833333333333331</v>
      </c>
      <c r="G1459" s="647"/>
      <c r="H1459" s="648"/>
      <c r="I1459" s="649"/>
      <c r="J1459" s="655" t="s">
        <v>166</v>
      </c>
      <c r="K1459" s="651"/>
      <c r="L1459" s="656">
        <v>0.91319444444444442</v>
      </c>
    </row>
    <row r="1460" spans="1:12" ht="15.75" x14ac:dyDescent="0.25">
      <c r="A1460" s="647" t="s">
        <v>961</v>
      </c>
      <c r="B1460" s="654"/>
      <c r="C1460" s="649"/>
      <c r="D1460" s="650" t="s">
        <v>163</v>
      </c>
      <c r="E1460" s="657"/>
      <c r="F1460" s="653">
        <v>0.50694444444444442</v>
      </c>
      <c r="G1460" s="647" t="s">
        <v>961</v>
      </c>
      <c r="H1460" s="648"/>
      <c r="I1460" s="649"/>
      <c r="J1460" s="650" t="s">
        <v>160</v>
      </c>
      <c r="K1460" s="651"/>
      <c r="L1460" s="653">
        <v>0.94444444444444442</v>
      </c>
    </row>
    <row r="1461" spans="1:12" ht="15.75" x14ac:dyDescent="0.25">
      <c r="A1461" s="647"/>
      <c r="B1461" s="648"/>
      <c r="C1461" s="649"/>
      <c r="D1461" s="655" t="s">
        <v>164</v>
      </c>
      <c r="E1461" s="651"/>
      <c r="F1461" s="656">
        <v>0.53819444444444442</v>
      </c>
      <c r="G1461" s="647"/>
      <c r="H1461" s="648"/>
      <c r="I1461" s="649"/>
      <c r="J1461" s="655" t="s">
        <v>962</v>
      </c>
      <c r="K1461" s="651"/>
      <c r="L1461" s="656">
        <v>0.95138888888888884</v>
      </c>
    </row>
    <row r="1462" spans="1:12" ht="15.75" x14ac:dyDescent="0.25">
      <c r="A1462" s="647"/>
      <c r="B1462" s="648"/>
      <c r="C1462" s="649"/>
      <c r="D1462" s="655" t="s">
        <v>166</v>
      </c>
      <c r="E1462" s="657">
        <v>0.55208333333333337</v>
      </c>
      <c r="F1462" s="656"/>
      <c r="G1462" s="647"/>
      <c r="H1462" s="648"/>
      <c r="I1462" s="649"/>
      <c r="J1462" s="655" t="s">
        <v>960</v>
      </c>
      <c r="K1462" s="651"/>
      <c r="L1462" s="656">
        <v>0.97916666666666663</v>
      </c>
    </row>
    <row r="1463" spans="1:12" ht="15.75" x14ac:dyDescent="0.25">
      <c r="A1463" s="647"/>
      <c r="B1463" s="648" t="s">
        <v>462</v>
      </c>
      <c r="C1463" s="649" t="s">
        <v>459</v>
      </c>
      <c r="D1463" s="650"/>
      <c r="E1463" s="651"/>
      <c r="F1463" s="653"/>
      <c r="G1463" s="647" t="s">
        <v>958</v>
      </c>
      <c r="H1463" s="654"/>
      <c r="I1463" s="649"/>
      <c r="J1463" s="650" t="s">
        <v>163</v>
      </c>
      <c r="K1463" s="657">
        <v>1.0152777777777777</v>
      </c>
      <c r="L1463" s="653"/>
    </row>
    <row r="1464" spans="1:12" ht="15.75" x14ac:dyDescent="0.25">
      <c r="A1464" s="647"/>
      <c r="B1464" s="648"/>
      <c r="C1464" s="649"/>
      <c r="D1464" s="655"/>
      <c r="E1464" s="651"/>
      <c r="F1464" s="656"/>
      <c r="G1464" s="647"/>
      <c r="H1464" s="648"/>
      <c r="I1464" s="649"/>
      <c r="J1464" s="650" t="s">
        <v>963</v>
      </c>
      <c r="K1464" s="657">
        <v>1.0361111111111112</v>
      </c>
      <c r="L1464" s="656"/>
    </row>
    <row r="1465" spans="1:12" ht="15.75" x14ac:dyDescent="0.25">
      <c r="A1465" s="647"/>
      <c r="B1465" s="648" t="s">
        <v>459</v>
      </c>
      <c r="C1465" s="649">
        <v>204</v>
      </c>
      <c r="D1465" s="650" t="s">
        <v>1222</v>
      </c>
      <c r="E1465" s="651"/>
      <c r="F1465" s="653"/>
      <c r="G1465" s="647"/>
      <c r="H1465" s="648" t="s">
        <v>462</v>
      </c>
      <c r="I1465" s="649" t="s">
        <v>459</v>
      </c>
      <c r="J1465" s="650"/>
      <c r="K1465" s="657"/>
      <c r="L1465" s="656"/>
    </row>
    <row r="1466" spans="1:12" ht="15.75" x14ac:dyDescent="0.25">
      <c r="A1466" s="647"/>
      <c r="B1466" s="648"/>
      <c r="C1466" s="649"/>
      <c r="D1466" s="655" t="s">
        <v>166</v>
      </c>
      <c r="E1466" s="651"/>
      <c r="F1466" s="656">
        <v>0.55208333333333337</v>
      </c>
      <c r="G1466" s="647"/>
      <c r="H1466" s="648"/>
      <c r="I1466" s="649"/>
      <c r="J1466" s="650"/>
      <c r="K1466" s="657"/>
      <c r="L1466" s="653"/>
    </row>
    <row r="1467" spans="1:12" ht="15.75" x14ac:dyDescent="0.25">
      <c r="A1467" s="647" t="s">
        <v>961</v>
      </c>
      <c r="B1467" s="648"/>
      <c r="C1467" s="649"/>
      <c r="D1467" s="650" t="s">
        <v>160</v>
      </c>
      <c r="E1467" s="651"/>
      <c r="F1467" s="653">
        <v>0.60416666666666663</v>
      </c>
      <c r="G1467" s="647"/>
      <c r="H1467" s="648"/>
      <c r="I1467" s="649"/>
      <c r="J1467" s="650"/>
      <c r="K1467" s="657"/>
      <c r="L1467" s="652"/>
    </row>
    <row r="1468" spans="1:12" ht="15.75" x14ac:dyDescent="0.25">
      <c r="A1468" s="647"/>
      <c r="B1468" s="648"/>
      <c r="C1468" s="649"/>
      <c r="D1468" s="655" t="s">
        <v>962</v>
      </c>
      <c r="E1468" s="651"/>
      <c r="F1468" s="656">
        <v>0.61458333333333337</v>
      </c>
      <c r="G1468" s="647"/>
      <c r="H1468" s="648"/>
      <c r="I1468" s="649"/>
      <c r="J1468" s="650"/>
      <c r="K1468" s="651"/>
      <c r="L1468" s="652"/>
    </row>
    <row r="1469" spans="1:12" ht="15.75" x14ac:dyDescent="0.25">
      <c r="A1469" s="647"/>
      <c r="B1469" s="648"/>
      <c r="C1469" s="649"/>
      <c r="D1469" s="655" t="s">
        <v>960</v>
      </c>
      <c r="E1469" s="651"/>
      <c r="F1469" s="656">
        <v>0.64583333333333337</v>
      </c>
      <c r="G1469" s="647"/>
      <c r="H1469" s="648"/>
      <c r="I1469" s="649"/>
      <c r="J1469" s="650"/>
      <c r="K1469" s="657"/>
      <c r="L1469" s="652"/>
    </row>
    <row r="1470" spans="1:12" ht="15.75" x14ac:dyDescent="0.25">
      <c r="A1470" s="647" t="s">
        <v>961</v>
      </c>
      <c r="B1470" s="654"/>
      <c r="C1470" s="649"/>
      <c r="D1470" s="650" t="s">
        <v>163</v>
      </c>
      <c r="E1470" s="657"/>
      <c r="F1470" s="653">
        <v>0.71180555555555558</v>
      </c>
      <c r="G1470" s="647"/>
      <c r="H1470" s="648"/>
      <c r="I1470" s="649"/>
      <c r="J1470" s="650"/>
      <c r="K1470" s="651"/>
      <c r="L1470" s="652"/>
    </row>
    <row r="1471" spans="1:12" ht="15.75" x14ac:dyDescent="0.25">
      <c r="A1471" s="647"/>
      <c r="B1471" s="648"/>
      <c r="C1471" s="649"/>
      <c r="D1471" s="655" t="s">
        <v>164</v>
      </c>
      <c r="E1471" s="651"/>
      <c r="F1471" s="656">
        <v>0.73958333333333337</v>
      </c>
      <c r="G1471" s="647"/>
      <c r="H1471" s="648"/>
      <c r="I1471" s="649"/>
      <c r="J1471" s="650"/>
      <c r="K1471" s="651"/>
      <c r="L1471" s="652"/>
    </row>
    <row r="1472" spans="1:12" ht="15.75" x14ac:dyDescent="0.25">
      <c r="A1472" s="647"/>
      <c r="B1472" s="648"/>
      <c r="C1472" s="649"/>
      <c r="D1472" s="655" t="s">
        <v>166</v>
      </c>
      <c r="E1472" s="657">
        <v>0.75347222222222221</v>
      </c>
      <c r="F1472" s="656"/>
      <c r="G1472" s="647"/>
      <c r="H1472" s="648"/>
      <c r="I1472" s="649"/>
      <c r="J1472" s="650"/>
      <c r="K1472" s="651"/>
      <c r="L1472" s="652"/>
    </row>
    <row r="1473" spans="1:12" ht="15.75" x14ac:dyDescent="0.25">
      <c r="A1473" s="647"/>
      <c r="B1473" s="648" t="s">
        <v>462</v>
      </c>
      <c r="C1473" s="649" t="s">
        <v>459</v>
      </c>
      <c r="D1473" s="650"/>
      <c r="E1473" s="651"/>
      <c r="F1473" s="653"/>
      <c r="G1473" s="647"/>
      <c r="H1473" s="648"/>
      <c r="I1473" s="649"/>
      <c r="J1473" s="650"/>
      <c r="K1473" s="651"/>
      <c r="L1473" s="652"/>
    </row>
    <row r="1474" spans="1:12" ht="15.75" x14ac:dyDescent="0.25">
      <c r="A1474" s="647"/>
      <c r="B1474" s="648"/>
      <c r="C1474" s="649"/>
      <c r="D1474" s="650"/>
      <c r="E1474" s="657"/>
      <c r="F1474" s="652"/>
      <c r="G1474" s="647"/>
      <c r="H1474" s="648"/>
      <c r="I1474" s="649"/>
      <c r="J1474" s="650"/>
      <c r="K1474" s="651"/>
      <c r="L1474" s="652"/>
    </row>
    <row r="1475" spans="1:12" ht="15.75" x14ac:dyDescent="0.25">
      <c r="A1475" s="647"/>
      <c r="B1475" s="648"/>
      <c r="C1475" s="649"/>
      <c r="D1475" s="650"/>
      <c r="E1475" s="651"/>
      <c r="F1475" s="652"/>
      <c r="G1475" s="647"/>
      <c r="H1475" s="648"/>
      <c r="I1475" s="649"/>
      <c r="J1475" s="650"/>
      <c r="K1475" s="651"/>
      <c r="L1475" s="652"/>
    </row>
    <row r="1476" spans="1:12" ht="15.75" x14ac:dyDescent="0.25">
      <c r="A1476" s="647"/>
      <c r="B1476" s="648"/>
      <c r="C1476" s="649"/>
      <c r="D1476" s="650"/>
      <c r="E1476" s="651"/>
      <c r="F1476" s="652"/>
      <c r="G1476" s="647"/>
      <c r="H1476" s="648"/>
      <c r="I1476" s="649"/>
      <c r="J1476" s="650"/>
      <c r="K1476" s="651"/>
      <c r="L1476" s="652"/>
    </row>
    <row r="1477" spans="1:12" ht="15.75" x14ac:dyDescent="0.25">
      <c r="A1477" s="647"/>
      <c r="B1477" s="648"/>
      <c r="C1477" s="649"/>
      <c r="D1477" s="650"/>
      <c r="E1477" s="657"/>
      <c r="F1477" s="653"/>
      <c r="G1477" s="647"/>
      <c r="H1477" s="648"/>
      <c r="I1477" s="649"/>
      <c r="J1477" s="650"/>
      <c r="K1477" s="651"/>
      <c r="L1477" s="658"/>
    </row>
    <row r="1478" spans="1:12" ht="15.75" x14ac:dyDescent="0.25">
      <c r="A1478" s="647"/>
      <c r="B1478" s="648"/>
      <c r="C1478" s="649"/>
      <c r="D1478" s="650"/>
      <c r="E1478" s="657"/>
      <c r="F1478" s="652"/>
      <c r="G1478" s="647"/>
      <c r="H1478" s="648"/>
      <c r="I1478" s="649"/>
      <c r="J1478" s="655"/>
      <c r="K1478" s="651"/>
      <c r="L1478" s="658"/>
    </row>
    <row r="1479" spans="1:12" ht="15.75" x14ac:dyDescent="0.25">
      <c r="A1479" s="647"/>
      <c r="B1479" s="648"/>
      <c r="C1479" s="649"/>
      <c r="D1479" s="650"/>
      <c r="E1479" s="651"/>
      <c r="F1479" s="652"/>
      <c r="G1479" s="647"/>
      <c r="H1479" s="648"/>
      <c r="I1479" s="649"/>
      <c r="J1479" s="650"/>
      <c r="K1479" s="651"/>
      <c r="L1479" s="658"/>
    </row>
    <row r="1480" spans="1:12" ht="16.5" thickBot="1" x14ac:dyDescent="0.3">
      <c r="A1480" s="659"/>
      <c r="B1480" s="660"/>
      <c r="C1480" s="661"/>
      <c r="D1480" s="662"/>
      <c r="E1480" s="663"/>
      <c r="F1480" s="664"/>
      <c r="G1480" s="665"/>
      <c r="H1480" s="666"/>
      <c r="I1480" s="667"/>
      <c r="J1480" s="668"/>
      <c r="K1480" s="663"/>
      <c r="L1480" s="669"/>
    </row>
    <row r="1481" spans="1:12" ht="21" x14ac:dyDescent="0.35">
      <c r="A1481" s="769" t="s">
        <v>945</v>
      </c>
      <c r="B1481" s="770"/>
      <c r="C1481" s="770"/>
      <c r="D1481" s="770"/>
      <c r="E1481" s="770"/>
      <c r="F1481" s="770"/>
      <c r="G1481" s="770"/>
      <c r="H1481" s="770"/>
      <c r="I1481" s="770"/>
      <c r="J1481" s="770"/>
      <c r="K1481" s="770"/>
      <c r="L1481" s="771"/>
    </row>
    <row r="1482" spans="1:12" ht="18.75" x14ac:dyDescent="0.3">
      <c r="A1482" s="772" t="s">
        <v>946</v>
      </c>
      <c r="B1482" s="773"/>
      <c r="C1482" s="773"/>
      <c r="D1482" s="773"/>
      <c r="E1482" s="773"/>
      <c r="F1482" s="773"/>
      <c r="G1482" s="773"/>
      <c r="H1482" s="773"/>
      <c r="I1482" s="773"/>
      <c r="J1482" s="773"/>
      <c r="K1482" s="773"/>
      <c r="L1482" s="774"/>
    </row>
    <row r="1483" spans="1:12" ht="24" x14ac:dyDescent="0.4">
      <c r="A1483" s="775" t="s">
        <v>947</v>
      </c>
      <c r="B1483" s="776"/>
      <c r="C1483" s="776"/>
      <c r="D1483" s="776"/>
      <c r="E1483" s="776"/>
      <c r="F1483" s="776"/>
      <c r="G1483" s="776"/>
      <c r="H1483" s="776"/>
      <c r="I1483" s="776"/>
      <c r="J1483" s="776"/>
      <c r="K1483" s="776"/>
      <c r="L1483" s="777"/>
    </row>
    <row r="1484" spans="1:12" ht="24" x14ac:dyDescent="0.4">
      <c r="A1484" s="670" t="s">
        <v>948</v>
      </c>
      <c r="B1484" s="671"/>
      <c r="C1484" s="671"/>
      <c r="D1484" s="672" t="s">
        <v>949</v>
      </c>
      <c r="E1484" s="778" t="s">
        <v>950</v>
      </c>
      <c r="F1484" s="778"/>
      <c r="G1484" s="778"/>
      <c r="H1484" s="778"/>
      <c r="I1484" s="778"/>
      <c r="J1484" s="673" t="s">
        <v>1223</v>
      </c>
      <c r="K1484" s="778"/>
      <c r="L1484" s="779"/>
    </row>
    <row r="1485" spans="1:12" ht="15.75" thickBot="1" x14ac:dyDescent="0.3">
      <c r="A1485" s="674"/>
      <c r="B1485" s="675"/>
      <c r="C1485" s="675"/>
      <c r="D1485" s="676"/>
      <c r="E1485" s="675"/>
      <c r="F1485" s="675"/>
      <c r="G1485" s="675"/>
      <c r="H1485" s="675"/>
      <c r="I1485" s="780"/>
      <c r="J1485" s="780"/>
      <c r="K1485" s="675"/>
      <c r="L1485" s="677"/>
    </row>
    <row r="1486" spans="1:12" ht="16.5" thickBot="1" x14ac:dyDescent="0.3">
      <c r="A1486" s="631" t="s">
        <v>952</v>
      </c>
      <c r="B1486" s="632"/>
      <c r="C1486" s="633"/>
      <c r="D1486" s="634" t="s">
        <v>953</v>
      </c>
      <c r="E1486" s="631" t="s">
        <v>954</v>
      </c>
      <c r="F1486" s="635" t="s">
        <v>955</v>
      </c>
      <c r="G1486" s="631" t="s">
        <v>952</v>
      </c>
      <c r="H1486" s="632"/>
      <c r="I1486" s="633"/>
      <c r="J1486" s="634" t="s">
        <v>953</v>
      </c>
      <c r="K1486" s="631" t="s">
        <v>954</v>
      </c>
      <c r="L1486" s="631" t="s">
        <v>955</v>
      </c>
    </row>
    <row r="1487" spans="1:12" ht="15.75" x14ac:dyDescent="0.25">
      <c r="A1487" s="636"/>
      <c r="B1487" s="637"/>
      <c r="C1487" s="638"/>
      <c r="D1487" s="639"/>
      <c r="E1487" s="640"/>
      <c r="F1487" s="641"/>
      <c r="G1487" s="636"/>
      <c r="H1487" s="642"/>
      <c r="I1487" s="643"/>
      <c r="J1487" s="644"/>
      <c r="K1487" s="645"/>
      <c r="L1487" s="646"/>
    </row>
    <row r="1488" spans="1:12" ht="15.75" x14ac:dyDescent="0.25">
      <c r="A1488" s="647"/>
      <c r="B1488" s="648" t="s">
        <v>459</v>
      </c>
      <c r="C1488" s="649">
        <v>206</v>
      </c>
      <c r="D1488" s="650" t="s">
        <v>1224</v>
      </c>
      <c r="E1488" s="651"/>
      <c r="F1488" s="652"/>
      <c r="G1488" s="647"/>
      <c r="H1488" s="648" t="s">
        <v>459</v>
      </c>
      <c r="I1488" s="649">
        <v>58</v>
      </c>
      <c r="J1488" s="650" t="s">
        <v>1225</v>
      </c>
      <c r="K1488" s="651"/>
      <c r="L1488" s="653"/>
    </row>
    <row r="1489" spans="1:12" ht="15.75" x14ac:dyDescent="0.25">
      <c r="A1489" s="647" t="s">
        <v>958</v>
      </c>
      <c r="B1489" s="654"/>
      <c r="C1489" s="649"/>
      <c r="D1489" s="655" t="s">
        <v>959</v>
      </c>
      <c r="E1489" s="651"/>
      <c r="F1489" s="656">
        <v>0.28472222222222221</v>
      </c>
      <c r="G1489" s="647"/>
      <c r="H1489" s="648"/>
      <c r="I1489" s="649"/>
      <c r="J1489" s="655" t="s">
        <v>166</v>
      </c>
      <c r="K1489" s="651"/>
      <c r="L1489" s="656">
        <v>0.66527777777777775</v>
      </c>
    </row>
    <row r="1490" spans="1:12" ht="15.75" x14ac:dyDescent="0.25">
      <c r="A1490" s="647" t="s">
        <v>961</v>
      </c>
      <c r="B1490" s="648"/>
      <c r="C1490" s="649"/>
      <c r="D1490" s="650" t="s">
        <v>160</v>
      </c>
      <c r="E1490" s="651"/>
      <c r="F1490" s="653">
        <v>0.3263888888888889</v>
      </c>
      <c r="G1490" s="647" t="s">
        <v>961</v>
      </c>
      <c r="H1490" s="648"/>
      <c r="I1490" s="649"/>
      <c r="J1490" s="650" t="s">
        <v>160</v>
      </c>
      <c r="K1490" s="651"/>
      <c r="L1490" s="653">
        <v>0.72222222222222221</v>
      </c>
    </row>
    <row r="1491" spans="1:12" ht="15.75" x14ac:dyDescent="0.25">
      <c r="A1491" s="647"/>
      <c r="B1491" s="648"/>
      <c r="C1491" s="649"/>
      <c r="D1491" s="655" t="s">
        <v>962</v>
      </c>
      <c r="E1491" s="651"/>
      <c r="F1491" s="656">
        <v>0.33680555555555558</v>
      </c>
      <c r="G1491" s="647"/>
      <c r="H1491" s="648"/>
      <c r="I1491" s="649"/>
      <c r="J1491" s="655" t="s">
        <v>962</v>
      </c>
      <c r="K1491" s="651"/>
      <c r="L1491" s="656">
        <v>0.72916666666666663</v>
      </c>
    </row>
    <row r="1492" spans="1:12" ht="15.75" x14ac:dyDescent="0.25">
      <c r="A1492" s="647"/>
      <c r="B1492" s="648"/>
      <c r="C1492" s="649"/>
      <c r="D1492" s="655" t="s">
        <v>960</v>
      </c>
      <c r="E1492" s="651"/>
      <c r="F1492" s="656">
        <v>0.375</v>
      </c>
      <c r="G1492" s="647"/>
      <c r="H1492" s="648"/>
      <c r="I1492" s="649"/>
      <c r="J1492" s="655" t="s">
        <v>960</v>
      </c>
      <c r="K1492" s="651"/>
      <c r="L1492" s="656">
        <v>0.76041666666666663</v>
      </c>
    </row>
    <row r="1493" spans="1:12" ht="15.75" x14ac:dyDescent="0.25">
      <c r="A1493" s="647" t="s">
        <v>961</v>
      </c>
      <c r="B1493" s="654"/>
      <c r="C1493" s="649"/>
      <c r="D1493" s="650" t="s">
        <v>163</v>
      </c>
      <c r="E1493" s="657"/>
      <c r="F1493" s="653">
        <v>0.4270833333333332</v>
      </c>
      <c r="G1493" s="647" t="s">
        <v>958</v>
      </c>
      <c r="H1493" s="654"/>
      <c r="I1493" s="649"/>
      <c r="J1493" s="650" t="s">
        <v>163</v>
      </c>
      <c r="K1493" s="657">
        <v>0.81111111111111112</v>
      </c>
      <c r="L1493" s="653"/>
    </row>
    <row r="1494" spans="1:12" ht="15.75" x14ac:dyDescent="0.25">
      <c r="A1494" s="647"/>
      <c r="B1494" s="648"/>
      <c r="C1494" s="649"/>
      <c r="D1494" s="655" t="s">
        <v>164</v>
      </c>
      <c r="E1494" s="651"/>
      <c r="F1494" s="656">
        <v>0.45486111111111099</v>
      </c>
      <c r="G1494" s="647"/>
      <c r="H1494" s="648"/>
      <c r="I1494" s="649"/>
      <c r="J1494" s="650" t="s">
        <v>963</v>
      </c>
      <c r="K1494" s="657">
        <v>0.8354166666666667</v>
      </c>
      <c r="L1494" s="652"/>
    </row>
    <row r="1495" spans="1:12" ht="15.75" x14ac:dyDescent="0.25">
      <c r="A1495" s="647"/>
      <c r="B1495" s="648"/>
      <c r="C1495" s="649"/>
      <c r="D1495" s="655" t="s">
        <v>166</v>
      </c>
      <c r="E1495" s="657">
        <v>0.46875</v>
      </c>
      <c r="F1495" s="656"/>
      <c r="G1495" s="647"/>
      <c r="H1495" s="648" t="s">
        <v>459</v>
      </c>
      <c r="I1495" s="649">
        <v>58</v>
      </c>
      <c r="J1495" s="650" t="s">
        <v>1226</v>
      </c>
      <c r="K1495" s="657"/>
      <c r="L1495" s="652"/>
    </row>
    <row r="1496" spans="1:12" ht="15.75" x14ac:dyDescent="0.25">
      <c r="A1496" s="647"/>
      <c r="B1496" s="648" t="s">
        <v>459</v>
      </c>
      <c r="C1496" s="649">
        <v>206</v>
      </c>
      <c r="D1496" s="650" t="s">
        <v>1227</v>
      </c>
      <c r="E1496" s="651"/>
      <c r="F1496" s="653"/>
      <c r="G1496" s="647"/>
      <c r="H1496" s="648"/>
      <c r="I1496" s="649"/>
      <c r="J1496" s="650"/>
      <c r="K1496" s="657"/>
      <c r="L1496" s="652"/>
    </row>
    <row r="1497" spans="1:12" ht="15.75" x14ac:dyDescent="0.25">
      <c r="A1497" s="647"/>
      <c r="B1497" s="648"/>
      <c r="C1497" s="649"/>
      <c r="D1497" s="655"/>
      <c r="E1497" s="651"/>
      <c r="F1497" s="656"/>
      <c r="G1497" s="647"/>
      <c r="H1497" s="648"/>
      <c r="I1497" s="649"/>
      <c r="J1497" s="650"/>
      <c r="K1497" s="657"/>
      <c r="L1497" s="652"/>
    </row>
    <row r="1498" spans="1:12" ht="15.75" x14ac:dyDescent="0.25">
      <c r="A1498" s="647"/>
      <c r="B1498" s="648" t="s">
        <v>459</v>
      </c>
      <c r="C1498" s="649">
        <v>20</v>
      </c>
      <c r="D1498" s="650" t="s">
        <v>1228</v>
      </c>
      <c r="E1498" s="651"/>
      <c r="F1498" s="653"/>
      <c r="G1498" s="647"/>
      <c r="H1498" s="648"/>
      <c r="I1498" s="649"/>
      <c r="J1498" s="650"/>
      <c r="K1498" s="651"/>
      <c r="L1498" s="652"/>
    </row>
    <row r="1499" spans="1:12" ht="15.75" x14ac:dyDescent="0.25">
      <c r="A1499" s="647"/>
      <c r="B1499" s="648"/>
      <c r="C1499" s="649"/>
      <c r="D1499" s="655" t="s">
        <v>166</v>
      </c>
      <c r="E1499" s="651"/>
      <c r="F1499" s="656">
        <v>0.46875</v>
      </c>
      <c r="G1499" s="647"/>
      <c r="H1499" s="648"/>
      <c r="I1499" s="649"/>
      <c r="J1499" s="650"/>
      <c r="K1499" s="651"/>
      <c r="L1499" s="652"/>
    </row>
    <row r="1500" spans="1:12" ht="15.75" x14ac:dyDescent="0.25">
      <c r="A1500" s="647" t="s">
        <v>961</v>
      </c>
      <c r="B1500" s="648"/>
      <c r="C1500" s="649"/>
      <c r="D1500" s="650" t="s">
        <v>160</v>
      </c>
      <c r="E1500" s="651"/>
      <c r="F1500" s="653">
        <v>0.51736111111111116</v>
      </c>
      <c r="G1500" s="647"/>
      <c r="H1500" s="648"/>
      <c r="I1500" s="649"/>
      <c r="J1500" s="650"/>
      <c r="K1500" s="651"/>
      <c r="L1500" s="658"/>
    </row>
    <row r="1501" spans="1:12" ht="15.75" x14ac:dyDescent="0.25">
      <c r="A1501" s="647"/>
      <c r="B1501" s="648"/>
      <c r="C1501" s="649"/>
      <c r="D1501" s="655" t="s">
        <v>962</v>
      </c>
      <c r="E1501" s="651"/>
      <c r="F1501" s="656">
        <v>0.52777777777777779</v>
      </c>
      <c r="G1501" s="647"/>
      <c r="H1501" s="648"/>
      <c r="I1501" s="649"/>
      <c r="J1501" s="655"/>
      <c r="K1501" s="651"/>
      <c r="L1501" s="658"/>
    </row>
    <row r="1502" spans="1:12" ht="15.75" x14ac:dyDescent="0.25">
      <c r="A1502" s="647"/>
      <c r="B1502" s="648"/>
      <c r="C1502" s="649"/>
      <c r="D1502" s="655" t="s">
        <v>960</v>
      </c>
      <c r="E1502" s="657">
        <v>0.55555555555555558</v>
      </c>
      <c r="F1502" s="656"/>
      <c r="G1502" s="647"/>
      <c r="H1502" s="648"/>
      <c r="I1502" s="649"/>
      <c r="J1502" s="650"/>
      <c r="K1502" s="651"/>
      <c r="L1502" s="658"/>
    </row>
    <row r="1503" spans="1:12" ht="15.75" x14ac:dyDescent="0.25">
      <c r="A1503" s="647"/>
      <c r="B1503" s="648" t="s">
        <v>462</v>
      </c>
      <c r="C1503" s="649" t="s">
        <v>459</v>
      </c>
      <c r="D1503" s="650"/>
      <c r="E1503" s="651"/>
      <c r="F1503" s="656"/>
      <c r="G1503" s="647"/>
      <c r="H1503" s="648"/>
      <c r="I1503" s="649"/>
      <c r="J1503" s="650"/>
      <c r="K1503" s="657"/>
      <c r="L1503" s="652"/>
    </row>
    <row r="1504" spans="1:12" ht="15.75" x14ac:dyDescent="0.25">
      <c r="A1504" s="647"/>
      <c r="B1504" s="648"/>
      <c r="C1504" s="649"/>
      <c r="D1504" s="655"/>
      <c r="E1504" s="657"/>
      <c r="F1504" s="656"/>
      <c r="G1504" s="647"/>
      <c r="H1504" s="648"/>
      <c r="I1504" s="649"/>
      <c r="J1504" s="650"/>
      <c r="K1504" s="657"/>
      <c r="L1504" s="652"/>
    </row>
    <row r="1505" spans="1:12" ht="15.75" x14ac:dyDescent="0.25">
      <c r="A1505" s="647"/>
      <c r="B1505" s="648" t="s">
        <v>459</v>
      </c>
      <c r="C1505" s="649">
        <v>42</v>
      </c>
      <c r="D1505" s="650" t="s">
        <v>1229</v>
      </c>
      <c r="E1505" s="651"/>
      <c r="F1505" s="653"/>
      <c r="G1505" s="647"/>
      <c r="H1505" s="648"/>
      <c r="I1505" s="649"/>
      <c r="J1505" s="650"/>
      <c r="K1505" s="651"/>
      <c r="L1505" s="652"/>
    </row>
    <row r="1506" spans="1:12" ht="15.75" x14ac:dyDescent="0.25">
      <c r="A1506" s="647"/>
      <c r="B1506" s="648"/>
      <c r="C1506" s="649"/>
      <c r="D1506" s="655" t="s">
        <v>960</v>
      </c>
      <c r="E1506" s="651"/>
      <c r="F1506" s="656">
        <v>0.55555555555555558</v>
      </c>
      <c r="G1506" s="647"/>
      <c r="H1506" s="648"/>
      <c r="I1506" s="649"/>
      <c r="J1506" s="650"/>
      <c r="K1506" s="651"/>
      <c r="L1506" s="652"/>
    </row>
    <row r="1507" spans="1:12" ht="15.75" x14ac:dyDescent="0.25">
      <c r="A1507" s="647" t="s">
        <v>961</v>
      </c>
      <c r="B1507" s="654"/>
      <c r="C1507" s="649"/>
      <c r="D1507" s="650" t="s">
        <v>163</v>
      </c>
      <c r="E1507" s="657"/>
      <c r="F1507" s="653">
        <v>0.6166666666666667</v>
      </c>
      <c r="G1507" s="647"/>
      <c r="H1507" s="648"/>
      <c r="I1507" s="649"/>
      <c r="J1507" s="650"/>
      <c r="K1507" s="651"/>
      <c r="L1507" s="658"/>
    </row>
    <row r="1508" spans="1:12" ht="15.75" x14ac:dyDescent="0.25">
      <c r="A1508" s="647"/>
      <c r="B1508" s="648"/>
      <c r="C1508" s="649"/>
      <c r="D1508" s="655" t="s">
        <v>164</v>
      </c>
      <c r="E1508" s="651"/>
      <c r="F1508" s="656">
        <v>0.65138888888888891</v>
      </c>
      <c r="G1508" s="647"/>
      <c r="H1508" s="648"/>
      <c r="I1508" s="649"/>
      <c r="J1508" s="655"/>
      <c r="K1508" s="651"/>
      <c r="L1508" s="658"/>
    </row>
    <row r="1509" spans="1:12" ht="15.75" x14ac:dyDescent="0.25">
      <c r="A1509" s="647"/>
      <c r="B1509" s="648"/>
      <c r="C1509" s="649"/>
      <c r="D1509" s="655" t="s">
        <v>166</v>
      </c>
      <c r="E1509" s="657">
        <v>0.66527777777777775</v>
      </c>
      <c r="F1509" s="656"/>
      <c r="G1509" s="647"/>
      <c r="H1509" s="648"/>
      <c r="I1509" s="649"/>
      <c r="J1509" s="650"/>
      <c r="K1509" s="651"/>
      <c r="L1509" s="658"/>
    </row>
    <row r="1510" spans="1:12" ht="15.75" x14ac:dyDescent="0.25">
      <c r="A1510" s="647"/>
      <c r="B1510" s="648" t="s">
        <v>459</v>
      </c>
      <c r="C1510" s="649">
        <v>42</v>
      </c>
      <c r="D1510" s="650" t="s">
        <v>1230</v>
      </c>
      <c r="E1510" s="657"/>
      <c r="F1510" s="656"/>
      <c r="G1510" s="647"/>
      <c r="H1510" s="648"/>
      <c r="I1510" s="649"/>
      <c r="J1510" s="650"/>
      <c r="K1510" s="651"/>
      <c r="L1510" s="658"/>
    </row>
    <row r="1511" spans="1:12" ht="15.75" x14ac:dyDescent="0.25">
      <c r="A1511" s="647"/>
      <c r="B1511" s="648"/>
      <c r="C1511" s="649"/>
      <c r="D1511" s="650"/>
      <c r="E1511" s="657"/>
      <c r="F1511" s="653"/>
      <c r="G1511" s="647"/>
      <c r="H1511" s="648"/>
      <c r="I1511" s="649"/>
      <c r="J1511" s="655"/>
      <c r="K1511" s="651"/>
      <c r="L1511" s="658"/>
    </row>
    <row r="1512" spans="1:12" ht="15.75" x14ac:dyDescent="0.25">
      <c r="A1512" s="647"/>
      <c r="B1512" s="648"/>
      <c r="C1512" s="649"/>
      <c r="D1512" s="650"/>
      <c r="E1512" s="651"/>
      <c r="F1512" s="652"/>
      <c r="G1512" s="647"/>
      <c r="H1512" s="648"/>
      <c r="I1512" s="649"/>
      <c r="J1512" s="650"/>
      <c r="K1512" s="651"/>
      <c r="L1512" s="658"/>
    </row>
    <row r="1513" spans="1:12" ht="15.75" x14ac:dyDescent="0.25">
      <c r="A1513" s="647"/>
      <c r="B1513" s="648"/>
      <c r="C1513" s="649"/>
      <c r="D1513" s="650"/>
      <c r="E1513" s="657"/>
      <c r="F1513" s="656"/>
      <c r="G1513" s="647"/>
      <c r="H1513" s="648"/>
      <c r="I1513" s="649"/>
      <c r="J1513" s="650"/>
      <c r="K1513" s="657"/>
      <c r="L1513" s="652"/>
    </row>
    <row r="1514" spans="1:12" ht="15.75" x14ac:dyDescent="0.25">
      <c r="A1514" s="647"/>
      <c r="B1514" s="648"/>
      <c r="C1514" s="649"/>
      <c r="D1514" s="650"/>
      <c r="E1514" s="657"/>
      <c r="F1514" s="653"/>
      <c r="G1514" s="647"/>
      <c r="H1514" s="648"/>
      <c r="I1514" s="649"/>
      <c r="J1514" s="650"/>
      <c r="K1514" s="657"/>
      <c r="L1514" s="652"/>
    </row>
    <row r="1515" spans="1:12" ht="15.75" x14ac:dyDescent="0.25">
      <c r="A1515" s="647"/>
      <c r="B1515" s="648"/>
      <c r="C1515" s="649"/>
      <c r="D1515" s="650"/>
      <c r="E1515" s="651"/>
      <c r="F1515" s="652"/>
      <c r="G1515" s="647"/>
      <c r="H1515" s="648"/>
      <c r="I1515" s="649"/>
      <c r="J1515" s="650"/>
      <c r="K1515" s="651"/>
      <c r="L1515" s="652"/>
    </row>
    <row r="1516" spans="1:12" ht="15.75" x14ac:dyDescent="0.25">
      <c r="A1516" s="647"/>
      <c r="B1516" s="648"/>
      <c r="C1516" s="649"/>
      <c r="D1516" s="650"/>
      <c r="E1516" s="651"/>
      <c r="F1516" s="652"/>
      <c r="G1516" s="647"/>
      <c r="H1516" s="648"/>
      <c r="I1516" s="649"/>
      <c r="J1516" s="650"/>
      <c r="K1516" s="651"/>
      <c r="L1516" s="652"/>
    </row>
    <row r="1517" spans="1:12" ht="15.75" x14ac:dyDescent="0.25">
      <c r="A1517" s="647"/>
      <c r="B1517" s="648"/>
      <c r="C1517" s="649"/>
      <c r="D1517" s="650"/>
      <c r="E1517" s="657"/>
      <c r="F1517" s="656"/>
      <c r="G1517" s="647"/>
      <c r="H1517" s="648"/>
      <c r="I1517" s="649"/>
      <c r="J1517" s="650"/>
      <c r="K1517" s="651"/>
      <c r="L1517" s="658"/>
    </row>
    <row r="1518" spans="1:12" ht="15.75" x14ac:dyDescent="0.25">
      <c r="A1518" s="647"/>
      <c r="B1518" s="648"/>
      <c r="C1518" s="649"/>
      <c r="D1518" s="650"/>
      <c r="E1518" s="657"/>
      <c r="F1518" s="653"/>
      <c r="G1518" s="647"/>
      <c r="H1518" s="648"/>
      <c r="I1518" s="649"/>
      <c r="J1518" s="655"/>
      <c r="K1518" s="651"/>
      <c r="L1518" s="658"/>
    </row>
    <row r="1519" spans="1:12" ht="15.75" x14ac:dyDescent="0.25">
      <c r="A1519" s="647"/>
      <c r="B1519" s="648"/>
      <c r="C1519" s="649"/>
      <c r="D1519" s="650"/>
      <c r="E1519" s="651"/>
      <c r="F1519" s="652"/>
      <c r="G1519" s="647"/>
      <c r="H1519" s="648"/>
      <c r="I1519" s="649"/>
      <c r="J1519" s="650"/>
      <c r="K1519" s="651"/>
      <c r="L1519" s="658"/>
    </row>
    <row r="1520" spans="1:12" ht="16.5" thickBot="1" x14ac:dyDescent="0.3">
      <c r="A1520" s="659"/>
      <c r="B1520" s="660"/>
      <c r="C1520" s="661"/>
      <c r="D1520" s="662"/>
      <c r="E1520" s="663"/>
      <c r="F1520" s="664"/>
      <c r="G1520" s="665"/>
      <c r="H1520" s="666"/>
      <c r="I1520" s="667"/>
      <c r="J1520" s="668"/>
      <c r="K1520" s="663"/>
      <c r="L1520" s="669"/>
    </row>
    <row r="1521" spans="1:12" ht="21" x14ac:dyDescent="0.35">
      <c r="A1521" s="769" t="s">
        <v>945</v>
      </c>
      <c r="B1521" s="770"/>
      <c r="C1521" s="770"/>
      <c r="D1521" s="770"/>
      <c r="E1521" s="770"/>
      <c r="F1521" s="770"/>
      <c r="G1521" s="770"/>
      <c r="H1521" s="770"/>
      <c r="I1521" s="770"/>
      <c r="J1521" s="770"/>
      <c r="K1521" s="770"/>
      <c r="L1521" s="771"/>
    </row>
    <row r="1522" spans="1:12" ht="18.75" x14ac:dyDescent="0.3">
      <c r="A1522" s="772" t="s">
        <v>946</v>
      </c>
      <c r="B1522" s="773"/>
      <c r="C1522" s="773"/>
      <c r="D1522" s="773"/>
      <c r="E1522" s="773"/>
      <c r="F1522" s="773"/>
      <c r="G1522" s="773"/>
      <c r="H1522" s="773"/>
      <c r="I1522" s="773"/>
      <c r="J1522" s="773"/>
      <c r="K1522" s="773"/>
      <c r="L1522" s="774"/>
    </row>
    <row r="1523" spans="1:12" ht="24" x14ac:dyDescent="0.4">
      <c r="A1523" s="775" t="s">
        <v>947</v>
      </c>
      <c r="B1523" s="776"/>
      <c r="C1523" s="776"/>
      <c r="D1523" s="776"/>
      <c r="E1523" s="776"/>
      <c r="F1523" s="776"/>
      <c r="G1523" s="776"/>
      <c r="H1523" s="776"/>
      <c r="I1523" s="776"/>
      <c r="J1523" s="776"/>
      <c r="K1523" s="776"/>
      <c r="L1523" s="777"/>
    </row>
    <row r="1524" spans="1:12" ht="24" x14ac:dyDescent="0.4">
      <c r="A1524" s="670" t="s">
        <v>948</v>
      </c>
      <c r="B1524" s="671"/>
      <c r="C1524" s="671"/>
      <c r="D1524" s="672" t="s">
        <v>949</v>
      </c>
      <c r="E1524" s="778" t="s">
        <v>950</v>
      </c>
      <c r="F1524" s="778"/>
      <c r="G1524" s="778"/>
      <c r="H1524" s="778"/>
      <c r="I1524" s="778"/>
      <c r="J1524" s="673" t="s">
        <v>1231</v>
      </c>
      <c r="K1524" s="778"/>
      <c r="L1524" s="779"/>
    </row>
    <row r="1525" spans="1:12" ht="15.75" thickBot="1" x14ac:dyDescent="0.3">
      <c r="A1525" s="674"/>
      <c r="B1525" s="675"/>
      <c r="C1525" s="675"/>
      <c r="D1525" s="676"/>
      <c r="E1525" s="675"/>
      <c r="F1525" s="675"/>
      <c r="G1525" s="675"/>
      <c r="H1525" s="675"/>
      <c r="I1525" s="780"/>
      <c r="J1525" s="780"/>
      <c r="K1525" s="675"/>
      <c r="L1525" s="677"/>
    </row>
    <row r="1526" spans="1:12" ht="16.5" thickBot="1" x14ac:dyDescent="0.3">
      <c r="A1526" s="631" t="s">
        <v>952</v>
      </c>
      <c r="B1526" s="632"/>
      <c r="C1526" s="633"/>
      <c r="D1526" s="634" t="s">
        <v>953</v>
      </c>
      <c r="E1526" s="631" t="s">
        <v>954</v>
      </c>
      <c r="F1526" s="635" t="s">
        <v>955</v>
      </c>
      <c r="G1526" s="631" t="s">
        <v>952</v>
      </c>
      <c r="H1526" s="632"/>
      <c r="I1526" s="633"/>
      <c r="J1526" s="634" t="s">
        <v>953</v>
      </c>
      <c r="K1526" s="631" t="s">
        <v>954</v>
      </c>
      <c r="L1526" s="631" t="s">
        <v>955</v>
      </c>
    </row>
    <row r="1527" spans="1:12" ht="15.75" x14ac:dyDescent="0.25">
      <c r="A1527" s="636"/>
      <c r="B1527" s="637"/>
      <c r="C1527" s="638"/>
      <c r="D1527" s="639"/>
      <c r="E1527" s="640"/>
      <c r="F1527" s="641"/>
      <c r="G1527" s="636"/>
      <c r="H1527" s="642"/>
      <c r="I1527" s="643"/>
      <c r="J1527" s="644"/>
      <c r="K1527" s="645"/>
      <c r="L1527" s="646"/>
    </row>
    <row r="1528" spans="1:12" ht="15.75" x14ac:dyDescent="0.25">
      <c r="A1528" s="647"/>
      <c r="B1528" s="648" t="s">
        <v>459</v>
      </c>
      <c r="C1528" s="649">
        <v>207</v>
      </c>
      <c r="D1528" s="650" t="s">
        <v>1224</v>
      </c>
      <c r="E1528" s="651"/>
      <c r="F1528" s="652"/>
      <c r="G1528" s="647"/>
      <c r="H1528" s="648" t="s">
        <v>459</v>
      </c>
      <c r="I1528" s="649">
        <v>72</v>
      </c>
      <c r="J1528" s="650" t="s">
        <v>1232</v>
      </c>
      <c r="K1528" s="651"/>
      <c r="L1528" s="653"/>
    </row>
    <row r="1529" spans="1:12" ht="15.75" x14ac:dyDescent="0.25">
      <c r="A1529" s="647" t="s">
        <v>958</v>
      </c>
      <c r="B1529" s="654"/>
      <c r="C1529" s="649"/>
      <c r="D1529" s="655" t="s">
        <v>959</v>
      </c>
      <c r="E1529" s="651"/>
      <c r="F1529" s="656">
        <v>0.28472222222222221</v>
      </c>
      <c r="G1529" s="647"/>
      <c r="H1529" s="648"/>
      <c r="I1529" s="649"/>
      <c r="J1529" s="655" t="s">
        <v>960</v>
      </c>
      <c r="K1529" s="651"/>
      <c r="L1529" s="656">
        <v>0.97222222222222221</v>
      </c>
    </row>
    <row r="1530" spans="1:12" ht="15.75" x14ac:dyDescent="0.25">
      <c r="A1530" s="647" t="s">
        <v>165</v>
      </c>
      <c r="B1530" s="648"/>
      <c r="C1530" s="649"/>
      <c r="D1530" s="650" t="s">
        <v>412</v>
      </c>
      <c r="E1530" s="651"/>
      <c r="F1530" s="653">
        <v>0.3263888888888889</v>
      </c>
      <c r="G1530" s="647" t="s">
        <v>961</v>
      </c>
      <c r="H1530" s="654"/>
      <c r="I1530" s="649"/>
      <c r="J1530" s="650" t="s">
        <v>163</v>
      </c>
      <c r="K1530" s="657"/>
      <c r="L1530" s="653">
        <v>2.0833333333333332E-2</v>
      </c>
    </row>
    <row r="1531" spans="1:12" ht="15.75" x14ac:dyDescent="0.25">
      <c r="A1531" s="647"/>
      <c r="B1531" s="648"/>
      <c r="C1531" s="649"/>
      <c r="D1531" s="655"/>
      <c r="E1531" s="651"/>
      <c r="F1531" s="656"/>
      <c r="G1531" s="647"/>
      <c r="H1531" s="648"/>
      <c r="I1531" s="649"/>
      <c r="J1531" s="655" t="s">
        <v>164</v>
      </c>
      <c r="K1531" s="651"/>
      <c r="L1531" s="656">
        <v>2.7777777777777776E-2</v>
      </c>
    </row>
    <row r="1532" spans="1:12" ht="15.75" x14ac:dyDescent="0.25">
      <c r="A1532" s="647" t="s">
        <v>958</v>
      </c>
      <c r="B1532" s="648"/>
      <c r="C1532" s="649"/>
      <c r="D1532" s="650" t="s">
        <v>1053</v>
      </c>
      <c r="E1532" s="657">
        <v>0.40972222222222221</v>
      </c>
      <c r="F1532" s="656"/>
      <c r="G1532" s="647"/>
      <c r="H1532" s="648"/>
      <c r="I1532" s="649"/>
      <c r="J1532" s="655" t="s">
        <v>166</v>
      </c>
      <c r="K1532" s="657"/>
      <c r="L1532" s="656">
        <v>5.2083333333333336E-2</v>
      </c>
    </row>
    <row r="1533" spans="1:12" ht="15.75" x14ac:dyDescent="0.25">
      <c r="A1533" s="647"/>
      <c r="B1533" s="648"/>
      <c r="C1533" s="649"/>
      <c r="D1533" s="650" t="s">
        <v>963</v>
      </c>
      <c r="E1533" s="657">
        <v>0.43055555555555558</v>
      </c>
      <c r="F1533" s="653"/>
      <c r="G1533" s="647" t="s">
        <v>961</v>
      </c>
      <c r="H1533" s="648"/>
      <c r="I1533" s="649"/>
      <c r="J1533" s="650" t="s">
        <v>160</v>
      </c>
      <c r="K1533" s="651"/>
      <c r="L1533" s="653">
        <v>0.11805555555555555</v>
      </c>
    </row>
    <row r="1534" spans="1:12" ht="15.75" x14ac:dyDescent="0.25">
      <c r="A1534" s="647"/>
      <c r="B1534" s="648" t="s">
        <v>459</v>
      </c>
      <c r="C1534" s="649">
        <v>207</v>
      </c>
      <c r="D1534" s="650" t="s">
        <v>1233</v>
      </c>
      <c r="E1534" s="651"/>
      <c r="F1534" s="656"/>
      <c r="G1534" s="647"/>
      <c r="H1534" s="648"/>
      <c r="I1534" s="649"/>
      <c r="J1534" s="655" t="s">
        <v>962</v>
      </c>
      <c r="K1534" s="651"/>
      <c r="L1534" s="656">
        <v>0.12500000000001499</v>
      </c>
    </row>
    <row r="1535" spans="1:12" ht="15.75" x14ac:dyDescent="0.25">
      <c r="A1535" s="647"/>
      <c r="B1535" s="648"/>
      <c r="C1535" s="649"/>
      <c r="D1535" s="655"/>
      <c r="E1535" s="651"/>
      <c r="F1535" s="653"/>
      <c r="G1535" s="647"/>
      <c r="H1535" s="648"/>
      <c r="I1535" s="649"/>
      <c r="J1535" s="655" t="s">
        <v>960</v>
      </c>
      <c r="K1535" s="657">
        <v>0.15277777777777779</v>
      </c>
      <c r="L1535" s="656"/>
    </row>
    <row r="1536" spans="1:12" ht="15.75" x14ac:dyDescent="0.25">
      <c r="A1536" s="647"/>
      <c r="B1536" s="648" t="s">
        <v>459</v>
      </c>
      <c r="C1536" s="649">
        <v>216</v>
      </c>
      <c r="D1536" s="650" t="s">
        <v>1234</v>
      </c>
      <c r="E1536" s="651"/>
      <c r="F1536" s="652"/>
      <c r="G1536" s="647"/>
      <c r="H1536" s="648" t="s">
        <v>462</v>
      </c>
      <c r="I1536" s="649" t="s">
        <v>459</v>
      </c>
      <c r="J1536" s="650"/>
      <c r="K1536" s="657"/>
      <c r="L1536" s="653"/>
    </row>
    <row r="1537" spans="1:12" ht="15.75" x14ac:dyDescent="0.25">
      <c r="A1537" s="647" t="s">
        <v>958</v>
      </c>
      <c r="B1537" s="654"/>
      <c r="C1537" s="649"/>
      <c r="D1537" s="655" t="s">
        <v>959</v>
      </c>
      <c r="E1537" s="651"/>
      <c r="F1537" s="656">
        <v>0.66249999999999998</v>
      </c>
      <c r="G1537" s="647"/>
      <c r="H1537" s="648"/>
      <c r="I1537" s="649"/>
      <c r="J1537" s="650"/>
      <c r="K1537" s="657"/>
      <c r="L1537" s="652"/>
    </row>
    <row r="1538" spans="1:12" ht="15.75" x14ac:dyDescent="0.25">
      <c r="A1538" s="647" t="s">
        <v>961</v>
      </c>
      <c r="B1538" s="654"/>
      <c r="C1538" s="649"/>
      <c r="D1538" s="650" t="s">
        <v>163</v>
      </c>
      <c r="E1538" s="657"/>
      <c r="F1538" s="653">
        <v>0.69374999999999998</v>
      </c>
      <c r="G1538" s="647"/>
      <c r="H1538" s="648" t="s">
        <v>459</v>
      </c>
      <c r="I1538" s="649">
        <v>77</v>
      </c>
      <c r="J1538" s="650" t="s">
        <v>1235</v>
      </c>
      <c r="K1538" s="651"/>
      <c r="L1538" s="653"/>
    </row>
    <row r="1539" spans="1:12" ht="15.75" x14ac:dyDescent="0.25">
      <c r="A1539" s="647"/>
      <c r="B1539" s="648"/>
      <c r="C1539" s="649"/>
      <c r="D1539" s="655" t="s">
        <v>164</v>
      </c>
      <c r="E1539" s="651"/>
      <c r="F1539" s="656">
        <v>0.72499999999999998</v>
      </c>
      <c r="G1539" s="647"/>
      <c r="H1539" s="648"/>
      <c r="I1539" s="649"/>
      <c r="J1539" s="655" t="s">
        <v>960</v>
      </c>
      <c r="K1539" s="651"/>
      <c r="L1539" s="656">
        <v>0.15277777777777779</v>
      </c>
    </row>
    <row r="1540" spans="1:12" ht="15.75" x14ac:dyDescent="0.25">
      <c r="A1540" s="647"/>
      <c r="B1540" s="648"/>
      <c r="C1540" s="649"/>
      <c r="D1540" s="655" t="s">
        <v>166</v>
      </c>
      <c r="E1540" s="651"/>
      <c r="F1540" s="656">
        <v>0.73888888888888893</v>
      </c>
      <c r="G1540" s="647" t="s">
        <v>961</v>
      </c>
      <c r="H1540" s="654"/>
      <c r="I1540" s="649"/>
      <c r="J1540" s="650" t="s">
        <v>163</v>
      </c>
      <c r="K1540" s="657"/>
      <c r="L1540" s="653">
        <v>0.18750000000020567</v>
      </c>
    </row>
    <row r="1541" spans="1:12" ht="15.75" x14ac:dyDescent="0.25">
      <c r="A1541" s="647" t="s">
        <v>961</v>
      </c>
      <c r="B1541" s="648"/>
      <c r="C1541" s="649"/>
      <c r="D1541" s="650" t="s">
        <v>160</v>
      </c>
      <c r="E1541" s="651"/>
      <c r="F1541" s="653">
        <v>0.79166666666666763</v>
      </c>
      <c r="G1541" s="647"/>
      <c r="H1541" s="648"/>
      <c r="I1541" s="649"/>
      <c r="J1541" s="655" t="s">
        <v>164</v>
      </c>
      <c r="K1541" s="651"/>
      <c r="L1541" s="656">
        <v>0.20833333333353901</v>
      </c>
    </row>
    <row r="1542" spans="1:12" ht="15.75" x14ac:dyDescent="0.25">
      <c r="A1542" s="647"/>
      <c r="B1542" s="648"/>
      <c r="C1542" s="649"/>
      <c r="D1542" s="655" t="s">
        <v>962</v>
      </c>
      <c r="E1542" s="651"/>
      <c r="F1542" s="656">
        <v>0.79861111111111205</v>
      </c>
      <c r="G1542" s="647"/>
      <c r="H1542" s="648"/>
      <c r="I1542" s="649"/>
      <c r="J1542" s="655" t="s">
        <v>166</v>
      </c>
      <c r="K1542" s="657"/>
      <c r="L1542" s="656">
        <v>1.21875</v>
      </c>
    </row>
    <row r="1543" spans="1:12" ht="15.75" x14ac:dyDescent="0.25">
      <c r="A1543" s="647"/>
      <c r="B1543" s="648"/>
      <c r="C1543" s="649"/>
      <c r="D1543" s="655" t="s">
        <v>960</v>
      </c>
      <c r="E1543" s="657">
        <v>0.82638888888888884</v>
      </c>
      <c r="F1543" s="656"/>
      <c r="G1543" s="647" t="s">
        <v>958</v>
      </c>
      <c r="H1543" s="648"/>
      <c r="I1543" s="649"/>
      <c r="J1543" s="650" t="s">
        <v>160</v>
      </c>
      <c r="K1543" s="657">
        <v>0.24861111111111112</v>
      </c>
      <c r="L1543" s="653"/>
    </row>
    <row r="1544" spans="1:12" ht="15.75" x14ac:dyDescent="0.25">
      <c r="A1544" s="647"/>
      <c r="B1544" s="648" t="s">
        <v>462</v>
      </c>
      <c r="C1544" s="649" t="s">
        <v>459</v>
      </c>
      <c r="D1544" s="650"/>
      <c r="E1544" s="657"/>
      <c r="F1544" s="653"/>
      <c r="G1544" s="647"/>
      <c r="H1544" s="648"/>
      <c r="I1544" s="649"/>
      <c r="J1544" s="650" t="s">
        <v>963</v>
      </c>
      <c r="K1544" s="657">
        <v>0.27986111111111112</v>
      </c>
      <c r="L1544" s="653"/>
    </row>
    <row r="1545" spans="1:12" ht="15.75" x14ac:dyDescent="0.25">
      <c r="A1545" s="647"/>
      <c r="B1545" s="648"/>
      <c r="C1545" s="649"/>
      <c r="D1545" s="650"/>
      <c r="E1545" s="657"/>
      <c r="F1545" s="652"/>
      <c r="G1545" s="647"/>
      <c r="H1545" s="648" t="s">
        <v>462</v>
      </c>
      <c r="I1545" s="649" t="s">
        <v>459</v>
      </c>
      <c r="J1545" s="650"/>
      <c r="K1545" s="651"/>
      <c r="L1545" s="656"/>
    </row>
    <row r="1546" spans="1:12" ht="15.75" x14ac:dyDescent="0.25">
      <c r="A1546" s="647"/>
      <c r="B1546" s="648" t="s">
        <v>459</v>
      </c>
      <c r="C1546" s="649">
        <v>51</v>
      </c>
      <c r="D1546" s="650" t="s">
        <v>1236</v>
      </c>
      <c r="E1546" s="651"/>
      <c r="F1546" s="653"/>
      <c r="G1546" s="647"/>
      <c r="H1546" s="648"/>
      <c r="I1546" s="649"/>
      <c r="J1546" s="650"/>
      <c r="K1546" s="657"/>
      <c r="L1546" s="653"/>
    </row>
    <row r="1547" spans="1:12" ht="15.75" x14ac:dyDescent="0.25">
      <c r="A1547" s="647"/>
      <c r="B1547" s="648"/>
      <c r="C1547" s="649"/>
      <c r="D1547" s="655" t="s">
        <v>960</v>
      </c>
      <c r="E1547" s="651"/>
      <c r="F1547" s="656">
        <v>0.82638888888888884</v>
      </c>
      <c r="G1547" s="647"/>
      <c r="H1547" s="648"/>
      <c r="I1547" s="649"/>
      <c r="J1547" s="650"/>
      <c r="K1547" s="651"/>
      <c r="L1547" s="658"/>
    </row>
    <row r="1548" spans="1:12" ht="15.75" x14ac:dyDescent="0.25">
      <c r="A1548" s="647" t="s">
        <v>961</v>
      </c>
      <c r="B1548" s="654"/>
      <c r="C1548" s="649"/>
      <c r="D1548" s="650" t="s">
        <v>163</v>
      </c>
      <c r="E1548" s="657"/>
      <c r="F1548" s="653">
        <v>0.87499999999999967</v>
      </c>
      <c r="G1548" s="647"/>
      <c r="H1548" s="648"/>
      <c r="I1548" s="649"/>
      <c r="J1548" s="655"/>
      <c r="K1548" s="651"/>
      <c r="L1548" s="658"/>
    </row>
    <row r="1549" spans="1:12" ht="15.75" x14ac:dyDescent="0.25">
      <c r="A1549" s="647"/>
      <c r="B1549" s="648"/>
      <c r="C1549" s="649"/>
      <c r="D1549" s="655" t="s">
        <v>164</v>
      </c>
      <c r="E1549" s="651"/>
      <c r="F1549" s="656">
        <v>0.89583333333333304</v>
      </c>
      <c r="G1549" s="647"/>
      <c r="H1549" s="648"/>
      <c r="I1549" s="649"/>
      <c r="J1549" s="650"/>
      <c r="K1549" s="651"/>
      <c r="L1549" s="658"/>
    </row>
    <row r="1550" spans="1:12" ht="15.75" x14ac:dyDescent="0.25">
      <c r="A1550" s="647"/>
      <c r="B1550" s="648"/>
      <c r="C1550" s="649"/>
      <c r="D1550" s="655" t="s">
        <v>166</v>
      </c>
      <c r="E1550" s="657"/>
      <c r="F1550" s="656">
        <v>0.90625</v>
      </c>
      <c r="G1550" s="647"/>
      <c r="H1550" s="654"/>
      <c r="I1550" s="649"/>
      <c r="J1550" s="650"/>
      <c r="K1550" s="657"/>
      <c r="L1550" s="653"/>
    </row>
    <row r="1551" spans="1:12" ht="15.75" x14ac:dyDescent="0.25">
      <c r="A1551" s="647" t="s">
        <v>961</v>
      </c>
      <c r="B1551" s="648"/>
      <c r="C1551" s="649"/>
      <c r="D1551" s="650" t="s">
        <v>160</v>
      </c>
      <c r="E1551" s="651"/>
      <c r="F1551" s="653">
        <v>0.93750000000000255</v>
      </c>
      <c r="G1551" s="647"/>
      <c r="H1551" s="648"/>
      <c r="I1551" s="649"/>
      <c r="J1551" s="655"/>
      <c r="K1551" s="651"/>
      <c r="L1551" s="656"/>
    </row>
    <row r="1552" spans="1:12" ht="15.75" x14ac:dyDescent="0.25">
      <c r="A1552" s="647"/>
      <c r="B1552" s="648"/>
      <c r="C1552" s="649"/>
      <c r="D1552" s="655" t="s">
        <v>962</v>
      </c>
      <c r="E1552" s="651"/>
      <c r="F1552" s="656">
        <v>0.94444444444444697</v>
      </c>
      <c r="G1552" s="647"/>
      <c r="H1552" s="648"/>
      <c r="I1552" s="649"/>
      <c r="J1552" s="655"/>
      <c r="K1552" s="651"/>
      <c r="L1552" s="656"/>
    </row>
    <row r="1553" spans="1:12" ht="15.75" x14ac:dyDescent="0.25">
      <c r="A1553" s="647"/>
      <c r="B1553" s="648"/>
      <c r="C1553" s="649"/>
      <c r="D1553" s="655" t="s">
        <v>960</v>
      </c>
      <c r="E1553" s="657">
        <v>0.97222222222222221</v>
      </c>
      <c r="F1553" s="656"/>
      <c r="G1553" s="647"/>
      <c r="H1553" s="648"/>
      <c r="I1553" s="649"/>
      <c r="J1553" s="650"/>
      <c r="K1553" s="657"/>
      <c r="L1553" s="653"/>
    </row>
    <row r="1554" spans="1:12" ht="15.75" x14ac:dyDescent="0.25">
      <c r="A1554" s="647"/>
      <c r="B1554" s="648" t="s">
        <v>462</v>
      </c>
      <c r="C1554" s="649" t="s">
        <v>459</v>
      </c>
      <c r="D1554" s="650"/>
      <c r="E1554" s="657"/>
      <c r="F1554" s="653"/>
      <c r="G1554" s="647"/>
      <c r="H1554" s="648"/>
      <c r="I1554" s="649"/>
      <c r="J1554" s="650"/>
      <c r="K1554" s="657"/>
      <c r="L1554" s="653"/>
    </row>
    <row r="1555" spans="1:12" ht="15.75" x14ac:dyDescent="0.25">
      <c r="A1555" s="647"/>
      <c r="B1555" s="648"/>
      <c r="C1555" s="649"/>
      <c r="D1555" s="650"/>
      <c r="E1555" s="657"/>
      <c r="F1555" s="652"/>
      <c r="G1555" s="647"/>
      <c r="H1555" s="648"/>
      <c r="I1555" s="649"/>
      <c r="J1555" s="650"/>
      <c r="K1555" s="657"/>
      <c r="L1555" s="656"/>
    </row>
    <row r="1556" spans="1:12" ht="15.75" x14ac:dyDescent="0.25">
      <c r="A1556" s="647"/>
      <c r="B1556" s="648"/>
      <c r="C1556" s="649"/>
      <c r="D1556" s="650"/>
      <c r="E1556" s="651"/>
      <c r="F1556" s="652"/>
      <c r="G1556" s="647"/>
      <c r="H1556" s="648"/>
      <c r="I1556" s="649"/>
      <c r="J1556" s="650"/>
      <c r="K1556" s="651"/>
      <c r="L1556" s="658"/>
    </row>
    <row r="1557" spans="1:12" ht="15.75" x14ac:dyDescent="0.25">
      <c r="A1557" s="647"/>
      <c r="B1557" s="648"/>
      <c r="C1557" s="649"/>
      <c r="D1557" s="650"/>
      <c r="E1557" s="657"/>
      <c r="F1557" s="653"/>
      <c r="G1557" s="647"/>
      <c r="H1557" s="648"/>
      <c r="I1557" s="649"/>
      <c r="J1557" s="650"/>
      <c r="K1557" s="651"/>
      <c r="L1557" s="658"/>
    </row>
    <row r="1558" spans="1:12" ht="15.75" x14ac:dyDescent="0.25">
      <c r="A1558" s="647"/>
      <c r="B1558" s="648"/>
      <c r="C1558" s="649"/>
      <c r="D1558" s="650"/>
      <c r="E1558" s="657"/>
      <c r="F1558" s="652"/>
      <c r="G1558" s="647"/>
      <c r="H1558" s="648"/>
      <c r="I1558" s="649"/>
      <c r="J1558" s="655"/>
      <c r="K1558" s="651"/>
      <c r="L1558" s="658"/>
    </row>
    <row r="1559" spans="1:12" ht="15.75" x14ac:dyDescent="0.25">
      <c r="A1559" s="647"/>
      <c r="B1559" s="648"/>
      <c r="C1559" s="649"/>
      <c r="D1559" s="650"/>
      <c r="E1559" s="651"/>
      <c r="F1559" s="652"/>
      <c r="G1559" s="647"/>
      <c r="H1559" s="648"/>
      <c r="I1559" s="649"/>
      <c r="J1559" s="650"/>
      <c r="K1559" s="651"/>
      <c r="L1559" s="658"/>
    </row>
    <row r="1560" spans="1:12" ht="16.5" thickBot="1" x14ac:dyDescent="0.3">
      <c r="A1560" s="659"/>
      <c r="B1560" s="660"/>
      <c r="C1560" s="661"/>
      <c r="D1560" s="662"/>
      <c r="E1560" s="663"/>
      <c r="F1560" s="664"/>
      <c r="G1560" s="665"/>
      <c r="H1560" s="666"/>
      <c r="I1560" s="667"/>
      <c r="J1560" s="668"/>
      <c r="K1560" s="663"/>
      <c r="L1560" s="669"/>
    </row>
    <row r="1561" spans="1:12" ht="21" x14ac:dyDescent="0.35">
      <c r="A1561" s="769" t="s">
        <v>945</v>
      </c>
      <c r="B1561" s="770"/>
      <c r="C1561" s="770"/>
      <c r="D1561" s="770"/>
      <c r="E1561" s="770"/>
      <c r="F1561" s="770"/>
      <c r="G1561" s="770"/>
      <c r="H1561" s="770"/>
      <c r="I1561" s="770"/>
      <c r="J1561" s="770"/>
      <c r="K1561" s="770"/>
      <c r="L1561" s="771"/>
    </row>
    <row r="1562" spans="1:12" ht="18.75" x14ac:dyDescent="0.3">
      <c r="A1562" s="772" t="s">
        <v>946</v>
      </c>
      <c r="B1562" s="773"/>
      <c r="C1562" s="773"/>
      <c r="D1562" s="773"/>
      <c r="E1562" s="773"/>
      <c r="F1562" s="773"/>
      <c r="G1562" s="773"/>
      <c r="H1562" s="773"/>
      <c r="I1562" s="773"/>
      <c r="J1562" s="773"/>
      <c r="K1562" s="773"/>
      <c r="L1562" s="774"/>
    </row>
    <row r="1563" spans="1:12" ht="24" x14ac:dyDescent="0.4">
      <c r="A1563" s="775" t="s">
        <v>947</v>
      </c>
      <c r="B1563" s="776"/>
      <c r="C1563" s="776"/>
      <c r="D1563" s="776"/>
      <c r="E1563" s="776"/>
      <c r="F1563" s="776"/>
      <c r="G1563" s="776"/>
      <c r="H1563" s="776"/>
      <c r="I1563" s="776"/>
      <c r="J1563" s="776"/>
      <c r="K1563" s="776"/>
      <c r="L1563" s="777"/>
    </row>
    <row r="1564" spans="1:12" ht="24" x14ac:dyDescent="0.4">
      <c r="A1564" s="670" t="s">
        <v>948</v>
      </c>
      <c r="B1564" s="671"/>
      <c r="C1564" s="671"/>
      <c r="D1564" s="672" t="s">
        <v>949</v>
      </c>
      <c r="E1564" s="778" t="s">
        <v>950</v>
      </c>
      <c r="F1564" s="778"/>
      <c r="G1564" s="778"/>
      <c r="H1564" s="778"/>
      <c r="I1564" s="778"/>
      <c r="J1564" s="673" t="s">
        <v>1237</v>
      </c>
      <c r="K1564" s="778"/>
      <c r="L1564" s="779"/>
    </row>
    <row r="1565" spans="1:12" ht="15.75" thickBot="1" x14ac:dyDescent="0.3">
      <c r="A1565" s="674"/>
      <c r="B1565" s="675"/>
      <c r="C1565" s="675"/>
      <c r="D1565" s="676"/>
      <c r="E1565" s="675"/>
      <c r="F1565" s="675"/>
      <c r="G1565" s="675"/>
      <c r="H1565" s="675"/>
      <c r="I1565" s="780"/>
      <c r="J1565" s="780"/>
      <c r="K1565" s="675"/>
      <c r="L1565" s="677"/>
    </row>
    <row r="1566" spans="1:12" ht="16.5" thickBot="1" x14ac:dyDescent="0.3">
      <c r="A1566" s="631" t="s">
        <v>952</v>
      </c>
      <c r="B1566" s="632"/>
      <c r="C1566" s="633"/>
      <c r="D1566" s="634" t="s">
        <v>953</v>
      </c>
      <c r="E1566" s="631" t="s">
        <v>954</v>
      </c>
      <c r="F1566" s="635" t="s">
        <v>955</v>
      </c>
      <c r="G1566" s="631" t="s">
        <v>952</v>
      </c>
      <c r="H1566" s="632"/>
      <c r="I1566" s="633"/>
      <c r="J1566" s="634" t="s">
        <v>953</v>
      </c>
      <c r="K1566" s="631" t="s">
        <v>954</v>
      </c>
      <c r="L1566" s="631" t="s">
        <v>955</v>
      </c>
    </row>
    <row r="1567" spans="1:12" ht="15.75" x14ac:dyDescent="0.25">
      <c r="A1567" s="636"/>
      <c r="B1567" s="637"/>
      <c r="C1567" s="638"/>
      <c r="D1567" s="639"/>
      <c r="E1567" s="640"/>
      <c r="F1567" s="641"/>
      <c r="G1567" s="636"/>
      <c r="H1567" s="642"/>
      <c r="I1567" s="643"/>
      <c r="J1567" s="644"/>
      <c r="K1567" s="645"/>
      <c r="L1567" s="646"/>
    </row>
    <row r="1568" spans="1:12" ht="15.75" x14ac:dyDescent="0.25">
      <c r="A1568" s="647"/>
      <c r="B1568" s="648" t="s">
        <v>459</v>
      </c>
      <c r="C1568" s="649">
        <v>208</v>
      </c>
      <c r="D1568" s="650" t="s">
        <v>1224</v>
      </c>
      <c r="E1568" s="651"/>
      <c r="F1568" s="652"/>
      <c r="G1568" s="647"/>
      <c r="H1568" s="648"/>
      <c r="I1568" s="649"/>
      <c r="J1568" s="650"/>
      <c r="K1568" s="651"/>
      <c r="L1568" s="653"/>
    </row>
    <row r="1569" spans="1:12" ht="15.75" x14ac:dyDescent="0.25">
      <c r="A1569" s="647" t="s">
        <v>958</v>
      </c>
      <c r="B1569" s="654"/>
      <c r="C1569" s="649"/>
      <c r="D1569" s="655" t="s">
        <v>959</v>
      </c>
      <c r="E1569" s="651"/>
      <c r="F1569" s="656">
        <v>0.28472222222222221</v>
      </c>
      <c r="G1569" s="647"/>
      <c r="H1569" s="648"/>
      <c r="I1569" s="649"/>
      <c r="J1569" s="655"/>
      <c r="K1569" s="651"/>
      <c r="L1569" s="656"/>
    </row>
    <row r="1570" spans="1:12" ht="15.75" x14ac:dyDescent="0.25">
      <c r="A1570" s="647" t="s">
        <v>961</v>
      </c>
      <c r="B1570" s="654"/>
      <c r="C1570" s="649"/>
      <c r="D1570" s="650" t="s">
        <v>163</v>
      </c>
      <c r="E1570" s="657"/>
      <c r="F1570" s="653">
        <v>0.3125</v>
      </c>
      <c r="G1570" s="647"/>
      <c r="H1570" s="648"/>
      <c r="I1570" s="649"/>
      <c r="J1570" s="650"/>
      <c r="K1570" s="651"/>
      <c r="L1570" s="653"/>
    </row>
    <row r="1571" spans="1:12" ht="15.75" x14ac:dyDescent="0.25">
      <c r="A1571" s="647"/>
      <c r="B1571" s="648"/>
      <c r="C1571" s="649"/>
      <c r="D1571" s="655" t="s">
        <v>164</v>
      </c>
      <c r="E1571" s="651"/>
      <c r="F1571" s="656">
        <v>0.34375</v>
      </c>
      <c r="G1571" s="647"/>
      <c r="H1571" s="648"/>
      <c r="I1571" s="649"/>
      <c r="J1571" s="655"/>
      <c r="K1571" s="651"/>
      <c r="L1571" s="656"/>
    </row>
    <row r="1572" spans="1:12" ht="15.75" x14ac:dyDescent="0.25">
      <c r="A1572" s="647"/>
      <c r="B1572" s="648"/>
      <c r="C1572" s="649"/>
      <c r="D1572" s="655" t="s">
        <v>166</v>
      </c>
      <c r="E1572" s="651"/>
      <c r="F1572" s="656">
        <v>0.36458333333333331</v>
      </c>
      <c r="G1572" s="647"/>
      <c r="H1572" s="648"/>
      <c r="I1572" s="649"/>
      <c r="J1572" s="655"/>
      <c r="K1572" s="651"/>
      <c r="L1572" s="656"/>
    </row>
    <row r="1573" spans="1:12" ht="15.75" x14ac:dyDescent="0.25">
      <c r="A1573" s="647" t="s">
        <v>958</v>
      </c>
      <c r="B1573" s="648"/>
      <c r="C1573" s="649"/>
      <c r="D1573" s="650" t="s">
        <v>160</v>
      </c>
      <c r="E1573" s="657">
        <v>0.41388888888888886</v>
      </c>
      <c r="F1573" s="653"/>
      <c r="G1573" s="647"/>
      <c r="H1573" s="654"/>
      <c r="I1573" s="649"/>
      <c r="J1573" s="650"/>
      <c r="K1573" s="657"/>
      <c r="L1573" s="653"/>
    </row>
    <row r="1574" spans="1:12" ht="15.75" x14ac:dyDescent="0.25">
      <c r="A1574" s="647"/>
      <c r="B1574" s="648"/>
      <c r="C1574" s="649"/>
      <c r="D1574" s="650" t="s">
        <v>963</v>
      </c>
      <c r="E1574" s="657">
        <v>0.44861111111111113</v>
      </c>
      <c r="F1574" s="656"/>
      <c r="G1574" s="647"/>
      <c r="H1574" s="648"/>
      <c r="I1574" s="649"/>
      <c r="J1574" s="655"/>
      <c r="K1574" s="651"/>
      <c r="L1574" s="656"/>
    </row>
    <row r="1575" spans="1:12" ht="15.75" x14ac:dyDescent="0.25">
      <c r="A1575" s="647"/>
      <c r="B1575" s="648" t="s">
        <v>459</v>
      </c>
      <c r="C1575" s="649">
        <v>208</v>
      </c>
      <c r="D1575" s="650" t="s">
        <v>1238</v>
      </c>
      <c r="E1575" s="657"/>
      <c r="F1575" s="656"/>
      <c r="G1575" s="647"/>
      <c r="H1575" s="648"/>
      <c r="I1575" s="649"/>
      <c r="J1575" s="655"/>
      <c r="K1575" s="657"/>
      <c r="L1575" s="656"/>
    </row>
    <row r="1576" spans="1:12" ht="15.75" x14ac:dyDescent="0.25">
      <c r="A1576" s="647"/>
      <c r="B1576" s="648"/>
      <c r="C1576" s="649"/>
      <c r="D1576" s="650"/>
      <c r="E1576" s="657"/>
      <c r="F1576" s="653"/>
      <c r="G1576" s="647"/>
      <c r="H1576" s="648"/>
      <c r="I1576" s="649"/>
      <c r="J1576" s="650"/>
      <c r="K1576" s="651"/>
      <c r="L1576" s="653"/>
    </row>
    <row r="1577" spans="1:12" ht="15.75" x14ac:dyDescent="0.25">
      <c r="A1577" s="647"/>
      <c r="B1577" s="648" t="s">
        <v>459</v>
      </c>
      <c r="C1577" s="649">
        <v>225</v>
      </c>
      <c r="D1577" s="650" t="s">
        <v>1239</v>
      </c>
      <c r="E1577" s="651"/>
      <c r="F1577" s="652"/>
      <c r="G1577" s="647"/>
      <c r="H1577" s="648"/>
      <c r="I1577" s="649"/>
      <c r="J1577" s="650"/>
      <c r="K1577" s="651"/>
      <c r="L1577" s="652"/>
    </row>
    <row r="1578" spans="1:12" ht="15.75" x14ac:dyDescent="0.25">
      <c r="A1578" s="647" t="s">
        <v>958</v>
      </c>
      <c r="B1578" s="654"/>
      <c r="C1578" s="649"/>
      <c r="D1578" s="655" t="s">
        <v>959</v>
      </c>
      <c r="E1578" s="651"/>
      <c r="F1578" s="656">
        <v>0.68055555555555558</v>
      </c>
      <c r="G1578" s="647"/>
      <c r="H1578" s="648"/>
      <c r="I1578" s="649"/>
      <c r="J1578" s="650"/>
      <c r="K1578" s="651"/>
      <c r="L1578" s="653"/>
    </row>
    <row r="1579" spans="1:12" ht="15.75" x14ac:dyDescent="0.25">
      <c r="A1579" s="647" t="s">
        <v>165</v>
      </c>
      <c r="B1579" s="654"/>
      <c r="C1579" s="649"/>
      <c r="D1579" s="650" t="s">
        <v>1053</v>
      </c>
      <c r="E1579" s="657"/>
      <c r="F1579" s="653">
        <v>0.70138888888888884</v>
      </c>
      <c r="G1579" s="647"/>
      <c r="H1579" s="648"/>
      <c r="I1579" s="649"/>
      <c r="J1579" s="655"/>
      <c r="K1579" s="651"/>
      <c r="L1579" s="656"/>
    </row>
    <row r="1580" spans="1:12" ht="15.75" x14ac:dyDescent="0.25">
      <c r="A1580" s="647"/>
      <c r="B1580" s="648"/>
      <c r="C1580" s="649"/>
      <c r="D1580" s="655"/>
      <c r="E1580" s="651"/>
      <c r="F1580" s="656"/>
      <c r="G1580" s="647"/>
      <c r="H1580" s="648"/>
      <c r="I1580" s="649"/>
      <c r="J1580" s="650"/>
      <c r="K1580" s="651"/>
      <c r="L1580" s="653"/>
    </row>
    <row r="1581" spans="1:12" ht="15.75" x14ac:dyDescent="0.25">
      <c r="A1581" s="647" t="s">
        <v>958</v>
      </c>
      <c r="B1581" s="648"/>
      <c r="C1581" s="649"/>
      <c r="D1581" s="650" t="s">
        <v>412</v>
      </c>
      <c r="E1581" s="657">
        <v>0.78125</v>
      </c>
      <c r="F1581" s="653"/>
      <c r="G1581" s="647"/>
      <c r="H1581" s="648"/>
      <c r="I1581" s="649"/>
      <c r="J1581" s="655"/>
      <c r="K1581" s="651"/>
      <c r="L1581" s="656"/>
    </row>
    <row r="1582" spans="1:12" ht="15.75" x14ac:dyDescent="0.25">
      <c r="A1582" s="647"/>
      <c r="B1582" s="648"/>
      <c r="C1582" s="649"/>
      <c r="D1582" s="650" t="s">
        <v>963</v>
      </c>
      <c r="E1582" s="657">
        <v>0.81597222222222221</v>
      </c>
      <c r="F1582" s="656"/>
      <c r="G1582" s="647"/>
      <c r="H1582" s="648"/>
      <c r="I1582" s="649"/>
      <c r="J1582" s="655"/>
      <c r="K1582" s="651"/>
      <c r="L1582" s="656"/>
    </row>
    <row r="1583" spans="1:12" ht="15.75" x14ac:dyDescent="0.25">
      <c r="A1583" s="647"/>
      <c r="B1583" s="648" t="s">
        <v>1240</v>
      </c>
      <c r="C1583" s="649" t="s">
        <v>459</v>
      </c>
      <c r="D1583" s="650"/>
      <c r="E1583" s="657"/>
      <c r="F1583" s="656"/>
      <c r="G1583" s="647"/>
      <c r="H1583" s="654"/>
      <c r="I1583" s="649"/>
      <c r="J1583" s="650"/>
      <c r="K1583" s="657"/>
      <c r="L1583" s="653"/>
    </row>
    <row r="1584" spans="1:12" ht="15.75" x14ac:dyDescent="0.25">
      <c r="A1584" s="647"/>
      <c r="B1584" s="648"/>
      <c r="C1584" s="649"/>
      <c r="D1584" s="650"/>
      <c r="E1584" s="651"/>
      <c r="F1584" s="653"/>
      <c r="G1584" s="647"/>
      <c r="H1584" s="648"/>
      <c r="I1584" s="649"/>
      <c r="J1584" s="650"/>
      <c r="K1584" s="657"/>
      <c r="L1584" s="656"/>
    </row>
    <row r="1585" spans="1:12" ht="15.75" x14ac:dyDescent="0.25">
      <c r="A1585" s="647"/>
      <c r="B1585" s="648"/>
      <c r="C1585" s="649"/>
      <c r="D1585" s="655"/>
      <c r="E1585" s="651"/>
      <c r="F1585" s="656"/>
      <c r="G1585" s="647"/>
      <c r="H1585" s="648"/>
      <c r="I1585" s="649"/>
      <c r="J1585" s="650"/>
      <c r="K1585" s="657"/>
      <c r="L1585" s="656"/>
    </row>
    <row r="1586" spans="1:12" ht="15.75" x14ac:dyDescent="0.25">
      <c r="A1586" s="647"/>
      <c r="B1586" s="648"/>
      <c r="C1586" s="649"/>
      <c r="D1586" s="650"/>
      <c r="E1586" s="651"/>
      <c r="F1586" s="653"/>
      <c r="G1586" s="647"/>
      <c r="H1586" s="648"/>
      <c r="I1586" s="649"/>
      <c r="J1586" s="650"/>
      <c r="K1586" s="657"/>
      <c r="L1586" s="653"/>
    </row>
    <row r="1587" spans="1:12" ht="15.75" x14ac:dyDescent="0.25">
      <c r="A1587" s="647"/>
      <c r="B1587" s="648"/>
      <c r="C1587" s="649"/>
      <c r="D1587" s="655"/>
      <c r="E1587" s="651"/>
      <c r="F1587" s="656"/>
      <c r="G1587" s="647"/>
      <c r="H1587" s="648"/>
      <c r="I1587" s="649"/>
      <c r="J1587" s="650"/>
      <c r="K1587" s="657"/>
      <c r="L1587" s="652"/>
    </row>
    <row r="1588" spans="1:12" ht="15.75" x14ac:dyDescent="0.25">
      <c r="A1588" s="647"/>
      <c r="B1588" s="648"/>
      <c r="C1588" s="649"/>
      <c r="D1588" s="655"/>
      <c r="E1588" s="651"/>
      <c r="F1588" s="656"/>
      <c r="G1588" s="647"/>
      <c r="H1588" s="648"/>
      <c r="I1588" s="649"/>
      <c r="J1588" s="650"/>
      <c r="K1588" s="651"/>
      <c r="L1588" s="652"/>
    </row>
    <row r="1589" spans="1:12" ht="15.75" x14ac:dyDescent="0.25">
      <c r="A1589" s="647"/>
      <c r="B1589" s="648"/>
      <c r="C1589" s="649"/>
      <c r="D1589" s="655"/>
      <c r="E1589" s="651"/>
      <c r="F1589" s="656"/>
      <c r="G1589" s="647"/>
      <c r="H1589" s="648"/>
      <c r="I1589" s="649"/>
      <c r="J1589" s="650"/>
      <c r="K1589" s="657"/>
      <c r="L1589" s="652"/>
    </row>
    <row r="1590" spans="1:12" ht="15.75" x14ac:dyDescent="0.25">
      <c r="A1590" s="647"/>
      <c r="B1590" s="654"/>
      <c r="C1590" s="649"/>
      <c r="D1590" s="650"/>
      <c r="E1590" s="657"/>
      <c r="F1590" s="653"/>
      <c r="G1590" s="647"/>
      <c r="H1590" s="648"/>
      <c r="I1590" s="649"/>
      <c r="J1590" s="650"/>
      <c r="K1590" s="651"/>
      <c r="L1590" s="652"/>
    </row>
    <row r="1591" spans="1:12" ht="15.75" x14ac:dyDescent="0.25">
      <c r="A1591" s="647"/>
      <c r="B1591" s="648"/>
      <c r="C1591" s="649"/>
      <c r="D1591" s="655"/>
      <c r="E1591" s="651"/>
      <c r="F1591" s="656"/>
      <c r="G1591" s="647"/>
      <c r="H1591" s="648"/>
      <c r="I1591" s="649"/>
      <c r="J1591" s="650"/>
      <c r="K1591" s="651"/>
      <c r="L1591" s="652"/>
    </row>
    <row r="1592" spans="1:12" ht="15.75" x14ac:dyDescent="0.25">
      <c r="A1592" s="647"/>
      <c r="B1592" s="648"/>
      <c r="C1592" s="649"/>
      <c r="D1592" s="655"/>
      <c r="E1592" s="657"/>
      <c r="F1592" s="656"/>
      <c r="G1592" s="647"/>
      <c r="H1592" s="648"/>
      <c r="I1592" s="649"/>
      <c r="J1592" s="650"/>
      <c r="K1592" s="651"/>
      <c r="L1592" s="652"/>
    </row>
    <row r="1593" spans="1:12" ht="15.75" x14ac:dyDescent="0.25">
      <c r="A1593" s="647"/>
      <c r="B1593" s="648"/>
      <c r="C1593" s="649"/>
      <c r="D1593" s="650"/>
      <c r="E1593" s="651"/>
      <c r="F1593" s="653"/>
      <c r="G1593" s="647"/>
      <c r="H1593" s="648"/>
      <c r="I1593" s="649"/>
      <c r="J1593" s="650"/>
      <c r="K1593" s="651"/>
      <c r="L1593" s="652"/>
    </row>
    <row r="1594" spans="1:12" ht="15.75" x14ac:dyDescent="0.25">
      <c r="A1594" s="647"/>
      <c r="B1594" s="648"/>
      <c r="C1594" s="649"/>
      <c r="D1594" s="650"/>
      <c r="E1594" s="657"/>
      <c r="F1594" s="652"/>
      <c r="G1594" s="647"/>
      <c r="H1594" s="648"/>
      <c r="I1594" s="649"/>
      <c r="J1594" s="650"/>
      <c r="K1594" s="651"/>
      <c r="L1594" s="652"/>
    </row>
    <row r="1595" spans="1:12" ht="15.75" x14ac:dyDescent="0.25">
      <c r="A1595" s="647"/>
      <c r="B1595" s="648"/>
      <c r="C1595" s="649"/>
      <c r="D1595" s="650"/>
      <c r="E1595" s="651"/>
      <c r="F1595" s="652"/>
      <c r="G1595" s="647"/>
      <c r="H1595" s="648"/>
      <c r="I1595" s="649"/>
      <c r="J1595" s="650"/>
      <c r="K1595" s="651"/>
      <c r="L1595" s="652"/>
    </row>
    <row r="1596" spans="1:12" ht="15.75" x14ac:dyDescent="0.25">
      <c r="A1596" s="647"/>
      <c r="B1596" s="648"/>
      <c r="C1596" s="649"/>
      <c r="D1596" s="650"/>
      <c r="E1596" s="651"/>
      <c r="F1596" s="652"/>
      <c r="G1596" s="647"/>
      <c r="H1596" s="648"/>
      <c r="I1596" s="649"/>
      <c r="J1596" s="650"/>
      <c r="K1596" s="651"/>
      <c r="L1596" s="652"/>
    </row>
    <row r="1597" spans="1:12" ht="15.75" x14ac:dyDescent="0.25">
      <c r="A1597" s="647"/>
      <c r="B1597" s="648"/>
      <c r="C1597" s="649"/>
      <c r="D1597" s="650"/>
      <c r="E1597" s="657"/>
      <c r="F1597" s="653"/>
      <c r="G1597" s="647"/>
      <c r="H1597" s="648"/>
      <c r="I1597" s="649"/>
      <c r="J1597" s="650"/>
      <c r="K1597" s="651"/>
      <c r="L1597" s="658"/>
    </row>
    <row r="1598" spans="1:12" ht="15.75" x14ac:dyDescent="0.25">
      <c r="A1598" s="647"/>
      <c r="B1598" s="648"/>
      <c r="C1598" s="649"/>
      <c r="D1598" s="650"/>
      <c r="E1598" s="657"/>
      <c r="F1598" s="652"/>
      <c r="G1598" s="647"/>
      <c r="H1598" s="648"/>
      <c r="I1598" s="649"/>
      <c r="J1598" s="655"/>
      <c r="K1598" s="651"/>
      <c r="L1598" s="658"/>
    </row>
    <row r="1599" spans="1:12" ht="15.75" x14ac:dyDescent="0.25">
      <c r="A1599" s="647"/>
      <c r="B1599" s="648"/>
      <c r="C1599" s="649"/>
      <c r="D1599" s="650"/>
      <c r="E1599" s="651"/>
      <c r="F1599" s="652"/>
      <c r="G1599" s="647"/>
      <c r="H1599" s="648"/>
      <c r="I1599" s="649"/>
      <c r="J1599" s="650"/>
      <c r="K1599" s="651"/>
      <c r="L1599" s="658"/>
    </row>
    <row r="1600" spans="1:12" ht="16.5" thickBot="1" x14ac:dyDescent="0.3">
      <c r="A1600" s="659"/>
      <c r="B1600" s="660"/>
      <c r="C1600" s="661"/>
      <c r="D1600" s="662"/>
      <c r="E1600" s="663"/>
      <c r="F1600" s="664"/>
      <c r="G1600" s="665"/>
      <c r="H1600" s="666"/>
      <c r="I1600" s="667"/>
      <c r="J1600" s="668"/>
      <c r="K1600" s="663"/>
      <c r="L1600" s="669"/>
    </row>
    <row r="1601" spans="1:12" ht="21" x14ac:dyDescent="0.35">
      <c r="A1601" s="769" t="s">
        <v>945</v>
      </c>
      <c r="B1601" s="770"/>
      <c r="C1601" s="770"/>
      <c r="D1601" s="770"/>
      <c r="E1601" s="770"/>
      <c r="F1601" s="770"/>
      <c r="G1601" s="770"/>
      <c r="H1601" s="770"/>
      <c r="I1601" s="770"/>
      <c r="J1601" s="770"/>
      <c r="K1601" s="770"/>
      <c r="L1601" s="771"/>
    </row>
    <row r="1602" spans="1:12" ht="18.75" x14ac:dyDescent="0.3">
      <c r="A1602" s="772" t="s">
        <v>946</v>
      </c>
      <c r="B1602" s="773"/>
      <c r="C1602" s="773"/>
      <c r="D1602" s="773"/>
      <c r="E1602" s="773"/>
      <c r="F1602" s="773"/>
      <c r="G1602" s="773"/>
      <c r="H1602" s="773"/>
      <c r="I1602" s="773"/>
      <c r="J1602" s="773"/>
      <c r="K1602" s="773"/>
      <c r="L1602" s="774"/>
    </row>
    <row r="1603" spans="1:12" ht="24" x14ac:dyDescent="0.4">
      <c r="A1603" s="775" t="s">
        <v>947</v>
      </c>
      <c r="B1603" s="776"/>
      <c r="C1603" s="776"/>
      <c r="D1603" s="776"/>
      <c r="E1603" s="776"/>
      <c r="F1603" s="776"/>
      <c r="G1603" s="776"/>
      <c r="H1603" s="776"/>
      <c r="I1603" s="776"/>
      <c r="J1603" s="776"/>
      <c r="K1603" s="776"/>
      <c r="L1603" s="777"/>
    </row>
    <row r="1604" spans="1:12" ht="24" x14ac:dyDescent="0.4">
      <c r="A1604" s="670" t="s">
        <v>948</v>
      </c>
      <c r="B1604" s="671"/>
      <c r="C1604" s="671"/>
      <c r="D1604" s="672" t="s">
        <v>949</v>
      </c>
      <c r="E1604" s="778" t="s">
        <v>950</v>
      </c>
      <c r="F1604" s="778"/>
      <c r="G1604" s="778"/>
      <c r="H1604" s="778"/>
      <c r="I1604" s="778"/>
      <c r="J1604" s="673" t="s">
        <v>1241</v>
      </c>
      <c r="K1604" s="778"/>
      <c r="L1604" s="779"/>
    </row>
    <row r="1605" spans="1:12" ht="15.75" thickBot="1" x14ac:dyDescent="0.3">
      <c r="A1605" s="674"/>
      <c r="B1605" s="675"/>
      <c r="C1605" s="675"/>
      <c r="D1605" s="676"/>
      <c r="E1605" s="675"/>
      <c r="F1605" s="675"/>
      <c r="G1605" s="675"/>
      <c r="H1605" s="675"/>
      <c r="I1605" s="780"/>
      <c r="J1605" s="780"/>
      <c r="K1605" s="675"/>
      <c r="L1605" s="677"/>
    </row>
    <row r="1606" spans="1:12" ht="16.5" thickBot="1" x14ac:dyDescent="0.3">
      <c r="A1606" s="631" t="s">
        <v>952</v>
      </c>
      <c r="B1606" s="632"/>
      <c r="C1606" s="633"/>
      <c r="D1606" s="634" t="s">
        <v>953</v>
      </c>
      <c r="E1606" s="631" t="s">
        <v>954</v>
      </c>
      <c r="F1606" s="635" t="s">
        <v>955</v>
      </c>
      <c r="G1606" s="631" t="s">
        <v>952</v>
      </c>
      <c r="H1606" s="632"/>
      <c r="I1606" s="633"/>
      <c r="J1606" s="634" t="s">
        <v>953</v>
      </c>
      <c r="K1606" s="631" t="s">
        <v>954</v>
      </c>
      <c r="L1606" s="631" t="s">
        <v>955</v>
      </c>
    </row>
    <row r="1607" spans="1:12" ht="15.75" x14ac:dyDescent="0.25">
      <c r="A1607" s="636"/>
      <c r="B1607" s="637"/>
      <c r="C1607" s="638"/>
      <c r="D1607" s="639"/>
      <c r="E1607" s="640"/>
      <c r="F1607" s="641"/>
      <c r="G1607" s="636"/>
      <c r="H1607" s="642"/>
      <c r="I1607" s="643"/>
      <c r="J1607" s="644"/>
      <c r="K1607" s="645"/>
      <c r="L1607" s="646"/>
    </row>
    <row r="1608" spans="1:12" ht="15.75" x14ac:dyDescent="0.25">
      <c r="A1608" s="647"/>
      <c r="B1608" s="648" t="s">
        <v>459</v>
      </c>
      <c r="C1608" s="649">
        <v>209</v>
      </c>
      <c r="D1608" s="650" t="s">
        <v>1242</v>
      </c>
      <c r="E1608" s="651"/>
      <c r="F1608" s="652"/>
      <c r="G1608" s="647"/>
      <c r="H1608" s="648" t="s">
        <v>459</v>
      </c>
      <c r="I1608" s="649">
        <v>71</v>
      </c>
      <c r="J1608" s="650" t="s">
        <v>1243</v>
      </c>
      <c r="K1608" s="651"/>
      <c r="L1608" s="653"/>
    </row>
    <row r="1609" spans="1:12" ht="15.75" x14ac:dyDescent="0.25">
      <c r="A1609" s="647" t="s">
        <v>958</v>
      </c>
      <c r="B1609" s="654"/>
      <c r="C1609" s="649"/>
      <c r="D1609" s="655" t="s">
        <v>959</v>
      </c>
      <c r="E1609" s="651"/>
      <c r="F1609" s="656">
        <v>0.2902777777777778</v>
      </c>
      <c r="G1609" s="647"/>
      <c r="H1609" s="648"/>
      <c r="I1609" s="649"/>
      <c r="J1609" s="655" t="s">
        <v>166</v>
      </c>
      <c r="K1609" s="651"/>
      <c r="L1609" s="656">
        <v>0.76249999999999996</v>
      </c>
    </row>
    <row r="1610" spans="1:12" ht="15.75" x14ac:dyDescent="0.25">
      <c r="A1610" s="647" t="s">
        <v>961</v>
      </c>
      <c r="B1610" s="654"/>
      <c r="C1610" s="649"/>
      <c r="D1610" s="650" t="s">
        <v>163</v>
      </c>
      <c r="E1610" s="657"/>
      <c r="F1610" s="653">
        <v>0.31805555555555554</v>
      </c>
      <c r="G1610" s="647" t="s">
        <v>961</v>
      </c>
      <c r="H1610" s="648"/>
      <c r="I1610" s="649"/>
      <c r="J1610" s="650" t="s">
        <v>160</v>
      </c>
      <c r="K1610" s="651"/>
      <c r="L1610" s="653">
        <v>0.80555555555555558</v>
      </c>
    </row>
    <row r="1611" spans="1:12" ht="15.75" x14ac:dyDescent="0.25">
      <c r="A1611" s="647"/>
      <c r="B1611" s="648"/>
      <c r="C1611" s="649"/>
      <c r="D1611" s="655" t="s">
        <v>164</v>
      </c>
      <c r="E1611" s="651"/>
      <c r="F1611" s="656">
        <v>0.34930555555555554</v>
      </c>
      <c r="G1611" s="647"/>
      <c r="H1611" s="648"/>
      <c r="I1611" s="649"/>
      <c r="J1611" s="655" t="s">
        <v>962</v>
      </c>
      <c r="K1611" s="651"/>
      <c r="L1611" s="656">
        <v>0.8125</v>
      </c>
    </row>
    <row r="1612" spans="1:12" ht="15.75" x14ac:dyDescent="0.25">
      <c r="A1612" s="647"/>
      <c r="B1612" s="648"/>
      <c r="C1612" s="649"/>
      <c r="D1612" s="655" t="s">
        <v>166</v>
      </c>
      <c r="E1612" s="651"/>
      <c r="F1612" s="656">
        <v>0.36666666666666664</v>
      </c>
      <c r="G1612" s="647"/>
      <c r="H1612" s="648"/>
      <c r="I1612" s="649"/>
      <c r="J1612" s="655" t="s">
        <v>960</v>
      </c>
      <c r="K1612" s="651"/>
      <c r="L1612" s="656">
        <v>0.84027777777777779</v>
      </c>
    </row>
    <row r="1613" spans="1:12" ht="15.75" x14ac:dyDescent="0.25">
      <c r="A1613" s="647" t="s">
        <v>961</v>
      </c>
      <c r="B1613" s="648"/>
      <c r="C1613" s="649"/>
      <c r="D1613" s="650" t="s">
        <v>160</v>
      </c>
      <c r="E1613" s="651"/>
      <c r="F1613" s="653">
        <v>0.4201388888888889</v>
      </c>
      <c r="G1613" s="647" t="s">
        <v>961</v>
      </c>
      <c r="H1613" s="654"/>
      <c r="I1613" s="649"/>
      <c r="J1613" s="650" t="s">
        <v>163</v>
      </c>
      <c r="K1613" s="657"/>
      <c r="L1613" s="653">
        <v>0.88888888888888884</v>
      </c>
    </row>
    <row r="1614" spans="1:12" ht="15.75" x14ac:dyDescent="0.25">
      <c r="A1614" s="647"/>
      <c r="B1614" s="648"/>
      <c r="C1614" s="649"/>
      <c r="D1614" s="655" t="s">
        <v>962</v>
      </c>
      <c r="E1614" s="651"/>
      <c r="F1614" s="656">
        <v>0.43055555555555558</v>
      </c>
      <c r="G1614" s="647"/>
      <c r="H1614" s="648"/>
      <c r="I1614" s="649"/>
      <c r="J1614" s="655" t="s">
        <v>164</v>
      </c>
      <c r="K1614" s="651"/>
      <c r="L1614" s="656">
        <v>0.90972222222222221</v>
      </c>
    </row>
    <row r="1615" spans="1:12" ht="15.75" x14ac:dyDescent="0.25">
      <c r="A1615" s="647"/>
      <c r="B1615" s="648"/>
      <c r="C1615" s="649"/>
      <c r="D1615" s="655" t="s">
        <v>960</v>
      </c>
      <c r="E1615" s="657">
        <v>0.46527777777777779</v>
      </c>
      <c r="F1615" s="656"/>
      <c r="G1615" s="647"/>
      <c r="H1615" s="648"/>
      <c r="I1615" s="649"/>
      <c r="J1615" s="655" t="s">
        <v>166</v>
      </c>
      <c r="K1615" s="657">
        <v>0.92013888888888884</v>
      </c>
      <c r="L1615" s="656"/>
    </row>
    <row r="1616" spans="1:12" ht="15.75" x14ac:dyDescent="0.25">
      <c r="A1616" s="647"/>
      <c r="B1616" s="648" t="s">
        <v>459</v>
      </c>
      <c r="C1616" s="649">
        <v>209</v>
      </c>
      <c r="D1616" s="650" t="s">
        <v>1244</v>
      </c>
      <c r="E1616" s="657"/>
      <c r="F1616" s="653"/>
      <c r="G1616" s="647"/>
      <c r="H1616" s="648" t="s">
        <v>459</v>
      </c>
      <c r="I1616" s="649">
        <v>71</v>
      </c>
      <c r="J1616" s="650" t="s">
        <v>1245</v>
      </c>
      <c r="K1616" s="651"/>
      <c r="L1616" s="653"/>
    </row>
    <row r="1617" spans="1:12" ht="15.75" x14ac:dyDescent="0.25">
      <c r="A1617" s="647"/>
      <c r="B1617" s="648"/>
      <c r="C1617" s="649"/>
      <c r="D1617" s="650"/>
      <c r="E1617" s="657"/>
      <c r="F1617" s="652"/>
      <c r="G1617" s="647"/>
      <c r="H1617" s="648"/>
      <c r="I1617" s="649"/>
      <c r="J1617" s="650"/>
      <c r="K1617" s="651"/>
      <c r="L1617" s="652"/>
    </row>
    <row r="1618" spans="1:12" ht="15.75" x14ac:dyDescent="0.25">
      <c r="A1618" s="647"/>
      <c r="B1618" s="648" t="s">
        <v>459</v>
      </c>
      <c r="C1618" s="649">
        <v>19</v>
      </c>
      <c r="D1618" s="650" t="s">
        <v>1246</v>
      </c>
      <c r="E1618" s="651"/>
      <c r="F1618" s="653"/>
      <c r="G1618" s="647"/>
      <c r="H1618" s="648" t="s">
        <v>459</v>
      </c>
      <c r="I1618" s="649">
        <v>61</v>
      </c>
      <c r="J1618" s="650" t="s">
        <v>1247</v>
      </c>
      <c r="K1618" s="651"/>
      <c r="L1618" s="653"/>
    </row>
    <row r="1619" spans="1:12" ht="15.75" x14ac:dyDescent="0.25">
      <c r="A1619" s="647"/>
      <c r="B1619" s="648"/>
      <c r="C1619" s="649"/>
      <c r="D1619" s="655" t="s">
        <v>960</v>
      </c>
      <c r="E1619" s="651"/>
      <c r="F1619" s="656">
        <v>0.46527777777777779</v>
      </c>
      <c r="G1619" s="647"/>
      <c r="H1619" s="648"/>
      <c r="I1619" s="649"/>
      <c r="J1619" s="655" t="s">
        <v>166</v>
      </c>
      <c r="K1619" s="651"/>
      <c r="L1619" s="656">
        <v>0.92013888888888884</v>
      </c>
    </row>
    <row r="1620" spans="1:12" ht="15.75" x14ac:dyDescent="0.25">
      <c r="A1620" s="647" t="s">
        <v>961</v>
      </c>
      <c r="B1620" s="654"/>
      <c r="C1620" s="649"/>
      <c r="D1620" s="650" t="s">
        <v>163</v>
      </c>
      <c r="E1620" s="657"/>
      <c r="F1620" s="653">
        <v>0.51388888888888884</v>
      </c>
      <c r="G1620" s="647" t="s">
        <v>961</v>
      </c>
      <c r="H1620" s="648"/>
      <c r="I1620" s="649"/>
      <c r="J1620" s="650" t="s">
        <v>160</v>
      </c>
      <c r="K1620" s="651"/>
      <c r="L1620" s="653">
        <v>0.95138888888888884</v>
      </c>
    </row>
    <row r="1621" spans="1:12" ht="15.75" x14ac:dyDescent="0.25">
      <c r="A1621" s="647"/>
      <c r="B1621" s="648"/>
      <c r="C1621" s="649"/>
      <c r="D1621" s="655" t="s">
        <v>164</v>
      </c>
      <c r="E1621" s="651"/>
      <c r="F1621" s="656">
        <v>0.54513888888888884</v>
      </c>
      <c r="G1621" s="647"/>
      <c r="H1621" s="648"/>
      <c r="I1621" s="649"/>
      <c r="J1621" s="655" t="s">
        <v>962</v>
      </c>
      <c r="K1621" s="651"/>
      <c r="L1621" s="656">
        <v>0.95833333333333337</v>
      </c>
    </row>
    <row r="1622" spans="1:12" ht="15.75" x14ac:dyDescent="0.25">
      <c r="A1622" s="647"/>
      <c r="B1622" s="648"/>
      <c r="C1622" s="649"/>
      <c r="D1622" s="655" t="s">
        <v>166</v>
      </c>
      <c r="E1622" s="657">
        <v>0.55902777777777779</v>
      </c>
      <c r="F1622" s="656"/>
      <c r="G1622" s="647"/>
      <c r="H1622" s="648"/>
      <c r="I1622" s="649"/>
      <c r="J1622" s="655" t="s">
        <v>960</v>
      </c>
      <c r="K1622" s="651"/>
      <c r="L1622" s="656">
        <v>0.98611111111111116</v>
      </c>
    </row>
    <row r="1623" spans="1:12" ht="15.75" x14ac:dyDescent="0.25">
      <c r="A1623" s="647"/>
      <c r="B1623" s="648" t="s">
        <v>462</v>
      </c>
      <c r="C1623" s="649" t="s">
        <v>459</v>
      </c>
      <c r="D1623" s="650"/>
      <c r="E1623" s="651"/>
      <c r="F1623" s="653"/>
      <c r="G1623" s="647" t="s">
        <v>958</v>
      </c>
      <c r="H1623" s="654"/>
      <c r="I1623" s="649"/>
      <c r="J1623" s="650" t="s">
        <v>163</v>
      </c>
      <c r="K1623" s="657">
        <v>1.0222222222222221</v>
      </c>
      <c r="L1623" s="653"/>
    </row>
    <row r="1624" spans="1:12" ht="15.75" x14ac:dyDescent="0.25">
      <c r="A1624" s="647"/>
      <c r="B1624" s="648"/>
      <c r="C1624" s="649"/>
      <c r="D1624" s="655"/>
      <c r="E1624" s="651"/>
      <c r="F1624" s="656"/>
      <c r="G1624" s="647"/>
      <c r="H1624" s="648"/>
      <c r="I1624" s="649"/>
      <c r="J1624" s="650" t="s">
        <v>963</v>
      </c>
      <c r="K1624" s="657">
        <v>4.3055555555555555E-2</v>
      </c>
      <c r="L1624" s="656"/>
    </row>
    <row r="1625" spans="1:12" ht="15.75" x14ac:dyDescent="0.25">
      <c r="A1625" s="647"/>
      <c r="B1625" s="648" t="s">
        <v>459</v>
      </c>
      <c r="C1625" s="649">
        <v>215</v>
      </c>
      <c r="D1625" s="650" t="s">
        <v>1248</v>
      </c>
      <c r="E1625" s="651"/>
      <c r="F1625" s="653"/>
      <c r="G1625" s="647"/>
      <c r="H1625" s="648" t="s">
        <v>462</v>
      </c>
      <c r="I1625" s="649" t="s">
        <v>459</v>
      </c>
      <c r="J1625" s="650"/>
      <c r="K1625" s="657"/>
      <c r="L1625" s="656"/>
    </row>
    <row r="1626" spans="1:12" ht="15.75" x14ac:dyDescent="0.25">
      <c r="A1626" s="647"/>
      <c r="B1626" s="648"/>
      <c r="C1626" s="649"/>
      <c r="D1626" s="655" t="s">
        <v>166</v>
      </c>
      <c r="E1626" s="651"/>
      <c r="F1626" s="656">
        <v>0.55902777777777779</v>
      </c>
      <c r="G1626" s="647"/>
      <c r="H1626" s="648"/>
      <c r="I1626" s="649"/>
      <c r="J1626" s="650"/>
      <c r="K1626" s="657"/>
      <c r="L1626" s="653"/>
    </row>
    <row r="1627" spans="1:12" ht="15.75" x14ac:dyDescent="0.25">
      <c r="A1627" s="647" t="s">
        <v>961</v>
      </c>
      <c r="B1627" s="648"/>
      <c r="C1627" s="649"/>
      <c r="D1627" s="650" t="s">
        <v>160</v>
      </c>
      <c r="E1627" s="651"/>
      <c r="F1627" s="653">
        <v>0.60972222222222228</v>
      </c>
      <c r="G1627" s="647"/>
      <c r="H1627" s="648"/>
      <c r="I1627" s="649"/>
      <c r="J1627" s="650"/>
      <c r="K1627" s="657"/>
      <c r="L1627" s="652"/>
    </row>
    <row r="1628" spans="1:12" ht="15.75" x14ac:dyDescent="0.25">
      <c r="A1628" s="647"/>
      <c r="B1628" s="648"/>
      <c r="C1628" s="649"/>
      <c r="D1628" s="655" t="s">
        <v>962</v>
      </c>
      <c r="E1628" s="651"/>
      <c r="F1628" s="656">
        <v>0.62013888888888891</v>
      </c>
      <c r="G1628" s="647"/>
      <c r="H1628" s="648"/>
      <c r="I1628" s="649"/>
      <c r="J1628" s="650"/>
      <c r="K1628" s="651"/>
      <c r="L1628" s="652"/>
    </row>
    <row r="1629" spans="1:12" ht="15.75" x14ac:dyDescent="0.25">
      <c r="A1629" s="647"/>
      <c r="B1629" s="648"/>
      <c r="C1629" s="649"/>
      <c r="D1629" s="655" t="s">
        <v>960</v>
      </c>
      <c r="E1629" s="651"/>
      <c r="F1629" s="656">
        <v>0.65138888888888891</v>
      </c>
      <c r="G1629" s="647"/>
      <c r="H1629" s="648"/>
      <c r="I1629" s="649"/>
      <c r="J1629" s="650"/>
      <c r="K1629" s="657"/>
      <c r="L1629" s="652"/>
    </row>
    <row r="1630" spans="1:12" ht="15.75" x14ac:dyDescent="0.25">
      <c r="A1630" s="647" t="s">
        <v>961</v>
      </c>
      <c r="B1630" s="654"/>
      <c r="C1630" s="649"/>
      <c r="D1630" s="650" t="s">
        <v>163</v>
      </c>
      <c r="E1630" s="657"/>
      <c r="F1630" s="653">
        <v>0.71736111111111112</v>
      </c>
      <c r="G1630" s="647"/>
      <c r="H1630" s="648"/>
      <c r="I1630" s="649"/>
      <c r="J1630" s="650"/>
      <c r="K1630" s="651"/>
      <c r="L1630" s="652"/>
    </row>
    <row r="1631" spans="1:12" ht="15.75" x14ac:dyDescent="0.25">
      <c r="A1631" s="647"/>
      <c r="B1631" s="648"/>
      <c r="C1631" s="649"/>
      <c r="D1631" s="655" t="s">
        <v>164</v>
      </c>
      <c r="E1631" s="651"/>
      <c r="F1631" s="656">
        <v>0.74513888888888891</v>
      </c>
      <c r="G1631" s="647"/>
      <c r="H1631" s="648"/>
      <c r="I1631" s="649"/>
      <c r="J1631" s="650"/>
      <c r="K1631" s="651"/>
      <c r="L1631" s="652"/>
    </row>
    <row r="1632" spans="1:12" ht="15.75" x14ac:dyDescent="0.25">
      <c r="A1632" s="647"/>
      <c r="B1632" s="648"/>
      <c r="C1632" s="649"/>
      <c r="D1632" s="655" t="s">
        <v>166</v>
      </c>
      <c r="E1632" s="657">
        <v>0.75902777777777775</v>
      </c>
      <c r="F1632" s="656"/>
      <c r="G1632" s="647"/>
      <c r="H1632" s="648"/>
      <c r="I1632" s="649"/>
      <c r="J1632" s="650"/>
      <c r="K1632" s="651"/>
      <c r="L1632" s="652"/>
    </row>
    <row r="1633" spans="1:12" ht="15.75" x14ac:dyDescent="0.25">
      <c r="A1633" s="647"/>
      <c r="B1633" s="648" t="s">
        <v>462</v>
      </c>
      <c r="C1633" s="649" t="s">
        <v>459</v>
      </c>
      <c r="D1633" s="650"/>
      <c r="E1633" s="651"/>
      <c r="F1633" s="653"/>
      <c r="G1633" s="647"/>
      <c r="H1633" s="648"/>
      <c r="I1633" s="649"/>
      <c r="J1633" s="650"/>
      <c r="K1633" s="651"/>
      <c r="L1633" s="652"/>
    </row>
    <row r="1634" spans="1:12" ht="15.75" x14ac:dyDescent="0.25">
      <c r="A1634" s="647"/>
      <c r="B1634" s="648"/>
      <c r="C1634" s="649"/>
      <c r="D1634" s="650"/>
      <c r="E1634" s="657"/>
      <c r="F1634" s="652"/>
      <c r="G1634" s="647"/>
      <c r="H1634" s="648"/>
      <c r="I1634" s="649"/>
      <c r="J1634" s="650"/>
      <c r="K1634" s="651"/>
      <c r="L1634" s="652"/>
    </row>
    <row r="1635" spans="1:12" ht="15.75" x14ac:dyDescent="0.25">
      <c r="A1635" s="647"/>
      <c r="B1635" s="648"/>
      <c r="C1635" s="649"/>
      <c r="D1635" s="650"/>
      <c r="E1635" s="651"/>
      <c r="F1635" s="652"/>
      <c r="G1635" s="647"/>
      <c r="H1635" s="648"/>
      <c r="I1635" s="649"/>
      <c r="J1635" s="650"/>
      <c r="K1635" s="651"/>
      <c r="L1635" s="652"/>
    </row>
    <row r="1636" spans="1:12" ht="15.75" x14ac:dyDescent="0.25">
      <c r="A1636" s="647"/>
      <c r="B1636" s="648"/>
      <c r="C1636" s="649"/>
      <c r="D1636" s="650"/>
      <c r="E1636" s="651"/>
      <c r="F1636" s="652"/>
      <c r="G1636" s="647"/>
      <c r="H1636" s="648"/>
      <c r="I1636" s="649"/>
      <c r="J1636" s="650"/>
      <c r="K1636" s="651"/>
      <c r="L1636" s="652"/>
    </row>
    <row r="1637" spans="1:12" ht="15.75" x14ac:dyDescent="0.25">
      <c r="A1637" s="647"/>
      <c r="B1637" s="648"/>
      <c r="C1637" s="649"/>
      <c r="D1637" s="650"/>
      <c r="E1637" s="657"/>
      <c r="F1637" s="653"/>
      <c r="G1637" s="647"/>
      <c r="H1637" s="648"/>
      <c r="I1637" s="649"/>
      <c r="J1637" s="650"/>
      <c r="K1637" s="651"/>
      <c r="L1637" s="658"/>
    </row>
    <row r="1638" spans="1:12" ht="15.75" x14ac:dyDescent="0.25">
      <c r="A1638" s="647"/>
      <c r="B1638" s="648"/>
      <c r="C1638" s="649"/>
      <c r="D1638" s="650"/>
      <c r="E1638" s="657"/>
      <c r="F1638" s="652"/>
      <c r="G1638" s="647"/>
      <c r="H1638" s="648"/>
      <c r="I1638" s="649"/>
      <c r="J1638" s="655"/>
      <c r="K1638" s="651"/>
      <c r="L1638" s="658"/>
    </row>
    <row r="1639" spans="1:12" ht="15.75" x14ac:dyDescent="0.25">
      <c r="A1639" s="647"/>
      <c r="B1639" s="648"/>
      <c r="C1639" s="649"/>
      <c r="D1639" s="650"/>
      <c r="E1639" s="651"/>
      <c r="F1639" s="652"/>
      <c r="G1639" s="647"/>
      <c r="H1639" s="648"/>
      <c r="I1639" s="649"/>
      <c r="J1639" s="650"/>
      <c r="K1639" s="651"/>
      <c r="L1639" s="658"/>
    </row>
    <row r="1640" spans="1:12" ht="16.5" thickBot="1" x14ac:dyDescent="0.3">
      <c r="A1640" s="659"/>
      <c r="B1640" s="660"/>
      <c r="C1640" s="661"/>
      <c r="D1640" s="662"/>
      <c r="E1640" s="663"/>
      <c r="F1640" s="664"/>
      <c r="G1640" s="665"/>
      <c r="H1640" s="666"/>
      <c r="I1640" s="667"/>
      <c r="J1640" s="668"/>
      <c r="K1640" s="663"/>
      <c r="L1640" s="669"/>
    </row>
    <row r="1641" spans="1:12" ht="21" x14ac:dyDescent="0.35">
      <c r="A1641" s="769" t="s">
        <v>945</v>
      </c>
      <c r="B1641" s="770"/>
      <c r="C1641" s="770"/>
      <c r="D1641" s="770"/>
      <c r="E1641" s="770"/>
      <c r="F1641" s="770"/>
      <c r="G1641" s="770"/>
      <c r="H1641" s="770"/>
      <c r="I1641" s="770"/>
      <c r="J1641" s="770"/>
      <c r="K1641" s="770"/>
      <c r="L1641" s="771"/>
    </row>
    <row r="1642" spans="1:12" ht="18.75" x14ac:dyDescent="0.3">
      <c r="A1642" s="772" t="s">
        <v>946</v>
      </c>
      <c r="B1642" s="773"/>
      <c r="C1642" s="773"/>
      <c r="D1642" s="773"/>
      <c r="E1642" s="773"/>
      <c r="F1642" s="773"/>
      <c r="G1642" s="773"/>
      <c r="H1642" s="773"/>
      <c r="I1642" s="773"/>
      <c r="J1642" s="773"/>
      <c r="K1642" s="773"/>
      <c r="L1642" s="774"/>
    </row>
    <row r="1643" spans="1:12" ht="24" x14ac:dyDescent="0.4">
      <c r="A1643" s="775" t="s">
        <v>947</v>
      </c>
      <c r="B1643" s="776"/>
      <c r="C1643" s="776"/>
      <c r="D1643" s="776"/>
      <c r="E1643" s="776"/>
      <c r="F1643" s="776"/>
      <c r="G1643" s="776"/>
      <c r="H1643" s="776"/>
      <c r="I1643" s="776"/>
      <c r="J1643" s="776"/>
      <c r="K1643" s="776"/>
      <c r="L1643" s="777"/>
    </row>
    <row r="1644" spans="1:12" ht="24" x14ac:dyDescent="0.4">
      <c r="A1644" s="670" t="s">
        <v>948</v>
      </c>
      <c r="B1644" s="671"/>
      <c r="C1644" s="671"/>
      <c r="D1644" s="672" t="s">
        <v>949</v>
      </c>
      <c r="E1644" s="778" t="s">
        <v>950</v>
      </c>
      <c r="F1644" s="778"/>
      <c r="G1644" s="778"/>
      <c r="H1644" s="778"/>
      <c r="I1644" s="778"/>
      <c r="J1644" s="673" t="s">
        <v>1249</v>
      </c>
      <c r="K1644" s="778"/>
      <c r="L1644" s="779"/>
    </row>
    <row r="1645" spans="1:12" ht="15.75" thickBot="1" x14ac:dyDescent="0.3">
      <c r="A1645" s="674"/>
      <c r="B1645" s="675"/>
      <c r="C1645" s="675"/>
      <c r="D1645" s="676"/>
      <c r="E1645" s="675"/>
      <c r="F1645" s="675"/>
      <c r="G1645" s="675"/>
      <c r="H1645" s="675"/>
      <c r="I1645" s="780"/>
      <c r="J1645" s="780"/>
      <c r="K1645" s="675"/>
      <c r="L1645" s="677"/>
    </row>
    <row r="1646" spans="1:12" ht="16.5" thickBot="1" x14ac:dyDescent="0.3">
      <c r="A1646" s="631" t="s">
        <v>952</v>
      </c>
      <c r="B1646" s="632"/>
      <c r="C1646" s="633"/>
      <c r="D1646" s="634" t="s">
        <v>953</v>
      </c>
      <c r="E1646" s="631" t="s">
        <v>954</v>
      </c>
      <c r="F1646" s="635" t="s">
        <v>955</v>
      </c>
      <c r="G1646" s="631" t="s">
        <v>952</v>
      </c>
      <c r="H1646" s="632"/>
      <c r="I1646" s="633"/>
      <c r="J1646" s="634" t="s">
        <v>953</v>
      </c>
      <c r="K1646" s="631" t="s">
        <v>954</v>
      </c>
      <c r="L1646" s="631" t="s">
        <v>955</v>
      </c>
    </row>
    <row r="1647" spans="1:12" ht="15.75" x14ac:dyDescent="0.25">
      <c r="A1647" s="636"/>
      <c r="B1647" s="637"/>
      <c r="C1647" s="638"/>
      <c r="D1647" s="639"/>
      <c r="E1647" s="640"/>
      <c r="F1647" s="641"/>
      <c r="G1647" s="636"/>
      <c r="H1647" s="642"/>
      <c r="I1647" s="643"/>
      <c r="J1647" s="644"/>
      <c r="K1647" s="645"/>
      <c r="L1647" s="646"/>
    </row>
    <row r="1648" spans="1:12" ht="15.75" x14ac:dyDescent="0.25">
      <c r="A1648" s="647"/>
      <c r="B1648" s="648" t="s">
        <v>459</v>
      </c>
      <c r="C1648" s="649">
        <v>210</v>
      </c>
      <c r="D1648" s="650" t="s">
        <v>1250</v>
      </c>
      <c r="E1648" s="651"/>
      <c r="F1648" s="652"/>
      <c r="G1648" s="647"/>
      <c r="H1648" s="648" t="s">
        <v>459</v>
      </c>
      <c r="I1648" s="649">
        <v>76</v>
      </c>
      <c r="J1648" s="650" t="s">
        <v>1251</v>
      </c>
      <c r="K1648" s="651"/>
      <c r="L1648" s="652"/>
    </row>
    <row r="1649" spans="1:12" ht="15.75" x14ac:dyDescent="0.25">
      <c r="A1649" s="647" t="s">
        <v>958</v>
      </c>
      <c r="B1649" s="654"/>
      <c r="C1649" s="649"/>
      <c r="D1649" s="655" t="s">
        <v>959</v>
      </c>
      <c r="E1649" s="651"/>
      <c r="F1649" s="656">
        <v>0.29444444444444445</v>
      </c>
      <c r="G1649" s="647"/>
      <c r="H1649" s="654"/>
      <c r="I1649" s="649"/>
      <c r="J1649" s="655" t="s">
        <v>166</v>
      </c>
      <c r="K1649" s="651"/>
      <c r="L1649" s="656">
        <v>0.13541666666666666</v>
      </c>
    </row>
    <row r="1650" spans="1:12" ht="15.75" x14ac:dyDescent="0.25">
      <c r="A1650" s="647" t="s">
        <v>961</v>
      </c>
      <c r="B1650" s="648"/>
      <c r="C1650" s="649"/>
      <c r="D1650" s="650" t="s">
        <v>160</v>
      </c>
      <c r="E1650" s="651"/>
      <c r="F1650" s="653">
        <v>0.33611111111111108</v>
      </c>
      <c r="G1650" s="647" t="s">
        <v>961</v>
      </c>
      <c r="H1650" s="648"/>
      <c r="I1650" s="649"/>
      <c r="J1650" s="650" t="s">
        <v>160</v>
      </c>
      <c r="K1650" s="651"/>
      <c r="L1650" s="653">
        <v>0.2013888888888889</v>
      </c>
    </row>
    <row r="1651" spans="1:12" ht="15.75" x14ac:dyDescent="0.25">
      <c r="A1651" s="647"/>
      <c r="B1651" s="648"/>
      <c r="C1651" s="649"/>
      <c r="D1651" s="655" t="s">
        <v>962</v>
      </c>
      <c r="E1651" s="651"/>
      <c r="F1651" s="656">
        <v>0.34652777777777777</v>
      </c>
      <c r="G1651" s="647"/>
      <c r="H1651" s="648"/>
      <c r="I1651" s="649"/>
      <c r="J1651" s="655" t="s">
        <v>962</v>
      </c>
      <c r="K1651" s="651"/>
      <c r="L1651" s="656">
        <v>0.20833333333333334</v>
      </c>
    </row>
    <row r="1652" spans="1:12" ht="15.75" x14ac:dyDescent="0.25">
      <c r="A1652" s="647"/>
      <c r="B1652" s="648"/>
      <c r="C1652" s="649"/>
      <c r="D1652" s="655" t="s">
        <v>960</v>
      </c>
      <c r="E1652" s="651"/>
      <c r="F1652" s="656">
        <v>0.3840277777777778</v>
      </c>
      <c r="G1652" s="647"/>
      <c r="H1652" s="648"/>
      <c r="I1652" s="649"/>
      <c r="J1652" s="655" t="s">
        <v>960</v>
      </c>
      <c r="K1652" s="651"/>
      <c r="L1652" s="656">
        <v>0.2361111111111111</v>
      </c>
    </row>
    <row r="1653" spans="1:12" ht="15.75" x14ac:dyDescent="0.25">
      <c r="A1653" s="647" t="s">
        <v>958</v>
      </c>
      <c r="B1653" s="654"/>
      <c r="C1653" s="649"/>
      <c r="D1653" s="650" t="s">
        <v>163</v>
      </c>
      <c r="E1653" s="657">
        <v>0.43402777777777779</v>
      </c>
      <c r="F1653" s="653"/>
      <c r="G1653" s="647" t="s">
        <v>958</v>
      </c>
      <c r="H1653" s="654"/>
      <c r="I1653" s="649"/>
      <c r="J1653" s="650" t="s">
        <v>163</v>
      </c>
      <c r="K1653" s="657">
        <v>0.2722222222222222</v>
      </c>
      <c r="L1653" s="653"/>
    </row>
    <row r="1654" spans="1:12" ht="15.75" x14ac:dyDescent="0.25">
      <c r="A1654" s="647"/>
      <c r="B1654" s="648"/>
      <c r="C1654" s="649"/>
      <c r="D1654" s="650" t="s">
        <v>963</v>
      </c>
      <c r="E1654" s="657">
        <v>0.45833333333333331</v>
      </c>
      <c r="F1654" s="656"/>
      <c r="G1654" s="647"/>
      <c r="H1654" s="648"/>
      <c r="I1654" s="649"/>
      <c r="J1654" s="650" t="s">
        <v>963</v>
      </c>
      <c r="K1654" s="657">
        <v>0.29166666666666669</v>
      </c>
      <c r="L1654" s="653"/>
    </row>
    <row r="1655" spans="1:12" ht="15.75" x14ac:dyDescent="0.25">
      <c r="A1655" s="647"/>
      <c r="B1655" s="648" t="s">
        <v>459</v>
      </c>
      <c r="C1655" s="649">
        <v>210</v>
      </c>
      <c r="D1655" s="650" t="s">
        <v>1252</v>
      </c>
      <c r="E1655" s="657"/>
      <c r="F1655" s="653"/>
      <c r="G1655" s="647"/>
      <c r="H1655" s="648" t="s">
        <v>462</v>
      </c>
      <c r="I1655" s="649" t="s">
        <v>459</v>
      </c>
      <c r="J1655" s="650"/>
      <c r="K1655" s="657"/>
      <c r="L1655" s="656"/>
    </row>
    <row r="1656" spans="1:12" ht="15.75" x14ac:dyDescent="0.25">
      <c r="A1656" s="647"/>
      <c r="B1656" s="648"/>
      <c r="C1656" s="649"/>
      <c r="D1656" s="650"/>
      <c r="E1656" s="657"/>
      <c r="F1656" s="653"/>
      <c r="G1656" s="647"/>
      <c r="H1656" s="648"/>
      <c r="I1656" s="649"/>
      <c r="J1656" s="650"/>
      <c r="K1656" s="651"/>
      <c r="L1656" s="652"/>
    </row>
    <row r="1657" spans="1:12" ht="15.75" x14ac:dyDescent="0.25">
      <c r="A1657" s="647"/>
      <c r="B1657" s="648" t="s">
        <v>459</v>
      </c>
      <c r="C1657" s="649">
        <v>218</v>
      </c>
      <c r="D1657" s="650" t="s">
        <v>1253</v>
      </c>
      <c r="E1657" s="651"/>
      <c r="F1657" s="652"/>
      <c r="G1657" s="647"/>
      <c r="H1657" s="648"/>
      <c r="I1657" s="649"/>
      <c r="J1657" s="650"/>
      <c r="K1657" s="651"/>
      <c r="L1657" s="658"/>
    </row>
    <row r="1658" spans="1:12" ht="15.75" x14ac:dyDescent="0.25">
      <c r="A1658" s="647" t="s">
        <v>958</v>
      </c>
      <c r="B1658" s="654"/>
      <c r="C1658" s="649"/>
      <c r="D1658" s="655" t="s">
        <v>959</v>
      </c>
      <c r="E1658" s="651"/>
      <c r="F1658" s="656">
        <v>0.70486111111111116</v>
      </c>
      <c r="G1658" s="647"/>
      <c r="H1658" s="648"/>
      <c r="I1658" s="649"/>
      <c r="J1658" s="655"/>
      <c r="K1658" s="651"/>
      <c r="L1658" s="658"/>
    </row>
    <row r="1659" spans="1:12" ht="15.75" x14ac:dyDescent="0.25">
      <c r="A1659" s="647" t="s">
        <v>961</v>
      </c>
      <c r="B1659" s="648"/>
      <c r="C1659" s="649"/>
      <c r="D1659" s="650" t="s">
        <v>1254</v>
      </c>
      <c r="E1659" s="651"/>
      <c r="F1659" s="653">
        <v>0.72916666666666663</v>
      </c>
      <c r="G1659" s="647"/>
      <c r="H1659" s="648"/>
      <c r="I1659" s="649"/>
      <c r="J1659" s="650"/>
      <c r="K1659" s="651"/>
      <c r="L1659" s="658"/>
    </row>
    <row r="1660" spans="1:12" ht="15.75" x14ac:dyDescent="0.25">
      <c r="A1660" s="647"/>
      <c r="B1660" s="648"/>
      <c r="C1660" s="649"/>
      <c r="D1660" s="655" t="s">
        <v>960</v>
      </c>
      <c r="E1660" s="651"/>
      <c r="F1660" s="656">
        <v>0.74652777777777779</v>
      </c>
      <c r="G1660" s="647"/>
      <c r="H1660" s="648"/>
      <c r="I1660" s="649"/>
      <c r="J1660" s="650"/>
      <c r="K1660" s="651"/>
      <c r="L1660" s="652"/>
    </row>
    <row r="1661" spans="1:12" ht="15.75" x14ac:dyDescent="0.25">
      <c r="A1661" s="647" t="s">
        <v>958</v>
      </c>
      <c r="B1661" s="654"/>
      <c r="C1661" s="649"/>
      <c r="D1661" s="650" t="s">
        <v>163</v>
      </c>
      <c r="E1661" s="657">
        <v>0.78680555555555554</v>
      </c>
      <c r="F1661" s="653"/>
      <c r="G1661" s="647"/>
      <c r="H1661" s="648"/>
      <c r="I1661" s="649"/>
      <c r="J1661" s="650"/>
      <c r="K1661" s="651"/>
      <c r="L1661" s="652"/>
    </row>
    <row r="1662" spans="1:12" ht="15.75" x14ac:dyDescent="0.25">
      <c r="A1662" s="647"/>
      <c r="B1662" s="648"/>
      <c r="C1662" s="649"/>
      <c r="D1662" s="650" t="s">
        <v>963</v>
      </c>
      <c r="E1662" s="657">
        <v>0.80694444444444446</v>
      </c>
      <c r="F1662" s="656"/>
      <c r="G1662" s="647"/>
      <c r="H1662" s="648"/>
      <c r="I1662" s="649"/>
      <c r="J1662" s="650"/>
      <c r="K1662" s="651"/>
      <c r="L1662" s="652"/>
    </row>
    <row r="1663" spans="1:12" ht="15.75" x14ac:dyDescent="0.25">
      <c r="A1663" s="647"/>
      <c r="B1663" s="648" t="s">
        <v>462</v>
      </c>
      <c r="C1663" s="649" t="s">
        <v>459</v>
      </c>
      <c r="D1663" s="650"/>
      <c r="E1663" s="657"/>
      <c r="F1663" s="653"/>
      <c r="G1663" s="647"/>
      <c r="H1663" s="648"/>
      <c r="I1663" s="649"/>
      <c r="J1663" s="650"/>
      <c r="K1663" s="651"/>
      <c r="L1663" s="652"/>
    </row>
    <row r="1664" spans="1:12" ht="15.75" x14ac:dyDescent="0.25">
      <c r="A1664" s="647"/>
      <c r="B1664" s="648"/>
      <c r="C1664" s="649"/>
      <c r="D1664" s="650"/>
      <c r="E1664" s="657"/>
      <c r="F1664" s="653"/>
      <c r="G1664" s="647"/>
      <c r="H1664" s="648"/>
      <c r="I1664" s="649"/>
      <c r="J1664" s="650"/>
      <c r="K1664" s="651"/>
      <c r="L1664" s="652"/>
    </row>
    <row r="1665" spans="1:12" ht="15.75" x14ac:dyDescent="0.25">
      <c r="A1665" s="647"/>
      <c r="B1665" s="648" t="s">
        <v>459</v>
      </c>
      <c r="C1665" s="649">
        <v>73</v>
      </c>
      <c r="D1665" s="650" t="s">
        <v>1255</v>
      </c>
      <c r="E1665" s="651"/>
      <c r="F1665" s="652"/>
      <c r="G1665" s="647"/>
      <c r="H1665" s="648"/>
      <c r="I1665" s="649"/>
      <c r="J1665" s="650"/>
      <c r="K1665" s="651"/>
      <c r="L1665" s="652"/>
    </row>
    <row r="1666" spans="1:12" ht="15.75" x14ac:dyDescent="0.25">
      <c r="A1666" s="647" t="s">
        <v>958</v>
      </c>
      <c r="B1666" s="654"/>
      <c r="C1666" s="649"/>
      <c r="D1666" s="655" t="s">
        <v>959</v>
      </c>
      <c r="E1666" s="651"/>
      <c r="F1666" s="656">
        <v>1</v>
      </c>
      <c r="G1666" s="647"/>
      <c r="H1666" s="648"/>
      <c r="I1666" s="649"/>
      <c r="J1666" s="650"/>
      <c r="K1666" s="651"/>
      <c r="L1666" s="652"/>
    </row>
    <row r="1667" spans="1:12" ht="15.75" x14ac:dyDescent="0.25">
      <c r="A1667" s="647" t="s">
        <v>961</v>
      </c>
      <c r="B1667" s="648"/>
      <c r="C1667" s="649"/>
      <c r="D1667" s="650" t="s">
        <v>160</v>
      </c>
      <c r="E1667" s="651"/>
      <c r="F1667" s="653">
        <v>1.0347222222222223</v>
      </c>
      <c r="G1667" s="647"/>
      <c r="H1667" s="648"/>
      <c r="I1667" s="649"/>
      <c r="J1667" s="650"/>
      <c r="K1667" s="651"/>
      <c r="L1667" s="658"/>
    </row>
    <row r="1668" spans="1:12" ht="15.75" x14ac:dyDescent="0.25">
      <c r="A1668" s="647"/>
      <c r="B1668" s="648"/>
      <c r="C1668" s="649"/>
      <c r="D1668" s="655" t="s">
        <v>962</v>
      </c>
      <c r="E1668" s="651"/>
      <c r="F1668" s="656">
        <v>4.1666666666666664E-2</v>
      </c>
      <c r="G1668" s="647"/>
      <c r="H1668" s="648"/>
      <c r="I1668" s="649"/>
      <c r="J1668" s="655"/>
      <c r="K1668" s="651"/>
      <c r="L1668" s="658"/>
    </row>
    <row r="1669" spans="1:12" ht="15.75" x14ac:dyDescent="0.25">
      <c r="A1669" s="647"/>
      <c r="B1669" s="648"/>
      <c r="C1669" s="649"/>
      <c r="D1669" s="655" t="s">
        <v>960</v>
      </c>
      <c r="E1669" s="651"/>
      <c r="F1669" s="656">
        <v>6.9444444444444448E-2</v>
      </c>
      <c r="G1669" s="647"/>
      <c r="H1669" s="648"/>
      <c r="I1669" s="649"/>
      <c r="J1669" s="650"/>
      <c r="K1669" s="651"/>
      <c r="L1669" s="658"/>
    </row>
    <row r="1670" spans="1:12" ht="15.75" x14ac:dyDescent="0.25">
      <c r="A1670" s="647" t="s">
        <v>961</v>
      </c>
      <c r="B1670" s="654"/>
      <c r="C1670" s="649"/>
      <c r="D1670" s="650" t="s">
        <v>163</v>
      </c>
      <c r="E1670" s="657"/>
      <c r="F1670" s="653">
        <v>0.10416666666666667</v>
      </c>
      <c r="G1670" s="647"/>
      <c r="H1670" s="648"/>
      <c r="I1670" s="649"/>
      <c r="J1670" s="650"/>
      <c r="K1670" s="651"/>
      <c r="L1670" s="652"/>
    </row>
    <row r="1671" spans="1:12" ht="15.75" x14ac:dyDescent="0.25">
      <c r="A1671" s="647"/>
      <c r="B1671" s="648"/>
      <c r="C1671" s="649"/>
      <c r="D1671" s="655" t="s">
        <v>164</v>
      </c>
      <c r="E1671" s="651"/>
      <c r="F1671" s="656">
        <v>0.1111111111111111</v>
      </c>
      <c r="G1671" s="647"/>
      <c r="H1671" s="648"/>
      <c r="I1671" s="649"/>
      <c r="J1671" s="650"/>
      <c r="K1671" s="651"/>
      <c r="L1671" s="652"/>
    </row>
    <row r="1672" spans="1:12" ht="15.75" x14ac:dyDescent="0.25">
      <c r="A1672" s="647"/>
      <c r="B1672" s="648"/>
      <c r="C1672" s="649"/>
      <c r="D1672" s="655" t="s">
        <v>166</v>
      </c>
      <c r="E1672" s="657">
        <v>0.13541666666666666</v>
      </c>
      <c r="F1672" s="656"/>
      <c r="G1672" s="647"/>
      <c r="H1672" s="648"/>
      <c r="I1672" s="649"/>
      <c r="J1672" s="650"/>
      <c r="K1672" s="651"/>
      <c r="L1672" s="652"/>
    </row>
    <row r="1673" spans="1:12" ht="15.75" x14ac:dyDescent="0.25">
      <c r="A1673" s="647"/>
      <c r="B1673" s="648" t="s">
        <v>462</v>
      </c>
      <c r="C1673" s="649" t="s">
        <v>459</v>
      </c>
      <c r="D1673" s="650"/>
      <c r="E1673" s="651"/>
      <c r="F1673" s="653"/>
      <c r="G1673" s="647"/>
      <c r="H1673" s="648"/>
      <c r="I1673" s="649"/>
      <c r="J1673" s="650"/>
      <c r="K1673" s="651"/>
      <c r="L1673" s="652"/>
    </row>
    <row r="1674" spans="1:12" ht="15.75" x14ac:dyDescent="0.25">
      <c r="A1674" s="647"/>
      <c r="B1674" s="648"/>
      <c r="C1674" s="649"/>
      <c r="D1674" s="650"/>
      <c r="E1674" s="651"/>
      <c r="F1674" s="652"/>
      <c r="G1674" s="647"/>
      <c r="H1674" s="648"/>
      <c r="I1674" s="649"/>
      <c r="J1674" s="650"/>
      <c r="K1674" s="651"/>
      <c r="L1674" s="652"/>
    </row>
    <row r="1675" spans="1:12" ht="15.75" x14ac:dyDescent="0.25">
      <c r="A1675" s="647"/>
      <c r="B1675" s="648"/>
      <c r="C1675" s="649"/>
      <c r="D1675" s="650"/>
      <c r="E1675" s="651"/>
      <c r="F1675" s="658"/>
      <c r="G1675" s="647"/>
      <c r="H1675" s="648"/>
      <c r="I1675" s="649"/>
      <c r="J1675" s="650"/>
      <c r="K1675" s="651"/>
      <c r="L1675" s="652"/>
    </row>
    <row r="1676" spans="1:12" ht="15.75" x14ac:dyDescent="0.25">
      <c r="A1676" s="647"/>
      <c r="B1676" s="648"/>
      <c r="C1676" s="649"/>
      <c r="D1676" s="650"/>
      <c r="E1676" s="651"/>
      <c r="F1676" s="653"/>
      <c r="G1676" s="647"/>
      <c r="H1676" s="648"/>
      <c r="I1676" s="649"/>
      <c r="J1676" s="650"/>
      <c r="K1676" s="651"/>
      <c r="L1676" s="652"/>
    </row>
    <row r="1677" spans="1:12" ht="15.75" x14ac:dyDescent="0.25">
      <c r="A1677" s="647"/>
      <c r="B1677" s="648"/>
      <c r="C1677" s="649"/>
      <c r="D1677" s="655"/>
      <c r="E1677" s="651"/>
      <c r="F1677" s="656"/>
      <c r="G1677" s="647"/>
      <c r="H1677" s="648"/>
      <c r="I1677" s="649"/>
      <c r="J1677" s="650"/>
      <c r="K1677" s="651"/>
      <c r="L1677" s="658"/>
    </row>
    <row r="1678" spans="1:12" ht="15.75" x14ac:dyDescent="0.25">
      <c r="A1678" s="647"/>
      <c r="B1678" s="648"/>
      <c r="C1678" s="649"/>
      <c r="D1678" s="655"/>
      <c r="E1678" s="651"/>
      <c r="F1678" s="656"/>
      <c r="G1678" s="647"/>
      <c r="H1678" s="648"/>
      <c r="I1678" s="649"/>
      <c r="J1678" s="655"/>
      <c r="K1678" s="651"/>
      <c r="L1678" s="658"/>
    </row>
    <row r="1679" spans="1:12" ht="15.75" x14ac:dyDescent="0.25">
      <c r="A1679" s="647"/>
      <c r="B1679" s="654"/>
      <c r="C1679" s="649"/>
      <c r="D1679" s="650"/>
      <c r="E1679" s="657"/>
      <c r="F1679" s="653"/>
      <c r="G1679" s="647"/>
      <c r="H1679" s="648"/>
      <c r="I1679" s="649"/>
      <c r="J1679" s="650"/>
      <c r="K1679" s="651"/>
      <c r="L1679" s="658"/>
    </row>
    <row r="1680" spans="1:12" ht="16.5" thickBot="1" x14ac:dyDescent="0.3">
      <c r="A1680" s="659"/>
      <c r="B1680" s="660"/>
      <c r="C1680" s="661"/>
      <c r="D1680" s="662"/>
      <c r="E1680" s="663"/>
      <c r="F1680" s="664"/>
      <c r="G1680" s="665"/>
      <c r="H1680" s="666"/>
      <c r="I1680" s="667"/>
      <c r="J1680" s="668"/>
      <c r="K1680" s="663"/>
      <c r="L1680" s="669"/>
    </row>
    <row r="1681" spans="1:12" ht="21" x14ac:dyDescent="0.35">
      <c r="A1681" s="769" t="s">
        <v>945</v>
      </c>
      <c r="B1681" s="770"/>
      <c r="C1681" s="770"/>
      <c r="D1681" s="770"/>
      <c r="E1681" s="770"/>
      <c r="F1681" s="770"/>
      <c r="G1681" s="770"/>
      <c r="H1681" s="770"/>
      <c r="I1681" s="770"/>
      <c r="J1681" s="770"/>
      <c r="K1681" s="770"/>
      <c r="L1681" s="771"/>
    </row>
    <row r="1682" spans="1:12" ht="18.75" x14ac:dyDescent="0.3">
      <c r="A1682" s="772" t="s">
        <v>946</v>
      </c>
      <c r="B1682" s="773"/>
      <c r="C1682" s="773"/>
      <c r="D1682" s="773"/>
      <c r="E1682" s="773"/>
      <c r="F1682" s="773"/>
      <c r="G1682" s="773"/>
      <c r="H1682" s="773"/>
      <c r="I1682" s="773"/>
      <c r="J1682" s="773"/>
      <c r="K1682" s="773"/>
      <c r="L1682" s="774"/>
    </row>
    <row r="1683" spans="1:12" ht="24" x14ac:dyDescent="0.4">
      <c r="A1683" s="775" t="s">
        <v>947</v>
      </c>
      <c r="B1683" s="776"/>
      <c r="C1683" s="776"/>
      <c r="D1683" s="776"/>
      <c r="E1683" s="776"/>
      <c r="F1683" s="776"/>
      <c r="G1683" s="776"/>
      <c r="H1683" s="776"/>
      <c r="I1683" s="776"/>
      <c r="J1683" s="776"/>
      <c r="K1683" s="776"/>
      <c r="L1683" s="777"/>
    </row>
    <row r="1684" spans="1:12" ht="24" x14ac:dyDescent="0.4">
      <c r="A1684" s="670" t="s">
        <v>948</v>
      </c>
      <c r="B1684" s="671"/>
      <c r="C1684" s="671"/>
      <c r="D1684" s="672" t="s">
        <v>949</v>
      </c>
      <c r="E1684" s="778" t="s">
        <v>950</v>
      </c>
      <c r="F1684" s="778"/>
      <c r="G1684" s="778"/>
      <c r="H1684" s="778"/>
      <c r="I1684" s="778"/>
      <c r="J1684" s="673" t="s">
        <v>1256</v>
      </c>
      <c r="K1684" s="778"/>
      <c r="L1684" s="779"/>
    </row>
    <row r="1685" spans="1:12" ht="15.75" thickBot="1" x14ac:dyDescent="0.3">
      <c r="A1685" s="674"/>
      <c r="B1685" s="675"/>
      <c r="C1685" s="675"/>
      <c r="D1685" s="676"/>
      <c r="E1685" s="675"/>
      <c r="F1685" s="675"/>
      <c r="G1685" s="675"/>
      <c r="H1685" s="675"/>
      <c r="I1685" s="780"/>
      <c r="J1685" s="780"/>
      <c r="K1685" s="675"/>
      <c r="L1685" s="677"/>
    </row>
    <row r="1686" spans="1:12" ht="16.5" thickBot="1" x14ac:dyDescent="0.3">
      <c r="A1686" s="631" t="s">
        <v>952</v>
      </c>
      <c r="B1686" s="632"/>
      <c r="C1686" s="633"/>
      <c r="D1686" s="634" t="s">
        <v>953</v>
      </c>
      <c r="E1686" s="631" t="s">
        <v>954</v>
      </c>
      <c r="F1686" s="635" t="s">
        <v>955</v>
      </c>
      <c r="G1686" s="631" t="s">
        <v>952</v>
      </c>
      <c r="H1686" s="632"/>
      <c r="I1686" s="633"/>
      <c r="J1686" s="634" t="s">
        <v>953</v>
      </c>
      <c r="K1686" s="631" t="s">
        <v>954</v>
      </c>
      <c r="L1686" s="631" t="s">
        <v>955</v>
      </c>
    </row>
    <row r="1687" spans="1:12" ht="15.75" x14ac:dyDescent="0.25">
      <c r="A1687" s="636"/>
      <c r="B1687" s="637"/>
      <c r="C1687" s="638"/>
      <c r="D1687" s="639"/>
      <c r="E1687" s="640"/>
      <c r="F1687" s="641"/>
      <c r="G1687" s="636"/>
      <c r="H1687" s="642"/>
      <c r="I1687" s="643"/>
      <c r="J1687" s="644"/>
      <c r="K1687" s="645"/>
      <c r="L1687" s="646"/>
    </row>
    <row r="1688" spans="1:12" ht="15.75" x14ac:dyDescent="0.25">
      <c r="A1688" s="647"/>
      <c r="B1688" s="648" t="s">
        <v>459</v>
      </c>
      <c r="C1688" s="649">
        <v>211</v>
      </c>
      <c r="D1688" s="650" t="s">
        <v>1257</v>
      </c>
      <c r="E1688" s="651"/>
      <c r="F1688" s="652"/>
      <c r="G1688" s="647"/>
      <c r="H1688" s="648"/>
      <c r="I1688" s="649"/>
      <c r="J1688" s="650"/>
      <c r="K1688" s="651"/>
      <c r="L1688" s="653"/>
    </row>
    <row r="1689" spans="1:12" ht="15.75" x14ac:dyDescent="0.25">
      <c r="A1689" s="647" t="s">
        <v>958</v>
      </c>
      <c r="B1689" s="654"/>
      <c r="C1689" s="649"/>
      <c r="D1689" s="655" t="s">
        <v>959</v>
      </c>
      <c r="E1689" s="651"/>
      <c r="F1689" s="656">
        <v>0.30416666666666664</v>
      </c>
      <c r="G1689" s="647"/>
      <c r="H1689" s="648"/>
      <c r="I1689" s="649"/>
      <c r="J1689" s="655"/>
      <c r="K1689" s="651"/>
      <c r="L1689" s="656"/>
    </row>
    <row r="1690" spans="1:12" ht="15.75" x14ac:dyDescent="0.25">
      <c r="A1690" s="647" t="s">
        <v>961</v>
      </c>
      <c r="B1690" s="654"/>
      <c r="C1690" s="649"/>
      <c r="D1690" s="650" t="s">
        <v>163</v>
      </c>
      <c r="E1690" s="657"/>
      <c r="F1690" s="653">
        <v>0.33194444444444443</v>
      </c>
      <c r="G1690" s="647"/>
      <c r="H1690" s="648"/>
      <c r="I1690" s="649"/>
      <c r="J1690" s="650"/>
      <c r="K1690" s="651"/>
      <c r="L1690" s="653"/>
    </row>
    <row r="1691" spans="1:12" ht="15.75" x14ac:dyDescent="0.25">
      <c r="A1691" s="647"/>
      <c r="B1691" s="648"/>
      <c r="C1691" s="649"/>
      <c r="D1691" s="655" t="s">
        <v>164</v>
      </c>
      <c r="E1691" s="651"/>
      <c r="F1691" s="656">
        <v>0.35972222222222222</v>
      </c>
      <c r="G1691" s="647"/>
      <c r="H1691" s="648"/>
      <c r="I1691" s="649"/>
      <c r="J1691" s="655"/>
      <c r="K1691" s="651"/>
      <c r="L1691" s="656"/>
    </row>
    <row r="1692" spans="1:12" ht="15.75" x14ac:dyDescent="0.25">
      <c r="A1692" s="647"/>
      <c r="B1692" s="648"/>
      <c r="C1692" s="649"/>
      <c r="D1692" s="655" t="s">
        <v>166</v>
      </c>
      <c r="E1692" s="651"/>
      <c r="F1692" s="656">
        <v>0.38055555555555554</v>
      </c>
      <c r="G1692" s="647"/>
      <c r="H1692" s="648"/>
      <c r="I1692" s="649"/>
      <c r="J1692" s="655"/>
      <c r="K1692" s="651"/>
      <c r="L1692" s="656"/>
    </row>
    <row r="1693" spans="1:12" ht="15.75" x14ac:dyDescent="0.25">
      <c r="A1693" s="647" t="s">
        <v>958</v>
      </c>
      <c r="B1693" s="648"/>
      <c r="C1693" s="649"/>
      <c r="D1693" s="650" t="s">
        <v>160</v>
      </c>
      <c r="E1693" s="657">
        <v>0.42708333333333331</v>
      </c>
      <c r="F1693" s="653"/>
      <c r="G1693" s="647"/>
      <c r="H1693" s="654"/>
      <c r="I1693" s="649"/>
      <c r="J1693" s="650"/>
      <c r="K1693" s="657"/>
      <c r="L1693" s="653"/>
    </row>
    <row r="1694" spans="1:12" ht="15.75" x14ac:dyDescent="0.25">
      <c r="A1694" s="647"/>
      <c r="B1694" s="648"/>
      <c r="C1694" s="649"/>
      <c r="D1694" s="650" t="s">
        <v>963</v>
      </c>
      <c r="E1694" s="657">
        <v>0.46875</v>
      </c>
      <c r="F1694" s="656"/>
      <c r="G1694" s="647"/>
      <c r="H1694" s="648"/>
      <c r="I1694" s="649"/>
      <c r="J1694" s="655"/>
      <c r="K1694" s="651"/>
      <c r="L1694" s="656"/>
    </row>
    <row r="1695" spans="1:12" ht="15.75" x14ac:dyDescent="0.25">
      <c r="A1695" s="647"/>
      <c r="B1695" s="648" t="s">
        <v>459</v>
      </c>
      <c r="C1695" s="649">
        <v>211</v>
      </c>
      <c r="D1695" s="650" t="s">
        <v>1258</v>
      </c>
      <c r="E1695" s="657"/>
      <c r="F1695" s="656"/>
      <c r="G1695" s="647"/>
      <c r="H1695" s="648"/>
      <c r="I1695" s="649"/>
      <c r="J1695" s="655"/>
      <c r="K1695" s="657"/>
      <c r="L1695" s="656"/>
    </row>
    <row r="1696" spans="1:12" ht="15.75" x14ac:dyDescent="0.25">
      <c r="A1696" s="647"/>
      <c r="B1696" s="648"/>
      <c r="C1696" s="649"/>
      <c r="D1696" s="650"/>
      <c r="E1696" s="657"/>
      <c r="F1696" s="653"/>
      <c r="G1696" s="647"/>
      <c r="H1696" s="648"/>
      <c r="I1696" s="649"/>
      <c r="J1696" s="650"/>
      <c r="K1696" s="651"/>
      <c r="L1696" s="653"/>
    </row>
    <row r="1697" spans="1:12" ht="15.75" x14ac:dyDescent="0.25">
      <c r="A1697" s="647"/>
      <c r="B1697" s="648" t="s">
        <v>459</v>
      </c>
      <c r="C1697" s="649">
        <v>222</v>
      </c>
      <c r="D1697" s="650" t="s">
        <v>1259</v>
      </c>
      <c r="E1697" s="651"/>
      <c r="F1697" s="652"/>
      <c r="G1697" s="647"/>
      <c r="H1697" s="648"/>
      <c r="I1697" s="649"/>
      <c r="J1697" s="650"/>
      <c r="K1697" s="651"/>
      <c r="L1697" s="652"/>
    </row>
    <row r="1698" spans="1:12" ht="15.75" x14ac:dyDescent="0.25">
      <c r="A1698" s="647" t="s">
        <v>958</v>
      </c>
      <c r="B1698" s="654"/>
      <c r="C1698" s="649"/>
      <c r="D1698" s="655" t="s">
        <v>959</v>
      </c>
      <c r="E1698" s="651"/>
      <c r="F1698" s="656">
        <v>0.71527777777777779</v>
      </c>
      <c r="G1698" s="647"/>
      <c r="H1698" s="648"/>
      <c r="I1698" s="649"/>
      <c r="J1698" s="650"/>
      <c r="K1698" s="651"/>
      <c r="L1698" s="653"/>
    </row>
    <row r="1699" spans="1:12" ht="15.75" x14ac:dyDescent="0.25">
      <c r="A1699" s="647" t="s">
        <v>961</v>
      </c>
      <c r="B1699" s="648"/>
      <c r="C1699" s="649"/>
      <c r="D1699" s="650" t="s">
        <v>1254</v>
      </c>
      <c r="E1699" s="651"/>
      <c r="F1699" s="653">
        <v>0.73958333333333337</v>
      </c>
      <c r="G1699" s="647"/>
      <c r="H1699" s="648"/>
      <c r="I1699" s="649"/>
      <c r="J1699" s="655"/>
      <c r="K1699" s="651"/>
      <c r="L1699" s="656"/>
    </row>
    <row r="1700" spans="1:12" ht="15.75" x14ac:dyDescent="0.25">
      <c r="A1700" s="647"/>
      <c r="B1700" s="648"/>
      <c r="C1700" s="649"/>
      <c r="D1700" s="655" t="s">
        <v>960</v>
      </c>
      <c r="E1700" s="651"/>
      <c r="F1700" s="656">
        <v>0.75694444444444442</v>
      </c>
      <c r="G1700" s="647"/>
      <c r="H1700" s="648"/>
      <c r="I1700" s="649"/>
      <c r="J1700" s="650"/>
      <c r="K1700" s="651"/>
      <c r="L1700" s="653"/>
    </row>
    <row r="1701" spans="1:12" ht="15.75" x14ac:dyDescent="0.25">
      <c r="A1701" s="647" t="s">
        <v>958</v>
      </c>
      <c r="B1701" s="654"/>
      <c r="C1701" s="649"/>
      <c r="D1701" s="650" t="s">
        <v>163</v>
      </c>
      <c r="E1701" s="657">
        <v>0.79374999999999996</v>
      </c>
      <c r="F1701" s="653"/>
      <c r="G1701" s="647"/>
      <c r="H1701" s="648"/>
      <c r="I1701" s="649"/>
      <c r="J1701" s="655"/>
      <c r="K1701" s="651"/>
      <c r="L1701" s="656"/>
    </row>
    <row r="1702" spans="1:12" ht="15.75" x14ac:dyDescent="0.25">
      <c r="A1702" s="647"/>
      <c r="B1702" s="648"/>
      <c r="C1702" s="649"/>
      <c r="D1702" s="650" t="s">
        <v>963</v>
      </c>
      <c r="E1702" s="657">
        <v>0.81458333333333333</v>
      </c>
      <c r="F1702" s="656"/>
      <c r="G1702" s="647"/>
      <c r="H1702" s="648"/>
      <c r="I1702" s="649"/>
      <c r="J1702" s="655"/>
      <c r="K1702" s="651"/>
      <c r="L1702" s="656"/>
    </row>
    <row r="1703" spans="1:12" ht="15.75" x14ac:dyDescent="0.25">
      <c r="A1703" s="647"/>
      <c r="B1703" s="648" t="s">
        <v>462</v>
      </c>
      <c r="C1703" s="649" t="s">
        <v>459</v>
      </c>
      <c r="D1703" s="650"/>
      <c r="E1703" s="657"/>
      <c r="F1703" s="653"/>
      <c r="G1703" s="647"/>
      <c r="H1703" s="654"/>
      <c r="I1703" s="649"/>
      <c r="J1703" s="650"/>
      <c r="K1703" s="657"/>
      <c r="L1703" s="653"/>
    </row>
    <row r="1704" spans="1:12" ht="15.75" x14ac:dyDescent="0.25">
      <c r="A1704" s="647"/>
      <c r="B1704" s="648"/>
      <c r="C1704" s="649"/>
      <c r="D1704" s="650"/>
      <c r="E1704" s="657"/>
      <c r="F1704" s="653"/>
      <c r="G1704" s="647"/>
      <c r="H1704" s="648"/>
      <c r="I1704" s="649"/>
      <c r="J1704" s="650"/>
      <c r="K1704" s="657"/>
      <c r="L1704" s="656"/>
    </row>
    <row r="1705" spans="1:12" ht="15.75" x14ac:dyDescent="0.25">
      <c r="A1705" s="647"/>
      <c r="B1705" s="648"/>
      <c r="C1705" s="649"/>
      <c r="D1705" s="650"/>
      <c r="E1705" s="657"/>
      <c r="F1705" s="653"/>
      <c r="G1705" s="647"/>
      <c r="H1705" s="648"/>
      <c r="I1705" s="649"/>
      <c r="J1705" s="650"/>
      <c r="K1705" s="657"/>
      <c r="L1705" s="656"/>
    </row>
    <row r="1706" spans="1:12" ht="15.75" x14ac:dyDescent="0.25">
      <c r="A1706" s="647"/>
      <c r="B1706" s="648"/>
      <c r="C1706" s="649"/>
      <c r="D1706" s="650"/>
      <c r="E1706" s="657"/>
      <c r="F1706" s="653"/>
      <c r="G1706" s="647"/>
      <c r="H1706" s="648"/>
      <c r="I1706" s="649"/>
      <c r="J1706" s="650"/>
      <c r="K1706" s="657"/>
      <c r="L1706" s="653"/>
    </row>
    <row r="1707" spans="1:12" ht="15.75" x14ac:dyDescent="0.25">
      <c r="A1707" s="647"/>
      <c r="B1707" s="648"/>
      <c r="C1707" s="649"/>
      <c r="D1707" s="650"/>
      <c r="E1707" s="657"/>
      <c r="F1707" s="652"/>
      <c r="G1707" s="647"/>
      <c r="H1707" s="648"/>
      <c r="I1707" s="649"/>
      <c r="J1707" s="650"/>
      <c r="K1707" s="657"/>
      <c r="L1707" s="652"/>
    </row>
    <row r="1708" spans="1:12" ht="15.75" x14ac:dyDescent="0.25">
      <c r="A1708" s="647"/>
      <c r="B1708" s="648"/>
      <c r="C1708" s="649"/>
      <c r="D1708" s="650"/>
      <c r="E1708" s="651"/>
      <c r="F1708" s="652"/>
      <c r="G1708" s="647"/>
      <c r="H1708" s="648"/>
      <c r="I1708" s="649"/>
      <c r="J1708" s="650"/>
      <c r="K1708" s="651"/>
      <c r="L1708" s="652"/>
    </row>
    <row r="1709" spans="1:12" ht="15.75" x14ac:dyDescent="0.25">
      <c r="A1709" s="647"/>
      <c r="B1709" s="648"/>
      <c r="C1709" s="649"/>
      <c r="D1709" s="655"/>
      <c r="E1709" s="651"/>
      <c r="F1709" s="656"/>
      <c r="G1709" s="647"/>
      <c r="H1709" s="648"/>
      <c r="I1709" s="649"/>
      <c r="J1709" s="650"/>
      <c r="K1709" s="657"/>
      <c r="L1709" s="652"/>
    </row>
    <row r="1710" spans="1:12" ht="15.75" x14ac:dyDescent="0.25">
      <c r="A1710" s="647"/>
      <c r="B1710" s="654"/>
      <c r="C1710" s="649"/>
      <c r="D1710" s="650"/>
      <c r="E1710" s="657"/>
      <c r="F1710" s="653"/>
      <c r="G1710" s="647"/>
      <c r="H1710" s="648"/>
      <c r="I1710" s="649"/>
      <c r="J1710" s="650"/>
      <c r="K1710" s="651"/>
      <c r="L1710" s="652"/>
    </row>
    <row r="1711" spans="1:12" ht="15.75" x14ac:dyDescent="0.25">
      <c r="A1711" s="647"/>
      <c r="B1711" s="648"/>
      <c r="C1711" s="649"/>
      <c r="D1711" s="655"/>
      <c r="E1711" s="651"/>
      <c r="F1711" s="656"/>
      <c r="G1711" s="647"/>
      <c r="H1711" s="648"/>
      <c r="I1711" s="649"/>
      <c r="J1711" s="650"/>
      <c r="K1711" s="651"/>
      <c r="L1711" s="652"/>
    </row>
    <row r="1712" spans="1:12" ht="15.75" x14ac:dyDescent="0.25">
      <c r="A1712" s="647"/>
      <c r="B1712" s="648"/>
      <c r="C1712" s="649"/>
      <c r="D1712" s="655"/>
      <c r="E1712" s="657"/>
      <c r="F1712" s="656"/>
      <c r="G1712" s="647"/>
      <c r="H1712" s="648"/>
      <c r="I1712" s="649"/>
      <c r="J1712" s="650"/>
      <c r="K1712" s="651"/>
      <c r="L1712" s="652"/>
    </row>
    <row r="1713" spans="1:12" ht="15.75" x14ac:dyDescent="0.25">
      <c r="A1713" s="647"/>
      <c r="B1713" s="648"/>
      <c r="C1713" s="649"/>
      <c r="D1713" s="650"/>
      <c r="E1713" s="651"/>
      <c r="F1713" s="653"/>
      <c r="G1713" s="647"/>
      <c r="H1713" s="648"/>
      <c r="I1713" s="649"/>
      <c r="J1713" s="650"/>
      <c r="K1713" s="651"/>
      <c r="L1713" s="652"/>
    </row>
    <row r="1714" spans="1:12" ht="15.75" x14ac:dyDescent="0.25">
      <c r="A1714" s="647"/>
      <c r="B1714" s="648"/>
      <c r="C1714" s="649"/>
      <c r="D1714" s="650"/>
      <c r="E1714" s="657"/>
      <c r="F1714" s="652"/>
      <c r="G1714" s="647"/>
      <c r="H1714" s="648"/>
      <c r="I1714" s="649"/>
      <c r="J1714" s="650"/>
      <c r="K1714" s="651"/>
      <c r="L1714" s="652"/>
    </row>
    <row r="1715" spans="1:12" ht="15.75" x14ac:dyDescent="0.25">
      <c r="A1715" s="647"/>
      <c r="B1715" s="648"/>
      <c r="C1715" s="649"/>
      <c r="D1715" s="650"/>
      <c r="E1715" s="651"/>
      <c r="F1715" s="652"/>
      <c r="G1715" s="647"/>
      <c r="H1715" s="648"/>
      <c r="I1715" s="649"/>
      <c r="J1715" s="650"/>
      <c r="K1715" s="651"/>
      <c r="L1715" s="652"/>
    </row>
    <row r="1716" spans="1:12" ht="15.75" x14ac:dyDescent="0.25">
      <c r="A1716" s="647"/>
      <c r="B1716" s="648"/>
      <c r="C1716" s="649"/>
      <c r="D1716" s="650"/>
      <c r="E1716" s="651"/>
      <c r="F1716" s="652"/>
      <c r="G1716" s="647"/>
      <c r="H1716" s="648"/>
      <c r="I1716" s="649"/>
      <c r="J1716" s="650"/>
      <c r="K1716" s="651"/>
      <c r="L1716" s="652"/>
    </row>
    <row r="1717" spans="1:12" ht="15.75" x14ac:dyDescent="0.25">
      <c r="A1717" s="647"/>
      <c r="B1717" s="648"/>
      <c r="C1717" s="649"/>
      <c r="D1717" s="650"/>
      <c r="E1717" s="657"/>
      <c r="F1717" s="653"/>
      <c r="G1717" s="647"/>
      <c r="H1717" s="648"/>
      <c r="I1717" s="649"/>
      <c r="J1717" s="650"/>
      <c r="K1717" s="651"/>
      <c r="L1717" s="658"/>
    </row>
    <row r="1718" spans="1:12" ht="15.75" x14ac:dyDescent="0.25">
      <c r="A1718" s="647"/>
      <c r="B1718" s="648"/>
      <c r="C1718" s="649"/>
      <c r="D1718" s="650"/>
      <c r="E1718" s="657"/>
      <c r="F1718" s="652"/>
      <c r="G1718" s="647"/>
      <c r="H1718" s="648"/>
      <c r="I1718" s="649"/>
      <c r="J1718" s="655"/>
      <c r="K1718" s="651"/>
      <c r="L1718" s="658"/>
    </row>
    <row r="1719" spans="1:12" ht="15.75" x14ac:dyDescent="0.25">
      <c r="A1719" s="647"/>
      <c r="B1719" s="648"/>
      <c r="C1719" s="649"/>
      <c r="D1719" s="650"/>
      <c r="E1719" s="651"/>
      <c r="F1719" s="652"/>
      <c r="G1719" s="647"/>
      <c r="H1719" s="648"/>
      <c r="I1719" s="649"/>
      <c r="J1719" s="650"/>
      <c r="K1719" s="651"/>
      <c r="L1719" s="658"/>
    </row>
    <row r="1720" spans="1:12" ht="16.5" thickBot="1" x14ac:dyDescent="0.3">
      <c r="A1720" s="659"/>
      <c r="B1720" s="660"/>
      <c r="C1720" s="661"/>
      <c r="D1720" s="662"/>
      <c r="E1720" s="663"/>
      <c r="F1720" s="664"/>
      <c r="G1720" s="665"/>
      <c r="H1720" s="666"/>
      <c r="I1720" s="667"/>
      <c r="J1720" s="668"/>
      <c r="K1720" s="663"/>
      <c r="L1720" s="669"/>
    </row>
    <row r="1721" spans="1:12" ht="21" x14ac:dyDescent="0.35">
      <c r="A1721" s="769" t="s">
        <v>945</v>
      </c>
      <c r="B1721" s="770"/>
      <c r="C1721" s="770"/>
      <c r="D1721" s="770"/>
      <c r="E1721" s="770"/>
      <c r="F1721" s="770"/>
      <c r="G1721" s="770"/>
      <c r="H1721" s="770"/>
      <c r="I1721" s="770"/>
      <c r="J1721" s="770"/>
      <c r="K1721" s="770"/>
      <c r="L1721" s="771"/>
    </row>
    <row r="1722" spans="1:12" ht="18.75" x14ac:dyDescent="0.3">
      <c r="A1722" s="772" t="s">
        <v>946</v>
      </c>
      <c r="B1722" s="773"/>
      <c r="C1722" s="773"/>
      <c r="D1722" s="773"/>
      <c r="E1722" s="773"/>
      <c r="F1722" s="773"/>
      <c r="G1722" s="773"/>
      <c r="H1722" s="773"/>
      <c r="I1722" s="773"/>
      <c r="J1722" s="773"/>
      <c r="K1722" s="773"/>
      <c r="L1722" s="774"/>
    </row>
    <row r="1723" spans="1:12" ht="24" x14ac:dyDescent="0.4">
      <c r="A1723" s="775" t="s">
        <v>947</v>
      </c>
      <c r="B1723" s="776"/>
      <c r="C1723" s="776"/>
      <c r="D1723" s="776"/>
      <c r="E1723" s="776"/>
      <c r="F1723" s="776"/>
      <c r="G1723" s="776"/>
      <c r="H1723" s="776"/>
      <c r="I1723" s="776"/>
      <c r="J1723" s="776"/>
      <c r="K1723" s="776"/>
      <c r="L1723" s="777"/>
    </row>
    <row r="1724" spans="1:12" ht="24" x14ac:dyDescent="0.4">
      <c r="A1724" s="670" t="s">
        <v>948</v>
      </c>
      <c r="B1724" s="671"/>
      <c r="C1724" s="671"/>
      <c r="D1724" s="672" t="s">
        <v>949</v>
      </c>
      <c r="E1724" s="778" t="s">
        <v>950</v>
      </c>
      <c r="F1724" s="778"/>
      <c r="G1724" s="778"/>
      <c r="H1724" s="778"/>
      <c r="I1724" s="778"/>
      <c r="J1724" s="673" t="s">
        <v>1260</v>
      </c>
      <c r="K1724" s="778"/>
      <c r="L1724" s="779"/>
    </row>
    <row r="1725" spans="1:12" ht="15.75" thickBot="1" x14ac:dyDescent="0.3">
      <c r="A1725" s="674"/>
      <c r="B1725" s="675"/>
      <c r="C1725" s="675"/>
      <c r="D1725" s="676"/>
      <c r="E1725" s="675"/>
      <c r="F1725" s="675"/>
      <c r="G1725" s="675"/>
      <c r="H1725" s="675"/>
      <c r="I1725" s="780"/>
      <c r="J1725" s="780"/>
      <c r="K1725" s="675"/>
      <c r="L1725" s="677"/>
    </row>
    <row r="1726" spans="1:12" ht="16.5" thickBot="1" x14ac:dyDescent="0.3">
      <c r="A1726" s="631" t="s">
        <v>952</v>
      </c>
      <c r="B1726" s="632"/>
      <c r="C1726" s="633"/>
      <c r="D1726" s="634" t="s">
        <v>953</v>
      </c>
      <c r="E1726" s="631" t="s">
        <v>954</v>
      </c>
      <c r="F1726" s="635" t="s">
        <v>955</v>
      </c>
      <c r="G1726" s="631" t="s">
        <v>952</v>
      </c>
      <c r="H1726" s="632"/>
      <c r="I1726" s="633"/>
      <c r="J1726" s="634" t="s">
        <v>953</v>
      </c>
      <c r="K1726" s="631" t="s">
        <v>954</v>
      </c>
      <c r="L1726" s="631" t="s">
        <v>955</v>
      </c>
    </row>
    <row r="1727" spans="1:12" ht="15.75" x14ac:dyDescent="0.25">
      <c r="A1727" s="636"/>
      <c r="B1727" s="637"/>
      <c r="C1727" s="638"/>
      <c r="D1727" s="639"/>
      <c r="E1727" s="640"/>
      <c r="F1727" s="641"/>
      <c r="G1727" s="636"/>
      <c r="H1727" s="642"/>
      <c r="I1727" s="643"/>
      <c r="J1727" s="644"/>
      <c r="K1727" s="645"/>
      <c r="L1727" s="646"/>
    </row>
    <row r="1728" spans="1:12" ht="15.75" x14ac:dyDescent="0.25">
      <c r="A1728" s="647"/>
      <c r="B1728" s="648" t="s">
        <v>459</v>
      </c>
      <c r="C1728" s="649">
        <v>212</v>
      </c>
      <c r="D1728" s="650" t="s">
        <v>1261</v>
      </c>
      <c r="E1728" s="651"/>
      <c r="F1728" s="652"/>
      <c r="G1728" s="647"/>
      <c r="H1728" s="648"/>
      <c r="I1728" s="649"/>
      <c r="J1728" s="650"/>
      <c r="K1728" s="651"/>
      <c r="L1728" s="653"/>
    </row>
    <row r="1729" spans="1:12" ht="15.75" x14ac:dyDescent="0.25">
      <c r="A1729" s="647" t="s">
        <v>958</v>
      </c>
      <c r="B1729" s="654"/>
      <c r="C1729" s="649"/>
      <c r="D1729" s="655" t="s">
        <v>959</v>
      </c>
      <c r="E1729" s="651"/>
      <c r="F1729" s="656">
        <v>0.30833333333333335</v>
      </c>
      <c r="G1729" s="647"/>
      <c r="H1729" s="648"/>
      <c r="I1729" s="649"/>
      <c r="J1729" s="655"/>
      <c r="K1729" s="651"/>
      <c r="L1729" s="656"/>
    </row>
    <row r="1730" spans="1:12" ht="15.75" x14ac:dyDescent="0.25">
      <c r="A1730" s="647" t="s">
        <v>961</v>
      </c>
      <c r="B1730" s="648"/>
      <c r="C1730" s="649"/>
      <c r="D1730" s="650" t="s">
        <v>160</v>
      </c>
      <c r="E1730" s="651"/>
      <c r="F1730" s="653">
        <v>0.35</v>
      </c>
      <c r="G1730" s="647"/>
      <c r="H1730" s="648"/>
      <c r="I1730" s="649"/>
      <c r="J1730" s="650"/>
      <c r="K1730" s="651"/>
      <c r="L1730" s="653"/>
    </row>
    <row r="1731" spans="1:12" ht="15.75" x14ac:dyDescent="0.25">
      <c r="A1731" s="647"/>
      <c r="B1731" s="648"/>
      <c r="C1731" s="649"/>
      <c r="D1731" s="655" t="s">
        <v>962</v>
      </c>
      <c r="E1731" s="651"/>
      <c r="F1731" s="656">
        <v>0.36041666666666666</v>
      </c>
      <c r="G1731" s="647"/>
      <c r="H1731" s="648"/>
      <c r="I1731" s="649"/>
      <c r="J1731" s="655"/>
      <c r="K1731" s="651"/>
      <c r="L1731" s="656"/>
    </row>
    <row r="1732" spans="1:12" ht="15.75" x14ac:dyDescent="0.25">
      <c r="A1732" s="647"/>
      <c r="B1732" s="648"/>
      <c r="C1732" s="649"/>
      <c r="D1732" s="655" t="s">
        <v>960</v>
      </c>
      <c r="E1732" s="651"/>
      <c r="F1732" s="656">
        <v>0.39166666666666666</v>
      </c>
      <c r="G1732" s="647"/>
      <c r="H1732" s="648"/>
      <c r="I1732" s="649"/>
      <c r="J1732" s="655"/>
      <c r="K1732" s="651"/>
      <c r="L1732" s="656"/>
    </row>
    <row r="1733" spans="1:12" ht="15.75" x14ac:dyDescent="0.25">
      <c r="A1733" s="647" t="s">
        <v>958</v>
      </c>
      <c r="B1733" s="654"/>
      <c r="C1733" s="649"/>
      <c r="D1733" s="650" t="s">
        <v>163</v>
      </c>
      <c r="E1733" s="657">
        <v>0.44305555555555554</v>
      </c>
      <c r="F1733" s="653"/>
      <c r="G1733" s="647"/>
      <c r="H1733" s="654"/>
      <c r="I1733" s="649"/>
      <c r="J1733" s="650"/>
      <c r="K1733" s="657"/>
      <c r="L1733" s="653"/>
    </row>
    <row r="1734" spans="1:12" ht="15.75" x14ac:dyDescent="0.25">
      <c r="A1734" s="647"/>
      <c r="B1734" s="648"/>
      <c r="C1734" s="649"/>
      <c r="D1734" s="650" t="s">
        <v>963</v>
      </c>
      <c r="E1734" s="657">
        <v>0.46736111111111112</v>
      </c>
      <c r="F1734" s="656"/>
      <c r="G1734" s="647"/>
      <c r="H1734" s="648"/>
      <c r="I1734" s="649"/>
      <c r="J1734" s="650"/>
      <c r="K1734" s="657"/>
      <c r="L1734" s="656"/>
    </row>
    <row r="1735" spans="1:12" ht="15.75" x14ac:dyDescent="0.25">
      <c r="A1735" s="647"/>
      <c r="B1735" s="648" t="s">
        <v>459</v>
      </c>
      <c r="C1735" s="649">
        <v>212</v>
      </c>
      <c r="D1735" s="650" t="s">
        <v>1262</v>
      </c>
      <c r="E1735" s="657"/>
      <c r="F1735" s="653"/>
      <c r="G1735" s="647"/>
      <c r="H1735" s="648"/>
      <c r="I1735" s="649"/>
      <c r="J1735" s="650"/>
      <c r="K1735" s="657"/>
      <c r="L1735" s="653"/>
    </row>
    <row r="1736" spans="1:12" ht="15.75" x14ac:dyDescent="0.25">
      <c r="A1736" s="647"/>
      <c r="B1736" s="648"/>
      <c r="C1736" s="649"/>
      <c r="D1736" s="650"/>
      <c r="E1736" s="657"/>
      <c r="F1736" s="653"/>
      <c r="G1736" s="647"/>
      <c r="H1736" s="648"/>
      <c r="I1736" s="649"/>
      <c r="J1736" s="650"/>
      <c r="K1736" s="657"/>
      <c r="L1736" s="653"/>
    </row>
    <row r="1737" spans="1:12" ht="15.75" x14ac:dyDescent="0.25">
      <c r="A1737" s="647"/>
      <c r="B1737" s="648" t="s">
        <v>459</v>
      </c>
      <c r="C1737" s="649">
        <v>33</v>
      </c>
      <c r="D1737" s="650" t="s">
        <v>1263</v>
      </c>
      <c r="E1737" s="651"/>
      <c r="F1737" s="652"/>
      <c r="G1737" s="647"/>
      <c r="H1737" s="648"/>
      <c r="I1737" s="649"/>
      <c r="J1737" s="650"/>
      <c r="K1737" s="657"/>
      <c r="L1737" s="653"/>
    </row>
    <row r="1738" spans="1:12" ht="15.75" x14ac:dyDescent="0.25">
      <c r="A1738" s="647" t="s">
        <v>958</v>
      </c>
      <c r="B1738" s="654"/>
      <c r="C1738" s="649"/>
      <c r="D1738" s="655" t="s">
        <v>959</v>
      </c>
      <c r="E1738" s="651"/>
      <c r="F1738" s="656">
        <v>0.72222222222222221</v>
      </c>
      <c r="G1738" s="647"/>
      <c r="H1738" s="648"/>
      <c r="I1738" s="649"/>
      <c r="J1738" s="650"/>
      <c r="K1738" s="657"/>
      <c r="L1738" s="653"/>
    </row>
    <row r="1739" spans="1:12" ht="15.75" x14ac:dyDescent="0.25">
      <c r="A1739" s="647" t="s">
        <v>165</v>
      </c>
      <c r="B1739" s="654"/>
      <c r="C1739" s="649"/>
      <c r="D1739" s="650" t="s">
        <v>1053</v>
      </c>
      <c r="E1739" s="657"/>
      <c r="F1739" s="653">
        <v>0.74305555555555558</v>
      </c>
      <c r="G1739" s="647"/>
      <c r="H1739" s="648"/>
      <c r="I1739" s="649"/>
      <c r="J1739" s="650"/>
      <c r="K1739" s="657"/>
      <c r="L1739" s="652"/>
    </row>
    <row r="1740" spans="1:12" ht="15.75" x14ac:dyDescent="0.25">
      <c r="A1740" s="647"/>
      <c r="B1740" s="648"/>
      <c r="C1740" s="649"/>
      <c r="D1740" s="655"/>
      <c r="E1740" s="651"/>
      <c r="F1740" s="656"/>
      <c r="G1740" s="647"/>
      <c r="H1740" s="648"/>
      <c r="I1740" s="649"/>
      <c r="J1740" s="650"/>
      <c r="K1740" s="651"/>
      <c r="L1740" s="652"/>
    </row>
    <row r="1741" spans="1:12" ht="15.75" x14ac:dyDescent="0.25">
      <c r="A1741" s="647" t="s">
        <v>958</v>
      </c>
      <c r="B1741" s="648"/>
      <c r="C1741" s="649"/>
      <c r="D1741" s="650" t="s">
        <v>412</v>
      </c>
      <c r="E1741" s="657">
        <v>0.81944444444444442</v>
      </c>
      <c r="F1741" s="653"/>
      <c r="G1741" s="647"/>
      <c r="H1741" s="648"/>
      <c r="I1741" s="649"/>
      <c r="J1741" s="650"/>
      <c r="K1741" s="651"/>
      <c r="L1741" s="652"/>
    </row>
    <row r="1742" spans="1:12" ht="15.75" x14ac:dyDescent="0.25">
      <c r="A1742" s="647"/>
      <c r="B1742" s="648"/>
      <c r="C1742" s="649"/>
      <c r="D1742" s="650" t="s">
        <v>963</v>
      </c>
      <c r="E1742" s="657">
        <v>0.85416666666666663</v>
      </c>
      <c r="F1742" s="656"/>
      <c r="G1742" s="647"/>
      <c r="H1742" s="648"/>
      <c r="I1742" s="649"/>
      <c r="J1742" s="650"/>
      <c r="K1742" s="651"/>
      <c r="L1742" s="652"/>
    </row>
    <row r="1743" spans="1:12" ht="15.75" x14ac:dyDescent="0.25">
      <c r="A1743" s="647"/>
      <c r="B1743" s="648" t="s">
        <v>1240</v>
      </c>
      <c r="C1743" s="649" t="s">
        <v>459</v>
      </c>
      <c r="D1743" s="650"/>
      <c r="E1743" s="657"/>
      <c r="F1743" s="656"/>
      <c r="G1743" s="647"/>
      <c r="H1743" s="648"/>
      <c r="I1743" s="649"/>
      <c r="J1743" s="650"/>
      <c r="K1743" s="651"/>
      <c r="L1743" s="652"/>
    </row>
    <row r="1744" spans="1:12" ht="15.75" x14ac:dyDescent="0.25">
      <c r="A1744" s="647"/>
      <c r="B1744" s="648"/>
      <c r="C1744" s="649"/>
      <c r="D1744" s="650"/>
      <c r="E1744" s="651"/>
      <c r="F1744" s="653"/>
      <c r="G1744" s="647"/>
      <c r="H1744" s="648"/>
      <c r="I1744" s="649"/>
      <c r="J1744" s="650"/>
      <c r="K1744" s="651"/>
      <c r="L1744" s="652"/>
    </row>
    <row r="1745" spans="1:12" ht="15.75" x14ac:dyDescent="0.25">
      <c r="A1745" s="647"/>
      <c r="B1745" s="648"/>
      <c r="C1745" s="649"/>
      <c r="D1745" s="655"/>
      <c r="E1745" s="651"/>
      <c r="F1745" s="656"/>
      <c r="G1745" s="647"/>
      <c r="H1745" s="648"/>
      <c r="I1745" s="649"/>
      <c r="J1745" s="650"/>
      <c r="K1745" s="651"/>
      <c r="L1745" s="652"/>
    </row>
    <row r="1746" spans="1:12" ht="15.75" x14ac:dyDescent="0.25">
      <c r="A1746" s="647"/>
      <c r="B1746" s="648"/>
      <c r="C1746" s="649"/>
      <c r="D1746" s="650"/>
      <c r="E1746" s="651"/>
      <c r="F1746" s="653"/>
      <c r="G1746" s="647"/>
      <c r="H1746" s="648"/>
      <c r="I1746" s="649"/>
      <c r="J1746" s="650"/>
      <c r="K1746" s="651"/>
      <c r="L1746" s="652"/>
    </row>
    <row r="1747" spans="1:12" ht="15.75" x14ac:dyDescent="0.25">
      <c r="A1747" s="647"/>
      <c r="B1747" s="648"/>
      <c r="C1747" s="649"/>
      <c r="D1747" s="655"/>
      <c r="E1747" s="651"/>
      <c r="F1747" s="656"/>
      <c r="G1747" s="647"/>
      <c r="H1747" s="648"/>
      <c r="I1747" s="649"/>
      <c r="J1747" s="650"/>
      <c r="K1747" s="651"/>
      <c r="L1747" s="658"/>
    </row>
    <row r="1748" spans="1:12" ht="15.75" x14ac:dyDescent="0.25">
      <c r="A1748" s="647"/>
      <c r="B1748" s="648"/>
      <c r="C1748" s="649"/>
      <c r="D1748" s="650"/>
      <c r="E1748" s="651"/>
      <c r="F1748" s="652"/>
      <c r="G1748" s="647"/>
      <c r="H1748" s="648"/>
      <c r="I1748" s="649"/>
      <c r="J1748" s="655"/>
      <c r="K1748" s="651"/>
      <c r="L1748" s="658"/>
    </row>
    <row r="1749" spans="1:12" ht="15.75" x14ac:dyDescent="0.25">
      <c r="A1749" s="647"/>
      <c r="B1749" s="648"/>
      <c r="C1749" s="649"/>
      <c r="D1749" s="650"/>
      <c r="E1749" s="651"/>
      <c r="F1749" s="652"/>
      <c r="G1749" s="647"/>
      <c r="H1749" s="648"/>
      <c r="I1749" s="649"/>
      <c r="J1749" s="650"/>
      <c r="K1749" s="651"/>
      <c r="L1749" s="658"/>
    </row>
    <row r="1750" spans="1:12" ht="15.75" x14ac:dyDescent="0.25">
      <c r="A1750" s="647"/>
      <c r="B1750" s="648"/>
      <c r="C1750" s="649"/>
      <c r="D1750" s="650"/>
      <c r="E1750" s="651"/>
      <c r="F1750" s="652"/>
      <c r="G1750" s="647"/>
      <c r="H1750" s="648"/>
      <c r="I1750" s="649"/>
      <c r="J1750" s="650"/>
      <c r="K1750" s="651"/>
      <c r="L1750" s="652"/>
    </row>
    <row r="1751" spans="1:12" ht="15.75" x14ac:dyDescent="0.25">
      <c r="A1751" s="647"/>
      <c r="B1751" s="648"/>
      <c r="C1751" s="649"/>
      <c r="D1751" s="650"/>
      <c r="E1751" s="651"/>
      <c r="F1751" s="652"/>
      <c r="G1751" s="647"/>
      <c r="H1751" s="648"/>
      <c r="I1751" s="649"/>
      <c r="J1751" s="650"/>
      <c r="K1751" s="651"/>
      <c r="L1751" s="652"/>
    </row>
    <row r="1752" spans="1:12" ht="15.75" x14ac:dyDescent="0.25">
      <c r="A1752" s="647"/>
      <c r="B1752" s="648"/>
      <c r="C1752" s="649"/>
      <c r="D1752" s="650"/>
      <c r="E1752" s="651"/>
      <c r="F1752" s="652"/>
      <c r="G1752" s="647"/>
      <c r="H1752" s="648"/>
      <c r="I1752" s="649"/>
      <c r="J1752" s="650"/>
      <c r="K1752" s="651"/>
      <c r="L1752" s="652"/>
    </row>
    <row r="1753" spans="1:12" ht="15.75" x14ac:dyDescent="0.25">
      <c r="A1753" s="647"/>
      <c r="B1753" s="648"/>
      <c r="C1753" s="649"/>
      <c r="D1753" s="650"/>
      <c r="E1753" s="651"/>
      <c r="F1753" s="652"/>
      <c r="G1753" s="647"/>
      <c r="H1753" s="648"/>
      <c r="I1753" s="649"/>
      <c r="J1753" s="650"/>
      <c r="K1753" s="651"/>
      <c r="L1753" s="652"/>
    </row>
    <row r="1754" spans="1:12" ht="15.75" x14ac:dyDescent="0.25">
      <c r="A1754" s="647"/>
      <c r="B1754" s="648"/>
      <c r="C1754" s="649"/>
      <c r="D1754" s="650"/>
      <c r="E1754" s="651"/>
      <c r="F1754" s="652"/>
      <c r="G1754" s="647"/>
      <c r="H1754" s="648"/>
      <c r="I1754" s="649"/>
      <c r="J1754" s="650"/>
      <c r="K1754" s="651"/>
      <c r="L1754" s="652"/>
    </row>
    <row r="1755" spans="1:12" ht="15.75" x14ac:dyDescent="0.25">
      <c r="A1755" s="647"/>
      <c r="B1755" s="648"/>
      <c r="C1755" s="649"/>
      <c r="D1755" s="650"/>
      <c r="E1755" s="651"/>
      <c r="F1755" s="658"/>
      <c r="G1755" s="647"/>
      <c r="H1755" s="648"/>
      <c r="I1755" s="649"/>
      <c r="J1755" s="650"/>
      <c r="K1755" s="651"/>
      <c r="L1755" s="652"/>
    </row>
    <row r="1756" spans="1:12" ht="15.75" x14ac:dyDescent="0.25">
      <c r="A1756" s="647"/>
      <c r="B1756" s="648"/>
      <c r="C1756" s="649"/>
      <c r="D1756" s="650"/>
      <c r="E1756" s="651"/>
      <c r="F1756" s="653"/>
      <c r="G1756" s="647"/>
      <c r="H1756" s="648"/>
      <c r="I1756" s="649"/>
      <c r="J1756" s="650"/>
      <c r="K1756" s="651"/>
      <c r="L1756" s="652"/>
    </row>
    <row r="1757" spans="1:12" ht="15.75" x14ac:dyDescent="0.25">
      <c r="A1757" s="647"/>
      <c r="B1757" s="648"/>
      <c r="C1757" s="649"/>
      <c r="D1757" s="655"/>
      <c r="E1757" s="651"/>
      <c r="F1757" s="656"/>
      <c r="G1757" s="647"/>
      <c r="H1757" s="648"/>
      <c r="I1757" s="649"/>
      <c r="J1757" s="650"/>
      <c r="K1757" s="651"/>
      <c r="L1757" s="658"/>
    </row>
    <row r="1758" spans="1:12" ht="15.75" x14ac:dyDescent="0.25">
      <c r="A1758" s="647"/>
      <c r="B1758" s="648"/>
      <c r="C1758" s="649"/>
      <c r="D1758" s="655"/>
      <c r="E1758" s="651"/>
      <c r="F1758" s="656"/>
      <c r="G1758" s="647"/>
      <c r="H1758" s="648"/>
      <c r="I1758" s="649"/>
      <c r="J1758" s="655"/>
      <c r="K1758" s="651"/>
      <c r="L1758" s="658"/>
    </row>
    <row r="1759" spans="1:12" ht="15.75" x14ac:dyDescent="0.25">
      <c r="A1759" s="647"/>
      <c r="B1759" s="654"/>
      <c r="C1759" s="649"/>
      <c r="D1759" s="650"/>
      <c r="E1759" s="657"/>
      <c r="F1759" s="653"/>
      <c r="G1759" s="647"/>
      <c r="H1759" s="648"/>
      <c r="I1759" s="649"/>
      <c r="J1759" s="650"/>
      <c r="K1759" s="651"/>
      <c r="L1759" s="658"/>
    </row>
    <row r="1760" spans="1:12" ht="16.5" thickBot="1" x14ac:dyDescent="0.3">
      <c r="A1760" s="659"/>
      <c r="B1760" s="660"/>
      <c r="C1760" s="661"/>
      <c r="D1760" s="662"/>
      <c r="E1760" s="663"/>
      <c r="F1760" s="664"/>
      <c r="G1760" s="665"/>
      <c r="H1760" s="666"/>
      <c r="I1760" s="667"/>
      <c r="J1760" s="668"/>
      <c r="K1760" s="663"/>
      <c r="L1760" s="669"/>
    </row>
    <row r="1761" spans="1:12" ht="21" x14ac:dyDescent="0.35">
      <c r="A1761" s="769" t="s">
        <v>945</v>
      </c>
      <c r="B1761" s="770"/>
      <c r="C1761" s="770"/>
      <c r="D1761" s="770"/>
      <c r="E1761" s="770"/>
      <c r="F1761" s="770"/>
      <c r="G1761" s="770"/>
      <c r="H1761" s="770"/>
      <c r="I1761" s="770"/>
      <c r="J1761" s="770"/>
      <c r="K1761" s="770"/>
      <c r="L1761" s="771"/>
    </row>
    <row r="1762" spans="1:12" ht="18.75" x14ac:dyDescent="0.3">
      <c r="A1762" s="772" t="s">
        <v>946</v>
      </c>
      <c r="B1762" s="773"/>
      <c r="C1762" s="773"/>
      <c r="D1762" s="773"/>
      <c r="E1762" s="773"/>
      <c r="F1762" s="773"/>
      <c r="G1762" s="773"/>
      <c r="H1762" s="773"/>
      <c r="I1762" s="773"/>
      <c r="J1762" s="773"/>
      <c r="K1762" s="773"/>
      <c r="L1762" s="774"/>
    </row>
    <row r="1763" spans="1:12" ht="24" x14ac:dyDescent="0.4">
      <c r="A1763" s="775" t="s">
        <v>947</v>
      </c>
      <c r="B1763" s="776"/>
      <c r="C1763" s="776"/>
      <c r="D1763" s="776"/>
      <c r="E1763" s="776"/>
      <c r="F1763" s="776"/>
      <c r="G1763" s="776"/>
      <c r="H1763" s="776"/>
      <c r="I1763" s="776"/>
      <c r="J1763" s="776"/>
      <c r="K1763" s="776"/>
      <c r="L1763" s="777"/>
    </row>
    <row r="1764" spans="1:12" ht="24" x14ac:dyDescent="0.4">
      <c r="A1764" s="670" t="s">
        <v>948</v>
      </c>
      <c r="B1764" s="671"/>
      <c r="C1764" s="671"/>
      <c r="D1764" s="672" t="s">
        <v>949</v>
      </c>
      <c r="E1764" s="778" t="s">
        <v>950</v>
      </c>
      <c r="F1764" s="778"/>
      <c r="G1764" s="778"/>
      <c r="H1764" s="778"/>
      <c r="I1764" s="778"/>
      <c r="J1764" s="673" t="s">
        <v>1264</v>
      </c>
      <c r="K1764" s="778"/>
      <c r="L1764" s="779"/>
    </row>
    <row r="1765" spans="1:12" ht="15.75" thickBot="1" x14ac:dyDescent="0.3">
      <c r="A1765" s="674"/>
      <c r="B1765" s="675"/>
      <c r="C1765" s="675"/>
      <c r="D1765" s="676"/>
      <c r="E1765" s="675"/>
      <c r="F1765" s="675"/>
      <c r="G1765" s="675"/>
      <c r="H1765" s="675"/>
      <c r="I1765" s="780"/>
      <c r="J1765" s="780"/>
      <c r="K1765" s="675"/>
      <c r="L1765" s="677"/>
    </row>
    <row r="1766" spans="1:12" ht="16.5" thickBot="1" x14ac:dyDescent="0.3">
      <c r="A1766" s="631" t="s">
        <v>952</v>
      </c>
      <c r="B1766" s="632"/>
      <c r="C1766" s="633"/>
      <c r="D1766" s="634" t="s">
        <v>953</v>
      </c>
      <c r="E1766" s="631" t="s">
        <v>954</v>
      </c>
      <c r="F1766" s="635" t="s">
        <v>955</v>
      </c>
      <c r="G1766" s="631" t="s">
        <v>952</v>
      </c>
      <c r="H1766" s="632"/>
      <c r="I1766" s="633"/>
      <c r="J1766" s="634" t="s">
        <v>953</v>
      </c>
      <c r="K1766" s="631" t="s">
        <v>954</v>
      </c>
      <c r="L1766" s="631" t="s">
        <v>955</v>
      </c>
    </row>
    <row r="1767" spans="1:12" ht="15.75" x14ac:dyDescent="0.25">
      <c r="A1767" s="636"/>
      <c r="B1767" s="637"/>
      <c r="C1767" s="638"/>
      <c r="D1767" s="639"/>
      <c r="E1767" s="640"/>
      <c r="F1767" s="641"/>
      <c r="G1767" s="636"/>
      <c r="H1767" s="642"/>
      <c r="I1767" s="643"/>
      <c r="J1767" s="644"/>
      <c r="K1767" s="645"/>
      <c r="L1767" s="646"/>
    </row>
    <row r="1768" spans="1:12" ht="15.75" x14ac:dyDescent="0.25">
      <c r="A1768" s="647"/>
      <c r="B1768" s="648" t="s">
        <v>459</v>
      </c>
      <c r="C1768" s="649">
        <v>213</v>
      </c>
      <c r="D1768" s="650" t="s">
        <v>1265</v>
      </c>
      <c r="E1768" s="651"/>
      <c r="F1768" s="652"/>
      <c r="G1768" s="647"/>
      <c r="H1768" s="648" t="s">
        <v>459</v>
      </c>
      <c r="I1768" s="649">
        <v>48</v>
      </c>
      <c r="J1768" s="650" t="s">
        <v>1266</v>
      </c>
      <c r="K1768" s="651"/>
      <c r="L1768" s="653"/>
    </row>
    <row r="1769" spans="1:12" ht="15.75" x14ac:dyDescent="0.25">
      <c r="A1769" s="647" t="s">
        <v>958</v>
      </c>
      <c r="B1769" s="654"/>
      <c r="C1769" s="649"/>
      <c r="D1769" s="655" t="s">
        <v>959</v>
      </c>
      <c r="E1769" s="651"/>
      <c r="F1769" s="656">
        <v>0.30902777777777779</v>
      </c>
      <c r="G1769" s="647"/>
      <c r="H1769" s="648"/>
      <c r="I1769" s="649"/>
      <c r="J1769" s="655" t="s">
        <v>166</v>
      </c>
      <c r="K1769" s="651"/>
      <c r="L1769" s="656">
        <v>0.77430555555555558</v>
      </c>
    </row>
    <row r="1770" spans="1:12" ht="15.75" x14ac:dyDescent="0.25">
      <c r="A1770" s="647" t="s">
        <v>961</v>
      </c>
      <c r="B1770" s="654"/>
      <c r="C1770" s="649"/>
      <c r="D1770" s="650" t="s">
        <v>163</v>
      </c>
      <c r="E1770" s="657"/>
      <c r="F1770" s="653">
        <v>0.33680555555555558</v>
      </c>
      <c r="G1770" s="647" t="s">
        <v>961</v>
      </c>
      <c r="H1770" s="648"/>
      <c r="I1770" s="649"/>
      <c r="J1770" s="650" t="s">
        <v>160</v>
      </c>
      <c r="K1770" s="651"/>
      <c r="L1770" s="653">
        <v>0.81944444444444442</v>
      </c>
    </row>
    <row r="1771" spans="1:12" ht="15.75" x14ac:dyDescent="0.25">
      <c r="A1771" s="647"/>
      <c r="B1771" s="648"/>
      <c r="C1771" s="649"/>
      <c r="D1771" s="655" t="s">
        <v>164</v>
      </c>
      <c r="E1771" s="651"/>
      <c r="F1771" s="656">
        <v>0.36458333333333331</v>
      </c>
      <c r="G1771" s="647"/>
      <c r="H1771" s="648"/>
      <c r="I1771" s="649"/>
      <c r="J1771" s="655" t="s">
        <v>962</v>
      </c>
      <c r="K1771" s="651"/>
      <c r="L1771" s="656">
        <v>0.82638888888888884</v>
      </c>
    </row>
    <row r="1772" spans="1:12" ht="15.75" x14ac:dyDescent="0.25">
      <c r="A1772" s="647"/>
      <c r="B1772" s="648"/>
      <c r="C1772" s="649"/>
      <c r="D1772" s="655" t="s">
        <v>166</v>
      </c>
      <c r="E1772" s="651"/>
      <c r="F1772" s="656">
        <v>0.38541666666666669</v>
      </c>
      <c r="G1772" s="647"/>
      <c r="H1772" s="648"/>
      <c r="I1772" s="649"/>
      <c r="J1772" s="655" t="s">
        <v>960</v>
      </c>
      <c r="K1772" s="651"/>
      <c r="L1772" s="656">
        <v>0.85416666666666663</v>
      </c>
    </row>
    <row r="1773" spans="1:12" ht="15.75" x14ac:dyDescent="0.25">
      <c r="A1773" s="647" t="s">
        <v>961</v>
      </c>
      <c r="B1773" s="648"/>
      <c r="C1773" s="649"/>
      <c r="D1773" s="650" t="s">
        <v>160</v>
      </c>
      <c r="E1773" s="651"/>
      <c r="F1773" s="653">
        <v>0.43402777777777779</v>
      </c>
      <c r="G1773" s="647" t="s">
        <v>961</v>
      </c>
      <c r="H1773" s="654"/>
      <c r="I1773" s="649"/>
      <c r="J1773" s="650" t="s">
        <v>163</v>
      </c>
      <c r="K1773" s="657"/>
      <c r="L1773" s="653">
        <v>0.90277777777777779</v>
      </c>
    </row>
    <row r="1774" spans="1:12" ht="15.75" x14ac:dyDescent="0.25">
      <c r="A1774" s="647"/>
      <c r="B1774" s="648"/>
      <c r="C1774" s="649"/>
      <c r="D1774" s="655" t="s">
        <v>962</v>
      </c>
      <c r="E1774" s="651"/>
      <c r="F1774" s="656">
        <v>0.44444444444444442</v>
      </c>
      <c r="G1774" s="647"/>
      <c r="H1774" s="648"/>
      <c r="I1774" s="649"/>
      <c r="J1774" s="655" t="s">
        <v>164</v>
      </c>
      <c r="K1774" s="651"/>
      <c r="L1774" s="656">
        <v>0.92361111111111116</v>
      </c>
    </row>
    <row r="1775" spans="1:12" ht="15.75" x14ac:dyDescent="0.25">
      <c r="A1775" s="647"/>
      <c r="B1775" s="648"/>
      <c r="C1775" s="649"/>
      <c r="D1775" s="655" t="s">
        <v>960</v>
      </c>
      <c r="E1775" s="657">
        <v>0.47569444444444442</v>
      </c>
      <c r="F1775" s="656"/>
      <c r="G1775" s="647"/>
      <c r="H1775" s="648"/>
      <c r="I1775" s="649"/>
      <c r="J1775" s="655" t="s">
        <v>166</v>
      </c>
      <c r="K1775" s="657">
        <v>0.93402777777777779</v>
      </c>
      <c r="L1775" s="656"/>
    </row>
    <row r="1776" spans="1:12" ht="15.75" x14ac:dyDescent="0.25">
      <c r="A1776" s="647"/>
      <c r="B1776" s="648" t="s">
        <v>459</v>
      </c>
      <c r="C1776" s="649">
        <v>213</v>
      </c>
      <c r="D1776" s="650" t="s">
        <v>1267</v>
      </c>
      <c r="E1776" s="657"/>
      <c r="F1776" s="653"/>
      <c r="G1776" s="647"/>
      <c r="H1776" s="648" t="s">
        <v>462</v>
      </c>
      <c r="I1776" s="649" t="s">
        <v>459</v>
      </c>
      <c r="J1776" s="650"/>
      <c r="K1776" s="651"/>
      <c r="L1776" s="653"/>
    </row>
    <row r="1777" spans="1:12" ht="15.75" x14ac:dyDescent="0.25">
      <c r="A1777" s="647"/>
      <c r="B1777" s="648"/>
      <c r="C1777" s="649"/>
      <c r="D1777" s="650"/>
      <c r="E1777" s="657"/>
      <c r="F1777" s="652"/>
      <c r="G1777" s="647"/>
      <c r="H1777" s="648"/>
      <c r="I1777" s="649"/>
      <c r="J1777" s="650"/>
      <c r="K1777" s="651"/>
      <c r="L1777" s="652"/>
    </row>
    <row r="1778" spans="1:12" ht="15.75" x14ac:dyDescent="0.25">
      <c r="A1778" s="647"/>
      <c r="B1778" s="648" t="s">
        <v>459</v>
      </c>
      <c r="C1778" s="649">
        <v>202</v>
      </c>
      <c r="D1778" s="650" t="s">
        <v>1268</v>
      </c>
      <c r="E1778" s="651"/>
      <c r="F1778" s="653"/>
      <c r="G1778" s="647"/>
      <c r="H1778" s="648" t="s">
        <v>459</v>
      </c>
      <c r="I1778" s="649">
        <v>76</v>
      </c>
      <c r="J1778" s="650" t="s">
        <v>1269</v>
      </c>
      <c r="K1778" s="651"/>
      <c r="L1778" s="653"/>
    </row>
    <row r="1779" spans="1:12" ht="15.75" x14ac:dyDescent="0.25">
      <c r="A1779" s="647"/>
      <c r="B1779" s="648"/>
      <c r="C1779" s="649"/>
      <c r="D1779" s="655" t="s">
        <v>960</v>
      </c>
      <c r="E1779" s="651"/>
      <c r="F1779" s="656">
        <v>0.47569444444444442</v>
      </c>
      <c r="G1779" s="647"/>
      <c r="H1779" s="648"/>
      <c r="I1779" s="649"/>
      <c r="J1779" s="655" t="s">
        <v>166</v>
      </c>
      <c r="K1779" s="651"/>
      <c r="L1779" s="656">
        <v>0.93402777777777779</v>
      </c>
    </row>
    <row r="1780" spans="1:12" ht="15.75" x14ac:dyDescent="0.25">
      <c r="A1780" s="647" t="s">
        <v>961</v>
      </c>
      <c r="B1780" s="654"/>
      <c r="C1780" s="649"/>
      <c r="D1780" s="650" t="s">
        <v>163</v>
      </c>
      <c r="E1780" s="657"/>
      <c r="F1780" s="653">
        <v>0.52777777777777701</v>
      </c>
      <c r="G1780" s="647" t="s">
        <v>961</v>
      </c>
      <c r="H1780" s="648"/>
      <c r="I1780" s="649"/>
      <c r="J1780" s="650" t="s">
        <v>160</v>
      </c>
      <c r="K1780" s="651"/>
      <c r="L1780" s="653">
        <v>0.96527777777777779</v>
      </c>
    </row>
    <row r="1781" spans="1:12" ht="15.75" x14ac:dyDescent="0.25">
      <c r="A1781" s="647"/>
      <c r="B1781" s="648"/>
      <c r="C1781" s="649"/>
      <c r="D1781" s="655" t="s">
        <v>164</v>
      </c>
      <c r="E1781" s="651"/>
      <c r="F1781" s="656">
        <v>0.55902777777777701</v>
      </c>
      <c r="G1781" s="647"/>
      <c r="H1781" s="648"/>
      <c r="I1781" s="649"/>
      <c r="J1781" s="655" t="s">
        <v>962</v>
      </c>
      <c r="K1781" s="651"/>
      <c r="L1781" s="656">
        <v>0.97222222222222221</v>
      </c>
    </row>
    <row r="1782" spans="1:12" ht="15.75" x14ac:dyDescent="0.25">
      <c r="A1782" s="647"/>
      <c r="B1782" s="648"/>
      <c r="C1782" s="649"/>
      <c r="D1782" s="655" t="s">
        <v>166</v>
      </c>
      <c r="E1782" s="651"/>
      <c r="F1782" s="656">
        <v>0.57291666666666663</v>
      </c>
      <c r="G1782" s="647"/>
      <c r="H1782" s="648"/>
      <c r="I1782" s="649"/>
      <c r="J1782" s="655" t="s">
        <v>960</v>
      </c>
      <c r="K1782" s="651"/>
      <c r="L1782" s="656">
        <v>1</v>
      </c>
    </row>
    <row r="1783" spans="1:12" ht="15.75" x14ac:dyDescent="0.25">
      <c r="A1783" s="647" t="s">
        <v>961</v>
      </c>
      <c r="B1783" s="648"/>
      <c r="C1783" s="649"/>
      <c r="D1783" s="650" t="s">
        <v>160</v>
      </c>
      <c r="E1783" s="651"/>
      <c r="F1783" s="653">
        <v>0.625</v>
      </c>
      <c r="G1783" s="647" t="s">
        <v>958</v>
      </c>
      <c r="H1783" s="654"/>
      <c r="I1783" s="649"/>
      <c r="J1783" s="650" t="s">
        <v>163</v>
      </c>
      <c r="K1783" s="657">
        <v>1.0361111111111112</v>
      </c>
      <c r="L1783" s="653"/>
    </row>
    <row r="1784" spans="1:12" ht="15.75" x14ac:dyDescent="0.25">
      <c r="A1784" s="647"/>
      <c r="B1784" s="648"/>
      <c r="C1784" s="649"/>
      <c r="D1784" s="655" t="s">
        <v>962</v>
      </c>
      <c r="E1784" s="651"/>
      <c r="F1784" s="656">
        <v>0.63541666666666663</v>
      </c>
      <c r="G1784" s="647"/>
      <c r="H1784" s="648"/>
      <c r="I1784" s="649"/>
      <c r="J1784" s="650" t="s">
        <v>963</v>
      </c>
      <c r="K1784" s="657">
        <v>5.6944444444444443E-2</v>
      </c>
      <c r="L1784" s="656"/>
    </row>
    <row r="1785" spans="1:12" ht="15.75" x14ac:dyDescent="0.25">
      <c r="A1785" s="647"/>
      <c r="B1785" s="648"/>
      <c r="C1785" s="649"/>
      <c r="D1785" s="655" t="s">
        <v>960</v>
      </c>
      <c r="E1785" s="657">
        <v>0.67013888888888884</v>
      </c>
      <c r="F1785" s="656"/>
      <c r="G1785" s="647"/>
      <c r="H1785" s="648" t="s">
        <v>459</v>
      </c>
      <c r="I1785" s="649">
        <v>76</v>
      </c>
      <c r="J1785" s="650" t="s">
        <v>1270</v>
      </c>
      <c r="K1785" s="657"/>
      <c r="L1785" s="656"/>
    </row>
    <row r="1786" spans="1:12" ht="15.75" x14ac:dyDescent="0.25">
      <c r="A1786" s="647"/>
      <c r="B1786" s="648" t="s">
        <v>462</v>
      </c>
      <c r="C1786" s="649" t="s">
        <v>459</v>
      </c>
      <c r="D1786" s="650"/>
      <c r="E1786" s="657"/>
      <c r="F1786" s="653"/>
      <c r="G1786" s="647"/>
      <c r="H1786" s="648"/>
      <c r="I1786" s="649"/>
      <c r="J1786" s="650"/>
      <c r="K1786" s="657"/>
      <c r="L1786" s="653"/>
    </row>
    <row r="1787" spans="1:12" ht="15.75" x14ac:dyDescent="0.25">
      <c r="A1787" s="647"/>
      <c r="B1787" s="648"/>
      <c r="C1787" s="649"/>
      <c r="D1787" s="650"/>
      <c r="E1787" s="657"/>
      <c r="F1787" s="652"/>
      <c r="G1787" s="647"/>
      <c r="H1787" s="648"/>
      <c r="I1787" s="649"/>
      <c r="J1787" s="650"/>
      <c r="K1787" s="657"/>
      <c r="L1787" s="652"/>
    </row>
    <row r="1788" spans="1:12" ht="15.75" x14ac:dyDescent="0.25">
      <c r="A1788" s="647"/>
      <c r="B1788" s="648" t="s">
        <v>459</v>
      </c>
      <c r="C1788" s="649">
        <v>59</v>
      </c>
      <c r="D1788" s="650" t="s">
        <v>1271</v>
      </c>
      <c r="E1788" s="651"/>
      <c r="F1788" s="653"/>
      <c r="G1788" s="647"/>
      <c r="H1788" s="648"/>
      <c r="I1788" s="649"/>
      <c r="J1788" s="650"/>
      <c r="K1788" s="651"/>
      <c r="L1788" s="652"/>
    </row>
    <row r="1789" spans="1:12" ht="15.75" x14ac:dyDescent="0.25">
      <c r="A1789" s="647"/>
      <c r="B1789" s="648"/>
      <c r="C1789" s="649"/>
      <c r="D1789" s="655" t="s">
        <v>960</v>
      </c>
      <c r="E1789" s="651"/>
      <c r="F1789" s="656">
        <v>0.67013888888888884</v>
      </c>
      <c r="G1789" s="647"/>
      <c r="H1789" s="648"/>
      <c r="I1789" s="649"/>
      <c r="J1789" s="650"/>
      <c r="K1789" s="657"/>
      <c r="L1789" s="652"/>
    </row>
    <row r="1790" spans="1:12" ht="15.75" x14ac:dyDescent="0.25">
      <c r="A1790" s="647" t="s">
        <v>961</v>
      </c>
      <c r="B1790" s="654"/>
      <c r="C1790" s="649"/>
      <c r="D1790" s="650" t="s">
        <v>163</v>
      </c>
      <c r="E1790" s="657"/>
      <c r="F1790" s="653">
        <v>0.73263888888888884</v>
      </c>
      <c r="G1790" s="647"/>
      <c r="H1790" s="648"/>
      <c r="I1790" s="649"/>
      <c r="J1790" s="650"/>
      <c r="K1790" s="651"/>
      <c r="L1790" s="652"/>
    </row>
    <row r="1791" spans="1:12" ht="15.75" x14ac:dyDescent="0.25">
      <c r="A1791" s="647"/>
      <c r="B1791" s="648"/>
      <c r="C1791" s="649"/>
      <c r="D1791" s="655" t="s">
        <v>164</v>
      </c>
      <c r="E1791" s="651"/>
      <c r="F1791" s="656">
        <v>0.76041666666666663</v>
      </c>
      <c r="G1791" s="647"/>
      <c r="H1791" s="648"/>
      <c r="I1791" s="649"/>
      <c r="J1791" s="650"/>
      <c r="K1791" s="651"/>
      <c r="L1791" s="652"/>
    </row>
    <row r="1792" spans="1:12" ht="15.75" x14ac:dyDescent="0.25">
      <c r="A1792" s="647"/>
      <c r="B1792" s="648"/>
      <c r="C1792" s="649"/>
      <c r="D1792" s="655" t="s">
        <v>166</v>
      </c>
      <c r="E1792" s="657">
        <v>0.77430555555555558</v>
      </c>
      <c r="F1792" s="656"/>
      <c r="G1792" s="647"/>
      <c r="H1792" s="648"/>
      <c r="I1792" s="649"/>
      <c r="J1792" s="650"/>
      <c r="K1792" s="651"/>
      <c r="L1792" s="652"/>
    </row>
    <row r="1793" spans="1:12" ht="15.75" x14ac:dyDescent="0.25">
      <c r="A1793" s="647"/>
      <c r="B1793" s="648" t="s">
        <v>459</v>
      </c>
      <c r="C1793" s="649">
        <v>59</v>
      </c>
      <c r="D1793" s="650" t="s">
        <v>1272</v>
      </c>
      <c r="E1793" s="651"/>
      <c r="F1793" s="653"/>
      <c r="G1793" s="647"/>
      <c r="H1793" s="648"/>
      <c r="I1793" s="649"/>
      <c r="J1793" s="650"/>
      <c r="K1793" s="651"/>
      <c r="L1793" s="652"/>
    </row>
    <row r="1794" spans="1:12" ht="15.75" x14ac:dyDescent="0.25">
      <c r="A1794" s="647"/>
      <c r="B1794" s="648"/>
      <c r="C1794" s="649"/>
      <c r="D1794" s="650"/>
      <c r="E1794" s="657"/>
      <c r="F1794" s="652"/>
      <c r="G1794" s="647"/>
      <c r="H1794" s="648"/>
      <c r="I1794" s="649"/>
      <c r="J1794" s="650"/>
      <c r="K1794" s="651"/>
      <c r="L1794" s="652"/>
    </row>
    <row r="1795" spans="1:12" ht="15.75" x14ac:dyDescent="0.25">
      <c r="A1795" s="647"/>
      <c r="B1795" s="648"/>
      <c r="C1795" s="649"/>
      <c r="D1795" s="650"/>
      <c r="E1795" s="651"/>
      <c r="F1795" s="652"/>
      <c r="G1795" s="647"/>
      <c r="H1795" s="648"/>
      <c r="I1795" s="649"/>
      <c r="J1795" s="650"/>
      <c r="K1795" s="651"/>
      <c r="L1795" s="652"/>
    </row>
    <row r="1796" spans="1:12" ht="15.75" x14ac:dyDescent="0.25">
      <c r="A1796" s="647"/>
      <c r="B1796" s="648"/>
      <c r="C1796" s="649"/>
      <c r="D1796" s="650"/>
      <c r="E1796" s="651"/>
      <c r="F1796" s="652"/>
      <c r="G1796" s="647"/>
      <c r="H1796" s="648"/>
      <c r="I1796" s="649"/>
      <c r="J1796" s="650"/>
      <c r="K1796" s="651"/>
      <c r="L1796" s="652"/>
    </row>
    <row r="1797" spans="1:12" ht="15.75" x14ac:dyDescent="0.25">
      <c r="A1797" s="647"/>
      <c r="B1797" s="648"/>
      <c r="C1797" s="649"/>
      <c r="D1797" s="650"/>
      <c r="E1797" s="657"/>
      <c r="F1797" s="653"/>
      <c r="G1797" s="647"/>
      <c r="H1797" s="648"/>
      <c r="I1797" s="649"/>
      <c r="J1797" s="650"/>
      <c r="K1797" s="651"/>
      <c r="L1797" s="658"/>
    </row>
    <row r="1798" spans="1:12" ht="15.75" x14ac:dyDescent="0.25">
      <c r="A1798" s="647"/>
      <c r="B1798" s="648"/>
      <c r="C1798" s="649"/>
      <c r="D1798" s="650"/>
      <c r="E1798" s="657"/>
      <c r="F1798" s="652"/>
      <c r="G1798" s="647"/>
      <c r="H1798" s="648"/>
      <c r="I1798" s="649"/>
      <c r="J1798" s="655"/>
      <c r="K1798" s="651"/>
      <c r="L1798" s="658"/>
    </row>
    <row r="1799" spans="1:12" ht="15.75" x14ac:dyDescent="0.25">
      <c r="A1799" s="647"/>
      <c r="B1799" s="648"/>
      <c r="C1799" s="649"/>
      <c r="D1799" s="650"/>
      <c r="E1799" s="651"/>
      <c r="F1799" s="652"/>
      <c r="G1799" s="647"/>
      <c r="H1799" s="648"/>
      <c r="I1799" s="649"/>
      <c r="J1799" s="650"/>
      <c r="K1799" s="651"/>
      <c r="L1799" s="658"/>
    </row>
    <row r="1800" spans="1:12" ht="16.5" thickBot="1" x14ac:dyDescent="0.3">
      <c r="A1800" s="659"/>
      <c r="B1800" s="660"/>
      <c r="C1800" s="661"/>
      <c r="D1800" s="662"/>
      <c r="E1800" s="663"/>
      <c r="F1800" s="664"/>
      <c r="G1800" s="665"/>
      <c r="H1800" s="666"/>
      <c r="I1800" s="667"/>
      <c r="J1800" s="668"/>
      <c r="K1800" s="663"/>
      <c r="L1800" s="669"/>
    </row>
    <row r="1801" spans="1:12" ht="21" x14ac:dyDescent="0.35">
      <c r="A1801" s="769" t="s">
        <v>945</v>
      </c>
      <c r="B1801" s="770"/>
      <c r="C1801" s="770"/>
      <c r="D1801" s="770"/>
      <c r="E1801" s="770"/>
      <c r="F1801" s="770"/>
      <c r="G1801" s="770"/>
      <c r="H1801" s="770"/>
      <c r="I1801" s="770"/>
      <c r="J1801" s="770"/>
      <c r="K1801" s="770"/>
      <c r="L1801" s="771"/>
    </row>
    <row r="1802" spans="1:12" ht="18.75" x14ac:dyDescent="0.3">
      <c r="A1802" s="772" t="s">
        <v>946</v>
      </c>
      <c r="B1802" s="773"/>
      <c r="C1802" s="773"/>
      <c r="D1802" s="773"/>
      <c r="E1802" s="773"/>
      <c r="F1802" s="773"/>
      <c r="G1802" s="773"/>
      <c r="H1802" s="773"/>
      <c r="I1802" s="773"/>
      <c r="J1802" s="773"/>
      <c r="K1802" s="773"/>
      <c r="L1802" s="774"/>
    </row>
    <row r="1803" spans="1:12" ht="24" x14ac:dyDescent="0.4">
      <c r="A1803" s="775" t="s">
        <v>947</v>
      </c>
      <c r="B1803" s="776"/>
      <c r="C1803" s="776"/>
      <c r="D1803" s="776"/>
      <c r="E1803" s="776"/>
      <c r="F1803" s="776"/>
      <c r="G1803" s="776"/>
      <c r="H1803" s="776"/>
      <c r="I1803" s="776"/>
      <c r="J1803" s="776"/>
      <c r="K1803" s="776"/>
      <c r="L1803" s="777"/>
    </row>
    <row r="1804" spans="1:12" ht="24" x14ac:dyDescent="0.4">
      <c r="A1804" s="670" t="s">
        <v>948</v>
      </c>
      <c r="B1804" s="671"/>
      <c r="C1804" s="671"/>
      <c r="D1804" s="672" t="s">
        <v>949</v>
      </c>
      <c r="E1804" s="778" t="s">
        <v>950</v>
      </c>
      <c r="F1804" s="778"/>
      <c r="G1804" s="778"/>
      <c r="H1804" s="778"/>
      <c r="I1804" s="778"/>
      <c r="J1804" s="673" t="s">
        <v>1273</v>
      </c>
      <c r="K1804" s="778"/>
      <c r="L1804" s="779"/>
    </row>
    <row r="1805" spans="1:12" ht="15.75" thickBot="1" x14ac:dyDescent="0.3">
      <c r="A1805" s="674"/>
      <c r="B1805" s="675"/>
      <c r="C1805" s="675"/>
      <c r="D1805" s="676"/>
      <c r="E1805" s="675"/>
      <c r="F1805" s="675"/>
      <c r="G1805" s="675"/>
      <c r="H1805" s="675"/>
      <c r="I1805" s="780"/>
      <c r="J1805" s="780"/>
      <c r="K1805" s="675"/>
      <c r="L1805" s="677"/>
    </row>
    <row r="1806" spans="1:12" ht="16.5" thickBot="1" x14ac:dyDescent="0.3">
      <c r="A1806" s="631" t="s">
        <v>952</v>
      </c>
      <c r="B1806" s="632"/>
      <c r="C1806" s="633"/>
      <c r="D1806" s="634" t="s">
        <v>953</v>
      </c>
      <c r="E1806" s="631" t="s">
        <v>954</v>
      </c>
      <c r="F1806" s="635" t="s">
        <v>955</v>
      </c>
      <c r="G1806" s="631" t="s">
        <v>952</v>
      </c>
      <c r="H1806" s="632"/>
      <c r="I1806" s="633"/>
      <c r="J1806" s="634" t="s">
        <v>953</v>
      </c>
      <c r="K1806" s="631" t="s">
        <v>954</v>
      </c>
      <c r="L1806" s="631" t="s">
        <v>955</v>
      </c>
    </row>
    <row r="1807" spans="1:12" ht="15.75" x14ac:dyDescent="0.25">
      <c r="A1807" s="636"/>
      <c r="B1807" s="637"/>
      <c r="C1807" s="638"/>
      <c r="D1807" s="639"/>
      <c r="E1807" s="640"/>
      <c r="F1807" s="641"/>
      <c r="G1807" s="636"/>
      <c r="H1807" s="642"/>
      <c r="I1807" s="643"/>
      <c r="J1807" s="644"/>
      <c r="K1807" s="645"/>
      <c r="L1807" s="646"/>
    </row>
    <row r="1808" spans="1:12" ht="15.75" x14ac:dyDescent="0.25">
      <c r="A1808" s="647"/>
      <c r="B1808" s="648" t="s">
        <v>459</v>
      </c>
      <c r="C1808" s="649">
        <v>214</v>
      </c>
      <c r="D1808" s="650" t="s">
        <v>1274</v>
      </c>
      <c r="E1808" s="651"/>
      <c r="F1808" s="652"/>
      <c r="G1808" s="647"/>
      <c r="H1808" s="648"/>
      <c r="I1808" s="649"/>
      <c r="J1808" s="650"/>
      <c r="K1808" s="651"/>
      <c r="L1808" s="653"/>
    </row>
    <row r="1809" spans="1:12" ht="15.75" x14ac:dyDescent="0.25">
      <c r="A1809" s="647" t="s">
        <v>958</v>
      </c>
      <c r="B1809" s="654"/>
      <c r="C1809" s="649"/>
      <c r="D1809" s="655" t="s">
        <v>959</v>
      </c>
      <c r="E1809" s="651"/>
      <c r="F1809" s="656">
        <v>0.32500000000000001</v>
      </c>
      <c r="G1809" s="647"/>
      <c r="H1809" s="648"/>
      <c r="I1809" s="649"/>
      <c r="J1809" s="655"/>
      <c r="K1809" s="651"/>
      <c r="L1809" s="656"/>
    </row>
    <row r="1810" spans="1:12" ht="15.75" x14ac:dyDescent="0.25">
      <c r="A1810" s="647" t="s">
        <v>961</v>
      </c>
      <c r="B1810" s="654"/>
      <c r="C1810" s="649"/>
      <c r="D1810" s="650" t="s">
        <v>163</v>
      </c>
      <c r="E1810" s="657"/>
      <c r="F1810" s="653">
        <v>0.3527777777777778</v>
      </c>
      <c r="G1810" s="647"/>
      <c r="H1810" s="648"/>
      <c r="I1810" s="649"/>
      <c r="J1810" s="650"/>
      <c r="K1810" s="651"/>
      <c r="L1810" s="653"/>
    </row>
    <row r="1811" spans="1:12" ht="15.75" x14ac:dyDescent="0.25">
      <c r="A1811" s="647"/>
      <c r="B1811" s="648"/>
      <c r="C1811" s="649"/>
      <c r="D1811" s="655" t="s">
        <v>164</v>
      </c>
      <c r="E1811" s="651"/>
      <c r="F1811" s="656">
        <v>0.38055555555555554</v>
      </c>
      <c r="G1811" s="647"/>
      <c r="H1811" s="648"/>
      <c r="I1811" s="649"/>
      <c r="J1811" s="655"/>
      <c r="K1811" s="651"/>
      <c r="L1811" s="656"/>
    </row>
    <row r="1812" spans="1:12" ht="15.75" x14ac:dyDescent="0.25">
      <c r="A1812" s="647"/>
      <c r="B1812" s="648"/>
      <c r="C1812" s="649"/>
      <c r="D1812" s="655" t="s">
        <v>166</v>
      </c>
      <c r="E1812" s="651"/>
      <c r="F1812" s="656">
        <v>0.40138888888888891</v>
      </c>
      <c r="G1812" s="647"/>
      <c r="H1812" s="648"/>
      <c r="I1812" s="649"/>
      <c r="J1812" s="655"/>
      <c r="K1812" s="651"/>
      <c r="L1812" s="656"/>
    </row>
    <row r="1813" spans="1:12" ht="15.75" x14ac:dyDescent="0.25">
      <c r="A1813" s="647" t="s">
        <v>961</v>
      </c>
      <c r="B1813" s="648"/>
      <c r="C1813" s="649"/>
      <c r="D1813" s="650" t="s">
        <v>160</v>
      </c>
      <c r="E1813" s="651"/>
      <c r="F1813" s="653">
        <v>0.44791666666666669</v>
      </c>
      <c r="G1813" s="647"/>
      <c r="H1813" s="654"/>
      <c r="I1813" s="649"/>
      <c r="J1813" s="650"/>
      <c r="K1813" s="657"/>
      <c r="L1813" s="653"/>
    </row>
    <row r="1814" spans="1:12" ht="15.75" x14ac:dyDescent="0.25">
      <c r="A1814" s="647"/>
      <c r="B1814" s="648"/>
      <c r="C1814" s="649"/>
      <c r="D1814" s="655" t="s">
        <v>962</v>
      </c>
      <c r="E1814" s="651"/>
      <c r="F1814" s="656">
        <v>0.45833333333333331</v>
      </c>
      <c r="G1814" s="647"/>
      <c r="H1814" s="648"/>
      <c r="I1814" s="649"/>
      <c r="J1814" s="655"/>
      <c r="K1814" s="651"/>
      <c r="L1814" s="656"/>
    </row>
    <row r="1815" spans="1:12" ht="15.75" x14ac:dyDescent="0.25">
      <c r="A1815" s="647"/>
      <c r="B1815" s="648"/>
      <c r="C1815" s="649"/>
      <c r="D1815" s="655" t="s">
        <v>960</v>
      </c>
      <c r="E1815" s="657">
        <v>0.4861111111111111</v>
      </c>
      <c r="F1815" s="656"/>
      <c r="G1815" s="647"/>
      <c r="H1815" s="648"/>
      <c r="I1815" s="649"/>
      <c r="J1815" s="655"/>
      <c r="K1815" s="657"/>
      <c r="L1815" s="656"/>
    </row>
    <row r="1816" spans="1:12" ht="15.75" x14ac:dyDescent="0.25">
      <c r="A1816" s="647"/>
      <c r="B1816" s="648" t="s">
        <v>459</v>
      </c>
      <c r="C1816" s="649">
        <v>214</v>
      </c>
      <c r="D1816" s="650" t="s">
        <v>1275</v>
      </c>
      <c r="E1816" s="657"/>
      <c r="F1816" s="653"/>
      <c r="G1816" s="647"/>
      <c r="H1816" s="648"/>
      <c r="I1816" s="649"/>
      <c r="J1816" s="650"/>
      <c r="K1816" s="651"/>
      <c r="L1816" s="653"/>
    </row>
    <row r="1817" spans="1:12" ht="15.75" x14ac:dyDescent="0.25">
      <c r="A1817" s="647"/>
      <c r="B1817" s="648"/>
      <c r="C1817" s="649"/>
      <c r="D1817" s="650"/>
      <c r="E1817" s="657"/>
      <c r="F1817" s="652"/>
      <c r="G1817" s="647"/>
      <c r="H1817" s="648"/>
      <c r="I1817" s="649"/>
      <c r="J1817" s="650"/>
      <c r="K1817" s="651"/>
      <c r="L1817" s="652"/>
    </row>
    <row r="1818" spans="1:12" ht="15.75" x14ac:dyDescent="0.25">
      <c r="A1818" s="647"/>
      <c r="B1818" s="648" t="s">
        <v>459</v>
      </c>
      <c r="C1818" s="649">
        <v>33</v>
      </c>
      <c r="D1818" s="650" t="s">
        <v>1276</v>
      </c>
      <c r="E1818" s="651"/>
      <c r="F1818" s="653"/>
      <c r="G1818" s="647"/>
      <c r="H1818" s="648"/>
      <c r="I1818" s="649"/>
      <c r="J1818" s="650"/>
      <c r="K1818" s="651"/>
      <c r="L1818" s="653"/>
    </row>
    <row r="1819" spans="1:12" ht="15.75" x14ac:dyDescent="0.25">
      <c r="A1819" s="647"/>
      <c r="B1819" s="648"/>
      <c r="C1819" s="649"/>
      <c r="D1819" s="655" t="s">
        <v>960</v>
      </c>
      <c r="E1819" s="651"/>
      <c r="F1819" s="656">
        <v>0.4861111111111111</v>
      </c>
      <c r="G1819" s="647"/>
      <c r="H1819" s="648"/>
      <c r="I1819" s="649"/>
      <c r="J1819" s="655"/>
      <c r="K1819" s="651"/>
      <c r="L1819" s="656"/>
    </row>
    <row r="1820" spans="1:12" ht="15.75" x14ac:dyDescent="0.25">
      <c r="A1820" s="647" t="s">
        <v>961</v>
      </c>
      <c r="B1820" s="654"/>
      <c r="C1820" s="649"/>
      <c r="D1820" s="650" t="s">
        <v>163</v>
      </c>
      <c r="E1820" s="657"/>
      <c r="F1820" s="653">
        <v>0.54166666666666663</v>
      </c>
      <c r="G1820" s="647"/>
      <c r="H1820" s="648"/>
      <c r="I1820" s="649"/>
      <c r="J1820" s="650"/>
      <c r="K1820" s="651"/>
      <c r="L1820" s="653"/>
    </row>
    <row r="1821" spans="1:12" ht="15.75" x14ac:dyDescent="0.25">
      <c r="A1821" s="647"/>
      <c r="B1821" s="648"/>
      <c r="C1821" s="649"/>
      <c r="D1821" s="655" t="s">
        <v>164</v>
      </c>
      <c r="E1821" s="651"/>
      <c r="F1821" s="656">
        <v>0.57291666666666596</v>
      </c>
      <c r="G1821" s="647"/>
      <c r="H1821" s="648"/>
      <c r="I1821" s="649"/>
      <c r="J1821" s="655"/>
      <c r="K1821" s="651"/>
      <c r="L1821" s="656"/>
    </row>
    <row r="1822" spans="1:12" ht="15.75" x14ac:dyDescent="0.25">
      <c r="A1822" s="647"/>
      <c r="B1822" s="648"/>
      <c r="C1822" s="649"/>
      <c r="D1822" s="655" t="s">
        <v>166</v>
      </c>
      <c r="E1822" s="651"/>
      <c r="F1822" s="656">
        <v>0.58680555555555558</v>
      </c>
      <c r="G1822" s="647"/>
      <c r="H1822" s="648"/>
      <c r="I1822" s="649"/>
      <c r="J1822" s="655"/>
      <c r="K1822" s="651"/>
      <c r="L1822" s="656"/>
    </row>
    <row r="1823" spans="1:12" ht="15.75" x14ac:dyDescent="0.25">
      <c r="A1823" s="647" t="s">
        <v>961</v>
      </c>
      <c r="B1823" s="648"/>
      <c r="C1823" s="649"/>
      <c r="D1823" s="650" t="s">
        <v>160</v>
      </c>
      <c r="E1823" s="651"/>
      <c r="F1823" s="653">
        <v>0.64097222222222228</v>
      </c>
      <c r="G1823" s="647"/>
      <c r="H1823" s="654"/>
      <c r="I1823" s="649"/>
      <c r="J1823" s="650"/>
      <c r="K1823" s="657"/>
      <c r="L1823" s="653"/>
    </row>
    <row r="1824" spans="1:12" ht="15.75" x14ac:dyDescent="0.25">
      <c r="A1824" s="647"/>
      <c r="B1824" s="648"/>
      <c r="C1824" s="649"/>
      <c r="D1824" s="655" t="s">
        <v>962</v>
      </c>
      <c r="E1824" s="651"/>
      <c r="F1824" s="656">
        <v>0.65138888888888891</v>
      </c>
      <c r="G1824" s="647"/>
      <c r="H1824" s="648"/>
      <c r="I1824" s="649"/>
      <c r="J1824" s="650"/>
      <c r="K1824" s="657"/>
      <c r="L1824" s="656"/>
    </row>
    <row r="1825" spans="1:12" ht="15.75" x14ac:dyDescent="0.25">
      <c r="A1825" s="647"/>
      <c r="B1825" s="648"/>
      <c r="C1825" s="649"/>
      <c r="D1825" s="655" t="s">
        <v>960</v>
      </c>
      <c r="E1825" s="657">
        <v>0.68263888888888891</v>
      </c>
      <c r="F1825" s="656"/>
      <c r="G1825" s="647"/>
      <c r="H1825" s="648"/>
      <c r="I1825" s="649"/>
      <c r="J1825" s="650"/>
      <c r="K1825" s="657"/>
      <c r="L1825" s="656"/>
    </row>
    <row r="1826" spans="1:12" ht="15.75" x14ac:dyDescent="0.25">
      <c r="A1826" s="647"/>
      <c r="B1826" s="648" t="s">
        <v>459</v>
      </c>
      <c r="C1826" s="649">
        <v>33</v>
      </c>
      <c r="D1826" s="650" t="s">
        <v>1277</v>
      </c>
      <c r="E1826" s="657"/>
      <c r="F1826" s="653"/>
      <c r="G1826" s="647"/>
      <c r="H1826" s="648"/>
      <c r="I1826" s="649"/>
      <c r="J1826" s="650"/>
      <c r="K1826" s="657"/>
      <c r="L1826" s="653"/>
    </row>
    <row r="1827" spans="1:12" ht="15.75" x14ac:dyDescent="0.25">
      <c r="A1827" s="647"/>
      <c r="B1827" s="648"/>
      <c r="C1827" s="649"/>
      <c r="D1827" s="650"/>
      <c r="E1827" s="657"/>
      <c r="F1827" s="652"/>
      <c r="G1827" s="647"/>
      <c r="H1827" s="648"/>
      <c r="I1827" s="649"/>
      <c r="J1827" s="650"/>
      <c r="K1827" s="657"/>
      <c r="L1827" s="652"/>
    </row>
    <row r="1828" spans="1:12" ht="15.75" x14ac:dyDescent="0.25">
      <c r="A1828" s="647"/>
      <c r="B1828" s="648" t="s">
        <v>459</v>
      </c>
      <c r="C1828" s="649">
        <v>41</v>
      </c>
      <c r="D1828" s="650" t="s">
        <v>1278</v>
      </c>
      <c r="E1828" s="651"/>
      <c r="F1828" s="653"/>
      <c r="G1828" s="647"/>
      <c r="H1828" s="648"/>
      <c r="I1828" s="649"/>
      <c r="J1828" s="650"/>
      <c r="K1828" s="651"/>
      <c r="L1828" s="652"/>
    </row>
    <row r="1829" spans="1:12" ht="15.75" x14ac:dyDescent="0.25">
      <c r="A1829" s="647"/>
      <c r="B1829" s="648"/>
      <c r="C1829" s="649"/>
      <c r="D1829" s="655" t="s">
        <v>960</v>
      </c>
      <c r="E1829" s="651"/>
      <c r="F1829" s="656">
        <v>0.68263888888888891</v>
      </c>
      <c r="G1829" s="647"/>
      <c r="H1829" s="648"/>
      <c r="I1829" s="649"/>
      <c r="J1829" s="650"/>
      <c r="K1829" s="657"/>
      <c r="L1829" s="652"/>
    </row>
    <row r="1830" spans="1:12" ht="15.75" x14ac:dyDescent="0.25">
      <c r="A1830" s="647" t="s">
        <v>961</v>
      </c>
      <c r="B1830" s="654"/>
      <c r="C1830" s="649"/>
      <c r="D1830" s="650" t="s">
        <v>163</v>
      </c>
      <c r="E1830" s="657"/>
      <c r="F1830" s="653">
        <v>0.74652777777777779</v>
      </c>
      <c r="G1830" s="647"/>
      <c r="H1830" s="648"/>
      <c r="I1830" s="649"/>
      <c r="J1830" s="650"/>
      <c r="K1830" s="651"/>
      <c r="L1830" s="652"/>
    </row>
    <row r="1831" spans="1:12" ht="15.75" x14ac:dyDescent="0.25">
      <c r="A1831" s="647"/>
      <c r="B1831" s="648"/>
      <c r="C1831" s="649"/>
      <c r="D1831" s="655" t="s">
        <v>164</v>
      </c>
      <c r="E1831" s="651"/>
      <c r="F1831" s="656">
        <v>0.77083333333333337</v>
      </c>
      <c r="G1831" s="647"/>
      <c r="H1831" s="648"/>
      <c r="I1831" s="649"/>
      <c r="J1831" s="650"/>
      <c r="K1831" s="651"/>
      <c r="L1831" s="652"/>
    </row>
    <row r="1832" spans="1:12" ht="15.75" x14ac:dyDescent="0.25">
      <c r="A1832" s="647"/>
      <c r="B1832" s="648"/>
      <c r="C1832" s="649"/>
      <c r="D1832" s="655" t="s">
        <v>166</v>
      </c>
      <c r="E1832" s="651"/>
      <c r="F1832" s="656">
        <v>0.78125</v>
      </c>
      <c r="G1832" s="647"/>
      <c r="H1832" s="648"/>
      <c r="I1832" s="649"/>
      <c r="J1832" s="650"/>
      <c r="K1832" s="651"/>
      <c r="L1832" s="652"/>
    </row>
    <row r="1833" spans="1:12" ht="15.75" x14ac:dyDescent="0.25">
      <c r="A1833" s="647" t="s">
        <v>961</v>
      </c>
      <c r="B1833" s="648"/>
      <c r="C1833" s="649"/>
      <c r="D1833" s="650" t="s">
        <v>160</v>
      </c>
      <c r="E1833" s="657">
        <v>0.83333333333333337</v>
      </c>
      <c r="F1833" s="653"/>
      <c r="G1833" s="647"/>
      <c r="H1833" s="648"/>
      <c r="I1833" s="649"/>
      <c r="J1833" s="650"/>
      <c r="K1833" s="651"/>
      <c r="L1833" s="652"/>
    </row>
    <row r="1834" spans="1:12" ht="15.75" x14ac:dyDescent="0.25">
      <c r="A1834" s="647"/>
      <c r="B1834" s="648"/>
      <c r="C1834" s="649"/>
      <c r="D1834" s="650" t="s">
        <v>963</v>
      </c>
      <c r="E1834" s="657">
        <v>0.86388888888888893</v>
      </c>
      <c r="F1834" s="652"/>
      <c r="G1834" s="647"/>
      <c r="H1834" s="648"/>
      <c r="I1834" s="649"/>
      <c r="J1834" s="650"/>
      <c r="K1834" s="651"/>
      <c r="L1834" s="652"/>
    </row>
    <row r="1835" spans="1:12" ht="15.75" x14ac:dyDescent="0.25">
      <c r="A1835" s="647"/>
      <c r="B1835" s="648" t="s">
        <v>462</v>
      </c>
      <c r="C1835" s="649" t="s">
        <v>459</v>
      </c>
      <c r="D1835" s="650"/>
      <c r="E1835" s="657"/>
      <c r="F1835" s="652"/>
      <c r="G1835" s="647"/>
      <c r="H1835" s="648"/>
      <c r="I1835" s="649"/>
      <c r="J1835" s="650"/>
      <c r="K1835" s="651"/>
      <c r="L1835" s="652"/>
    </row>
    <row r="1836" spans="1:12" ht="15.75" x14ac:dyDescent="0.25">
      <c r="A1836" s="647"/>
      <c r="B1836" s="648"/>
      <c r="C1836" s="649"/>
      <c r="D1836" s="650"/>
      <c r="E1836" s="657"/>
      <c r="F1836" s="652"/>
      <c r="G1836" s="647"/>
      <c r="H1836" s="648"/>
      <c r="I1836" s="649"/>
      <c r="J1836" s="650"/>
      <c r="K1836" s="651"/>
      <c r="L1836" s="652"/>
    </row>
    <row r="1837" spans="1:12" ht="15.75" x14ac:dyDescent="0.25">
      <c r="A1837" s="647"/>
      <c r="B1837" s="648"/>
      <c r="C1837" s="649"/>
      <c r="D1837" s="650"/>
      <c r="E1837" s="657"/>
      <c r="F1837" s="653"/>
      <c r="G1837" s="647"/>
      <c r="H1837" s="648"/>
      <c r="I1837" s="649"/>
      <c r="J1837" s="650"/>
      <c r="K1837" s="651"/>
      <c r="L1837" s="658"/>
    </row>
    <row r="1838" spans="1:12" ht="15.75" x14ac:dyDescent="0.25">
      <c r="A1838" s="647"/>
      <c r="B1838" s="648"/>
      <c r="C1838" s="649"/>
      <c r="D1838" s="650"/>
      <c r="E1838" s="651"/>
      <c r="F1838" s="652"/>
      <c r="G1838" s="647"/>
      <c r="H1838" s="648"/>
      <c r="I1838" s="649"/>
      <c r="J1838" s="655"/>
      <c r="K1838" s="651"/>
      <c r="L1838" s="658"/>
    </row>
    <row r="1839" spans="1:12" ht="15.75" x14ac:dyDescent="0.25">
      <c r="A1839" s="647"/>
      <c r="B1839" s="648"/>
      <c r="C1839" s="649"/>
      <c r="D1839" s="650"/>
      <c r="E1839" s="651"/>
      <c r="F1839" s="652"/>
      <c r="G1839" s="647"/>
      <c r="H1839" s="648"/>
      <c r="I1839" s="649"/>
      <c r="J1839" s="650"/>
      <c r="K1839" s="651"/>
      <c r="L1839" s="658"/>
    </row>
    <row r="1840" spans="1:12" ht="16.5" thickBot="1" x14ac:dyDescent="0.3">
      <c r="A1840" s="659"/>
      <c r="B1840" s="660"/>
      <c r="C1840" s="661"/>
      <c r="D1840" s="662"/>
      <c r="E1840" s="663"/>
      <c r="F1840" s="664"/>
      <c r="G1840" s="665"/>
      <c r="H1840" s="666"/>
      <c r="I1840" s="667"/>
      <c r="J1840" s="668"/>
      <c r="K1840" s="663"/>
      <c r="L1840" s="669"/>
    </row>
  </sheetData>
  <mergeCells count="276">
    <mergeCell ref="A41:L41"/>
    <mergeCell ref="A42:L42"/>
    <mergeCell ref="A43:L43"/>
    <mergeCell ref="E44:I44"/>
    <mergeCell ref="K44:L44"/>
    <mergeCell ref="I45:J45"/>
    <mergeCell ref="A1:L1"/>
    <mergeCell ref="A2:L2"/>
    <mergeCell ref="A3:L3"/>
    <mergeCell ref="E4:I4"/>
    <mergeCell ref="K4:L4"/>
    <mergeCell ref="I5:J5"/>
    <mergeCell ref="A121:L121"/>
    <mergeCell ref="A122:L122"/>
    <mergeCell ref="A123:L123"/>
    <mergeCell ref="E124:I124"/>
    <mergeCell ref="K124:L124"/>
    <mergeCell ref="I125:J125"/>
    <mergeCell ref="A81:L81"/>
    <mergeCell ref="A82:L82"/>
    <mergeCell ref="A83:L83"/>
    <mergeCell ref="E84:I84"/>
    <mergeCell ref="K84:L84"/>
    <mergeCell ref="I85:J85"/>
    <mergeCell ref="A201:L201"/>
    <mergeCell ref="A202:L202"/>
    <mergeCell ref="A203:L203"/>
    <mergeCell ref="E204:I204"/>
    <mergeCell ref="K204:L204"/>
    <mergeCell ref="I205:J205"/>
    <mergeCell ref="A161:L161"/>
    <mergeCell ref="A162:L162"/>
    <mergeCell ref="A163:L163"/>
    <mergeCell ref="E164:I164"/>
    <mergeCell ref="K164:L164"/>
    <mergeCell ref="I165:J165"/>
    <mergeCell ref="A281:L281"/>
    <mergeCell ref="A282:L282"/>
    <mergeCell ref="A283:L283"/>
    <mergeCell ref="E284:I284"/>
    <mergeCell ref="K284:L284"/>
    <mergeCell ref="I285:J285"/>
    <mergeCell ref="A241:L241"/>
    <mergeCell ref="A242:L242"/>
    <mergeCell ref="A243:L243"/>
    <mergeCell ref="E244:I244"/>
    <mergeCell ref="K244:L244"/>
    <mergeCell ref="I245:J245"/>
    <mergeCell ref="A361:L361"/>
    <mergeCell ref="A362:L362"/>
    <mergeCell ref="A363:L363"/>
    <mergeCell ref="E364:I364"/>
    <mergeCell ref="K364:L364"/>
    <mergeCell ref="I365:J365"/>
    <mergeCell ref="A321:L321"/>
    <mergeCell ref="A322:L322"/>
    <mergeCell ref="A323:L323"/>
    <mergeCell ref="E324:I324"/>
    <mergeCell ref="K324:L324"/>
    <mergeCell ref="I325:J325"/>
    <mergeCell ref="A441:L441"/>
    <mergeCell ref="A442:L442"/>
    <mergeCell ref="A443:L443"/>
    <mergeCell ref="E444:I444"/>
    <mergeCell ref="K444:L444"/>
    <mergeCell ref="I445:J445"/>
    <mergeCell ref="A401:L401"/>
    <mergeCell ref="A402:L402"/>
    <mergeCell ref="A403:L403"/>
    <mergeCell ref="E404:I404"/>
    <mergeCell ref="K404:L404"/>
    <mergeCell ref="I405:J405"/>
    <mergeCell ref="A521:L521"/>
    <mergeCell ref="A522:L522"/>
    <mergeCell ref="A523:L523"/>
    <mergeCell ref="E524:I524"/>
    <mergeCell ref="K524:L524"/>
    <mergeCell ref="I525:J525"/>
    <mergeCell ref="A481:L481"/>
    <mergeCell ref="A482:L482"/>
    <mergeCell ref="A483:L483"/>
    <mergeCell ref="E484:I484"/>
    <mergeCell ref="K484:L484"/>
    <mergeCell ref="I485:J485"/>
    <mergeCell ref="A601:L601"/>
    <mergeCell ref="A602:L602"/>
    <mergeCell ref="A603:L603"/>
    <mergeCell ref="E604:I604"/>
    <mergeCell ref="K604:L604"/>
    <mergeCell ref="I605:J605"/>
    <mergeCell ref="A561:L561"/>
    <mergeCell ref="A562:L562"/>
    <mergeCell ref="A563:L563"/>
    <mergeCell ref="E564:I564"/>
    <mergeCell ref="K564:L564"/>
    <mergeCell ref="I565:J565"/>
    <mergeCell ref="A681:L681"/>
    <mergeCell ref="A682:L682"/>
    <mergeCell ref="A683:L683"/>
    <mergeCell ref="E684:I684"/>
    <mergeCell ref="K684:L684"/>
    <mergeCell ref="I685:J685"/>
    <mergeCell ref="A641:L641"/>
    <mergeCell ref="A642:L642"/>
    <mergeCell ref="A643:L643"/>
    <mergeCell ref="E644:I644"/>
    <mergeCell ref="K644:L644"/>
    <mergeCell ref="I645:J645"/>
    <mergeCell ref="A761:L761"/>
    <mergeCell ref="A762:L762"/>
    <mergeCell ref="A763:L763"/>
    <mergeCell ref="E764:I764"/>
    <mergeCell ref="K764:L764"/>
    <mergeCell ref="I765:J765"/>
    <mergeCell ref="A721:L721"/>
    <mergeCell ref="A722:L722"/>
    <mergeCell ref="A723:L723"/>
    <mergeCell ref="E724:I724"/>
    <mergeCell ref="K724:L724"/>
    <mergeCell ref="I725:J725"/>
    <mergeCell ref="A841:L841"/>
    <mergeCell ref="A842:L842"/>
    <mergeCell ref="A843:L843"/>
    <mergeCell ref="E844:I844"/>
    <mergeCell ref="K844:L844"/>
    <mergeCell ref="I845:J845"/>
    <mergeCell ref="A801:L801"/>
    <mergeCell ref="A802:L802"/>
    <mergeCell ref="A803:L803"/>
    <mergeCell ref="E804:I804"/>
    <mergeCell ref="K804:L804"/>
    <mergeCell ref="I805:J805"/>
    <mergeCell ref="A921:L921"/>
    <mergeCell ref="A922:L922"/>
    <mergeCell ref="A923:L923"/>
    <mergeCell ref="E924:I924"/>
    <mergeCell ref="K924:L924"/>
    <mergeCell ref="I925:J925"/>
    <mergeCell ref="A881:L881"/>
    <mergeCell ref="A882:L882"/>
    <mergeCell ref="A883:L883"/>
    <mergeCell ref="E884:I884"/>
    <mergeCell ref="K884:L884"/>
    <mergeCell ref="I885:J885"/>
    <mergeCell ref="A1001:L1001"/>
    <mergeCell ref="A1002:L1002"/>
    <mergeCell ref="A1003:L1003"/>
    <mergeCell ref="E1004:I1004"/>
    <mergeCell ref="K1004:L1004"/>
    <mergeCell ref="I1005:J1005"/>
    <mergeCell ref="A961:L961"/>
    <mergeCell ref="A962:L962"/>
    <mergeCell ref="A963:L963"/>
    <mergeCell ref="E964:I964"/>
    <mergeCell ref="K964:L964"/>
    <mergeCell ref="I965:J965"/>
    <mergeCell ref="A1081:L1081"/>
    <mergeCell ref="A1082:L1082"/>
    <mergeCell ref="A1083:L1083"/>
    <mergeCell ref="E1084:I1084"/>
    <mergeCell ref="K1084:L1084"/>
    <mergeCell ref="I1085:J1085"/>
    <mergeCell ref="A1041:L1041"/>
    <mergeCell ref="A1042:L1042"/>
    <mergeCell ref="A1043:L1043"/>
    <mergeCell ref="E1044:I1044"/>
    <mergeCell ref="K1044:L1044"/>
    <mergeCell ref="I1045:J1045"/>
    <mergeCell ref="A1161:L1161"/>
    <mergeCell ref="A1162:L1162"/>
    <mergeCell ref="A1163:L1163"/>
    <mergeCell ref="E1164:I1164"/>
    <mergeCell ref="K1164:L1164"/>
    <mergeCell ref="I1165:J1165"/>
    <mergeCell ref="A1121:L1121"/>
    <mergeCell ref="A1122:L1122"/>
    <mergeCell ref="A1123:L1123"/>
    <mergeCell ref="E1124:I1124"/>
    <mergeCell ref="K1124:L1124"/>
    <mergeCell ref="I1125:J1125"/>
    <mergeCell ref="A1241:L1241"/>
    <mergeCell ref="A1242:L1242"/>
    <mergeCell ref="A1243:L1243"/>
    <mergeCell ref="E1244:I1244"/>
    <mergeCell ref="K1244:L1244"/>
    <mergeCell ref="I1245:J1245"/>
    <mergeCell ref="A1201:L1201"/>
    <mergeCell ref="A1202:L1202"/>
    <mergeCell ref="A1203:L1203"/>
    <mergeCell ref="E1204:I1204"/>
    <mergeCell ref="K1204:L1204"/>
    <mergeCell ref="I1205:J1205"/>
    <mergeCell ref="A1321:L1321"/>
    <mergeCell ref="A1322:L1322"/>
    <mergeCell ref="A1323:L1323"/>
    <mergeCell ref="E1324:I1324"/>
    <mergeCell ref="K1324:L1324"/>
    <mergeCell ref="I1325:J1325"/>
    <mergeCell ref="A1281:L1281"/>
    <mergeCell ref="A1282:L1282"/>
    <mergeCell ref="A1283:L1283"/>
    <mergeCell ref="E1284:I1284"/>
    <mergeCell ref="K1284:L1284"/>
    <mergeCell ref="I1285:J1285"/>
    <mergeCell ref="A1401:L1401"/>
    <mergeCell ref="A1402:L1402"/>
    <mergeCell ref="A1403:L1403"/>
    <mergeCell ref="E1404:I1404"/>
    <mergeCell ref="K1404:L1404"/>
    <mergeCell ref="I1405:J1405"/>
    <mergeCell ref="A1361:L1361"/>
    <mergeCell ref="A1362:L1362"/>
    <mergeCell ref="A1363:L1363"/>
    <mergeCell ref="E1364:I1364"/>
    <mergeCell ref="K1364:L1364"/>
    <mergeCell ref="I1365:J1365"/>
    <mergeCell ref="A1481:L1481"/>
    <mergeCell ref="A1482:L1482"/>
    <mergeCell ref="A1483:L1483"/>
    <mergeCell ref="E1484:I1484"/>
    <mergeCell ref="K1484:L1484"/>
    <mergeCell ref="I1485:J1485"/>
    <mergeCell ref="A1441:L1441"/>
    <mergeCell ref="A1442:L1442"/>
    <mergeCell ref="A1443:L1443"/>
    <mergeCell ref="E1444:I1444"/>
    <mergeCell ref="K1444:L1444"/>
    <mergeCell ref="I1445:J1445"/>
    <mergeCell ref="A1561:L1561"/>
    <mergeCell ref="A1562:L1562"/>
    <mergeCell ref="A1563:L1563"/>
    <mergeCell ref="E1564:I1564"/>
    <mergeCell ref="K1564:L1564"/>
    <mergeCell ref="I1565:J1565"/>
    <mergeCell ref="A1521:L1521"/>
    <mergeCell ref="A1522:L1522"/>
    <mergeCell ref="A1523:L1523"/>
    <mergeCell ref="E1524:I1524"/>
    <mergeCell ref="K1524:L1524"/>
    <mergeCell ref="I1525:J1525"/>
    <mergeCell ref="A1641:L1641"/>
    <mergeCell ref="A1642:L1642"/>
    <mergeCell ref="A1643:L1643"/>
    <mergeCell ref="E1644:I1644"/>
    <mergeCell ref="K1644:L1644"/>
    <mergeCell ref="I1645:J1645"/>
    <mergeCell ref="A1601:L1601"/>
    <mergeCell ref="A1602:L1602"/>
    <mergeCell ref="A1603:L1603"/>
    <mergeCell ref="E1604:I1604"/>
    <mergeCell ref="K1604:L1604"/>
    <mergeCell ref="I1605:J1605"/>
    <mergeCell ref="A1721:L1721"/>
    <mergeCell ref="A1722:L1722"/>
    <mergeCell ref="A1723:L1723"/>
    <mergeCell ref="E1724:I1724"/>
    <mergeCell ref="K1724:L1724"/>
    <mergeCell ref="I1725:J1725"/>
    <mergeCell ref="A1681:L1681"/>
    <mergeCell ref="A1682:L1682"/>
    <mergeCell ref="A1683:L1683"/>
    <mergeCell ref="E1684:I1684"/>
    <mergeCell ref="K1684:L1684"/>
    <mergeCell ref="I1685:J1685"/>
    <mergeCell ref="A1801:L1801"/>
    <mergeCell ref="A1802:L1802"/>
    <mergeCell ref="A1803:L1803"/>
    <mergeCell ref="E1804:I1804"/>
    <mergeCell ref="K1804:L1804"/>
    <mergeCell ref="I1805:J1805"/>
    <mergeCell ref="A1761:L1761"/>
    <mergeCell ref="A1762:L1762"/>
    <mergeCell ref="A1763:L1763"/>
    <mergeCell ref="E1764:I1764"/>
    <mergeCell ref="K1764:L1764"/>
    <mergeCell ref="I1765:J176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4DC8-CA44-4098-87C6-83D1D9454470}">
  <sheetPr>
    <tabColor rgb="FF92D050"/>
  </sheetPr>
  <dimension ref="A1:L1200"/>
  <sheetViews>
    <sheetView workbookViewId="0">
      <selection sqref="A1:XFD1048576"/>
    </sheetView>
  </sheetViews>
  <sheetFormatPr defaultRowHeight="15" x14ac:dyDescent="0.25"/>
  <cols>
    <col min="4" max="4" width="46.7109375" customWidth="1"/>
    <col min="10" max="10" width="46.7109375" customWidth="1"/>
  </cols>
  <sheetData>
    <row r="1" spans="1:12" ht="21" x14ac:dyDescent="0.35">
      <c r="A1" s="781" t="s">
        <v>945</v>
      </c>
      <c r="B1" s="782"/>
      <c r="C1" s="782"/>
      <c r="D1" s="782"/>
      <c r="E1" s="782"/>
      <c r="F1" s="782"/>
      <c r="G1" s="782"/>
      <c r="H1" s="782"/>
      <c r="I1" s="782"/>
      <c r="J1" s="782"/>
      <c r="K1" s="782"/>
      <c r="L1" s="783"/>
    </row>
    <row r="2" spans="1:12" ht="18.75" x14ac:dyDescent="0.3">
      <c r="A2" s="784" t="s">
        <v>946</v>
      </c>
      <c r="B2" s="785"/>
      <c r="C2" s="785"/>
      <c r="D2" s="785"/>
      <c r="E2" s="785"/>
      <c r="F2" s="785"/>
      <c r="G2" s="785"/>
      <c r="H2" s="785"/>
      <c r="I2" s="785"/>
      <c r="J2" s="785"/>
      <c r="K2" s="785"/>
      <c r="L2" s="786"/>
    </row>
    <row r="3" spans="1:12" ht="24" x14ac:dyDescent="0.4">
      <c r="A3" s="787" t="s">
        <v>947</v>
      </c>
      <c r="B3" s="788"/>
      <c r="C3" s="788"/>
      <c r="D3" s="788"/>
      <c r="E3" s="788"/>
      <c r="F3" s="788"/>
      <c r="G3" s="788"/>
      <c r="H3" s="788"/>
      <c r="I3" s="788"/>
      <c r="J3" s="788"/>
      <c r="K3" s="788"/>
      <c r="L3" s="789"/>
    </row>
    <row r="4" spans="1:12" ht="24" x14ac:dyDescent="0.4">
      <c r="A4" s="623" t="s">
        <v>1279</v>
      </c>
      <c r="B4" s="624"/>
      <c r="C4" s="624"/>
      <c r="D4" s="625" t="s">
        <v>949</v>
      </c>
      <c r="E4" s="790" t="s">
        <v>683</v>
      </c>
      <c r="F4" s="790"/>
      <c r="G4" s="790"/>
      <c r="H4" s="790"/>
      <c r="I4" s="790"/>
      <c r="J4" s="626" t="s">
        <v>951</v>
      </c>
      <c r="K4" s="790"/>
      <c r="L4" s="791"/>
    </row>
    <row r="5" spans="1:12" ht="15.75" thickBot="1" x14ac:dyDescent="0.3">
      <c r="A5" s="627"/>
      <c r="B5" s="628"/>
      <c r="C5" s="628"/>
      <c r="D5" s="629"/>
      <c r="E5" s="628"/>
      <c r="F5" s="628"/>
      <c r="G5" s="628"/>
      <c r="H5" s="628"/>
      <c r="I5" s="792"/>
      <c r="J5" s="792"/>
      <c r="K5" s="628"/>
      <c r="L5" s="630"/>
    </row>
    <row r="6" spans="1:12" ht="16.5" thickBot="1" x14ac:dyDescent="0.3">
      <c r="A6" s="631" t="s">
        <v>952</v>
      </c>
      <c r="B6" s="632"/>
      <c r="C6" s="633"/>
      <c r="D6" s="634" t="s">
        <v>953</v>
      </c>
      <c r="E6" s="631" t="s">
        <v>954</v>
      </c>
      <c r="F6" s="635" t="s">
        <v>955</v>
      </c>
      <c r="G6" s="631" t="s">
        <v>952</v>
      </c>
      <c r="H6" s="632"/>
      <c r="I6" s="633"/>
      <c r="J6" s="634" t="s">
        <v>953</v>
      </c>
      <c r="K6" s="631" t="s">
        <v>954</v>
      </c>
      <c r="L6" s="631" t="s">
        <v>955</v>
      </c>
    </row>
    <row r="7" spans="1:12" ht="15.75" x14ac:dyDescent="0.25">
      <c r="A7" s="636"/>
      <c r="B7" s="637"/>
      <c r="C7" s="638"/>
      <c r="D7" s="639"/>
      <c r="E7" s="640"/>
      <c r="F7" s="641"/>
      <c r="G7" s="636"/>
      <c r="H7" s="642"/>
      <c r="I7" s="643"/>
      <c r="J7" s="644"/>
      <c r="K7" s="645"/>
      <c r="L7" s="646"/>
    </row>
    <row r="8" spans="1:12" ht="15.75" x14ac:dyDescent="0.25">
      <c r="A8" s="647"/>
      <c r="B8" s="648" t="s">
        <v>459</v>
      </c>
      <c r="C8" s="649">
        <v>1</v>
      </c>
      <c r="D8" s="650" t="s">
        <v>1280</v>
      </c>
      <c r="E8" s="651"/>
      <c r="F8" s="652"/>
      <c r="G8" s="647"/>
      <c r="H8" s="648" t="s">
        <v>459</v>
      </c>
      <c r="I8" s="649">
        <v>27</v>
      </c>
      <c r="J8" s="650" t="s">
        <v>1281</v>
      </c>
      <c r="K8" s="651"/>
      <c r="L8" s="658"/>
    </row>
    <row r="9" spans="1:12" ht="15.75" x14ac:dyDescent="0.25">
      <c r="A9" s="647" t="s">
        <v>958</v>
      </c>
      <c r="B9" s="654"/>
      <c r="C9" s="649"/>
      <c r="D9" s="655" t="s">
        <v>959</v>
      </c>
      <c r="E9" s="651"/>
      <c r="F9" s="656">
        <v>0.2048611111111111</v>
      </c>
      <c r="G9" s="647" t="s">
        <v>958</v>
      </c>
      <c r="H9" s="654"/>
      <c r="I9" s="649"/>
      <c r="J9" s="655" t="s">
        <v>959</v>
      </c>
      <c r="K9" s="651"/>
      <c r="L9" s="656">
        <v>0.75</v>
      </c>
    </row>
    <row r="10" spans="1:12" ht="15.75" x14ac:dyDescent="0.25">
      <c r="A10" s="647" t="s">
        <v>961</v>
      </c>
      <c r="B10" s="654"/>
      <c r="C10" s="649"/>
      <c r="D10" s="650" t="s">
        <v>163</v>
      </c>
      <c r="E10" s="651"/>
      <c r="F10" s="653">
        <v>0.22916666666666666</v>
      </c>
      <c r="G10" s="647" t="s">
        <v>961</v>
      </c>
      <c r="H10" s="648"/>
      <c r="I10" s="649"/>
      <c r="J10" s="650" t="s">
        <v>160</v>
      </c>
      <c r="K10" s="651"/>
      <c r="L10" s="653">
        <v>0.78472222222222221</v>
      </c>
    </row>
    <row r="11" spans="1:12" ht="15.75" x14ac:dyDescent="0.25">
      <c r="A11" s="647"/>
      <c r="B11" s="648"/>
      <c r="C11" s="649"/>
      <c r="D11" s="655" t="s">
        <v>164</v>
      </c>
      <c r="E11" s="651"/>
      <c r="F11" s="656">
        <v>0.25</v>
      </c>
      <c r="G11" s="647"/>
      <c r="H11" s="648"/>
      <c r="I11" s="649"/>
      <c r="J11" s="655" t="s">
        <v>962</v>
      </c>
      <c r="K11" s="651"/>
      <c r="L11" s="656">
        <v>0.79166666666666663</v>
      </c>
    </row>
    <row r="12" spans="1:12" ht="15.75" x14ac:dyDescent="0.25">
      <c r="A12" s="647"/>
      <c r="B12" s="648"/>
      <c r="C12" s="649"/>
      <c r="D12" s="655" t="s">
        <v>166</v>
      </c>
      <c r="E12" s="651"/>
      <c r="F12" s="656">
        <v>0.26041666666666669</v>
      </c>
      <c r="G12" s="647"/>
      <c r="H12" s="648"/>
      <c r="I12" s="649"/>
      <c r="J12" s="655" t="s">
        <v>960</v>
      </c>
      <c r="K12" s="651"/>
      <c r="L12" s="656">
        <v>0.81944444444444442</v>
      </c>
    </row>
    <row r="13" spans="1:12" ht="15.75" x14ac:dyDescent="0.25">
      <c r="A13" s="647" t="s">
        <v>961</v>
      </c>
      <c r="B13" s="648"/>
      <c r="C13" s="649"/>
      <c r="D13" s="650" t="s">
        <v>160</v>
      </c>
      <c r="E13" s="651"/>
      <c r="F13" s="653">
        <v>0.2951388888888889</v>
      </c>
      <c r="G13" s="647" t="s">
        <v>961</v>
      </c>
      <c r="H13" s="654"/>
      <c r="I13" s="649"/>
      <c r="J13" s="650" t="s">
        <v>163</v>
      </c>
      <c r="K13" s="651"/>
      <c r="L13" s="653">
        <v>0.86458333333333337</v>
      </c>
    </row>
    <row r="14" spans="1:12" ht="15.75" x14ac:dyDescent="0.25">
      <c r="A14" s="647"/>
      <c r="B14" s="648"/>
      <c r="C14" s="649"/>
      <c r="D14" s="655" t="s">
        <v>962</v>
      </c>
      <c r="E14" s="651"/>
      <c r="F14" s="656">
        <v>0.30208333333333331</v>
      </c>
      <c r="G14" s="647"/>
      <c r="H14" s="648"/>
      <c r="I14" s="649"/>
      <c r="J14" s="655" t="s">
        <v>164</v>
      </c>
      <c r="K14" s="651"/>
      <c r="L14" s="656">
        <v>0.88541666666666663</v>
      </c>
    </row>
    <row r="15" spans="1:12" ht="15.75" x14ac:dyDescent="0.25">
      <c r="A15" s="647"/>
      <c r="B15" s="648"/>
      <c r="C15" s="649"/>
      <c r="D15" s="655" t="s">
        <v>960</v>
      </c>
      <c r="E15" s="651"/>
      <c r="F15" s="656">
        <v>0.31944444444444442</v>
      </c>
      <c r="G15" s="647"/>
      <c r="H15" s="648"/>
      <c r="I15" s="649"/>
      <c r="J15" s="655" t="s">
        <v>166</v>
      </c>
      <c r="K15" s="657">
        <v>0.89583333333333337</v>
      </c>
      <c r="L15" s="656"/>
    </row>
    <row r="16" spans="1:12" ht="15.75" x14ac:dyDescent="0.25">
      <c r="A16" s="647" t="s">
        <v>961</v>
      </c>
      <c r="B16" s="654"/>
      <c r="C16" s="649"/>
      <c r="D16" s="650" t="s">
        <v>163</v>
      </c>
      <c r="E16" s="651"/>
      <c r="F16" s="653">
        <v>0.36458333333333331</v>
      </c>
      <c r="G16" s="647"/>
      <c r="H16" s="648" t="s">
        <v>462</v>
      </c>
      <c r="I16" s="649" t="s">
        <v>459</v>
      </c>
      <c r="J16" s="650"/>
      <c r="K16" s="651"/>
      <c r="L16" s="658"/>
    </row>
    <row r="17" spans="1:12" ht="15.75" x14ac:dyDescent="0.25">
      <c r="A17" s="647"/>
      <c r="B17" s="648"/>
      <c r="C17" s="649"/>
      <c r="D17" s="655" t="s">
        <v>164</v>
      </c>
      <c r="E17" s="651"/>
      <c r="F17" s="656">
        <v>0.3888888888888889</v>
      </c>
      <c r="G17" s="647"/>
      <c r="H17" s="648"/>
      <c r="I17" s="649"/>
      <c r="J17" s="650"/>
      <c r="K17" s="651"/>
      <c r="L17" s="656"/>
    </row>
    <row r="18" spans="1:12" ht="15.75" x14ac:dyDescent="0.25">
      <c r="A18" s="647"/>
      <c r="B18" s="648"/>
      <c r="C18" s="649"/>
      <c r="D18" s="655" t="s">
        <v>166</v>
      </c>
      <c r="E18" s="657">
        <v>0.40277777777777779</v>
      </c>
      <c r="F18" s="656"/>
      <c r="G18" s="647"/>
      <c r="H18" s="648" t="s">
        <v>459</v>
      </c>
      <c r="I18" s="649">
        <v>74</v>
      </c>
      <c r="J18" s="650" t="s">
        <v>1188</v>
      </c>
      <c r="K18" s="651"/>
      <c r="L18" s="653"/>
    </row>
    <row r="19" spans="1:12" ht="15.75" x14ac:dyDescent="0.25">
      <c r="A19" s="647"/>
      <c r="B19" s="648" t="s">
        <v>462</v>
      </c>
      <c r="C19" s="649" t="s">
        <v>459</v>
      </c>
      <c r="D19" s="650"/>
      <c r="E19" s="651"/>
      <c r="F19" s="658"/>
      <c r="G19" s="647"/>
      <c r="H19" s="648"/>
      <c r="I19" s="649"/>
      <c r="J19" s="655" t="s">
        <v>166</v>
      </c>
      <c r="K19" s="651"/>
      <c r="L19" s="656">
        <v>0.89583333333333337</v>
      </c>
    </row>
    <row r="20" spans="1:12" ht="15.75" x14ac:dyDescent="0.25">
      <c r="A20" s="647"/>
      <c r="B20" s="648"/>
      <c r="C20" s="649"/>
      <c r="D20" s="650"/>
      <c r="E20" s="651"/>
      <c r="F20" s="656"/>
      <c r="G20" s="647" t="s">
        <v>961</v>
      </c>
      <c r="H20" s="648"/>
      <c r="I20" s="649"/>
      <c r="J20" s="650" t="s">
        <v>160</v>
      </c>
      <c r="K20" s="651"/>
      <c r="L20" s="653">
        <v>0.93055555555555558</v>
      </c>
    </row>
    <row r="21" spans="1:12" ht="15.75" x14ac:dyDescent="0.25">
      <c r="A21" s="647"/>
      <c r="B21" s="648" t="s">
        <v>459</v>
      </c>
      <c r="C21" s="649">
        <v>205</v>
      </c>
      <c r="D21" s="650" t="s">
        <v>1034</v>
      </c>
      <c r="E21" s="651"/>
      <c r="F21" s="653"/>
      <c r="G21" s="647"/>
      <c r="H21" s="648"/>
      <c r="I21" s="649"/>
      <c r="J21" s="655" t="s">
        <v>962</v>
      </c>
      <c r="K21" s="651"/>
      <c r="L21" s="656">
        <v>0.9375</v>
      </c>
    </row>
    <row r="22" spans="1:12" ht="15.75" x14ac:dyDescent="0.25">
      <c r="A22" s="647"/>
      <c r="B22" s="648"/>
      <c r="C22" s="649"/>
      <c r="D22" s="655" t="s">
        <v>166</v>
      </c>
      <c r="E22" s="651"/>
      <c r="F22" s="656">
        <v>0.40277777777777779</v>
      </c>
      <c r="G22" s="647"/>
      <c r="H22" s="648"/>
      <c r="I22" s="649"/>
      <c r="J22" s="655" t="s">
        <v>960</v>
      </c>
      <c r="K22" s="651"/>
      <c r="L22" s="656">
        <v>0.96527777777777779</v>
      </c>
    </row>
    <row r="23" spans="1:12" ht="15.75" x14ac:dyDescent="0.25">
      <c r="A23" s="647" t="s">
        <v>961</v>
      </c>
      <c r="B23" s="648"/>
      <c r="C23" s="649"/>
      <c r="D23" s="650" t="s">
        <v>160</v>
      </c>
      <c r="E23" s="651"/>
      <c r="F23" s="653">
        <v>0.44444444444444442</v>
      </c>
      <c r="G23" s="647" t="s">
        <v>958</v>
      </c>
      <c r="H23" s="654"/>
      <c r="I23" s="649"/>
      <c r="J23" s="650" t="s">
        <v>163</v>
      </c>
      <c r="K23" s="657">
        <v>1.0034722222222223</v>
      </c>
      <c r="L23" s="653"/>
    </row>
    <row r="24" spans="1:12" ht="15.75" x14ac:dyDescent="0.25">
      <c r="A24" s="647"/>
      <c r="B24" s="648"/>
      <c r="C24" s="649"/>
      <c r="D24" s="655" t="s">
        <v>962</v>
      </c>
      <c r="E24" s="651"/>
      <c r="F24" s="656">
        <v>0.4513888888888889</v>
      </c>
      <c r="G24" s="647"/>
      <c r="H24" s="648"/>
      <c r="I24" s="649"/>
      <c r="J24" s="650" t="s">
        <v>963</v>
      </c>
      <c r="K24" s="657">
        <v>1.0243055555555556</v>
      </c>
      <c r="L24" s="656"/>
    </row>
    <row r="25" spans="1:12" ht="15.75" x14ac:dyDescent="0.25">
      <c r="A25" s="647"/>
      <c r="B25" s="648"/>
      <c r="C25" s="649"/>
      <c r="D25" s="655" t="s">
        <v>960</v>
      </c>
      <c r="E25" s="651"/>
      <c r="F25" s="656">
        <v>0.4826388888888889</v>
      </c>
      <c r="G25" s="647"/>
      <c r="H25" s="648" t="s">
        <v>459</v>
      </c>
      <c r="I25" s="649">
        <v>74</v>
      </c>
      <c r="J25" s="650" t="s">
        <v>1282</v>
      </c>
      <c r="K25" s="657"/>
      <c r="L25" s="653"/>
    </row>
    <row r="26" spans="1:12" ht="15.75" x14ac:dyDescent="0.25">
      <c r="A26" s="647" t="s">
        <v>961</v>
      </c>
      <c r="B26" s="654"/>
      <c r="C26" s="649"/>
      <c r="D26" s="650" t="s">
        <v>163</v>
      </c>
      <c r="E26" s="651"/>
      <c r="F26" s="653">
        <v>0.53819444444444442</v>
      </c>
      <c r="G26" s="647"/>
      <c r="H26" s="648"/>
      <c r="I26" s="649"/>
      <c r="J26" s="650"/>
      <c r="K26" s="657"/>
      <c r="L26" s="653"/>
    </row>
    <row r="27" spans="1:12" ht="15.75" x14ac:dyDescent="0.25">
      <c r="A27" s="647"/>
      <c r="B27" s="648"/>
      <c r="C27" s="649"/>
      <c r="D27" s="655" t="s">
        <v>164</v>
      </c>
      <c r="E27" s="651"/>
      <c r="F27" s="656">
        <v>0.56944444444444442</v>
      </c>
      <c r="G27" s="647"/>
      <c r="H27" s="648"/>
      <c r="I27" s="649"/>
      <c r="J27" s="650"/>
      <c r="K27" s="657"/>
      <c r="L27" s="653"/>
    </row>
    <row r="28" spans="1:12" ht="15.75" x14ac:dyDescent="0.25">
      <c r="A28" s="647"/>
      <c r="B28" s="648"/>
      <c r="C28" s="649"/>
      <c r="D28" s="655" t="s">
        <v>166</v>
      </c>
      <c r="E28" s="657">
        <v>0.58333333333333337</v>
      </c>
      <c r="F28" s="656"/>
      <c r="G28" s="647"/>
      <c r="H28" s="648"/>
      <c r="I28" s="649"/>
      <c r="J28" s="650"/>
      <c r="K28" s="657"/>
      <c r="L28" s="653"/>
    </row>
    <row r="29" spans="1:12" ht="15.75" x14ac:dyDescent="0.25">
      <c r="A29" s="647"/>
      <c r="B29" s="648" t="s">
        <v>459</v>
      </c>
      <c r="C29" s="649">
        <v>205</v>
      </c>
      <c r="D29" s="650" t="s">
        <v>1283</v>
      </c>
      <c r="E29" s="651"/>
      <c r="F29" s="658"/>
      <c r="G29" s="647"/>
      <c r="H29" s="648"/>
      <c r="I29" s="649"/>
      <c r="J29" s="650"/>
      <c r="K29" s="657"/>
      <c r="L29" s="652"/>
    </row>
    <row r="30" spans="1:12" ht="15.75" x14ac:dyDescent="0.25">
      <c r="A30" s="647"/>
      <c r="B30" s="648"/>
      <c r="C30" s="649"/>
      <c r="D30" s="650"/>
      <c r="E30" s="651"/>
      <c r="F30" s="656"/>
      <c r="G30" s="647"/>
      <c r="H30" s="648"/>
      <c r="I30" s="649"/>
      <c r="J30" s="650"/>
      <c r="K30" s="651"/>
      <c r="L30" s="652"/>
    </row>
    <row r="31" spans="1:12" ht="15.75" x14ac:dyDescent="0.25">
      <c r="A31" s="647"/>
      <c r="B31" s="648" t="s">
        <v>459</v>
      </c>
      <c r="C31" s="649">
        <v>24</v>
      </c>
      <c r="D31" s="650" t="s">
        <v>1284</v>
      </c>
      <c r="E31" s="651"/>
      <c r="F31" s="653"/>
      <c r="G31" s="647"/>
      <c r="H31" s="648"/>
      <c r="I31" s="649"/>
      <c r="J31" s="650"/>
      <c r="K31" s="651"/>
      <c r="L31" s="652"/>
    </row>
    <row r="32" spans="1:12" ht="15.75" x14ac:dyDescent="0.25">
      <c r="A32" s="647"/>
      <c r="B32" s="648"/>
      <c r="C32" s="649"/>
      <c r="D32" s="655" t="s">
        <v>166</v>
      </c>
      <c r="E32" s="651"/>
      <c r="F32" s="656">
        <v>0.58333333333333337</v>
      </c>
      <c r="G32" s="647"/>
      <c r="H32" s="648"/>
      <c r="I32" s="649"/>
      <c r="J32" s="650"/>
      <c r="K32" s="651"/>
      <c r="L32" s="652"/>
    </row>
    <row r="33" spans="1:12" ht="15.75" x14ac:dyDescent="0.25">
      <c r="A33" s="647" t="s">
        <v>958</v>
      </c>
      <c r="B33" s="648"/>
      <c r="C33" s="649"/>
      <c r="D33" s="650" t="s">
        <v>160</v>
      </c>
      <c r="E33" s="657">
        <v>0.63888888888888884</v>
      </c>
      <c r="F33" s="653"/>
      <c r="G33" s="647"/>
      <c r="H33" s="648"/>
      <c r="I33" s="649"/>
      <c r="J33" s="650"/>
      <c r="K33" s="651"/>
      <c r="L33" s="652"/>
    </row>
    <row r="34" spans="1:12" ht="15.75" x14ac:dyDescent="0.25">
      <c r="A34" s="647"/>
      <c r="B34" s="648"/>
      <c r="C34" s="649"/>
      <c r="D34" s="650" t="s">
        <v>963</v>
      </c>
      <c r="E34" s="657">
        <v>0.67013888888888884</v>
      </c>
      <c r="F34" s="656"/>
      <c r="G34" s="647"/>
      <c r="H34" s="648"/>
      <c r="I34" s="649"/>
      <c r="J34" s="650"/>
      <c r="K34" s="651"/>
      <c r="L34" s="652"/>
    </row>
    <row r="35" spans="1:12" ht="15.75" x14ac:dyDescent="0.25">
      <c r="A35" s="647"/>
      <c r="B35" s="648" t="s">
        <v>462</v>
      </c>
      <c r="C35" s="649" t="s">
        <v>459</v>
      </c>
      <c r="D35" s="650"/>
      <c r="E35" s="657"/>
      <c r="F35" s="653"/>
      <c r="G35" s="647"/>
      <c r="H35" s="648"/>
      <c r="I35" s="649"/>
      <c r="J35" s="650"/>
      <c r="K35" s="651"/>
      <c r="L35" s="652"/>
    </row>
    <row r="36" spans="1:12" ht="15.75" x14ac:dyDescent="0.25">
      <c r="A36" s="647"/>
      <c r="B36" s="648"/>
      <c r="C36" s="649"/>
      <c r="D36" s="650"/>
      <c r="E36" s="657"/>
      <c r="F36" s="653"/>
      <c r="G36" s="647"/>
      <c r="H36" s="648"/>
      <c r="I36" s="649"/>
      <c r="J36" s="650"/>
      <c r="K36" s="651"/>
      <c r="L36" s="652"/>
    </row>
    <row r="37" spans="1:12" ht="15.75" x14ac:dyDescent="0.25">
      <c r="A37" s="647"/>
      <c r="B37" s="648"/>
      <c r="C37" s="649"/>
      <c r="D37" s="650"/>
      <c r="E37" s="657"/>
      <c r="F37" s="658"/>
      <c r="G37" s="647"/>
      <c r="H37" s="648"/>
      <c r="I37" s="649"/>
      <c r="J37" s="650"/>
      <c r="K37" s="651"/>
      <c r="L37" s="658"/>
    </row>
    <row r="38" spans="1:12" ht="15.75" x14ac:dyDescent="0.25">
      <c r="A38" s="647"/>
      <c r="B38" s="648"/>
      <c r="C38" s="649"/>
      <c r="D38" s="655"/>
      <c r="E38" s="657"/>
      <c r="F38" s="653"/>
      <c r="G38" s="647"/>
      <c r="H38" s="648"/>
      <c r="I38" s="649"/>
      <c r="J38" s="655"/>
      <c r="K38" s="651"/>
      <c r="L38" s="658"/>
    </row>
    <row r="39" spans="1:12" ht="15.75" x14ac:dyDescent="0.25">
      <c r="A39" s="647"/>
      <c r="B39" s="648"/>
      <c r="C39" s="649"/>
      <c r="D39" s="650"/>
      <c r="E39" s="651"/>
      <c r="F39" s="652"/>
      <c r="G39" s="647"/>
      <c r="H39" s="648"/>
      <c r="I39" s="649"/>
      <c r="J39" s="650"/>
      <c r="K39" s="651"/>
      <c r="L39" s="658"/>
    </row>
    <row r="40" spans="1:12" ht="16.5" thickBot="1" x14ac:dyDescent="0.3">
      <c r="A40" s="659"/>
      <c r="B40" s="660"/>
      <c r="C40" s="661"/>
      <c r="D40" s="662"/>
      <c r="E40" s="663"/>
      <c r="F40" s="664"/>
      <c r="G40" s="665"/>
      <c r="H40" s="666"/>
      <c r="I40" s="667"/>
      <c r="J40" s="668"/>
      <c r="K40" s="663"/>
      <c r="L40" s="669"/>
    </row>
    <row r="41" spans="1:12" ht="21" x14ac:dyDescent="0.35">
      <c r="A41" s="781" t="s">
        <v>945</v>
      </c>
      <c r="B41" s="782"/>
      <c r="C41" s="782"/>
      <c r="D41" s="782"/>
      <c r="E41" s="782"/>
      <c r="F41" s="782"/>
      <c r="G41" s="782"/>
      <c r="H41" s="782"/>
      <c r="I41" s="782"/>
      <c r="J41" s="782"/>
      <c r="K41" s="782"/>
      <c r="L41" s="783"/>
    </row>
    <row r="42" spans="1:12" ht="18.75" x14ac:dyDescent="0.3">
      <c r="A42" s="784" t="s">
        <v>946</v>
      </c>
      <c r="B42" s="785"/>
      <c r="C42" s="785"/>
      <c r="D42" s="785"/>
      <c r="E42" s="785"/>
      <c r="F42" s="785"/>
      <c r="G42" s="785"/>
      <c r="H42" s="785"/>
      <c r="I42" s="785"/>
      <c r="J42" s="785"/>
      <c r="K42" s="785"/>
      <c r="L42" s="786"/>
    </row>
    <row r="43" spans="1:12" ht="24" x14ac:dyDescent="0.4">
      <c r="A43" s="787" t="s">
        <v>947</v>
      </c>
      <c r="B43" s="788"/>
      <c r="C43" s="788"/>
      <c r="D43" s="788"/>
      <c r="E43" s="788"/>
      <c r="F43" s="788"/>
      <c r="G43" s="788"/>
      <c r="H43" s="788"/>
      <c r="I43" s="788"/>
      <c r="J43" s="788"/>
      <c r="K43" s="788"/>
      <c r="L43" s="789"/>
    </row>
    <row r="44" spans="1:12" ht="24" x14ac:dyDescent="0.4">
      <c r="A44" s="623" t="s">
        <v>1279</v>
      </c>
      <c r="B44" s="624"/>
      <c r="C44" s="624"/>
      <c r="D44" s="625" t="s">
        <v>949</v>
      </c>
      <c r="E44" s="790" t="s">
        <v>683</v>
      </c>
      <c r="F44" s="790"/>
      <c r="G44" s="790"/>
      <c r="H44" s="790"/>
      <c r="I44" s="790"/>
      <c r="J44" s="626" t="s">
        <v>968</v>
      </c>
      <c r="K44" s="790"/>
      <c r="L44" s="791"/>
    </row>
    <row r="45" spans="1:12" ht="15.75" thickBot="1" x14ac:dyDescent="0.3">
      <c r="A45" s="627"/>
      <c r="B45" s="628"/>
      <c r="C45" s="628"/>
      <c r="D45" s="629"/>
      <c r="E45" s="628"/>
      <c r="F45" s="628"/>
      <c r="G45" s="628"/>
      <c r="H45" s="628"/>
      <c r="I45" s="792"/>
      <c r="J45" s="792"/>
      <c r="K45" s="628"/>
      <c r="L45" s="630"/>
    </row>
    <row r="46" spans="1:12" ht="16.5" thickBot="1" x14ac:dyDescent="0.3">
      <c r="A46" s="631" t="s">
        <v>952</v>
      </c>
      <c r="B46" s="632"/>
      <c r="C46" s="633"/>
      <c r="D46" s="634" t="s">
        <v>953</v>
      </c>
      <c r="E46" s="631" t="s">
        <v>954</v>
      </c>
      <c r="F46" s="635" t="s">
        <v>955</v>
      </c>
      <c r="G46" s="631" t="s">
        <v>952</v>
      </c>
      <c r="H46" s="632"/>
      <c r="I46" s="633"/>
      <c r="J46" s="634" t="s">
        <v>953</v>
      </c>
      <c r="K46" s="631" t="s">
        <v>954</v>
      </c>
      <c r="L46" s="631" t="s">
        <v>955</v>
      </c>
    </row>
    <row r="47" spans="1:12" ht="15.75" x14ac:dyDescent="0.25">
      <c r="A47" s="636"/>
      <c r="B47" s="637"/>
      <c r="C47" s="638"/>
      <c r="D47" s="639"/>
      <c r="E47" s="640"/>
      <c r="F47" s="641"/>
      <c r="G47" s="636"/>
      <c r="H47" s="642"/>
      <c r="I47" s="643"/>
      <c r="J47" s="644"/>
      <c r="K47" s="645"/>
      <c r="L47" s="646"/>
    </row>
    <row r="48" spans="1:12" ht="15.75" x14ac:dyDescent="0.25">
      <c r="A48" s="647"/>
      <c r="B48" s="648" t="s">
        <v>459</v>
      </c>
      <c r="C48" s="649">
        <v>2</v>
      </c>
      <c r="D48" s="650" t="s">
        <v>1285</v>
      </c>
      <c r="E48" s="651"/>
      <c r="F48" s="652"/>
      <c r="G48" s="647"/>
      <c r="H48" s="648"/>
      <c r="I48" s="649"/>
      <c r="J48" s="650"/>
      <c r="K48" s="651"/>
      <c r="L48" s="658"/>
    </row>
    <row r="49" spans="1:12" ht="15.75" x14ac:dyDescent="0.25">
      <c r="A49" s="647" t="s">
        <v>958</v>
      </c>
      <c r="B49" s="654"/>
      <c r="C49" s="649"/>
      <c r="D49" s="655" t="s">
        <v>959</v>
      </c>
      <c r="E49" s="651"/>
      <c r="F49" s="656">
        <v>0.21180555555555555</v>
      </c>
      <c r="G49" s="647"/>
      <c r="H49" s="654"/>
      <c r="I49" s="649"/>
      <c r="J49" s="655"/>
      <c r="K49" s="651"/>
      <c r="L49" s="656"/>
    </row>
    <row r="50" spans="1:12" ht="15.75" x14ac:dyDescent="0.25">
      <c r="A50" s="647" t="s">
        <v>961</v>
      </c>
      <c r="B50" s="648"/>
      <c r="C50" s="649"/>
      <c r="D50" s="650" t="s">
        <v>160</v>
      </c>
      <c r="E50" s="651"/>
      <c r="F50" s="653">
        <v>0.24305555555555555</v>
      </c>
      <c r="G50" s="647"/>
      <c r="H50" s="648"/>
      <c r="I50" s="649"/>
      <c r="J50" s="650"/>
      <c r="K50" s="651"/>
      <c r="L50" s="653"/>
    </row>
    <row r="51" spans="1:12" ht="15.75" x14ac:dyDescent="0.25">
      <c r="A51" s="647"/>
      <c r="B51" s="648"/>
      <c r="C51" s="649"/>
      <c r="D51" s="655" t="s">
        <v>962</v>
      </c>
      <c r="E51" s="651"/>
      <c r="F51" s="656">
        <v>0.25</v>
      </c>
      <c r="G51" s="647"/>
      <c r="H51" s="648"/>
      <c r="I51" s="649"/>
      <c r="J51" s="655"/>
      <c r="K51" s="651"/>
      <c r="L51" s="656"/>
    </row>
    <row r="52" spans="1:12" ht="15.75" x14ac:dyDescent="0.25">
      <c r="A52" s="647"/>
      <c r="B52" s="648"/>
      <c r="C52" s="649"/>
      <c r="D52" s="655" t="s">
        <v>960</v>
      </c>
      <c r="E52" s="651"/>
      <c r="F52" s="656">
        <v>0.27430555555555558</v>
      </c>
      <c r="G52" s="647"/>
      <c r="H52" s="648"/>
      <c r="I52" s="649"/>
      <c r="J52" s="655"/>
      <c r="K52" s="651"/>
      <c r="L52" s="656"/>
    </row>
    <row r="53" spans="1:12" ht="15.75" x14ac:dyDescent="0.25">
      <c r="A53" s="647" t="s">
        <v>961</v>
      </c>
      <c r="B53" s="654"/>
      <c r="C53" s="649"/>
      <c r="D53" s="650" t="s">
        <v>163</v>
      </c>
      <c r="E53" s="651"/>
      <c r="F53" s="653">
        <v>0.31944444444444442</v>
      </c>
      <c r="G53" s="647"/>
      <c r="H53" s="654"/>
      <c r="I53" s="649"/>
      <c r="J53" s="650"/>
      <c r="K53" s="651"/>
      <c r="L53" s="653"/>
    </row>
    <row r="54" spans="1:12" ht="15.75" x14ac:dyDescent="0.25">
      <c r="A54" s="647"/>
      <c r="B54" s="648"/>
      <c r="C54" s="649"/>
      <c r="D54" s="655" t="s">
        <v>164</v>
      </c>
      <c r="E54" s="651"/>
      <c r="F54" s="656">
        <v>0.34375</v>
      </c>
      <c r="G54" s="647"/>
      <c r="H54" s="648"/>
      <c r="I54" s="649"/>
      <c r="J54" s="655"/>
      <c r="K54" s="651"/>
      <c r="L54" s="656"/>
    </row>
    <row r="55" spans="1:12" ht="15.75" x14ac:dyDescent="0.25">
      <c r="A55" s="647"/>
      <c r="B55" s="648"/>
      <c r="C55" s="649"/>
      <c r="D55" s="655" t="s">
        <v>166</v>
      </c>
      <c r="E55" s="657">
        <v>0.3576388888888889</v>
      </c>
      <c r="F55" s="656"/>
      <c r="G55" s="647"/>
      <c r="H55" s="648"/>
      <c r="I55" s="649"/>
      <c r="J55" s="655"/>
      <c r="K55" s="657"/>
      <c r="L55" s="656"/>
    </row>
    <row r="56" spans="1:12" ht="15.75" x14ac:dyDescent="0.25">
      <c r="A56" s="647"/>
      <c r="B56" s="648" t="s">
        <v>459</v>
      </c>
      <c r="C56" s="649">
        <v>2</v>
      </c>
      <c r="D56" s="650" t="s">
        <v>1286</v>
      </c>
      <c r="E56" s="651"/>
      <c r="F56" s="658"/>
      <c r="G56" s="647"/>
      <c r="H56" s="648"/>
      <c r="I56" s="649"/>
      <c r="J56" s="650"/>
      <c r="K56" s="651"/>
      <c r="L56" s="658"/>
    </row>
    <row r="57" spans="1:12" ht="15.75" x14ac:dyDescent="0.25">
      <c r="A57" s="647"/>
      <c r="B57" s="648"/>
      <c r="C57" s="649"/>
      <c r="D57" s="650"/>
      <c r="E57" s="651"/>
      <c r="F57" s="656"/>
      <c r="G57" s="647"/>
      <c r="H57" s="648"/>
      <c r="I57" s="649"/>
      <c r="J57" s="650"/>
      <c r="K57" s="651"/>
      <c r="L57" s="656"/>
    </row>
    <row r="58" spans="1:12" ht="15.75" x14ac:dyDescent="0.25">
      <c r="A58" s="647"/>
      <c r="B58" s="648" t="s">
        <v>459</v>
      </c>
      <c r="C58" s="649">
        <v>22</v>
      </c>
      <c r="D58" s="650" t="s">
        <v>1287</v>
      </c>
      <c r="E58" s="651"/>
      <c r="F58" s="653"/>
      <c r="G58" s="647"/>
      <c r="H58" s="648"/>
      <c r="I58" s="649"/>
      <c r="J58" s="650"/>
      <c r="K58" s="651"/>
      <c r="L58" s="653"/>
    </row>
    <row r="59" spans="1:12" ht="15.75" x14ac:dyDescent="0.25">
      <c r="A59" s="647"/>
      <c r="B59" s="648"/>
      <c r="C59" s="649"/>
      <c r="D59" s="655" t="s">
        <v>166</v>
      </c>
      <c r="E59" s="651"/>
      <c r="F59" s="656">
        <v>0.3576388888888889</v>
      </c>
      <c r="G59" s="647"/>
      <c r="H59" s="648"/>
      <c r="I59" s="649"/>
      <c r="J59" s="655"/>
      <c r="K59" s="651"/>
      <c r="L59" s="656"/>
    </row>
    <row r="60" spans="1:12" ht="15.75" x14ac:dyDescent="0.25">
      <c r="A60" s="647" t="s">
        <v>961</v>
      </c>
      <c r="B60" s="648"/>
      <c r="C60" s="649"/>
      <c r="D60" s="650" t="s">
        <v>160</v>
      </c>
      <c r="E60" s="651"/>
      <c r="F60" s="653">
        <v>0.39583333333333331</v>
      </c>
      <c r="G60" s="647"/>
      <c r="H60" s="648"/>
      <c r="I60" s="649"/>
      <c r="J60" s="650"/>
      <c r="K60" s="651"/>
      <c r="L60" s="653"/>
    </row>
    <row r="61" spans="1:12" ht="15.75" x14ac:dyDescent="0.25">
      <c r="A61" s="647"/>
      <c r="B61" s="648"/>
      <c r="C61" s="649"/>
      <c r="D61" s="655" t="s">
        <v>962</v>
      </c>
      <c r="E61" s="651"/>
      <c r="F61" s="656">
        <v>0.40277777777777779</v>
      </c>
      <c r="G61" s="647"/>
      <c r="H61" s="648"/>
      <c r="I61" s="649"/>
      <c r="J61" s="655"/>
      <c r="K61" s="651"/>
      <c r="L61" s="656"/>
    </row>
    <row r="62" spans="1:12" ht="15.75" x14ac:dyDescent="0.25">
      <c r="A62" s="647"/>
      <c r="B62" s="648"/>
      <c r="C62" s="649"/>
      <c r="D62" s="655" t="s">
        <v>960</v>
      </c>
      <c r="E62" s="657">
        <v>0.4375</v>
      </c>
      <c r="F62" s="656"/>
      <c r="G62" s="647"/>
      <c r="H62" s="648"/>
      <c r="I62" s="649"/>
      <c r="J62" s="655"/>
      <c r="K62" s="651"/>
      <c r="L62" s="656"/>
    </row>
    <row r="63" spans="1:12" ht="15.75" x14ac:dyDescent="0.25">
      <c r="A63" s="647"/>
      <c r="B63" s="648" t="s">
        <v>459</v>
      </c>
      <c r="C63" s="649">
        <v>22</v>
      </c>
      <c r="D63" s="650" t="s">
        <v>1288</v>
      </c>
      <c r="E63" s="651"/>
      <c r="F63" s="658"/>
      <c r="G63" s="647"/>
      <c r="H63" s="654"/>
      <c r="I63" s="649"/>
      <c r="J63" s="650"/>
      <c r="K63" s="657"/>
      <c r="L63" s="653"/>
    </row>
    <row r="64" spans="1:12" ht="15.75" x14ac:dyDescent="0.25">
      <c r="A64" s="647"/>
      <c r="B64" s="648"/>
      <c r="C64" s="649"/>
      <c r="D64" s="650"/>
      <c r="E64" s="651"/>
      <c r="F64" s="656"/>
      <c r="G64" s="647"/>
      <c r="H64" s="648"/>
      <c r="I64" s="649"/>
      <c r="J64" s="650"/>
      <c r="K64" s="657"/>
      <c r="L64" s="656"/>
    </row>
    <row r="65" spans="1:12" ht="15.75" x14ac:dyDescent="0.25">
      <c r="A65" s="647"/>
      <c r="B65" s="648" t="s">
        <v>459</v>
      </c>
      <c r="C65" s="649">
        <v>8</v>
      </c>
      <c r="D65" s="650" t="s">
        <v>1172</v>
      </c>
      <c r="E65" s="651"/>
      <c r="F65" s="653"/>
      <c r="G65" s="647"/>
      <c r="H65" s="648"/>
      <c r="I65" s="649"/>
      <c r="J65" s="650"/>
      <c r="K65" s="657"/>
      <c r="L65" s="653"/>
    </row>
    <row r="66" spans="1:12" ht="15.75" x14ac:dyDescent="0.25">
      <c r="A66" s="647"/>
      <c r="B66" s="654"/>
      <c r="C66" s="649"/>
      <c r="D66" s="655" t="s">
        <v>960</v>
      </c>
      <c r="E66" s="651"/>
      <c r="F66" s="656">
        <v>0.4375</v>
      </c>
      <c r="G66" s="647"/>
      <c r="H66" s="648"/>
      <c r="I66" s="649"/>
      <c r="J66" s="650"/>
      <c r="K66" s="657"/>
      <c r="L66" s="653"/>
    </row>
    <row r="67" spans="1:12" ht="15.75" x14ac:dyDescent="0.25">
      <c r="A67" s="647" t="s">
        <v>961</v>
      </c>
      <c r="B67" s="654"/>
      <c r="C67" s="649"/>
      <c r="D67" s="650" t="s">
        <v>163</v>
      </c>
      <c r="E67" s="651"/>
      <c r="F67" s="653">
        <v>0.48958333333333331</v>
      </c>
      <c r="G67" s="647"/>
      <c r="H67" s="648"/>
      <c r="I67" s="649"/>
      <c r="J67" s="650"/>
      <c r="K67" s="657"/>
      <c r="L67" s="653"/>
    </row>
    <row r="68" spans="1:12" ht="15.75" x14ac:dyDescent="0.25">
      <c r="A68" s="647"/>
      <c r="B68" s="648"/>
      <c r="C68" s="649"/>
      <c r="D68" s="655" t="s">
        <v>164</v>
      </c>
      <c r="E68" s="651"/>
      <c r="F68" s="656">
        <v>0.52083333333333337</v>
      </c>
      <c r="G68" s="647"/>
      <c r="H68" s="648"/>
      <c r="I68" s="649"/>
      <c r="J68" s="650"/>
      <c r="K68" s="657"/>
      <c r="L68" s="653"/>
    </row>
    <row r="69" spans="1:12" ht="15.75" x14ac:dyDescent="0.25">
      <c r="A69" s="647"/>
      <c r="B69" s="648"/>
      <c r="C69" s="649"/>
      <c r="D69" s="655" t="s">
        <v>166</v>
      </c>
      <c r="E69" s="657">
        <v>0.53472222222222221</v>
      </c>
      <c r="F69" s="656"/>
      <c r="G69" s="647"/>
      <c r="H69" s="648"/>
      <c r="I69" s="649"/>
      <c r="J69" s="650"/>
      <c r="K69" s="657"/>
      <c r="L69" s="652"/>
    </row>
    <row r="70" spans="1:12" ht="15.75" x14ac:dyDescent="0.25">
      <c r="A70" s="647"/>
      <c r="B70" s="648" t="s">
        <v>462</v>
      </c>
      <c r="C70" s="649" t="s">
        <v>459</v>
      </c>
      <c r="D70" s="650"/>
      <c r="E70" s="651"/>
      <c r="F70" s="658"/>
      <c r="G70" s="647"/>
      <c r="H70" s="648"/>
      <c r="I70" s="649"/>
      <c r="J70" s="650"/>
      <c r="K70" s="651"/>
      <c r="L70" s="652"/>
    </row>
    <row r="71" spans="1:12" ht="15.75" x14ac:dyDescent="0.25">
      <c r="A71" s="647"/>
      <c r="B71" s="648"/>
      <c r="C71" s="649"/>
      <c r="D71" s="650"/>
      <c r="E71" s="651"/>
      <c r="F71" s="656"/>
      <c r="G71" s="647"/>
      <c r="H71" s="648"/>
      <c r="I71" s="649"/>
      <c r="J71" s="650"/>
      <c r="K71" s="651"/>
      <c r="L71" s="652"/>
    </row>
    <row r="72" spans="1:12" ht="15.75" x14ac:dyDescent="0.25">
      <c r="A72" s="647"/>
      <c r="B72" s="648" t="s">
        <v>459</v>
      </c>
      <c r="C72" s="649">
        <v>17</v>
      </c>
      <c r="D72" s="650" t="s">
        <v>1289</v>
      </c>
      <c r="E72" s="651"/>
      <c r="F72" s="653"/>
      <c r="G72" s="647"/>
      <c r="H72" s="648"/>
      <c r="I72" s="649"/>
      <c r="J72" s="650"/>
      <c r="K72" s="651"/>
      <c r="L72" s="652"/>
    </row>
    <row r="73" spans="1:12" ht="15.75" x14ac:dyDescent="0.25">
      <c r="A73" s="647"/>
      <c r="B73" s="648"/>
      <c r="C73" s="649"/>
      <c r="D73" s="655" t="s">
        <v>166</v>
      </c>
      <c r="E73" s="651"/>
      <c r="F73" s="656">
        <v>0.53472222222222221</v>
      </c>
      <c r="G73" s="647"/>
      <c r="H73" s="648"/>
      <c r="I73" s="649"/>
      <c r="J73" s="650"/>
      <c r="K73" s="651"/>
      <c r="L73" s="652"/>
    </row>
    <row r="74" spans="1:12" ht="15.75" x14ac:dyDescent="0.25">
      <c r="A74" s="647" t="s">
        <v>961</v>
      </c>
      <c r="B74" s="648"/>
      <c r="C74" s="649"/>
      <c r="D74" s="650" t="s">
        <v>160</v>
      </c>
      <c r="E74" s="651"/>
      <c r="F74" s="653">
        <v>0.58680555555555558</v>
      </c>
      <c r="G74" s="647"/>
      <c r="H74" s="648"/>
      <c r="I74" s="649"/>
      <c r="J74" s="650"/>
      <c r="K74" s="651"/>
      <c r="L74" s="652"/>
    </row>
    <row r="75" spans="1:12" ht="15.75" x14ac:dyDescent="0.25">
      <c r="A75" s="647"/>
      <c r="B75" s="648"/>
      <c r="C75" s="649"/>
      <c r="D75" s="655" t="s">
        <v>962</v>
      </c>
      <c r="E75" s="651"/>
      <c r="F75" s="656">
        <v>0.59722222222222221</v>
      </c>
      <c r="G75" s="647"/>
      <c r="H75" s="648"/>
      <c r="I75" s="649"/>
      <c r="J75" s="650"/>
      <c r="K75" s="651"/>
      <c r="L75" s="652"/>
    </row>
    <row r="76" spans="1:12" ht="15.75" x14ac:dyDescent="0.25">
      <c r="A76" s="647"/>
      <c r="B76" s="648"/>
      <c r="C76" s="649"/>
      <c r="D76" s="655" t="s">
        <v>960</v>
      </c>
      <c r="E76" s="651"/>
      <c r="F76" s="656">
        <v>0.62847222222222221</v>
      </c>
      <c r="G76" s="647"/>
      <c r="H76" s="648"/>
      <c r="I76" s="649"/>
      <c r="J76" s="650"/>
      <c r="K76" s="651"/>
      <c r="L76" s="652"/>
    </row>
    <row r="77" spans="1:12" ht="15.75" x14ac:dyDescent="0.25">
      <c r="A77" s="647" t="s">
        <v>958</v>
      </c>
      <c r="B77" s="654"/>
      <c r="C77" s="649"/>
      <c r="D77" s="650" t="s">
        <v>163</v>
      </c>
      <c r="E77" s="657">
        <v>0.68125000000000002</v>
      </c>
      <c r="F77" s="653"/>
      <c r="G77" s="647"/>
      <c r="H77" s="648"/>
      <c r="I77" s="649"/>
      <c r="J77" s="650"/>
      <c r="K77" s="651"/>
      <c r="L77" s="658"/>
    </row>
    <row r="78" spans="1:12" ht="15.75" x14ac:dyDescent="0.25">
      <c r="A78" s="647"/>
      <c r="B78" s="648"/>
      <c r="C78" s="649"/>
      <c r="D78" s="650" t="s">
        <v>963</v>
      </c>
      <c r="E78" s="657">
        <v>0.7055555555555556</v>
      </c>
      <c r="F78" s="653"/>
      <c r="G78" s="647"/>
      <c r="H78" s="648"/>
      <c r="I78" s="649"/>
      <c r="J78" s="655"/>
      <c r="K78" s="651"/>
      <c r="L78" s="658"/>
    </row>
    <row r="79" spans="1:12" ht="15.75" x14ac:dyDescent="0.25">
      <c r="A79" s="647"/>
      <c r="B79" s="648" t="s">
        <v>462</v>
      </c>
      <c r="C79" s="649" t="s">
        <v>459</v>
      </c>
      <c r="D79" s="650"/>
      <c r="E79" s="657"/>
      <c r="F79" s="652"/>
      <c r="G79" s="647"/>
      <c r="H79" s="648"/>
      <c r="I79" s="649"/>
      <c r="J79" s="650"/>
      <c r="K79" s="651"/>
      <c r="L79" s="658"/>
    </row>
    <row r="80" spans="1:12" ht="16.5" thickBot="1" x14ac:dyDescent="0.3">
      <c r="A80" s="659"/>
      <c r="B80" s="660"/>
      <c r="C80" s="661"/>
      <c r="D80" s="662"/>
      <c r="E80" s="663"/>
      <c r="F80" s="664"/>
      <c r="G80" s="665"/>
      <c r="H80" s="666"/>
      <c r="I80" s="667"/>
      <c r="J80" s="668"/>
      <c r="K80" s="663"/>
      <c r="L80" s="669"/>
    </row>
    <row r="81" spans="1:12" ht="21" x14ac:dyDescent="0.35">
      <c r="A81" s="781" t="s">
        <v>945</v>
      </c>
      <c r="B81" s="782"/>
      <c r="C81" s="782"/>
      <c r="D81" s="782"/>
      <c r="E81" s="782"/>
      <c r="F81" s="782"/>
      <c r="G81" s="782"/>
      <c r="H81" s="782"/>
      <c r="I81" s="782"/>
      <c r="J81" s="782"/>
      <c r="K81" s="782"/>
      <c r="L81" s="783"/>
    </row>
    <row r="82" spans="1:12" ht="18.75" x14ac:dyDescent="0.3">
      <c r="A82" s="784" t="s">
        <v>946</v>
      </c>
      <c r="B82" s="785"/>
      <c r="C82" s="785"/>
      <c r="D82" s="785"/>
      <c r="E82" s="785"/>
      <c r="F82" s="785"/>
      <c r="G82" s="785"/>
      <c r="H82" s="785"/>
      <c r="I82" s="785"/>
      <c r="J82" s="785"/>
      <c r="K82" s="785"/>
      <c r="L82" s="786"/>
    </row>
    <row r="83" spans="1:12" ht="24" x14ac:dyDescent="0.4">
      <c r="A83" s="787" t="s">
        <v>947</v>
      </c>
      <c r="B83" s="788"/>
      <c r="C83" s="788"/>
      <c r="D83" s="788"/>
      <c r="E83" s="788"/>
      <c r="F83" s="788"/>
      <c r="G83" s="788"/>
      <c r="H83" s="788"/>
      <c r="I83" s="788"/>
      <c r="J83" s="788"/>
      <c r="K83" s="788"/>
      <c r="L83" s="789"/>
    </row>
    <row r="84" spans="1:12" ht="24" x14ac:dyDescent="0.4">
      <c r="A84" s="623" t="s">
        <v>1279</v>
      </c>
      <c r="B84" s="624"/>
      <c r="C84" s="624"/>
      <c r="D84" s="625" t="s">
        <v>949</v>
      </c>
      <c r="E84" s="790" t="s">
        <v>683</v>
      </c>
      <c r="F84" s="790"/>
      <c r="G84" s="790"/>
      <c r="H84" s="790"/>
      <c r="I84" s="790"/>
      <c r="J84" s="626" t="s">
        <v>976</v>
      </c>
      <c r="K84" s="790"/>
      <c r="L84" s="791"/>
    </row>
    <row r="85" spans="1:12" ht="15.75" thickBot="1" x14ac:dyDescent="0.3">
      <c r="A85" s="627"/>
      <c r="B85" s="628"/>
      <c r="C85" s="628"/>
      <c r="D85" s="629"/>
      <c r="E85" s="628"/>
      <c r="F85" s="628"/>
      <c r="G85" s="628"/>
      <c r="H85" s="628"/>
      <c r="I85" s="792"/>
      <c r="J85" s="792"/>
      <c r="K85" s="628"/>
      <c r="L85" s="630"/>
    </row>
    <row r="86" spans="1:12" ht="16.5" thickBot="1" x14ac:dyDescent="0.3">
      <c r="A86" s="631" t="s">
        <v>952</v>
      </c>
      <c r="B86" s="632"/>
      <c r="C86" s="633"/>
      <c r="D86" s="634" t="s">
        <v>953</v>
      </c>
      <c r="E86" s="631" t="s">
        <v>954</v>
      </c>
      <c r="F86" s="635" t="s">
        <v>955</v>
      </c>
      <c r="G86" s="631" t="s">
        <v>952</v>
      </c>
      <c r="H86" s="632"/>
      <c r="I86" s="633"/>
      <c r="J86" s="634" t="s">
        <v>953</v>
      </c>
      <c r="K86" s="631" t="s">
        <v>954</v>
      </c>
      <c r="L86" s="631" t="s">
        <v>955</v>
      </c>
    </row>
    <row r="87" spans="1:12" ht="15.75" x14ac:dyDescent="0.25">
      <c r="A87" s="636"/>
      <c r="B87" s="637"/>
      <c r="C87" s="638"/>
      <c r="D87" s="639"/>
      <c r="E87" s="640"/>
      <c r="F87" s="641"/>
      <c r="G87" s="636"/>
      <c r="H87" s="642"/>
      <c r="I87" s="643"/>
      <c r="J87" s="644"/>
      <c r="K87" s="645"/>
      <c r="L87" s="646"/>
    </row>
    <row r="88" spans="1:12" ht="15.75" x14ac:dyDescent="0.25">
      <c r="A88" s="647"/>
      <c r="B88" s="648" t="s">
        <v>459</v>
      </c>
      <c r="C88" s="649">
        <v>3</v>
      </c>
      <c r="D88" s="650" t="s">
        <v>1032</v>
      </c>
      <c r="E88" s="651"/>
      <c r="F88" s="652"/>
      <c r="G88" s="647"/>
      <c r="H88" s="648" t="s">
        <v>459</v>
      </c>
      <c r="I88" s="649">
        <v>48</v>
      </c>
      <c r="J88" s="650" t="s">
        <v>1290</v>
      </c>
      <c r="K88" s="651"/>
      <c r="L88" s="653"/>
    </row>
    <row r="89" spans="1:12" ht="15.75" x14ac:dyDescent="0.25">
      <c r="A89" s="647" t="s">
        <v>958</v>
      </c>
      <c r="B89" s="654"/>
      <c r="C89" s="649"/>
      <c r="D89" s="655" t="s">
        <v>959</v>
      </c>
      <c r="E89" s="651"/>
      <c r="F89" s="656">
        <v>0.21527777777777779</v>
      </c>
      <c r="G89" s="647"/>
      <c r="H89" s="648"/>
      <c r="I89" s="649"/>
      <c r="J89" s="655" t="s">
        <v>960</v>
      </c>
      <c r="K89" s="651"/>
      <c r="L89" s="656">
        <v>0.70138888888888884</v>
      </c>
    </row>
    <row r="90" spans="1:12" ht="15.75" x14ac:dyDescent="0.25">
      <c r="A90" s="647" t="s">
        <v>961</v>
      </c>
      <c r="B90" s="654"/>
      <c r="C90" s="649"/>
      <c r="D90" s="650" t="s">
        <v>163</v>
      </c>
      <c r="E90" s="651"/>
      <c r="F90" s="653">
        <v>0.23958333333333334</v>
      </c>
      <c r="G90" s="647" t="s">
        <v>961</v>
      </c>
      <c r="H90" s="654"/>
      <c r="I90" s="649"/>
      <c r="J90" s="650" t="s">
        <v>163</v>
      </c>
      <c r="K90" s="651"/>
      <c r="L90" s="653">
        <v>0.75347222222222221</v>
      </c>
    </row>
    <row r="91" spans="1:12" ht="15.75" x14ac:dyDescent="0.25">
      <c r="A91" s="647"/>
      <c r="B91" s="648"/>
      <c r="C91" s="649"/>
      <c r="D91" s="655" t="s">
        <v>164</v>
      </c>
      <c r="E91" s="651"/>
      <c r="F91" s="656">
        <v>0.26041666666666669</v>
      </c>
      <c r="G91" s="647"/>
      <c r="H91" s="648"/>
      <c r="I91" s="649"/>
      <c r="J91" s="655" t="s">
        <v>164</v>
      </c>
      <c r="K91" s="651"/>
      <c r="L91" s="656">
        <v>0.77777777777777779</v>
      </c>
    </row>
    <row r="92" spans="1:12" ht="15.75" x14ac:dyDescent="0.25">
      <c r="A92" s="647"/>
      <c r="B92" s="648"/>
      <c r="C92" s="649"/>
      <c r="D92" s="655" t="s">
        <v>166</v>
      </c>
      <c r="E92" s="651"/>
      <c r="F92" s="656">
        <v>0.27083333333333331</v>
      </c>
      <c r="G92" s="647"/>
      <c r="H92" s="648"/>
      <c r="I92" s="649"/>
      <c r="J92" s="655" t="s">
        <v>166</v>
      </c>
      <c r="K92" s="651"/>
      <c r="L92" s="656">
        <v>0.79166666666666663</v>
      </c>
    </row>
    <row r="93" spans="1:12" ht="15.75" x14ac:dyDescent="0.25">
      <c r="A93" s="647" t="s">
        <v>961</v>
      </c>
      <c r="B93" s="648"/>
      <c r="C93" s="649"/>
      <c r="D93" s="650" t="s">
        <v>160</v>
      </c>
      <c r="E93" s="651"/>
      <c r="F93" s="653">
        <v>0.30555555555555558</v>
      </c>
      <c r="G93" s="647" t="s">
        <v>958</v>
      </c>
      <c r="H93" s="648"/>
      <c r="I93" s="649"/>
      <c r="J93" s="650" t="s">
        <v>160</v>
      </c>
      <c r="K93" s="657">
        <v>0.82986111111111116</v>
      </c>
      <c r="L93" s="653"/>
    </row>
    <row r="94" spans="1:12" ht="15.75" x14ac:dyDescent="0.25">
      <c r="A94" s="647"/>
      <c r="B94" s="648"/>
      <c r="C94" s="649"/>
      <c r="D94" s="655" t="s">
        <v>962</v>
      </c>
      <c r="E94" s="651"/>
      <c r="F94" s="656">
        <v>0.3125</v>
      </c>
      <c r="G94" s="647"/>
      <c r="H94" s="648"/>
      <c r="I94" s="649"/>
      <c r="J94" s="650" t="s">
        <v>963</v>
      </c>
      <c r="K94" s="657">
        <v>0.86111111111111116</v>
      </c>
      <c r="L94" s="656"/>
    </row>
    <row r="95" spans="1:12" ht="15.75" x14ac:dyDescent="0.25">
      <c r="A95" s="647"/>
      <c r="B95" s="648"/>
      <c r="C95" s="649"/>
      <c r="D95" s="655" t="s">
        <v>960</v>
      </c>
      <c r="E95" s="657">
        <v>0.33680555555555558</v>
      </c>
      <c r="F95" s="656"/>
      <c r="G95" s="647"/>
      <c r="H95" s="648" t="s">
        <v>459</v>
      </c>
      <c r="I95" s="649">
        <v>48</v>
      </c>
      <c r="J95" s="650" t="s">
        <v>1291</v>
      </c>
      <c r="K95" s="657"/>
      <c r="L95" s="653"/>
    </row>
    <row r="96" spans="1:12" ht="15.75" x14ac:dyDescent="0.25">
      <c r="A96" s="647"/>
      <c r="B96" s="648" t="s">
        <v>459</v>
      </c>
      <c r="C96" s="649">
        <v>3</v>
      </c>
      <c r="D96" s="650" t="s">
        <v>1292</v>
      </c>
      <c r="E96" s="651"/>
      <c r="F96" s="658"/>
      <c r="G96" s="647"/>
      <c r="H96" s="648"/>
      <c r="I96" s="649"/>
      <c r="J96" s="650"/>
      <c r="K96" s="657"/>
      <c r="L96" s="653"/>
    </row>
    <row r="97" spans="1:12" ht="15.75" x14ac:dyDescent="0.25">
      <c r="A97" s="647"/>
      <c r="B97" s="648"/>
      <c r="C97" s="649"/>
      <c r="D97" s="650"/>
      <c r="E97" s="651"/>
      <c r="F97" s="656"/>
      <c r="G97" s="647"/>
      <c r="H97" s="648"/>
      <c r="I97" s="649"/>
      <c r="J97" s="650"/>
      <c r="K97" s="657"/>
      <c r="L97" s="653"/>
    </row>
    <row r="98" spans="1:12" ht="15.75" x14ac:dyDescent="0.25">
      <c r="A98" s="647"/>
      <c r="B98" s="648" t="s">
        <v>459</v>
      </c>
      <c r="C98" s="649">
        <v>16</v>
      </c>
      <c r="D98" s="650" t="s">
        <v>1293</v>
      </c>
      <c r="E98" s="651"/>
      <c r="F98" s="653"/>
      <c r="G98" s="647"/>
      <c r="H98" s="648"/>
      <c r="I98" s="649"/>
      <c r="J98" s="650"/>
      <c r="K98" s="657"/>
      <c r="L98" s="653"/>
    </row>
    <row r="99" spans="1:12" ht="15.75" x14ac:dyDescent="0.25">
      <c r="A99" s="647"/>
      <c r="B99" s="648"/>
      <c r="C99" s="649"/>
      <c r="D99" s="655" t="s">
        <v>960</v>
      </c>
      <c r="E99" s="651"/>
      <c r="F99" s="656">
        <v>0.33680555555555558</v>
      </c>
      <c r="G99" s="647"/>
      <c r="H99" s="648"/>
      <c r="I99" s="649"/>
      <c r="J99" s="650"/>
      <c r="K99" s="657"/>
      <c r="L99" s="652"/>
    </row>
    <row r="100" spans="1:12" ht="15.75" x14ac:dyDescent="0.25">
      <c r="A100" s="647" t="s">
        <v>961</v>
      </c>
      <c r="B100" s="654"/>
      <c r="C100" s="649"/>
      <c r="D100" s="650" t="s">
        <v>163</v>
      </c>
      <c r="E100" s="651"/>
      <c r="F100" s="653">
        <v>0.38194444444444442</v>
      </c>
      <c r="G100" s="647"/>
      <c r="H100" s="648"/>
      <c r="I100" s="649"/>
      <c r="J100" s="650"/>
      <c r="K100" s="651"/>
      <c r="L100" s="652"/>
    </row>
    <row r="101" spans="1:12" ht="15.75" x14ac:dyDescent="0.25">
      <c r="A101" s="647"/>
      <c r="B101" s="648"/>
      <c r="C101" s="649"/>
      <c r="D101" s="655" t="s">
        <v>164</v>
      </c>
      <c r="E101" s="651"/>
      <c r="F101" s="656">
        <v>0.40972222222222221</v>
      </c>
      <c r="G101" s="647"/>
      <c r="H101" s="648"/>
      <c r="I101" s="649"/>
      <c r="J101" s="650"/>
      <c r="K101" s="651"/>
      <c r="L101" s="652"/>
    </row>
    <row r="102" spans="1:12" ht="15.75" x14ac:dyDescent="0.25">
      <c r="A102" s="647"/>
      <c r="B102" s="648"/>
      <c r="C102" s="649"/>
      <c r="D102" s="655" t="s">
        <v>166</v>
      </c>
      <c r="E102" s="651"/>
      <c r="F102" s="656">
        <v>0.4236111111111111</v>
      </c>
      <c r="G102" s="647"/>
      <c r="H102" s="648"/>
      <c r="I102" s="649"/>
      <c r="J102" s="650"/>
      <c r="K102" s="651"/>
      <c r="L102" s="652"/>
    </row>
    <row r="103" spans="1:12" ht="15.75" x14ac:dyDescent="0.25">
      <c r="A103" s="647" t="s">
        <v>961</v>
      </c>
      <c r="B103" s="648"/>
      <c r="C103" s="649"/>
      <c r="D103" s="650" t="s">
        <v>160</v>
      </c>
      <c r="E103" s="651"/>
      <c r="F103" s="653">
        <v>0.46875</v>
      </c>
      <c r="G103" s="647"/>
      <c r="H103" s="648"/>
      <c r="I103" s="649"/>
      <c r="J103" s="650"/>
      <c r="K103" s="651"/>
      <c r="L103" s="652"/>
    </row>
    <row r="104" spans="1:12" ht="15.75" x14ac:dyDescent="0.25">
      <c r="A104" s="647"/>
      <c r="B104" s="648"/>
      <c r="C104" s="649"/>
      <c r="D104" s="655" t="s">
        <v>962</v>
      </c>
      <c r="E104" s="651"/>
      <c r="F104" s="656">
        <v>0.47916666666666669</v>
      </c>
      <c r="G104" s="647"/>
      <c r="H104" s="648"/>
      <c r="I104" s="649"/>
      <c r="J104" s="650"/>
      <c r="K104" s="651"/>
      <c r="L104" s="652"/>
    </row>
    <row r="105" spans="1:12" ht="15.75" x14ac:dyDescent="0.25">
      <c r="A105" s="647"/>
      <c r="B105" s="648"/>
      <c r="C105" s="649"/>
      <c r="D105" s="655" t="s">
        <v>960</v>
      </c>
      <c r="E105" s="657">
        <v>0.51388888888888884</v>
      </c>
      <c r="F105" s="656"/>
      <c r="G105" s="647"/>
      <c r="H105" s="648"/>
      <c r="I105" s="649"/>
      <c r="J105" s="650"/>
      <c r="K105" s="651"/>
      <c r="L105" s="652"/>
    </row>
    <row r="106" spans="1:12" ht="15.75" x14ac:dyDescent="0.25">
      <c r="A106" s="647"/>
      <c r="B106" s="648" t="s">
        <v>459</v>
      </c>
      <c r="C106" s="649">
        <v>16</v>
      </c>
      <c r="D106" s="650" t="s">
        <v>1294</v>
      </c>
      <c r="E106" s="651"/>
      <c r="F106" s="658"/>
      <c r="G106" s="647"/>
      <c r="H106" s="648"/>
      <c r="I106" s="649"/>
      <c r="J106" s="650"/>
      <c r="K106" s="657"/>
      <c r="L106" s="653"/>
    </row>
    <row r="107" spans="1:12" ht="15.75" x14ac:dyDescent="0.25">
      <c r="A107" s="647"/>
      <c r="B107" s="648"/>
      <c r="C107" s="649"/>
      <c r="D107" s="650"/>
      <c r="E107" s="651"/>
      <c r="F107" s="656"/>
      <c r="G107" s="647"/>
      <c r="H107" s="648"/>
      <c r="I107" s="649"/>
      <c r="J107" s="650"/>
      <c r="K107" s="657"/>
      <c r="L107" s="653"/>
    </row>
    <row r="108" spans="1:12" ht="15.75" x14ac:dyDescent="0.25">
      <c r="A108" s="647"/>
      <c r="B108" s="648" t="s">
        <v>459</v>
      </c>
      <c r="C108" s="649">
        <v>30</v>
      </c>
      <c r="D108" s="650" t="s">
        <v>1295</v>
      </c>
      <c r="E108" s="651"/>
      <c r="F108" s="653"/>
      <c r="G108" s="647"/>
      <c r="H108" s="648"/>
      <c r="I108" s="649"/>
      <c r="J108" s="650"/>
      <c r="K108" s="657"/>
      <c r="L108" s="653"/>
    </row>
    <row r="109" spans="1:12" ht="15.75" x14ac:dyDescent="0.25">
      <c r="A109" s="647"/>
      <c r="B109" s="648"/>
      <c r="C109" s="649"/>
      <c r="D109" s="655" t="s">
        <v>960</v>
      </c>
      <c r="E109" s="651"/>
      <c r="F109" s="656">
        <v>0.51388888888888884</v>
      </c>
      <c r="G109" s="647"/>
      <c r="H109" s="648"/>
      <c r="I109" s="649"/>
      <c r="J109" s="650"/>
      <c r="K109" s="657"/>
      <c r="L109" s="652"/>
    </row>
    <row r="110" spans="1:12" ht="15.75" x14ac:dyDescent="0.25">
      <c r="A110" s="647" t="s">
        <v>961</v>
      </c>
      <c r="B110" s="654"/>
      <c r="C110" s="649"/>
      <c r="D110" s="650" t="s">
        <v>163</v>
      </c>
      <c r="E110" s="651"/>
      <c r="F110" s="653">
        <v>0.56597222222222221</v>
      </c>
      <c r="G110" s="647"/>
      <c r="H110" s="648"/>
      <c r="I110" s="649"/>
      <c r="J110" s="650"/>
      <c r="K110" s="651"/>
      <c r="L110" s="652"/>
    </row>
    <row r="111" spans="1:12" ht="15.75" x14ac:dyDescent="0.25">
      <c r="A111" s="647"/>
      <c r="B111" s="648"/>
      <c r="C111" s="649"/>
      <c r="D111" s="655" t="s">
        <v>164</v>
      </c>
      <c r="E111" s="651"/>
      <c r="F111" s="656">
        <v>0.59722222222222221</v>
      </c>
      <c r="G111" s="647"/>
      <c r="H111" s="648"/>
      <c r="I111" s="649"/>
      <c r="J111" s="650"/>
      <c r="K111" s="651"/>
      <c r="L111" s="652"/>
    </row>
    <row r="112" spans="1:12" ht="15.75" x14ac:dyDescent="0.25">
      <c r="A112" s="647"/>
      <c r="B112" s="648"/>
      <c r="C112" s="649"/>
      <c r="D112" s="655" t="s">
        <v>166</v>
      </c>
      <c r="E112" s="651"/>
      <c r="F112" s="656">
        <v>0.61111111111111116</v>
      </c>
      <c r="G112" s="647"/>
      <c r="H112" s="648"/>
      <c r="I112" s="649"/>
      <c r="J112" s="650"/>
      <c r="K112" s="651"/>
      <c r="L112" s="652"/>
    </row>
    <row r="113" spans="1:12" ht="15.75" x14ac:dyDescent="0.25">
      <c r="A113" s="647" t="s">
        <v>961</v>
      </c>
      <c r="B113" s="648"/>
      <c r="C113" s="649"/>
      <c r="D113" s="650" t="s">
        <v>160</v>
      </c>
      <c r="E113" s="651"/>
      <c r="F113" s="653">
        <v>0.65972222222222221</v>
      </c>
      <c r="G113" s="647"/>
      <c r="H113" s="648"/>
      <c r="I113" s="649"/>
      <c r="J113" s="650"/>
      <c r="K113" s="651"/>
      <c r="L113" s="652"/>
    </row>
    <row r="114" spans="1:12" ht="15.75" x14ac:dyDescent="0.25">
      <c r="A114" s="647"/>
      <c r="B114" s="648"/>
      <c r="C114" s="649"/>
      <c r="D114" s="655" t="s">
        <v>962</v>
      </c>
      <c r="E114" s="651"/>
      <c r="F114" s="656">
        <v>0.66666666666666663</v>
      </c>
      <c r="G114" s="647"/>
      <c r="H114" s="648"/>
      <c r="I114" s="649"/>
      <c r="J114" s="650"/>
      <c r="K114" s="651"/>
      <c r="L114" s="652"/>
    </row>
    <row r="115" spans="1:12" ht="15.75" x14ac:dyDescent="0.25">
      <c r="A115" s="647"/>
      <c r="B115" s="648"/>
      <c r="C115" s="649"/>
      <c r="D115" s="655" t="s">
        <v>960</v>
      </c>
      <c r="E115" s="657">
        <v>0.70138888888888884</v>
      </c>
      <c r="F115" s="656"/>
      <c r="G115" s="647"/>
      <c r="H115" s="648"/>
      <c r="I115" s="649"/>
      <c r="J115" s="650"/>
      <c r="K115" s="651"/>
      <c r="L115" s="652"/>
    </row>
    <row r="116" spans="1:12" ht="15.75" x14ac:dyDescent="0.25">
      <c r="A116" s="647"/>
      <c r="B116" s="648" t="s">
        <v>459</v>
      </c>
      <c r="C116" s="649">
        <v>30</v>
      </c>
      <c r="D116" s="650" t="s">
        <v>1296</v>
      </c>
      <c r="E116" s="651"/>
      <c r="F116" s="658"/>
      <c r="G116" s="647"/>
      <c r="H116" s="648"/>
      <c r="I116" s="649"/>
      <c r="J116" s="650"/>
      <c r="K116" s="651"/>
      <c r="L116" s="652"/>
    </row>
    <row r="117" spans="1:12" ht="15.75" x14ac:dyDescent="0.25">
      <c r="A117" s="647"/>
      <c r="B117" s="648"/>
      <c r="C117" s="649"/>
      <c r="D117" s="650"/>
      <c r="E117" s="657"/>
      <c r="F117" s="658"/>
      <c r="G117" s="647"/>
      <c r="H117" s="648"/>
      <c r="I117" s="649"/>
      <c r="J117" s="650"/>
      <c r="K117" s="651"/>
      <c r="L117" s="658"/>
    </row>
    <row r="118" spans="1:12" ht="15.75" x14ac:dyDescent="0.25">
      <c r="A118" s="647"/>
      <c r="B118" s="648"/>
      <c r="C118" s="649"/>
      <c r="D118" s="655"/>
      <c r="E118" s="657"/>
      <c r="F118" s="653"/>
      <c r="G118" s="647"/>
      <c r="H118" s="648"/>
      <c r="I118" s="649"/>
      <c r="J118" s="655"/>
      <c r="K118" s="651"/>
      <c r="L118" s="658"/>
    </row>
    <row r="119" spans="1:12" ht="15.75" x14ac:dyDescent="0.25">
      <c r="A119" s="647"/>
      <c r="B119" s="648"/>
      <c r="C119" s="649"/>
      <c r="D119" s="650"/>
      <c r="E119" s="651"/>
      <c r="F119" s="652"/>
      <c r="G119" s="647"/>
      <c r="H119" s="648"/>
      <c r="I119" s="649"/>
      <c r="J119" s="650"/>
      <c r="K119" s="651"/>
      <c r="L119" s="658"/>
    </row>
    <row r="120" spans="1:12" ht="16.5" thickBot="1" x14ac:dyDescent="0.3">
      <c r="A120" s="659"/>
      <c r="B120" s="660"/>
      <c r="C120" s="661"/>
      <c r="D120" s="662"/>
      <c r="E120" s="663"/>
      <c r="F120" s="664"/>
      <c r="G120" s="665"/>
      <c r="H120" s="666"/>
      <c r="I120" s="667"/>
      <c r="J120" s="668"/>
      <c r="K120" s="663"/>
      <c r="L120" s="669"/>
    </row>
    <row r="121" spans="1:12" ht="21" x14ac:dyDescent="0.35">
      <c r="A121" s="781" t="s">
        <v>945</v>
      </c>
      <c r="B121" s="782"/>
      <c r="C121" s="782"/>
      <c r="D121" s="782"/>
      <c r="E121" s="782"/>
      <c r="F121" s="782"/>
      <c r="G121" s="782"/>
      <c r="H121" s="782"/>
      <c r="I121" s="782"/>
      <c r="J121" s="782"/>
      <c r="K121" s="782"/>
      <c r="L121" s="783"/>
    </row>
    <row r="122" spans="1:12" ht="18.75" x14ac:dyDescent="0.3">
      <c r="A122" s="784" t="s">
        <v>946</v>
      </c>
      <c r="B122" s="785"/>
      <c r="C122" s="785"/>
      <c r="D122" s="785"/>
      <c r="E122" s="785"/>
      <c r="F122" s="785"/>
      <c r="G122" s="785"/>
      <c r="H122" s="785"/>
      <c r="I122" s="785"/>
      <c r="J122" s="785"/>
      <c r="K122" s="785"/>
      <c r="L122" s="786"/>
    </row>
    <row r="123" spans="1:12" ht="24" x14ac:dyDescent="0.4">
      <c r="A123" s="787" t="s">
        <v>947</v>
      </c>
      <c r="B123" s="788"/>
      <c r="C123" s="788"/>
      <c r="D123" s="788"/>
      <c r="E123" s="788"/>
      <c r="F123" s="788"/>
      <c r="G123" s="788"/>
      <c r="H123" s="788"/>
      <c r="I123" s="788"/>
      <c r="J123" s="788"/>
      <c r="K123" s="788"/>
      <c r="L123" s="789"/>
    </row>
    <row r="124" spans="1:12" ht="24" x14ac:dyDescent="0.4">
      <c r="A124" s="623" t="s">
        <v>1279</v>
      </c>
      <c r="B124" s="624"/>
      <c r="C124" s="624"/>
      <c r="D124" s="625" t="s">
        <v>949</v>
      </c>
      <c r="E124" s="790" t="s">
        <v>683</v>
      </c>
      <c r="F124" s="790"/>
      <c r="G124" s="790"/>
      <c r="H124" s="790"/>
      <c r="I124" s="790"/>
      <c r="J124" s="626" t="s">
        <v>986</v>
      </c>
      <c r="K124" s="790"/>
      <c r="L124" s="791"/>
    </row>
    <row r="125" spans="1:12" ht="15.75" thickBot="1" x14ac:dyDescent="0.3">
      <c r="A125" s="627"/>
      <c r="B125" s="628"/>
      <c r="C125" s="628"/>
      <c r="D125" s="629"/>
      <c r="E125" s="628"/>
      <c r="F125" s="628"/>
      <c r="G125" s="628"/>
      <c r="H125" s="628"/>
      <c r="I125" s="792"/>
      <c r="J125" s="792"/>
      <c r="K125" s="628"/>
      <c r="L125" s="630"/>
    </row>
    <row r="126" spans="1:12" ht="16.5" thickBot="1" x14ac:dyDescent="0.3">
      <c r="A126" s="631" t="s">
        <v>952</v>
      </c>
      <c r="B126" s="632"/>
      <c r="C126" s="633"/>
      <c r="D126" s="634" t="s">
        <v>953</v>
      </c>
      <c r="E126" s="631" t="s">
        <v>954</v>
      </c>
      <c r="F126" s="635" t="s">
        <v>955</v>
      </c>
      <c r="G126" s="631" t="s">
        <v>952</v>
      </c>
      <c r="H126" s="632"/>
      <c r="I126" s="633"/>
      <c r="J126" s="634" t="s">
        <v>953</v>
      </c>
      <c r="K126" s="631" t="s">
        <v>954</v>
      </c>
      <c r="L126" s="631" t="s">
        <v>955</v>
      </c>
    </row>
    <row r="127" spans="1:12" ht="15.75" x14ac:dyDescent="0.25">
      <c r="A127" s="636"/>
      <c r="B127" s="637"/>
      <c r="C127" s="638"/>
      <c r="D127" s="639"/>
      <c r="E127" s="640"/>
      <c r="F127" s="641"/>
      <c r="G127" s="636"/>
      <c r="H127" s="642"/>
      <c r="I127" s="643"/>
      <c r="J127" s="644"/>
      <c r="K127" s="645"/>
      <c r="L127" s="646"/>
    </row>
    <row r="128" spans="1:12" ht="15.75" x14ac:dyDescent="0.25">
      <c r="A128" s="647"/>
      <c r="B128" s="648" t="s">
        <v>459</v>
      </c>
      <c r="C128" s="649">
        <v>4</v>
      </c>
      <c r="D128" s="650" t="s">
        <v>1297</v>
      </c>
      <c r="E128" s="651"/>
      <c r="F128" s="652"/>
      <c r="G128" s="647"/>
      <c r="H128" s="648" t="s">
        <v>459</v>
      </c>
      <c r="I128" s="649">
        <v>30</v>
      </c>
      <c r="J128" s="650" t="s">
        <v>1298</v>
      </c>
      <c r="K128" s="651"/>
      <c r="L128" s="653"/>
    </row>
    <row r="129" spans="1:12" ht="15.75" x14ac:dyDescent="0.25">
      <c r="A129" s="647" t="s">
        <v>958</v>
      </c>
      <c r="B129" s="654"/>
      <c r="C129" s="649"/>
      <c r="D129" s="655" t="s">
        <v>959</v>
      </c>
      <c r="E129" s="651"/>
      <c r="F129" s="656">
        <v>0.21875</v>
      </c>
      <c r="G129" s="647"/>
      <c r="H129" s="648"/>
      <c r="I129" s="649"/>
      <c r="J129" s="655" t="s">
        <v>166</v>
      </c>
      <c r="K129" s="651"/>
      <c r="L129" s="656">
        <v>0.73611111111111116</v>
      </c>
    </row>
    <row r="130" spans="1:12" ht="15.75" x14ac:dyDescent="0.25">
      <c r="A130" s="647" t="s">
        <v>961</v>
      </c>
      <c r="B130" s="648"/>
      <c r="C130" s="649"/>
      <c r="D130" s="650" t="s">
        <v>160</v>
      </c>
      <c r="E130" s="651"/>
      <c r="F130" s="653">
        <v>0.25347222222222221</v>
      </c>
      <c r="G130" s="647" t="s">
        <v>961</v>
      </c>
      <c r="H130" s="648"/>
      <c r="I130" s="649"/>
      <c r="J130" s="650" t="s">
        <v>160</v>
      </c>
      <c r="K130" s="651"/>
      <c r="L130" s="653">
        <v>0.77777777777777779</v>
      </c>
    </row>
    <row r="131" spans="1:12" ht="15.75" x14ac:dyDescent="0.25">
      <c r="A131" s="647"/>
      <c r="B131" s="648"/>
      <c r="C131" s="649"/>
      <c r="D131" s="655" t="s">
        <v>962</v>
      </c>
      <c r="E131" s="651"/>
      <c r="F131" s="656">
        <v>0.26041666666666669</v>
      </c>
      <c r="G131" s="647"/>
      <c r="H131" s="648"/>
      <c r="I131" s="649"/>
      <c r="J131" s="655" t="s">
        <v>962</v>
      </c>
      <c r="K131" s="651"/>
      <c r="L131" s="656">
        <v>0.78472222222222221</v>
      </c>
    </row>
    <row r="132" spans="1:12" ht="15.75" x14ac:dyDescent="0.25">
      <c r="A132" s="647"/>
      <c r="B132" s="648"/>
      <c r="C132" s="649"/>
      <c r="D132" s="655" t="s">
        <v>960</v>
      </c>
      <c r="E132" s="651"/>
      <c r="F132" s="656">
        <v>0.28472222222222221</v>
      </c>
      <c r="G132" s="647"/>
      <c r="H132" s="654"/>
      <c r="I132" s="649"/>
      <c r="J132" s="655" t="s">
        <v>960</v>
      </c>
      <c r="K132" s="651"/>
      <c r="L132" s="656">
        <v>0.8125</v>
      </c>
    </row>
    <row r="133" spans="1:12" ht="15.75" x14ac:dyDescent="0.25">
      <c r="A133" s="647" t="s">
        <v>961</v>
      </c>
      <c r="B133" s="654"/>
      <c r="C133" s="649"/>
      <c r="D133" s="650" t="s">
        <v>163</v>
      </c>
      <c r="E133" s="651"/>
      <c r="F133" s="653">
        <v>0.3298611111111111</v>
      </c>
      <c r="G133" s="647" t="s">
        <v>961</v>
      </c>
      <c r="H133" s="654"/>
      <c r="I133" s="649"/>
      <c r="J133" s="650" t="s">
        <v>163</v>
      </c>
      <c r="K133" s="651"/>
      <c r="L133" s="653">
        <v>0.85416666666666663</v>
      </c>
    </row>
    <row r="134" spans="1:12" ht="15.75" x14ac:dyDescent="0.25">
      <c r="A134" s="647"/>
      <c r="B134" s="648"/>
      <c r="C134" s="649"/>
      <c r="D134" s="655" t="s">
        <v>164</v>
      </c>
      <c r="E134" s="651"/>
      <c r="F134" s="656">
        <v>0.35416666666666669</v>
      </c>
      <c r="G134" s="647"/>
      <c r="H134" s="648"/>
      <c r="I134" s="649"/>
      <c r="J134" s="655" t="s">
        <v>164</v>
      </c>
      <c r="K134" s="651"/>
      <c r="L134" s="656">
        <v>0.875</v>
      </c>
    </row>
    <row r="135" spans="1:12" ht="15.75" x14ac:dyDescent="0.25">
      <c r="A135" s="647"/>
      <c r="B135" s="648"/>
      <c r="C135" s="649"/>
      <c r="D135" s="655" t="s">
        <v>166</v>
      </c>
      <c r="E135" s="657">
        <v>0.37152777777777779</v>
      </c>
      <c r="F135" s="656"/>
      <c r="G135" s="647"/>
      <c r="H135" s="648"/>
      <c r="I135" s="649"/>
      <c r="J135" s="655" t="s">
        <v>166</v>
      </c>
      <c r="K135" s="657">
        <v>0.88541666666666663</v>
      </c>
      <c r="L135" s="656"/>
    </row>
    <row r="136" spans="1:12" ht="15.75" x14ac:dyDescent="0.25">
      <c r="A136" s="647"/>
      <c r="B136" s="648" t="s">
        <v>459</v>
      </c>
      <c r="C136" s="649">
        <v>4</v>
      </c>
      <c r="D136" s="650" t="s">
        <v>1299</v>
      </c>
      <c r="E136" s="651"/>
      <c r="F136" s="658"/>
      <c r="G136" s="647"/>
      <c r="H136" s="648" t="s">
        <v>462</v>
      </c>
      <c r="I136" s="649" t="s">
        <v>459</v>
      </c>
      <c r="J136" s="650"/>
      <c r="K136" s="651"/>
      <c r="L136" s="658"/>
    </row>
    <row r="137" spans="1:12" ht="15.75" x14ac:dyDescent="0.25">
      <c r="A137" s="647"/>
      <c r="B137" s="648"/>
      <c r="C137" s="649"/>
      <c r="D137" s="650"/>
      <c r="E137" s="651"/>
      <c r="F137" s="656"/>
      <c r="G137" s="647"/>
      <c r="H137" s="648"/>
      <c r="I137" s="649"/>
      <c r="J137" s="650"/>
      <c r="K137" s="651"/>
      <c r="L137" s="656"/>
    </row>
    <row r="138" spans="1:12" ht="15.75" x14ac:dyDescent="0.25">
      <c r="A138" s="647"/>
      <c r="B138" s="648" t="s">
        <v>459</v>
      </c>
      <c r="C138" s="649">
        <v>202</v>
      </c>
      <c r="D138" s="650" t="s">
        <v>1300</v>
      </c>
      <c r="E138" s="651"/>
      <c r="F138" s="653"/>
      <c r="G138" s="647"/>
      <c r="H138" s="648" t="s">
        <v>459</v>
      </c>
      <c r="I138" s="649">
        <v>46</v>
      </c>
      <c r="J138" s="650" t="s">
        <v>1178</v>
      </c>
      <c r="K138" s="651"/>
      <c r="L138" s="653"/>
    </row>
    <row r="139" spans="1:12" ht="15.75" x14ac:dyDescent="0.25">
      <c r="A139" s="647"/>
      <c r="B139" s="648"/>
      <c r="C139" s="649"/>
      <c r="D139" s="655" t="s">
        <v>166</v>
      </c>
      <c r="E139" s="651"/>
      <c r="F139" s="656">
        <v>0.37152777777777779</v>
      </c>
      <c r="G139" s="647"/>
      <c r="H139" s="648"/>
      <c r="I139" s="649"/>
      <c r="J139" s="655" t="s">
        <v>166</v>
      </c>
      <c r="K139" s="651"/>
      <c r="L139" s="656">
        <v>0.88541666666666663</v>
      </c>
    </row>
    <row r="140" spans="1:12" ht="15.75" x14ac:dyDescent="0.25">
      <c r="A140" s="647" t="s">
        <v>961</v>
      </c>
      <c r="B140" s="648"/>
      <c r="C140" s="649"/>
      <c r="D140" s="650" t="s">
        <v>160</v>
      </c>
      <c r="E140" s="651"/>
      <c r="F140" s="653">
        <v>0.40972222222222221</v>
      </c>
      <c r="G140" s="647" t="s">
        <v>961</v>
      </c>
      <c r="H140" s="648"/>
      <c r="I140" s="649"/>
      <c r="J140" s="650" t="s">
        <v>160</v>
      </c>
      <c r="K140" s="651"/>
      <c r="L140" s="653">
        <v>0.92013888888888884</v>
      </c>
    </row>
    <row r="141" spans="1:12" ht="15.75" x14ac:dyDescent="0.25">
      <c r="A141" s="647"/>
      <c r="B141" s="648"/>
      <c r="C141" s="649"/>
      <c r="D141" s="655" t="s">
        <v>962</v>
      </c>
      <c r="E141" s="651"/>
      <c r="F141" s="656">
        <v>0.41666666666666669</v>
      </c>
      <c r="G141" s="647"/>
      <c r="H141" s="648"/>
      <c r="I141" s="649"/>
      <c r="J141" s="655" t="s">
        <v>962</v>
      </c>
      <c r="K141" s="651"/>
      <c r="L141" s="656">
        <v>0.92708333333333337</v>
      </c>
    </row>
    <row r="142" spans="1:12" ht="15.75" x14ac:dyDescent="0.25">
      <c r="A142" s="647"/>
      <c r="B142" s="654"/>
      <c r="C142" s="649"/>
      <c r="D142" s="655" t="s">
        <v>960</v>
      </c>
      <c r="E142" s="651"/>
      <c r="F142" s="656">
        <v>0.44791666666666669</v>
      </c>
      <c r="G142" s="647"/>
      <c r="H142" s="654"/>
      <c r="I142" s="649"/>
      <c r="J142" s="655" t="s">
        <v>960</v>
      </c>
      <c r="K142" s="651"/>
      <c r="L142" s="656">
        <v>0.95138888888888884</v>
      </c>
    </row>
    <row r="143" spans="1:12" ht="15.75" x14ac:dyDescent="0.25">
      <c r="A143" s="647" t="s">
        <v>961</v>
      </c>
      <c r="B143" s="654"/>
      <c r="C143" s="649"/>
      <c r="D143" s="650" t="s">
        <v>163</v>
      </c>
      <c r="E143" s="651"/>
      <c r="F143" s="653">
        <v>0.50347222222222221</v>
      </c>
      <c r="G143" s="647" t="s">
        <v>958</v>
      </c>
      <c r="H143" s="654"/>
      <c r="I143" s="649"/>
      <c r="J143" s="650" t="s">
        <v>163</v>
      </c>
      <c r="K143" s="657">
        <v>0.99305555555555558</v>
      </c>
      <c r="L143" s="653"/>
    </row>
    <row r="144" spans="1:12" ht="15.75" x14ac:dyDescent="0.25">
      <c r="A144" s="647"/>
      <c r="B144" s="648"/>
      <c r="C144" s="649"/>
      <c r="D144" s="655" t="s">
        <v>164</v>
      </c>
      <c r="E144" s="651"/>
      <c r="F144" s="656">
        <v>0.53472222222222221</v>
      </c>
      <c r="G144" s="647"/>
      <c r="H144" s="648"/>
      <c r="I144" s="649"/>
      <c r="J144" s="650" t="s">
        <v>963</v>
      </c>
      <c r="K144" s="657">
        <v>1.0173611111111112</v>
      </c>
      <c r="L144" s="656"/>
    </row>
    <row r="145" spans="1:12" ht="15.75" x14ac:dyDescent="0.25">
      <c r="A145" s="647"/>
      <c r="B145" s="648"/>
      <c r="C145" s="649"/>
      <c r="D145" s="655" t="s">
        <v>166</v>
      </c>
      <c r="E145" s="657">
        <v>0.54861111111111116</v>
      </c>
      <c r="F145" s="656"/>
      <c r="G145" s="647"/>
      <c r="H145" s="648" t="s">
        <v>462</v>
      </c>
      <c r="I145" s="649" t="s">
        <v>459</v>
      </c>
      <c r="J145" s="650"/>
      <c r="K145" s="657"/>
      <c r="L145" s="653"/>
    </row>
    <row r="146" spans="1:12" ht="15.75" x14ac:dyDescent="0.25">
      <c r="A146" s="647"/>
      <c r="B146" s="648" t="s">
        <v>459</v>
      </c>
      <c r="C146" s="649">
        <v>202</v>
      </c>
      <c r="D146" s="650" t="s">
        <v>1301</v>
      </c>
      <c r="E146" s="651"/>
      <c r="F146" s="658"/>
      <c r="G146" s="647"/>
      <c r="H146" s="648"/>
      <c r="I146" s="649"/>
      <c r="J146" s="650"/>
      <c r="K146" s="657"/>
      <c r="L146" s="653"/>
    </row>
    <row r="147" spans="1:12" ht="15.75" x14ac:dyDescent="0.25">
      <c r="A147" s="647"/>
      <c r="B147" s="648"/>
      <c r="C147" s="649"/>
      <c r="D147" s="650"/>
      <c r="E147" s="651"/>
      <c r="F147" s="656"/>
      <c r="G147" s="647"/>
      <c r="H147" s="648"/>
      <c r="I147" s="649"/>
      <c r="J147" s="650"/>
      <c r="K147" s="657"/>
      <c r="L147" s="653"/>
    </row>
    <row r="148" spans="1:12" ht="15.75" x14ac:dyDescent="0.25">
      <c r="A148" s="647"/>
      <c r="B148" s="648" t="s">
        <v>459</v>
      </c>
      <c r="C148" s="649">
        <v>19</v>
      </c>
      <c r="D148" s="650" t="s">
        <v>1302</v>
      </c>
      <c r="E148" s="651"/>
      <c r="F148" s="653"/>
      <c r="G148" s="647"/>
      <c r="H148" s="648"/>
      <c r="I148" s="649"/>
      <c r="J148" s="650"/>
      <c r="K148" s="657"/>
      <c r="L148" s="653"/>
    </row>
    <row r="149" spans="1:12" ht="15.75" x14ac:dyDescent="0.25">
      <c r="A149" s="647"/>
      <c r="B149" s="648"/>
      <c r="C149" s="649"/>
      <c r="D149" s="655" t="s">
        <v>166</v>
      </c>
      <c r="E149" s="651"/>
      <c r="F149" s="656">
        <v>0.54861111111111116</v>
      </c>
      <c r="G149" s="647"/>
      <c r="H149" s="648"/>
      <c r="I149" s="649"/>
      <c r="J149" s="650"/>
      <c r="K149" s="657"/>
      <c r="L149" s="652"/>
    </row>
    <row r="150" spans="1:12" ht="15.75" x14ac:dyDescent="0.25">
      <c r="A150" s="647" t="s">
        <v>961</v>
      </c>
      <c r="B150" s="648"/>
      <c r="C150" s="649"/>
      <c r="D150" s="650" t="s">
        <v>160</v>
      </c>
      <c r="E150" s="651"/>
      <c r="F150" s="653">
        <v>0.60069444444444442</v>
      </c>
      <c r="G150" s="647"/>
      <c r="H150" s="648"/>
      <c r="I150" s="649"/>
      <c r="J150" s="650"/>
      <c r="K150" s="651"/>
      <c r="L150" s="652"/>
    </row>
    <row r="151" spans="1:12" ht="15.75" x14ac:dyDescent="0.25">
      <c r="A151" s="647"/>
      <c r="B151" s="648"/>
      <c r="C151" s="649"/>
      <c r="D151" s="655" t="s">
        <v>962</v>
      </c>
      <c r="E151" s="651"/>
      <c r="F151" s="656">
        <v>0.61111111111111116</v>
      </c>
      <c r="G151" s="647"/>
      <c r="H151" s="648"/>
      <c r="I151" s="649"/>
      <c r="J151" s="650"/>
      <c r="K151" s="651"/>
      <c r="L151" s="652"/>
    </row>
    <row r="152" spans="1:12" ht="15.75" x14ac:dyDescent="0.25">
      <c r="A152" s="647"/>
      <c r="B152" s="654"/>
      <c r="C152" s="649"/>
      <c r="D152" s="655" t="s">
        <v>960</v>
      </c>
      <c r="E152" s="651"/>
      <c r="F152" s="656">
        <v>0.63888888888888884</v>
      </c>
      <c r="G152" s="647"/>
      <c r="H152" s="648"/>
      <c r="I152" s="649"/>
      <c r="J152" s="650"/>
      <c r="K152" s="651"/>
      <c r="L152" s="652"/>
    </row>
    <row r="153" spans="1:12" ht="15.75" x14ac:dyDescent="0.25">
      <c r="A153" s="647" t="s">
        <v>961</v>
      </c>
      <c r="B153" s="654"/>
      <c r="C153" s="649"/>
      <c r="D153" s="650" t="s">
        <v>163</v>
      </c>
      <c r="E153" s="651"/>
      <c r="F153" s="653">
        <v>0.69097222222222221</v>
      </c>
      <c r="G153" s="647"/>
      <c r="H153" s="648"/>
      <c r="I153" s="649"/>
      <c r="J153" s="650"/>
      <c r="K153" s="651"/>
      <c r="L153" s="652"/>
    </row>
    <row r="154" spans="1:12" ht="15.75" x14ac:dyDescent="0.25">
      <c r="A154" s="647"/>
      <c r="B154" s="648"/>
      <c r="C154" s="649"/>
      <c r="D154" s="655" t="s">
        <v>164</v>
      </c>
      <c r="E154" s="651"/>
      <c r="F154" s="656">
        <v>0.72222222222222221</v>
      </c>
      <c r="G154" s="647"/>
      <c r="H154" s="648"/>
      <c r="I154" s="649"/>
      <c r="J154" s="650"/>
      <c r="K154" s="651"/>
      <c r="L154" s="652"/>
    </row>
    <row r="155" spans="1:12" ht="15.75" x14ac:dyDescent="0.25">
      <c r="A155" s="647"/>
      <c r="B155" s="648"/>
      <c r="C155" s="649"/>
      <c r="D155" s="655" t="s">
        <v>166</v>
      </c>
      <c r="E155" s="657">
        <v>0.73611111111111116</v>
      </c>
      <c r="F155" s="656"/>
      <c r="G155" s="647"/>
      <c r="H155" s="648"/>
      <c r="I155" s="649"/>
      <c r="J155" s="650"/>
      <c r="K155" s="651"/>
      <c r="L155" s="652"/>
    </row>
    <row r="156" spans="1:12" ht="15.75" x14ac:dyDescent="0.25">
      <c r="A156" s="647"/>
      <c r="B156" s="648" t="s">
        <v>462</v>
      </c>
      <c r="C156" s="649" t="s">
        <v>459</v>
      </c>
      <c r="D156" s="650"/>
      <c r="E156" s="651"/>
      <c r="F156" s="658"/>
      <c r="G156" s="647"/>
      <c r="H156" s="648"/>
      <c r="I156" s="649"/>
      <c r="J156" s="650"/>
      <c r="K156" s="651"/>
      <c r="L156" s="652"/>
    </row>
    <row r="157" spans="1:12" ht="15.75" x14ac:dyDescent="0.25">
      <c r="A157" s="647"/>
      <c r="B157" s="654"/>
      <c r="C157" s="649"/>
      <c r="D157" s="650"/>
      <c r="E157" s="657"/>
      <c r="F157" s="653"/>
      <c r="G157" s="647"/>
      <c r="H157" s="648"/>
      <c r="I157" s="649"/>
      <c r="J157" s="650"/>
      <c r="K157" s="651"/>
      <c r="L157" s="658"/>
    </row>
    <row r="158" spans="1:12" ht="15.75" x14ac:dyDescent="0.25">
      <c r="A158" s="647"/>
      <c r="B158" s="648"/>
      <c r="C158" s="649"/>
      <c r="D158" s="650"/>
      <c r="E158" s="657"/>
      <c r="F158" s="653"/>
      <c r="G158" s="647"/>
      <c r="H158" s="648"/>
      <c r="I158" s="649"/>
      <c r="J158" s="655"/>
      <c r="K158" s="651"/>
      <c r="L158" s="658"/>
    </row>
    <row r="159" spans="1:12" ht="15.75" x14ac:dyDescent="0.25">
      <c r="A159" s="647"/>
      <c r="B159" s="648"/>
      <c r="C159" s="649"/>
      <c r="D159" s="650"/>
      <c r="E159" s="657"/>
      <c r="F159" s="652"/>
      <c r="G159" s="647"/>
      <c r="H159" s="648"/>
      <c r="I159" s="649"/>
      <c r="J159" s="650"/>
      <c r="K159" s="651"/>
      <c r="L159" s="658"/>
    </row>
    <row r="160" spans="1:12" ht="16.5" thickBot="1" x14ac:dyDescent="0.3">
      <c r="A160" s="659"/>
      <c r="B160" s="660"/>
      <c r="C160" s="661"/>
      <c r="D160" s="662"/>
      <c r="E160" s="663"/>
      <c r="F160" s="664"/>
      <c r="G160" s="665"/>
      <c r="H160" s="666"/>
      <c r="I160" s="667"/>
      <c r="J160" s="668"/>
      <c r="K160" s="663"/>
      <c r="L160" s="669"/>
    </row>
    <row r="161" spans="1:12" ht="21" x14ac:dyDescent="0.35">
      <c r="A161" s="781" t="s">
        <v>945</v>
      </c>
      <c r="B161" s="782"/>
      <c r="C161" s="782"/>
      <c r="D161" s="782"/>
      <c r="E161" s="782"/>
      <c r="F161" s="782"/>
      <c r="G161" s="782"/>
      <c r="H161" s="782"/>
      <c r="I161" s="782"/>
      <c r="J161" s="782"/>
      <c r="K161" s="782"/>
      <c r="L161" s="783"/>
    </row>
    <row r="162" spans="1:12" ht="18.75" x14ac:dyDescent="0.3">
      <c r="A162" s="784" t="s">
        <v>946</v>
      </c>
      <c r="B162" s="785"/>
      <c r="C162" s="785"/>
      <c r="D162" s="785"/>
      <c r="E162" s="785"/>
      <c r="F162" s="785"/>
      <c r="G162" s="785"/>
      <c r="H162" s="785"/>
      <c r="I162" s="785"/>
      <c r="J162" s="785"/>
      <c r="K162" s="785"/>
      <c r="L162" s="786"/>
    </row>
    <row r="163" spans="1:12" ht="24" x14ac:dyDescent="0.4">
      <c r="A163" s="787" t="s">
        <v>947</v>
      </c>
      <c r="B163" s="788"/>
      <c r="C163" s="788"/>
      <c r="D163" s="788"/>
      <c r="E163" s="788"/>
      <c r="F163" s="788"/>
      <c r="G163" s="788"/>
      <c r="H163" s="788"/>
      <c r="I163" s="788"/>
      <c r="J163" s="788"/>
      <c r="K163" s="788"/>
      <c r="L163" s="789"/>
    </row>
    <row r="164" spans="1:12" ht="24" x14ac:dyDescent="0.4">
      <c r="A164" s="623" t="s">
        <v>1279</v>
      </c>
      <c r="B164" s="624"/>
      <c r="C164" s="624"/>
      <c r="D164" s="625" t="s">
        <v>949</v>
      </c>
      <c r="E164" s="790" t="s">
        <v>683</v>
      </c>
      <c r="F164" s="790"/>
      <c r="G164" s="790"/>
      <c r="H164" s="790"/>
      <c r="I164" s="790"/>
      <c r="J164" s="626" t="s">
        <v>994</v>
      </c>
      <c r="K164" s="790"/>
      <c r="L164" s="791"/>
    </row>
    <row r="165" spans="1:12" ht="15.75" thickBot="1" x14ac:dyDescent="0.3">
      <c r="A165" s="627"/>
      <c r="B165" s="628"/>
      <c r="C165" s="628"/>
      <c r="D165" s="629"/>
      <c r="E165" s="628"/>
      <c r="F165" s="628"/>
      <c r="G165" s="628"/>
      <c r="H165" s="628"/>
      <c r="I165" s="792"/>
      <c r="J165" s="792"/>
      <c r="K165" s="628"/>
      <c r="L165" s="630"/>
    </row>
    <row r="166" spans="1:12" ht="16.5" thickBot="1" x14ac:dyDescent="0.3">
      <c r="A166" s="631" t="s">
        <v>952</v>
      </c>
      <c r="B166" s="632"/>
      <c r="C166" s="633"/>
      <c r="D166" s="634" t="s">
        <v>953</v>
      </c>
      <c r="E166" s="631" t="s">
        <v>954</v>
      </c>
      <c r="F166" s="635" t="s">
        <v>955</v>
      </c>
      <c r="G166" s="631" t="s">
        <v>952</v>
      </c>
      <c r="H166" s="632"/>
      <c r="I166" s="633"/>
      <c r="J166" s="634" t="s">
        <v>953</v>
      </c>
      <c r="K166" s="631" t="s">
        <v>954</v>
      </c>
      <c r="L166" s="631" t="s">
        <v>955</v>
      </c>
    </row>
    <row r="167" spans="1:12" ht="15.75" x14ac:dyDescent="0.25">
      <c r="A167" s="636"/>
      <c r="B167" s="637"/>
      <c r="C167" s="638"/>
      <c r="D167" s="639"/>
      <c r="E167" s="640"/>
      <c r="F167" s="641"/>
      <c r="G167" s="636"/>
      <c r="H167" s="642"/>
      <c r="I167" s="643"/>
      <c r="J167" s="644"/>
      <c r="K167" s="645"/>
      <c r="L167" s="646"/>
    </row>
    <row r="168" spans="1:12" ht="15.75" x14ac:dyDescent="0.25">
      <c r="A168" s="647"/>
      <c r="B168" s="648" t="s">
        <v>459</v>
      </c>
      <c r="C168" s="649">
        <v>5</v>
      </c>
      <c r="D168" s="650" t="s">
        <v>1303</v>
      </c>
      <c r="E168" s="651"/>
      <c r="F168" s="652"/>
      <c r="G168" s="647"/>
      <c r="H168" s="648" t="s">
        <v>459</v>
      </c>
      <c r="I168" s="649">
        <v>38</v>
      </c>
      <c r="J168" s="650" t="s">
        <v>1304</v>
      </c>
      <c r="K168" s="651"/>
      <c r="L168" s="653"/>
    </row>
    <row r="169" spans="1:12" ht="15.75" x14ac:dyDescent="0.25">
      <c r="A169" s="647" t="s">
        <v>958</v>
      </c>
      <c r="B169" s="654"/>
      <c r="C169" s="649"/>
      <c r="D169" s="655" t="s">
        <v>959</v>
      </c>
      <c r="E169" s="651"/>
      <c r="F169" s="656">
        <v>0.22569444444444445</v>
      </c>
      <c r="G169" s="647"/>
      <c r="H169" s="648"/>
      <c r="I169" s="649"/>
      <c r="J169" s="655" t="s">
        <v>166</v>
      </c>
      <c r="K169" s="651"/>
      <c r="L169" s="656">
        <v>0.625</v>
      </c>
    </row>
    <row r="170" spans="1:12" ht="15.75" x14ac:dyDescent="0.25">
      <c r="A170" s="647" t="s">
        <v>961</v>
      </c>
      <c r="B170" s="654"/>
      <c r="C170" s="649"/>
      <c r="D170" s="650" t="s">
        <v>163</v>
      </c>
      <c r="E170" s="651"/>
      <c r="F170" s="653">
        <v>0.25</v>
      </c>
      <c r="G170" s="647" t="s">
        <v>961</v>
      </c>
      <c r="H170" s="648"/>
      <c r="I170" s="649"/>
      <c r="J170" s="650" t="s">
        <v>160</v>
      </c>
      <c r="K170" s="651"/>
      <c r="L170" s="653">
        <v>0.66666666666666663</v>
      </c>
    </row>
    <row r="171" spans="1:12" ht="15.75" x14ac:dyDescent="0.25">
      <c r="A171" s="647"/>
      <c r="B171" s="648"/>
      <c r="C171" s="649"/>
      <c r="D171" s="655" t="s">
        <v>164</v>
      </c>
      <c r="E171" s="651"/>
      <c r="F171" s="656">
        <v>0.27083333333333331</v>
      </c>
      <c r="G171" s="647"/>
      <c r="H171" s="648"/>
      <c r="I171" s="649"/>
      <c r="J171" s="655" t="s">
        <v>962</v>
      </c>
      <c r="K171" s="651"/>
      <c r="L171" s="656">
        <v>0.67361111111111116</v>
      </c>
    </row>
    <row r="172" spans="1:12" ht="15.75" x14ac:dyDescent="0.25">
      <c r="A172" s="647"/>
      <c r="B172" s="648"/>
      <c r="C172" s="649"/>
      <c r="D172" s="655" t="s">
        <v>166</v>
      </c>
      <c r="E172" s="651"/>
      <c r="F172" s="656">
        <v>0.28125</v>
      </c>
      <c r="G172" s="647"/>
      <c r="H172" s="654"/>
      <c r="I172" s="649"/>
      <c r="J172" s="655" t="s">
        <v>960</v>
      </c>
      <c r="K172" s="651"/>
      <c r="L172" s="656">
        <v>0.70833333333333337</v>
      </c>
    </row>
    <row r="173" spans="1:12" ht="15.75" x14ac:dyDescent="0.25">
      <c r="A173" s="647" t="s">
        <v>961</v>
      </c>
      <c r="B173" s="648"/>
      <c r="C173" s="649"/>
      <c r="D173" s="650" t="s">
        <v>160</v>
      </c>
      <c r="E173" s="651"/>
      <c r="F173" s="653">
        <v>0.31597222222222221</v>
      </c>
      <c r="G173" s="647" t="s">
        <v>961</v>
      </c>
      <c r="H173" s="654"/>
      <c r="I173" s="649"/>
      <c r="J173" s="650" t="s">
        <v>163</v>
      </c>
      <c r="K173" s="651"/>
      <c r="L173" s="653">
        <v>0.76041666666666663</v>
      </c>
    </row>
    <row r="174" spans="1:12" ht="15.75" x14ac:dyDescent="0.25">
      <c r="A174" s="647"/>
      <c r="B174" s="648"/>
      <c r="C174" s="649"/>
      <c r="D174" s="655" t="s">
        <v>962</v>
      </c>
      <c r="E174" s="651"/>
      <c r="F174" s="656">
        <v>0.32291666666666669</v>
      </c>
      <c r="G174" s="647"/>
      <c r="H174" s="648"/>
      <c r="I174" s="649"/>
      <c r="J174" s="655" t="s">
        <v>164</v>
      </c>
      <c r="K174" s="651"/>
      <c r="L174" s="656">
        <v>0.78472222222222221</v>
      </c>
    </row>
    <row r="175" spans="1:12" ht="15.75" x14ac:dyDescent="0.25">
      <c r="A175" s="647"/>
      <c r="B175" s="648"/>
      <c r="C175" s="649"/>
      <c r="D175" s="655" t="s">
        <v>960</v>
      </c>
      <c r="E175" s="657">
        <v>0.34722222222222221</v>
      </c>
      <c r="F175" s="656"/>
      <c r="G175" s="647"/>
      <c r="H175" s="648"/>
      <c r="I175" s="649"/>
      <c r="J175" s="655" t="s">
        <v>166</v>
      </c>
      <c r="K175" s="657">
        <v>0.79861111111111116</v>
      </c>
      <c r="L175" s="656"/>
    </row>
    <row r="176" spans="1:12" ht="15.75" x14ac:dyDescent="0.25">
      <c r="A176" s="647"/>
      <c r="B176" s="648" t="s">
        <v>459</v>
      </c>
      <c r="C176" s="649">
        <v>5</v>
      </c>
      <c r="D176" s="650" t="s">
        <v>1305</v>
      </c>
      <c r="E176" s="651"/>
      <c r="F176" s="658"/>
      <c r="G176" s="647"/>
      <c r="H176" s="648" t="s">
        <v>459</v>
      </c>
      <c r="I176" s="649">
        <v>38</v>
      </c>
      <c r="J176" s="650" t="s">
        <v>1306</v>
      </c>
      <c r="K176" s="651"/>
      <c r="L176" s="658"/>
    </row>
    <row r="177" spans="1:12" ht="15.75" x14ac:dyDescent="0.25">
      <c r="A177" s="647"/>
      <c r="B177" s="648"/>
      <c r="C177" s="649"/>
      <c r="D177" s="650"/>
      <c r="E177" s="651"/>
      <c r="F177" s="656"/>
      <c r="G177" s="647"/>
      <c r="H177" s="648"/>
      <c r="I177" s="649"/>
      <c r="J177" s="650"/>
      <c r="K177" s="651"/>
      <c r="L177" s="656"/>
    </row>
    <row r="178" spans="1:12" ht="15.75" x14ac:dyDescent="0.25">
      <c r="A178" s="647"/>
      <c r="B178" s="648" t="s">
        <v>459</v>
      </c>
      <c r="C178" s="649">
        <v>18</v>
      </c>
      <c r="D178" s="650" t="s">
        <v>965</v>
      </c>
      <c r="E178" s="651"/>
      <c r="F178" s="653"/>
      <c r="G178" s="647"/>
      <c r="H178" s="648" t="s">
        <v>459</v>
      </c>
      <c r="I178" s="649">
        <v>43</v>
      </c>
      <c r="J178" s="650" t="s">
        <v>1150</v>
      </c>
      <c r="K178" s="651"/>
      <c r="L178" s="653"/>
    </row>
    <row r="179" spans="1:12" ht="15.75" x14ac:dyDescent="0.25">
      <c r="A179" s="647"/>
      <c r="B179" s="648"/>
      <c r="C179" s="649"/>
      <c r="D179" s="655" t="s">
        <v>960</v>
      </c>
      <c r="E179" s="651"/>
      <c r="F179" s="656">
        <v>0.34722222222222221</v>
      </c>
      <c r="G179" s="647"/>
      <c r="H179" s="648"/>
      <c r="I179" s="649"/>
      <c r="J179" s="655" t="s">
        <v>166</v>
      </c>
      <c r="K179" s="651"/>
      <c r="L179" s="656">
        <v>0.79861111111111116</v>
      </c>
    </row>
    <row r="180" spans="1:12" ht="15.75" x14ac:dyDescent="0.25">
      <c r="A180" s="647" t="s">
        <v>961</v>
      </c>
      <c r="B180" s="654"/>
      <c r="C180" s="649"/>
      <c r="D180" s="650" t="s">
        <v>163</v>
      </c>
      <c r="E180" s="651"/>
      <c r="F180" s="653">
        <v>0.39583333333333331</v>
      </c>
      <c r="G180" s="647" t="s">
        <v>961</v>
      </c>
      <c r="H180" s="648"/>
      <c r="I180" s="649"/>
      <c r="J180" s="650" t="s">
        <v>160</v>
      </c>
      <c r="K180" s="651"/>
      <c r="L180" s="653">
        <v>0.83680555555555558</v>
      </c>
    </row>
    <row r="181" spans="1:12" ht="15.75" x14ac:dyDescent="0.25">
      <c r="A181" s="647"/>
      <c r="B181" s="648"/>
      <c r="C181" s="649"/>
      <c r="D181" s="655" t="s">
        <v>164</v>
      </c>
      <c r="E181" s="651"/>
      <c r="F181" s="656">
        <v>0.4236111111111111</v>
      </c>
      <c r="G181" s="647"/>
      <c r="H181" s="648"/>
      <c r="I181" s="649"/>
      <c r="J181" s="655" t="s">
        <v>962</v>
      </c>
      <c r="K181" s="651"/>
      <c r="L181" s="656">
        <v>0.84375</v>
      </c>
    </row>
    <row r="182" spans="1:12" ht="15.75" x14ac:dyDescent="0.25">
      <c r="A182" s="647"/>
      <c r="B182" s="648"/>
      <c r="C182" s="649"/>
      <c r="D182" s="655" t="s">
        <v>166</v>
      </c>
      <c r="E182" s="651"/>
      <c r="F182" s="656">
        <v>0.4375</v>
      </c>
      <c r="G182" s="647"/>
      <c r="H182" s="654"/>
      <c r="I182" s="649"/>
      <c r="J182" s="655" t="s">
        <v>960</v>
      </c>
      <c r="K182" s="651"/>
      <c r="L182" s="656">
        <v>0.87152777777777779</v>
      </c>
    </row>
    <row r="183" spans="1:12" ht="15.75" x14ac:dyDescent="0.25">
      <c r="A183" s="647" t="s">
        <v>961</v>
      </c>
      <c r="B183" s="648"/>
      <c r="C183" s="649"/>
      <c r="D183" s="650" t="s">
        <v>160</v>
      </c>
      <c r="E183" s="651"/>
      <c r="F183" s="653">
        <v>0.4826388888888889</v>
      </c>
      <c r="G183" s="647" t="s">
        <v>961</v>
      </c>
      <c r="H183" s="654"/>
      <c r="I183" s="649"/>
      <c r="J183" s="650" t="s">
        <v>163</v>
      </c>
      <c r="K183" s="651"/>
      <c r="L183" s="653">
        <v>0.91666666666666663</v>
      </c>
    </row>
    <row r="184" spans="1:12" ht="15.75" x14ac:dyDescent="0.25">
      <c r="A184" s="647"/>
      <c r="B184" s="648"/>
      <c r="C184" s="649"/>
      <c r="D184" s="655" t="s">
        <v>962</v>
      </c>
      <c r="E184" s="651"/>
      <c r="F184" s="656">
        <v>0.49305555555555558</v>
      </c>
      <c r="G184" s="647"/>
      <c r="H184" s="648"/>
      <c r="I184" s="649"/>
      <c r="J184" s="655" t="s">
        <v>164</v>
      </c>
      <c r="K184" s="651"/>
      <c r="L184" s="656">
        <v>0.9375</v>
      </c>
    </row>
    <row r="185" spans="1:12" ht="15.75" x14ac:dyDescent="0.25">
      <c r="A185" s="647"/>
      <c r="B185" s="648"/>
      <c r="C185" s="649"/>
      <c r="D185" s="655" t="s">
        <v>960</v>
      </c>
      <c r="E185" s="657">
        <v>0.52083333333333337</v>
      </c>
      <c r="F185" s="656"/>
      <c r="G185" s="647"/>
      <c r="H185" s="648"/>
      <c r="I185" s="649"/>
      <c r="J185" s="655" t="s">
        <v>166</v>
      </c>
      <c r="K185" s="657"/>
      <c r="L185" s="656">
        <v>0.94791666666666663</v>
      </c>
    </row>
    <row r="186" spans="1:12" ht="15.75" x14ac:dyDescent="0.25">
      <c r="A186" s="647"/>
      <c r="B186" s="648" t="s">
        <v>459</v>
      </c>
      <c r="C186" s="649">
        <v>18</v>
      </c>
      <c r="D186" s="650" t="s">
        <v>1307</v>
      </c>
      <c r="E186" s="651"/>
      <c r="F186" s="658"/>
      <c r="G186" s="647" t="s">
        <v>958</v>
      </c>
      <c r="H186" s="654"/>
      <c r="I186" s="649"/>
      <c r="J186" s="650" t="s">
        <v>160</v>
      </c>
      <c r="K186" s="657">
        <v>0.98055555555555551</v>
      </c>
      <c r="L186" s="653"/>
    </row>
    <row r="187" spans="1:12" ht="15.75" x14ac:dyDescent="0.25">
      <c r="A187" s="647"/>
      <c r="B187" s="648"/>
      <c r="C187" s="649"/>
      <c r="D187" s="650"/>
      <c r="E187" s="651"/>
      <c r="F187" s="656"/>
      <c r="G187" s="647"/>
      <c r="H187" s="648"/>
      <c r="I187" s="649"/>
      <c r="J187" s="650" t="s">
        <v>963</v>
      </c>
      <c r="K187" s="657">
        <v>1.0118055555555556</v>
      </c>
      <c r="L187" s="656"/>
    </row>
    <row r="188" spans="1:12" ht="15.75" x14ac:dyDescent="0.25">
      <c r="A188" s="647"/>
      <c r="B188" s="648" t="s">
        <v>459</v>
      </c>
      <c r="C188" s="649">
        <v>11</v>
      </c>
      <c r="D188" s="650" t="s">
        <v>1308</v>
      </c>
      <c r="E188" s="651"/>
      <c r="F188" s="653"/>
      <c r="G188" s="647"/>
      <c r="H188" s="648" t="s">
        <v>462</v>
      </c>
      <c r="I188" s="649" t="s">
        <v>459</v>
      </c>
      <c r="J188" s="650"/>
      <c r="K188" s="657"/>
      <c r="L188" s="653"/>
    </row>
    <row r="189" spans="1:12" ht="15.75" x14ac:dyDescent="0.25">
      <c r="A189" s="647"/>
      <c r="B189" s="648"/>
      <c r="C189" s="649"/>
      <c r="D189" s="655" t="s">
        <v>960</v>
      </c>
      <c r="E189" s="651"/>
      <c r="F189" s="656">
        <v>0.52083333333333337</v>
      </c>
      <c r="G189" s="647"/>
      <c r="H189" s="648"/>
      <c r="I189" s="649"/>
      <c r="J189" s="650"/>
      <c r="K189" s="657"/>
      <c r="L189" s="653"/>
    </row>
    <row r="190" spans="1:12" ht="15.75" x14ac:dyDescent="0.25">
      <c r="A190" s="647" t="s">
        <v>961</v>
      </c>
      <c r="B190" s="654"/>
      <c r="C190" s="649"/>
      <c r="D190" s="650" t="s">
        <v>163</v>
      </c>
      <c r="E190" s="651"/>
      <c r="F190" s="653">
        <v>0.57638888888888884</v>
      </c>
      <c r="G190" s="647"/>
      <c r="H190" s="648"/>
      <c r="I190" s="649"/>
      <c r="J190" s="650"/>
      <c r="K190" s="651"/>
      <c r="L190" s="652"/>
    </row>
    <row r="191" spans="1:12" ht="15.75" x14ac:dyDescent="0.25">
      <c r="A191" s="647"/>
      <c r="B191" s="648"/>
      <c r="C191" s="649"/>
      <c r="D191" s="655" t="s">
        <v>164</v>
      </c>
      <c r="E191" s="651"/>
      <c r="F191" s="656">
        <v>0.61111111111111116</v>
      </c>
      <c r="G191" s="647"/>
      <c r="H191" s="648"/>
      <c r="I191" s="649"/>
      <c r="J191" s="650"/>
      <c r="K191" s="651"/>
      <c r="L191" s="652"/>
    </row>
    <row r="192" spans="1:12" ht="15.75" x14ac:dyDescent="0.25">
      <c r="A192" s="647"/>
      <c r="B192" s="648"/>
      <c r="C192" s="649"/>
      <c r="D192" s="655" t="s">
        <v>166</v>
      </c>
      <c r="E192" s="657">
        <v>0.625</v>
      </c>
      <c r="F192" s="656"/>
      <c r="G192" s="647"/>
      <c r="H192" s="648"/>
      <c r="I192" s="649"/>
      <c r="J192" s="650"/>
      <c r="K192" s="651"/>
      <c r="L192" s="652"/>
    </row>
    <row r="193" spans="1:12" ht="15.75" x14ac:dyDescent="0.25">
      <c r="A193" s="647"/>
      <c r="B193" s="648" t="s">
        <v>462</v>
      </c>
      <c r="C193" s="649" t="s">
        <v>459</v>
      </c>
      <c r="D193" s="650"/>
      <c r="E193" s="651"/>
      <c r="F193" s="653"/>
      <c r="G193" s="647"/>
      <c r="H193" s="648"/>
      <c r="I193" s="649"/>
      <c r="J193" s="650"/>
      <c r="K193" s="651"/>
      <c r="L193" s="652"/>
    </row>
    <row r="194" spans="1:12" ht="15.75" x14ac:dyDescent="0.25">
      <c r="A194" s="647"/>
      <c r="B194" s="648"/>
      <c r="C194" s="649"/>
      <c r="D194" s="655"/>
      <c r="E194" s="651"/>
      <c r="F194" s="656"/>
      <c r="G194" s="647"/>
      <c r="H194" s="648"/>
      <c r="I194" s="649"/>
      <c r="J194" s="650"/>
      <c r="K194" s="651"/>
      <c r="L194" s="652"/>
    </row>
    <row r="195" spans="1:12" ht="15.75" x14ac:dyDescent="0.25">
      <c r="A195" s="647"/>
      <c r="B195" s="648"/>
      <c r="C195" s="649"/>
      <c r="D195" s="655"/>
      <c r="E195" s="657"/>
      <c r="F195" s="656"/>
      <c r="G195" s="647"/>
      <c r="H195" s="648"/>
      <c r="I195" s="649"/>
      <c r="J195" s="650"/>
      <c r="K195" s="651"/>
      <c r="L195" s="652"/>
    </row>
    <row r="196" spans="1:12" ht="15.75" x14ac:dyDescent="0.25">
      <c r="A196" s="647"/>
      <c r="B196" s="648"/>
      <c r="C196" s="649"/>
      <c r="D196" s="650"/>
      <c r="E196" s="651"/>
      <c r="F196" s="658"/>
      <c r="G196" s="647"/>
      <c r="H196" s="648"/>
      <c r="I196" s="649"/>
      <c r="J196" s="650"/>
      <c r="K196" s="651"/>
      <c r="L196" s="652"/>
    </row>
    <row r="197" spans="1:12" ht="15.75" x14ac:dyDescent="0.25">
      <c r="A197" s="647"/>
      <c r="B197" s="648"/>
      <c r="C197" s="649"/>
      <c r="D197" s="650"/>
      <c r="E197" s="657"/>
      <c r="F197" s="658"/>
      <c r="G197" s="647"/>
      <c r="H197" s="648"/>
      <c r="I197" s="649"/>
      <c r="J197" s="650"/>
      <c r="K197" s="651"/>
      <c r="L197" s="658"/>
    </row>
    <row r="198" spans="1:12" ht="15.75" x14ac:dyDescent="0.25">
      <c r="A198" s="647"/>
      <c r="B198" s="648"/>
      <c r="C198" s="649"/>
      <c r="D198" s="655"/>
      <c r="E198" s="657"/>
      <c r="F198" s="653"/>
      <c r="G198" s="647"/>
      <c r="H198" s="648"/>
      <c r="I198" s="649"/>
      <c r="J198" s="655"/>
      <c r="K198" s="651"/>
      <c r="L198" s="658"/>
    </row>
    <row r="199" spans="1:12" ht="15.75" x14ac:dyDescent="0.25">
      <c r="A199" s="647"/>
      <c r="B199" s="648"/>
      <c r="C199" s="649"/>
      <c r="D199" s="650"/>
      <c r="E199" s="651"/>
      <c r="F199" s="652"/>
      <c r="G199" s="647"/>
      <c r="H199" s="648"/>
      <c r="I199" s="649"/>
      <c r="J199" s="650"/>
      <c r="K199" s="651"/>
      <c r="L199" s="658"/>
    </row>
    <row r="200" spans="1:12" ht="16.5" thickBot="1" x14ac:dyDescent="0.3">
      <c r="A200" s="659"/>
      <c r="B200" s="660"/>
      <c r="C200" s="661"/>
      <c r="D200" s="662"/>
      <c r="E200" s="663"/>
      <c r="F200" s="664"/>
      <c r="G200" s="665"/>
      <c r="H200" s="666"/>
      <c r="I200" s="667"/>
      <c r="J200" s="668"/>
      <c r="K200" s="663"/>
      <c r="L200" s="669"/>
    </row>
    <row r="201" spans="1:12" ht="21" x14ac:dyDescent="0.35">
      <c r="A201" s="781" t="s">
        <v>945</v>
      </c>
      <c r="B201" s="782"/>
      <c r="C201" s="782"/>
      <c r="D201" s="782"/>
      <c r="E201" s="782"/>
      <c r="F201" s="782"/>
      <c r="G201" s="782"/>
      <c r="H201" s="782"/>
      <c r="I201" s="782"/>
      <c r="J201" s="782"/>
      <c r="K201" s="782"/>
      <c r="L201" s="783"/>
    </row>
    <row r="202" spans="1:12" ht="18.75" x14ac:dyDescent="0.3">
      <c r="A202" s="784" t="s">
        <v>946</v>
      </c>
      <c r="B202" s="785"/>
      <c r="C202" s="785"/>
      <c r="D202" s="785"/>
      <c r="E202" s="785"/>
      <c r="F202" s="785"/>
      <c r="G202" s="785"/>
      <c r="H202" s="785"/>
      <c r="I202" s="785"/>
      <c r="J202" s="785"/>
      <c r="K202" s="785"/>
      <c r="L202" s="786"/>
    </row>
    <row r="203" spans="1:12" ht="24" x14ac:dyDescent="0.4">
      <c r="A203" s="787" t="s">
        <v>947</v>
      </c>
      <c r="B203" s="788"/>
      <c r="C203" s="788"/>
      <c r="D203" s="788"/>
      <c r="E203" s="788"/>
      <c r="F203" s="788"/>
      <c r="G203" s="788"/>
      <c r="H203" s="788"/>
      <c r="I203" s="788"/>
      <c r="J203" s="788"/>
      <c r="K203" s="788"/>
      <c r="L203" s="789"/>
    </row>
    <row r="204" spans="1:12" ht="24" x14ac:dyDescent="0.4">
      <c r="A204" s="623" t="s">
        <v>1279</v>
      </c>
      <c r="B204" s="624"/>
      <c r="C204" s="624"/>
      <c r="D204" s="625" t="s">
        <v>949</v>
      </c>
      <c r="E204" s="790" t="s">
        <v>683</v>
      </c>
      <c r="F204" s="790"/>
      <c r="G204" s="790"/>
      <c r="H204" s="790"/>
      <c r="I204" s="790"/>
      <c r="J204" s="626" t="s">
        <v>1001</v>
      </c>
      <c r="K204" s="790"/>
      <c r="L204" s="791"/>
    </row>
    <row r="205" spans="1:12" ht="15.75" thickBot="1" x14ac:dyDescent="0.3">
      <c r="A205" s="627"/>
      <c r="B205" s="628"/>
      <c r="C205" s="628"/>
      <c r="D205" s="629"/>
      <c r="E205" s="628"/>
      <c r="F205" s="628"/>
      <c r="G205" s="628"/>
      <c r="H205" s="628"/>
      <c r="I205" s="792"/>
      <c r="J205" s="792"/>
      <c r="K205" s="628"/>
      <c r="L205" s="630"/>
    </row>
    <row r="206" spans="1:12" ht="16.5" thickBot="1" x14ac:dyDescent="0.3">
      <c r="A206" s="631" t="s">
        <v>952</v>
      </c>
      <c r="B206" s="632"/>
      <c r="C206" s="633"/>
      <c r="D206" s="634" t="s">
        <v>953</v>
      </c>
      <c r="E206" s="631" t="s">
        <v>954</v>
      </c>
      <c r="F206" s="635" t="s">
        <v>955</v>
      </c>
      <c r="G206" s="631" t="s">
        <v>952</v>
      </c>
      <c r="H206" s="632"/>
      <c r="I206" s="633"/>
      <c r="J206" s="634" t="s">
        <v>953</v>
      </c>
      <c r="K206" s="631" t="s">
        <v>954</v>
      </c>
      <c r="L206" s="631" t="s">
        <v>955</v>
      </c>
    </row>
    <row r="207" spans="1:12" ht="15.75" x14ac:dyDescent="0.25">
      <c r="A207" s="636"/>
      <c r="B207" s="637"/>
      <c r="C207" s="638"/>
      <c r="D207" s="639"/>
      <c r="E207" s="640"/>
      <c r="F207" s="641"/>
      <c r="G207" s="636"/>
      <c r="H207" s="642"/>
      <c r="I207" s="643"/>
      <c r="J207" s="644"/>
      <c r="K207" s="645"/>
      <c r="L207" s="646"/>
    </row>
    <row r="208" spans="1:12" ht="15.75" x14ac:dyDescent="0.25">
      <c r="A208" s="647"/>
      <c r="B208" s="648" t="s">
        <v>459</v>
      </c>
      <c r="C208" s="649">
        <v>6</v>
      </c>
      <c r="D208" s="650" t="s">
        <v>1066</v>
      </c>
      <c r="E208" s="651"/>
      <c r="F208" s="652"/>
      <c r="G208" s="647"/>
      <c r="H208" s="648" t="s">
        <v>459</v>
      </c>
      <c r="I208" s="649">
        <v>41</v>
      </c>
      <c r="J208" s="650" t="s">
        <v>1309</v>
      </c>
      <c r="K208" s="651"/>
      <c r="L208" s="653"/>
    </row>
    <row r="209" spans="1:12" ht="15.75" x14ac:dyDescent="0.25">
      <c r="A209" s="647" t="s">
        <v>958</v>
      </c>
      <c r="B209" s="654"/>
      <c r="C209" s="649"/>
      <c r="D209" s="655" t="s">
        <v>959</v>
      </c>
      <c r="E209" s="651"/>
      <c r="F209" s="656">
        <v>0.22916666666666666</v>
      </c>
      <c r="G209" s="647"/>
      <c r="H209" s="648"/>
      <c r="I209" s="649"/>
      <c r="J209" s="655" t="s">
        <v>960</v>
      </c>
      <c r="K209" s="651"/>
      <c r="L209" s="656">
        <v>0.65277777777777779</v>
      </c>
    </row>
    <row r="210" spans="1:12" ht="15.75" x14ac:dyDescent="0.25">
      <c r="A210" s="647" t="s">
        <v>961</v>
      </c>
      <c r="B210" s="648"/>
      <c r="C210" s="649"/>
      <c r="D210" s="650" t="s">
        <v>160</v>
      </c>
      <c r="E210" s="651"/>
      <c r="F210" s="653">
        <v>0.2638888888888889</v>
      </c>
      <c r="G210" s="647" t="s">
        <v>961</v>
      </c>
      <c r="H210" s="654"/>
      <c r="I210" s="649"/>
      <c r="J210" s="650" t="s">
        <v>163</v>
      </c>
      <c r="K210" s="651"/>
      <c r="L210" s="653">
        <v>0.70833333333333337</v>
      </c>
    </row>
    <row r="211" spans="1:12" ht="15.75" x14ac:dyDescent="0.25">
      <c r="A211" s="647"/>
      <c r="B211" s="648"/>
      <c r="C211" s="649"/>
      <c r="D211" s="655" t="s">
        <v>962</v>
      </c>
      <c r="E211" s="651"/>
      <c r="F211" s="656">
        <v>0.27083333333333331</v>
      </c>
      <c r="G211" s="647"/>
      <c r="H211" s="648"/>
      <c r="I211" s="649"/>
      <c r="J211" s="655" t="s">
        <v>164</v>
      </c>
      <c r="K211" s="651"/>
      <c r="L211" s="656">
        <v>0.73611111111111116</v>
      </c>
    </row>
    <row r="212" spans="1:12" ht="15.75" x14ac:dyDescent="0.25">
      <c r="A212" s="647"/>
      <c r="B212" s="648"/>
      <c r="C212" s="649"/>
      <c r="D212" s="655" t="s">
        <v>960</v>
      </c>
      <c r="E212" s="651"/>
      <c r="F212" s="656">
        <v>0.2951388888888889</v>
      </c>
      <c r="G212" s="647"/>
      <c r="H212" s="648"/>
      <c r="I212" s="649"/>
      <c r="J212" s="655" t="s">
        <v>166</v>
      </c>
      <c r="K212" s="651"/>
      <c r="L212" s="656">
        <v>0.75</v>
      </c>
    </row>
    <row r="213" spans="1:12" ht="15.75" x14ac:dyDescent="0.25">
      <c r="A213" s="647" t="s">
        <v>961</v>
      </c>
      <c r="B213" s="654"/>
      <c r="C213" s="649"/>
      <c r="D213" s="650" t="s">
        <v>163</v>
      </c>
      <c r="E213" s="651"/>
      <c r="F213" s="653">
        <v>0.34027777777777779</v>
      </c>
      <c r="G213" s="647" t="s">
        <v>961</v>
      </c>
      <c r="H213" s="648"/>
      <c r="I213" s="649"/>
      <c r="J213" s="650" t="s">
        <v>160</v>
      </c>
      <c r="K213" s="651"/>
      <c r="L213" s="653">
        <v>0.79513888888888884</v>
      </c>
    </row>
    <row r="214" spans="1:12" ht="15.75" x14ac:dyDescent="0.25">
      <c r="A214" s="647"/>
      <c r="B214" s="648"/>
      <c r="C214" s="649"/>
      <c r="D214" s="655" t="s">
        <v>164</v>
      </c>
      <c r="E214" s="651"/>
      <c r="F214" s="656">
        <v>0.36458333333333331</v>
      </c>
      <c r="G214" s="647"/>
      <c r="H214" s="648"/>
      <c r="I214" s="649"/>
      <c r="J214" s="655" t="s">
        <v>962</v>
      </c>
      <c r="K214" s="651"/>
      <c r="L214" s="656">
        <v>0.80208333333333337</v>
      </c>
    </row>
    <row r="215" spans="1:12" ht="15.75" x14ac:dyDescent="0.25">
      <c r="A215" s="647"/>
      <c r="B215" s="648"/>
      <c r="C215" s="649"/>
      <c r="D215" s="655" t="s">
        <v>166</v>
      </c>
      <c r="E215" s="651"/>
      <c r="F215" s="656">
        <v>0.37847222222222221</v>
      </c>
      <c r="G215" s="647"/>
      <c r="H215" s="654"/>
      <c r="I215" s="649"/>
      <c r="J215" s="655" t="s">
        <v>960</v>
      </c>
      <c r="K215" s="657">
        <v>0.82986111111111116</v>
      </c>
      <c r="L215" s="656"/>
    </row>
    <row r="216" spans="1:12" ht="15.75" x14ac:dyDescent="0.25">
      <c r="A216" s="647" t="s">
        <v>961</v>
      </c>
      <c r="B216" s="648"/>
      <c r="C216" s="649"/>
      <c r="D216" s="650" t="s">
        <v>160</v>
      </c>
      <c r="E216" s="651"/>
      <c r="F216" s="653">
        <v>0.4236111111111111</v>
      </c>
      <c r="G216" s="647"/>
      <c r="H216" s="648" t="s">
        <v>459</v>
      </c>
      <c r="I216" s="649">
        <v>41</v>
      </c>
      <c r="J216" s="650" t="s">
        <v>1310</v>
      </c>
      <c r="K216" s="651"/>
      <c r="L216" s="658"/>
    </row>
    <row r="217" spans="1:12" ht="15.75" x14ac:dyDescent="0.25">
      <c r="A217" s="647"/>
      <c r="B217" s="648"/>
      <c r="C217" s="649"/>
      <c r="D217" s="655" t="s">
        <v>962</v>
      </c>
      <c r="E217" s="651"/>
      <c r="F217" s="656">
        <v>0.43055555555555558</v>
      </c>
      <c r="G217" s="647"/>
      <c r="H217" s="648"/>
      <c r="I217" s="649"/>
      <c r="J217" s="650"/>
      <c r="K217" s="651"/>
      <c r="L217" s="656"/>
    </row>
    <row r="218" spans="1:12" ht="15.75" x14ac:dyDescent="0.25">
      <c r="A218" s="647"/>
      <c r="B218" s="654"/>
      <c r="C218" s="649"/>
      <c r="D218" s="655" t="s">
        <v>960</v>
      </c>
      <c r="E218" s="657">
        <v>0.46180555555555558</v>
      </c>
      <c r="F218" s="656"/>
      <c r="G218" s="647"/>
      <c r="H218" s="648" t="s">
        <v>459</v>
      </c>
      <c r="I218" s="649">
        <v>37</v>
      </c>
      <c r="J218" s="650" t="s">
        <v>1311</v>
      </c>
      <c r="K218" s="651"/>
      <c r="L218" s="653"/>
    </row>
    <row r="219" spans="1:12" ht="15.75" x14ac:dyDescent="0.25">
      <c r="A219" s="647"/>
      <c r="B219" s="648" t="s">
        <v>462</v>
      </c>
      <c r="C219" s="649" t="s">
        <v>459</v>
      </c>
      <c r="D219" s="650"/>
      <c r="E219" s="651"/>
      <c r="F219" s="658"/>
      <c r="G219" s="647"/>
      <c r="H219" s="648"/>
      <c r="I219" s="649"/>
      <c r="J219" s="655" t="s">
        <v>960</v>
      </c>
      <c r="K219" s="651"/>
      <c r="L219" s="656">
        <v>0.82986111111111116</v>
      </c>
    </row>
    <row r="220" spans="1:12" ht="15.75" x14ac:dyDescent="0.25">
      <c r="A220" s="647"/>
      <c r="B220" s="648"/>
      <c r="C220" s="649"/>
      <c r="D220" s="650"/>
      <c r="E220" s="651"/>
      <c r="F220" s="656"/>
      <c r="G220" s="647" t="s">
        <v>961</v>
      </c>
      <c r="H220" s="654"/>
      <c r="I220" s="649"/>
      <c r="J220" s="650" t="s">
        <v>163</v>
      </c>
      <c r="K220" s="651"/>
      <c r="L220" s="653">
        <v>0.875</v>
      </c>
    </row>
    <row r="221" spans="1:12" ht="15.75" x14ac:dyDescent="0.25">
      <c r="A221" s="647"/>
      <c r="B221" s="648" t="s">
        <v>459</v>
      </c>
      <c r="C221" s="649">
        <v>13</v>
      </c>
      <c r="D221" s="650" t="s">
        <v>1312</v>
      </c>
      <c r="E221" s="651"/>
      <c r="F221" s="653"/>
      <c r="G221" s="647"/>
      <c r="H221" s="648"/>
      <c r="I221" s="649"/>
      <c r="J221" s="655" t="s">
        <v>164</v>
      </c>
      <c r="K221" s="651"/>
      <c r="L221" s="656">
        <v>0.89583333333333337</v>
      </c>
    </row>
    <row r="222" spans="1:12" ht="15.75" x14ac:dyDescent="0.25">
      <c r="A222" s="647"/>
      <c r="B222" s="648"/>
      <c r="C222" s="649"/>
      <c r="D222" s="655" t="s">
        <v>960</v>
      </c>
      <c r="E222" s="651"/>
      <c r="F222" s="656">
        <v>0.46180555555555558</v>
      </c>
      <c r="G222" s="647"/>
      <c r="H222" s="648"/>
      <c r="I222" s="649"/>
      <c r="J222" s="655" t="s">
        <v>166</v>
      </c>
      <c r="K222" s="651"/>
      <c r="L222" s="656">
        <v>0.90625</v>
      </c>
    </row>
    <row r="223" spans="1:12" ht="15.75" x14ac:dyDescent="0.25">
      <c r="A223" s="647" t="s">
        <v>961</v>
      </c>
      <c r="B223" s="654"/>
      <c r="C223" s="649"/>
      <c r="D223" s="650" t="s">
        <v>163</v>
      </c>
      <c r="E223" s="651"/>
      <c r="F223" s="653">
        <v>0.51736111111111116</v>
      </c>
      <c r="G223" s="647" t="s">
        <v>958</v>
      </c>
      <c r="H223" s="648"/>
      <c r="I223" s="649"/>
      <c r="J223" s="650" t="s">
        <v>160</v>
      </c>
      <c r="K223" s="657">
        <v>0.94444444444444442</v>
      </c>
      <c r="L223" s="653"/>
    </row>
    <row r="224" spans="1:12" ht="15.75" x14ac:dyDescent="0.25">
      <c r="A224" s="647"/>
      <c r="B224" s="648"/>
      <c r="C224" s="649"/>
      <c r="D224" s="655" t="s">
        <v>164</v>
      </c>
      <c r="E224" s="651"/>
      <c r="F224" s="656">
        <v>0.54861111111111116</v>
      </c>
      <c r="G224" s="647"/>
      <c r="H224" s="648"/>
      <c r="I224" s="649"/>
      <c r="J224" s="650" t="s">
        <v>963</v>
      </c>
      <c r="K224" s="657">
        <v>0.97569444444444442</v>
      </c>
      <c r="L224" s="656"/>
    </row>
    <row r="225" spans="1:12" ht="15.75" x14ac:dyDescent="0.25">
      <c r="A225" s="647"/>
      <c r="B225" s="648"/>
      <c r="C225" s="649"/>
      <c r="D225" s="655" t="s">
        <v>166</v>
      </c>
      <c r="E225" s="651"/>
      <c r="F225" s="656">
        <v>0.5625</v>
      </c>
      <c r="G225" s="647"/>
      <c r="H225" s="648" t="s">
        <v>462</v>
      </c>
      <c r="I225" s="649" t="s">
        <v>459</v>
      </c>
      <c r="J225" s="650"/>
      <c r="K225" s="657"/>
      <c r="L225" s="653"/>
    </row>
    <row r="226" spans="1:12" ht="15.75" x14ac:dyDescent="0.25">
      <c r="A226" s="647" t="s">
        <v>961</v>
      </c>
      <c r="B226" s="648"/>
      <c r="C226" s="649"/>
      <c r="D226" s="650" t="s">
        <v>160</v>
      </c>
      <c r="E226" s="651"/>
      <c r="F226" s="653">
        <v>0.61458333333333337</v>
      </c>
      <c r="G226" s="647"/>
      <c r="H226" s="648"/>
      <c r="I226" s="649"/>
      <c r="J226" s="650"/>
      <c r="K226" s="657"/>
      <c r="L226" s="653"/>
    </row>
    <row r="227" spans="1:12" ht="15.75" x14ac:dyDescent="0.25">
      <c r="A227" s="647"/>
      <c r="B227" s="648"/>
      <c r="C227" s="649"/>
      <c r="D227" s="655" t="s">
        <v>962</v>
      </c>
      <c r="E227" s="651"/>
      <c r="F227" s="656">
        <v>0.625</v>
      </c>
      <c r="G227" s="647"/>
      <c r="H227" s="648"/>
      <c r="I227" s="649"/>
      <c r="J227" s="650"/>
      <c r="K227" s="657"/>
      <c r="L227" s="653"/>
    </row>
    <row r="228" spans="1:12" ht="15.75" x14ac:dyDescent="0.25">
      <c r="A228" s="647"/>
      <c r="B228" s="654"/>
      <c r="C228" s="649"/>
      <c r="D228" s="655" t="s">
        <v>960</v>
      </c>
      <c r="E228" s="657">
        <v>0.65277777777777779</v>
      </c>
      <c r="F228" s="656"/>
      <c r="G228" s="647"/>
      <c r="H228" s="648"/>
      <c r="I228" s="649"/>
      <c r="J228" s="650"/>
      <c r="K228" s="657"/>
      <c r="L228" s="653"/>
    </row>
    <row r="229" spans="1:12" ht="15.75" x14ac:dyDescent="0.25">
      <c r="A229" s="647"/>
      <c r="B229" s="648" t="s">
        <v>462</v>
      </c>
      <c r="C229" s="649" t="s">
        <v>459</v>
      </c>
      <c r="D229" s="650"/>
      <c r="E229" s="651"/>
      <c r="F229" s="658"/>
      <c r="G229" s="647"/>
      <c r="H229" s="648"/>
      <c r="I229" s="649"/>
      <c r="J229" s="650"/>
      <c r="K229" s="657"/>
      <c r="L229" s="652"/>
    </row>
    <row r="230" spans="1:12" ht="15.75" x14ac:dyDescent="0.25">
      <c r="A230" s="647"/>
      <c r="B230" s="648"/>
      <c r="C230" s="649"/>
      <c r="D230" s="650"/>
      <c r="E230" s="651"/>
      <c r="F230" s="656"/>
      <c r="G230" s="647"/>
      <c r="H230" s="648"/>
      <c r="I230" s="649"/>
      <c r="J230" s="650"/>
      <c r="K230" s="651"/>
      <c r="L230" s="652"/>
    </row>
    <row r="231" spans="1:12" ht="15.75" x14ac:dyDescent="0.25">
      <c r="A231" s="647"/>
      <c r="B231" s="648"/>
      <c r="C231" s="649"/>
      <c r="D231" s="650"/>
      <c r="E231" s="651"/>
      <c r="F231" s="653"/>
      <c r="G231" s="647"/>
      <c r="H231" s="648"/>
      <c r="I231" s="649"/>
      <c r="J231" s="650"/>
      <c r="K231" s="651"/>
      <c r="L231" s="652"/>
    </row>
    <row r="232" spans="1:12" ht="15.75" x14ac:dyDescent="0.25">
      <c r="A232" s="647"/>
      <c r="B232" s="648"/>
      <c r="C232" s="649"/>
      <c r="D232" s="655"/>
      <c r="E232" s="651"/>
      <c r="F232" s="656"/>
      <c r="G232" s="647"/>
      <c r="H232" s="648"/>
      <c r="I232" s="649"/>
      <c r="J232" s="650"/>
      <c r="K232" s="651"/>
      <c r="L232" s="652"/>
    </row>
    <row r="233" spans="1:12" ht="15.75" x14ac:dyDescent="0.25">
      <c r="A233" s="647"/>
      <c r="B233" s="654"/>
      <c r="C233" s="649"/>
      <c r="D233" s="650"/>
      <c r="E233" s="651"/>
      <c r="F233" s="653"/>
      <c r="G233" s="647"/>
      <c r="H233" s="648"/>
      <c r="I233" s="649"/>
      <c r="J233" s="650"/>
      <c r="K233" s="651"/>
      <c r="L233" s="652"/>
    </row>
    <row r="234" spans="1:12" ht="15.75" x14ac:dyDescent="0.25">
      <c r="A234" s="647"/>
      <c r="B234" s="648"/>
      <c r="C234" s="649"/>
      <c r="D234" s="655"/>
      <c r="E234" s="651"/>
      <c r="F234" s="656"/>
      <c r="G234" s="647"/>
      <c r="H234" s="648"/>
      <c r="I234" s="649"/>
      <c r="J234" s="650"/>
      <c r="K234" s="651"/>
      <c r="L234" s="652"/>
    </row>
    <row r="235" spans="1:12" ht="15.75" x14ac:dyDescent="0.25">
      <c r="A235" s="647"/>
      <c r="B235" s="648"/>
      <c r="C235" s="649"/>
      <c r="D235" s="655"/>
      <c r="E235" s="657"/>
      <c r="F235" s="656"/>
      <c r="G235" s="647"/>
      <c r="H235" s="648"/>
      <c r="I235" s="649"/>
      <c r="J235" s="650"/>
      <c r="K235" s="651"/>
      <c r="L235" s="652"/>
    </row>
    <row r="236" spans="1:12" ht="15.75" x14ac:dyDescent="0.25">
      <c r="A236" s="647"/>
      <c r="B236" s="648"/>
      <c r="C236" s="649"/>
      <c r="D236" s="650"/>
      <c r="E236" s="651"/>
      <c r="F236" s="658"/>
      <c r="G236" s="647"/>
      <c r="H236" s="648"/>
      <c r="I236" s="649"/>
      <c r="J236" s="650"/>
      <c r="K236" s="651"/>
      <c r="L236" s="652"/>
    </row>
    <row r="237" spans="1:12" ht="15.75" x14ac:dyDescent="0.25">
      <c r="A237" s="647"/>
      <c r="B237" s="654"/>
      <c r="C237" s="649"/>
      <c r="D237" s="650"/>
      <c r="E237" s="657"/>
      <c r="F237" s="653"/>
      <c r="G237" s="647"/>
      <c r="H237" s="648"/>
      <c r="I237" s="649"/>
      <c r="J237" s="650"/>
      <c r="K237" s="651"/>
      <c r="L237" s="658"/>
    </row>
    <row r="238" spans="1:12" ht="15.75" x14ac:dyDescent="0.25">
      <c r="A238" s="647"/>
      <c r="B238" s="648"/>
      <c r="C238" s="649"/>
      <c r="D238" s="650"/>
      <c r="E238" s="657"/>
      <c r="F238" s="653"/>
      <c r="G238" s="647"/>
      <c r="H238" s="648"/>
      <c r="I238" s="649"/>
      <c r="J238" s="655"/>
      <c r="K238" s="651"/>
      <c r="L238" s="658"/>
    </row>
    <row r="239" spans="1:12" ht="15.75" x14ac:dyDescent="0.25">
      <c r="A239" s="647"/>
      <c r="B239" s="648"/>
      <c r="C239" s="649"/>
      <c r="D239" s="650"/>
      <c r="E239" s="657"/>
      <c r="F239" s="652"/>
      <c r="G239" s="647"/>
      <c r="H239" s="648"/>
      <c r="I239" s="649"/>
      <c r="J239" s="650"/>
      <c r="K239" s="651"/>
      <c r="L239" s="658"/>
    </row>
    <row r="240" spans="1:12" ht="16.5" thickBot="1" x14ac:dyDescent="0.3">
      <c r="A240" s="659"/>
      <c r="B240" s="660"/>
      <c r="C240" s="661"/>
      <c r="D240" s="662"/>
      <c r="E240" s="663"/>
      <c r="F240" s="664"/>
      <c r="G240" s="665"/>
      <c r="H240" s="666"/>
      <c r="I240" s="667"/>
      <c r="J240" s="668"/>
      <c r="K240" s="663"/>
      <c r="L240" s="669"/>
    </row>
    <row r="241" spans="1:12" ht="21" x14ac:dyDescent="0.35">
      <c r="A241" s="781" t="s">
        <v>945</v>
      </c>
      <c r="B241" s="782"/>
      <c r="C241" s="782"/>
      <c r="D241" s="782"/>
      <c r="E241" s="782"/>
      <c r="F241" s="782"/>
      <c r="G241" s="782"/>
      <c r="H241" s="782"/>
      <c r="I241" s="782"/>
      <c r="J241" s="782"/>
      <c r="K241" s="782"/>
      <c r="L241" s="783"/>
    </row>
    <row r="242" spans="1:12" ht="18.75" x14ac:dyDescent="0.3">
      <c r="A242" s="784" t="s">
        <v>946</v>
      </c>
      <c r="B242" s="785"/>
      <c r="C242" s="785"/>
      <c r="D242" s="785"/>
      <c r="E242" s="785"/>
      <c r="F242" s="785"/>
      <c r="G242" s="785"/>
      <c r="H242" s="785"/>
      <c r="I242" s="785"/>
      <c r="J242" s="785"/>
      <c r="K242" s="785"/>
      <c r="L242" s="786"/>
    </row>
    <row r="243" spans="1:12" ht="24" x14ac:dyDescent="0.4">
      <c r="A243" s="787" t="s">
        <v>947</v>
      </c>
      <c r="B243" s="788"/>
      <c r="C243" s="788"/>
      <c r="D243" s="788"/>
      <c r="E243" s="788"/>
      <c r="F243" s="788"/>
      <c r="G243" s="788"/>
      <c r="H243" s="788"/>
      <c r="I243" s="788"/>
      <c r="J243" s="788"/>
      <c r="K243" s="788"/>
      <c r="L243" s="789"/>
    </row>
    <row r="244" spans="1:12" ht="24" x14ac:dyDescent="0.4">
      <c r="A244" s="623" t="s">
        <v>1279</v>
      </c>
      <c r="B244" s="624"/>
      <c r="C244" s="624"/>
      <c r="D244" s="625" t="s">
        <v>949</v>
      </c>
      <c r="E244" s="790" t="s">
        <v>683</v>
      </c>
      <c r="F244" s="790"/>
      <c r="G244" s="790"/>
      <c r="H244" s="790"/>
      <c r="I244" s="790"/>
      <c r="J244" s="626" t="s">
        <v>1011</v>
      </c>
      <c r="K244" s="790"/>
      <c r="L244" s="791"/>
    </row>
    <row r="245" spans="1:12" ht="15.75" thickBot="1" x14ac:dyDescent="0.3">
      <c r="A245" s="627"/>
      <c r="B245" s="628"/>
      <c r="C245" s="628"/>
      <c r="D245" s="629"/>
      <c r="E245" s="628"/>
      <c r="F245" s="628"/>
      <c r="G245" s="628"/>
      <c r="H245" s="628"/>
      <c r="I245" s="792"/>
      <c r="J245" s="792"/>
      <c r="K245" s="628"/>
      <c r="L245" s="630"/>
    </row>
    <row r="246" spans="1:12" ht="16.5" thickBot="1" x14ac:dyDescent="0.3">
      <c r="A246" s="631" t="s">
        <v>952</v>
      </c>
      <c r="B246" s="632"/>
      <c r="C246" s="633"/>
      <c r="D246" s="634" t="s">
        <v>953</v>
      </c>
      <c r="E246" s="631" t="s">
        <v>954</v>
      </c>
      <c r="F246" s="635" t="s">
        <v>955</v>
      </c>
      <c r="G246" s="631" t="s">
        <v>952</v>
      </c>
      <c r="H246" s="632"/>
      <c r="I246" s="633"/>
      <c r="J246" s="634" t="s">
        <v>953</v>
      </c>
      <c r="K246" s="631" t="s">
        <v>954</v>
      </c>
      <c r="L246" s="631" t="s">
        <v>955</v>
      </c>
    </row>
    <row r="247" spans="1:12" ht="15.75" x14ac:dyDescent="0.25">
      <c r="A247" s="636"/>
      <c r="B247" s="637"/>
      <c r="C247" s="638"/>
      <c r="D247" s="639"/>
      <c r="E247" s="640"/>
      <c r="F247" s="641"/>
      <c r="G247" s="636"/>
      <c r="H247" s="642"/>
      <c r="I247" s="643"/>
      <c r="J247" s="644"/>
      <c r="K247" s="645"/>
      <c r="L247" s="646"/>
    </row>
    <row r="248" spans="1:12" ht="15.75" x14ac:dyDescent="0.25">
      <c r="A248" s="647"/>
      <c r="B248" s="648" t="s">
        <v>459</v>
      </c>
      <c r="C248" s="649">
        <v>7</v>
      </c>
      <c r="D248" s="650" t="s">
        <v>1078</v>
      </c>
      <c r="E248" s="651"/>
      <c r="F248" s="652"/>
      <c r="G248" s="647"/>
      <c r="H248" s="648" t="s">
        <v>459</v>
      </c>
      <c r="I248" s="649">
        <v>39</v>
      </c>
      <c r="J248" s="650" t="s">
        <v>1313</v>
      </c>
      <c r="K248" s="651"/>
      <c r="L248" s="653"/>
    </row>
    <row r="249" spans="1:12" ht="15.75" x14ac:dyDescent="0.25">
      <c r="A249" s="647" t="s">
        <v>958</v>
      </c>
      <c r="B249" s="654"/>
      <c r="C249" s="649"/>
      <c r="D249" s="655" t="s">
        <v>959</v>
      </c>
      <c r="E249" s="651"/>
      <c r="F249" s="656">
        <v>0.2361111111111111</v>
      </c>
      <c r="G249" s="647"/>
      <c r="H249" s="648"/>
      <c r="I249" s="649"/>
      <c r="J249" s="655" t="s">
        <v>166</v>
      </c>
      <c r="K249" s="651"/>
      <c r="L249" s="656">
        <v>0.63194444444444442</v>
      </c>
    </row>
    <row r="250" spans="1:12" ht="15.75" x14ac:dyDescent="0.25">
      <c r="A250" s="647" t="s">
        <v>961</v>
      </c>
      <c r="B250" s="654"/>
      <c r="C250" s="649"/>
      <c r="D250" s="650" t="s">
        <v>163</v>
      </c>
      <c r="E250" s="651"/>
      <c r="F250" s="653">
        <v>0.26041666666666669</v>
      </c>
      <c r="G250" s="647" t="s">
        <v>961</v>
      </c>
      <c r="H250" s="648"/>
      <c r="I250" s="649"/>
      <c r="J250" s="650" t="s">
        <v>160</v>
      </c>
      <c r="K250" s="651"/>
      <c r="L250" s="653">
        <v>0.67361111111111116</v>
      </c>
    </row>
    <row r="251" spans="1:12" ht="15.75" x14ac:dyDescent="0.25">
      <c r="A251" s="647"/>
      <c r="B251" s="648"/>
      <c r="C251" s="649"/>
      <c r="D251" s="655" t="s">
        <v>164</v>
      </c>
      <c r="E251" s="651"/>
      <c r="F251" s="656">
        <v>0.28125</v>
      </c>
      <c r="G251" s="647"/>
      <c r="H251" s="648"/>
      <c r="I251" s="649"/>
      <c r="J251" s="655" t="s">
        <v>962</v>
      </c>
      <c r="K251" s="651"/>
      <c r="L251" s="656">
        <v>0.68055555555555558</v>
      </c>
    </row>
    <row r="252" spans="1:12" ht="15.75" x14ac:dyDescent="0.25">
      <c r="A252" s="647"/>
      <c r="B252" s="648"/>
      <c r="C252" s="649"/>
      <c r="D252" s="655" t="s">
        <v>166</v>
      </c>
      <c r="E252" s="651"/>
      <c r="F252" s="656">
        <v>0.2951388888888889</v>
      </c>
      <c r="G252" s="647"/>
      <c r="H252" s="654"/>
      <c r="I252" s="649"/>
      <c r="J252" s="655" t="s">
        <v>960</v>
      </c>
      <c r="K252" s="651"/>
      <c r="L252" s="656">
        <v>0.71180555555555558</v>
      </c>
    </row>
    <row r="253" spans="1:12" ht="15.75" x14ac:dyDescent="0.25">
      <c r="A253" s="647" t="s">
        <v>961</v>
      </c>
      <c r="B253" s="648"/>
      <c r="C253" s="649"/>
      <c r="D253" s="650" t="s">
        <v>160</v>
      </c>
      <c r="E253" s="651"/>
      <c r="F253" s="653">
        <v>0.3263888888888889</v>
      </c>
      <c r="G253" s="647" t="s">
        <v>958</v>
      </c>
      <c r="H253" s="654"/>
      <c r="I253" s="649"/>
      <c r="J253" s="650" t="s">
        <v>163</v>
      </c>
      <c r="K253" s="657">
        <v>0.76041666666666663</v>
      </c>
      <c r="L253" s="653"/>
    </row>
    <row r="254" spans="1:12" ht="15.75" x14ac:dyDescent="0.25">
      <c r="A254" s="647"/>
      <c r="B254" s="648"/>
      <c r="C254" s="649"/>
      <c r="D254" s="655" t="s">
        <v>962</v>
      </c>
      <c r="E254" s="651"/>
      <c r="F254" s="656">
        <v>0.33333333333333331</v>
      </c>
      <c r="G254" s="647"/>
      <c r="H254" s="648"/>
      <c r="I254" s="649"/>
      <c r="J254" s="650" t="s">
        <v>963</v>
      </c>
      <c r="K254" s="657">
        <v>0.78472222222222221</v>
      </c>
      <c r="L254" s="656"/>
    </row>
    <row r="255" spans="1:12" ht="15.75" x14ac:dyDescent="0.25">
      <c r="A255" s="647"/>
      <c r="B255" s="648"/>
      <c r="C255" s="649"/>
      <c r="D255" s="655" t="s">
        <v>960</v>
      </c>
      <c r="E255" s="657">
        <v>0.35416666666666669</v>
      </c>
      <c r="F255" s="656"/>
      <c r="G255" s="647"/>
      <c r="H255" s="648" t="s">
        <v>459</v>
      </c>
      <c r="I255" s="649">
        <v>39</v>
      </c>
      <c r="J255" s="650" t="s">
        <v>1314</v>
      </c>
      <c r="K255" s="657"/>
      <c r="L255" s="653"/>
    </row>
    <row r="256" spans="1:12" ht="15.75" x14ac:dyDescent="0.25">
      <c r="A256" s="647"/>
      <c r="B256" s="648" t="s">
        <v>459</v>
      </c>
      <c r="C256" s="649">
        <v>7</v>
      </c>
      <c r="D256" s="650" t="s">
        <v>1315</v>
      </c>
      <c r="E256" s="651"/>
      <c r="F256" s="658"/>
      <c r="G256" s="647"/>
      <c r="H256" s="648"/>
      <c r="I256" s="649"/>
      <c r="J256" s="650"/>
      <c r="K256" s="657"/>
      <c r="L256" s="653"/>
    </row>
    <row r="257" spans="1:12" ht="15.75" x14ac:dyDescent="0.25">
      <c r="A257" s="647"/>
      <c r="B257" s="648"/>
      <c r="C257" s="649"/>
      <c r="D257" s="650"/>
      <c r="E257" s="651"/>
      <c r="F257" s="656"/>
      <c r="G257" s="647"/>
      <c r="H257" s="648"/>
      <c r="I257" s="649"/>
      <c r="J257" s="650"/>
      <c r="K257" s="651"/>
      <c r="L257" s="652"/>
    </row>
    <row r="258" spans="1:12" ht="15.75" x14ac:dyDescent="0.25">
      <c r="A258" s="647"/>
      <c r="B258" s="648" t="s">
        <v>459</v>
      </c>
      <c r="C258" s="649">
        <v>20</v>
      </c>
      <c r="D258" s="650" t="s">
        <v>1316</v>
      </c>
      <c r="E258" s="651"/>
      <c r="F258" s="653"/>
      <c r="G258" s="647"/>
      <c r="H258" s="648"/>
      <c r="I258" s="649"/>
      <c r="J258" s="650"/>
      <c r="K258" s="651"/>
      <c r="L258" s="652"/>
    </row>
    <row r="259" spans="1:12" ht="15.75" x14ac:dyDescent="0.25">
      <c r="A259" s="647"/>
      <c r="B259" s="648"/>
      <c r="C259" s="649"/>
      <c r="D259" s="655" t="s">
        <v>960</v>
      </c>
      <c r="E259" s="651"/>
      <c r="F259" s="656">
        <v>0.35416666666666669</v>
      </c>
      <c r="G259" s="647"/>
      <c r="H259" s="648"/>
      <c r="I259" s="649"/>
      <c r="J259" s="650"/>
      <c r="K259" s="651"/>
      <c r="L259" s="652"/>
    </row>
    <row r="260" spans="1:12" ht="15.75" x14ac:dyDescent="0.25">
      <c r="A260" s="647" t="s">
        <v>961</v>
      </c>
      <c r="B260" s="654"/>
      <c r="C260" s="649"/>
      <c r="D260" s="650" t="s">
        <v>163</v>
      </c>
      <c r="E260" s="651"/>
      <c r="F260" s="653">
        <v>0.40277777777777779</v>
      </c>
      <c r="G260" s="647"/>
      <c r="H260" s="648"/>
      <c r="I260" s="649"/>
      <c r="J260" s="650"/>
      <c r="K260" s="651"/>
      <c r="L260" s="652"/>
    </row>
    <row r="261" spans="1:12" ht="15.75" x14ac:dyDescent="0.25">
      <c r="A261" s="647"/>
      <c r="B261" s="648"/>
      <c r="C261" s="649"/>
      <c r="D261" s="655" t="s">
        <v>164</v>
      </c>
      <c r="E261" s="651"/>
      <c r="F261" s="656">
        <v>0.43055555555555558</v>
      </c>
      <c r="G261" s="647"/>
      <c r="H261" s="648"/>
      <c r="I261" s="649"/>
      <c r="J261" s="650"/>
      <c r="K261" s="651"/>
      <c r="L261" s="652"/>
    </row>
    <row r="262" spans="1:12" ht="15.75" x14ac:dyDescent="0.25">
      <c r="A262" s="647"/>
      <c r="B262" s="648"/>
      <c r="C262" s="649"/>
      <c r="D262" s="655" t="s">
        <v>166</v>
      </c>
      <c r="E262" s="657">
        <v>0.44444444444444442</v>
      </c>
      <c r="F262" s="656"/>
      <c r="G262" s="647"/>
      <c r="H262" s="648"/>
      <c r="I262" s="649"/>
      <c r="J262" s="650"/>
      <c r="K262" s="651"/>
      <c r="L262" s="652"/>
    </row>
    <row r="263" spans="1:12" ht="15.75" x14ac:dyDescent="0.25">
      <c r="A263" s="647"/>
      <c r="B263" s="648" t="s">
        <v>459</v>
      </c>
      <c r="C263" s="649">
        <v>20</v>
      </c>
      <c r="D263" s="650" t="s">
        <v>1317</v>
      </c>
      <c r="E263" s="651"/>
      <c r="F263" s="658"/>
      <c r="G263" s="647"/>
      <c r="H263" s="648"/>
      <c r="I263" s="649"/>
      <c r="J263" s="650"/>
      <c r="K263" s="651"/>
      <c r="L263" s="652"/>
    </row>
    <row r="264" spans="1:12" ht="15.75" x14ac:dyDescent="0.25">
      <c r="A264" s="647"/>
      <c r="B264" s="648"/>
      <c r="C264" s="649"/>
      <c r="D264" s="650"/>
      <c r="E264" s="651"/>
      <c r="F264" s="656"/>
      <c r="G264" s="647"/>
      <c r="H264" s="648"/>
      <c r="I264" s="649"/>
      <c r="J264" s="650"/>
      <c r="K264" s="651"/>
      <c r="L264" s="652"/>
    </row>
    <row r="265" spans="1:12" ht="15.75" x14ac:dyDescent="0.25">
      <c r="A265" s="647"/>
      <c r="B265" s="648" t="s">
        <v>459</v>
      </c>
      <c r="C265" s="649">
        <v>12</v>
      </c>
      <c r="D265" s="650" t="s">
        <v>1318</v>
      </c>
      <c r="E265" s="651"/>
      <c r="F265" s="653"/>
      <c r="G265" s="647"/>
      <c r="H265" s="648"/>
      <c r="I265" s="649"/>
      <c r="J265" s="650"/>
      <c r="K265" s="651"/>
      <c r="L265" s="652"/>
    </row>
    <row r="266" spans="1:12" ht="15.75" x14ac:dyDescent="0.25">
      <c r="A266" s="647"/>
      <c r="B266" s="648"/>
      <c r="C266" s="649"/>
      <c r="D266" s="655" t="s">
        <v>166</v>
      </c>
      <c r="E266" s="651"/>
      <c r="F266" s="656">
        <v>0.44444444444444442</v>
      </c>
      <c r="G266" s="647"/>
      <c r="H266" s="648"/>
      <c r="I266" s="649"/>
      <c r="J266" s="650"/>
      <c r="K266" s="651"/>
      <c r="L266" s="652"/>
    </row>
    <row r="267" spans="1:12" ht="15.75" x14ac:dyDescent="0.25">
      <c r="A267" s="647" t="s">
        <v>961</v>
      </c>
      <c r="B267" s="648"/>
      <c r="C267" s="649"/>
      <c r="D267" s="650" t="s">
        <v>160</v>
      </c>
      <c r="E267" s="651"/>
      <c r="F267" s="653">
        <v>0.48958333333333331</v>
      </c>
      <c r="G267" s="647"/>
      <c r="H267" s="648"/>
      <c r="I267" s="649"/>
      <c r="J267" s="650"/>
      <c r="K267" s="651"/>
      <c r="L267" s="658"/>
    </row>
    <row r="268" spans="1:12" ht="15.75" x14ac:dyDescent="0.25">
      <c r="A268" s="647"/>
      <c r="B268" s="648"/>
      <c r="C268" s="649"/>
      <c r="D268" s="655" t="s">
        <v>962</v>
      </c>
      <c r="E268" s="651"/>
      <c r="F268" s="656">
        <v>0.5</v>
      </c>
      <c r="G268" s="647"/>
      <c r="H268" s="648"/>
      <c r="I268" s="649"/>
      <c r="J268" s="655"/>
      <c r="K268" s="651"/>
      <c r="L268" s="658"/>
    </row>
    <row r="269" spans="1:12" ht="15.75" x14ac:dyDescent="0.25">
      <c r="A269" s="647"/>
      <c r="B269" s="648"/>
      <c r="C269" s="649"/>
      <c r="D269" s="655" t="s">
        <v>960</v>
      </c>
      <c r="E269" s="651"/>
      <c r="F269" s="656">
        <v>0.53125</v>
      </c>
      <c r="G269" s="647"/>
      <c r="H269" s="648"/>
      <c r="I269" s="649"/>
      <c r="J269" s="650"/>
      <c r="K269" s="651"/>
      <c r="L269" s="658"/>
    </row>
    <row r="270" spans="1:12" ht="15.75" x14ac:dyDescent="0.25">
      <c r="A270" s="647" t="s">
        <v>961</v>
      </c>
      <c r="B270" s="654"/>
      <c r="C270" s="649"/>
      <c r="D270" s="650" t="s">
        <v>163</v>
      </c>
      <c r="E270" s="651"/>
      <c r="F270" s="653">
        <v>0.58333333333333337</v>
      </c>
      <c r="G270" s="647"/>
      <c r="H270" s="648"/>
      <c r="I270" s="649"/>
      <c r="J270" s="650"/>
      <c r="K270" s="651"/>
      <c r="L270" s="652"/>
    </row>
    <row r="271" spans="1:12" ht="15.75" x14ac:dyDescent="0.25">
      <c r="A271" s="647"/>
      <c r="B271" s="648"/>
      <c r="C271" s="649"/>
      <c r="D271" s="655" t="s">
        <v>164</v>
      </c>
      <c r="E271" s="651"/>
      <c r="F271" s="656">
        <v>0.61805555555555558</v>
      </c>
      <c r="G271" s="647"/>
      <c r="H271" s="648"/>
      <c r="I271" s="649"/>
      <c r="J271" s="650"/>
      <c r="K271" s="651"/>
      <c r="L271" s="652"/>
    </row>
    <row r="272" spans="1:12" ht="15.75" x14ac:dyDescent="0.25">
      <c r="A272" s="647"/>
      <c r="B272" s="648"/>
      <c r="C272" s="649"/>
      <c r="D272" s="655" t="s">
        <v>166</v>
      </c>
      <c r="E272" s="657">
        <v>0.63194444444444442</v>
      </c>
      <c r="F272" s="656"/>
      <c r="G272" s="647"/>
      <c r="H272" s="648"/>
      <c r="I272" s="649"/>
      <c r="J272" s="650"/>
      <c r="K272" s="651"/>
      <c r="L272" s="652"/>
    </row>
    <row r="273" spans="1:12" ht="15.75" x14ac:dyDescent="0.25">
      <c r="A273" s="647"/>
      <c r="B273" s="648" t="s">
        <v>462</v>
      </c>
      <c r="C273" s="649" t="s">
        <v>459</v>
      </c>
      <c r="D273" s="650"/>
      <c r="E273" s="651"/>
      <c r="F273" s="653"/>
      <c r="G273" s="647"/>
      <c r="H273" s="648"/>
      <c r="I273" s="649"/>
      <c r="J273" s="650"/>
      <c r="K273" s="651"/>
      <c r="L273" s="652"/>
    </row>
    <row r="274" spans="1:12" ht="15.75" x14ac:dyDescent="0.25">
      <c r="A274" s="647"/>
      <c r="B274" s="648"/>
      <c r="C274" s="649"/>
      <c r="D274" s="655"/>
      <c r="E274" s="657"/>
      <c r="F274" s="653"/>
      <c r="G274" s="647"/>
      <c r="H274" s="648"/>
      <c r="I274" s="649"/>
      <c r="J274" s="650"/>
      <c r="K274" s="651"/>
      <c r="L274" s="652"/>
    </row>
    <row r="275" spans="1:12" ht="15.75" x14ac:dyDescent="0.25">
      <c r="A275" s="647"/>
      <c r="B275" s="648"/>
      <c r="C275" s="649"/>
      <c r="D275" s="650"/>
      <c r="E275" s="651"/>
      <c r="F275" s="652"/>
      <c r="G275" s="647"/>
      <c r="H275" s="648"/>
      <c r="I275" s="649"/>
      <c r="J275" s="650"/>
      <c r="K275" s="651"/>
      <c r="L275" s="652"/>
    </row>
    <row r="276" spans="1:12" ht="15.75" x14ac:dyDescent="0.25">
      <c r="A276" s="647"/>
      <c r="B276" s="648"/>
      <c r="C276" s="649"/>
      <c r="D276" s="655"/>
      <c r="E276" s="657"/>
      <c r="F276" s="656"/>
      <c r="G276" s="647"/>
      <c r="H276" s="648"/>
      <c r="I276" s="649"/>
      <c r="J276" s="650"/>
      <c r="K276" s="651"/>
      <c r="L276" s="652"/>
    </row>
    <row r="277" spans="1:12" ht="15.75" x14ac:dyDescent="0.25">
      <c r="A277" s="647"/>
      <c r="B277" s="648"/>
      <c r="C277" s="649"/>
      <c r="D277" s="650"/>
      <c r="E277" s="651"/>
      <c r="F277" s="653"/>
      <c r="G277" s="647"/>
      <c r="H277" s="648"/>
      <c r="I277" s="649"/>
      <c r="J277" s="650"/>
      <c r="K277" s="651"/>
      <c r="L277" s="658"/>
    </row>
    <row r="278" spans="1:12" ht="15.75" x14ac:dyDescent="0.25">
      <c r="A278" s="647"/>
      <c r="B278" s="648"/>
      <c r="C278" s="649"/>
      <c r="D278" s="655"/>
      <c r="E278" s="657"/>
      <c r="F278" s="653"/>
      <c r="G278" s="647"/>
      <c r="H278" s="648"/>
      <c r="I278" s="649"/>
      <c r="J278" s="655"/>
      <c r="K278" s="651"/>
      <c r="L278" s="658"/>
    </row>
    <row r="279" spans="1:12" ht="15.75" x14ac:dyDescent="0.25">
      <c r="A279" s="647"/>
      <c r="B279" s="648"/>
      <c r="C279" s="649"/>
      <c r="D279" s="650"/>
      <c r="E279" s="651"/>
      <c r="F279" s="652"/>
      <c r="G279" s="647"/>
      <c r="H279" s="648"/>
      <c r="I279" s="649"/>
      <c r="J279" s="650"/>
      <c r="K279" s="651"/>
      <c r="L279" s="658"/>
    </row>
    <row r="280" spans="1:12" ht="16.5" thickBot="1" x14ac:dyDescent="0.3">
      <c r="A280" s="659"/>
      <c r="B280" s="660"/>
      <c r="C280" s="661"/>
      <c r="D280" s="662"/>
      <c r="E280" s="663"/>
      <c r="F280" s="664"/>
      <c r="G280" s="665"/>
      <c r="H280" s="666"/>
      <c r="I280" s="667"/>
      <c r="J280" s="668"/>
      <c r="K280" s="663"/>
      <c r="L280" s="669"/>
    </row>
    <row r="281" spans="1:12" ht="21" x14ac:dyDescent="0.35">
      <c r="A281" s="781" t="s">
        <v>945</v>
      </c>
      <c r="B281" s="782"/>
      <c r="C281" s="782"/>
      <c r="D281" s="782"/>
      <c r="E281" s="782"/>
      <c r="F281" s="782"/>
      <c r="G281" s="782"/>
      <c r="H281" s="782"/>
      <c r="I281" s="782"/>
      <c r="J281" s="782"/>
      <c r="K281" s="782"/>
      <c r="L281" s="783"/>
    </row>
    <row r="282" spans="1:12" ht="18.75" x14ac:dyDescent="0.3">
      <c r="A282" s="784" t="s">
        <v>946</v>
      </c>
      <c r="B282" s="785"/>
      <c r="C282" s="785"/>
      <c r="D282" s="785"/>
      <c r="E282" s="785"/>
      <c r="F282" s="785"/>
      <c r="G282" s="785"/>
      <c r="H282" s="785"/>
      <c r="I282" s="785"/>
      <c r="J282" s="785"/>
      <c r="K282" s="785"/>
      <c r="L282" s="786"/>
    </row>
    <row r="283" spans="1:12" ht="24" x14ac:dyDescent="0.4">
      <c r="A283" s="787" t="s">
        <v>947</v>
      </c>
      <c r="B283" s="788"/>
      <c r="C283" s="788"/>
      <c r="D283" s="788"/>
      <c r="E283" s="788"/>
      <c r="F283" s="788"/>
      <c r="G283" s="788"/>
      <c r="H283" s="788"/>
      <c r="I283" s="788"/>
      <c r="J283" s="788"/>
      <c r="K283" s="788"/>
      <c r="L283" s="789"/>
    </row>
    <row r="284" spans="1:12" ht="24" x14ac:dyDescent="0.4">
      <c r="A284" s="623" t="s">
        <v>1279</v>
      </c>
      <c r="B284" s="624"/>
      <c r="C284" s="624"/>
      <c r="D284" s="625" t="s">
        <v>949</v>
      </c>
      <c r="E284" s="790" t="s">
        <v>683</v>
      </c>
      <c r="F284" s="790"/>
      <c r="G284" s="790"/>
      <c r="H284" s="790"/>
      <c r="I284" s="790"/>
      <c r="J284" s="626" t="s">
        <v>1022</v>
      </c>
      <c r="K284" s="790"/>
      <c r="L284" s="791"/>
    </row>
    <row r="285" spans="1:12" ht="15.75" thickBot="1" x14ac:dyDescent="0.3">
      <c r="A285" s="627"/>
      <c r="B285" s="628"/>
      <c r="C285" s="628"/>
      <c r="D285" s="629"/>
      <c r="E285" s="628"/>
      <c r="F285" s="628"/>
      <c r="G285" s="628"/>
      <c r="H285" s="628"/>
      <c r="I285" s="792"/>
      <c r="J285" s="792"/>
      <c r="K285" s="628"/>
      <c r="L285" s="630"/>
    </row>
    <row r="286" spans="1:12" ht="16.5" thickBot="1" x14ac:dyDescent="0.3">
      <c r="A286" s="631" t="s">
        <v>952</v>
      </c>
      <c r="B286" s="632"/>
      <c r="C286" s="633"/>
      <c r="D286" s="634" t="s">
        <v>953</v>
      </c>
      <c r="E286" s="631" t="s">
        <v>954</v>
      </c>
      <c r="F286" s="635" t="s">
        <v>955</v>
      </c>
      <c r="G286" s="631" t="s">
        <v>952</v>
      </c>
      <c r="H286" s="632"/>
      <c r="I286" s="633"/>
      <c r="J286" s="634" t="s">
        <v>953</v>
      </c>
      <c r="K286" s="631" t="s">
        <v>954</v>
      </c>
      <c r="L286" s="631" t="s">
        <v>955</v>
      </c>
    </row>
    <row r="287" spans="1:12" ht="15.75" x14ac:dyDescent="0.25">
      <c r="A287" s="636"/>
      <c r="B287" s="637"/>
      <c r="C287" s="638"/>
      <c r="D287" s="639"/>
      <c r="E287" s="640"/>
      <c r="F287" s="641"/>
      <c r="G287" s="636"/>
      <c r="H287" s="642"/>
      <c r="I287" s="643"/>
      <c r="J287" s="644"/>
      <c r="K287" s="645"/>
      <c r="L287" s="646"/>
    </row>
    <row r="288" spans="1:12" ht="15.75" x14ac:dyDescent="0.25">
      <c r="A288" s="647"/>
      <c r="B288" s="648" t="s">
        <v>459</v>
      </c>
      <c r="C288" s="649">
        <v>8</v>
      </c>
      <c r="D288" s="650" t="s">
        <v>1319</v>
      </c>
      <c r="E288" s="651"/>
      <c r="F288" s="652"/>
      <c r="G288" s="647"/>
      <c r="H288" s="648" t="s">
        <v>459</v>
      </c>
      <c r="I288" s="649">
        <v>43</v>
      </c>
      <c r="J288" s="650" t="s">
        <v>1043</v>
      </c>
      <c r="K288" s="651"/>
      <c r="L288" s="653"/>
    </row>
    <row r="289" spans="1:12" ht="15.75" x14ac:dyDescent="0.25">
      <c r="A289" s="647" t="s">
        <v>958</v>
      </c>
      <c r="B289" s="654"/>
      <c r="C289" s="649"/>
      <c r="D289" s="655" t="s">
        <v>959</v>
      </c>
      <c r="E289" s="651"/>
      <c r="F289" s="656">
        <v>0.23958333333333334</v>
      </c>
      <c r="G289" s="647"/>
      <c r="H289" s="654"/>
      <c r="I289" s="649"/>
      <c r="J289" s="655" t="s">
        <v>960</v>
      </c>
      <c r="K289" s="651"/>
      <c r="L289" s="656">
        <v>0.65972222222222221</v>
      </c>
    </row>
    <row r="290" spans="1:12" ht="15.75" x14ac:dyDescent="0.25">
      <c r="A290" s="647" t="s">
        <v>961</v>
      </c>
      <c r="B290" s="648"/>
      <c r="C290" s="649"/>
      <c r="D290" s="650" t="s">
        <v>160</v>
      </c>
      <c r="E290" s="651"/>
      <c r="F290" s="653">
        <v>0.27430555555555558</v>
      </c>
      <c r="G290" s="647" t="s">
        <v>961</v>
      </c>
      <c r="H290" s="654"/>
      <c r="I290" s="649"/>
      <c r="J290" s="650" t="s">
        <v>163</v>
      </c>
      <c r="K290" s="651"/>
      <c r="L290" s="653">
        <v>0.71527777777777779</v>
      </c>
    </row>
    <row r="291" spans="1:12" ht="15.75" x14ac:dyDescent="0.25">
      <c r="A291" s="647"/>
      <c r="B291" s="648"/>
      <c r="C291" s="649"/>
      <c r="D291" s="655" t="s">
        <v>962</v>
      </c>
      <c r="E291" s="651"/>
      <c r="F291" s="656">
        <v>0.28125</v>
      </c>
      <c r="G291" s="647"/>
      <c r="H291" s="648"/>
      <c r="I291" s="649"/>
      <c r="J291" s="655" t="s">
        <v>164</v>
      </c>
      <c r="K291" s="651"/>
      <c r="L291" s="656">
        <v>0.74305555555555558</v>
      </c>
    </row>
    <row r="292" spans="1:12" ht="15.75" x14ac:dyDescent="0.25">
      <c r="A292" s="647"/>
      <c r="B292" s="648"/>
      <c r="C292" s="649"/>
      <c r="D292" s="655" t="s">
        <v>960</v>
      </c>
      <c r="E292" s="651"/>
      <c r="F292" s="656">
        <v>0.30555555555555558</v>
      </c>
      <c r="G292" s="647"/>
      <c r="H292" s="648"/>
      <c r="I292" s="649"/>
      <c r="J292" s="655" t="s">
        <v>166</v>
      </c>
      <c r="K292" s="657">
        <v>0.75694444444444442</v>
      </c>
      <c r="L292" s="656"/>
    </row>
    <row r="293" spans="1:12" ht="15.75" x14ac:dyDescent="0.25">
      <c r="A293" s="647" t="s">
        <v>961</v>
      </c>
      <c r="B293" s="654"/>
      <c r="C293" s="649"/>
      <c r="D293" s="650" t="s">
        <v>163</v>
      </c>
      <c r="E293" s="651"/>
      <c r="F293" s="653">
        <v>0.35069444444444442</v>
      </c>
      <c r="G293" s="647"/>
      <c r="H293" s="648" t="s">
        <v>459</v>
      </c>
      <c r="I293" s="649">
        <v>43</v>
      </c>
      <c r="J293" s="650" t="s">
        <v>1320</v>
      </c>
      <c r="K293" s="651"/>
      <c r="L293" s="658"/>
    </row>
    <row r="294" spans="1:12" ht="15.75" x14ac:dyDescent="0.25">
      <c r="A294" s="647"/>
      <c r="B294" s="648"/>
      <c r="C294" s="649"/>
      <c r="D294" s="655" t="s">
        <v>164</v>
      </c>
      <c r="E294" s="651"/>
      <c r="F294" s="656">
        <v>0.375</v>
      </c>
      <c r="G294" s="647"/>
      <c r="H294" s="648"/>
      <c r="I294" s="649"/>
      <c r="J294" s="655"/>
      <c r="K294" s="651"/>
      <c r="L294" s="656"/>
    </row>
    <row r="295" spans="1:12" ht="15.75" x14ac:dyDescent="0.25">
      <c r="A295" s="647"/>
      <c r="B295" s="648"/>
      <c r="C295" s="649"/>
      <c r="D295" s="655" t="s">
        <v>166</v>
      </c>
      <c r="E295" s="657">
        <v>0.3888888888888889</v>
      </c>
      <c r="F295" s="656"/>
      <c r="G295" s="647"/>
      <c r="H295" s="648" t="s">
        <v>459</v>
      </c>
      <c r="I295" s="649">
        <v>71</v>
      </c>
      <c r="J295" s="650" t="s">
        <v>1321</v>
      </c>
      <c r="K295" s="651"/>
      <c r="L295" s="653"/>
    </row>
    <row r="296" spans="1:12" ht="15.75" x14ac:dyDescent="0.25">
      <c r="A296" s="647"/>
      <c r="B296" s="648" t="s">
        <v>459</v>
      </c>
      <c r="C296" s="649">
        <v>8</v>
      </c>
      <c r="D296" s="650" t="s">
        <v>1322</v>
      </c>
      <c r="E296" s="651"/>
      <c r="F296" s="658"/>
      <c r="G296" s="647"/>
      <c r="H296" s="648"/>
      <c r="I296" s="649"/>
      <c r="J296" s="655" t="s">
        <v>166</v>
      </c>
      <c r="K296" s="651"/>
      <c r="L296" s="656">
        <v>0.75694444444444442</v>
      </c>
    </row>
    <row r="297" spans="1:12" ht="15.75" x14ac:dyDescent="0.25">
      <c r="A297" s="647"/>
      <c r="B297" s="648"/>
      <c r="C297" s="649"/>
      <c r="D297" s="650"/>
      <c r="E297" s="651"/>
      <c r="F297" s="656"/>
      <c r="G297" s="647" t="s">
        <v>961</v>
      </c>
      <c r="H297" s="648"/>
      <c r="I297" s="649"/>
      <c r="J297" s="650" t="s">
        <v>160</v>
      </c>
      <c r="K297" s="651"/>
      <c r="L297" s="653">
        <v>0.80555555555555558</v>
      </c>
    </row>
    <row r="298" spans="1:12" ht="15.75" x14ac:dyDescent="0.25">
      <c r="A298" s="647"/>
      <c r="B298" s="648" t="s">
        <v>459</v>
      </c>
      <c r="C298" s="649">
        <v>204</v>
      </c>
      <c r="D298" s="650" t="s">
        <v>1323</v>
      </c>
      <c r="E298" s="651"/>
      <c r="F298" s="653"/>
      <c r="G298" s="647"/>
      <c r="H298" s="648"/>
      <c r="I298" s="649"/>
      <c r="J298" s="655" t="s">
        <v>962</v>
      </c>
      <c r="K298" s="651"/>
      <c r="L298" s="656">
        <v>0.8125</v>
      </c>
    </row>
    <row r="299" spans="1:12" ht="15.75" x14ac:dyDescent="0.25">
      <c r="A299" s="647"/>
      <c r="B299" s="648"/>
      <c r="C299" s="649"/>
      <c r="D299" s="655" t="s">
        <v>166</v>
      </c>
      <c r="E299" s="651"/>
      <c r="F299" s="656">
        <v>0.3888888888888889</v>
      </c>
      <c r="G299" s="647"/>
      <c r="H299" s="654"/>
      <c r="I299" s="649"/>
      <c r="J299" s="655" t="s">
        <v>960</v>
      </c>
      <c r="K299" s="651"/>
      <c r="L299" s="656">
        <v>0.84027777777777779</v>
      </c>
    </row>
    <row r="300" spans="1:12" ht="15.75" x14ac:dyDescent="0.25">
      <c r="A300" s="647" t="s">
        <v>961</v>
      </c>
      <c r="B300" s="648"/>
      <c r="C300" s="649"/>
      <c r="D300" s="650" t="s">
        <v>160</v>
      </c>
      <c r="E300" s="651"/>
      <c r="F300" s="653">
        <v>0.43055555555555558</v>
      </c>
      <c r="G300" s="647" t="s">
        <v>961</v>
      </c>
      <c r="H300" s="654"/>
      <c r="I300" s="649"/>
      <c r="J300" s="650" t="s">
        <v>163</v>
      </c>
      <c r="K300" s="651"/>
      <c r="L300" s="653">
        <v>0.88541666666666663</v>
      </c>
    </row>
    <row r="301" spans="1:12" ht="15.75" x14ac:dyDescent="0.25">
      <c r="A301" s="647"/>
      <c r="B301" s="648"/>
      <c r="C301" s="649"/>
      <c r="D301" s="655" t="s">
        <v>962</v>
      </c>
      <c r="E301" s="651"/>
      <c r="F301" s="656">
        <v>0.4375</v>
      </c>
      <c r="G301" s="647"/>
      <c r="H301" s="648"/>
      <c r="I301" s="649"/>
      <c r="J301" s="655" t="s">
        <v>164</v>
      </c>
      <c r="K301" s="651"/>
      <c r="L301" s="656">
        <v>0.90625</v>
      </c>
    </row>
    <row r="302" spans="1:12" ht="15.75" x14ac:dyDescent="0.25">
      <c r="A302" s="647"/>
      <c r="B302" s="654"/>
      <c r="C302" s="649"/>
      <c r="D302" s="655" t="s">
        <v>960</v>
      </c>
      <c r="E302" s="651"/>
      <c r="F302" s="656">
        <v>0.46875</v>
      </c>
      <c r="G302" s="647"/>
      <c r="H302" s="648"/>
      <c r="I302" s="649"/>
      <c r="J302" s="655" t="s">
        <v>166</v>
      </c>
      <c r="K302" s="657">
        <v>0.91666666666666663</v>
      </c>
      <c r="L302" s="656"/>
    </row>
    <row r="303" spans="1:12" ht="15.75" x14ac:dyDescent="0.25">
      <c r="A303" s="647" t="s">
        <v>961</v>
      </c>
      <c r="B303" s="654"/>
      <c r="C303" s="649"/>
      <c r="D303" s="650" t="s">
        <v>163</v>
      </c>
      <c r="E303" s="651"/>
      <c r="F303" s="653">
        <v>0.52430555555555558</v>
      </c>
      <c r="G303" s="647"/>
      <c r="H303" s="648" t="s">
        <v>459</v>
      </c>
      <c r="I303" s="649">
        <v>71</v>
      </c>
      <c r="J303" s="650" t="s">
        <v>1324</v>
      </c>
      <c r="K303" s="651"/>
      <c r="L303" s="658"/>
    </row>
    <row r="304" spans="1:12" ht="15.75" x14ac:dyDescent="0.25">
      <c r="A304" s="647"/>
      <c r="B304" s="648"/>
      <c r="C304" s="649"/>
      <c r="D304" s="655" t="s">
        <v>164</v>
      </c>
      <c r="E304" s="651"/>
      <c r="F304" s="656">
        <v>0.55555555555555558</v>
      </c>
      <c r="G304" s="647"/>
      <c r="H304" s="648"/>
      <c r="I304" s="649"/>
      <c r="J304" s="650"/>
      <c r="K304" s="651"/>
      <c r="L304" s="656"/>
    </row>
    <row r="305" spans="1:12" ht="15.75" x14ac:dyDescent="0.25">
      <c r="A305" s="647"/>
      <c r="B305" s="648"/>
      <c r="C305" s="649"/>
      <c r="D305" s="655" t="s">
        <v>166</v>
      </c>
      <c r="E305" s="657">
        <v>0.56944444444444442</v>
      </c>
      <c r="F305" s="656"/>
      <c r="G305" s="647"/>
      <c r="H305" s="648" t="s">
        <v>459</v>
      </c>
      <c r="I305" s="649">
        <v>45</v>
      </c>
      <c r="J305" s="650" t="s">
        <v>1325</v>
      </c>
      <c r="K305" s="651"/>
      <c r="L305" s="653"/>
    </row>
    <row r="306" spans="1:12" ht="15.75" x14ac:dyDescent="0.25">
      <c r="A306" s="647"/>
      <c r="B306" s="648" t="s">
        <v>459</v>
      </c>
      <c r="C306" s="649">
        <v>204</v>
      </c>
      <c r="D306" s="650" t="s">
        <v>1326</v>
      </c>
      <c r="E306" s="651"/>
      <c r="F306" s="658"/>
      <c r="G306" s="647"/>
      <c r="H306" s="648"/>
      <c r="I306" s="649"/>
      <c r="J306" s="655" t="s">
        <v>166</v>
      </c>
      <c r="K306" s="651"/>
      <c r="L306" s="656">
        <v>0.91666666666666663</v>
      </c>
    </row>
    <row r="307" spans="1:12" ht="15.75" x14ac:dyDescent="0.25">
      <c r="A307" s="647"/>
      <c r="B307" s="648"/>
      <c r="C307" s="649"/>
      <c r="D307" s="650"/>
      <c r="E307" s="651"/>
      <c r="F307" s="656"/>
      <c r="G307" s="647" t="s">
        <v>961</v>
      </c>
      <c r="H307" s="648"/>
      <c r="I307" s="649"/>
      <c r="J307" s="650" t="s">
        <v>160</v>
      </c>
      <c r="K307" s="651"/>
      <c r="L307" s="653">
        <v>0.95138888888888884</v>
      </c>
    </row>
    <row r="308" spans="1:12" ht="15.75" x14ac:dyDescent="0.25">
      <c r="A308" s="647"/>
      <c r="B308" s="648" t="s">
        <v>459</v>
      </c>
      <c r="C308" s="649">
        <v>21</v>
      </c>
      <c r="D308" s="650" t="s">
        <v>1327</v>
      </c>
      <c r="E308" s="651"/>
      <c r="F308" s="653"/>
      <c r="G308" s="647"/>
      <c r="H308" s="648"/>
      <c r="I308" s="649"/>
      <c r="J308" s="655" t="s">
        <v>962</v>
      </c>
      <c r="K308" s="651"/>
      <c r="L308" s="656">
        <v>0.95833333333333337</v>
      </c>
    </row>
    <row r="309" spans="1:12" ht="15.75" x14ac:dyDescent="0.25">
      <c r="A309" s="647"/>
      <c r="B309" s="648"/>
      <c r="C309" s="649"/>
      <c r="D309" s="655" t="s">
        <v>166</v>
      </c>
      <c r="E309" s="651"/>
      <c r="F309" s="656">
        <v>0.56944444444444442</v>
      </c>
      <c r="G309" s="647"/>
      <c r="H309" s="654"/>
      <c r="I309" s="649"/>
      <c r="J309" s="655" t="s">
        <v>960</v>
      </c>
      <c r="K309" s="651"/>
      <c r="L309" s="656">
        <v>0.98263888888888884</v>
      </c>
    </row>
    <row r="310" spans="1:12" ht="15.75" x14ac:dyDescent="0.25">
      <c r="A310" s="647" t="s">
        <v>961</v>
      </c>
      <c r="B310" s="648"/>
      <c r="C310" s="649"/>
      <c r="D310" s="650" t="s">
        <v>160</v>
      </c>
      <c r="E310" s="651"/>
      <c r="F310" s="653">
        <v>0.62152777777777779</v>
      </c>
      <c r="G310" s="647" t="s">
        <v>958</v>
      </c>
      <c r="H310" s="654"/>
      <c r="I310" s="649"/>
      <c r="J310" s="650" t="s">
        <v>163</v>
      </c>
      <c r="K310" s="657">
        <v>1.0243055555555556</v>
      </c>
      <c r="L310" s="653"/>
    </row>
    <row r="311" spans="1:12" ht="15.75" x14ac:dyDescent="0.25">
      <c r="A311" s="647"/>
      <c r="B311" s="648"/>
      <c r="C311" s="649"/>
      <c r="D311" s="655" t="s">
        <v>962</v>
      </c>
      <c r="E311" s="651"/>
      <c r="F311" s="656">
        <v>0.63194444444444442</v>
      </c>
      <c r="G311" s="647"/>
      <c r="H311" s="648"/>
      <c r="I311" s="649"/>
      <c r="J311" s="650" t="s">
        <v>963</v>
      </c>
      <c r="K311" s="657">
        <v>4.8611111111111112E-2</v>
      </c>
      <c r="L311" s="656"/>
    </row>
    <row r="312" spans="1:12" ht="15.75" x14ac:dyDescent="0.25">
      <c r="A312" s="647"/>
      <c r="B312" s="654"/>
      <c r="C312" s="649"/>
      <c r="D312" s="655" t="s">
        <v>960</v>
      </c>
      <c r="E312" s="657">
        <v>0.65972222222222221</v>
      </c>
      <c r="F312" s="656"/>
      <c r="G312" s="647"/>
      <c r="H312" s="648" t="s">
        <v>462</v>
      </c>
      <c r="I312" s="649" t="s">
        <v>459</v>
      </c>
      <c r="J312" s="650"/>
      <c r="K312" s="657"/>
      <c r="L312" s="653"/>
    </row>
    <row r="313" spans="1:12" ht="15.75" x14ac:dyDescent="0.25">
      <c r="A313" s="647"/>
      <c r="B313" s="648" t="s">
        <v>462</v>
      </c>
      <c r="C313" s="649" t="s">
        <v>459</v>
      </c>
      <c r="D313" s="650"/>
      <c r="E313" s="651"/>
      <c r="F313" s="653"/>
      <c r="G313" s="647"/>
      <c r="H313" s="648"/>
      <c r="I313" s="649"/>
      <c r="J313" s="650"/>
      <c r="K313" s="651"/>
      <c r="L313" s="652"/>
    </row>
    <row r="314" spans="1:12" ht="15.75" x14ac:dyDescent="0.25">
      <c r="A314" s="647"/>
      <c r="B314" s="648"/>
      <c r="C314" s="649"/>
      <c r="D314" s="655"/>
      <c r="E314" s="651"/>
      <c r="F314" s="656"/>
      <c r="G314" s="647"/>
      <c r="H314" s="648"/>
      <c r="I314" s="649"/>
      <c r="J314" s="650"/>
      <c r="K314" s="651"/>
      <c r="L314" s="652"/>
    </row>
    <row r="315" spans="1:12" ht="15.75" x14ac:dyDescent="0.25">
      <c r="A315" s="647"/>
      <c r="B315" s="648"/>
      <c r="C315" s="649"/>
      <c r="D315" s="655"/>
      <c r="E315" s="657"/>
      <c r="F315" s="656"/>
      <c r="G315" s="647"/>
      <c r="H315" s="648"/>
      <c r="I315" s="649"/>
      <c r="J315" s="650"/>
      <c r="K315" s="651"/>
      <c r="L315" s="658"/>
    </row>
    <row r="316" spans="1:12" ht="15.75" x14ac:dyDescent="0.25">
      <c r="A316" s="647"/>
      <c r="B316" s="648"/>
      <c r="C316" s="649"/>
      <c r="D316" s="650"/>
      <c r="E316" s="651"/>
      <c r="F316" s="658"/>
      <c r="G316" s="647"/>
      <c r="H316" s="648"/>
      <c r="I316" s="649"/>
      <c r="J316" s="655"/>
      <c r="K316" s="651"/>
      <c r="L316" s="658"/>
    </row>
    <row r="317" spans="1:12" ht="15.75" x14ac:dyDescent="0.25">
      <c r="A317" s="647"/>
      <c r="B317" s="654"/>
      <c r="C317" s="649"/>
      <c r="D317" s="650"/>
      <c r="E317" s="657"/>
      <c r="F317" s="653"/>
      <c r="G317" s="647"/>
      <c r="H317" s="648"/>
      <c r="I317" s="649"/>
      <c r="J317" s="650"/>
      <c r="K317" s="651"/>
      <c r="L317" s="658"/>
    </row>
    <row r="318" spans="1:12" ht="15.75" x14ac:dyDescent="0.25">
      <c r="A318" s="647"/>
      <c r="B318" s="648"/>
      <c r="C318" s="649"/>
      <c r="D318" s="650"/>
      <c r="E318" s="657"/>
      <c r="F318" s="653"/>
      <c r="G318" s="647"/>
      <c r="H318" s="648"/>
      <c r="I318" s="649"/>
      <c r="J318" s="655"/>
      <c r="K318" s="651"/>
      <c r="L318" s="658"/>
    </row>
    <row r="319" spans="1:12" ht="15.75" x14ac:dyDescent="0.25">
      <c r="A319" s="647"/>
      <c r="B319" s="648"/>
      <c r="C319" s="649"/>
      <c r="D319" s="650"/>
      <c r="E319" s="657"/>
      <c r="F319" s="652"/>
      <c r="G319" s="647"/>
      <c r="H319" s="648"/>
      <c r="I319" s="649"/>
      <c r="J319" s="650"/>
      <c r="K319" s="651"/>
      <c r="L319" s="658"/>
    </row>
    <row r="320" spans="1:12" ht="16.5" thickBot="1" x14ac:dyDescent="0.3">
      <c r="A320" s="659"/>
      <c r="B320" s="660"/>
      <c r="C320" s="661"/>
      <c r="D320" s="662"/>
      <c r="E320" s="663"/>
      <c r="F320" s="664"/>
      <c r="G320" s="665"/>
      <c r="H320" s="666"/>
      <c r="I320" s="667"/>
      <c r="J320" s="668"/>
      <c r="K320" s="663"/>
      <c r="L320" s="669"/>
    </row>
    <row r="321" spans="1:12" ht="21" x14ac:dyDescent="0.35">
      <c r="A321" s="781" t="s">
        <v>945</v>
      </c>
      <c r="B321" s="782"/>
      <c r="C321" s="782"/>
      <c r="D321" s="782"/>
      <c r="E321" s="782"/>
      <c r="F321" s="782"/>
      <c r="G321" s="782"/>
      <c r="H321" s="782"/>
      <c r="I321" s="782"/>
      <c r="J321" s="782"/>
      <c r="K321" s="782"/>
      <c r="L321" s="783"/>
    </row>
    <row r="322" spans="1:12" ht="18.75" x14ac:dyDescent="0.3">
      <c r="A322" s="784" t="s">
        <v>946</v>
      </c>
      <c r="B322" s="785"/>
      <c r="C322" s="785"/>
      <c r="D322" s="785"/>
      <c r="E322" s="785"/>
      <c r="F322" s="785"/>
      <c r="G322" s="785"/>
      <c r="H322" s="785"/>
      <c r="I322" s="785"/>
      <c r="J322" s="785"/>
      <c r="K322" s="785"/>
      <c r="L322" s="786"/>
    </row>
    <row r="323" spans="1:12" ht="24" x14ac:dyDescent="0.4">
      <c r="A323" s="787" t="s">
        <v>947</v>
      </c>
      <c r="B323" s="788"/>
      <c r="C323" s="788"/>
      <c r="D323" s="788"/>
      <c r="E323" s="788"/>
      <c r="F323" s="788"/>
      <c r="G323" s="788"/>
      <c r="H323" s="788"/>
      <c r="I323" s="788"/>
      <c r="J323" s="788"/>
      <c r="K323" s="788"/>
      <c r="L323" s="789"/>
    </row>
    <row r="324" spans="1:12" ht="24" x14ac:dyDescent="0.4">
      <c r="A324" s="623" t="s">
        <v>1279</v>
      </c>
      <c r="B324" s="624"/>
      <c r="C324" s="624"/>
      <c r="D324" s="625" t="s">
        <v>949</v>
      </c>
      <c r="E324" s="790" t="s">
        <v>683</v>
      </c>
      <c r="F324" s="790"/>
      <c r="G324" s="790"/>
      <c r="H324" s="790"/>
      <c r="I324" s="790"/>
      <c r="J324" s="626" t="s">
        <v>1031</v>
      </c>
      <c r="K324" s="790"/>
      <c r="L324" s="791"/>
    </row>
    <row r="325" spans="1:12" ht="15.75" thickBot="1" x14ac:dyDescent="0.3">
      <c r="A325" s="627"/>
      <c r="B325" s="628"/>
      <c r="C325" s="628"/>
      <c r="D325" s="629"/>
      <c r="E325" s="628"/>
      <c r="F325" s="628"/>
      <c r="G325" s="628"/>
      <c r="H325" s="628"/>
      <c r="I325" s="792"/>
      <c r="J325" s="792"/>
      <c r="K325" s="628"/>
      <c r="L325" s="630"/>
    </row>
    <row r="326" spans="1:12" ht="16.5" thickBot="1" x14ac:dyDescent="0.3">
      <c r="A326" s="631" t="s">
        <v>952</v>
      </c>
      <c r="B326" s="632"/>
      <c r="C326" s="633"/>
      <c r="D326" s="634" t="s">
        <v>953</v>
      </c>
      <c r="E326" s="631" t="s">
        <v>954</v>
      </c>
      <c r="F326" s="635" t="s">
        <v>955</v>
      </c>
      <c r="G326" s="631" t="s">
        <v>952</v>
      </c>
      <c r="H326" s="632"/>
      <c r="I326" s="633"/>
      <c r="J326" s="634" t="s">
        <v>953</v>
      </c>
      <c r="K326" s="631" t="s">
        <v>954</v>
      </c>
      <c r="L326" s="631" t="s">
        <v>955</v>
      </c>
    </row>
    <row r="327" spans="1:12" ht="15.75" x14ac:dyDescent="0.25">
      <c r="A327" s="636"/>
      <c r="B327" s="637"/>
      <c r="C327" s="638"/>
      <c r="D327" s="639"/>
      <c r="E327" s="640"/>
      <c r="F327" s="641"/>
      <c r="G327" s="636"/>
      <c r="H327" s="642"/>
      <c r="I327" s="643"/>
      <c r="J327" s="644"/>
      <c r="K327" s="645"/>
      <c r="L327" s="646"/>
    </row>
    <row r="328" spans="1:12" ht="15.75" x14ac:dyDescent="0.25">
      <c r="A328" s="647"/>
      <c r="B328" s="648" t="s">
        <v>459</v>
      </c>
      <c r="C328" s="649">
        <v>9</v>
      </c>
      <c r="D328" s="650" t="s">
        <v>1100</v>
      </c>
      <c r="E328" s="651"/>
      <c r="F328" s="652"/>
      <c r="G328" s="647"/>
      <c r="H328" s="648" t="s">
        <v>459</v>
      </c>
      <c r="I328" s="649">
        <v>204</v>
      </c>
      <c r="J328" s="650" t="s">
        <v>1328</v>
      </c>
      <c r="K328" s="651"/>
      <c r="L328" s="653"/>
    </row>
    <row r="329" spans="1:12" ht="15.75" x14ac:dyDescent="0.25">
      <c r="A329" s="647" t="s">
        <v>958</v>
      </c>
      <c r="B329" s="654"/>
      <c r="C329" s="649"/>
      <c r="D329" s="655" t="s">
        <v>959</v>
      </c>
      <c r="E329" s="651"/>
      <c r="F329" s="656">
        <v>0.24652777777777779</v>
      </c>
      <c r="G329" s="647"/>
      <c r="H329" s="648"/>
      <c r="I329" s="649"/>
      <c r="J329" s="655" t="s">
        <v>166</v>
      </c>
      <c r="K329" s="651"/>
      <c r="L329" s="656">
        <v>0.64583333333333337</v>
      </c>
    </row>
    <row r="330" spans="1:12" ht="15.75" x14ac:dyDescent="0.25">
      <c r="A330" s="647" t="s">
        <v>961</v>
      </c>
      <c r="B330" s="654"/>
      <c r="C330" s="649"/>
      <c r="D330" s="650" t="s">
        <v>163</v>
      </c>
      <c r="E330" s="651"/>
      <c r="F330" s="653">
        <v>0.27083333333333331</v>
      </c>
      <c r="G330" s="647" t="s">
        <v>961</v>
      </c>
      <c r="H330" s="648"/>
      <c r="I330" s="649"/>
      <c r="J330" s="650" t="s">
        <v>160</v>
      </c>
      <c r="K330" s="651"/>
      <c r="L330" s="653">
        <v>0.69097222222222221</v>
      </c>
    </row>
    <row r="331" spans="1:12" ht="15.75" x14ac:dyDescent="0.25">
      <c r="A331" s="647"/>
      <c r="B331" s="648"/>
      <c r="C331" s="649"/>
      <c r="D331" s="655" t="s">
        <v>164</v>
      </c>
      <c r="E331" s="651"/>
      <c r="F331" s="656">
        <v>0.29166666666666669</v>
      </c>
      <c r="G331" s="647"/>
      <c r="H331" s="648"/>
      <c r="I331" s="649"/>
      <c r="J331" s="655" t="s">
        <v>962</v>
      </c>
      <c r="K331" s="651"/>
      <c r="L331" s="656">
        <v>0.70138888888888884</v>
      </c>
    </row>
    <row r="332" spans="1:12" ht="15.75" x14ac:dyDescent="0.25">
      <c r="A332" s="647"/>
      <c r="B332" s="648"/>
      <c r="C332" s="649"/>
      <c r="D332" s="655" t="s">
        <v>166</v>
      </c>
      <c r="E332" s="651"/>
      <c r="F332" s="656">
        <v>0.30208333333333331</v>
      </c>
      <c r="G332" s="647"/>
      <c r="H332" s="654"/>
      <c r="I332" s="649"/>
      <c r="J332" s="655" t="s">
        <v>960</v>
      </c>
      <c r="K332" s="651"/>
      <c r="L332" s="656">
        <v>0.72916666666666663</v>
      </c>
    </row>
    <row r="333" spans="1:12" ht="15.75" x14ac:dyDescent="0.25">
      <c r="A333" s="647" t="s">
        <v>961</v>
      </c>
      <c r="B333" s="648"/>
      <c r="C333" s="649"/>
      <c r="D333" s="650" t="s">
        <v>160</v>
      </c>
      <c r="E333" s="651"/>
      <c r="F333" s="653">
        <v>0.33680555555555558</v>
      </c>
      <c r="G333" s="647" t="s">
        <v>958</v>
      </c>
      <c r="H333" s="654"/>
      <c r="I333" s="649"/>
      <c r="J333" s="650" t="s">
        <v>163</v>
      </c>
      <c r="K333" s="657">
        <v>0.77777777777777779</v>
      </c>
      <c r="L333" s="653"/>
    </row>
    <row r="334" spans="1:12" ht="15.75" x14ac:dyDescent="0.25">
      <c r="A334" s="647"/>
      <c r="B334" s="648"/>
      <c r="C334" s="649"/>
      <c r="D334" s="655" t="s">
        <v>962</v>
      </c>
      <c r="E334" s="651"/>
      <c r="F334" s="656">
        <v>0.34375</v>
      </c>
      <c r="G334" s="647"/>
      <c r="H334" s="648"/>
      <c r="I334" s="649"/>
      <c r="J334" s="650" t="s">
        <v>963</v>
      </c>
      <c r="K334" s="657">
        <v>0.80208333333333337</v>
      </c>
      <c r="L334" s="656"/>
    </row>
    <row r="335" spans="1:12" ht="15.75" x14ac:dyDescent="0.25">
      <c r="A335" s="647"/>
      <c r="B335" s="648"/>
      <c r="C335" s="649"/>
      <c r="D335" s="655" t="s">
        <v>960</v>
      </c>
      <c r="E335" s="657">
        <v>0.36458333333333331</v>
      </c>
      <c r="F335" s="656"/>
      <c r="G335" s="647"/>
      <c r="H335" s="648" t="s">
        <v>462</v>
      </c>
      <c r="I335" s="649" t="s">
        <v>459</v>
      </c>
      <c r="J335" s="650"/>
      <c r="K335" s="657"/>
      <c r="L335" s="653"/>
    </row>
    <row r="336" spans="1:12" ht="15.75" x14ac:dyDescent="0.25">
      <c r="A336" s="647"/>
      <c r="B336" s="648" t="s">
        <v>459</v>
      </c>
      <c r="C336" s="649">
        <v>9</v>
      </c>
      <c r="D336" s="650" t="s">
        <v>1329</v>
      </c>
      <c r="E336" s="651"/>
      <c r="F336" s="658"/>
      <c r="G336" s="647"/>
      <c r="H336" s="648"/>
      <c r="I336" s="649"/>
      <c r="J336" s="650"/>
      <c r="K336" s="657"/>
      <c r="L336" s="653"/>
    </row>
    <row r="337" spans="1:12" ht="15.75" x14ac:dyDescent="0.25">
      <c r="A337" s="647"/>
      <c r="B337" s="648"/>
      <c r="C337" s="649"/>
      <c r="D337" s="650"/>
      <c r="E337" s="651"/>
      <c r="F337" s="656"/>
      <c r="G337" s="647"/>
      <c r="H337" s="648"/>
      <c r="I337" s="649"/>
      <c r="J337" s="650"/>
      <c r="K337" s="651"/>
      <c r="L337" s="652"/>
    </row>
    <row r="338" spans="1:12" ht="15.75" x14ac:dyDescent="0.25">
      <c r="A338" s="647"/>
      <c r="B338" s="648" t="s">
        <v>459</v>
      </c>
      <c r="C338" s="649">
        <v>24</v>
      </c>
      <c r="D338" s="650" t="s">
        <v>1330</v>
      </c>
      <c r="E338" s="651"/>
      <c r="F338" s="653"/>
      <c r="G338" s="647"/>
      <c r="H338" s="648"/>
      <c r="I338" s="649"/>
      <c r="J338" s="650"/>
      <c r="K338" s="651"/>
      <c r="L338" s="652"/>
    </row>
    <row r="339" spans="1:12" ht="15.75" x14ac:dyDescent="0.25">
      <c r="A339" s="647"/>
      <c r="B339" s="648"/>
      <c r="C339" s="649"/>
      <c r="D339" s="655" t="s">
        <v>960</v>
      </c>
      <c r="E339" s="651"/>
      <c r="F339" s="656">
        <v>0.36458333333333331</v>
      </c>
      <c r="G339" s="647"/>
      <c r="H339" s="648"/>
      <c r="I339" s="649"/>
      <c r="J339" s="650"/>
      <c r="K339" s="651"/>
      <c r="L339" s="652"/>
    </row>
    <row r="340" spans="1:12" ht="15.75" x14ac:dyDescent="0.25">
      <c r="A340" s="647" t="s">
        <v>961</v>
      </c>
      <c r="B340" s="654"/>
      <c r="C340" s="649"/>
      <c r="D340" s="650" t="s">
        <v>163</v>
      </c>
      <c r="E340" s="651"/>
      <c r="F340" s="653">
        <v>0.41666666666666669</v>
      </c>
      <c r="G340" s="647"/>
      <c r="H340" s="648"/>
      <c r="I340" s="649"/>
      <c r="J340" s="650"/>
      <c r="K340" s="651"/>
      <c r="L340" s="652"/>
    </row>
    <row r="341" spans="1:12" ht="15.75" x14ac:dyDescent="0.25">
      <c r="A341" s="647"/>
      <c r="B341" s="648"/>
      <c r="C341" s="649"/>
      <c r="D341" s="655" t="s">
        <v>164</v>
      </c>
      <c r="E341" s="651"/>
      <c r="F341" s="656">
        <v>0.44444444444444442</v>
      </c>
      <c r="G341" s="647"/>
      <c r="H341" s="648"/>
      <c r="I341" s="649"/>
      <c r="J341" s="650"/>
      <c r="K341" s="651"/>
      <c r="L341" s="652"/>
    </row>
    <row r="342" spans="1:12" ht="15.75" x14ac:dyDescent="0.25">
      <c r="A342" s="647"/>
      <c r="B342" s="648"/>
      <c r="C342" s="649"/>
      <c r="D342" s="655" t="s">
        <v>166</v>
      </c>
      <c r="E342" s="651"/>
      <c r="F342" s="656">
        <v>0.45833333333333331</v>
      </c>
      <c r="G342" s="647"/>
      <c r="H342" s="648"/>
      <c r="I342" s="649"/>
      <c r="J342" s="650"/>
      <c r="K342" s="651"/>
      <c r="L342" s="652"/>
    </row>
    <row r="343" spans="1:12" ht="15.75" x14ac:dyDescent="0.25">
      <c r="A343" s="647" t="s">
        <v>961</v>
      </c>
      <c r="B343" s="648"/>
      <c r="C343" s="649"/>
      <c r="D343" s="650" t="s">
        <v>160</v>
      </c>
      <c r="E343" s="651"/>
      <c r="F343" s="653">
        <v>0.50347222222222221</v>
      </c>
      <c r="G343" s="647"/>
      <c r="H343" s="648"/>
      <c r="I343" s="649"/>
      <c r="J343" s="650"/>
      <c r="K343" s="651"/>
      <c r="L343" s="652"/>
    </row>
    <row r="344" spans="1:12" ht="15.75" x14ac:dyDescent="0.25">
      <c r="A344" s="647"/>
      <c r="B344" s="648"/>
      <c r="C344" s="649"/>
      <c r="D344" s="655" t="s">
        <v>962</v>
      </c>
      <c r="E344" s="651"/>
      <c r="F344" s="656">
        <v>0.51388888888888884</v>
      </c>
      <c r="G344" s="647"/>
      <c r="H344" s="648"/>
      <c r="I344" s="649"/>
      <c r="J344" s="650"/>
      <c r="K344" s="651"/>
      <c r="L344" s="658"/>
    </row>
    <row r="345" spans="1:12" ht="15.75" x14ac:dyDescent="0.25">
      <c r="A345" s="647"/>
      <c r="B345" s="648"/>
      <c r="C345" s="649"/>
      <c r="D345" s="655" t="s">
        <v>960</v>
      </c>
      <c r="E345" s="657">
        <v>0.54166666666666663</v>
      </c>
      <c r="F345" s="656"/>
      <c r="G345" s="647"/>
      <c r="H345" s="648"/>
      <c r="I345" s="649"/>
      <c r="J345" s="655"/>
      <c r="K345" s="651"/>
      <c r="L345" s="658"/>
    </row>
    <row r="346" spans="1:12" ht="15.75" x14ac:dyDescent="0.25">
      <c r="A346" s="647"/>
      <c r="B346" s="648" t="s">
        <v>459</v>
      </c>
      <c r="C346" s="649">
        <v>24</v>
      </c>
      <c r="D346" s="650" t="s">
        <v>1331</v>
      </c>
      <c r="E346" s="651"/>
      <c r="F346" s="658"/>
      <c r="G346" s="647"/>
      <c r="H346" s="654"/>
      <c r="I346" s="649"/>
      <c r="J346" s="650"/>
      <c r="K346" s="657"/>
      <c r="L346" s="653"/>
    </row>
    <row r="347" spans="1:12" ht="15.75" x14ac:dyDescent="0.25">
      <c r="A347" s="647"/>
      <c r="B347" s="648"/>
      <c r="C347" s="649"/>
      <c r="D347" s="650"/>
      <c r="E347" s="651"/>
      <c r="F347" s="656"/>
      <c r="G347" s="647"/>
      <c r="H347" s="648"/>
      <c r="I347" s="649"/>
      <c r="J347" s="650"/>
      <c r="K347" s="657"/>
      <c r="L347" s="656"/>
    </row>
    <row r="348" spans="1:12" ht="15.75" x14ac:dyDescent="0.25">
      <c r="A348" s="647"/>
      <c r="B348" s="648" t="s">
        <v>459</v>
      </c>
      <c r="C348" s="649">
        <v>15</v>
      </c>
      <c r="D348" s="650" t="s">
        <v>1332</v>
      </c>
      <c r="E348" s="651"/>
      <c r="F348" s="653"/>
      <c r="G348" s="647"/>
      <c r="H348" s="648"/>
      <c r="I348" s="649"/>
      <c r="J348" s="650"/>
      <c r="K348" s="657"/>
      <c r="L348" s="653"/>
    </row>
    <row r="349" spans="1:12" ht="15.75" x14ac:dyDescent="0.25">
      <c r="A349" s="647"/>
      <c r="B349" s="648"/>
      <c r="C349" s="649"/>
      <c r="D349" s="655" t="s">
        <v>960</v>
      </c>
      <c r="E349" s="651"/>
      <c r="F349" s="656">
        <v>0.54166666666666663</v>
      </c>
      <c r="G349" s="647"/>
      <c r="H349" s="648"/>
      <c r="I349" s="649"/>
      <c r="J349" s="650"/>
      <c r="K349" s="657"/>
      <c r="L349" s="653"/>
    </row>
    <row r="350" spans="1:12" ht="15.75" x14ac:dyDescent="0.25">
      <c r="A350" s="647" t="s">
        <v>961</v>
      </c>
      <c r="B350" s="654"/>
      <c r="C350" s="649"/>
      <c r="D350" s="650" t="s">
        <v>163</v>
      </c>
      <c r="E350" s="651"/>
      <c r="F350" s="653">
        <v>0.59722222222222221</v>
      </c>
      <c r="G350" s="647"/>
      <c r="H350" s="648"/>
      <c r="I350" s="649"/>
      <c r="J350" s="650"/>
      <c r="K350" s="651"/>
      <c r="L350" s="652"/>
    </row>
    <row r="351" spans="1:12" ht="15.75" x14ac:dyDescent="0.25">
      <c r="A351" s="647"/>
      <c r="B351" s="648"/>
      <c r="C351" s="649"/>
      <c r="D351" s="655" t="s">
        <v>164</v>
      </c>
      <c r="E351" s="651"/>
      <c r="F351" s="656">
        <v>0.63194444444444442</v>
      </c>
      <c r="G351" s="647"/>
      <c r="H351" s="648"/>
      <c r="I351" s="649"/>
      <c r="J351" s="650"/>
      <c r="K351" s="651"/>
      <c r="L351" s="652"/>
    </row>
    <row r="352" spans="1:12" ht="15.75" x14ac:dyDescent="0.25">
      <c r="A352" s="647"/>
      <c r="B352" s="648"/>
      <c r="C352" s="649"/>
      <c r="D352" s="655" t="s">
        <v>166</v>
      </c>
      <c r="E352" s="657">
        <v>0.64583333333333337</v>
      </c>
      <c r="F352" s="656"/>
      <c r="G352" s="647"/>
      <c r="H352" s="648"/>
      <c r="I352" s="649"/>
      <c r="J352" s="650"/>
      <c r="K352" s="651"/>
      <c r="L352" s="652"/>
    </row>
    <row r="353" spans="1:12" ht="15.75" x14ac:dyDescent="0.25">
      <c r="A353" s="647"/>
      <c r="B353" s="648" t="s">
        <v>462</v>
      </c>
      <c r="C353" s="649" t="s">
        <v>459</v>
      </c>
      <c r="D353" s="650"/>
      <c r="E353" s="651"/>
      <c r="F353" s="653"/>
      <c r="G353" s="647"/>
      <c r="H353" s="648"/>
      <c r="I353" s="649"/>
      <c r="J353" s="650"/>
      <c r="K353" s="651"/>
      <c r="L353" s="652"/>
    </row>
    <row r="354" spans="1:12" ht="15.75" x14ac:dyDescent="0.25">
      <c r="A354" s="647"/>
      <c r="B354" s="648"/>
      <c r="C354" s="649"/>
      <c r="D354" s="655"/>
      <c r="E354" s="651"/>
      <c r="F354" s="656"/>
      <c r="G354" s="647"/>
      <c r="H354" s="648"/>
      <c r="I354" s="649"/>
      <c r="J354" s="650"/>
      <c r="K354" s="651"/>
      <c r="L354" s="652"/>
    </row>
    <row r="355" spans="1:12" ht="15.75" x14ac:dyDescent="0.25">
      <c r="A355" s="647"/>
      <c r="B355" s="648"/>
      <c r="C355" s="649"/>
      <c r="D355" s="655"/>
      <c r="E355" s="657"/>
      <c r="F355" s="656"/>
      <c r="G355" s="647"/>
      <c r="H355" s="648"/>
      <c r="I355" s="649"/>
      <c r="J355" s="650"/>
      <c r="K355" s="651"/>
      <c r="L355" s="652"/>
    </row>
    <row r="356" spans="1:12" ht="15.75" x14ac:dyDescent="0.25">
      <c r="A356" s="647"/>
      <c r="B356" s="648"/>
      <c r="C356" s="649"/>
      <c r="D356" s="650"/>
      <c r="E356" s="651"/>
      <c r="F356" s="658"/>
      <c r="G356" s="647"/>
      <c r="H356" s="648"/>
      <c r="I356" s="649"/>
      <c r="J356" s="650"/>
      <c r="K356" s="651"/>
      <c r="L356" s="652"/>
    </row>
    <row r="357" spans="1:12" ht="15.75" x14ac:dyDescent="0.25">
      <c r="A357" s="647"/>
      <c r="B357" s="648"/>
      <c r="C357" s="649"/>
      <c r="D357" s="650"/>
      <c r="E357" s="657"/>
      <c r="F357" s="658"/>
      <c r="G357" s="647"/>
      <c r="H357" s="648"/>
      <c r="I357" s="649"/>
      <c r="J357" s="650"/>
      <c r="K357" s="651"/>
      <c r="L357" s="658"/>
    </row>
    <row r="358" spans="1:12" ht="15.75" x14ac:dyDescent="0.25">
      <c r="A358" s="647"/>
      <c r="B358" s="648"/>
      <c r="C358" s="649"/>
      <c r="D358" s="655"/>
      <c r="E358" s="657"/>
      <c r="F358" s="653"/>
      <c r="G358" s="647"/>
      <c r="H358" s="648"/>
      <c r="I358" s="649"/>
      <c r="J358" s="655"/>
      <c r="K358" s="651"/>
      <c r="L358" s="658"/>
    </row>
    <row r="359" spans="1:12" ht="15.75" x14ac:dyDescent="0.25">
      <c r="A359" s="647"/>
      <c r="B359" s="648"/>
      <c r="C359" s="649"/>
      <c r="D359" s="650"/>
      <c r="E359" s="651"/>
      <c r="F359" s="652"/>
      <c r="G359" s="647"/>
      <c r="H359" s="648"/>
      <c r="I359" s="649"/>
      <c r="J359" s="650"/>
      <c r="K359" s="651"/>
      <c r="L359" s="658"/>
    </row>
    <row r="360" spans="1:12" ht="16.5" thickBot="1" x14ac:dyDescent="0.3">
      <c r="A360" s="659"/>
      <c r="B360" s="660"/>
      <c r="C360" s="661"/>
      <c r="D360" s="662"/>
      <c r="E360" s="663"/>
      <c r="F360" s="664"/>
      <c r="G360" s="665"/>
      <c r="H360" s="666"/>
      <c r="I360" s="667"/>
      <c r="J360" s="668"/>
      <c r="K360" s="663"/>
      <c r="L360" s="669"/>
    </row>
    <row r="361" spans="1:12" ht="21" x14ac:dyDescent="0.35">
      <c r="A361" s="781" t="s">
        <v>945</v>
      </c>
      <c r="B361" s="782"/>
      <c r="C361" s="782"/>
      <c r="D361" s="782"/>
      <c r="E361" s="782"/>
      <c r="F361" s="782"/>
      <c r="G361" s="782"/>
      <c r="H361" s="782"/>
      <c r="I361" s="782"/>
      <c r="J361" s="782"/>
      <c r="K361" s="782"/>
      <c r="L361" s="783"/>
    </row>
    <row r="362" spans="1:12" ht="18.75" x14ac:dyDescent="0.3">
      <c r="A362" s="784" t="s">
        <v>946</v>
      </c>
      <c r="B362" s="785"/>
      <c r="C362" s="785"/>
      <c r="D362" s="785"/>
      <c r="E362" s="785"/>
      <c r="F362" s="785"/>
      <c r="G362" s="785"/>
      <c r="H362" s="785"/>
      <c r="I362" s="785"/>
      <c r="J362" s="785"/>
      <c r="K362" s="785"/>
      <c r="L362" s="786"/>
    </row>
    <row r="363" spans="1:12" ht="24" x14ac:dyDescent="0.4">
      <c r="A363" s="787" t="s">
        <v>947</v>
      </c>
      <c r="B363" s="788"/>
      <c r="C363" s="788"/>
      <c r="D363" s="788"/>
      <c r="E363" s="788"/>
      <c r="F363" s="788"/>
      <c r="G363" s="788"/>
      <c r="H363" s="788"/>
      <c r="I363" s="788"/>
      <c r="J363" s="788"/>
      <c r="K363" s="788"/>
      <c r="L363" s="789"/>
    </row>
    <row r="364" spans="1:12" ht="24" x14ac:dyDescent="0.4">
      <c r="A364" s="623" t="s">
        <v>1279</v>
      </c>
      <c r="B364" s="624"/>
      <c r="C364" s="624"/>
      <c r="D364" s="625" t="s">
        <v>949</v>
      </c>
      <c r="E364" s="790" t="s">
        <v>683</v>
      </c>
      <c r="F364" s="790"/>
      <c r="G364" s="790"/>
      <c r="H364" s="790"/>
      <c r="I364" s="790"/>
      <c r="J364" s="626" t="s">
        <v>1042</v>
      </c>
      <c r="K364" s="790"/>
      <c r="L364" s="791"/>
    </row>
    <row r="365" spans="1:12" ht="15.75" thickBot="1" x14ac:dyDescent="0.3">
      <c r="A365" s="627"/>
      <c r="B365" s="628"/>
      <c r="C365" s="628"/>
      <c r="D365" s="629"/>
      <c r="E365" s="628"/>
      <c r="F365" s="628"/>
      <c r="G365" s="628"/>
      <c r="H365" s="628"/>
      <c r="I365" s="792"/>
      <c r="J365" s="792"/>
      <c r="K365" s="628"/>
      <c r="L365" s="630"/>
    </row>
    <row r="366" spans="1:12" ht="16.5" thickBot="1" x14ac:dyDescent="0.3">
      <c r="A366" s="631" t="s">
        <v>952</v>
      </c>
      <c r="B366" s="632"/>
      <c r="C366" s="633"/>
      <c r="D366" s="634" t="s">
        <v>953</v>
      </c>
      <c r="E366" s="631" t="s">
        <v>954</v>
      </c>
      <c r="F366" s="635" t="s">
        <v>955</v>
      </c>
      <c r="G366" s="631" t="s">
        <v>952</v>
      </c>
      <c r="H366" s="632"/>
      <c r="I366" s="633"/>
      <c r="J366" s="634" t="s">
        <v>953</v>
      </c>
      <c r="K366" s="631" t="s">
        <v>954</v>
      </c>
      <c r="L366" s="631" t="s">
        <v>955</v>
      </c>
    </row>
    <row r="367" spans="1:12" ht="15.75" x14ac:dyDescent="0.25">
      <c r="A367" s="636"/>
      <c r="B367" s="637"/>
      <c r="C367" s="638"/>
      <c r="D367" s="639"/>
      <c r="E367" s="640"/>
      <c r="F367" s="641"/>
      <c r="G367" s="636"/>
      <c r="H367" s="642"/>
      <c r="I367" s="643"/>
      <c r="J367" s="644"/>
      <c r="K367" s="645"/>
      <c r="L367" s="646"/>
    </row>
    <row r="368" spans="1:12" ht="15.75" x14ac:dyDescent="0.25">
      <c r="A368" s="647"/>
      <c r="B368" s="648" t="s">
        <v>459</v>
      </c>
      <c r="C368" s="649">
        <v>10</v>
      </c>
      <c r="D368" s="650" t="s">
        <v>1105</v>
      </c>
      <c r="E368" s="651"/>
      <c r="F368" s="652"/>
      <c r="G368" s="647"/>
      <c r="H368" s="648" t="s">
        <v>459</v>
      </c>
      <c r="I368" s="649">
        <v>28</v>
      </c>
      <c r="J368" s="650" t="s">
        <v>1333</v>
      </c>
      <c r="K368" s="651"/>
      <c r="L368" s="653"/>
    </row>
    <row r="369" spans="1:12" ht="15.75" x14ac:dyDescent="0.25">
      <c r="A369" s="647" t="s">
        <v>958</v>
      </c>
      <c r="B369" s="654"/>
      <c r="C369" s="649"/>
      <c r="D369" s="655" t="s">
        <v>959</v>
      </c>
      <c r="E369" s="651"/>
      <c r="F369" s="656">
        <v>0.25</v>
      </c>
      <c r="G369" s="647"/>
      <c r="H369" s="648"/>
      <c r="I369" s="649"/>
      <c r="J369" s="655" t="s">
        <v>960</v>
      </c>
      <c r="K369" s="651"/>
      <c r="L369" s="656">
        <v>0.66666666666666663</v>
      </c>
    </row>
    <row r="370" spans="1:12" ht="15.75" x14ac:dyDescent="0.25">
      <c r="A370" s="647" t="s">
        <v>961</v>
      </c>
      <c r="B370" s="648"/>
      <c r="C370" s="649"/>
      <c r="D370" s="650" t="s">
        <v>160</v>
      </c>
      <c r="E370" s="651"/>
      <c r="F370" s="653">
        <v>0.28472222222222221</v>
      </c>
      <c r="G370" s="647" t="s">
        <v>961</v>
      </c>
      <c r="H370" s="654"/>
      <c r="I370" s="649"/>
      <c r="J370" s="650" t="s">
        <v>163</v>
      </c>
      <c r="K370" s="651"/>
      <c r="L370" s="653">
        <v>0.72222222222222221</v>
      </c>
    </row>
    <row r="371" spans="1:12" ht="15.75" x14ac:dyDescent="0.25">
      <c r="A371" s="647"/>
      <c r="B371" s="648"/>
      <c r="C371" s="649"/>
      <c r="D371" s="655" t="s">
        <v>962</v>
      </c>
      <c r="E371" s="651"/>
      <c r="F371" s="656">
        <v>0.29166666666666669</v>
      </c>
      <c r="G371" s="647"/>
      <c r="H371" s="648"/>
      <c r="I371" s="649"/>
      <c r="J371" s="655" t="s">
        <v>164</v>
      </c>
      <c r="K371" s="651"/>
      <c r="L371" s="656">
        <v>0.75</v>
      </c>
    </row>
    <row r="372" spans="1:12" ht="15.75" x14ac:dyDescent="0.25">
      <c r="A372" s="647"/>
      <c r="B372" s="648"/>
      <c r="C372" s="649"/>
      <c r="D372" s="655" t="s">
        <v>960</v>
      </c>
      <c r="E372" s="651"/>
      <c r="F372" s="656">
        <v>0.31597222222222221</v>
      </c>
      <c r="G372" s="647"/>
      <c r="H372" s="648"/>
      <c r="I372" s="649"/>
      <c r="J372" s="655" t="s">
        <v>166</v>
      </c>
      <c r="K372" s="651"/>
      <c r="L372" s="656">
        <v>0.76388888888888884</v>
      </c>
    </row>
    <row r="373" spans="1:12" ht="15.75" x14ac:dyDescent="0.25">
      <c r="A373" s="647" t="s">
        <v>961</v>
      </c>
      <c r="B373" s="654"/>
      <c r="C373" s="649"/>
      <c r="D373" s="650" t="s">
        <v>163</v>
      </c>
      <c r="E373" s="651"/>
      <c r="F373" s="653">
        <v>0.3576388888888889</v>
      </c>
      <c r="G373" s="647" t="s">
        <v>958</v>
      </c>
      <c r="H373" s="648"/>
      <c r="I373" s="649"/>
      <c r="J373" s="650" t="s">
        <v>160</v>
      </c>
      <c r="K373" s="657">
        <v>0.80902777777777779</v>
      </c>
      <c r="L373" s="653"/>
    </row>
    <row r="374" spans="1:12" ht="15.75" x14ac:dyDescent="0.25">
      <c r="A374" s="647"/>
      <c r="B374" s="648"/>
      <c r="C374" s="649"/>
      <c r="D374" s="655" t="s">
        <v>164</v>
      </c>
      <c r="E374" s="651"/>
      <c r="F374" s="656">
        <v>0.38194444444444442</v>
      </c>
      <c r="G374" s="647"/>
      <c r="H374" s="648"/>
      <c r="I374" s="649"/>
      <c r="J374" s="650" t="s">
        <v>963</v>
      </c>
      <c r="K374" s="657">
        <v>0.84375</v>
      </c>
      <c r="L374" s="656"/>
    </row>
    <row r="375" spans="1:12" ht="15.75" x14ac:dyDescent="0.25">
      <c r="A375" s="647"/>
      <c r="B375" s="648"/>
      <c r="C375" s="649"/>
      <c r="D375" s="655" t="s">
        <v>166</v>
      </c>
      <c r="E375" s="651"/>
      <c r="F375" s="656">
        <v>0.39583333333333331</v>
      </c>
      <c r="G375" s="647"/>
      <c r="H375" s="648" t="s">
        <v>462</v>
      </c>
      <c r="I375" s="649" t="s">
        <v>459</v>
      </c>
      <c r="J375" s="650"/>
      <c r="K375" s="657"/>
      <c r="L375" s="653"/>
    </row>
    <row r="376" spans="1:12" ht="15.75" x14ac:dyDescent="0.25">
      <c r="A376" s="647" t="s">
        <v>961</v>
      </c>
      <c r="B376" s="648"/>
      <c r="C376" s="649"/>
      <c r="D376" s="650" t="s">
        <v>160</v>
      </c>
      <c r="E376" s="651"/>
      <c r="F376" s="653">
        <v>0.4375</v>
      </c>
      <c r="G376" s="647"/>
      <c r="H376" s="648"/>
      <c r="I376" s="649"/>
      <c r="J376" s="650"/>
      <c r="K376" s="657"/>
      <c r="L376" s="653"/>
    </row>
    <row r="377" spans="1:12" ht="15.75" x14ac:dyDescent="0.25">
      <c r="A377" s="647"/>
      <c r="B377" s="648"/>
      <c r="C377" s="649"/>
      <c r="D377" s="655" t="s">
        <v>962</v>
      </c>
      <c r="E377" s="651"/>
      <c r="F377" s="656">
        <v>0.44444444444444442</v>
      </c>
      <c r="G377" s="647"/>
      <c r="H377" s="648"/>
      <c r="I377" s="649"/>
      <c r="J377" s="650"/>
      <c r="K377" s="657"/>
      <c r="L377" s="653"/>
    </row>
    <row r="378" spans="1:12" ht="15.75" x14ac:dyDescent="0.25">
      <c r="A378" s="647"/>
      <c r="B378" s="654"/>
      <c r="C378" s="649"/>
      <c r="D378" s="655" t="s">
        <v>960</v>
      </c>
      <c r="E378" s="657">
        <v>0.47569444444444442</v>
      </c>
      <c r="F378" s="656"/>
      <c r="G378" s="647"/>
      <c r="H378" s="648"/>
      <c r="I378" s="649"/>
      <c r="J378" s="650"/>
      <c r="K378" s="657"/>
      <c r="L378" s="653"/>
    </row>
    <row r="379" spans="1:12" ht="15.75" x14ac:dyDescent="0.25">
      <c r="A379" s="647"/>
      <c r="B379" s="648" t="s">
        <v>462</v>
      </c>
      <c r="C379" s="649" t="s">
        <v>459</v>
      </c>
      <c r="D379" s="650"/>
      <c r="E379" s="651"/>
      <c r="F379" s="658"/>
      <c r="G379" s="647"/>
      <c r="H379" s="648"/>
      <c r="I379" s="649"/>
      <c r="J379" s="650"/>
      <c r="K379" s="657"/>
      <c r="L379" s="652"/>
    </row>
    <row r="380" spans="1:12" ht="15.75" x14ac:dyDescent="0.25">
      <c r="A380" s="647"/>
      <c r="B380" s="648"/>
      <c r="C380" s="649"/>
      <c r="D380" s="650"/>
      <c r="E380" s="651"/>
      <c r="F380" s="656"/>
      <c r="G380" s="647"/>
      <c r="H380" s="654"/>
      <c r="I380" s="649"/>
      <c r="J380" s="650"/>
      <c r="K380" s="651"/>
      <c r="L380" s="653"/>
    </row>
    <row r="381" spans="1:12" ht="15.75" x14ac:dyDescent="0.25">
      <c r="A381" s="647"/>
      <c r="B381" s="648" t="s">
        <v>459</v>
      </c>
      <c r="C381" s="649">
        <v>22</v>
      </c>
      <c r="D381" s="650" t="s">
        <v>1334</v>
      </c>
      <c r="E381" s="651"/>
      <c r="F381" s="653"/>
      <c r="G381" s="647"/>
      <c r="H381" s="648"/>
      <c r="I381" s="649"/>
      <c r="J381" s="655"/>
      <c r="K381" s="651"/>
      <c r="L381" s="656"/>
    </row>
    <row r="382" spans="1:12" ht="15.75" x14ac:dyDescent="0.25">
      <c r="A382" s="647"/>
      <c r="B382" s="648"/>
      <c r="C382" s="649"/>
      <c r="D382" s="655" t="s">
        <v>960</v>
      </c>
      <c r="E382" s="651"/>
      <c r="F382" s="656">
        <v>0.47569444444444442</v>
      </c>
      <c r="G382" s="647"/>
      <c r="H382" s="648"/>
      <c r="I382" s="649"/>
      <c r="J382" s="655"/>
      <c r="K382" s="651"/>
      <c r="L382" s="656"/>
    </row>
    <row r="383" spans="1:12" ht="15.75" x14ac:dyDescent="0.25">
      <c r="A383" s="647" t="s">
        <v>961</v>
      </c>
      <c r="B383" s="654"/>
      <c r="C383" s="649"/>
      <c r="D383" s="650" t="s">
        <v>163</v>
      </c>
      <c r="E383" s="651"/>
      <c r="F383" s="653">
        <v>0.53125</v>
      </c>
      <c r="G383" s="647"/>
      <c r="H383" s="648"/>
      <c r="I383" s="649"/>
      <c r="J383" s="650"/>
      <c r="K383" s="657"/>
      <c r="L383" s="653"/>
    </row>
    <row r="384" spans="1:12" ht="15.75" x14ac:dyDescent="0.25">
      <c r="A384" s="647"/>
      <c r="B384" s="648"/>
      <c r="C384" s="649"/>
      <c r="D384" s="655" t="s">
        <v>164</v>
      </c>
      <c r="E384" s="651"/>
      <c r="F384" s="656">
        <v>0.5625</v>
      </c>
      <c r="G384" s="647"/>
      <c r="H384" s="648"/>
      <c r="I384" s="649"/>
      <c r="J384" s="650"/>
      <c r="K384" s="657"/>
      <c r="L384" s="656"/>
    </row>
    <row r="385" spans="1:12" ht="15.75" x14ac:dyDescent="0.25">
      <c r="A385" s="647"/>
      <c r="B385" s="648"/>
      <c r="C385" s="649"/>
      <c r="D385" s="655" t="s">
        <v>166</v>
      </c>
      <c r="E385" s="651"/>
      <c r="F385" s="656">
        <v>0.57638888888888884</v>
      </c>
      <c r="G385" s="647"/>
      <c r="H385" s="648"/>
      <c r="I385" s="649"/>
      <c r="J385" s="650"/>
      <c r="K385" s="657"/>
      <c r="L385" s="653"/>
    </row>
    <row r="386" spans="1:12" ht="15.75" x14ac:dyDescent="0.25">
      <c r="A386" s="647" t="s">
        <v>961</v>
      </c>
      <c r="B386" s="648"/>
      <c r="C386" s="649"/>
      <c r="D386" s="650" t="s">
        <v>160</v>
      </c>
      <c r="E386" s="651"/>
      <c r="F386" s="653">
        <v>0.62847222222222221</v>
      </c>
      <c r="G386" s="647"/>
      <c r="H386" s="648"/>
      <c r="I386" s="649"/>
      <c r="J386" s="650"/>
      <c r="K386" s="657"/>
      <c r="L386" s="653"/>
    </row>
    <row r="387" spans="1:12" ht="15.75" x14ac:dyDescent="0.25">
      <c r="A387" s="647"/>
      <c r="B387" s="648"/>
      <c r="C387" s="649"/>
      <c r="D387" s="655" t="s">
        <v>962</v>
      </c>
      <c r="E387" s="651"/>
      <c r="F387" s="656">
        <v>0.63888888888888884</v>
      </c>
      <c r="G387" s="647"/>
      <c r="H387" s="648"/>
      <c r="I387" s="649"/>
      <c r="J387" s="650"/>
      <c r="K387" s="657"/>
      <c r="L387" s="653"/>
    </row>
    <row r="388" spans="1:12" ht="15.75" x14ac:dyDescent="0.25">
      <c r="A388" s="647"/>
      <c r="B388" s="654"/>
      <c r="C388" s="649"/>
      <c r="D388" s="655" t="s">
        <v>960</v>
      </c>
      <c r="E388" s="657">
        <v>0.66666666666666663</v>
      </c>
      <c r="F388" s="656"/>
      <c r="G388" s="647"/>
      <c r="H388" s="648"/>
      <c r="I388" s="649"/>
      <c r="J388" s="650"/>
      <c r="K388" s="657"/>
      <c r="L388" s="653"/>
    </row>
    <row r="389" spans="1:12" ht="15.75" x14ac:dyDescent="0.25">
      <c r="A389" s="647"/>
      <c r="B389" s="648" t="s">
        <v>462</v>
      </c>
      <c r="C389" s="649" t="s">
        <v>459</v>
      </c>
      <c r="D389" s="650"/>
      <c r="E389" s="651"/>
      <c r="F389" s="658"/>
      <c r="G389" s="647"/>
      <c r="H389" s="648"/>
      <c r="I389" s="649"/>
      <c r="J389" s="650"/>
      <c r="K389" s="657"/>
      <c r="L389" s="652"/>
    </row>
    <row r="390" spans="1:12" ht="15.75" x14ac:dyDescent="0.25">
      <c r="A390" s="647"/>
      <c r="B390" s="648"/>
      <c r="C390" s="649"/>
      <c r="D390" s="650"/>
      <c r="E390" s="651"/>
      <c r="F390" s="656"/>
      <c r="G390" s="647"/>
      <c r="H390" s="648"/>
      <c r="I390" s="649"/>
      <c r="J390" s="650"/>
      <c r="K390" s="651"/>
      <c r="L390" s="652"/>
    </row>
    <row r="391" spans="1:12" ht="15.75" x14ac:dyDescent="0.25">
      <c r="A391" s="647"/>
      <c r="B391" s="648"/>
      <c r="C391" s="649"/>
      <c r="D391" s="650"/>
      <c r="E391" s="651"/>
      <c r="F391" s="653"/>
      <c r="G391" s="647"/>
      <c r="H391" s="648"/>
      <c r="I391" s="649"/>
      <c r="J391" s="650"/>
      <c r="K391" s="651"/>
      <c r="L391" s="652"/>
    </row>
    <row r="392" spans="1:12" ht="15.75" x14ac:dyDescent="0.25">
      <c r="A392" s="647"/>
      <c r="B392" s="648"/>
      <c r="C392" s="649"/>
      <c r="D392" s="655"/>
      <c r="E392" s="651"/>
      <c r="F392" s="656"/>
      <c r="G392" s="647"/>
      <c r="H392" s="648"/>
      <c r="I392" s="649"/>
      <c r="J392" s="650"/>
      <c r="K392" s="651"/>
      <c r="L392" s="652"/>
    </row>
    <row r="393" spans="1:12" ht="15.75" x14ac:dyDescent="0.25">
      <c r="A393" s="647"/>
      <c r="B393" s="654"/>
      <c r="C393" s="649"/>
      <c r="D393" s="650"/>
      <c r="E393" s="651"/>
      <c r="F393" s="653"/>
      <c r="G393" s="647"/>
      <c r="H393" s="648"/>
      <c r="I393" s="649"/>
      <c r="J393" s="650"/>
      <c r="K393" s="651"/>
      <c r="L393" s="652"/>
    </row>
    <row r="394" spans="1:12" ht="15.75" x14ac:dyDescent="0.25">
      <c r="A394" s="647"/>
      <c r="B394" s="648"/>
      <c r="C394" s="649"/>
      <c r="D394" s="655"/>
      <c r="E394" s="651"/>
      <c r="F394" s="656"/>
      <c r="G394" s="647"/>
      <c r="H394" s="648"/>
      <c r="I394" s="649"/>
      <c r="J394" s="650"/>
      <c r="K394" s="651"/>
      <c r="L394" s="652"/>
    </row>
    <row r="395" spans="1:12" ht="15.75" x14ac:dyDescent="0.25">
      <c r="A395" s="647"/>
      <c r="B395" s="648"/>
      <c r="C395" s="649"/>
      <c r="D395" s="655"/>
      <c r="E395" s="657"/>
      <c r="F395" s="656"/>
      <c r="G395" s="647"/>
      <c r="H395" s="648"/>
      <c r="I395" s="649"/>
      <c r="J395" s="650"/>
      <c r="K395" s="651"/>
      <c r="L395" s="652"/>
    </row>
    <row r="396" spans="1:12" ht="15.75" x14ac:dyDescent="0.25">
      <c r="A396" s="647"/>
      <c r="B396" s="648"/>
      <c r="C396" s="649"/>
      <c r="D396" s="650"/>
      <c r="E396" s="651"/>
      <c r="F396" s="658"/>
      <c r="G396" s="647"/>
      <c r="H396" s="648"/>
      <c r="I396" s="649"/>
      <c r="J396" s="650"/>
      <c r="K396" s="651"/>
      <c r="L396" s="652"/>
    </row>
    <row r="397" spans="1:12" ht="15.75" x14ac:dyDescent="0.25">
      <c r="A397" s="647"/>
      <c r="B397" s="654"/>
      <c r="C397" s="649"/>
      <c r="D397" s="650"/>
      <c r="E397" s="657"/>
      <c r="F397" s="653"/>
      <c r="G397" s="647"/>
      <c r="H397" s="648"/>
      <c r="I397" s="649"/>
      <c r="J397" s="650"/>
      <c r="K397" s="651"/>
      <c r="L397" s="658"/>
    </row>
    <row r="398" spans="1:12" ht="15.75" x14ac:dyDescent="0.25">
      <c r="A398" s="647"/>
      <c r="B398" s="648"/>
      <c r="C398" s="649"/>
      <c r="D398" s="650"/>
      <c r="E398" s="657"/>
      <c r="F398" s="653"/>
      <c r="G398" s="647"/>
      <c r="H398" s="648"/>
      <c r="I398" s="649"/>
      <c r="J398" s="655"/>
      <c r="K398" s="651"/>
      <c r="L398" s="658"/>
    </row>
    <row r="399" spans="1:12" ht="15.75" x14ac:dyDescent="0.25">
      <c r="A399" s="647"/>
      <c r="B399" s="648"/>
      <c r="C399" s="649"/>
      <c r="D399" s="650"/>
      <c r="E399" s="657"/>
      <c r="F399" s="652"/>
      <c r="G399" s="647"/>
      <c r="H399" s="648"/>
      <c r="I399" s="649"/>
      <c r="J399" s="650"/>
      <c r="K399" s="651"/>
      <c r="L399" s="658"/>
    </row>
    <row r="400" spans="1:12" ht="16.5" thickBot="1" x14ac:dyDescent="0.3">
      <c r="A400" s="659"/>
      <c r="B400" s="660"/>
      <c r="C400" s="661"/>
      <c r="D400" s="662"/>
      <c r="E400" s="663"/>
      <c r="F400" s="664"/>
      <c r="G400" s="665"/>
      <c r="H400" s="666"/>
      <c r="I400" s="667"/>
      <c r="J400" s="668"/>
      <c r="K400" s="663"/>
      <c r="L400" s="669"/>
    </row>
    <row r="401" spans="1:12" ht="21" x14ac:dyDescent="0.35">
      <c r="A401" s="781" t="s">
        <v>945</v>
      </c>
      <c r="B401" s="782"/>
      <c r="C401" s="782"/>
      <c r="D401" s="782"/>
      <c r="E401" s="782"/>
      <c r="F401" s="782"/>
      <c r="G401" s="782"/>
      <c r="H401" s="782"/>
      <c r="I401" s="782"/>
      <c r="J401" s="782"/>
      <c r="K401" s="782"/>
      <c r="L401" s="783"/>
    </row>
    <row r="402" spans="1:12" ht="18.75" x14ac:dyDescent="0.3">
      <c r="A402" s="784" t="s">
        <v>946</v>
      </c>
      <c r="B402" s="785"/>
      <c r="C402" s="785"/>
      <c r="D402" s="785"/>
      <c r="E402" s="785"/>
      <c r="F402" s="785"/>
      <c r="G402" s="785"/>
      <c r="H402" s="785"/>
      <c r="I402" s="785"/>
      <c r="J402" s="785"/>
      <c r="K402" s="785"/>
      <c r="L402" s="786"/>
    </row>
    <row r="403" spans="1:12" ht="24" x14ac:dyDescent="0.4">
      <c r="A403" s="787" t="s">
        <v>947</v>
      </c>
      <c r="B403" s="788"/>
      <c r="C403" s="788"/>
      <c r="D403" s="788"/>
      <c r="E403" s="788"/>
      <c r="F403" s="788"/>
      <c r="G403" s="788"/>
      <c r="H403" s="788"/>
      <c r="I403" s="788"/>
      <c r="J403" s="788"/>
      <c r="K403" s="788"/>
      <c r="L403" s="789"/>
    </row>
    <row r="404" spans="1:12" ht="24" x14ac:dyDescent="0.4">
      <c r="A404" s="623" t="s">
        <v>1279</v>
      </c>
      <c r="B404" s="624"/>
      <c r="C404" s="624"/>
      <c r="D404" s="625" t="s">
        <v>949</v>
      </c>
      <c r="E404" s="790" t="s">
        <v>683</v>
      </c>
      <c r="F404" s="790"/>
      <c r="G404" s="790"/>
      <c r="H404" s="790"/>
      <c r="I404" s="790"/>
      <c r="J404" s="626" t="s">
        <v>1050</v>
      </c>
      <c r="K404" s="790"/>
      <c r="L404" s="791"/>
    </row>
    <row r="405" spans="1:12" ht="15.75" thickBot="1" x14ac:dyDescent="0.3">
      <c r="A405" s="627"/>
      <c r="B405" s="628"/>
      <c r="C405" s="628"/>
      <c r="D405" s="629"/>
      <c r="E405" s="628"/>
      <c r="F405" s="628"/>
      <c r="G405" s="628"/>
      <c r="H405" s="628"/>
      <c r="I405" s="792"/>
      <c r="J405" s="792"/>
      <c r="K405" s="628"/>
      <c r="L405" s="630"/>
    </row>
    <row r="406" spans="1:12" ht="16.5" thickBot="1" x14ac:dyDescent="0.3">
      <c r="A406" s="631" t="s">
        <v>952</v>
      </c>
      <c r="B406" s="632"/>
      <c r="C406" s="633"/>
      <c r="D406" s="634" t="s">
        <v>953</v>
      </c>
      <c r="E406" s="631" t="s">
        <v>954</v>
      </c>
      <c r="F406" s="635" t="s">
        <v>955</v>
      </c>
      <c r="G406" s="631" t="s">
        <v>952</v>
      </c>
      <c r="H406" s="632"/>
      <c r="I406" s="633"/>
      <c r="J406" s="634" t="s">
        <v>953</v>
      </c>
      <c r="K406" s="631" t="s">
        <v>954</v>
      </c>
      <c r="L406" s="631" t="s">
        <v>955</v>
      </c>
    </row>
    <row r="407" spans="1:12" ht="15.75" x14ac:dyDescent="0.25">
      <c r="A407" s="636"/>
      <c r="B407" s="637"/>
      <c r="C407" s="638"/>
      <c r="D407" s="639"/>
      <c r="E407" s="640"/>
      <c r="F407" s="641"/>
      <c r="G407" s="636"/>
      <c r="H407" s="642"/>
      <c r="I407" s="643"/>
      <c r="J407" s="644"/>
      <c r="K407" s="645"/>
      <c r="L407" s="646"/>
    </row>
    <row r="408" spans="1:12" ht="15.75" x14ac:dyDescent="0.25">
      <c r="A408" s="647"/>
      <c r="B408" s="648" t="s">
        <v>459</v>
      </c>
      <c r="C408" s="649">
        <v>11</v>
      </c>
      <c r="D408" s="650" t="s">
        <v>1130</v>
      </c>
      <c r="E408" s="651"/>
      <c r="F408" s="652"/>
      <c r="G408" s="647"/>
      <c r="H408" s="648" t="s">
        <v>459</v>
      </c>
      <c r="I408" s="649">
        <v>32</v>
      </c>
      <c r="J408" s="650" t="s">
        <v>1335</v>
      </c>
      <c r="K408" s="651"/>
      <c r="L408" s="653"/>
    </row>
    <row r="409" spans="1:12" ht="15.75" x14ac:dyDescent="0.25">
      <c r="A409" s="647" t="s">
        <v>958</v>
      </c>
      <c r="B409" s="654"/>
      <c r="C409" s="649"/>
      <c r="D409" s="655" t="s">
        <v>959</v>
      </c>
      <c r="E409" s="651"/>
      <c r="F409" s="656">
        <v>0.25555555555555554</v>
      </c>
      <c r="G409" s="647"/>
      <c r="H409" s="648"/>
      <c r="I409" s="649"/>
      <c r="J409" s="655" t="s">
        <v>960</v>
      </c>
      <c r="K409" s="651"/>
      <c r="L409" s="656">
        <v>0.74305555555555558</v>
      </c>
    </row>
    <row r="410" spans="1:12" ht="15.75" x14ac:dyDescent="0.25">
      <c r="A410" s="647" t="s">
        <v>961</v>
      </c>
      <c r="B410" s="654"/>
      <c r="C410" s="649"/>
      <c r="D410" s="650" t="s">
        <v>163</v>
      </c>
      <c r="E410" s="651"/>
      <c r="F410" s="653">
        <v>0.28125</v>
      </c>
      <c r="G410" s="647" t="s">
        <v>961</v>
      </c>
      <c r="H410" s="654"/>
      <c r="I410" s="649"/>
      <c r="J410" s="650" t="s">
        <v>163</v>
      </c>
      <c r="K410" s="651"/>
      <c r="L410" s="653">
        <v>0.79861111111111116</v>
      </c>
    </row>
    <row r="411" spans="1:12" ht="15.75" x14ac:dyDescent="0.25">
      <c r="A411" s="647"/>
      <c r="B411" s="648"/>
      <c r="C411" s="649"/>
      <c r="D411" s="655" t="s">
        <v>164</v>
      </c>
      <c r="E411" s="651"/>
      <c r="F411" s="656">
        <v>0.30208333333333331</v>
      </c>
      <c r="G411" s="647"/>
      <c r="H411" s="648"/>
      <c r="I411" s="649"/>
      <c r="J411" s="655" t="s">
        <v>164</v>
      </c>
      <c r="K411" s="651"/>
      <c r="L411" s="656">
        <v>0.82291666666666663</v>
      </c>
    </row>
    <row r="412" spans="1:12" ht="15.75" x14ac:dyDescent="0.25">
      <c r="A412" s="647"/>
      <c r="B412" s="648"/>
      <c r="C412" s="649"/>
      <c r="D412" s="655" t="s">
        <v>166</v>
      </c>
      <c r="E412" s="651"/>
      <c r="F412" s="656">
        <v>0.31597222222222221</v>
      </c>
      <c r="G412" s="647"/>
      <c r="H412" s="648"/>
      <c r="I412" s="649"/>
      <c r="J412" s="655" t="s">
        <v>166</v>
      </c>
      <c r="K412" s="651"/>
      <c r="L412" s="656">
        <v>0.83680555555555558</v>
      </c>
    </row>
    <row r="413" spans="1:12" ht="15.75" x14ac:dyDescent="0.25">
      <c r="A413" s="647" t="s">
        <v>961</v>
      </c>
      <c r="B413" s="648"/>
      <c r="C413" s="649"/>
      <c r="D413" s="650" t="s">
        <v>160</v>
      </c>
      <c r="E413" s="651"/>
      <c r="F413" s="653">
        <v>0.34722222222222221</v>
      </c>
      <c r="G413" s="647" t="s">
        <v>961</v>
      </c>
      <c r="H413" s="648"/>
      <c r="I413" s="649"/>
      <c r="J413" s="650" t="s">
        <v>160</v>
      </c>
      <c r="K413" s="651"/>
      <c r="L413" s="653">
        <v>0.87847222222222221</v>
      </c>
    </row>
    <row r="414" spans="1:12" ht="15.75" x14ac:dyDescent="0.25">
      <c r="A414" s="647"/>
      <c r="B414" s="648"/>
      <c r="C414" s="649"/>
      <c r="D414" s="655" t="s">
        <v>962</v>
      </c>
      <c r="E414" s="651"/>
      <c r="F414" s="656">
        <v>0.35416666666666669</v>
      </c>
      <c r="G414" s="647"/>
      <c r="H414" s="648"/>
      <c r="I414" s="649"/>
      <c r="J414" s="655" t="s">
        <v>962</v>
      </c>
      <c r="K414" s="651"/>
      <c r="L414" s="656">
        <v>0.88541666666666663</v>
      </c>
    </row>
    <row r="415" spans="1:12" ht="15.75" x14ac:dyDescent="0.25">
      <c r="A415" s="647"/>
      <c r="B415" s="648"/>
      <c r="C415" s="649"/>
      <c r="D415" s="655" t="s">
        <v>960</v>
      </c>
      <c r="E415" s="651"/>
      <c r="F415" s="656">
        <v>0.37847222222222221</v>
      </c>
      <c r="G415" s="647"/>
      <c r="H415" s="654"/>
      <c r="I415" s="649"/>
      <c r="J415" s="655" t="s">
        <v>960</v>
      </c>
      <c r="K415" s="657">
        <v>0.90972222222222221</v>
      </c>
      <c r="L415" s="656"/>
    </row>
    <row r="416" spans="1:12" ht="15.75" x14ac:dyDescent="0.25">
      <c r="A416" s="647" t="s">
        <v>961</v>
      </c>
      <c r="B416" s="654"/>
      <c r="C416" s="649"/>
      <c r="D416" s="650" t="s">
        <v>163</v>
      </c>
      <c r="E416" s="651"/>
      <c r="F416" s="653">
        <v>0.43055555555555558</v>
      </c>
      <c r="G416" s="647"/>
      <c r="H416" s="648" t="s">
        <v>462</v>
      </c>
      <c r="I416" s="649" t="s">
        <v>459</v>
      </c>
      <c r="J416" s="650"/>
      <c r="K416" s="651"/>
      <c r="L416" s="658"/>
    </row>
    <row r="417" spans="1:12" ht="15.75" x14ac:dyDescent="0.25">
      <c r="A417" s="647"/>
      <c r="B417" s="648"/>
      <c r="C417" s="649"/>
      <c r="D417" s="655" t="s">
        <v>164</v>
      </c>
      <c r="E417" s="651"/>
      <c r="F417" s="656">
        <v>0.45833333333333331</v>
      </c>
      <c r="G417" s="647"/>
      <c r="H417" s="648"/>
      <c r="I417" s="649"/>
      <c r="J417" s="650"/>
      <c r="K417" s="651"/>
      <c r="L417" s="652"/>
    </row>
    <row r="418" spans="1:12" ht="15.75" x14ac:dyDescent="0.25">
      <c r="A418" s="647"/>
      <c r="B418" s="648"/>
      <c r="C418" s="649"/>
      <c r="D418" s="655" t="s">
        <v>166</v>
      </c>
      <c r="E418" s="657">
        <v>0.47222222222222221</v>
      </c>
      <c r="F418" s="656"/>
      <c r="G418" s="647"/>
      <c r="H418" s="648" t="s">
        <v>459</v>
      </c>
      <c r="I418" s="649">
        <v>48</v>
      </c>
      <c r="J418" s="650" t="s">
        <v>1336</v>
      </c>
      <c r="K418" s="651"/>
      <c r="L418" s="653"/>
    </row>
    <row r="419" spans="1:12" ht="15.75" x14ac:dyDescent="0.25">
      <c r="A419" s="647"/>
      <c r="B419" s="648" t="s">
        <v>459</v>
      </c>
      <c r="C419" s="649">
        <v>11</v>
      </c>
      <c r="D419" s="650" t="s">
        <v>1337</v>
      </c>
      <c r="E419" s="651"/>
      <c r="F419" s="656"/>
      <c r="G419" s="647"/>
      <c r="H419" s="648"/>
      <c r="I419" s="649"/>
      <c r="J419" s="655" t="s">
        <v>960</v>
      </c>
      <c r="K419" s="651"/>
      <c r="L419" s="656">
        <v>0.90972222222222221</v>
      </c>
    </row>
    <row r="420" spans="1:12" ht="15.75" x14ac:dyDescent="0.25">
      <c r="A420" s="647"/>
      <c r="B420" s="648"/>
      <c r="C420" s="649"/>
      <c r="D420" s="650"/>
      <c r="E420" s="651"/>
      <c r="F420" s="653"/>
      <c r="G420" s="647" t="s">
        <v>961</v>
      </c>
      <c r="H420" s="654"/>
      <c r="I420" s="649"/>
      <c r="J420" s="650" t="s">
        <v>163</v>
      </c>
      <c r="K420" s="651"/>
      <c r="L420" s="653">
        <v>0.95138888888888884</v>
      </c>
    </row>
    <row r="421" spans="1:12" ht="15.75" x14ac:dyDescent="0.25">
      <c r="A421" s="647"/>
      <c r="B421" s="648" t="s">
        <v>459</v>
      </c>
      <c r="C421" s="649">
        <v>14</v>
      </c>
      <c r="D421" s="650" t="s">
        <v>1338</v>
      </c>
      <c r="E421" s="651"/>
      <c r="F421" s="656"/>
      <c r="G421" s="647"/>
      <c r="H421" s="648"/>
      <c r="I421" s="649"/>
      <c r="J421" s="655" t="s">
        <v>164</v>
      </c>
      <c r="K421" s="651"/>
      <c r="L421" s="656">
        <v>0.97222222222222221</v>
      </c>
    </row>
    <row r="422" spans="1:12" ht="15.75" x14ac:dyDescent="0.25">
      <c r="A422" s="647"/>
      <c r="B422" s="648"/>
      <c r="C422" s="649"/>
      <c r="D422" s="655" t="s">
        <v>166</v>
      </c>
      <c r="E422" s="651"/>
      <c r="F422" s="656">
        <v>0.47222222222222221</v>
      </c>
      <c r="G422" s="647"/>
      <c r="H422" s="648"/>
      <c r="I422" s="649"/>
      <c r="J422" s="655" t="s">
        <v>166</v>
      </c>
      <c r="K422" s="651"/>
      <c r="L422" s="656">
        <v>0.98263888888888884</v>
      </c>
    </row>
    <row r="423" spans="1:12" ht="15.75" x14ac:dyDescent="0.25">
      <c r="A423" s="647" t="s">
        <v>961</v>
      </c>
      <c r="B423" s="648"/>
      <c r="C423" s="649"/>
      <c r="D423" s="650" t="s">
        <v>160</v>
      </c>
      <c r="E423" s="651"/>
      <c r="F423" s="653">
        <v>0.51736111111111116</v>
      </c>
      <c r="G423" s="647" t="s">
        <v>958</v>
      </c>
      <c r="H423" s="648"/>
      <c r="I423" s="649"/>
      <c r="J423" s="650" t="s">
        <v>160</v>
      </c>
      <c r="K423" s="657">
        <v>1.0152777777777777</v>
      </c>
      <c r="L423" s="653"/>
    </row>
    <row r="424" spans="1:12" ht="15.75" x14ac:dyDescent="0.25">
      <c r="A424" s="647"/>
      <c r="B424" s="648"/>
      <c r="C424" s="649"/>
      <c r="D424" s="655" t="s">
        <v>962</v>
      </c>
      <c r="E424" s="651"/>
      <c r="F424" s="656">
        <v>0.52777777777777779</v>
      </c>
      <c r="G424" s="647"/>
      <c r="H424" s="648"/>
      <c r="I424" s="649"/>
      <c r="J424" s="650" t="s">
        <v>963</v>
      </c>
      <c r="K424" s="657">
        <v>4.6527777777777779E-2</v>
      </c>
      <c r="L424" s="658"/>
    </row>
    <row r="425" spans="1:12" ht="15.75" x14ac:dyDescent="0.25">
      <c r="A425" s="647"/>
      <c r="B425" s="648"/>
      <c r="C425" s="649"/>
      <c r="D425" s="655" t="s">
        <v>960</v>
      </c>
      <c r="E425" s="651"/>
      <c r="F425" s="656">
        <v>0.55555555555555558</v>
      </c>
      <c r="G425" s="647"/>
      <c r="H425" s="648" t="s">
        <v>462</v>
      </c>
      <c r="I425" s="649" t="s">
        <v>459</v>
      </c>
      <c r="J425" s="650"/>
      <c r="K425" s="657"/>
      <c r="L425" s="658"/>
    </row>
    <row r="426" spans="1:12" ht="15.75" x14ac:dyDescent="0.25">
      <c r="A426" s="647" t="s">
        <v>961</v>
      </c>
      <c r="B426" s="654"/>
      <c r="C426" s="649"/>
      <c r="D426" s="650" t="s">
        <v>163</v>
      </c>
      <c r="E426" s="651"/>
      <c r="F426" s="653">
        <v>0.61458333333333337</v>
      </c>
      <c r="G426" s="647"/>
      <c r="H426" s="654"/>
      <c r="I426" s="649"/>
      <c r="J426" s="650"/>
      <c r="K426" s="657"/>
      <c r="L426" s="653"/>
    </row>
    <row r="427" spans="1:12" ht="15.75" x14ac:dyDescent="0.25">
      <c r="A427" s="647"/>
      <c r="B427" s="648"/>
      <c r="C427" s="649"/>
      <c r="D427" s="655" t="s">
        <v>164</v>
      </c>
      <c r="E427" s="651"/>
      <c r="F427" s="656">
        <v>0.64583333333333337</v>
      </c>
      <c r="G427" s="647"/>
      <c r="H427" s="648"/>
      <c r="I427" s="649"/>
      <c r="J427" s="650"/>
      <c r="K427" s="657"/>
      <c r="L427" s="656"/>
    </row>
    <row r="428" spans="1:12" ht="15.75" x14ac:dyDescent="0.25">
      <c r="A428" s="647"/>
      <c r="B428" s="648"/>
      <c r="C428" s="649"/>
      <c r="D428" s="655" t="s">
        <v>166</v>
      </c>
      <c r="E428" s="657">
        <v>0.65972222222222221</v>
      </c>
      <c r="F428" s="656"/>
      <c r="G428" s="647"/>
      <c r="H428" s="648"/>
      <c r="I428" s="649"/>
      <c r="J428" s="650"/>
      <c r="K428" s="657"/>
      <c r="L428" s="653"/>
    </row>
    <row r="429" spans="1:12" ht="15.75" x14ac:dyDescent="0.25">
      <c r="A429" s="647"/>
      <c r="B429" s="648" t="s">
        <v>462</v>
      </c>
      <c r="C429" s="649" t="s">
        <v>459</v>
      </c>
      <c r="D429" s="650"/>
      <c r="E429" s="651"/>
      <c r="F429" s="656"/>
      <c r="G429" s="647"/>
      <c r="H429" s="648"/>
      <c r="I429" s="649"/>
      <c r="J429" s="650"/>
      <c r="K429" s="657"/>
      <c r="L429" s="653"/>
    </row>
    <row r="430" spans="1:12" ht="15.75" x14ac:dyDescent="0.25">
      <c r="A430" s="647"/>
      <c r="B430" s="648"/>
      <c r="C430" s="649"/>
      <c r="D430" s="650"/>
      <c r="E430" s="651"/>
      <c r="F430" s="653"/>
      <c r="G430" s="647"/>
      <c r="H430" s="648"/>
      <c r="I430" s="649"/>
      <c r="J430" s="650"/>
      <c r="K430" s="651"/>
      <c r="L430" s="652"/>
    </row>
    <row r="431" spans="1:12" ht="15.75" x14ac:dyDescent="0.25">
      <c r="A431" s="647"/>
      <c r="B431" s="648" t="s">
        <v>459</v>
      </c>
      <c r="C431" s="649">
        <v>42</v>
      </c>
      <c r="D431" s="650" t="s">
        <v>1339</v>
      </c>
      <c r="E431" s="651"/>
      <c r="F431" s="656"/>
      <c r="G431" s="647"/>
      <c r="H431" s="648"/>
      <c r="I431" s="649"/>
      <c r="J431" s="650"/>
      <c r="K431" s="651"/>
      <c r="L431" s="652"/>
    </row>
    <row r="432" spans="1:12" ht="15.75" x14ac:dyDescent="0.25">
      <c r="A432" s="647"/>
      <c r="B432" s="648"/>
      <c r="C432" s="649"/>
      <c r="D432" s="655" t="s">
        <v>166</v>
      </c>
      <c r="E432" s="651"/>
      <c r="F432" s="656">
        <v>0.65972222222222221</v>
      </c>
      <c r="G432" s="647"/>
      <c r="H432" s="648"/>
      <c r="I432" s="649"/>
      <c r="J432" s="650"/>
      <c r="K432" s="651"/>
      <c r="L432" s="652"/>
    </row>
    <row r="433" spans="1:12" ht="15.75" x14ac:dyDescent="0.25">
      <c r="A433" s="647" t="s">
        <v>961</v>
      </c>
      <c r="B433" s="648"/>
      <c r="C433" s="649"/>
      <c r="D433" s="650" t="s">
        <v>160</v>
      </c>
      <c r="E433" s="651"/>
      <c r="F433" s="653">
        <v>0.70486111111111116</v>
      </c>
      <c r="G433" s="647"/>
      <c r="H433" s="648"/>
      <c r="I433" s="649"/>
      <c r="J433" s="650"/>
      <c r="K433" s="651"/>
      <c r="L433" s="652"/>
    </row>
    <row r="434" spans="1:12" ht="15.75" x14ac:dyDescent="0.25">
      <c r="A434" s="647"/>
      <c r="B434" s="648"/>
      <c r="C434" s="649"/>
      <c r="D434" s="655" t="s">
        <v>962</v>
      </c>
      <c r="E434" s="651"/>
      <c r="F434" s="656">
        <v>0.71527777777777779</v>
      </c>
      <c r="G434" s="647"/>
      <c r="H434" s="648"/>
      <c r="I434" s="649"/>
      <c r="J434" s="650"/>
      <c r="K434" s="651"/>
      <c r="L434" s="652"/>
    </row>
    <row r="435" spans="1:12" ht="15.75" x14ac:dyDescent="0.25">
      <c r="A435" s="647"/>
      <c r="B435" s="648"/>
      <c r="C435" s="649"/>
      <c r="D435" s="655" t="s">
        <v>960</v>
      </c>
      <c r="E435" s="657">
        <v>0.74305555555555558</v>
      </c>
      <c r="F435" s="656"/>
      <c r="G435" s="647"/>
      <c r="H435" s="648"/>
      <c r="I435" s="649"/>
      <c r="J435" s="650"/>
      <c r="K435" s="651"/>
      <c r="L435" s="652"/>
    </row>
    <row r="436" spans="1:12" ht="15.75" x14ac:dyDescent="0.25">
      <c r="A436" s="647"/>
      <c r="B436" s="648" t="s">
        <v>459</v>
      </c>
      <c r="C436" s="649">
        <v>42</v>
      </c>
      <c r="D436" s="650" t="s">
        <v>1340</v>
      </c>
      <c r="E436" s="651"/>
      <c r="F436" s="658"/>
      <c r="G436" s="647"/>
      <c r="H436" s="648"/>
      <c r="I436" s="649"/>
      <c r="J436" s="650"/>
      <c r="K436" s="651"/>
      <c r="L436" s="652"/>
    </row>
    <row r="437" spans="1:12" ht="15.75" x14ac:dyDescent="0.25">
      <c r="A437" s="647"/>
      <c r="B437" s="648"/>
      <c r="C437" s="649"/>
      <c r="D437" s="650"/>
      <c r="E437" s="657"/>
      <c r="F437" s="658"/>
      <c r="G437" s="647"/>
      <c r="H437" s="648"/>
      <c r="I437" s="649"/>
      <c r="J437" s="650"/>
      <c r="K437" s="651"/>
      <c r="L437" s="658"/>
    </row>
    <row r="438" spans="1:12" ht="15.75" x14ac:dyDescent="0.25">
      <c r="A438" s="647"/>
      <c r="B438" s="648"/>
      <c r="C438" s="649"/>
      <c r="D438" s="655"/>
      <c r="E438" s="657"/>
      <c r="F438" s="653"/>
      <c r="G438" s="647"/>
      <c r="H438" s="648"/>
      <c r="I438" s="649"/>
      <c r="J438" s="655"/>
      <c r="K438" s="651"/>
      <c r="L438" s="658"/>
    </row>
    <row r="439" spans="1:12" ht="15.75" x14ac:dyDescent="0.25">
      <c r="A439" s="647"/>
      <c r="B439" s="648"/>
      <c r="C439" s="649"/>
      <c r="D439" s="650"/>
      <c r="E439" s="651"/>
      <c r="F439" s="652"/>
      <c r="G439" s="647"/>
      <c r="H439" s="648"/>
      <c r="I439" s="649"/>
      <c r="J439" s="650"/>
      <c r="K439" s="651"/>
      <c r="L439" s="658"/>
    </row>
    <row r="440" spans="1:12" ht="16.5" thickBot="1" x14ac:dyDescent="0.3">
      <c r="A440" s="659"/>
      <c r="B440" s="660"/>
      <c r="C440" s="661"/>
      <c r="D440" s="662"/>
      <c r="E440" s="663"/>
      <c r="F440" s="664"/>
      <c r="G440" s="665"/>
      <c r="H440" s="666"/>
      <c r="I440" s="667"/>
      <c r="J440" s="668"/>
      <c r="K440" s="663"/>
      <c r="L440" s="669"/>
    </row>
    <row r="441" spans="1:12" ht="21" x14ac:dyDescent="0.35">
      <c r="A441" s="781" t="s">
        <v>945</v>
      </c>
      <c r="B441" s="782"/>
      <c r="C441" s="782"/>
      <c r="D441" s="782"/>
      <c r="E441" s="782"/>
      <c r="F441" s="782"/>
      <c r="G441" s="782"/>
      <c r="H441" s="782"/>
      <c r="I441" s="782"/>
      <c r="J441" s="782"/>
      <c r="K441" s="782"/>
      <c r="L441" s="783"/>
    </row>
    <row r="442" spans="1:12" ht="18.75" x14ac:dyDescent="0.3">
      <c r="A442" s="784" t="s">
        <v>946</v>
      </c>
      <c r="B442" s="785"/>
      <c r="C442" s="785"/>
      <c r="D442" s="785"/>
      <c r="E442" s="785"/>
      <c r="F442" s="785"/>
      <c r="G442" s="785"/>
      <c r="H442" s="785"/>
      <c r="I442" s="785"/>
      <c r="J442" s="785"/>
      <c r="K442" s="785"/>
      <c r="L442" s="786"/>
    </row>
    <row r="443" spans="1:12" ht="24" x14ac:dyDescent="0.4">
      <c r="A443" s="787" t="s">
        <v>947</v>
      </c>
      <c r="B443" s="788"/>
      <c r="C443" s="788"/>
      <c r="D443" s="788"/>
      <c r="E443" s="788"/>
      <c r="F443" s="788"/>
      <c r="G443" s="788"/>
      <c r="H443" s="788"/>
      <c r="I443" s="788"/>
      <c r="J443" s="788"/>
      <c r="K443" s="788"/>
      <c r="L443" s="789"/>
    </row>
    <row r="444" spans="1:12" ht="24" x14ac:dyDescent="0.4">
      <c r="A444" s="623" t="s">
        <v>1279</v>
      </c>
      <c r="B444" s="624"/>
      <c r="C444" s="624"/>
      <c r="D444" s="625" t="s">
        <v>949</v>
      </c>
      <c r="E444" s="790" t="s">
        <v>683</v>
      </c>
      <c r="F444" s="790"/>
      <c r="G444" s="790"/>
      <c r="H444" s="790"/>
      <c r="I444" s="790"/>
      <c r="J444" s="626" t="s">
        <v>1056</v>
      </c>
      <c r="K444" s="790"/>
      <c r="L444" s="791"/>
    </row>
    <row r="445" spans="1:12" ht="15.75" thickBot="1" x14ac:dyDescent="0.3">
      <c r="A445" s="627"/>
      <c r="B445" s="628"/>
      <c r="C445" s="628"/>
      <c r="D445" s="629"/>
      <c r="E445" s="628"/>
      <c r="F445" s="628"/>
      <c r="G445" s="628"/>
      <c r="H445" s="628"/>
      <c r="I445" s="792"/>
      <c r="J445" s="792"/>
      <c r="K445" s="628"/>
      <c r="L445" s="630"/>
    </row>
    <row r="446" spans="1:12" ht="16.5" thickBot="1" x14ac:dyDescent="0.3">
      <c r="A446" s="631" t="s">
        <v>952</v>
      </c>
      <c r="B446" s="632"/>
      <c r="C446" s="633"/>
      <c r="D446" s="634" t="s">
        <v>953</v>
      </c>
      <c r="E446" s="631" t="s">
        <v>954</v>
      </c>
      <c r="F446" s="635" t="s">
        <v>955</v>
      </c>
      <c r="G446" s="631" t="s">
        <v>952</v>
      </c>
      <c r="H446" s="632"/>
      <c r="I446" s="633"/>
      <c r="J446" s="634" t="s">
        <v>953</v>
      </c>
      <c r="K446" s="631" t="s">
        <v>954</v>
      </c>
      <c r="L446" s="631" t="s">
        <v>955</v>
      </c>
    </row>
    <row r="447" spans="1:12" ht="15.75" x14ac:dyDescent="0.25">
      <c r="A447" s="636"/>
      <c r="B447" s="637"/>
      <c r="C447" s="638"/>
      <c r="D447" s="639"/>
      <c r="E447" s="640"/>
      <c r="F447" s="641"/>
      <c r="G447" s="636"/>
      <c r="H447" s="642"/>
      <c r="I447" s="643"/>
      <c r="J447" s="644"/>
      <c r="K447" s="645"/>
      <c r="L447" s="646"/>
    </row>
    <row r="448" spans="1:12" ht="15.75" x14ac:dyDescent="0.25">
      <c r="A448" s="647"/>
      <c r="B448" s="648" t="s">
        <v>459</v>
      </c>
      <c r="C448" s="649">
        <v>12</v>
      </c>
      <c r="D448" s="650" t="s">
        <v>1162</v>
      </c>
      <c r="E448" s="651"/>
      <c r="F448" s="652"/>
      <c r="G448" s="647"/>
      <c r="H448" s="648" t="s">
        <v>459</v>
      </c>
      <c r="I448" s="649">
        <v>44</v>
      </c>
      <c r="J448" s="650" t="s">
        <v>1341</v>
      </c>
      <c r="K448" s="651"/>
      <c r="L448" s="653"/>
    </row>
    <row r="449" spans="1:12" ht="15.75" x14ac:dyDescent="0.25">
      <c r="A449" s="647" t="s">
        <v>958</v>
      </c>
      <c r="B449" s="654"/>
      <c r="C449" s="649"/>
      <c r="D449" s="655" t="s">
        <v>959</v>
      </c>
      <c r="E449" s="651"/>
      <c r="F449" s="656">
        <v>0.26041666666666669</v>
      </c>
      <c r="G449" s="647"/>
      <c r="H449" s="648"/>
      <c r="I449" s="649"/>
      <c r="J449" s="655" t="s">
        <v>166</v>
      </c>
      <c r="K449" s="651"/>
      <c r="L449" s="656">
        <v>0.67361111111111116</v>
      </c>
    </row>
    <row r="450" spans="1:12" ht="15.75" x14ac:dyDescent="0.25">
      <c r="A450" s="647" t="s">
        <v>961</v>
      </c>
      <c r="B450" s="654"/>
      <c r="C450" s="649"/>
      <c r="D450" s="650" t="s">
        <v>163</v>
      </c>
      <c r="E450" s="651"/>
      <c r="F450" s="653">
        <v>0.28819444444444442</v>
      </c>
      <c r="G450" s="647" t="s">
        <v>961</v>
      </c>
      <c r="H450" s="648"/>
      <c r="I450" s="649"/>
      <c r="J450" s="650" t="s">
        <v>160</v>
      </c>
      <c r="K450" s="651"/>
      <c r="L450" s="653">
        <v>0.72222222222222221</v>
      </c>
    </row>
    <row r="451" spans="1:12" ht="15.75" x14ac:dyDescent="0.25">
      <c r="A451" s="647"/>
      <c r="B451" s="648"/>
      <c r="C451" s="649"/>
      <c r="D451" s="655" t="s">
        <v>164</v>
      </c>
      <c r="E451" s="651"/>
      <c r="F451" s="656">
        <v>0.3125</v>
      </c>
      <c r="G451" s="647"/>
      <c r="H451" s="648"/>
      <c r="I451" s="649"/>
      <c r="J451" s="655" t="s">
        <v>962</v>
      </c>
      <c r="K451" s="651"/>
      <c r="L451" s="656">
        <v>0.72916666666666663</v>
      </c>
    </row>
    <row r="452" spans="1:12" ht="15.75" x14ac:dyDescent="0.25">
      <c r="A452" s="647"/>
      <c r="B452" s="648"/>
      <c r="C452" s="649"/>
      <c r="D452" s="655" t="s">
        <v>166</v>
      </c>
      <c r="E452" s="651"/>
      <c r="F452" s="656">
        <v>0.32291666666666669</v>
      </c>
      <c r="G452" s="647"/>
      <c r="H452" s="648"/>
      <c r="I452" s="649"/>
      <c r="J452" s="655" t="s">
        <v>960</v>
      </c>
      <c r="K452" s="651"/>
      <c r="L452" s="656">
        <v>0.75694444444444442</v>
      </c>
    </row>
    <row r="453" spans="1:12" ht="15.75" x14ac:dyDescent="0.25">
      <c r="A453" s="647" t="s">
        <v>961</v>
      </c>
      <c r="B453" s="648"/>
      <c r="C453" s="649"/>
      <c r="D453" s="650" t="s">
        <v>160</v>
      </c>
      <c r="E453" s="651"/>
      <c r="F453" s="653">
        <v>0.3576388888888889</v>
      </c>
      <c r="G453" s="647" t="s">
        <v>961</v>
      </c>
      <c r="H453" s="654"/>
      <c r="I453" s="649"/>
      <c r="J453" s="650" t="s">
        <v>163</v>
      </c>
      <c r="K453" s="651"/>
      <c r="L453" s="653">
        <v>0.80902777777777779</v>
      </c>
    </row>
    <row r="454" spans="1:12" ht="15.75" x14ac:dyDescent="0.25">
      <c r="A454" s="647"/>
      <c r="B454" s="648"/>
      <c r="C454" s="649"/>
      <c r="D454" s="655" t="s">
        <v>962</v>
      </c>
      <c r="E454" s="651"/>
      <c r="F454" s="656">
        <v>0.36458333333333331</v>
      </c>
      <c r="G454" s="647"/>
      <c r="H454" s="648"/>
      <c r="I454" s="649"/>
      <c r="J454" s="655" t="s">
        <v>164</v>
      </c>
      <c r="K454" s="651"/>
      <c r="L454" s="656">
        <v>0.83333333333333337</v>
      </c>
    </row>
    <row r="455" spans="1:12" ht="15.75" x14ac:dyDescent="0.25">
      <c r="A455" s="647"/>
      <c r="B455" s="648"/>
      <c r="C455" s="649"/>
      <c r="D455" s="655" t="s">
        <v>960</v>
      </c>
      <c r="E455" s="657">
        <v>0.3888888888888889</v>
      </c>
      <c r="F455" s="656"/>
      <c r="G455" s="647"/>
      <c r="H455" s="648"/>
      <c r="I455" s="649"/>
      <c r="J455" s="655" t="s">
        <v>166</v>
      </c>
      <c r="K455" s="657">
        <v>0.84722222222222221</v>
      </c>
      <c r="L455" s="656"/>
    </row>
    <row r="456" spans="1:12" ht="15.75" x14ac:dyDescent="0.25">
      <c r="A456" s="647"/>
      <c r="B456" s="648" t="s">
        <v>459</v>
      </c>
      <c r="C456" s="649">
        <v>12</v>
      </c>
      <c r="D456" s="650" t="s">
        <v>1342</v>
      </c>
      <c r="E456" s="651"/>
      <c r="F456" s="658"/>
      <c r="G456" s="647"/>
      <c r="H456" s="648" t="s">
        <v>459</v>
      </c>
      <c r="I456" s="649">
        <v>44</v>
      </c>
      <c r="J456" s="650" t="s">
        <v>1343</v>
      </c>
      <c r="K456" s="651"/>
      <c r="L456" s="653"/>
    </row>
    <row r="457" spans="1:12" ht="15.75" x14ac:dyDescent="0.25">
      <c r="A457" s="647"/>
      <c r="B457" s="648"/>
      <c r="C457" s="649"/>
      <c r="D457" s="650"/>
      <c r="E457" s="651"/>
      <c r="F457" s="656"/>
      <c r="G457" s="647"/>
      <c r="H457" s="648"/>
      <c r="I457" s="649"/>
      <c r="J457" s="655"/>
      <c r="K457" s="657"/>
      <c r="L457" s="653"/>
    </row>
    <row r="458" spans="1:12" ht="15.75" x14ac:dyDescent="0.25">
      <c r="A458" s="647"/>
      <c r="B458" s="648" t="s">
        <v>459</v>
      </c>
      <c r="C458" s="649">
        <v>5</v>
      </c>
      <c r="D458" s="650" t="s">
        <v>1026</v>
      </c>
      <c r="E458" s="651"/>
      <c r="F458" s="653"/>
      <c r="G458" s="647"/>
      <c r="H458" s="648" t="s">
        <v>459</v>
      </c>
      <c r="I458" s="649">
        <v>73</v>
      </c>
      <c r="J458" s="650" t="s">
        <v>1215</v>
      </c>
      <c r="K458" s="651"/>
      <c r="L458" s="653"/>
    </row>
    <row r="459" spans="1:12" ht="15.75" x14ac:dyDescent="0.25">
      <c r="A459" s="647"/>
      <c r="B459" s="648"/>
      <c r="C459" s="649"/>
      <c r="D459" s="655" t="s">
        <v>960</v>
      </c>
      <c r="E459" s="651"/>
      <c r="F459" s="656">
        <v>0.3888888888888889</v>
      </c>
      <c r="G459" s="647"/>
      <c r="H459" s="648"/>
      <c r="I459" s="649"/>
      <c r="J459" s="655" t="s">
        <v>166</v>
      </c>
      <c r="K459" s="651"/>
      <c r="L459" s="656">
        <v>0.84722222222222221</v>
      </c>
    </row>
    <row r="460" spans="1:12" ht="15.75" x14ac:dyDescent="0.25">
      <c r="A460" s="647" t="s">
        <v>961</v>
      </c>
      <c r="B460" s="654"/>
      <c r="C460" s="649"/>
      <c r="D460" s="650" t="s">
        <v>163</v>
      </c>
      <c r="E460" s="651"/>
      <c r="F460" s="653">
        <v>0.44444444444444442</v>
      </c>
      <c r="G460" s="647" t="s">
        <v>961</v>
      </c>
      <c r="H460" s="648"/>
      <c r="I460" s="649"/>
      <c r="J460" s="650" t="s">
        <v>160</v>
      </c>
      <c r="K460" s="651"/>
      <c r="L460" s="653">
        <v>0.88888888888888884</v>
      </c>
    </row>
    <row r="461" spans="1:12" ht="15.75" x14ac:dyDescent="0.25">
      <c r="A461" s="647"/>
      <c r="B461" s="648"/>
      <c r="C461" s="649"/>
      <c r="D461" s="655" t="s">
        <v>164</v>
      </c>
      <c r="E461" s="651"/>
      <c r="F461" s="656">
        <v>0.47222222222222221</v>
      </c>
      <c r="G461" s="647"/>
      <c r="H461" s="648"/>
      <c r="I461" s="649"/>
      <c r="J461" s="655" t="s">
        <v>962</v>
      </c>
      <c r="K461" s="651"/>
      <c r="L461" s="656">
        <v>0.89583333333333337</v>
      </c>
    </row>
    <row r="462" spans="1:12" ht="15.75" x14ac:dyDescent="0.25">
      <c r="A462" s="647"/>
      <c r="B462" s="648"/>
      <c r="C462" s="649"/>
      <c r="D462" s="655" t="s">
        <v>166</v>
      </c>
      <c r="E462" s="657">
        <v>0.4861111111111111</v>
      </c>
      <c r="F462" s="656"/>
      <c r="G462" s="647"/>
      <c r="H462" s="654"/>
      <c r="I462" s="649"/>
      <c r="J462" s="655" t="s">
        <v>960</v>
      </c>
      <c r="K462" s="651"/>
      <c r="L462" s="656">
        <v>0.92013888888888884</v>
      </c>
    </row>
    <row r="463" spans="1:12" ht="15.75" x14ac:dyDescent="0.25">
      <c r="A463" s="647"/>
      <c r="B463" s="648" t="s">
        <v>462</v>
      </c>
      <c r="C463" s="649" t="s">
        <v>459</v>
      </c>
      <c r="D463" s="650"/>
      <c r="E463" s="651"/>
      <c r="F463" s="658"/>
      <c r="G463" s="647" t="s">
        <v>958</v>
      </c>
      <c r="H463" s="654"/>
      <c r="I463" s="649"/>
      <c r="J463" s="650" t="s">
        <v>163</v>
      </c>
      <c r="K463" s="657">
        <v>0.96180555555555558</v>
      </c>
      <c r="L463" s="653"/>
    </row>
    <row r="464" spans="1:12" ht="15.75" x14ac:dyDescent="0.25">
      <c r="A464" s="647"/>
      <c r="B464" s="648"/>
      <c r="C464" s="649"/>
      <c r="D464" s="650"/>
      <c r="E464" s="651"/>
      <c r="F464" s="656"/>
      <c r="G464" s="647"/>
      <c r="H464" s="648"/>
      <c r="I464" s="649"/>
      <c r="J464" s="650" t="s">
        <v>963</v>
      </c>
      <c r="K464" s="657">
        <v>0.98611111111111116</v>
      </c>
      <c r="L464" s="656"/>
    </row>
    <row r="465" spans="1:12" ht="15.75" x14ac:dyDescent="0.25">
      <c r="A465" s="647"/>
      <c r="B465" s="648" t="s">
        <v>459</v>
      </c>
      <c r="C465" s="649">
        <v>20</v>
      </c>
      <c r="D465" s="650" t="s">
        <v>1344</v>
      </c>
      <c r="E465" s="651"/>
      <c r="F465" s="653"/>
      <c r="G465" s="647"/>
      <c r="H465" s="648" t="s">
        <v>459</v>
      </c>
      <c r="I465" s="649">
        <v>73</v>
      </c>
      <c r="J465" s="650" t="s">
        <v>1345</v>
      </c>
      <c r="K465" s="657"/>
      <c r="L465" s="653"/>
    </row>
    <row r="466" spans="1:12" ht="15.75" x14ac:dyDescent="0.25">
      <c r="A466" s="647"/>
      <c r="B466" s="648"/>
      <c r="C466" s="649"/>
      <c r="D466" s="655" t="s">
        <v>166</v>
      </c>
      <c r="E466" s="651"/>
      <c r="F466" s="656">
        <v>0.4861111111111111</v>
      </c>
      <c r="G466" s="647"/>
      <c r="H466" s="648"/>
      <c r="I466" s="649"/>
      <c r="J466" s="655"/>
      <c r="K466" s="651"/>
      <c r="L466" s="658"/>
    </row>
    <row r="467" spans="1:12" ht="15.75" x14ac:dyDescent="0.25">
      <c r="A467" s="647" t="s">
        <v>961</v>
      </c>
      <c r="B467" s="648"/>
      <c r="C467" s="649"/>
      <c r="D467" s="650" t="s">
        <v>160</v>
      </c>
      <c r="E467" s="651"/>
      <c r="F467" s="653">
        <v>0.53125</v>
      </c>
      <c r="G467" s="647"/>
      <c r="H467" s="648"/>
      <c r="I467" s="649"/>
      <c r="J467" s="650"/>
      <c r="K467" s="651"/>
      <c r="L467" s="658"/>
    </row>
    <row r="468" spans="1:12" ht="15.75" x14ac:dyDescent="0.25">
      <c r="A468" s="647"/>
      <c r="B468" s="648"/>
      <c r="C468" s="649"/>
      <c r="D468" s="655" t="s">
        <v>962</v>
      </c>
      <c r="E468" s="651"/>
      <c r="F468" s="656">
        <v>0.54166666666666663</v>
      </c>
      <c r="G468" s="647"/>
      <c r="H468" s="648"/>
      <c r="I468" s="649"/>
      <c r="J468" s="655"/>
      <c r="K468" s="651"/>
      <c r="L468" s="658"/>
    </row>
    <row r="469" spans="1:12" ht="15.75" x14ac:dyDescent="0.25">
      <c r="A469" s="647"/>
      <c r="B469" s="648"/>
      <c r="C469" s="649"/>
      <c r="D469" s="655" t="s">
        <v>960</v>
      </c>
      <c r="E469" s="651"/>
      <c r="F469" s="656">
        <v>0.56944444444444442</v>
      </c>
      <c r="G469" s="647"/>
      <c r="H469" s="648"/>
      <c r="I469" s="649"/>
      <c r="J469" s="650"/>
      <c r="K469" s="651"/>
      <c r="L469" s="658"/>
    </row>
    <row r="470" spans="1:12" ht="15.75" x14ac:dyDescent="0.25">
      <c r="A470" s="647" t="s">
        <v>961</v>
      </c>
      <c r="B470" s="654"/>
      <c r="C470" s="649"/>
      <c r="D470" s="650" t="s">
        <v>163</v>
      </c>
      <c r="E470" s="651"/>
      <c r="F470" s="653">
        <v>0.62847222222222221</v>
      </c>
      <c r="G470" s="647"/>
      <c r="H470" s="648"/>
      <c r="I470" s="649"/>
      <c r="J470" s="650"/>
      <c r="K470" s="651"/>
      <c r="L470" s="653"/>
    </row>
    <row r="471" spans="1:12" ht="15.75" x14ac:dyDescent="0.25">
      <c r="A471" s="647"/>
      <c r="B471" s="648"/>
      <c r="C471" s="649"/>
      <c r="D471" s="655" t="s">
        <v>164</v>
      </c>
      <c r="E471" s="651"/>
      <c r="F471" s="656">
        <v>0.65972222222222221</v>
      </c>
      <c r="G471" s="647"/>
      <c r="H471" s="648"/>
      <c r="I471" s="649"/>
      <c r="J471" s="655"/>
      <c r="K471" s="651"/>
      <c r="L471" s="656"/>
    </row>
    <row r="472" spans="1:12" ht="15.75" x14ac:dyDescent="0.25">
      <c r="A472" s="647"/>
      <c r="B472" s="648"/>
      <c r="C472" s="649"/>
      <c r="D472" s="655" t="s">
        <v>166</v>
      </c>
      <c r="E472" s="657">
        <v>0.67361111111111116</v>
      </c>
      <c r="F472" s="656"/>
      <c r="G472" s="647"/>
      <c r="H472" s="648"/>
      <c r="I472" s="649"/>
      <c r="J472" s="650"/>
      <c r="K472" s="651"/>
      <c r="L472" s="653"/>
    </row>
    <row r="473" spans="1:12" ht="15.75" x14ac:dyDescent="0.25">
      <c r="A473" s="647"/>
      <c r="B473" s="648" t="s">
        <v>462</v>
      </c>
      <c r="C473" s="649" t="s">
        <v>459</v>
      </c>
      <c r="D473" s="650"/>
      <c r="E473" s="651"/>
      <c r="F473" s="653"/>
      <c r="G473" s="647"/>
      <c r="H473" s="648"/>
      <c r="I473" s="649"/>
      <c r="J473" s="655"/>
      <c r="K473" s="651"/>
      <c r="L473" s="656"/>
    </row>
    <row r="474" spans="1:12" ht="15.75" x14ac:dyDescent="0.25">
      <c r="A474" s="647"/>
      <c r="B474" s="648"/>
      <c r="C474" s="649"/>
      <c r="D474" s="655"/>
      <c r="E474" s="657"/>
      <c r="F474" s="653"/>
      <c r="G474" s="647"/>
      <c r="H474" s="654"/>
      <c r="I474" s="649"/>
      <c r="J474" s="655"/>
      <c r="K474" s="651"/>
      <c r="L474" s="656"/>
    </row>
    <row r="475" spans="1:12" ht="15.75" x14ac:dyDescent="0.25">
      <c r="A475" s="647"/>
      <c r="B475" s="648"/>
      <c r="C475" s="649"/>
      <c r="D475" s="650"/>
      <c r="E475" s="651"/>
      <c r="F475" s="652"/>
      <c r="G475" s="647"/>
      <c r="H475" s="654"/>
      <c r="I475" s="649"/>
      <c r="J475" s="650"/>
      <c r="K475" s="657"/>
      <c r="L475" s="653"/>
    </row>
    <row r="476" spans="1:12" ht="15.75" x14ac:dyDescent="0.25">
      <c r="A476" s="647"/>
      <c r="B476" s="648"/>
      <c r="C476" s="649"/>
      <c r="D476" s="655"/>
      <c r="E476" s="657"/>
      <c r="F476" s="656"/>
      <c r="G476" s="647"/>
      <c r="H476" s="648"/>
      <c r="I476" s="649"/>
      <c r="J476" s="650"/>
      <c r="K476" s="657"/>
      <c r="L476" s="656"/>
    </row>
    <row r="477" spans="1:12" ht="15.75" x14ac:dyDescent="0.25">
      <c r="A477" s="647"/>
      <c r="B477" s="648"/>
      <c r="C477" s="649"/>
      <c r="D477" s="650"/>
      <c r="E477" s="651"/>
      <c r="F477" s="653"/>
      <c r="G477" s="647"/>
      <c r="H477" s="648"/>
      <c r="I477" s="649"/>
      <c r="J477" s="650"/>
      <c r="K477" s="657"/>
      <c r="L477" s="653"/>
    </row>
    <row r="478" spans="1:12" ht="15.75" x14ac:dyDescent="0.25">
      <c r="A478" s="647"/>
      <c r="B478" s="648"/>
      <c r="C478" s="649"/>
      <c r="D478" s="655"/>
      <c r="E478" s="657"/>
      <c r="F478" s="653"/>
      <c r="G478" s="647"/>
      <c r="H478" s="648"/>
      <c r="I478" s="649"/>
      <c r="J478" s="655"/>
      <c r="K478" s="651"/>
      <c r="L478" s="658"/>
    </row>
    <row r="479" spans="1:12" ht="15.75" x14ac:dyDescent="0.25">
      <c r="A479" s="647"/>
      <c r="B479" s="648"/>
      <c r="C479" s="649"/>
      <c r="D479" s="650"/>
      <c r="E479" s="651"/>
      <c r="F479" s="652"/>
      <c r="G479" s="647"/>
      <c r="H479" s="648"/>
      <c r="I479" s="649"/>
      <c r="J479" s="650"/>
      <c r="K479" s="651"/>
      <c r="L479" s="658"/>
    </row>
    <row r="480" spans="1:12" ht="16.5" thickBot="1" x14ac:dyDescent="0.3">
      <c r="A480" s="659"/>
      <c r="B480" s="660"/>
      <c r="C480" s="661"/>
      <c r="D480" s="662"/>
      <c r="E480" s="663"/>
      <c r="F480" s="664"/>
      <c r="G480" s="665"/>
      <c r="H480" s="666"/>
      <c r="I480" s="667"/>
      <c r="J480" s="668"/>
      <c r="K480" s="663"/>
      <c r="L480" s="669"/>
    </row>
    <row r="481" spans="1:12" ht="21" x14ac:dyDescent="0.35">
      <c r="A481" s="781" t="s">
        <v>945</v>
      </c>
      <c r="B481" s="782"/>
      <c r="C481" s="782"/>
      <c r="D481" s="782"/>
      <c r="E481" s="782"/>
      <c r="F481" s="782"/>
      <c r="G481" s="782"/>
      <c r="H481" s="782"/>
      <c r="I481" s="782"/>
      <c r="J481" s="782"/>
      <c r="K481" s="782"/>
      <c r="L481" s="783"/>
    </row>
    <row r="482" spans="1:12" ht="18.75" x14ac:dyDescent="0.3">
      <c r="A482" s="784" t="s">
        <v>946</v>
      </c>
      <c r="B482" s="785"/>
      <c r="C482" s="785"/>
      <c r="D482" s="785"/>
      <c r="E482" s="785"/>
      <c r="F482" s="785"/>
      <c r="G482" s="785"/>
      <c r="H482" s="785"/>
      <c r="I482" s="785"/>
      <c r="J482" s="785"/>
      <c r="K482" s="785"/>
      <c r="L482" s="786"/>
    </row>
    <row r="483" spans="1:12" ht="24" x14ac:dyDescent="0.4">
      <c r="A483" s="787" t="s">
        <v>947</v>
      </c>
      <c r="B483" s="788"/>
      <c r="C483" s="788"/>
      <c r="D483" s="788"/>
      <c r="E483" s="788"/>
      <c r="F483" s="788"/>
      <c r="G483" s="788"/>
      <c r="H483" s="788"/>
      <c r="I483" s="788"/>
      <c r="J483" s="788"/>
      <c r="K483" s="788"/>
      <c r="L483" s="789"/>
    </row>
    <row r="484" spans="1:12" ht="24" x14ac:dyDescent="0.4">
      <c r="A484" s="623" t="s">
        <v>1279</v>
      </c>
      <c r="B484" s="624"/>
      <c r="C484" s="624"/>
      <c r="D484" s="625" t="s">
        <v>949</v>
      </c>
      <c r="E484" s="790" t="s">
        <v>683</v>
      </c>
      <c r="F484" s="790"/>
      <c r="G484" s="790"/>
      <c r="H484" s="790"/>
      <c r="I484" s="790"/>
      <c r="J484" s="626" t="s">
        <v>1065</v>
      </c>
      <c r="K484" s="790"/>
      <c r="L484" s="791"/>
    </row>
    <row r="485" spans="1:12" ht="15.75" thickBot="1" x14ac:dyDescent="0.3">
      <c r="A485" s="627"/>
      <c r="B485" s="628"/>
      <c r="C485" s="628"/>
      <c r="D485" s="629"/>
      <c r="E485" s="628"/>
      <c r="F485" s="628"/>
      <c r="G485" s="628"/>
      <c r="H485" s="628"/>
      <c r="I485" s="792"/>
      <c r="J485" s="792"/>
      <c r="K485" s="628"/>
      <c r="L485" s="630"/>
    </row>
    <row r="486" spans="1:12" ht="16.5" thickBot="1" x14ac:dyDescent="0.3">
      <c r="A486" s="631" t="s">
        <v>952</v>
      </c>
      <c r="B486" s="632"/>
      <c r="C486" s="633"/>
      <c r="D486" s="634" t="s">
        <v>953</v>
      </c>
      <c r="E486" s="631" t="s">
        <v>954</v>
      </c>
      <c r="F486" s="635" t="s">
        <v>955</v>
      </c>
      <c r="G486" s="631" t="s">
        <v>952</v>
      </c>
      <c r="H486" s="632"/>
      <c r="I486" s="633"/>
      <c r="J486" s="634" t="s">
        <v>953</v>
      </c>
      <c r="K486" s="631" t="s">
        <v>954</v>
      </c>
      <c r="L486" s="631" t="s">
        <v>955</v>
      </c>
    </row>
    <row r="487" spans="1:12" ht="15.75" x14ac:dyDescent="0.25">
      <c r="A487" s="636"/>
      <c r="B487" s="637"/>
      <c r="C487" s="638"/>
      <c r="D487" s="639"/>
      <c r="E487" s="640"/>
      <c r="F487" s="641"/>
      <c r="G487" s="636"/>
      <c r="H487" s="642"/>
      <c r="I487" s="643"/>
      <c r="J487" s="644"/>
      <c r="K487" s="645"/>
      <c r="L487" s="646"/>
    </row>
    <row r="488" spans="1:12" ht="15.75" x14ac:dyDescent="0.25">
      <c r="A488" s="647"/>
      <c r="B488" s="648" t="s">
        <v>459</v>
      </c>
      <c r="C488" s="649">
        <v>13</v>
      </c>
      <c r="D488" s="650" t="s">
        <v>1192</v>
      </c>
      <c r="E488" s="651"/>
      <c r="F488" s="652"/>
      <c r="G488" s="647"/>
      <c r="H488" s="648"/>
      <c r="I488" s="649"/>
      <c r="J488" s="650"/>
      <c r="K488" s="651"/>
      <c r="L488" s="653"/>
    </row>
    <row r="489" spans="1:12" ht="15.75" x14ac:dyDescent="0.25">
      <c r="A489" s="647" t="s">
        <v>958</v>
      </c>
      <c r="B489" s="654"/>
      <c r="C489" s="649"/>
      <c r="D489" s="655" t="s">
        <v>959</v>
      </c>
      <c r="E489" s="651"/>
      <c r="F489" s="656">
        <v>0.27083333333333331</v>
      </c>
      <c r="G489" s="647"/>
      <c r="H489" s="648"/>
      <c r="I489" s="649"/>
      <c r="J489" s="655"/>
      <c r="K489" s="651"/>
      <c r="L489" s="656"/>
    </row>
    <row r="490" spans="1:12" ht="15.75" x14ac:dyDescent="0.25">
      <c r="A490" s="647" t="s">
        <v>961</v>
      </c>
      <c r="B490" s="654"/>
      <c r="C490" s="649"/>
      <c r="D490" s="650" t="s">
        <v>163</v>
      </c>
      <c r="E490" s="651"/>
      <c r="F490" s="653">
        <v>0.2986111111111111</v>
      </c>
      <c r="G490" s="647"/>
      <c r="H490" s="648"/>
      <c r="I490" s="649"/>
      <c r="J490" s="650"/>
      <c r="K490" s="651"/>
      <c r="L490" s="653"/>
    </row>
    <row r="491" spans="1:12" ht="15.75" x14ac:dyDescent="0.25">
      <c r="A491" s="647"/>
      <c r="B491" s="648"/>
      <c r="C491" s="649"/>
      <c r="D491" s="655" t="s">
        <v>164</v>
      </c>
      <c r="E491" s="651"/>
      <c r="F491" s="656">
        <v>0.32291666666666669</v>
      </c>
      <c r="G491" s="647"/>
      <c r="H491" s="648"/>
      <c r="I491" s="649"/>
      <c r="J491" s="655"/>
      <c r="K491" s="651"/>
      <c r="L491" s="656"/>
    </row>
    <row r="492" spans="1:12" ht="15.75" x14ac:dyDescent="0.25">
      <c r="A492" s="647"/>
      <c r="B492" s="648"/>
      <c r="C492" s="649"/>
      <c r="D492" s="655" t="s">
        <v>166</v>
      </c>
      <c r="E492" s="651"/>
      <c r="F492" s="656">
        <v>0.33333333333333331</v>
      </c>
      <c r="G492" s="647"/>
      <c r="H492" s="654"/>
      <c r="I492" s="649"/>
      <c r="J492" s="655"/>
      <c r="K492" s="651"/>
      <c r="L492" s="656"/>
    </row>
    <row r="493" spans="1:12" ht="15.75" x14ac:dyDescent="0.25">
      <c r="A493" s="647" t="s">
        <v>961</v>
      </c>
      <c r="B493" s="648"/>
      <c r="C493" s="649"/>
      <c r="D493" s="650" t="s">
        <v>160</v>
      </c>
      <c r="E493" s="651"/>
      <c r="F493" s="653">
        <v>0.375</v>
      </c>
      <c r="G493" s="647"/>
      <c r="H493" s="654"/>
      <c r="I493" s="649"/>
      <c r="J493" s="650"/>
      <c r="K493" s="657"/>
      <c r="L493" s="653"/>
    </row>
    <row r="494" spans="1:12" ht="15.75" x14ac:dyDescent="0.25">
      <c r="A494" s="647"/>
      <c r="B494" s="648"/>
      <c r="C494" s="649"/>
      <c r="D494" s="655" t="s">
        <v>962</v>
      </c>
      <c r="E494" s="651"/>
      <c r="F494" s="656">
        <v>0.38194444444444442</v>
      </c>
      <c r="G494" s="647"/>
      <c r="H494" s="648"/>
      <c r="I494" s="649"/>
      <c r="J494" s="650"/>
      <c r="K494" s="657"/>
      <c r="L494" s="656"/>
    </row>
    <row r="495" spans="1:12" ht="15.75" x14ac:dyDescent="0.25">
      <c r="A495" s="647"/>
      <c r="B495" s="648"/>
      <c r="C495" s="649"/>
      <c r="D495" s="655" t="s">
        <v>960</v>
      </c>
      <c r="E495" s="657">
        <v>0.40972222222222221</v>
      </c>
      <c r="F495" s="656"/>
      <c r="G495" s="647"/>
      <c r="H495" s="648"/>
      <c r="I495" s="649"/>
      <c r="J495" s="650"/>
      <c r="K495" s="657"/>
      <c r="L495" s="653"/>
    </row>
    <row r="496" spans="1:12" ht="15.75" x14ac:dyDescent="0.25">
      <c r="A496" s="647"/>
      <c r="B496" s="648" t="s">
        <v>459</v>
      </c>
      <c r="C496" s="649">
        <v>13</v>
      </c>
      <c r="D496" s="650" t="s">
        <v>1346</v>
      </c>
      <c r="E496" s="651"/>
      <c r="F496" s="658"/>
      <c r="G496" s="647"/>
      <c r="H496" s="648"/>
      <c r="I496" s="649"/>
      <c r="J496" s="650"/>
      <c r="K496" s="657"/>
      <c r="L496" s="653"/>
    </row>
    <row r="497" spans="1:12" ht="15.75" x14ac:dyDescent="0.25">
      <c r="A497" s="647"/>
      <c r="B497" s="648"/>
      <c r="C497" s="649"/>
      <c r="D497" s="650"/>
      <c r="E497" s="651"/>
      <c r="F497" s="656"/>
      <c r="G497" s="647"/>
      <c r="H497" s="648"/>
      <c r="I497" s="649"/>
      <c r="J497" s="650"/>
      <c r="K497" s="651"/>
      <c r="L497" s="652"/>
    </row>
    <row r="498" spans="1:12" ht="15.75" x14ac:dyDescent="0.25">
      <c r="A498" s="647"/>
      <c r="B498" s="648" t="s">
        <v>459</v>
      </c>
      <c r="C498" s="649">
        <v>206</v>
      </c>
      <c r="D498" s="650" t="s">
        <v>1347</v>
      </c>
      <c r="E498" s="651"/>
      <c r="F498" s="653"/>
      <c r="G498" s="647"/>
      <c r="H498" s="648"/>
      <c r="I498" s="649"/>
      <c r="J498" s="650"/>
      <c r="K498" s="651"/>
      <c r="L498" s="652"/>
    </row>
    <row r="499" spans="1:12" ht="15.75" x14ac:dyDescent="0.25">
      <c r="A499" s="647"/>
      <c r="B499" s="648"/>
      <c r="C499" s="649"/>
      <c r="D499" s="655" t="s">
        <v>960</v>
      </c>
      <c r="E499" s="651"/>
      <c r="F499" s="656">
        <v>0.40972222222222221</v>
      </c>
      <c r="G499" s="647"/>
      <c r="H499" s="648"/>
      <c r="I499" s="649"/>
      <c r="J499" s="650"/>
      <c r="K499" s="651"/>
      <c r="L499" s="652"/>
    </row>
    <row r="500" spans="1:12" ht="15.75" x14ac:dyDescent="0.25">
      <c r="A500" s="647" t="s">
        <v>961</v>
      </c>
      <c r="B500" s="654"/>
      <c r="C500" s="649"/>
      <c r="D500" s="650" t="s">
        <v>163</v>
      </c>
      <c r="E500" s="651"/>
      <c r="F500" s="653">
        <v>0.46180555555555558</v>
      </c>
      <c r="G500" s="647"/>
      <c r="H500" s="648"/>
      <c r="I500" s="649"/>
      <c r="J500" s="650"/>
      <c r="K500" s="651"/>
      <c r="L500" s="652"/>
    </row>
    <row r="501" spans="1:12" ht="15.75" x14ac:dyDescent="0.25">
      <c r="A501" s="647"/>
      <c r="B501" s="648"/>
      <c r="C501" s="649"/>
      <c r="D501" s="655" t="s">
        <v>164</v>
      </c>
      <c r="E501" s="651"/>
      <c r="F501" s="656">
        <v>0.49305555555555558</v>
      </c>
      <c r="G501" s="647"/>
      <c r="H501" s="648"/>
      <c r="I501" s="649"/>
      <c r="J501" s="650"/>
      <c r="K501" s="651"/>
      <c r="L501" s="652"/>
    </row>
    <row r="502" spans="1:12" ht="15.75" x14ac:dyDescent="0.25">
      <c r="A502" s="647"/>
      <c r="B502" s="648"/>
      <c r="C502" s="649"/>
      <c r="D502" s="655" t="s">
        <v>166</v>
      </c>
      <c r="E502" s="651"/>
      <c r="F502" s="656">
        <v>0.50694444444444442</v>
      </c>
      <c r="G502" s="647"/>
      <c r="H502" s="648"/>
      <c r="I502" s="649"/>
      <c r="J502" s="650"/>
      <c r="K502" s="651"/>
      <c r="L502" s="652"/>
    </row>
    <row r="503" spans="1:12" ht="15.75" x14ac:dyDescent="0.25">
      <c r="A503" s="647" t="s">
        <v>961</v>
      </c>
      <c r="B503" s="648"/>
      <c r="C503" s="649"/>
      <c r="D503" s="650" t="s">
        <v>160</v>
      </c>
      <c r="E503" s="651"/>
      <c r="F503" s="653">
        <v>0.55902777777777779</v>
      </c>
      <c r="G503" s="647"/>
      <c r="H503" s="648"/>
      <c r="I503" s="649"/>
      <c r="J503" s="650"/>
      <c r="K503" s="651"/>
      <c r="L503" s="652"/>
    </row>
    <row r="504" spans="1:12" ht="15.75" x14ac:dyDescent="0.25">
      <c r="A504" s="647"/>
      <c r="B504" s="648"/>
      <c r="C504" s="649"/>
      <c r="D504" s="655" t="s">
        <v>962</v>
      </c>
      <c r="E504" s="651"/>
      <c r="F504" s="656">
        <v>0.56944444444444442</v>
      </c>
      <c r="G504" s="647"/>
      <c r="H504" s="648"/>
      <c r="I504" s="649"/>
      <c r="J504" s="650"/>
      <c r="K504" s="651"/>
      <c r="L504" s="658"/>
    </row>
    <row r="505" spans="1:12" ht="15.75" x14ac:dyDescent="0.25">
      <c r="A505" s="647"/>
      <c r="B505" s="648"/>
      <c r="C505" s="649"/>
      <c r="D505" s="655" t="s">
        <v>960</v>
      </c>
      <c r="E505" s="657">
        <v>0.59722222222222221</v>
      </c>
      <c r="F505" s="656"/>
      <c r="G505" s="647"/>
      <c r="H505" s="648"/>
      <c r="I505" s="649"/>
      <c r="J505" s="655"/>
      <c r="K505" s="651"/>
      <c r="L505" s="658"/>
    </row>
    <row r="506" spans="1:12" ht="15.75" x14ac:dyDescent="0.25">
      <c r="A506" s="647"/>
      <c r="B506" s="648" t="s">
        <v>459</v>
      </c>
      <c r="C506" s="649">
        <v>206</v>
      </c>
      <c r="D506" s="650" t="s">
        <v>1348</v>
      </c>
      <c r="E506" s="651"/>
      <c r="F506" s="658"/>
      <c r="G506" s="647"/>
      <c r="H506" s="654"/>
      <c r="I506" s="649"/>
      <c r="J506" s="650"/>
      <c r="K506" s="657"/>
      <c r="L506" s="653"/>
    </row>
    <row r="507" spans="1:12" ht="15.75" x14ac:dyDescent="0.25">
      <c r="A507" s="647"/>
      <c r="B507" s="648"/>
      <c r="C507" s="649"/>
      <c r="D507" s="650"/>
      <c r="E507" s="651"/>
      <c r="F507" s="656"/>
      <c r="G507" s="647"/>
      <c r="H507" s="648"/>
      <c r="I507" s="649"/>
      <c r="J507" s="650"/>
      <c r="K507" s="657"/>
      <c r="L507" s="656"/>
    </row>
    <row r="508" spans="1:12" ht="15.75" x14ac:dyDescent="0.25">
      <c r="A508" s="647"/>
      <c r="B508" s="648" t="s">
        <v>459</v>
      </c>
      <c r="C508" s="649">
        <v>201</v>
      </c>
      <c r="D508" s="650" t="s">
        <v>1349</v>
      </c>
      <c r="E508" s="651"/>
      <c r="F508" s="653"/>
      <c r="G508" s="647"/>
      <c r="H508" s="648"/>
      <c r="I508" s="649"/>
      <c r="J508" s="650"/>
      <c r="K508" s="657"/>
      <c r="L508" s="653"/>
    </row>
    <row r="509" spans="1:12" ht="15.75" x14ac:dyDescent="0.25">
      <c r="A509" s="647"/>
      <c r="B509" s="648"/>
      <c r="C509" s="649"/>
      <c r="D509" s="655" t="s">
        <v>960</v>
      </c>
      <c r="E509" s="651"/>
      <c r="F509" s="656">
        <v>0.59722222222222221</v>
      </c>
      <c r="G509" s="647"/>
      <c r="H509" s="648"/>
      <c r="I509" s="649"/>
      <c r="J509" s="650"/>
      <c r="K509" s="657"/>
      <c r="L509" s="653"/>
    </row>
    <row r="510" spans="1:12" ht="15.75" x14ac:dyDescent="0.25">
      <c r="A510" s="647" t="s">
        <v>961</v>
      </c>
      <c r="B510" s="654"/>
      <c r="C510" s="649"/>
      <c r="D510" s="650" t="s">
        <v>163</v>
      </c>
      <c r="E510" s="651"/>
      <c r="F510" s="653">
        <v>0.65625</v>
      </c>
      <c r="G510" s="647"/>
      <c r="H510" s="648"/>
      <c r="I510" s="649"/>
      <c r="J510" s="650"/>
      <c r="K510" s="651"/>
      <c r="L510" s="652"/>
    </row>
    <row r="511" spans="1:12" ht="15.75" x14ac:dyDescent="0.25">
      <c r="A511" s="647"/>
      <c r="B511" s="648"/>
      <c r="C511" s="649"/>
      <c r="D511" s="655" t="s">
        <v>164</v>
      </c>
      <c r="E511" s="651"/>
      <c r="F511" s="656">
        <v>0.6875</v>
      </c>
      <c r="G511" s="647"/>
      <c r="H511" s="648"/>
      <c r="I511" s="649"/>
      <c r="J511" s="650"/>
      <c r="K511" s="651"/>
      <c r="L511" s="652"/>
    </row>
    <row r="512" spans="1:12" ht="15.75" x14ac:dyDescent="0.25">
      <c r="A512" s="647"/>
      <c r="B512" s="648"/>
      <c r="C512" s="649"/>
      <c r="D512" s="655" t="s">
        <v>166</v>
      </c>
      <c r="E512" s="657"/>
      <c r="F512" s="656">
        <v>0.70138888888888884</v>
      </c>
      <c r="G512" s="647"/>
      <c r="H512" s="648"/>
      <c r="I512" s="649"/>
      <c r="J512" s="650"/>
      <c r="K512" s="651"/>
      <c r="L512" s="652"/>
    </row>
    <row r="513" spans="1:12" ht="15.75" x14ac:dyDescent="0.25">
      <c r="A513" s="647" t="s">
        <v>958</v>
      </c>
      <c r="B513" s="654"/>
      <c r="C513" s="649"/>
      <c r="D513" s="650" t="s">
        <v>160</v>
      </c>
      <c r="E513" s="657">
        <v>0.74305555555555558</v>
      </c>
      <c r="F513" s="653"/>
      <c r="G513" s="647"/>
      <c r="H513" s="648"/>
      <c r="I513" s="649"/>
      <c r="J513" s="650"/>
      <c r="K513" s="651"/>
      <c r="L513" s="652"/>
    </row>
    <row r="514" spans="1:12" ht="15.75" x14ac:dyDescent="0.25">
      <c r="A514" s="647"/>
      <c r="B514" s="648"/>
      <c r="C514" s="649"/>
      <c r="D514" s="650" t="s">
        <v>963</v>
      </c>
      <c r="E514" s="657">
        <v>0.77430555555555558</v>
      </c>
      <c r="F514" s="656"/>
      <c r="G514" s="647"/>
      <c r="H514" s="648"/>
      <c r="I514" s="649"/>
      <c r="J514" s="650"/>
      <c r="K514" s="651"/>
      <c r="L514" s="652"/>
    </row>
    <row r="515" spans="1:12" ht="15.75" x14ac:dyDescent="0.25">
      <c r="A515" s="647"/>
      <c r="B515" s="648" t="s">
        <v>462</v>
      </c>
      <c r="C515" s="649" t="s">
        <v>459</v>
      </c>
      <c r="D515" s="650"/>
      <c r="E515" s="657"/>
      <c r="F515" s="656"/>
      <c r="G515" s="647"/>
      <c r="H515" s="648"/>
      <c r="I515" s="649"/>
      <c r="J515" s="650"/>
      <c r="K515" s="651"/>
      <c r="L515" s="652"/>
    </row>
    <row r="516" spans="1:12" ht="15.75" x14ac:dyDescent="0.25">
      <c r="A516" s="647"/>
      <c r="B516" s="648"/>
      <c r="C516" s="649"/>
      <c r="D516" s="650"/>
      <c r="E516" s="651"/>
      <c r="F516" s="658"/>
      <c r="G516" s="647"/>
      <c r="H516" s="648"/>
      <c r="I516" s="649"/>
      <c r="J516" s="650"/>
      <c r="K516" s="651"/>
      <c r="L516" s="652"/>
    </row>
    <row r="517" spans="1:12" ht="15.75" x14ac:dyDescent="0.25">
      <c r="A517" s="647"/>
      <c r="B517" s="648"/>
      <c r="C517" s="649"/>
      <c r="D517" s="650"/>
      <c r="E517" s="657"/>
      <c r="F517" s="658"/>
      <c r="G517" s="647"/>
      <c r="H517" s="648"/>
      <c r="I517" s="649"/>
      <c r="J517" s="650"/>
      <c r="K517" s="651"/>
      <c r="L517" s="658"/>
    </row>
    <row r="518" spans="1:12" ht="15.75" x14ac:dyDescent="0.25">
      <c r="A518" s="647"/>
      <c r="B518" s="648"/>
      <c r="C518" s="649"/>
      <c r="D518" s="655"/>
      <c r="E518" s="657"/>
      <c r="F518" s="653"/>
      <c r="G518" s="647"/>
      <c r="H518" s="648"/>
      <c r="I518" s="649"/>
      <c r="J518" s="655"/>
      <c r="K518" s="651"/>
      <c r="L518" s="658"/>
    </row>
    <row r="519" spans="1:12" ht="15.75" x14ac:dyDescent="0.25">
      <c r="A519" s="647"/>
      <c r="B519" s="648"/>
      <c r="C519" s="649"/>
      <c r="D519" s="650"/>
      <c r="E519" s="651"/>
      <c r="F519" s="652"/>
      <c r="G519" s="647"/>
      <c r="H519" s="648"/>
      <c r="I519" s="649"/>
      <c r="J519" s="650"/>
      <c r="K519" s="651"/>
      <c r="L519" s="658"/>
    </row>
    <row r="520" spans="1:12" ht="16.5" thickBot="1" x14ac:dyDescent="0.3">
      <c r="A520" s="659"/>
      <c r="B520" s="660"/>
      <c r="C520" s="661"/>
      <c r="D520" s="662"/>
      <c r="E520" s="663"/>
      <c r="F520" s="664"/>
      <c r="G520" s="665"/>
      <c r="H520" s="666"/>
      <c r="I520" s="667"/>
      <c r="J520" s="668"/>
      <c r="K520" s="663"/>
      <c r="L520" s="669"/>
    </row>
    <row r="521" spans="1:12" ht="21" x14ac:dyDescent="0.35">
      <c r="A521" s="781" t="s">
        <v>945</v>
      </c>
      <c r="B521" s="782"/>
      <c r="C521" s="782"/>
      <c r="D521" s="782"/>
      <c r="E521" s="782"/>
      <c r="F521" s="782"/>
      <c r="G521" s="782"/>
      <c r="H521" s="782"/>
      <c r="I521" s="782"/>
      <c r="J521" s="782"/>
      <c r="K521" s="782"/>
      <c r="L521" s="783"/>
    </row>
    <row r="522" spans="1:12" ht="18.75" x14ac:dyDescent="0.3">
      <c r="A522" s="784" t="s">
        <v>946</v>
      </c>
      <c r="B522" s="785"/>
      <c r="C522" s="785"/>
      <c r="D522" s="785"/>
      <c r="E522" s="785"/>
      <c r="F522" s="785"/>
      <c r="G522" s="785"/>
      <c r="H522" s="785"/>
      <c r="I522" s="785"/>
      <c r="J522" s="785"/>
      <c r="K522" s="785"/>
      <c r="L522" s="786"/>
    </row>
    <row r="523" spans="1:12" ht="24" x14ac:dyDescent="0.4">
      <c r="A523" s="787" t="s">
        <v>947</v>
      </c>
      <c r="B523" s="788"/>
      <c r="C523" s="788"/>
      <c r="D523" s="788"/>
      <c r="E523" s="788"/>
      <c r="F523" s="788"/>
      <c r="G523" s="788"/>
      <c r="H523" s="788"/>
      <c r="I523" s="788"/>
      <c r="J523" s="788"/>
      <c r="K523" s="788"/>
      <c r="L523" s="789"/>
    </row>
    <row r="524" spans="1:12" ht="24" x14ac:dyDescent="0.4">
      <c r="A524" s="623" t="s">
        <v>1279</v>
      </c>
      <c r="B524" s="624"/>
      <c r="C524" s="624"/>
      <c r="D524" s="625" t="s">
        <v>949</v>
      </c>
      <c r="E524" s="790" t="s">
        <v>683</v>
      </c>
      <c r="F524" s="790"/>
      <c r="G524" s="790"/>
      <c r="H524" s="790"/>
      <c r="I524" s="790"/>
      <c r="J524" s="626" t="s">
        <v>1071</v>
      </c>
      <c r="K524" s="790"/>
      <c r="L524" s="791"/>
    </row>
    <row r="525" spans="1:12" ht="15.75" thickBot="1" x14ac:dyDescent="0.3">
      <c r="A525" s="627"/>
      <c r="B525" s="628"/>
      <c r="C525" s="628"/>
      <c r="D525" s="629"/>
      <c r="E525" s="628"/>
      <c r="F525" s="628"/>
      <c r="G525" s="628"/>
      <c r="H525" s="628"/>
      <c r="I525" s="792"/>
      <c r="J525" s="792"/>
      <c r="K525" s="628"/>
      <c r="L525" s="630"/>
    </row>
    <row r="526" spans="1:12" ht="16.5" thickBot="1" x14ac:dyDescent="0.3">
      <c r="A526" s="631" t="s">
        <v>952</v>
      </c>
      <c r="B526" s="632"/>
      <c r="C526" s="633"/>
      <c r="D526" s="634" t="s">
        <v>953</v>
      </c>
      <c r="E526" s="631" t="s">
        <v>954</v>
      </c>
      <c r="F526" s="635" t="s">
        <v>955</v>
      </c>
      <c r="G526" s="631" t="s">
        <v>952</v>
      </c>
      <c r="H526" s="632"/>
      <c r="I526" s="633"/>
      <c r="J526" s="634" t="s">
        <v>953</v>
      </c>
      <c r="K526" s="631" t="s">
        <v>954</v>
      </c>
      <c r="L526" s="631" t="s">
        <v>955</v>
      </c>
    </row>
    <row r="527" spans="1:12" ht="15.75" x14ac:dyDescent="0.25">
      <c r="A527" s="636"/>
      <c r="B527" s="637"/>
      <c r="C527" s="638"/>
      <c r="D527" s="639"/>
      <c r="E527" s="640"/>
      <c r="F527" s="641"/>
      <c r="G527" s="636"/>
      <c r="H527" s="642"/>
      <c r="I527" s="643"/>
      <c r="J527" s="644"/>
      <c r="K527" s="645"/>
      <c r="L527" s="646"/>
    </row>
    <row r="528" spans="1:12" ht="15.75" x14ac:dyDescent="0.25">
      <c r="A528" s="647"/>
      <c r="B528" s="648" t="s">
        <v>459</v>
      </c>
      <c r="C528" s="649">
        <v>14</v>
      </c>
      <c r="D528" s="650" t="s">
        <v>1350</v>
      </c>
      <c r="E528" s="651"/>
      <c r="F528" s="652"/>
      <c r="G528" s="647"/>
      <c r="H528" s="648" t="s">
        <v>459</v>
      </c>
      <c r="I528" s="649">
        <v>206</v>
      </c>
      <c r="J528" s="650" t="s">
        <v>1351</v>
      </c>
      <c r="K528" s="651"/>
      <c r="L528" s="653"/>
    </row>
    <row r="529" spans="1:12" ht="15.75" x14ac:dyDescent="0.25">
      <c r="A529" s="647" t="s">
        <v>958</v>
      </c>
      <c r="B529" s="654"/>
      <c r="C529" s="649"/>
      <c r="D529" s="655" t="s">
        <v>959</v>
      </c>
      <c r="E529" s="651"/>
      <c r="F529" s="656">
        <v>0.28125</v>
      </c>
      <c r="G529" s="647"/>
      <c r="H529" s="648"/>
      <c r="I529" s="649"/>
      <c r="J529" s="655" t="s">
        <v>166</v>
      </c>
      <c r="K529" s="651"/>
      <c r="L529" s="656">
        <v>0.70833333333333337</v>
      </c>
    </row>
    <row r="530" spans="1:12" ht="15.75" x14ac:dyDescent="0.25">
      <c r="A530" s="647" t="s">
        <v>961</v>
      </c>
      <c r="B530" s="654"/>
      <c r="C530" s="649"/>
      <c r="D530" s="650" t="s">
        <v>163</v>
      </c>
      <c r="E530" s="651"/>
      <c r="F530" s="653">
        <v>0.30902777777777779</v>
      </c>
      <c r="G530" s="647" t="s">
        <v>961</v>
      </c>
      <c r="H530" s="648"/>
      <c r="I530" s="649"/>
      <c r="J530" s="650" t="s">
        <v>160</v>
      </c>
      <c r="K530" s="651"/>
      <c r="L530" s="653">
        <v>0.75</v>
      </c>
    </row>
    <row r="531" spans="1:12" ht="15.75" x14ac:dyDescent="0.25">
      <c r="A531" s="647"/>
      <c r="B531" s="648"/>
      <c r="C531" s="649"/>
      <c r="D531" s="655" t="s">
        <v>164</v>
      </c>
      <c r="E531" s="651"/>
      <c r="F531" s="656">
        <v>0.33333333333333331</v>
      </c>
      <c r="G531" s="647"/>
      <c r="H531" s="648"/>
      <c r="I531" s="649"/>
      <c r="J531" s="655" t="s">
        <v>962</v>
      </c>
      <c r="K531" s="651"/>
      <c r="L531" s="656">
        <v>0.75694444444444442</v>
      </c>
    </row>
    <row r="532" spans="1:12" ht="15.75" x14ac:dyDescent="0.25">
      <c r="A532" s="647"/>
      <c r="B532" s="648"/>
      <c r="C532" s="649"/>
      <c r="D532" s="655" t="s">
        <v>166</v>
      </c>
      <c r="E532" s="651"/>
      <c r="F532" s="656">
        <v>0.34375</v>
      </c>
      <c r="G532" s="647"/>
      <c r="H532" s="648"/>
      <c r="I532" s="649"/>
      <c r="J532" s="655" t="s">
        <v>960</v>
      </c>
      <c r="K532" s="657">
        <v>0.78472222222222221</v>
      </c>
      <c r="L532" s="656"/>
    </row>
    <row r="533" spans="1:12" ht="15.75" x14ac:dyDescent="0.25">
      <c r="A533" s="647" t="s">
        <v>961</v>
      </c>
      <c r="B533" s="648"/>
      <c r="C533" s="649"/>
      <c r="D533" s="650" t="s">
        <v>160</v>
      </c>
      <c r="E533" s="651"/>
      <c r="F533" s="653">
        <v>0.38194444444444442</v>
      </c>
      <c r="G533" s="647"/>
      <c r="H533" s="648" t="s">
        <v>462</v>
      </c>
      <c r="I533" s="649" t="s">
        <v>459</v>
      </c>
      <c r="J533" s="650"/>
      <c r="K533" s="651"/>
      <c r="L533" s="658"/>
    </row>
    <row r="534" spans="1:12" ht="15.75" x14ac:dyDescent="0.25">
      <c r="A534" s="647"/>
      <c r="B534" s="648"/>
      <c r="C534" s="649"/>
      <c r="D534" s="655" t="s">
        <v>962</v>
      </c>
      <c r="E534" s="651"/>
      <c r="F534" s="656">
        <v>0.3888888888888889</v>
      </c>
      <c r="G534" s="647"/>
      <c r="H534" s="648"/>
      <c r="I534" s="649"/>
      <c r="J534" s="650"/>
      <c r="K534" s="651"/>
      <c r="L534" s="656"/>
    </row>
    <row r="535" spans="1:12" ht="15.75" x14ac:dyDescent="0.25">
      <c r="A535" s="647"/>
      <c r="B535" s="648"/>
      <c r="C535" s="649"/>
      <c r="D535" s="655" t="s">
        <v>960</v>
      </c>
      <c r="E535" s="657">
        <v>0.41666666666666669</v>
      </c>
      <c r="F535" s="656"/>
      <c r="G535" s="647"/>
      <c r="H535" s="648" t="s">
        <v>459</v>
      </c>
      <c r="I535" s="649">
        <v>31</v>
      </c>
      <c r="J535" s="650" t="s">
        <v>1352</v>
      </c>
      <c r="K535" s="651"/>
      <c r="L535" s="653"/>
    </row>
    <row r="536" spans="1:12" ht="15.75" x14ac:dyDescent="0.25">
      <c r="A536" s="647"/>
      <c r="B536" s="648" t="s">
        <v>459</v>
      </c>
      <c r="C536" s="649">
        <v>14</v>
      </c>
      <c r="D536" s="650" t="s">
        <v>1353</v>
      </c>
      <c r="E536" s="651"/>
      <c r="F536" s="658"/>
      <c r="G536" s="647"/>
      <c r="H536" s="648"/>
      <c r="I536" s="649"/>
      <c r="J536" s="655" t="s">
        <v>960</v>
      </c>
      <c r="K536" s="651"/>
      <c r="L536" s="656">
        <v>0.78472222222222221</v>
      </c>
    </row>
    <row r="537" spans="1:12" ht="15.75" x14ac:dyDescent="0.25">
      <c r="A537" s="647"/>
      <c r="B537" s="648"/>
      <c r="C537" s="649"/>
      <c r="D537" s="650"/>
      <c r="E537" s="651"/>
      <c r="F537" s="656"/>
      <c r="G537" s="647" t="s">
        <v>958</v>
      </c>
      <c r="H537" s="654"/>
      <c r="I537" s="649"/>
      <c r="J537" s="650" t="s">
        <v>163</v>
      </c>
      <c r="K537" s="657">
        <v>0.84375</v>
      </c>
      <c r="L537" s="653"/>
    </row>
    <row r="538" spans="1:12" ht="15.75" x14ac:dyDescent="0.25">
      <c r="A538" s="647"/>
      <c r="B538" s="648" t="s">
        <v>459</v>
      </c>
      <c r="C538" s="649">
        <v>4</v>
      </c>
      <c r="D538" s="650" t="s">
        <v>1354</v>
      </c>
      <c r="E538" s="651"/>
      <c r="F538" s="653"/>
      <c r="G538" s="647"/>
      <c r="H538" s="648"/>
      <c r="I538" s="649"/>
      <c r="J538" s="650" t="s">
        <v>963</v>
      </c>
      <c r="K538" s="657">
        <v>0.86805555555555558</v>
      </c>
      <c r="L538" s="656"/>
    </row>
    <row r="539" spans="1:12" ht="15.75" x14ac:dyDescent="0.25">
      <c r="A539" s="647"/>
      <c r="B539" s="648"/>
      <c r="C539" s="649"/>
      <c r="D539" s="655" t="s">
        <v>960</v>
      </c>
      <c r="E539" s="651"/>
      <c r="F539" s="656">
        <v>0.41666666666666669</v>
      </c>
      <c r="G539" s="647"/>
      <c r="H539" s="648" t="s">
        <v>462</v>
      </c>
      <c r="I539" s="649" t="s">
        <v>459</v>
      </c>
      <c r="J539" s="650"/>
      <c r="K539" s="657"/>
      <c r="L539" s="653"/>
    </row>
    <row r="540" spans="1:12" ht="15.75" x14ac:dyDescent="0.25">
      <c r="A540" s="647" t="s">
        <v>961</v>
      </c>
      <c r="B540" s="654"/>
      <c r="C540" s="649"/>
      <c r="D540" s="650" t="s">
        <v>163</v>
      </c>
      <c r="E540" s="651"/>
      <c r="F540" s="653">
        <v>0.46875</v>
      </c>
      <c r="G540" s="647"/>
      <c r="H540" s="648"/>
      <c r="I540" s="649"/>
      <c r="J540" s="655"/>
      <c r="K540" s="651"/>
      <c r="L540" s="658"/>
    </row>
    <row r="541" spans="1:12" ht="15.75" x14ac:dyDescent="0.25">
      <c r="A541" s="647"/>
      <c r="B541" s="648"/>
      <c r="C541" s="649"/>
      <c r="D541" s="655" t="s">
        <v>164</v>
      </c>
      <c r="E541" s="651"/>
      <c r="F541" s="656">
        <v>0.5</v>
      </c>
      <c r="G541" s="647"/>
      <c r="H541" s="648"/>
      <c r="I541" s="649"/>
      <c r="J541" s="650"/>
      <c r="K541" s="651"/>
      <c r="L541" s="658"/>
    </row>
    <row r="542" spans="1:12" ht="15.75" x14ac:dyDescent="0.25">
      <c r="A542" s="647"/>
      <c r="B542" s="648"/>
      <c r="C542" s="649"/>
      <c r="D542" s="655" t="s">
        <v>166</v>
      </c>
      <c r="E542" s="657">
        <v>0.51388888888888884</v>
      </c>
      <c r="F542" s="656"/>
      <c r="G542" s="647"/>
      <c r="H542" s="648"/>
      <c r="I542" s="649"/>
      <c r="J542" s="655"/>
      <c r="K542" s="651"/>
      <c r="L542" s="658"/>
    </row>
    <row r="543" spans="1:12" ht="15.75" x14ac:dyDescent="0.25">
      <c r="A543" s="647"/>
      <c r="B543" s="648" t="s">
        <v>462</v>
      </c>
      <c r="C543" s="649" t="s">
        <v>459</v>
      </c>
      <c r="D543" s="650"/>
      <c r="E543" s="651"/>
      <c r="F543" s="658"/>
      <c r="G543" s="647"/>
      <c r="H543" s="648"/>
      <c r="I543" s="649"/>
      <c r="J543" s="650"/>
      <c r="K543" s="651"/>
      <c r="L543" s="658"/>
    </row>
    <row r="544" spans="1:12" ht="15.75" x14ac:dyDescent="0.25">
      <c r="A544" s="647"/>
      <c r="B544" s="648"/>
      <c r="C544" s="649"/>
      <c r="D544" s="650"/>
      <c r="E544" s="651"/>
      <c r="F544" s="656"/>
      <c r="G544" s="647"/>
      <c r="H544" s="648"/>
      <c r="I544" s="649"/>
      <c r="J544" s="650"/>
      <c r="K544" s="651"/>
      <c r="L544" s="653"/>
    </row>
    <row r="545" spans="1:12" ht="15.75" x14ac:dyDescent="0.25">
      <c r="A545" s="647"/>
      <c r="B545" s="648" t="s">
        <v>459</v>
      </c>
      <c r="C545" s="649">
        <v>31</v>
      </c>
      <c r="D545" s="650" t="s">
        <v>1355</v>
      </c>
      <c r="E545" s="651"/>
      <c r="F545" s="653"/>
      <c r="G545" s="647"/>
      <c r="H545" s="648"/>
      <c r="I545" s="649"/>
      <c r="J545" s="650"/>
      <c r="K545" s="657"/>
      <c r="L545" s="653"/>
    </row>
    <row r="546" spans="1:12" ht="15.75" x14ac:dyDescent="0.25">
      <c r="A546" s="647"/>
      <c r="B546" s="648"/>
      <c r="C546" s="649"/>
      <c r="D546" s="655" t="s">
        <v>166</v>
      </c>
      <c r="E546" s="651"/>
      <c r="F546" s="656">
        <v>0.51388888888888884</v>
      </c>
      <c r="G546" s="647"/>
      <c r="H546" s="648"/>
      <c r="I546" s="649"/>
      <c r="J546" s="655"/>
      <c r="K546" s="651"/>
      <c r="L546" s="658"/>
    </row>
    <row r="547" spans="1:12" ht="15.75" x14ac:dyDescent="0.25">
      <c r="A547" s="647" t="s">
        <v>961</v>
      </c>
      <c r="B547" s="648"/>
      <c r="C547" s="649"/>
      <c r="D547" s="650" t="s">
        <v>160</v>
      </c>
      <c r="E547" s="651"/>
      <c r="F547" s="653">
        <v>0.56597222222222221</v>
      </c>
      <c r="G547" s="647"/>
      <c r="H547" s="648"/>
      <c r="I547" s="649"/>
      <c r="J547" s="650"/>
      <c r="K547" s="651"/>
      <c r="L547" s="658"/>
    </row>
    <row r="548" spans="1:12" ht="15.75" x14ac:dyDescent="0.25">
      <c r="A548" s="647"/>
      <c r="B548" s="648"/>
      <c r="C548" s="649"/>
      <c r="D548" s="655" t="s">
        <v>962</v>
      </c>
      <c r="E548" s="651"/>
      <c r="F548" s="656">
        <v>0.57638888888888884</v>
      </c>
      <c r="G548" s="647"/>
      <c r="H548" s="648"/>
      <c r="I548" s="649"/>
      <c r="J548" s="655"/>
      <c r="K548" s="651"/>
      <c r="L548" s="658"/>
    </row>
    <row r="549" spans="1:12" ht="15.75" x14ac:dyDescent="0.25">
      <c r="A549" s="647"/>
      <c r="B549" s="648"/>
      <c r="C549" s="649"/>
      <c r="D549" s="655" t="s">
        <v>960</v>
      </c>
      <c r="E549" s="651"/>
      <c r="F549" s="656">
        <v>0.60763888888888884</v>
      </c>
      <c r="G549" s="647"/>
      <c r="H549" s="648"/>
      <c r="I549" s="649"/>
      <c r="J549" s="650"/>
      <c r="K549" s="651"/>
      <c r="L549" s="658"/>
    </row>
    <row r="550" spans="1:12" ht="15.75" x14ac:dyDescent="0.25">
      <c r="A550" s="647" t="s">
        <v>961</v>
      </c>
      <c r="B550" s="654"/>
      <c r="C550" s="649"/>
      <c r="D550" s="650" t="s">
        <v>163</v>
      </c>
      <c r="E550" s="651"/>
      <c r="F550" s="653">
        <v>0.66319444444444442</v>
      </c>
      <c r="G550" s="647"/>
      <c r="H550" s="648"/>
      <c r="I550" s="649"/>
      <c r="J550" s="650"/>
      <c r="K550" s="651"/>
      <c r="L550" s="653"/>
    </row>
    <row r="551" spans="1:12" ht="15.75" x14ac:dyDescent="0.25">
      <c r="A551" s="647"/>
      <c r="B551" s="648"/>
      <c r="C551" s="649"/>
      <c r="D551" s="655" t="s">
        <v>164</v>
      </c>
      <c r="E551" s="651"/>
      <c r="F551" s="656">
        <v>0.69444444444444442</v>
      </c>
      <c r="G551" s="647"/>
      <c r="H551" s="648"/>
      <c r="I551" s="649"/>
      <c r="J551" s="655"/>
      <c r="K551" s="651"/>
      <c r="L551" s="656"/>
    </row>
    <row r="552" spans="1:12" ht="15.75" x14ac:dyDescent="0.25">
      <c r="A552" s="647"/>
      <c r="B552" s="648"/>
      <c r="C552" s="649"/>
      <c r="D552" s="655" t="s">
        <v>166</v>
      </c>
      <c r="E552" s="657">
        <v>0.70833333333333337</v>
      </c>
      <c r="F552" s="656"/>
      <c r="G552" s="647"/>
      <c r="H552" s="648"/>
      <c r="I552" s="649"/>
      <c r="J552" s="650"/>
      <c r="K552" s="651"/>
      <c r="L552" s="653"/>
    </row>
    <row r="553" spans="1:12" ht="15.75" x14ac:dyDescent="0.25">
      <c r="A553" s="647"/>
      <c r="B553" s="648" t="s">
        <v>459</v>
      </c>
      <c r="C553" s="649">
        <v>31</v>
      </c>
      <c r="D553" s="650" t="s">
        <v>1356</v>
      </c>
      <c r="E553" s="651"/>
      <c r="F553" s="653"/>
      <c r="G553" s="647"/>
      <c r="H553" s="648"/>
      <c r="I553" s="649"/>
      <c r="J553" s="655"/>
      <c r="K553" s="651"/>
      <c r="L553" s="656"/>
    </row>
    <row r="554" spans="1:12" ht="15.75" x14ac:dyDescent="0.25">
      <c r="A554" s="647"/>
      <c r="B554" s="648"/>
      <c r="C554" s="649"/>
      <c r="D554" s="655"/>
      <c r="E554" s="657"/>
      <c r="F554" s="653"/>
      <c r="G554" s="647"/>
      <c r="H554" s="654"/>
      <c r="I554" s="649"/>
      <c r="J554" s="655"/>
      <c r="K554" s="651"/>
      <c r="L554" s="656"/>
    </row>
    <row r="555" spans="1:12" ht="15.75" x14ac:dyDescent="0.25">
      <c r="A555" s="647"/>
      <c r="B555" s="648"/>
      <c r="C555" s="649"/>
      <c r="D555" s="650"/>
      <c r="E555" s="651"/>
      <c r="F555" s="652"/>
      <c r="G555" s="647"/>
      <c r="H555" s="654"/>
      <c r="I555" s="649"/>
      <c r="J555" s="650"/>
      <c r="K555" s="657"/>
      <c r="L555" s="653"/>
    </row>
    <row r="556" spans="1:12" ht="15.75" x14ac:dyDescent="0.25">
      <c r="A556" s="647"/>
      <c r="B556" s="648"/>
      <c r="C556" s="649"/>
      <c r="D556" s="655"/>
      <c r="E556" s="657"/>
      <c r="F556" s="656"/>
      <c r="G556" s="647"/>
      <c r="H556" s="648"/>
      <c r="I556" s="649"/>
      <c r="J556" s="650"/>
      <c r="K556" s="657"/>
      <c r="L556" s="656"/>
    </row>
    <row r="557" spans="1:12" ht="15.75" x14ac:dyDescent="0.25">
      <c r="A557" s="647"/>
      <c r="B557" s="648"/>
      <c r="C557" s="649"/>
      <c r="D557" s="650"/>
      <c r="E557" s="651"/>
      <c r="F557" s="653"/>
      <c r="G557" s="647"/>
      <c r="H557" s="648"/>
      <c r="I557" s="649"/>
      <c r="J557" s="650"/>
      <c r="K557" s="657"/>
      <c r="L557" s="653"/>
    </row>
    <row r="558" spans="1:12" ht="15.75" x14ac:dyDescent="0.25">
      <c r="A558" s="647"/>
      <c r="B558" s="648"/>
      <c r="C558" s="649"/>
      <c r="D558" s="655"/>
      <c r="E558" s="657"/>
      <c r="F558" s="653"/>
      <c r="G558" s="647"/>
      <c r="H558" s="648"/>
      <c r="I558" s="649"/>
      <c r="J558" s="655"/>
      <c r="K558" s="651"/>
      <c r="L558" s="658"/>
    </row>
    <row r="559" spans="1:12" ht="15.75" x14ac:dyDescent="0.25">
      <c r="A559" s="647"/>
      <c r="B559" s="648"/>
      <c r="C559" s="649"/>
      <c r="D559" s="650"/>
      <c r="E559" s="651"/>
      <c r="F559" s="652"/>
      <c r="G559" s="647"/>
      <c r="H559" s="648"/>
      <c r="I559" s="649"/>
      <c r="J559" s="650"/>
      <c r="K559" s="651"/>
      <c r="L559" s="658"/>
    </row>
    <row r="560" spans="1:12" ht="16.5" thickBot="1" x14ac:dyDescent="0.3">
      <c r="A560" s="659"/>
      <c r="B560" s="660"/>
      <c r="C560" s="661"/>
      <c r="D560" s="662"/>
      <c r="E560" s="663"/>
      <c r="F560" s="664"/>
      <c r="G560" s="665"/>
      <c r="H560" s="666"/>
      <c r="I560" s="667"/>
      <c r="J560" s="668"/>
      <c r="K560" s="663"/>
      <c r="L560" s="669"/>
    </row>
    <row r="561" spans="1:12" ht="21" x14ac:dyDescent="0.35">
      <c r="A561" s="781" t="s">
        <v>945</v>
      </c>
      <c r="B561" s="782"/>
      <c r="C561" s="782"/>
      <c r="D561" s="782"/>
      <c r="E561" s="782"/>
      <c r="F561" s="782"/>
      <c r="G561" s="782"/>
      <c r="H561" s="782"/>
      <c r="I561" s="782"/>
      <c r="J561" s="782"/>
      <c r="K561" s="782"/>
      <c r="L561" s="783"/>
    </row>
    <row r="562" spans="1:12" ht="18.75" x14ac:dyDescent="0.3">
      <c r="A562" s="784" t="s">
        <v>946</v>
      </c>
      <c r="B562" s="785"/>
      <c r="C562" s="785"/>
      <c r="D562" s="785"/>
      <c r="E562" s="785"/>
      <c r="F562" s="785"/>
      <c r="G562" s="785"/>
      <c r="H562" s="785"/>
      <c r="I562" s="785"/>
      <c r="J562" s="785"/>
      <c r="K562" s="785"/>
      <c r="L562" s="786"/>
    </row>
    <row r="563" spans="1:12" ht="24" x14ac:dyDescent="0.4">
      <c r="A563" s="787" t="s">
        <v>947</v>
      </c>
      <c r="B563" s="788"/>
      <c r="C563" s="788"/>
      <c r="D563" s="788"/>
      <c r="E563" s="788"/>
      <c r="F563" s="788"/>
      <c r="G563" s="788"/>
      <c r="H563" s="788"/>
      <c r="I563" s="788"/>
      <c r="J563" s="788"/>
      <c r="K563" s="788"/>
      <c r="L563" s="789"/>
    </row>
    <row r="564" spans="1:12" ht="24" x14ac:dyDescent="0.4">
      <c r="A564" s="623" t="s">
        <v>1279</v>
      </c>
      <c r="B564" s="624"/>
      <c r="C564" s="624"/>
      <c r="D564" s="625" t="s">
        <v>949</v>
      </c>
      <c r="E564" s="790" t="s">
        <v>683</v>
      </c>
      <c r="F564" s="790"/>
      <c r="G564" s="790"/>
      <c r="H564" s="790"/>
      <c r="I564" s="790"/>
      <c r="J564" s="626" t="s">
        <v>1077</v>
      </c>
      <c r="K564" s="790"/>
      <c r="L564" s="791"/>
    </row>
    <row r="565" spans="1:12" ht="15.75" thickBot="1" x14ac:dyDescent="0.3">
      <c r="A565" s="627"/>
      <c r="B565" s="628"/>
      <c r="C565" s="628"/>
      <c r="D565" s="629"/>
      <c r="E565" s="628"/>
      <c r="F565" s="628"/>
      <c r="G565" s="628"/>
      <c r="H565" s="628"/>
      <c r="I565" s="792"/>
      <c r="J565" s="792"/>
      <c r="K565" s="628"/>
      <c r="L565" s="630"/>
    </row>
    <row r="566" spans="1:12" ht="16.5" thickBot="1" x14ac:dyDescent="0.3">
      <c r="A566" s="631" t="s">
        <v>952</v>
      </c>
      <c r="B566" s="632"/>
      <c r="C566" s="633"/>
      <c r="D566" s="634" t="s">
        <v>953</v>
      </c>
      <c r="E566" s="631" t="s">
        <v>954</v>
      </c>
      <c r="F566" s="635" t="s">
        <v>955</v>
      </c>
      <c r="G566" s="631" t="s">
        <v>952</v>
      </c>
      <c r="H566" s="632"/>
      <c r="I566" s="633"/>
      <c r="J566" s="634" t="s">
        <v>953</v>
      </c>
      <c r="K566" s="631" t="s">
        <v>954</v>
      </c>
      <c r="L566" s="631" t="s">
        <v>955</v>
      </c>
    </row>
    <row r="567" spans="1:12" ht="15.75" x14ac:dyDescent="0.25">
      <c r="A567" s="636"/>
      <c r="B567" s="637"/>
      <c r="C567" s="638"/>
      <c r="D567" s="639"/>
      <c r="E567" s="640"/>
      <c r="F567" s="641"/>
      <c r="G567" s="636"/>
      <c r="H567" s="642"/>
      <c r="I567" s="643"/>
      <c r="J567" s="644"/>
      <c r="K567" s="645"/>
      <c r="L567" s="646"/>
    </row>
    <row r="568" spans="1:12" ht="15.75" x14ac:dyDescent="0.25">
      <c r="A568" s="647"/>
      <c r="B568" s="648" t="s">
        <v>459</v>
      </c>
      <c r="C568" s="649">
        <v>15</v>
      </c>
      <c r="D568" s="650" t="s">
        <v>1357</v>
      </c>
      <c r="E568" s="651"/>
      <c r="F568" s="652"/>
      <c r="G568" s="647"/>
      <c r="H568" s="648" t="s">
        <v>459</v>
      </c>
      <c r="I568" s="649">
        <v>38</v>
      </c>
      <c r="J568" s="650" t="s">
        <v>1358</v>
      </c>
      <c r="K568" s="651"/>
      <c r="L568" s="656"/>
    </row>
    <row r="569" spans="1:12" ht="15.75" x14ac:dyDescent="0.25">
      <c r="A569" s="647" t="s">
        <v>958</v>
      </c>
      <c r="B569" s="654"/>
      <c r="C569" s="649"/>
      <c r="D569" s="655" t="s">
        <v>959</v>
      </c>
      <c r="E569" s="651"/>
      <c r="F569" s="656">
        <v>0.33333333333333331</v>
      </c>
      <c r="G569" s="647"/>
      <c r="H569" s="648"/>
      <c r="I569" s="649"/>
      <c r="J569" s="655" t="s">
        <v>166</v>
      </c>
      <c r="K569" s="651"/>
      <c r="L569" s="656">
        <v>0.86458333333333337</v>
      </c>
    </row>
    <row r="570" spans="1:12" ht="15.75" x14ac:dyDescent="0.25">
      <c r="A570" s="647" t="s">
        <v>961</v>
      </c>
      <c r="B570" s="648"/>
      <c r="C570" s="649"/>
      <c r="D570" s="650" t="s">
        <v>160</v>
      </c>
      <c r="E570" s="651"/>
      <c r="F570" s="653">
        <v>0.36805555555555558</v>
      </c>
      <c r="G570" s="647" t="s">
        <v>961</v>
      </c>
      <c r="H570" s="648"/>
      <c r="I570" s="649"/>
      <c r="J570" s="650" t="s">
        <v>160</v>
      </c>
      <c r="K570" s="651"/>
      <c r="L570" s="653">
        <v>0.89930555555555558</v>
      </c>
    </row>
    <row r="571" spans="1:12" ht="15.75" x14ac:dyDescent="0.25">
      <c r="A571" s="647"/>
      <c r="B571" s="648"/>
      <c r="C571" s="649"/>
      <c r="D571" s="655" t="s">
        <v>962</v>
      </c>
      <c r="E571" s="651"/>
      <c r="F571" s="656">
        <v>0.375</v>
      </c>
      <c r="G571" s="647"/>
      <c r="H571" s="648"/>
      <c r="I571" s="649"/>
      <c r="J571" s="655" t="s">
        <v>962</v>
      </c>
      <c r="K571" s="651"/>
      <c r="L571" s="656">
        <v>0.90625</v>
      </c>
    </row>
    <row r="572" spans="1:12" ht="15.75" x14ac:dyDescent="0.25">
      <c r="A572" s="647"/>
      <c r="B572" s="648"/>
      <c r="C572" s="649"/>
      <c r="D572" s="655" t="s">
        <v>960</v>
      </c>
      <c r="E572" s="651"/>
      <c r="F572" s="656">
        <v>0.40277777777777779</v>
      </c>
      <c r="G572" s="647"/>
      <c r="H572" s="648"/>
      <c r="I572" s="649"/>
      <c r="J572" s="655" t="s">
        <v>960</v>
      </c>
      <c r="K572" s="657">
        <v>0.93055555555555558</v>
      </c>
      <c r="L572" s="656"/>
    </row>
    <row r="573" spans="1:12" ht="15.75" x14ac:dyDescent="0.25">
      <c r="A573" s="647" t="s">
        <v>961</v>
      </c>
      <c r="B573" s="654"/>
      <c r="C573" s="649"/>
      <c r="D573" s="650" t="s">
        <v>163</v>
      </c>
      <c r="E573" s="651"/>
      <c r="F573" s="653">
        <v>0.4548611111111111</v>
      </c>
      <c r="G573" s="647"/>
      <c r="H573" s="648" t="s">
        <v>462</v>
      </c>
      <c r="I573" s="649" t="s">
        <v>459</v>
      </c>
      <c r="J573" s="650"/>
      <c r="K573" s="651"/>
      <c r="L573" s="653"/>
    </row>
    <row r="574" spans="1:12" ht="15.75" x14ac:dyDescent="0.25">
      <c r="A574" s="647"/>
      <c r="B574" s="648"/>
      <c r="C574" s="649"/>
      <c r="D574" s="655" t="s">
        <v>164</v>
      </c>
      <c r="E574" s="651"/>
      <c r="F574" s="656">
        <v>0.4861111111111111</v>
      </c>
      <c r="G574" s="647"/>
      <c r="H574" s="648"/>
      <c r="I574" s="649"/>
      <c r="J574" s="655"/>
      <c r="K574" s="651"/>
      <c r="L574" s="656"/>
    </row>
    <row r="575" spans="1:12" ht="15.75" x14ac:dyDescent="0.25">
      <c r="A575" s="647"/>
      <c r="B575" s="648"/>
      <c r="C575" s="649"/>
      <c r="D575" s="655" t="s">
        <v>166</v>
      </c>
      <c r="E575" s="657">
        <v>0.5</v>
      </c>
      <c r="F575" s="656"/>
      <c r="G575" s="647"/>
      <c r="H575" s="648" t="s">
        <v>459</v>
      </c>
      <c r="I575" s="649">
        <v>72</v>
      </c>
      <c r="J575" s="650" t="s">
        <v>1359</v>
      </c>
      <c r="K575" s="651"/>
      <c r="L575" s="653"/>
    </row>
    <row r="576" spans="1:12" ht="15.75" x14ac:dyDescent="0.25">
      <c r="A576" s="647"/>
      <c r="B576" s="648" t="s">
        <v>459</v>
      </c>
      <c r="C576" s="649">
        <v>15</v>
      </c>
      <c r="D576" s="650" t="s">
        <v>1360</v>
      </c>
      <c r="E576" s="651"/>
      <c r="F576" s="656"/>
      <c r="G576" s="647"/>
      <c r="H576" s="648"/>
      <c r="I576" s="649"/>
      <c r="J576" s="655" t="s">
        <v>960</v>
      </c>
      <c r="K576" s="651"/>
      <c r="L576" s="656">
        <v>0.93055555555555558</v>
      </c>
    </row>
    <row r="577" spans="1:12" ht="15.75" x14ac:dyDescent="0.25">
      <c r="A577" s="647"/>
      <c r="B577" s="648"/>
      <c r="C577" s="649"/>
      <c r="D577" s="650"/>
      <c r="E577" s="651"/>
      <c r="F577" s="653"/>
      <c r="G577" s="647" t="s">
        <v>961</v>
      </c>
      <c r="H577" s="654"/>
      <c r="I577" s="649"/>
      <c r="J577" s="650" t="s">
        <v>163</v>
      </c>
      <c r="K577" s="651"/>
      <c r="L577" s="653">
        <v>0.97916666666666663</v>
      </c>
    </row>
    <row r="578" spans="1:12" ht="15.75" x14ac:dyDescent="0.25">
      <c r="A578" s="647"/>
      <c r="B578" s="648" t="s">
        <v>459</v>
      </c>
      <c r="C578" s="649">
        <v>27</v>
      </c>
      <c r="D578" s="650" t="s">
        <v>1361</v>
      </c>
      <c r="E578" s="651"/>
      <c r="F578" s="656"/>
      <c r="G578" s="647"/>
      <c r="H578" s="648"/>
      <c r="I578" s="649"/>
      <c r="J578" s="655" t="s">
        <v>164</v>
      </c>
      <c r="K578" s="651"/>
      <c r="L578" s="656">
        <v>1</v>
      </c>
    </row>
    <row r="579" spans="1:12" ht="15.75" x14ac:dyDescent="0.25">
      <c r="A579" s="647"/>
      <c r="B579" s="648"/>
      <c r="C579" s="649"/>
      <c r="D579" s="655" t="s">
        <v>166</v>
      </c>
      <c r="E579" s="651"/>
      <c r="F579" s="656">
        <v>0.5</v>
      </c>
      <c r="G579" s="647"/>
      <c r="H579" s="648"/>
      <c r="I579" s="649"/>
      <c r="J579" s="655" t="s">
        <v>166</v>
      </c>
      <c r="K579" s="651"/>
      <c r="L579" s="656">
        <v>1.0104166666666667</v>
      </c>
    </row>
    <row r="580" spans="1:12" ht="15.75" x14ac:dyDescent="0.25">
      <c r="A580" s="647" t="s">
        <v>961</v>
      </c>
      <c r="B580" s="648"/>
      <c r="C580" s="649"/>
      <c r="D580" s="650" t="s">
        <v>160</v>
      </c>
      <c r="E580" s="651"/>
      <c r="F580" s="653">
        <v>0.55208333333333337</v>
      </c>
      <c r="G580" s="647" t="s">
        <v>961</v>
      </c>
      <c r="H580" s="648"/>
      <c r="I580" s="649"/>
      <c r="J580" s="650" t="s">
        <v>160</v>
      </c>
      <c r="K580" s="651"/>
      <c r="L580" s="653">
        <v>7.6388888888888895E-2</v>
      </c>
    </row>
    <row r="581" spans="1:12" ht="15.75" x14ac:dyDescent="0.25">
      <c r="A581" s="647"/>
      <c r="B581" s="648"/>
      <c r="C581" s="649"/>
      <c r="D581" s="655" t="s">
        <v>962</v>
      </c>
      <c r="E581" s="651"/>
      <c r="F581" s="656">
        <v>0.5625</v>
      </c>
      <c r="G581" s="647"/>
      <c r="H581" s="648"/>
      <c r="I581" s="649"/>
      <c r="J581" s="655" t="s">
        <v>962</v>
      </c>
      <c r="K581" s="651"/>
      <c r="L581" s="656">
        <v>8.3333333333333329E-2</v>
      </c>
    </row>
    <row r="582" spans="1:12" ht="15.75" x14ac:dyDescent="0.25">
      <c r="A582" s="647"/>
      <c r="B582" s="648"/>
      <c r="C582" s="649"/>
      <c r="D582" s="655" t="s">
        <v>960</v>
      </c>
      <c r="E582" s="651"/>
      <c r="F582" s="656">
        <v>0.59375</v>
      </c>
      <c r="G582" s="647"/>
      <c r="H582" s="654"/>
      <c r="I582" s="649"/>
      <c r="J582" s="655" t="s">
        <v>960</v>
      </c>
      <c r="K582" s="657">
        <v>0.1076388888888889</v>
      </c>
      <c r="L582" s="656"/>
    </row>
    <row r="583" spans="1:12" ht="15.75" x14ac:dyDescent="0.25">
      <c r="A583" s="647" t="s">
        <v>961</v>
      </c>
      <c r="B583" s="654"/>
      <c r="C583" s="649"/>
      <c r="D583" s="650" t="s">
        <v>163</v>
      </c>
      <c r="E583" s="651"/>
      <c r="F583" s="653">
        <v>0.64930555555555558</v>
      </c>
      <c r="G583" s="647"/>
      <c r="H583" s="648" t="s">
        <v>462</v>
      </c>
      <c r="I583" s="649" t="s">
        <v>459</v>
      </c>
      <c r="J583" s="650"/>
      <c r="K583" s="651"/>
      <c r="L583" s="658"/>
    </row>
    <row r="584" spans="1:12" ht="15.75" x14ac:dyDescent="0.25">
      <c r="A584" s="647"/>
      <c r="B584" s="648"/>
      <c r="C584" s="649"/>
      <c r="D584" s="655" t="s">
        <v>164</v>
      </c>
      <c r="E584" s="651"/>
      <c r="F584" s="656">
        <v>0.68055555555555558</v>
      </c>
      <c r="G584" s="647"/>
      <c r="H584" s="648"/>
      <c r="I584" s="649"/>
      <c r="J584" s="650"/>
      <c r="K584" s="651"/>
      <c r="L584" s="652"/>
    </row>
    <row r="585" spans="1:12" ht="15.75" x14ac:dyDescent="0.25">
      <c r="A585" s="647"/>
      <c r="B585" s="648"/>
      <c r="C585" s="649"/>
      <c r="D585" s="655" t="s">
        <v>166</v>
      </c>
      <c r="E585" s="657">
        <v>0.69444444444444442</v>
      </c>
      <c r="F585" s="656"/>
      <c r="G585" s="647"/>
      <c r="H585" s="648" t="s">
        <v>459</v>
      </c>
      <c r="I585" s="649">
        <v>76</v>
      </c>
      <c r="J585" s="650" t="s">
        <v>1362</v>
      </c>
      <c r="K585" s="651"/>
      <c r="L585" s="653"/>
    </row>
    <row r="586" spans="1:12" ht="15.75" x14ac:dyDescent="0.25">
      <c r="A586" s="647"/>
      <c r="B586" s="648" t="s">
        <v>459</v>
      </c>
      <c r="C586" s="649">
        <v>27</v>
      </c>
      <c r="D586" s="650" t="s">
        <v>1363</v>
      </c>
      <c r="E586" s="651"/>
      <c r="F586" s="656"/>
      <c r="G586" s="647"/>
      <c r="H586" s="648"/>
      <c r="I586" s="649"/>
      <c r="J586" s="655" t="s">
        <v>960</v>
      </c>
      <c r="K586" s="651"/>
      <c r="L586" s="656">
        <v>0.1076388888888889</v>
      </c>
    </row>
    <row r="587" spans="1:12" ht="15.75" x14ac:dyDescent="0.25">
      <c r="A587" s="647"/>
      <c r="B587" s="648"/>
      <c r="C587" s="649"/>
      <c r="D587" s="650"/>
      <c r="E587" s="651"/>
      <c r="F587" s="653"/>
      <c r="G587" s="647" t="s">
        <v>961</v>
      </c>
      <c r="H587" s="654"/>
      <c r="I587" s="649"/>
      <c r="J587" s="650" t="s">
        <v>163</v>
      </c>
      <c r="K587" s="651"/>
      <c r="L587" s="653">
        <v>0.1875</v>
      </c>
    </row>
    <row r="588" spans="1:12" ht="15.75" x14ac:dyDescent="0.25">
      <c r="A588" s="647"/>
      <c r="B588" s="648" t="s">
        <v>459</v>
      </c>
      <c r="C588" s="649">
        <v>47</v>
      </c>
      <c r="D588" s="650" t="s">
        <v>1364</v>
      </c>
      <c r="E588" s="651"/>
      <c r="F588" s="656"/>
      <c r="G588" s="647"/>
      <c r="H588" s="648"/>
      <c r="I588" s="649"/>
      <c r="J588" s="655" t="s">
        <v>164</v>
      </c>
      <c r="K588" s="651"/>
      <c r="L588" s="656">
        <v>0.20833333333333334</v>
      </c>
    </row>
    <row r="589" spans="1:12" ht="15.75" x14ac:dyDescent="0.25">
      <c r="A589" s="647"/>
      <c r="B589" s="648"/>
      <c r="C589" s="649"/>
      <c r="D589" s="655" t="s">
        <v>166</v>
      </c>
      <c r="E589" s="651"/>
      <c r="F589" s="656">
        <v>0.69444444444444442</v>
      </c>
      <c r="G589" s="647"/>
      <c r="H589" s="648"/>
      <c r="I589" s="649"/>
      <c r="J589" s="655" t="s">
        <v>166</v>
      </c>
      <c r="K589" s="651"/>
      <c r="L589" s="656">
        <v>0.21875</v>
      </c>
    </row>
    <row r="590" spans="1:12" ht="15.75" x14ac:dyDescent="0.25">
      <c r="A590" s="647" t="s">
        <v>961</v>
      </c>
      <c r="B590" s="648"/>
      <c r="C590" s="649"/>
      <c r="D590" s="650" t="s">
        <v>160</v>
      </c>
      <c r="E590" s="651"/>
      <c r="F590" s="653">
        <v>0.74305555555555558</v>
      </c>
      <c r="G590" s="647" t="s">
        <v>958</v>
      </c>
      <c r="H590" s="648"/>
      <c r="I590" s="649"/>
      <c r="J590" s="650" t="s">
        <v>160</v>
      </c>
      <c r="K590" s="657">
        <v>0.25138888888888888</v>
      </c>
      <c r="L590" s="653"/>
    </row>
    <row r="591" spans="1:12" ht="15.75" x14ac:dyDescent="0.25">
      <c r="A591" s="647"/>
      <c r="B591" s="648"/>
      <c r="C591" s="649"/>
      <c r="D591" s="655" t="s">
        <v>962</v>
      </c>
      <c r="E591" s="651"/>
      <c r="F591" s="656">
        <v>0.75</v>
      </c>
      <c r="G591" s="647"/>
      <c r="H591" s="648"/>
      <c r="I591" s="649"/>
      <c r="J591" s="650" t="s">
        <v>963</v>
      </c>
      <c r="K591" s="657">
        <v>0.28263888888888888</v>
      </c>
      <c r="L591" s="658"/>
    </row>
    <row r="592" spans="1:12" ht="15.75" x14ac:dyDescent="0.25">
      <c r="A592" s="647"/>
      <c r="B592" s="648"/>
      <c r="C592" s="649"/>
      <c r="D592" s="655" t="s">
        <v>960</v>
      </c>
      <c r="E592" s="651"/>
      <c r="F592" s="656">
        <v>0.78125</v>
      </c>
      <c r="G592" s="647"/>
      <c r="H592" s="648" t="s">
        <v>462</v>
      </c>
      <c r="I592" s="649" t="s">
        <v>459</v>
      </c>
      <c r="J592" s="650"/>
      <c r="K592" s="657"/>
      <c r="L592" s="658"/>
    </row>
    <row r="593" spans="1:12" ht="15.75" x14ac:dyDescent="0.25">
      <c r="A593" s="647" t="s">
        <v>961</v>
      </c>
      <c r="B593" s="654"/>
      <c r="C593" s="649"/>
      <c r="D593" s="650" t="s">
        <v>163</v>
      </c>
      <c r="E593" s="651"/>
      <c r="F593" s="653">
        <v>0.83333333333333337</v>
      </c>
      <c r="G593" s="647"/>
      <c r="H593" s="648"/>
      <c r="I593" s="649"/>
      <c r="J593" s="650"/>
      <c r="K593" s="651"/>
      <c r="L593" s="652"/>
    </row>
    <row r="594" spans="1:12" ht="15.75" x14ac:dyDescent="0.25">
      <c r="A594" s="647"/>
      <c r="B594" s="648"/>
      <c r="C594" s="649"/>
      <c r="D594" s="655" t="s">
        <v>164</v>
      </c>
      <c r="E594" s="651"/>
      <c r="F594" s="656">
        <v>0.85416666666666663</v>
      </c>
      <c r="G594" s="647"/>
      <c r="H594" s="648"/>
      <c r="I594" s="649"/>
      <c r="J594" s="650"/>
      <c r="K594" s="651"/>
      <c r="L594" s="652"/>
    </row>
    <row r="595" spans="1:12" ht="15.75" x14ac:dyDescent="0.25">
      <c r="A595" s="647"/>
      <c r="B595" s="648"/>
      <c r="C595" s="649"/>
      <c r="D595" s="655" t="s">
        <v>166</v>
      </c>
      <c r="E595" s="657">
        <v>0.86458333333333337</v>
      </c>
      <c r="F595" s="656"/>
      <c r="G595" s="647"/>
      <c r="H595" s="648"/>
      <c r="I595" s="649"/>
      <c r="J595" s="650"/>
      <c r="K595" s="651"/>
      <c r="L595" s="658"/>
    </row>
    <row r="596" spans="1:12" ht="15.75" x14ac:dyDescent="0.25">
      <c r="A596" s="647"/>
      <c r="B596" s="648" t="s">
        <v>459</v>
      </c>
      <c r="C596" s="649">
        <v>47</v>
      </c>
      <c r="D596" s="650" t="s">
        <v>1365</v>
      </c>
      <c r="E596" s="651"/>
      <c r="F596" s="656"/>
      <c r="G596" s="647"/>
      <c r="H596" s="648"/>
      <c r="I596" s="649"/>
      <c r="J596" s="655"/>
      <c r="K596" s="651"/>
      <c r="L596" s="658"/>
    </row>
    <row r="597" spans="1:12" ht="15.75" x14ac:dyDescent="0.25">
      <c r="A597" s="647"/>
      <c r="B597" s="648"/>
      <c r="C597" s="649"/>
      <c r="D597" s="650"/>
      <c r="E597" s="657"/>
      <c r="F597" s="658"/>
      <c r="G597" s="647"/>
      <c r="H597" s="648"/>
      <c r="I597" s="649"/>
      <c r="J597" s="650"/>
      <c r="K597" s="651"/>
      <c r="L597" s="658"/>
    </row>
    <row r="598" spans="1:12" ht="15.75" x14ac:dyDescent="0.25">
      <c r="A598" s="647"/>
      <c r="B598" s="648"/>
      <c r="C598" s="649"/>
      <c r="D598" s="655"/>
      <c r="E598" s="657"/>
      <c r="F598" s="653"/>
      <c r="G598" s="647"/>
      <c r="H598" s="648"/>
      <c r="I598" s="649"/>
      <c r="J598" s="655"/>
      <c r="K598" s="651"/>
      <c r="L598" s="658"/>
    </row>
    <row r="599" spans="1:12" ht="15.75" x14ac:dyDescent="0.25">
      <c r="A599" s="647"/>
      <c r="B599" s="648"/>
      <c r="C599" s="649"/>
      <c r="D599" s="650"/>
      <c r="E599" s="651"/>
      <c r="F599" s="652"/>
      <c r="G599" s="647"/>
      <c r="H599" s="648"/>
      <c r="I599" s="649"/>
      <c r="J599" s="650"/>
      <c r="K599" s="651"/>
      <c r="L599" s="658"/>
    </row>
    <row r="600" spans="1:12" ht="16.5" thickBot="1" x14ac:dyDescent="0.3">
      <c r="A600" s="659"/>
      <c r="B600" s="660"/>
      <c r="C600" s="661"/>
      <c r="D600" s="662"/>
      <c r="E600" s="663"/>
      <c r="F600" s="664"/>
      <c r="G600" s="665"/>
      <c r="H600" s="666"/>
      <c r="I600" s="667"/>
      <c r="J600" s="668"/>
      <c r="K600" s="663"/>
      <c r="L600" s="669"/>
    </row>
    <row r="601" spans="1:12" ht="21" x14ac:dyDescent="0.35">
      <c r="A601" s="781" t="s">
        <v>945</v>
      </c>
      <c r="B601" s="782"/>
      <c r="C601" s="782"/>
      <c r="D601" s="782"/>
      <c r="E601" s="782"/>
      <c r="F601" s="782"/>
      <c r="G601" s="782"/>
      <c r="H601" s="782"/>
      <c r="I601" s="782"/>
      <c r="J601" s="782"/>
      <c r="K601" s="782"/>
      <c r="L601" s="783"/>
    </row>
    <row r="602" spans="1:12" ht="18.75" x14ac:dyDescent="0.3">
      <c r="A602" s="784" t="s">
        <v>946</v>
      </c>
      <c r="B602" s="785"/>
      <c r="C602" s="785"/>
      <c r="D602" s="785"/>
      <c r="E602" s="785"/>
      <c r="F602" s="785"/>
      <c r="G602" s="785"/>
      <c r="H602" s="785"/>
      <c r="I602" s="785"/>
      <c r="J602" s="785"/>
      <c r="K602" s="785"/>
      <c r="L602" s="786"/>
    </row>
    <row r="603" spans="1:12" ht="24" x14ac:dyDescent="0.4">
      <c r="A603" s="787" t="s">
        <v>947</v>
      </c>
      <c r="B603" s="788"/>
      <c r="C603" s="788"/>
      <c r="D603" s="788"/>
      <c r="E603" s="788"/>
      <c r="F603" s="788"/>
      <c r="G603" s="788"/>
      <c r="H603" s="788"/>
      <c r="I603" s="788"/>
      <c r="J603" s="788"/>
      <c r="K603" s="788"/>
      <c r="L603" s="789"/>
    </row>
    <row r="604" spans="1:12" ht="24" x14ac:dyDescent="0.4">
      <c r="A604" s="623" t="s">
        <v>1279</v>
      </c>
      <c r="B604" s="624"/>
      <c r="C604" s="624"/>
      <c r="D604" s="625" t="s">
        <v>949</v>
      </c>
      <c r="E604" s="790" t="s">
        <v>683</v>
      </c>
      <c r="F604" s="790"/>
      <c r="G604" s="790"/>
      <c r="H604" s="790"/>
      <c r="I604" s="790"/>
      <c r="J604" s="626" t="s">
        <v>1081</v>
      </c>
      <c r="K604" s="790"/>
      <c r="L604" s="791"/>
    </row>
    <row r="605" spans="1:12" ht="15.75" thickBot="1" x14ac:dyDescent="0.3">
      <c r="A605" s="627"/>
      <c r="B605" s="628"/>
      <c r="C605" s="628"/>
      <c r="D605" s="629"/>
      <c r="E605" s="628"/>
      <c r="F605" s="628"/>
      <c r="G605" s="628"/>
      <c r="H605" s="628"/>
      <c r="I605" s="792"/>
      <c r="J605" s="792"/>
      <c r="K605" s="628"/>
      <c r="L605" s="630"/>
    </row>
    <row r="606" spans="1:12" ht="16.5" thickBot="1" x14ac:dyDescent="0.3">
      <c r="A606" s="631" t="s">
        <v>952</v>
      </c>
      <c r="B606" s="632"/>
      <c r="C606" s="633"/>
      <c r="D606" s="634" t="s">
        <v>953</v>
      </c>
      <c r="E606" s="631" t="s">
        <v>954</v>
      </c>
      <c r="F606" s="635" t="s">
        <v>955</v>
      </c>
      <c r="G606" s="631" t="s">
        <v>952</v>
      </c>
      <c r="H606" s="632"/>
      <c r="I606" s="633"/>
      <c r="J606" s="634" t="s">
        <v>953</v>
      </c>
      <c r="K606" s="631" t="s">
        <v>954</v>
      </c>
      <c r="L606" s="631" t="s">
        <v>955</v>
      </c>
    </row>
    <row r="607" spans="1:12" ht="15.75" x14ac:dyDescent="0.25">
      <c r="A607" s="636"/>
      <c r="B607" s="637"/>
      <c r="C607" s="638"/>
      <c r="D607" s="639"/>
      <c r="E607" s="640"/>
      <c r="F607" s="641"/>
      <c r="G607" s="636"/>
      <c r="H607" s="642"/>
      <c r="I607" s="643"/>
      <c r="J607" s="644"/>
      <c r="K607" s="645"/>
      <c r="L607" s="646"/>
    </row>
    <row r="608" spans="1:12" ht="15.75" x14ac:dyDescent="0.25">
      <c r="A608" s="647"/>
      <c r="B608" s="648" t="s">
        <v>459</v>
      </c>
      <c r="C608" s="649">
        <v>17</v>
      </c>
      <c r="D608" s="650" t="s">
        <v>1366</v>
      </c>
      <c r="E608" s="651"/>
      <c r="F608" s="652"/>
      <c r="G608" s="647"/>
      <c r="H608" s="648"/>
      <c r="I608" s="649"/>
      <c r="J608" s="650"/>
      <c r="K608" s="651"/>
      <c r="L608" s="653"/>
    </row>
    <row r="609" spans="1:12" ht="15.75" x14ac:dyDescent="0.25">
      <c r="A609" s="647" t="s">
        <v>958</v>
      </c>
      <c r="B609" s="654"/>
      <c r="C609" s="649"/>
      <c r="D609" s="655" t="s">
        <v>959</v>
      </c>
      <c r="E609" s="651"/>
      <c r="F609" s="656">
        <v>0.34027777777777779</v>
      </c>
      <c r="G609" s="647"/>
      <c r="H609" s="648"/>
      <c r="I609" s="649"/>
      <c r="J609" s="655"/>
      <c r="K609" s="651"/>
      <c r="L609" s="656"/>
    </row>
    <row r="610" spans="1:12" ht="15.75" x14ac:dyDescent="0.25">
      <c r="A610" s="647" t="s">
        <v>961</v>
      </c>
      <c r="B610" s="654"/>
      <c r="C610" s="649"/>
      <c r="D610" s="650" t="s">
        <v>163</v>
      </c>
      <c r="E610" s="651"/>
      <c r="F610" s="653">
        <v>0.36805555555555558</v>
      </c>
      <c r="G610" s="647"/>
      <c r="H610" s="654"/>
      <c r="I610" s="649"/>
      <c r="J610" s="650"/>
      <c r="K610" s="651"/>
      <c r="L610" s="653"/>
    </row>
    <row r="611" spans="1:12" ht="15.75" x14ac:dyDescent="0.25">
      <c r="A611" s="647"/>
      <c r="B611" s="648"/>
      <c r="C611" s="649"/>
      <c r="D611" s="655" t="s">
        <v>164</v>
      </c>
      <c r="E611" s="651"/>
      <c r="F611" s="656">
        <v>0.39583333333333331</v>
      </c>
      <c r="G611" s="647"/>
      <c r="H611" s="648"/>
      <c r="I611" s="649"/>
      <c r="J611" s="655"/>
      <c r="K611" s="651"/>
      <c r="L611" s="656"/>
    </row>
    <row r="612" spans="1:12" ht="15.75" x14ac:dyDescent="0.25">
      <c r="A612" s="647"/>
      <c r="B612" s="648"/>
      <c r="C612" s="649"/>
      <c r="D612" s="655" t="s">
        <v>166</v>
      </c>
      <c r="E612" s="651"/>
      <c r="F612" s="656">
        <v>0.40972222222222221</v>
      </c>
      <c r="G612" s="647"/>
      <c r="H612" s="648"/>
      <c r="I612" s="649"/>
      <c r="J612" s="655"/>
      <c r="K612" s="651"/>
      <c r="L612" s="656"/>
    </row>
    <row r="613" spans="1:12" ht="15.75" x14ac:dyDescent="0.25">
      <c r="A613" s="647" t="s">
        <v>961</v>
      </c>
      <c r="B613" s="648"/>
      <c r="C613" s="649"/>
      <c r="D613" s="650" t="s">
        <v>160</v>
      </c>
      <c r="E613" s="651"/>
      <c r="F613" s="653">
        <v>0.45833333333333331</v>
      </c>
      <c r="G613" s="647"/>
      <c r="H613" s="648"/>
      <c r="I613" s="649"/>
      <c r="J613" s="650"/>
      <c r="K613" s="657"/>
      <c r="L613" s="653"/>
    </row>
    <row r="614" spans="1:12" ht="15.75" x14ac:dyDescent="0.25">
      <c r="A614" s="647"/>
      <c r="B614" s="648"/>
      <c r="C614" s="649"/>
      <c r="D614" s="655" t="s">
        <v>962</v>
      </c>
      <c r="E614" s="651"/>
      <c r="F614" s="656">
        <v>0.46527777777777779</v>
      </c>
      <c r="G614" s="647"/>
      <c r="H614" s="648"/>
      <c r="I614" s="649"/>
      <c r="J614" s="650"/>
      <c r="K614" s="657"/>
      <c r="L614" s="656"/>
    </row>
    <row r="615" spans="1:12" ht="15.75" x14ac:dyDescent="0.25">
      <c r="A615" s="647"/>
      <c r="B615" s="648"/>
      <c r="C615" s="649"/>
      <c r="D615" s="655" t="s">
        <v>960</v>
      </c>
      <c r="E615" s="657">
        <v>0.49652777777777779</v>
      </c>
      <c r="F615" s="656"/>
      <c r="G615" s="647"/>
      <c r="H615" s="648"/>
      <c r="I615" s="649"/>
      <c r="J615" s="650"/>
      <c r="K615" s="657"/>
      <c r="L615" s="653"/>
    </row>
    <row r="616" spans="1:12" ht="15.75" x14ac:dyDescent="0.25">
      <c r="A616" s="647"/>
      <c r="B616" s="648" t="s">
        <v>459</v>
      </c>
      <c r="C616" s="649">
        <v>17</v>
      </c>
      <c r="D616" s="650" t="s">
        <v>1367</v>
      </c>
      <c r="E616" s="651"/>
      <c r="F616" s="658"/>
      <c r="G616" s="647"/>
      <c r="H616" s="648"/>
      <c r="I616" s="649"/>
      <c r="J616" s="650"/>
      <c r="K616" s="657"/>
      <c r="L616" s="653"/>
    </row>
    <row r="617" spans="1:12" ht="15.75" x14ac:dyDescent="0.25">
      <c r="A617" s="647"/>
      <c r="B617" s="648"/>
      <c r="C617" s="649"/>
      <c r="D617" s="650"/>
      <c r="E617" s="651"/>
      <c r="F617" s="656"/>
      <c r="G617" s="647"/>
      <c r="H617" s="648"/>
      <c r="I617" s="649"/>
      <c r="J617" s="650"/>
      <c r="K617" s="657"/>
      <c r="L617" s="653"/>
    </row>
    <row r="618" spans="1:12" ht="15.75" x14ac:dyDescent="0.25">
      <c r="A618" s="647"/>
      <c r="B618" s="648" t="s">
        <v>459</v>
      </c>
      <c r="C618" s="649">
        <v>26</v>
      </c>
      <c r="D618" s="650" t="s">
        <v>1368</v>
      </c>
      <c r="E618" s="651"/>
      <c r="F618" s="653"/>
      <c r="G618" s="647"/>
      <c r="H618" s="648"/>
      <c r="I618" s="649"/>
      <c r="J618" s="650"/>
      <c r="K618" s="657"/>
      <c r="L618" s="653"/>
    </row>
    <row r="619" spans="1:12" ht="15.75" x14ac:dyDescent="0.25">
      <c r="A619" s="647"/>
      <c r="B619" s="648"/>
      <c r="C619" s="649"/>
      <c r="D619" s="655" t="s">
        <v>960</v>
      </c>
      <c r="E619" s="651"/>
      <c r="F619" s="656">
        <v>0.49652777777777779</v>
      </c>
      <c r="G619" s="647"/>
      <c r="H619" s="648"/>
      <c r="I619" s="649"/>
      <c r="J619" s="650"/>
      <c r="K619" s="657"/>
      <c r="L619" s="652"/>
    </row>
    <row r="620" spans="1:12" ht="15.75" x14ac:dyDescent="0.25">
      <c r="A620" s="647" t="s">
        <v>961</v>
      </c>
      <c r="B620" s="654"/>
      <c r="C620" s="649"/>
      <c r="D620" s="650" t="s">
        <v>163</v>
      </c>
      <c r="E620" s="651"/>
      <c r="F620" s="653">
        <v>0.55208333333333337</v>
      </c>
      <c r="G620" s="647"/>
      <c r="H620" s="648"/>
      <c r="I620" s="649"/>
      <c r="J620" s="650"/>
      <c r="K620" s="651"/>
      <c r="L620" s="652"/>
    </row>
    <row r="621" spans="1:12" ht="15.75" x14ac:dyDescent="0.25">
      <c r="A621" s="647"/>
      <c r="B621" s="648"/>
      <c r="C621" s="649"/>
      <c r="D621" s="655" t="s">
        <v>164</v>
      </c>
      <c r="E621" s="651"/>
      <c r="F621" s="656">
        <v>0.58333333333333337</v>
      </c>
      <c r="G621" s="647"/>
      <c r="H621" s="648"/>
      <c r="I621" s="649"/>
      <c r="J621" s="650"/>
      <c r="K621" s="651"/>
      <c r="L621" s="652"/>
    </row>
    <row r="622" spans="1:12" ht="15.75" x14ac:dyDescent="0.25">
      <c r="A622" s="647"/>
      <c r="B622" s="648"/>
      <c r="C622" s="649"/>
      <c r="D622" s="655" t="s">
        <v>166</v>
      </c>
      <c r="E622" s="651"/>
      <c r="F622" s="656">
        <v>0.59722222222222221</v>
      </c>
      <c r="G622" s="647"/>
      <c r="H622" s="648"/>
      <c r="I622" s="649"/>
      <c r="J622" s="650"/>
      <c r="K622" s="651"/>
      <c r="L622" s="652"/>
    </row>
    <row r="623" spans="1:12" ht="15.75" x14ac:dyDescent="0.25">
      <c r="A623" s="647" t="s">
        <v>961</v>
      </c>
      <c r="B623" s="648"/>
      <c r="C623" s="649"/>
      <c r="D623" s="650" t="s">
        <v>160</v>
      </c>
      <c r="E623" s="651"/>
      <c r="F623" s="653">
        <v>0.64583333333333337</v>
      </c>
      <c r="G623" s="647"/>
      <c r="H623" s="648"/>
      <c r="I623" s="649"/>
      <c r="J623" s="650"/>
      <c r="K623" s="651"/>
      <c r="L623" s="652"/>
    </row>
    <row r="624" spans="1:12" ht="15.75" x14ac:dyDescent="0.25">
      <c r="A624" s="647"/>
      <c r="B624" s="648"/>
      <c r="C624" s="649"/>
      <c r="D624" s="655" t="s">
        <v>962</v>
      </c>
      <c r="E624" s="651"/>
      <c r="F624" s="656">
        <v>0.65277777777777779</v>
      </c>
      <c r="G624" s="647"/>
      <c r="H624" s="648"/>
      <c r="I624" s="649"/>
      <c r="J624" s="650"/>
      <c r="K624" s="651"/>
      <c r="L624" s="652"/>
    </row>
    <row r="625" spans="1:12" ht="15.75" x14ac:dyDescent="0.25">
      <c r="A625" s="647"/>
      <c r="B625" s="648"/>
      <c r="C625" s="649"/>
      <c r="D625" s="655" t="s">
        <v>960</v>
      </c>
      <c r="E625" s="657">
        <v>0.68402777777777779</v>
      </c>
      <c r="F625" s="656"/>
      <c r="G625" s="647"/>
      <c r="H625" s="648"/>
      <c r="I625" s="649"/>
      <c r="J625" s="650"/>
      <c r="K625" s="651"/>
      <c r="L625" s="652"/>
    </row>
    <row r="626" spans="1:12" ht="15.75" x14ac:dyDescent="0.25">
      <c r="A626" s="647"/>
      <c r="B626" s="648" t="s">
        <v>459</v>
      </c>
      <c r="C626" s="649">
        <v>26</v>
      </c>
      <c r="D626" s="650" t="s">
        <v>1369</v>
      </c>
      <c r="E626" s="651"/>
      <c r="F626" s="658"/>
      <c r="G626" s="647"/>
      <c r="H626" s="648"/>
      <c r="I626" s="649"/>
      <c r="J626" s="650"/>
      <c r="K626" s="657"/>
      <c r="L626" s="653"/>
    </row>
    <row r="627" spans="1:12" ht="15.75" x14ac:dyDescent="0.25">
      <c r="A627" s="647"/>
      <c r="B627" s="648"/>
      <c r="C627" s="649"/>
      <c r="D627" s="650"/>
      <c r="E627" s="657"/>
      <c r="F627" s="658"/>
      <c r="G627" s="647"/>
      <c r="H627" s="648"/>
      <c r="I627" s="649"/>
      <c r="J627" s="650"/>
      <c r="K627" s="657"/>
      <c r="L627" s="653"/>
    </row>
    <row r="628" spans="1:12" ht="15.75" x14ac:dyDescent="0.25">
      <c r="A628" s="647"/>
      <c r="B628" s="648" t="s">
        <v>459</v>
      </c>
      <c r="C628" s="649">
        <v>45</v>
      </c>
      <c r="D628" s="650" t="s">
        <v>1370</v>
      </c>
      <c r="E628" s="651"/>
      <c r="F628" s="653"/>
      <c r="G628" s="647"/>
      <c r="H628" s="648"/>
      <c r="I628" s="649"/>
      <c r="J628" s="650"/>
      <c r="K628" s="657"/>
      <c r="L628" s="653"/>
    </row>
    <row r="629" spans="1:12" ht="15.75" x14ac:dyDescent="0.25">
      <c r="A629" s="647"/>
      <c r="B629" s="648"/>
      <c r="C629" s="649"/>
      <c r="D629" s="655" t="s">
        <v>960</v>
      </c>
      <c r="E629" s="651"/>
      <c r="F629" s="656">
        <v>0.68402777777777779</v>
      </c>
      <c r="G629" s="647"/>
      <c r="H629" s="648"/>
      <c r="I629" s="649"/>
      <c r="J629" s="650"/>
      <c r="K629" s="657"/>
      <c r="L629" s="652"/>
    </row>
    <row r="630" spans="1:12" ht="15.75" x14ac:dyDescent="0.25">
      <c r="A630" s="647" t="s">
        <v>961</v>
      </c>
      <c r="B630" s="654"/>
      <c r="C630" s="649"/>
      <c r="D630" s="650" t="s">
        <v>163</v>
      </c>
      <c r="E630" s="651"/>
      <c r="F630" s="653">
        <v>0.73611111111111116</v>
      </c>
      <c r="G630" s="647"/>
      <c r="H630" s="648"/>
      <c r="I630" s="649"/>
      <c r="J630" s="650"/>
      <c r="K630" s="651"/>
      <c r="L630" s="652"/>
    </row>
    <row r="631" spans="1:12" ht="15.75" x14ac:dyDescent="0.25">
      <c r="A631" s="647"/>
      <c r="B631" s="648"/>
      <c r="C631" s="649"/>
      <c r="D631" s="655" t="s">
        <v>164</v>
      </c>
      <c r="E631" s="651"/>
      <c r="F631" s="656">
        <v>0.76388888888888884</v>
      </c>
      <c r="G631" s="647"/>
      <c r="H631" s="648"/>
      <c r="I631" s="649"/>
      <c r="J631" s="650"/>
      <c r="K631" s="651"/>
      <c r="L631" s="652"/>
    </row>
    <row r="632" spans="1:12" ht="15.75" x14ac:dyDescent="0.25">
      <c r="A632" s="647"/>
      <c r="B632" s="648"/>
      <c r="C632" s="649"/>
      <c r="D632" s="655" t="s">
        <v>166</v>
      </c>
      <c r="E632" s="651"/>
      <c r="F632" s="656">
        <v>0.77777777777777779</v>
      </c>
      <c r="G632" s="647"/>
      <c r="H632" s="648"/>
      <c r="I632" s="649"/>
      <c r="J632" s="650"/>
      <c r="K632" s="651"/>
      <c r="L632" s="652"/>
    </row>
    <row r="633" spans="1:12" ht="15.75" x14ac:dyDescent="0.25">
      <c r="A633" s="647" t="s">
        <v>958</v>
      </c>
      <c r="B633" s="648"/>
      <c r="C633" s="649"/>
      <c r="D633" s="650" t="s">
        <v>160</v>
      </c>
      <c r="E633" s="657">
        <v>0.82291666666666663</v>
      </c>
      <c r="F633" s="653"/>
      <c r="G633" s="647"/>
      <c r="H633" s="648"/>
      <c r="I633" s="649"/>
      <c r="J633" s="650"/>
      <c r="K633" s="651"/>
      <c r="L633" s="652"/>
    </row>
    <row r="634" spans="1:12" ht="15.75" x14ac:dyDescent="0.25">
      <c r="A634" s="647"/>
      <c r="B634" s="648"/>
      <c r="C634" s="649"/>
      <c r="D634" s="650" t="s">
        <v>963</v>
      </c>
      <c r="E634" s="657">
        <v>0.85416666666666663</v>
      </c>
      <c r="F634" s="656"/>
      <c r="G634" s="647"/>
      <c r="H634" s="648"/>
      <c r="I634" s="649"/>
      <c r="J634" s="650"/>
      <c r="K634" s="651"/>
      <c r="L634" s="652"/>
    </row>
    <row r="635" spans="1:12" ht="15.75" x14ac:dyDescent="0.25">
      <c r="A635" s="647"/>
      <c r="B635" s="648" t="s">
        <v>459</v>
      </c>
      <c r="C635" s="649">
        <v>45</v>
      </c>
      <c r="D635" s="650" t="s">
        <v>1371</v>
      </c>
      <c r="E635" s="657"/>
      <c r="F635" s="653"/>
      <c r="G635" s="647"/>
      <c r="H635" s="648"/>
      <c r="I635" s="649"/>
      <c r="J635" s="650"/>
      <c r="K635" s="651"/>
      <c r="L635" s="652"/>
    </row>
    <row r="636" spans="1:12" ht="15.75" x14ac:dyDescent="0.25">
      <c r="A636" s="647"/>
      <c r="B636" s="648"/>
      <c r="C636" s="649"/>
      <c r="D636" s="650"/>
      <c r="E636" s="651"/>
      <c r="F636" s="658"/>
      <c r="G636" s="647"/>
      <c r="H636" s="648"/>
      <c r="I636" s="649"/>
      <c r="J636" s="650"/>
      <c r="K636" s="651"/>
      <c r="L636" s="652"/>
    </row>
    <row r="637" spans="1:12" ht="15.75" x14ac:dyDescent="0.25">
      <c r="A637" s="647"/>
      <c r="B637" s="648"/>
      <c r="C637" s="649"/>
      <c r="D637" s="650"/>
      <c r="E637" s="657"/>
      <c r="F637" s="658"/>
      <c r="G637" s="647"/>
      <c r="H637" s="648"/>
      <c r="I637" s="649"/>
      <c r="J637" s="650"/>
      <c r="K637" s="651"/>
      <c r="L637" s="658"/>
    </row>
    <row r="638" spans="1:12" ht="15.75" x14ac:dyDescent="0.25">
      <c r="A638" s="647"/>
      <c r="B638" s="648"/>
      <c r="C638" s="649"/>
      <c r="D638" s="655"/>
      <c r="E638" s="657"/>
      <c r="F638" s="653"/>
      <c r="G638" s="647"/>
      <c r="H638" s="648"/>
      <c r="I638" s="649"/>
      <c r="J638" s="655"/>
      <c r="K638" s="651"/>
      <c r="L638" s="658"/>
    </row>
    <row r="639" spans="1:12" ht="15.75" x14ac:dyDescent="0.25">
      <c r="A639" s="647"/>
      <c r="B639" s="648"/>
      <c r="C639" s="649"/>
      <c r="D639" s="650"/>
      <c r="E639" s="651"/>
      <c r="F639" s="652"/>
      <c r="G639" s="647"/>
      <c r="H639" s="648"/>
      <c r="I639" s="649"/>
      <c r="J639" s="650"/>
      <c r="K639" s="651"/>
      <c r="L639" s="658"/>
    </row>
    <row r="640" spans="1:12" ht="16.5" thickBot="1" x14ac:dyDescent="0.3">
      <c r="A640" s="659"/>
      <c r="B640" s="660"/>
      <c r="C640" s="661"/>
      <c r="D640" s="662"/>
      <c r="E640" s="663"/>
      <c r="F640" s="664"/>
      <c r="G640" s="665"/>
      <c r="H640" s="666"/>
      <c r="I640" s="667"/>
      <c r="J640" s="668"/>
      <c r="K640" s="663"/>
      <c r="L640" s="669"/>
    </row>
    <row r="641" spans="1:12" ht="21" x14ac:dyDescent="0.35">
      <c r="A641" s="781" t="s">
        <v>945</v>
      </c>
      <c r="B641" s="782"/>
      <c r="C641" s="782"/>
      <c r="D641" s="782"/>
      <c r="E641" s="782"/>
      <c r="F641" s="782"/>
      <c r="G641" s="782"/>
      <c r="H641" s="782"/>
      <c r="I641" s="782"/>
      <c r="J641" s="782"/>
      <c r="K641" s="782"/>
      <c r="L641" s="783"/>
    </row>
    <row r="642" spans="1:12" ht="18.75" x14ac:dyDescent="0.3">
      <c r="A642" s="784" t="s">
        <v>946</v>
      </c>
      <c r="B642" s="785"/>
      <c r="C642" s="785"/>
      <c r="D642" s="785"/>
      <c r="E642" s="785"/>
      <c r="F642" s="785"/>
      <c r="G642" s="785"/>
      <c r="H642" s="785"/>
      <c r="I642" s="785"/>
      <c r="J642" s="785"/>
      <c r="K642" s="785"/>
      <c r="L642" s="786"/>
    </row>
    <row r="643" spans="1:12" ht="24" x14ac:dyDescent="0.4">
      <c r="A643" s="787" t="s">
        <v>947</v>
      </c>
      <c r="B643" s="788"/>
      <c r="C643" s="788"/>
      <c r="D643" s="788"/>
      <c r="E643" s="788"/>
      <c r="F643" s="788"/>
      <c r="G643" s="788"/>
      <c r="H643" s="788"/>
      <c r="I643" s="788"/>
      <c r="J643" s="788"/>
      <c r="K643" s="788"/>
      <c r="L643" s="789"/>
    </row>
    <row r="644" spans="1:12" ht="24" x14ac:dyDescent="0.4">
      <c r="A644" s="623" t="s">
        <v>1279</v>
      </c>
      <c r="B644" s="624"/>
      <c r="C644" s="624"/>
      <c r="D644" s="625" t="s">
        <v>949</v>
      </c>
      <c r="E644" s="790" t="s">
        <v>683</v>
      </c>
      <c r="F644" s="790"/>
      <c r="G644" s="790"/>
      <c r="H644" s="790"/>
      <c r="I644" s="790"/>
      <c r="J644" s="626" t="s">
        <v>1086</v>
      </c>
      <c r="K644" s="790"/>
      <c r="L644" s="791"/>
    </row>
    <row r="645" spans="1:12" ht="15.75" thickBot="1" x14ac:dyDescent="0.3">
      <c r="A645" s="627"/>
      <c r="B645" s="628"/>
      <c r="C645" s="628"/>
      <c r="D645" s="629"/>
      <c r="E645" s="628"/>
      <c r="F645" s="628"/>
      <c r="G645" s="628"/>
      <c r="H645" s="628"/>
      <c r="I645" s="792"/>
      <c r="J645" s="792"/>
      <c r="K645" s="628"/>
      <c r="L645" s="630"/>
    </row>
    <row r="646" spans="1:12" ht="16.5" thickBot="1" x14ac:dyDescent="0.3">
      <c r="A646" s="631" t="s">
        <v>952</v>
      </c>
      <c r="B646" s="632"/>
      <c r="C646" s="633"/>
      <c r="D646" s="634" t="s">
        <v>953</v>
      </c>
      <c r="E646" s="631" t="s">
        <v>954</v>
      </c>
      <c r="F646" s="635" t="s">
        <v>955</v>
      </c>
      <c r="G646" s="631" t="s">
        <v>952</v>
      </c>
      <c r="H646" s="632"/>
      <c r="I646" s="633"/>
      <c r="J646" s="634" t="s">
        <v>953</v>
      </c>
      <c r="K646" s="631" t="s">
        <v>954</v>
      </c>
      <c r="L646" s="631" t="s">
        <v>955</v>
      </c>
    </row>
    <row r="647" spans="1:12" ht="15.75" x14ac:dyDescent="0.25">
      <c r="A647" s="636"/>
      <c r="B647" s="637"/>
      <c r="C647" s="638"/>
      <c r="D647" s="639"/>
      <c r="E647" s="640"/>
      <c r="F647" s="641"/>
      <c r="G647" s="636"/>
      <c r="H647" s="642"/>
      <c r="I647" s="643"/>
      <c r="J647" s="644"/>
      <c r="K647" s="645"/>
      <c r="L647" s="646"/>
    </row>
    <row r="648" spans="1:12" ht="15.75" x14ac:dyDescent="0.25">
      <c r="A648" s="647"/>
      <c r="B648" s="648" t="s">
        <v>459</v>
      </c>
      <c r="C648" s="649">
        <v>19</v>
      </c>
      <c r="D648" s="650" t="s">
        <v>1372</v>
      </c>
      <c r="E648" s="651"/>
      <c r="F648" s="652"/>
      <c r="G648" s="647"/>
      <c r="H648" s="648" t="s">
        <v>459</v>
      </c>
      <c r="I648" s="649">
        <v>34</v>
      </c>
      <c r="J648" s="650" t="s">
        <v>1373</v>
      </c>
      <c r="K648" s="651"/>
      <c r="L648" s="653"/>
    </row>
    <row r="649" spans="1:12" ht="15.75" x14ac:dyDescent="0.25">
      <c r="A649" s="647" t="s">
        <v>958</v>
      </c>
      <c r="B649" s="654"/>
      <c r="C649" s="649"/>
      <c r="D649" s="655" t="s">
        <v>959</v>
      </c>
      <c r="E649" s="651"/>
      <c r="F649" s="656">
        <v>0.34722222222222221</v>
      </c>
      <c r="G649" s="647"/>
      <c r="H649" s="648"/>
      <c r="I649" s="649"/>
      <c r="J649" s="655" t="s">
        <v>166</v>
      </c>
      <c r="K649" s="651"/>
      <c r="L649" s="656">
        <v>0.78472222222222221</v>
      </c>
    </row>
    <row r="650" spans="1:12" ht="15.75" x14ac:dyDescent="0.25">
      <c r="A650" s="647" t="s">
        <v>961</v>
      </c>
      <c r="B650" s="654"/>
      <c r="C650" s="649"/>
      <c r="D650" s="650" t="s">
        <v>163</v>
      </c>
      <c r="E650" s="651"/>
      <c r="F650" s="653">
        <v>0.375</v>
      </c>
      <c r="G650" s="647" t="s">
        <v>961</v>
      </c>
      <c r="H650" s="648"/>
      <c r="I650" s="649"/>
      <c r="J650" s="650" t="s">
        <v>160</v>
      </c>
      <c r="K650" s="651"/>
      <c r="L650" s="653">
        <v>0.82638888888888884</v>
      </c>
    </row>
    <row r="651" spans="1:12" ht="15.75" x14ac:dyDescent="0.25">
      <c r="A651" s="647"/>
      <c r="B651" s="648"/>
      <c r="C651" s="649"/>
      <c r="D651" s="655" t="s">
        <v>164</v>
      </c>
      <c r="E651" s="651"/>
      <c r="F651" s="656">
        <v>0.40277777777777779</v>
      </c>
      <c r="G651" s="647"/>
      <c r="H651" s="648"/>
      <c r="I651" s="649"/>
      <c r="J651" s="655" t="s">
        <v>962</v>
      </c>
      <c r="K651" s="651"/>
      <c r="L651" s="656">
        <v>0.83333333333333337</v>
      </c>
    </row>
    <row r="652" spans="1:12" ht="15.75" x14ac:dyDescent="0.25">
      <c r="A652" s="647"/>
      <c r="B652" s="648"/>
      <c r="C652" s="649"/>
      <c r="D652" s="655" t="s">
        <v>166</v>
      </c>
      <c r="E652" s="651"/>
      <c r="F652" s="656">
        <v>0.41666666666666669</v>
      </c>
      <c r="G652" s="647"/>
      <c r="H652" s="648"/>
      <c r="I652" s="649"/>
      <c r="J652" s="655" t="s">
        <v>960</v>
      </c>
      <c r="K652" s="657">
        <v>0.86111111111111116</v>
      </c>
      <c r="L652" s="656"/>
    </row>
    <row r="653" spans="1:12" ht="15.75" x14ac:dyDescent="0.25">
      <c r="A653" s="647" t="s">
        <v>961</v>
      </c>
      <c r="B653" s="648"/>
      <c r="C653" s="649"/>
      <c r="D653" s="650" t="s">
        <v>160</v>
      </c>
      <c r="E653" s="651"/>
      <c r="F653" s="653">
        <v>0.46527777777777779</v>
      </c>
      <c r="G653" s="647"/>
      <c r="H653" s="648" t="s">
        <v>462</v>
      </c>
      <c r="I653" s="649" t="s">
        <v>459</v>
      </c>
      <c r="J653" s="650"/>
      <c r="K653" s="651"/>
      <c r="L653" s="658"/>
    </row>
    <row r="654" spans="1:12" ht="15.75" x14ac:dyDescent="0.25">
      <c r="A654" s="647"/>
      <c r="B654" s="648"/>
      <c r="C654" s="649"/>
      <c r="D654" s="655" t="s">
        <v>962</v>
      </c>
      <c r="E654" s="651"/>
      <c r="F654" s="656">
        <v>0.47222222222222221</v>
      </c>
      <c r="G654" s="647"/>
      <c r="H654" s="648"/>
      <c r="I654" s="649"/>
      <c r="J654" s="650"/>
      <c r="K654" s="651"/>
      <c r="L654" s="656"/>
    </row>
    <row r="655" spans="1:12" ht="15.75" x14ac:dyDescent="0.25">
      <c r="A655" s="647"/>
      <c r="B655" s="648"/>
      <c r="C655" s="649"/>
      <c r="D655" s="655" t="s">
        <v>960</v>
      </c>
      <c r="E655" s="657">
        <v>0.50347222222222221</v>
      </c>
      <c r="F655" s="656"/>
      <c r="G655" s="647"/>
      <c r="H655" s="648" t="s">
        <v>459</v>
      </c>
      <c r="I655" s="649">
        <v>40</v>
      </c>
      <c r="J655" s="650" t="s">
        <v>1017</v>
      </c>
      <c r="K655" s="651"/>
      <c r="L655" s="653"/>
    </row>
    <row r="656" spans="1:12" ht="15.75" x14ac:dyDescent="0.25">
      <c r="A656" s="647"/>
      <c r="B656" s="648" t="s">
        <v>459</v>
      </c>
      <c r="C656" s="649">
        <v>19</v>
      </c>
      <c r="D656" s="650" t="s">
        <v>1374</v>
      </c>
      <c r="E656" s="651"/>
      <c r="F656" s="658"/>
      <c r="G656" s="647"/>
      <c r="H656" s="648"/>
      <c r="I656" s="649"/>
      <c r="J656" s="655" t="s">
        <v>960</v>
      </c>
      <c r="K656" s="651"/>
      <c r="L656" s="656">
        <v>0.86111111111111116</v>
      </c>
    </row>
    <row r="657" spans="1:12" ht="15.75" x14ac:dyDescent="0.25">
      <c r="A657" s="647"/>
      <c r="B657" s="648"/>
      <c r="C657" s="649"/>
      <c r="D657" s="650"/>
      <c r="E657" s="651"/>
      <c r="F657" s="656"/>
      <c r="G657" s="647" t="s">
        <v>961</v>
      </c>
      <c r="H657" s="654"/>
      <c r="I657" s="649"/>
      <c r="J657" s="650" t="s">
        <v>163</v>
      </c>
      <c r="K657" s="651"/>
      <c r="L657" s="653">
        <v>0.90625</v>
      </c>
    </row>
    <row r="658" spans="1:12" ht="15.75" x14ac:dyDescent="0.25">
      <c r="A658" s="647"/>
      <c r="B658" s="648" t="s">
        <v>459</v>
      </c>
      <c r="C658" s="649">
        <v>28</v>
      </c>
      <c r="D658" s="650" t="s">
        <v>1375</v>
      </c>
      <c r="E658" s="651"/>
      <c r="F658" s="653"/>
      <c r="G658" s="647"/>
      <c r="H658" s="648"/>
      <c r="I658" s="649"/>
      <c r="J658" s="655" t="s">
        <v>164</v>
      </c>
      <c r="K658" s="651"/>
      <c r="L658" s="656">
        <v>0.92708333333333337</v>
      </c>
    </row>
    <row r="659" spans="1:12" ht="15.75" x14ac:dyDescent="0.25">
      <c r="A659" s="647"/>
      <c r="B659" s="648"/>
      <c r="C659" s="649"/>
      <c r="D659" s="655" t="s">
        <v>960</v>
      </c>
      <c r="E659" s="651"/>
      <c r="F659" s="656">
        <v>0.50347222222222221</v>
      </c>
      <c r="G659" s="647"/>
      <c r="H659" s="648"/>
      <c r="I659" s="649"/>
      <c r="J659" s="655" t="s">
        <v>166</v>
      </c>
      <c r="K659" s="657">
        <v>0.9375</v>
      </c>
      <c r="L659" s="656"/>
    </row>
    <row r="660" spans="1:12" ht="15.75" x14ac:dyDescent="0.25">
      <c r="A660" s="647" t="s">
        <v>961</v>
      </c>
      <c r="B660" s="654"/>
      <c r="C660" s="649"/>
      <c r="D660" s="650" t="s">
        <v>163</v>
      </c>
      <c r="E660" s="651"/>
      <c r="F660" s="653">
        <v>0.55902777777777779</v>
      </c>
      <c r="G660" s="647"/>
      <c r="H660" s="648" t="s">
        <v>462</v>
      </c>
      <c r="I660" s="649" t="s">
        <v>459</v>
      </c>
      <c r="J660" s="650"/>
      <c r="K660" s="651"/>
      <c r="L660" s="658"/>
    </row>
    <row r="661" spans="1:12" ht="15.75" x14ac:dyDescent="0.25">
      <c r="A661" s="647"/>
      <c r="B661" s="648"/>
      <c r="C661" s="649"/>
      <c r="D661" s="655" t="s">
        <v>164</v>
      </c>
      <c r="E661" s="651"/>
      <c r="F661" s="656">
        <v>0.59027777777777779</v>
      </c>
      <c r="G661" s="647"/>
      <c r="H661" s="648"/>
      <c r="I661" s="649"/>
      <c r="J661" s="650"/>
      <c r="K661" s="651"/>
      <c r="L661" s="656"/>
    </row>
    <row r="662" spans="1:12" ht="15.75" x14ac:dyDescent="0.25">
      <c r="A662" s="647"/>
      <c r="B662" s="648"/>
      <c r="C662" s="649"/>
      <c r="D662" s="655" t="s">
        <v>166</v>
      </c>
      <c r="E662" s="657">
        <v>0.60416666666666663</v>
      </c>
      <c r="F662" s="656"/>
      <c r="G662" s="647"/>
      <c r="H662" s="648" t="s">
        <v>459</v>
      </c>
      <c r="I662" s="649">
        <v>77</v>
      </c>
      <c r="J662" s="650" t="s">
        <v>1376</v>
      </c>
      <c r="K662" s="651"/>
      <c r="L662" s="653"/>
    </row>
    <row r="663" spans="1:12" ht="15.75" x14ac:dyDescent="0.25">
      <c r="A663" s="647"/>
      <c r="B663" s="648" t="s">
        <v>459</v>
      </c>
      <c r="C663" s="649">
        <v>28</v>
      </c>
      <c r="D663" s="650" t="s">
        <v>1377</v>
      </c>
      <c r="E663" s="651"/>
      <c r="F663" s="658"/>
      <c r="G663" s="647"/>
      <c r="H663" s="648"/>
      <c r="I663" s="649"/>
      <c r="J663" s="655" t="s">
        <v>166</v>
      </c>
      <c r="K663" s="651"/>
      <c r="L663" s="656">
        <v>0.9375</v>
      </c>
    </row>
    <row r="664" spans="1:12" ht="15.75" x14ac:dyDescent="0.25">
      <c r="A664" s="647"/>
      <c r="B664" s="648"/>
      <c r="C664" s="649"/>
      <c r="D664" s="650"/>
      <c r="E664" s="651"/>
      <c r="F664" s="656"/>
      <c r="G664" s="647" t="s">
        <v>961</v>
      </c>
      <c r="H664" s="648"/>
      <c r="I664" s="649"/>
      <c r="J664" s="650" t="s">
        <v>160</v>
      </c>
      <c r="K664" s="651"/>
      <c r="L664" s="653">
        <v>0.97916666666666663</v>
      </c>
    </row>
    <row r="665" spans="1:12" ht="15.75" x14ac:dyDescent="0.25">
      <c r="A665" s="647"/>
      <c r="B665" s="648" t="s">
        <v>459</v>
      </c>
      <c r="C665" s="649">
        <v>207</v>
      </c>
      <c r="D665" s="650" t="s">
        <v>1378</v>
      </c>
      <c r="E665" s="651"/>
      <c r="F665" s="653"/>
      <c r="G665" s="647"/>
      <c r="H665" s="648"/>
      <c r="I665" s="649"/>
      <c r="J665" s="655" t="s">
        <v>962</v>
      </c>
      <c r="K665" s="651"/>
      <c r="L665" s="656">
        <v>0.98611111111111116</v>
      </c>
    </row>
    <row r="666" spans="1:12" ht="15.75" x14ac:dyDescent="0.25">
      <c r="A666" s="647"/>
      <c r="B666" s="648"/>
      <c r="C666" s="649"/>
      <c r="D666" s="655" t="s">
        <v>166</v>
      </c>
      <c r="E666" s="651"/>
      <c r="F666" s="656">
        <v>0.60416666666666663</v>
      </c>
      <c r="G666" s="647"/>
      <c r="H666" s="648"/>
      <c r="I666" s="649"/>
      <c r="J666" s="655" t="s">
        <v>960</v>
      </c>
      <c r="K666" s="651"/>
      <c r="L666" s="656">
        <v>1.3888888888888888E-2</v>
      </c>
    </row>
    <row r="667" spans="1:12" ht="15.75" x14ac:dyDescent="0.25">
      <c r="A667" s="647" t="s">
        <v>961</v>
      </c>
      <c r="B667" s="648"/>
      <c r="C667" s="649"/>
      <c r="D667" s="650" t="s">
        <v>160</v>
      </c>
      <c r="E667" s="651"/>
      <c r="F667" s="653">
        <v>0.65277777777777779</v>
      </c>
      <c r="G667" s="647" t="s">
        <v>961</v>
      </c>
      <c r="H667" s="654"/>
      <c r="I667" s="649"/>
      <c r="J667" s="650" t="s">
        <v>163</v>
      </c>
      <c r="K667" s="651"/>
      <c r="L667" s="653">
        <v>6.25E-2</v>
      </c>
    </row>
    <row r="668" spans="1:12" ht="15.75" x14ac:dyDescent="0.25">
      <c r="A668" s="647"/>
      <c r="B668" s="648"/>
      <c r="C668" s="649"/>
      <c r="D668" s="655" t="s">
        <v>962</v>
      </c>
      <c r="E668" s="651"/>
      <c r="F668" s="656">
        <v>0.65972222222222221</v>
      </c>
      <c r="G668" s="647"/>
      <c r="H668" s="648"/>
      <c r="I668" s="649"/>
      <c r="J668" s="655" t="s">
        <v>164</v>
      </c>
      <c r="K668" s="651"/>
      <c r="L668" s="656">
        <v>8.3333333333333329E-2</v>
      </c>
    </row>
    <row r="669" spans="1:12" ht="15.75" x14ac:dyDescent="0.25">
      <c r="A669" s="647"/>
      <c r="B669" s="648"/>
      <c r="C669" s="649"/>
      <c r="D669" s="655" t="s">
        <v>960</v>
      </c>
      <c r="E669" s="651"/>
      <c r="F669" s="656">
        <v>0.69444444444444442</v>
      </c>
      <c r="G669" s="647"/>
      <c r="H669" s="648"/>
      <c r="I669" s="649"/>
      <c r="J669" s="655" t="s">
        <v>166</v>
      </c>
      <c r="K669" s="657">
        <v>9.375E-2</v>
      </c>
      <c r="L669" s="656"/>
    </row>
    <row r="670" spans="1:12" ht="15.75" x14ac:dyDescent="0.25">
      <c r="A670" s="647" t="s">
        <v>961</v>
      </c>
      <c r="B670" s="654"/>
      <c r="C670" s="649"/>
      <c r="D670" s="650" t="s">
        <v>163</v>
      </c>
      <c r="E670" s="651"/>
      <c r="F670" s="653">
        <v>0.74652777777777779</v>
      </c>
      <c r="G670" s="647"/>
      <c r="H670" s="648" t="s">
        <v>459</v>
      </c>
      <c r="I670" s="649">
        <v>77</v>
      </c>
      <c r="J670" s="650" t="s">
        <v>1379</v>
      </c>
      <c r="K670" s="651"/>
      <c r="L670" s="658"/>
    </row>
    <row r="671" spans="1:12" ht="15.75" x14ac:dyDescent="0.25">
      <c r="A671" s="647"/>
      <c r="B671" s="648"/>
      <c r="C671" s="649"/>
      <c r="D671" s="655" t="s">
        <v>164</v>
      </c>
      <c r="E671" s="651"/>
      <c r="F671" s="656">
        <v>0.77083333333333337</v>
      </c>
      <c r="G671" s="647"/>
      <c r="H671" s="648"/>
      <c r="I671" s="649"/>
      <c r="J671" s="650"/>
      <c r="K671" s="651"/>
      <c r="L671" s="656"/>
    </row>
    <row r="672" spans="1:12" ht="15.75" x14ac:dyDescent="0.25">
      <c r="A672" s="647"/>
      <c r="B672" s="648"/>
      <c r="C672" s="649"/>
      <c r="D672" s="655" t="s">
        <v>166</v>
      </c>
      <c r="E672" s="657">
        <v>0.78472222222222221</v>
      </c>
      <c r="F672" s="656"/>
      <c r="G672" s="647"/>
      <c r="H672" s="648" t="s">
        <v>459</v>
      </c>
      <c r="I672" s="649">
        <v>75</v>
      </c>
      <c r="J672" s="650" t="s">
        <v>1148</v>
      </c>
      <c r="K672" s="651"/>
      <c r="L672" s="653"/>
    </row>
    <row r="673" spans="1:12" ht="15.75" x14ac:dyDescent="0.25">
      <c r="A673" s="647"/>
      <c r="B673" s="648" t="s">
        <v>462</v>
      </c>
      <c r="C673" s="649" t="s">
        <v>459</v>
      </c>
      <c r="D673" s="650"/>
      <c r="E673" s="651"/>
      <c r="F673" s="653"/>
      <c r="G673" s="647"/>
      <c r="H673" s="648"/>
      <c r="I673" s="649"/>
      <c r="J673" s="655" t="s">
        <v>166</v>
      </c>
      <c r="K673" s="651"/>
      <c r="L673" s="656">
        <v>9.375E-2</v>
      </c>
    </row>
    <row r="674" spans="1:12" ht="15.75" x14ac:dyDescent="0.25">
      <c r="A674" s="647"/>
      <c r="B674" s="648"/>
      <c r="C674" s="649"/>
      <c r="D674" s="655"/>
      <c r="E674" s="657"/>
      <c r="F674" s="653"/>
      <c r="G674" s="647" t="s">
        <v>961</v>
      </c>
      <c r="H674" s="648"/>
      <c r="I674" s="649"/>
      <c r="J674" s="650" t="s">
        <v>160</v>
      </c>
      <c r="K674" s="651"/>
      <c r="L674" s="653">
        <v>0.15972222222222221</v>
      </c>
    </row>
    <row r="675" spans="1:12" ht="15.75" x14ac:dyDescent="0.25">
      <c r="A675" s="647"/>
      <c r="B675" s="648"/>
      <c r="C675" s="649"/>
      <c r="D675" s="650"/>
      <c r="E675" s="651"/>
      <c r="F675" s="652"/>
      <c r="G675" s="647"/>
      <c r="H675" s="648"/>
      <c r="I675" s="649"/>
      <c r="J675" s="655" t="s">
        <v>962</v>
      </c>
      <c r="K675" s="651"/>
      <c r="L675" s="656">
        <v>0.16666666666666666</v>
      </c>
    </row>
    <row r="676" spans="1:12" ht="15.75" x14ac:dyDescent="0.25">
      <c r="A676" s="647"/>
      <c r="B676" s="648"/>
      <c r="C676" s="649"/>
      <c r="D676" s="655"/>
      <c r="E676" s="657"/>
      <c r="F676" s="656"/>
      <c r="G676" s="647"/>
      <c r="H676" s="648"/>
      <c r="I676" s="649"/>
      <c r="J676" s="655" t="s">
        <v>960</v>
      </c>
      <c r="K676" s="651"/>
      <c r="L676" s="656">
        <v>0.19097222222222221</v>
      </c>
    </row>
    <row r="677" spans="1:12" ht="15.75" x14ac:dyDescent="0.25">
      <c r="A677" s="647"/>
      <c r="B677" s="648"/>
      <c r="C677" s="649"/>
      <c r="D677" s="650"/>
      <c r="E677" s="651"/>
      <c r="F677" s="653"/>
      <c r="G677" s="647" t="s">
        <v>958</v>
      </c>
      <c r="H677" s="654"/>
      <c r="I677" s="649"/>
      <c r="J677" s="650" t="s">
        <v>163</v>
      </c>
      <c r="K677" s="657">
        <v>0.2326388888888889</v>
      </c>
      <c r="L677" s="653"/>
    </row>
    <row r="678" spans="1:12" ht="15.75" x14ac:dyDescent="0.25">
      <c r="A678" s="647"/>
      <c r="B678" s="648"/>
      <c r="C678" s="649"/>
      <c r="D678" s="655"/>
      <c r="E678" s="657"/>
      <c r="F678" s="653"/>
      <c r="G678" s="647"/>
      <c r="H678" s="648"/>
      <c r="I678" s="649"/>
      <c r="J678" s="650" t="s">
        <v>963</v>
      </c>
      <c r="K678" s="657">
        <v>0.25694444444444442</v>
      </c>
      <c r="L678" s="656"/>
    </row>
    <row r="679" spans="1:12" ht="15.75" x14ac:dyDescent="0.25">
      <c r="A679" s="647"/>
      <c r="B679" s="648"/>
      <c r="C679" s="649"/>
      <c r="D679" s="650"/>
      <c r="E679" s="651"/>
      <c r="F679" s="652"/>
      <c r="G679" s="647"/>
      <c r="H679" s="648" t="s">
        <v>462</v>
      </c>
      <c r="I679" s="649" t="s">
        <v>459</v>
      </c>
      <c r="J679" s="650"/>
      <c r="K679" s="657"/>
      <c r="L679" s="656"/>
    </row>
    <row r="680" spans="1:12" ht="16.5" thickBot="1" x14ac:dyDescent="0.3">
      <c r="A680" s="659"/>
      <c r="B680" s="660"/>
      <c r="C680" s="661"/>
      <c r="D680" s="662"/>
      <c r="E680" s="663"/>
      <c r="F680" s="664"/>
      <c r="G680" s="665"/>
      <c r="H680" s="660"/>
      <c r="I680" s="678"/>
      <c r="J680" s="679"/>
      <c r="K680" s="663"/>
      <c r="L680" s="680"/>
    </row>
    <row r="681" spans="1:12" ht="21" x14ac:dyDescent="0.35">
      <c r="A681" s="781" t="s">
        <v>945</v>
      </c>
      <c r="B681" s="782"/>
      <c r="C681" s="782"/>
      <c r="D681" s="782"/>
      <c r="E681" s="782"/>
      <c r="F681" s="782"/>
      <c r="G681" s="782"/>
      <c r="H681" s="782"/>
      <c r="I681" s="782"/>
      <c r="J681" s="782"/>
      <c r="K681" s="782"/>
      <c r="L681" s="783"/>
    </row>
    <row r="682" spans="1:12" ht="18.75" x14ac:dyDescent="0.3">
      <c r="A682" s="784" t="s">
        <v>946</v>
      </c>
      <c r="B682" s="785"/>
      <c r="C682" s="785"/>
      <c r="D682" s="785"/>
      <c r="E682" s="785"/>
      <c r="F682" s="785"/>
      <c r="G682" s="785"/>
      <c r="H682" s="785"/>
      <c r="I682" s="785"/>
      <c r="J682" s="785"/>
      <c r="K682" s="785"/>
      <c r="L682" s="786"/>
    </row>
    <row r="683" spans="1:12" ht="24" x14ac:dyDescent="0.4">
      <c r="A683" s="787" t="s">
        <v>947</v>
      </c>
      <c r="B683" s="788"/>
      <c r="C683" s="788"/>
      <c r="D683" s="788"/>
      <c r="E683" s="788"/>
      <c r="F683" s="788"/>
      <c r="G683" s="788"/>
      <c r="H683" s="788"/>
      <c r="I683" s="788"/>
      <c r="J683" s="788"/>
      <c r="K683" s="788"/>
      <c r="L683" s="789"/>
    </row>
    <row r="684" spans="1:12" ht="24" x14ac:dyDescent="0.4">
      <c r="A684" s="623" t="s">
        <v>1279</v>
      </c>
      <c r="B684" s="624"/>
      <c r="C684" s="624"/>
      <c r="D684" s="625" t="s">
        <v>949</v>
      </c>
      <c r="E684" s="790" t="s">
        <v>683</v>
      </c>
      <c r="F684" s="790"/>
      <c r="G684" s="790"/>
      <c r="H684" s="790"/>
      <c r="I684" s="790"/>
      <c r="J684" s="626" t="s">
        <v>1093</v>
      </c>
      <c r="K684" s="790"/>
      <c r="L684" s="791"/>
    </row>
    <row r="685" spans="1:12" ht="15.75" thickBot="1" x14ac:dyDescent="0.3">
      <c r="A685" s="627"/>
      <c r="B685" s="628"/>
      <c r="C685" s="628"/>
      <c r="D685" s="629"/>
      <c r="E685" s="628"/>
      <c r="F685" s="628"/>
      <c r="G685" s="628"/>
      <c r="H685" s="628"/>
      <c r="I685" s="792"/>
      <c r="J685" s="792"/>
      <c r="K685" s="628"/>
      <c r="L685" s="630"/>
    </row>
    <row r="686" spans="1:12" ht="16.5" thickBot="1" x14ac:dyDescent="0.3">
      <c r="A686" s="631" t="s">
        <v>952</v>
      </c>
      <c r="B686" s="632"/>
      <c r="C686" s="633"/>
      <c r="D686" s="634" t="s">
        <v>953</v>
      </c>
      <c r="E686" s="631" t="s">
        <v>954</v>
      </c>
      <c r="F686" s="635" t="s">
        <v>955</v>
      </c>
      <c r="G686" s="631" t="s">
        <v>952</v>
      </c>
      <c r="H686" s="632"/>
      <c r="I686" s="633"/>
      <c r="J686" s="634" t="s">
        <v>953</v>
      </c>
      <c r="K686" s="631" t="s">
        <v>954</v>
      </c>
      <c r="L686" s="631" t="s">
        <v>955</v>
      </c>
    </row>
    <row r="687" spans="1:12" ht="15.75" x14ac:dyDescent="0.25">
      <c r="A687" s="636"/>
      <c r="B687" s="637"/>
      <c r="C687" s="638"/>
      <c r="D687" s="639"/>
      <c r="E687" s="640"/>
      <c r="F687" s="641"/>
      <c r="G687" s="636"/>
      <c r="H687" s="642"/>
      <c r="I687" s="643"/>
      <c r="J687" s="644"/>
      <c r="K687" s="645"/>
      <c r="L687" s="646"/>
    </row>
    <row r="688" spans="1:12" ht="15.75" x14ac:dyDescent="0.25">
      <c r="A688" s="647"/>
      <c r="B688" s="648" t="s">
        <v>459</v>
      </c>
      <c r="C688" s="649">
        <v>21</v>
      </c>
      <c r="D688" s="650" t="s">
        <v>1380</v>
      </c>
      <c r="E688" s="651"/>
      <c r="F688" s="652"/>
      <c r="G688" s="647"/>
      <c r="H688" s="648"/>
      <c r="I688" s="649"/>
      <c r="J688" s="650"/>
      <c r="K688" s="651"/>
      <c r="L688" s="653"/>
    </row>
    <row r="689" spans="1:12" ht="15.75" x14ac:dyDescent="0.25">
      <c r="A689" s="647" t="s">
        <v>958</v>
      </c>
      <c r="B689" s="654"/>
      <c r="C689" s="649"/>
      <c r="D689" s="655" t="s">
        <v>959</v>
      </c>
      <c r="E689" s="651"/>
      <c r="F689" s="656">
        <v>0.35416666666666669</v>
      </c>
      <c r="G689" s="647"/>
      <c r="H689" s="648"/>
      <c r="I689" s="649"/>
      <c r="J689" s="655"/>
      <c r="K689" s="651"/>
      <c r="L689" s="656"/>
    </row>
    <row r="690" spans="1:12" ht="15.75" x14ac:dyDescent="0.25">
      <c r="A690" s="647" t="s">
        <v>961</v>
      </c>
      <c r="B690" s="648"/>
      <c r="C690" s="649"/>
      <c r="D690" s="650" t="s">
        <v>160</v>
      </c>
      <c r="E690" s="651"/>
      <c r="F690" s="653">
        <v>0.3888888888888889</v>
      </c>
      <c r="G690" s="647"/>
      <c r="H690" s="648"/>
      <c r="I690" s="649"/>
      <c r="J690" s="650"/>
      <c r="K690" s="651"/>
      <c r="L690" s="653"/>
    </row>
    <row r="691" spans="1:12" ht="15.75" x14ac:dyDescent="0.25">
      <c r="A691" s="647"/>
      <c r="B691" s="648"/>
      <c r="C691" s="649"/>
      <c r="D691" s="655" t="s">
        <v>962</v>
      </c>
      <c r="E691" s="651"/>
      <c r="F691" s="656">
        <v>0.39583333333333331</v>
      </c>
      <c r="G691" s="647"/>
      <c r="H691" s="648"/>
      <c r="I691" s="649"/>
      <c r="J691" s="655"/>
      <c r="K691" s="651"/>
      <c r="L691" s="656"/>
    </row>
    <row r="692" spans="1:12" ht="15.75" x14ac:dyDescent="0.25">
      <c r="A692" s="647"/>
      <c r="B692" s="654"/>
      <c r="C692" s="649"/>
      <c r="D692" s="655" t="s">
        <v>960</v>
      </c>
      <c r="E692" s="651"/>
      <c r="F692" s="656">
        <v>0.42708333333333331</v>
      </c>
      <c r="G692" s="647"/>
      <c r="H692" s="654"/>
      <c r="I692" s="649"/>
      <c r="J692" s="655"/>
      <c r="K692" s="651"/>
      <c r="L692" s="656"/>
    </row>
    <row r="693" spans="1:12" ht="15.75" x14ac:dyDescent="0.25">
      <c r="A693" s="647" t="s">
        <v>961</v>
      </c>
      <c r="B693" s="654"/>
      <c r="C693" s="649"/>
      <c r="D693" s="650" t="s">
        <v>163</v>
      </c>
      <c r="E693" s="651"/>
      <c r="F693" s="653">
        <v>0.4826388888888889</v>
      </c>
      <c r="G693" s="647"/>
      <c r="H693" s="654"/>
      <c r="I693" s="649"/>
      <c r="J693" s="650"/>
      <c r="K693" s="651"/>
      <c r="L693" s="653"/>
    </row>
    <row r="694" spans="1:12" ht="15.75" x14ac:dyDescent="0.25">
      <c r="A694" s="647"/>
      <c r="B694" s="648"/>
      <c r="C694" s="649"/>
      <c r="D694" s="655" t="s">
        <v>164</v>
      </c>
      <c r="E694" s="651"/>
      <c r="F694" s="656">
        <v>0.51388888888888884</v>
      </c>
      <c r="G694" s="647"/>
      <c r="H694" s="648"/>
      <c r="I694" s="649"/>
      <c r="J694" s="655"/>
      <c r="K694" s="651"/>
      <c r="L694" s="656"/>
    </row>
    <row r="695" spans="1:12" ht="15.75" x14ac:dyDescent="0.25">
      <c r="A695" s="647"/>
      <c r="B695" s="648"/>
      <c r="C695" s="649"/>
      <c r="D695" s="655" t="s">
        <v>166</v>
      </c>
      <c r="E695" s="657">
        <v>0.52777777777777779</v>
      </c>
      <c r="F695" s="656"/>
      <c r="G695" s="647"/>
      <c r="H695" s="648"/>
      <c r="I695" s="649"/>
      <c r="J695" s="655"/>
      <c r="K695" s="657"/>
      <c r="L695" s="656"/>
    </row>
    <row r="696" spans="1:12" ht="15.75" x14ac:dyDescent="0.25">
      <c r="A696" s="647"/>
      <c r="B696" s="648" t="s">
        <v>459</v>
      </c>
      <c r="C696" s="649">
        <v>21</v>
      </c>
      <c r="D696" s="650" t="s">
        <v>1381</v>
      </c>
      <c r="E696" s="651"/>
      <c r="F696" s="658"/>
      <c r="G696" s="647"/>
      <c r="H696" s="648"/>
      <c r="I696" s="649"/>
      <c r="J696" s="650"/>
      <c r="K696" s="651"/>
      <c r="L696" s="658"/>
    </row>
    <row r="697" spans="1:12" ht="15.75" x14ac:dyDescent="0.25">
      <c r="A697" s="647"/>
      <c r="B697" s="648"/>
      <c r="C697" s="649"/>
      <c r="D697" s="650"/>
      <c r="E697" s="651"/>
      <c r="F697" s="656"/>
      <c r="G697" s="647"/>
      <c r="H697" s="648"/>
      <c r="I697" s="649"/>
      <c r="J697" s="650"/>
      <c r="K697" s="651"/>
      <c r="L697" s="656"/>
    </row>
    <row r="698" spans="1:12" ht="15.75" x14ac:dyDescent="0.25">
      <c r="A698" s="647"/>
      <c r="B698" s="648" t="s">
        <v>459</v>
      </c>
      <c r="C698" s="649">
        <v>34</v>
      </c>
      <c r="D698" s="650" t="s">
        <v>1382</v>
      </c>
      <c r="E698" s="651"/>
      <c r="F698" s="653"/>
      <c r="G698" s="647"/>
      <c r="H698" s="648"/>
      <c r="I698" s="649"/>
      <c r="J698" s="650"/>
      <c r="K698" s="651"/>
      <c r="L698" s="653"/>
    </row>
    <row r="699" spans="1:12" ht="15.75" x14ac:dyDescent="0.25">
      <c r="A699" s="647"/>
      <c r="B699" s="648"/>
      <c r="C699" s="649"/>
      <c r="D699" s="655" t="s">
        <v>166</v>
      </c>
      <c r="E699" s="651"/>
      <c r="F699" s="656">
        <v>0.52777777777777779</v>
      </c>
      <c r="G699" s="647"/>
      <c r="H699" s="648"/>
      <c r="I699" s="649"/>
      <c r="J699" s="655"/>
      <c r="K699" s="651"/>
      <c r="L699" s="656"/>
    </row>
    <row r="700" spans="1:12" ht="15.75" x14ac:dyDescent="0.25">
      <c r="A700" s="647" t="s">
        <v>961</v>
      </c>
      <c r="B700" s="648"/>
      <c r="C700" s="649"/>
      <c r="D700" s="650" t="s">
        <v>160</v>
      </c>
      <c r="E700" s="651"/>
      <c r="F700" s="653">
        <v>0.57986111111111116</v>
      </c>
      <c r="G700" s="647"/>
      <c r="H700" s="648"/>
      <c r="I700" s="649"/>
      <c r="J700" s="650"/>
      <c r="K700" s="651"/>
      <c r="L700" s="653"/>
    </row>
    <row r="701" spans="1:12" ht="15.75" x14ac:dyDescent="0.25">
      <c r="A701" s="647"/>
      <c r="B701" s="648"/>
      <c r="C701" s="649"/>
      <c r="D701" s="655" t="s">
        <v>962</v>
      </c>
      <c r="E701" s="651"/>
      <c r="F701" s="656">
        <v>0.59027777777777779</v>
      </c>
      <c r="G701" s="647"/>
      <c r="H701" s="648"/>
      <c r="I701" s="649"/>
      <c r="J701" s="655"/>
      <c r="K701" s="651"/>
      <c r="L701" s="656"/>
    </row>
    <row r="702" spans="1:12" ht="15.75" x14ac:dyDescent="0.25">
      <c r="A702" s="647"/>
      <c r="B702" s="654"/>
      <c r="C702" s="649"/>
      <c r="D702" s="655" t="s">
        <v>960</v>
      </c>
      <c r="E702" s="651"/>
      <c r="F702" s="656">
        <v>0.61805555555555558</v>
      </c>
      <c r="G702" s="647"/>
      <c r="H702" s="654"/>
      <c r="I702" s="649"/>
      <c r="J702" s="655"/>
      <c r="K702" s="651"/>
      <c r="L702" s="656"/>
    </row>
    <row r="703" spans="1:12" ht="15.75" x14ac:dyDescent="0.25">
      <c r="A703" s="647" t="s">
        <v>961</v>
      </c>
      <c r="B703" s="654"/>
      <c r="C703" s="649"/>
      <c r="D703" s="650" t="s">
        <v>163</v>
      </c>
      <c r="E703" s="651"/>
      <c r="F703" s="653">
        <v>0.67361111111111116</v>
      </c>
      <c r="G703" s="647"/>
      <c r="H703" s="654"/>
      <c r="I703" s="649"/>
      <c r="J703" s="650"/>
      <c r="K703" s="657"/>
      <c r="L703" s="653"/>
    </row>
    <row r="704" spans="1:12" ht="15.75" x14ac:dyDescent="0.25">
      <c r="A704" s="647"/>
      <c r="B704" s="648"/>
      <c r="C704" s="649"/>
      <c r="D704" s="655" t="s">
        <v>164</v>
      </c>
      <c r="E704" s="651"/>
      <c r="F704" s="656">
        <v>0.70486111111111116</v>
      </c>
      <c r="G704" s="647"/>
      <c r="H704" s="648"/>
      <c r="I704" s="649"/>
      <c r="J704" s="650"/>
      <c r="K704" s="657"/>
      <c r="L704" s="656"/>
    </row>
    <row r="705" spans="1:12" ht="15.75" x14ac:dyDescent="0.25">
      <c r="A705" s="647"/>
      <c r="B705" s="648"/>
      <c r="C705" s="649"/>
      <c r="D705" s="655" t="s">
        <v>166</v>
      </c>
      <c r="E705" s="657">
        <v>0.71875</v>
      </c>
      <c r="F705" s="656"/>
      <c r="G705" s="647"/>
      <c r="H705" s="648"/>
      <c r="I705" s="649"/>
      <c r="J705" s="650"/>
      <c r="K705" s="657"/>
      <c r="L705" s="653"/>
    </row>
    <row r="706" spans="1:12" ht="15.75" x14ac:dyDescent="0.25">
      <c r="A706" s="647"/>
      <c r="B706" s="648" t="s">
        <v>459</v>
      </c>
      <c r="C706" s="649">
        <v>34</v>
      </c>
      <c r="D706" s="650" t="s">
        <v>1383</v>
      </c>
      <c r="E706" s="651"/>
      <c r="F706" s="658"/>
      <c r="G706" s="647"/>
      <c r="H706" s="648"/>
      <c r="I706" s="649"/>
      <c r="J706" s="650"/>
      <c r="K706" s="657"/>
      <c r="L706" s="653"/>
    </row>
    <row r="707" spans="1:12" ht="15.75" x14ac:dyDescent="0.25">
      <c r="A707" s="647"/>
      <c r="B707" s="648"/>
      <c r="C707" s="649"/>
      <c r="D707" s="650"/>
      <c r="E707" s="657"/>
      <c r="F707" s="653"/>
      <c r="G707" s="647"/>
      <c r="H707" s="648"/>
      <c r="I707" s="649"/>
      <c r="J707" s="650"/>
      <c r="K707" s="657"/>
      <c r="L707" s="653"/>
    </row>
    <row r="708" spans="1:12" ht="15.75" x14ac:dyDescent="0.25">
      <c r="A708" s="647"/>
      <c r="B708" s="648" t="s">
        <v>459</v>
      </c>
      <c r="C708" s="649">
        <v>29</v>
      </c>
      <c r="D708" s="650" t="s">
        <v>1384</v>
      </c>
      <c r="E708" s="651"/>
      <c r="F708" s="653"/>
      <c r="G708" s="647"/>
      <c r="H708" s="648"/>
      <c r="I708" s="649"/>
      <c r="J708" s="650"/>
      <c r="K708" s="657"/>
      <c r="L708" s="653"/>
    </row>
    <row r="709" spans="1:12" ht="15.75" x14ac:dyDescent="0.25">
      <c r="A709" s="647"/>
      <c r="B709" s="648"/>
      <c r="C709" s="649"/>
      <c r="D709" s="655" t="s">
        <v>166</v>
      </c>
      <c r="E709" s="651"/>
      <c r="F709" s="656">
        <v>0.71875</v>
      </c>
      <c r="G709" s="647"/>
      <c r="H709" s="648"/>
      <c r="I709" s="649"/>
      <c r="J709" s="650"/>
      <c r="K709" s="657"/>
      <c r="L709" s="652"/>
    </row>
    <row r="710" spans="1:12" ht="15.75" x14ac:dyDescent="0.25">
      <c r="A710" s="647" t="s">
        <v>961</v>
      </c>
      <c r="B710" s="648"/>
      <c r="C710" s="649"/>
      <c r="D710" s="650" t="s">
        <v>160</v>
      </c>
      <c r="E710" s="651"/>
      <c r="F710" s="653">
        <v>0.76388888888888884</v>
      </c>
      <c r="G710" s="647"/>
      <c r="H710" s="648"/>
      <c r="I710" s="649"/>
      <c r="J710" s="650"/>
      <c r="K710" s="651"/>
      <c r="L710" s="652"/>
    </row>
    <row r="711" spans="1:12" ht="15.75" x14ac:dyDescent="0.25">
      <c r="A711" s="647"/>
      <c r="B711" s="648"/>
      <c r="C711" s="649"/>
      <c r="D711" s="655" t="s">
        <v>962</v>
      </c>
      <c r="E711" s="651"/>
      <c r="F711" s="656">
        <v>0.77083333333333337</v>
      </c>
      <c r="G711" s="647"/>
      <c r="H711" s="648"/>
      <c r="I711" s="649"/>
      <c r="J711" s="650"/>
      <c r="K711" s="651"/>
      <c r="L711" s="652"/>
    </row>
    <row r="712" spans="1:12" ht="15.75" x14ac:dyDescent="0.25">
      <c r="A712" s="647"/>
      <c r="B712" s="654"/>
      <c r="C712" s="649"/>
      <c r="D712" s="655" t="s">
        <v>960</v>
      </c>
      <c r="E712" s="651"/>
      <c r="F712" s="656">
        <v>0.79861111111111116</v>
      </c>
      <c r="G712" s="647"/>
      <c r="H712" s="648"/>
      <c r="I712" s="649"/>
      <c r="J712" s="650"/>
      <c r="K712" s="651"/>
      <c r="L712" s="652"/>
    </row>
    <row r="713" spans="1:12" ht="15.75" x14ac:dyDescent="0.25">
      <c r="A713" s="647" t="s">
        <v>958</v>
      </c>
      <c r="B713" s="654"/>
      <c r="C713" s="649"/>
      <c r="D713" s="650" t="s">
        <v>163</v>
      </c>
      <c r="E713" s="657">
        <v>0.84375</v>
      </c>
      <c r="F713" s="653"/>
      <c r="G713" s="647"/>
      <c r="H713" s="648"/>
      <c r="I713" s="649"/>
      <c r="J713" s="650"/>
      <c r="K713" s="651"/>
      <c r="L713" s="652"/>
    </row>
    <row r="714" spans="1:12" ht="15.75" x14ac:dyDescent="0.25">
      <c r="A714" s="647"/>
      <c r="B714" s="648"/>
      <c r="C714" s="649"/>
      <c r="D714" s="650" t="s">
        <v>963</v>
      </c>
      <c r="E714" s="657">
        <v>0.86805555555555558</v>
      </c>
      <c r="F714" s="656"/>
      <c r="G714" s="647"/>
      <c r="H714" s="648"/>
      <c r="I714" s="649"/>
      <c r="J714" s="650"/>
      <c r="K714" s="651"/>
      <c r="L714" s="652"/>
    </row>
    <row r="715" spans="1:12" ht="15.75" x14ac:dyDescent="0.25">
      <c r="A715" s="647"/>
      <c r="B715" s="648" t="s">
        <v>462</v>
      </c>
      <c r="C715" s="649" t="s">
        <v>459</v>
      </c>
      <c r="D715" s="650"/>
      <c r="E715" s="657"/>
      <c r="F715" s="653"/>
      <c r="G715" s="647"/>
      <c r="H715" s="648"/>
      <c r="I715" s="649"/>
      <c r="J715" s="650"/>
      <c r="K715" s="651"/>
      <c r="L715" s="652"/>
    </row>
    <row r="716" spans="1:12" ht="15.75" x14ac:dyDescent="0.25">
      <c r="A716" s="647"/>
      <c r="B716" s="648"/>
      <c r="C716" s="649"/>
      <c r="D716" s="650"/>
      <c r="E716" s="651"/>
      <c r="F716" s="658"/>
      <c r="G716" s="647"/>
      <c r="H716" s="648"/>
      <c r="I716" s="649"/>
      <c r="J716" s="650"/>
      <c r="K716" s="651"/>
      <c r="L716" s="652"/>
    </row>
    <row r="717" spans="1:12" ht="15.75" x14ac:dyDescent="0.25">
      <c r="A717" s="647"/>
      <c r="B717" s="654"/>
      <c r="C717" s="649"/>
      <c r="D717" s="650"/>
      <c r="E717" s="657"/>
      <c r="F717" s="653"/>
      <c r="G717" s="647"/>
      <c r="H717" s="648"/>
      <c r="I717" s="649"/>
      <c r="J717" s="650"/>
      <c r="K717" s="651"/>
      <c r="L717" s="658"/>
    </row>
    <row r="718" spans="1:12" ht="15.75" x14ac:dyDescent="0.25">
      <c r="A718" s="647"/>
      <c r="B718" s="648"/>
      <c r="C718" s="649"/>
      <c r="D718" s="650"/>
      <c r="E718" s="657"/>
      <c r="F718" s="653"/>
      <c r="G718" s="647"/>
      <c r="H718" s="648"/>
      <c r="I718" s="649"/>
      <c r="J718" s="655"/>
      <c r="K718" s="651"/>
      <c r="L718" s="658"/>
    </row>
    <row r="719" spans="1:12" ht="15.75" x14ac:dyDescent="0.25">
      <c r="A719" s="647"/>
      <c r="B719" s="648"/>
      <c r="C719" s="649"/>
      <c r="D719" s="650"/>
      <c r="E719" s="657"/>
      <c r="F719" s="652"/>
      <c r="G719" s="647"/>
      <c r="H719" s="648"/>
      <c r="I719" s="649"/>
      <c r="J719" s="650"/>
      <c r="K719" s="651"/>
      <c r="L719" s="658"/>
    </row>
    <row r="720" spans="1:12" ht="16.5" thickBot="1" x14ac:dyDescent="0.3">
      <c r="A720" s="659"/>
      <c r="B720" s="660"/>
      <c r="C720" s="661"/>
      <c r="D720" s="662"/>
      <c r="E720" s="663"/>
      <c r="F720" s="664"/>
      <c r="G720" s="665"/>
      <c r="H720" s="666"/>
      <c r="I720" s="667"/>
      <c r="J720" s="668"/>
      <c r="K720" s="663"/>
      <c r="L720" s="669"/>
    </row>
    <row r="721" spans="1:12" ht="21" x14ac:dyDescent="0.35">
      <c r="A721" s="781" t="s">
        <v>945</v>
      </c>
      <c r="B721" s="782"/>
      <c r="C721" s="782"/>
      <c r="D721" s="782"/>
      <c r="E721" s="782"/>
      <c r="F721" s="782"/>
      <c r="G721" s="782"/>
      <c r="H721" s="782"/>
      <c r="I721" s="782"/>
      <c r="J721" s="782"/>
      <c r="K721" s="782"/>
      <c r="L721" s="783"/>
    </row>
    <row r="722" spans="1:12" ht="18.75" x14ac:dyDescent="0.3">
      <c r="A722" s="784" t="s">
        <v>946</v>
      </c>
      <c r="B722" s="785"/>
      <c r="C722" s="785"/>
      <c r="D722" s="785"/>
      <c r="E722" s="785"/>
      <c r="F722" s="785"/>
      <c r="G722" s="785"/>
      <c r="H722" s="785"/>
      <c r="I722" s="785"/>
      <c r="J722" s="785"/>
      <c r="K722" s="785"/>
      <c r="L722" s="786"/>
    </row>
    <row r="723" spans="1:12" ht="24" x14ac:dyDescent="0.4">
      <c r="A723" s="787" t="s">
        <v>947</v>
      </c>
      <c r="B723" s="788"/>
      <c r="C723" s="788"/>
      <c r="D723" s="788"/>
      <c r="E723" s="788"/>
      <c r="F723" s="788"/>
      <c r="G723" s="788"/>
      <c r="H723" s="788"/>
      <c r="I723" s="788"/>
      <c r="J723" s="788"/>
      <c r="K723" s="788"/>
      <c r="L723" s="789"/>
    </row>
    <row r="724" spans="1:12" ht="24" x14ac:dyDescent="0.4">
      <c r="A724" s="623" t="s">
        <v>1279</v>
      </c>
      <c r="B724" s="624"/>
      <c r="C724" s="624"/>
      <c r="D724" s="625" t="s">
        <v>949</v>
      </c>
      <c r="E724" s="790" t="s">
        <v>683</v>
      </c>
      <c r="F724" s="790"/>
      <c r="G724" s="790"/>
      <c r="H724" s="790"/>
      <c r="I724" s="790"/>
      <c r="J724" s="626" t="s">
        <v>1099</v>
      </c>
      <c r="K724" s="790"/>
      <c r="L724" s="791"/>
    </row>
    <row r="725" spans="1:12" ht="15.75" thickBot="1" x14ac:dyDescent="0.3">
      <c r="A725" s="627"/>
      <c r="B725" s="628"/>
      <c r="C725" s="628"/>
      <c r="D725" s="629"/>
      <c r="E725" s="628"/>
      <c r="F725" s="628"/>
      <c r="G725" s="628"/>
      <c r="H725" s="628"/>
      <c r="I725" s="792"/>
      <c r="J725" s="792"/>
      <c r="K725" s="628"/>
      <c r="L725" s="630"/>
    </row>
    <row r="726" spans="1:12" ht="16.5" thickBot="1" x14ac:dyDescent="0.3">
      <c r="A726" s="631" t="s">
        <v>952</v>
      </c>
      <c r="B726" s="632"/>
      <c r="C726" s="633"/>
      <c r="D726" s="634" t="s">
        <v>953</v>
      </c>
      <c r="E726" s="631" t="s">
        <v>954</v>
      </c>
      <c r="F726" s="635" t="s">
        <v>955</v>
      </c>
      <c r="G726" s="631" t="s">
        <v>952</v>
      </c>
      <c r="H726" s="632"/>
      <c r="I726" s="633"/>
      <c r="J726" s="634" t="s">
        <v>953</v>
      </c>
      <c r="K726" s="631" t="s">
        <v>954</v>
      </c>
      <c r="L726" s="631" t="s">
        <v>955</v>
      </c>
    </row>
    <row r="727" spans="1:12" ht="15.75" x14ac:dyDescent="0.25">
      <c r="A727" s="636"/>
      <c r="B727" s="637"/>
      <c r="C727" s="638"/>
      <c r="D727" s="639"/>
      <c r="E727" s="640"/>
      <c r="F727" s="641"/>
      <c r="G727" s="636"/>
      <c r="H727" s="642"/>
      <c r="I727" s="643"/>
      <c r="J727" s="644"/>
      <c r="K727" s="645"/>
      <c r="L727" s="646"/>
    </row>
    <row r="728" spans="1:12" ht="15.75" x14ac:dyDescent="0.25">
      <c r="A728" s="647"/>
      <c r="B728" s="648" t="s">
        <v>459</v>
      </c>
      <c r="C728" s="649">
        <v>23</v>
      </c>
      <c r="D728" s="650" t="s">
        <v>1385</v>
      </c>
      <c r="E728" s="651"/>
      <c r="F728" s="652"/>
      <c r="G728" s="647"/>
      <c r="H728" s="648" t="s">
        <v>459</v>
      </c>
      <c r="I728" s="649">
        <v>73</v>
      </c>
      <c r="J728" s="650" t="s">
        <v>1386</v>
      </c>
      <c r="K728" s="651"/>
      <c r="L728" s="653"/>
    </row>
    <row r="729" spans="1:12" ht="15.75" x14ac:dyDescent="0.25">
      <c r="A729" s="647" t="s">
        <v>958</v>
      </c>
      <c r="B729" s="654"/>
      <c r="C729" s="649"/>
      <c r="D729" s="655" t="s">
        <v>959</v>
      </c>
      <c r="E729" s="651"/>
      <c r="F729" s="656">
        <v>0.3611111111111111</v>
      </c>
      <c r="G729" s="647"/>
      <c r="H729" s="648"/>
      <c r="I729" s="649"/>
      <c r="J729" s="655" t="s">
        <v>166</v>
      </c>
      <c r="K729" s="651"/>
      <c r="L729" s="656">
        <v>5.2083333333333336E-2</v>
      </c>
    </row>
    <row r="730" spans="1:12" ht="15.75" x14ac:dyDescent="0.25">
      <c r="A730" s="647" t="s">
        <v>961</v>
      </c>
      <c r="B730" s="654"/>
      <c r="C730" s="649"/>
      <c r="D730" s="650" t="s">
        <v>163</v>
      </c>
      <c r="E730" s="651"/>
      <c r="F730" s="653">
        <v>0.3888888888888889</v>
      </c>
      <c r="G730" s="647" t="s">
        <v>961</v>
      </c>
      <c r="H730" s="648"/>
      <c r="I730" s="649"/>
      <c r="J730" s="650" t="s">
        <v>160</v>
      </c>
      <c r="K730" s="651"/>
      <c r="L730" s="653">
        <v>0.11805555555555555</v>
      </c>
    </row>
    <row r="731" spans="1:12" ht="15.75" x14ac:dyDescent="0.25">
      <c r="A731" s="647"/>
      <c r="B731" s="648"/>
      <c r="C731" s="649"/>
      <c r="D731" s="655" t="s">
        <v>164</v>
      </c>
      <c r="E731" s="651"/>
      <c r="F731" s="656">
        <v>0.41666666666666669</v>
      </c>
      <c r="G731" s="647"/>
      <c r="H731" s="648"/>
      <c r="I731" s="649"/>
      <c r="J731" s="655" t="s">
        <v>962</v>
      </c>
      <c r="K731" s="651"/>
      <c r="L731" s="656">
        <v>0.125</v>
      </c>
    </row>
    <row r="732" spans="1:12" ht="15.75" x14ac:dyDescent="0.25">
      <c r="A732" s="647"/>
      <c r="B732" s="648"/>
      <c r="C732" s="649"/>
      <c r="D732" s="655" t="s">
        <v>166</v>
      </c>
      <c r="E732" s="651"/>
      <c r="F732" s="656">
        <v>0.43055555555555558</v>
      </c>
      <c r="G732" s="647"/>
      <c r="H732" s="654"/>
      <c r="I732" s="649"/>
      <c r="J732" s="655" t="s">
        <v>960</v>
      </c>
      <c r="K732" s="651"/>
      <c r="L732" s="656">
        <v>0.14930555555555555</v>
      </c>
    </row>
    <row r="733" spans="1:12" ht="15.75" x14ac:dyDescent="0.25">
      <c r="A733" s="647" t="s">
        <v>961</v>
      </c>
      <c r="B733" s="648"/>
      <c r="C733" s="649"/>
      <c r="D733" s="650" t="s">
        <v>160</v>
      </c>
      <c r="E733" s="651"/>
      <c r="F733" s="653">
        <v>0.47569444444444442</v>
      </c>
      <c r="G733" s="647" t="s">
        <v>958</v>
      </c>
      <c r="H733" s="654"/>
      <c r="I733" s="649"/>
      <c r="J733" s="650" t="s">
        <v>163</v>
      </c>
      <c r="K733" s="657">
        <v>0.19097222222222221</v>
      </c>
      <c r="L733" s="653"/>
    </row>
    <row r="734" spans="1:12" ht="15.75" x14ac:dyDescent="0.25">
      <c r="A734" s="647"/>
      <c r="B734" s="648"/>
      <c r="C734" s="649"/>
      <c r="D734" s="655" t="s">
        <v>962</v>
      </c>
      <c r="E734" s="651"/>
      <c r="F734" s="656">
        <v>0.4861111111111111</v>
      </c>
      <c r="G734" s="647"/>
      <c r="H734" s="648"/>
      <c r="I734" s="649"/>
      <c r="J734" s="650" t="s">
        <v>963</v>
      </c>
      <c r="K734" s="657">
        <v>0.21527777777777779</v>
      </c>
      <c r="L734" s="656"/>
    </row>
    <row r="735" spans="1:12" ht="15.75" x14ac:dyDescent="0.25">
      <c r="A735" s="647"/>
      <c r="B735" s="648"/>
      <c r="C735" s="649"/>
      <c r="D735" s="655" t="s">
        <v>960</v>
      </c>
      <c r="E735" s="657">
        <v>0.51736111111111116</v>
      </c>
      <c r="F735" s="656"/>
      <c r="G735" s="647"/>
      <c r="H735" s="648" t="s">
        <v>462</v>
      </c>
      <c r="I735" s="649" t="s">
        <v>459</v>
      </c>
      <c r="J735" s="650"/>
      <c r="K735" s="657"/>
      <c r="L735" s="653"/>
    </row>
    <row r="736" spans="1:12" ht="15.75" x14ac:dyDescent="0.25">
      <c r="A736" s="647"/>
      <c r="B736" s="648" t="s">
        <v>459</v>
      </c>
      <c r="C736" s="649">
        <v>23</v>
      </c>
      <c r="D736" s="650" t="s">
        <v>1387</v>
      </c>
      <c r="E736" s="651"/>
      <c r="F736" s="658"/>
      <c r="G736" s="647"/>
      <c r="H736" s="648"/>
      <c r="I736" s="649"/>
      <c r="J736" s="650"/>
      <c r="K736" s="651"/>
      <c r="L736" s="658"/>
    </row>
    <row r="737" spans="1:12" ht="15.75" x14ac:dyDescent="0.25">
      <c r="A737" s="647"/>
      <c r="B737" s="648"/>
      <c r="C737" s="649"/>
      <c r="D737" s="650"/>
      <c r="E737" s="651"/>
      <c r="F737" s="656"/>
      <c r="G737" s="647"/>
      <c r="H737" s="648"/>
      <c r="I737" s="649"/>
      <c r="J737" s="650"/>
      <c r="K737" s="657"/>
      <c r="L737" s="658"/>
    </row>
    <row r="738" spans="1:12" ht="15.75" x14ac:dyDescent="0.25">
      <c r="A738" s="647"/>
      <c r="B738" s="648" t="s">
        <v>459</v>
      </c>
      <c r="C738" s="649">
        <v>32</v>
      </c>
      <c r="D738" s="650" t="s">
        <v>1388</v>
      </c>
      <c r="E738" s="651"/>
      <c r="F738" s="653"/>
      <c r="G738" s="647"/>
      <c r="H738" s="648"/>
      <c r="I738" s="649"/>
      <c r="J738" s="655"/>
      <c r="K738" s="657"/>
      <c r="L738" s="653"/>
    </row>
    <row r="739" spans="1:12" ht="15.75" x14ac:dyDescent="0.25">
      <c r="A739" s="647"/>
      <c r="B739" s="648"/>
      <c r="C739" s="649"/>
      <c r="D739" s="655" t="s">
        <v>960</v>
      </c>
      <c r="E739" s="651"/>
      <c r="F739" s="656">
        <v>0.51736111111111116</v>
      </c>
      <c r="G739" s="647"/>
      <c r="H739" s="648"/>
      <c r="I739" s="649"/>
      <c r="J739" s="650"/>
      <c r="K739" s="657"/>
      <c r="L739" s="652"/>
    </row>
    <row r="740" spans="1:12" ht="15.75" x14ac:dyDescent="0.25">
      <c r="A740" s="647" t="s">
        <v>961</v>
      </c>
      <c r="B740" s="654"/>
      <c r="C740" s="649"/>
      <c r="D740" s="650" t="s">
        <v>163</v>
      </c>
      <c r="E740" s="651"/>
      <c r="F740" s="653">
        <v>0.56944444444444442</v>
      </c>
      <c r="G740" s="647"/>
      <c r="H740" s="648"/>
      <c r="I740" s="649"/>
      <c r="J740" s="650"/>
      <c r="K740" s="651"/>
      <c r="L740" s="652"/>
    </row>
    <row r="741" spans="1:12" ht="15.75" x14ac:dyDescent="0.25">
      <c r="A741" s="647"/>
      <c r="B741" s="648"/>
      <c r="C741" s="649"/>
      <c r="D741" s="655" t="s">
        <v>164</v>
      </c>
      <c r="E741" s="651"/>
      <c r="F741" s="656">
        <v>0.60416666666666663</v>
      </c>
      <c r="G741" s="647"/>
      <c r="H741" s="648"/>
      <c r="I741" s="649"/>
      <c r="J741" s="650"/>
      <c r="K741" s="651"/>
      <c r="L741" s="652"/>
    </row>
    <row r="742" spans="1:12" ht="15.75" x14ac:dyDescent="0.25">
      <c r="A742" s="647"/>
      <c r="B742" s="648"/>
      <c r="C742" s="649"/>
      <c r="D742" s="655" t="s">
        <v>166</v>
      </c>
      <c r="E742" s="651"/>
      <c r="F742" s="656">
        <v>0.61805555555555558</v>
      </c>
      <c r="G742" s="647"/>
      <c r="H742" s="648"/>
      <c r="I742" s="649"/>
      <c r="J742" s="650"/>
      <c r="K742" s="651"/>
      <c r="L742" s="652"/>
    </row>
    <row r="743" spans="1:12" ht="15.75" x14ac:dyDescent="0.25">
      <c r="A743" s="647" t="s">
        <v>958</v>
      </c>
      <c r="B743" s="648"/>
      <c r="C743" s="649"/>
      <c r="D743" s="650" t="s">
        <v>160</v>
      </c>
      <c r="E743" s="657">
        <v>0.66666666666666663</v>
      </c>
      <c r="F743" s="653"/>
      <c r="G743" s="647"/>
      <c r="H743" s="648"/>
      <c r="I743" s="649"/>
      <c r="J743" s="650"/>
      <c r="K743" s="651"/>
      <c r="L743" s="652"/>
    </row>
    <row r="744" spans="1:12" ht="15.75" x14ac:dyDescent="0.25">
      <c r="A744" s="647"/>
      <c r="B744" s="648"/>
      <c r="C744" s="649"/>
      <c r="D744" s="650" t="s">
        <v>963</v>
      </c>
      <c r="E744" s="657">
        <v>0.69791666666666663</v>
      </c>
      <c r="F744" s="656"/>
      <c r="G744" s="647"/>
      <c r="H744" s="648"/>
      <c r="I744" s="649"/>
      <c r="J744" s="650"/>
      <c r="K744" s="651"/>
      <c r="L744" s="652"/>
    </row>
    <row r="745" spans="1:12" ht="15.75" x14ac:dyDescent="0.25">
      <c r="A745" s="647"/>
      <c r="B745" s="648" t="s">
        <v>459</v>
      </c>
      <c r="C745" s="649">
        <v>32</v>
      </c>
      <c r="D745" s="650" t="s">
        <v>1389</v>
      </c>
      <c r="E745" s="657"/>
      <c r="F745" s="653"/>
      <c r="G745" s="647"/>
      <c r="H745" s="648"/>
      <c r="I745" s="649"/>
      <c r="J745" s="650"/>
      <c r="K745" s="651"/>
      <c r="L745" s="652"/>
    </row>
    <row r="746" spans="1:12" ht="15.75" x14ac:dyDescent="0.25">
      <c r="A746" s="647"/>
      <c r="B746" s="648"/>
      <c r="C746" s="649"/>
      <c r="D746" s="650"/>
      <c r="E746" s="651"/>
      <c r="F746" s="658"/>
      <c r="G746" s="647"/>
      <c r="H746" s="648"/>
      <c r="I746" s="649"/>
      <c r="J746" s="650"/>
      <c r="K746" s="651"/>
      <c r="L746" s="652"/>
    </row>
    <row r="747" spans="1:12" ht="15.75" x14ac:dyDescent="0.25">
      <c r="A747" s="647"/>
      <c r="B747" s="648" t="s">
        <v>459</v>
      </c>
      <c r="C747" s="649">
        <v>75</v>
      </c>
      <c r="D747" s="650" t="s">
        <v>1390</v>
      </c>
      <c r="E747" s="651"/>
      <c r="F747" s="652"/>
      <c r="G747" s="647"/>
      <c r="H747" s="648"/>
      <c r="I747" s="649"/>
      <c r="J747" s="650"/>
      <c r="K747" s="651"/>
      <c r="L747" s="658"/>
    </row>
    <row r="748" spans="1:12" ht="15.75" x14ac:dyDescent="0.25">
      <c r="A748" s="647" t="s">
        <v>958</v>
      </c>
      <c r="B748" s="654"/>
      <c r="C748" s="649"/>
      <c r="D748" s="655" t="s">
        <v>959</v>
      </c>
      <c r="E748" s="651"/>
      <c r="F748" s="656">
        <v>0.90625</v>
      </c>
      <c r="G748" s="647"/>
      <c r="H748" s="648"/>
      <c r="I748" s="649"/>
      <c r="J748" s="655"/>
      <c r="K748" s="657"/>
      <c r="L748" s="653"/>
    </row>
    <row r="749" spans="1:12" ht="15.75" x14ac:dyDescent="0.25">
      <c r="A749" s="647" t="s">
        <v>961</v>
      </c>
      <c r="B749" s="648"/>
      <c r="C749" s="649"/>
      <c r="D749" s="650" t="s">
        <v>160</v>
      </c>
      <c r="E749" s="651"/>
      <c r="F749" s="653">
        <v>0.94097222222222221</v>
      </c>
      <c r="G749" s="647"/>
      <c r="H749" s="648"/>
      <c r="I749" s="649"/>
      <c r="J749" s="650"/>
      <c r="K749" s="657"/>
      <c r="L749" s="652"/>
    </row>
    <row r="750" spans="1:12" ht="15.75" x14ac:dyDescent="0.25">
      <c r="A750" s="647"/>
      <c r="B750" s="648"/>
      <c r="C750" s="649"/>
      <c r="D750" s="655" t="s">
        <v>962</v>
      </c>
      <c r="E750" s="651"/>
      <c r="F750" s="656">
        <v>0.94791666666666663</v>
      </c>
      <c r="G750" s="647"/>
      <c r="H750" s="648"/>
      <c r="I750" s="649"/>
      <c r="J750" s="650"/>
      <c r="K750" s="651"/>
      <c r="L750" s="652"/>
    </row>
    <row r="751" spans="1:12" ht="15.75" x14ac:dyDescent="0.25">
      <c r="A751" s="647"/>
      <c r="B751" s="654"/>
      <c r="C751" s="649"/>
      <c r="D751" s="655" t="s">
        <v>960</v>
      </c>
      <c r="E751" s="651"/>
      <c r="F751" s="656">
        <v>0.97569444444444442</v>
      </c>
      <c r="G751" s="647"/>
      <c r="H751" s="648"/>
      <c r="I751" s="649"/>
      <c r="J751" s="650"/>
      <c r="K751" s="651"/>
      <c r="L751" s="652"/>
    </row>
    <row r="752" spans="1:12" ht="15.75" x14ac:dyDescent="0.25">
      <c r="A752" s="647" t="s">
        <v>961</v>
      </c>
      <c r="B752" s="654"/>
      <c r="C752" s="649"/>
      <c r="D752" s="650" t="s">
        <v>163</v>
      </c>
      <c r="E752" s="651"/>
      <c r="F752" s="653">
        <v>1.0208333333333333</v>
      </c>
      <c r="G752" s="647"/>
      <c r="H752" s="648"/>
      <c r="I752" s="649"/>
      <c r="J752" s="650"/>
      <c r="K752" s="651"/>
      <c r="L752" s="652"/>
    </row>
    <row r="753" spans="1:12" ht="15.75" x14ac:dyDescent="0.25">
      <c r="A753" s="647"/>
      <c r="B753" s="648"/>
      <c r="C753" s="649"/>
      <c r="D753" s="655" t="s">
        <v>164</v>
      </c>
      <c r="E753" s="651"/>
      <c r="F753" s="656">
        <v>4.1666666666666664E-2</v>
      </c>
      <c r="G753" s="647"/>
      <c r="H753" s="648"/>
      <c r="I753" s="649"/>
      <c r="J753" s="650"/>
      <c r="K753" s="651"/>
      <c r="L753" s="652"/>
    </row>
    <row r="754" spans="1:12" ht="15.75" x14ac:dyDescent="0.25">
      <c r="A754" s="647"/>
      <c r="B754" s="648"/>
      <c r="C754" s="649"/>
      <c r="D754" s="655" t="s">
        <v>166</v>
      </c>
      <c r="E754" s="657">
        <v>5.2083333333333336E-2</v>
      </c>
      <c r="F754" s="656"/>
      <c r="G754" s="647"/>
      <c r="H754" s="648"/>
      <c r="I754" s="649"/>
      <c r="J754" s="650"/>
      <c r="K754" s="651"/>
      <c r="L754" s="652"/>
    </row>
    <row r="755" spans="1:12" ht="15.75" x14ac:dyDescent="0.25">
      <c r="A755" s="647"/>
      <c r="B755" s="648" t="s">
        <v>459</v>
      </c>
      <c r="C755" s="649">
        <v>75</v>
      </c>
      <c r="D755" s="650" t="s">
        <v>1391</v>
      </c>
      <c r="E755" s="651"/>
      <c r="F755" s="658"/>
      <c r="G755" s="647"/>
      <c r="H755" s="648"/>
      <c r="I755" s="649"/>
      <c r="J755" s="650"/>
      <c r="K755" s="651"/>
      <c r="L755" s="652"/>
    </row>
    <row r="756" spans="1:12" ht="15.75" x14ac:dyDescent="0.25">
      <c r="A756" s="647"/>
      <c r="B756" s="648"/>
      <c r="C756" s="649"/>
      <c r="D756" s="650"/>
      <c r="E756" s="651"/>
      <c r="F756" s="658"/>
      <c r="G756" s="647"/>
      <c r="H756" s="648"/>
      <c r="I756" s="649"/>
      <c r="J756" s="650"/>
      <c r="K756" s="651"/>
      <c r="L756" s="652"/>
    </row>
    <row r="757" spans="1:12" ht="15.75" x14ac:dyDescent="0.25">
      <c r="A757" s="647"/>
      <c r="B757" s="648"/>
      <c r="C757" s="649"/>
      <c r="D757" s="650"/>
      <c r="E757" s="657"/>
      <c r="F757" s="658"/>
      <c r="G757" s="647"/>
      <c r="H757" s="648"/>
      <c r="I757" s="649"/>
      <c r="J757" s="650"/>
      <c r="K757" s="651"/>
      <c r="L757" s="658"/>
    </row>
    <row r="758" spans="1:12" ht="15.75" x14ac:dyDescent="0.25">
      <c r="A758" s="647"/>
      <c r="B758" s="648"/>
      <c r="C758" s="649"/>
      <c r="D758" s="655"/>
      <c r="E758" s="657"/>
      <c r="F758" s="653"/>
      <c r="G758" s="647"/>
      <c r="H758" s="648"/>
      <c r="I758" s="649"/>
      <c r="J758" s="655"/>
      <c r="K758" s="651"/>
      <c r="L758" s="658"/>
    </row>
    <row r="759" spans="1:12" ht="15.75" x14ac:dyDescent="0.25">
      <c r="A759" s="647"/>
      <c r="B759" s="648"/>
      <c r="C759" s="649"/>
      <c r="D759" s="650"/>
      <c r="E759" s="651"/>
      <c r="F759" s="652"/>
      <c r="G759" s="647"/>
      <c r="H759" s="648"/>
      <c r="I759" s="649"/>
      <c r="J759" s="650"/>
      <c r="K759" s="651"/>
      <c r="L759" s="658"/>
    </row>
    <row r="760" spans="1:12" ht="16.5" thickBot="1" x14ac:dyDescent="0.3">
      <c r="A760" s="659"/>
      <c r="B760" s="660"/>
      <c r="C760" s="661"/>
      <c r="D760" s="662"/>
      <c r="E760" s="663"/>
      <c r="F760" s="664"/>
      <c r="G760" s="665"/>
      <c r="H760" s="666"/>
      <c r="I760" s="667"/>
      <c r="J760" s="668"/>
      <c r="K760" s="663"/>
      <c r="L760" s="669"/>
    </row>
    <row r="761" spans="1:12" ht="21" x14ac:dyDescent="0.35">
      <c r="A761" s="781" t="s">
        <v>945</v>
      </c>
      <c r="B761" s="782"/>
      <c r="C761" s="782"/>
      <c r="D761" s="782"/>
      <c r="E761" s="782"/>
      <c r="F761" s="782"/>
      <c r="G761" s="782"/>
      <c r="H761" s="782"/>
      <c r="I761" s="782"/>
      <c r="J761" s="782"/>
      <c r="K761" s="782"/>
      <c r="L761" s="783"/>
    </row>
    <row r="762" spans="1:12" ht="18.75" x14ac:dyDescent="0.3">
      <c r="A762" s="784" t="s">
        <v>946</v>
      </c>
      <c r="B762" s="785"/>
      <c r="C762" s="785"/>
      <c r="D762" s="785"/>
      <c r="E762" s="785"/>
      <c r="F762" s="785"/>
      <c r="G762" s="785"/>
      <c r="H762" s="785"/>
      <c r="I762" s="785"/>
      <c r="J762" s="785"/>
      <c r="K762" s="785"/>
      <c r="L762" s="786"/>
    </row>
    <row r="763" spans="1:12" ht="24" x14ac:dyDescent="0.4">
      <c r="A763" s="787" t="s">
        <v>947</v>
      </c>
      <c r="B763" s="788"/>
      <c r="C763" s="788"/>
      <c r="D763" s="788"/>
      <c r="E763" s="788"/>
      <c r="F763" s="788"/>
      <c r="G763" s="788"/>
      <c r="H763" s="788"/>
      <c r="I763" s="788"/>
      <c r="J763" s="788"/>
      <c r="K763" s="788"/>
      <c r="L763" s="789"/>
    </row>
    <row r="764" spans="1:12" ht="24" x14ac:dyDescent="0.4">
      <c r="A764" s="623" t="s">
        <v>1279</v>
      </c>
      <c r="B764" s="624"/>
      <c r="C764" s="624"/>
      <c r="D764" s="625" t="s">
        <v>949</v>
      </c>
      <c r="E764" s="790" t="s">
        <v>683</v>
      </c>
      <c r="F764" s="790"/>
      <c r="G764" s="790"/>
      <c r="H764" s="790"/>
      <c r="I764" s="790"/>
      <c r="J764" s="626" t="s">
        <v>1104</v>
      </c>
      <c r="K764" s="790"/>
      <c r="L764" s="791"/>
    </row>
    <row r="765" spans="1:12" ht="15.75" thickBot="1" x14ac:dyDescent="0.3">
      <c r="A765" s="627"/>
      <c r="B765" s="628"/>
      <c r="C765" s="628"/>
      <c r="D765" s="629"/>
      <c r="E765" s="628"/>
      <c r="F765" s="628"/>
      <c r="G765" s="628"/>
      <c r="H765" s="628"/>
      <c r="I765" s="792"/>
      <c r="J765" s="792"/>
      <c r="K765" s="628"/>
      <c r="L765" s="630"/>
    </row>
    <row r="766" spans="1:12" ht="16.5" thickBot="1" x14ac:dyDescent="0.3">
      <c r="A766" s="631" t="s">
        <v>952</v>
      </c>
      <c r="B766" s="632"/>
      <c r="C766" s="633"/>
      <c r="D766" s="634" t="s">
        <v>953</v>
      </c>
      <c r="E766" s="631" t="s">
        <v>954</v>
      </c>
      <c r="F766" s="635" t="s">
        <v>955</v>
      </c>
      <c r="G766" s="631" t="s">
        <v>952</v>
      </c>
      <c r="H766" s="632"/>
      <c r="I766" s="633"/>
      <c r="J766" s="634" t="s">
        <v>953</v>
      </c>
      <c r="K766" s="631" t="s">
        <v>954</v>
      </c>
      <c r="L766" s="631" t="s">
        <v>955</v>
      </c>
    </row>
    <row r="767" spans="1:12" ht="15.75" x14ac:dyDescent="0.25">
      <c r="A767" s="636"/>
      <c r="B767" s="637"/>
      <c r="C767" s="638"/>
      <c r="D767" s="639"/>
      <c r="E767" s="640"/>
      <c r="F767" s="641"/>
      <c r="G767" s="636"/>
      <c r="H767" s="642"/>
      <c r="I767" s="643"/>
      <c r="J767" s="644"/>
      <c r="K767" s="645"/>
      <c r="L767" s="646"/>
    </row>
    <row r="768" spans="1:12" ht="15.75" x14ac:dyDescent="0.25">
      <c r="A768" s="647"/>
      <c r="B768" s="648" t="s">
        <v>459</v>
      </c>
      <c r="C768" s="649">
        <v>201</v>
      </c>
      <c r="D768" s="650" t="s">
        <v>1392</v>
      </c>
      <c r="E768" s="651"/>
      <c r="F768" s="652"/>
      <c r="G768" s="647"/>
      <c r="H768" s="648"/>
      <c r="I768" s="649"/>
      <c r="J768" s="650"/>
      <c r="K768" s="651"/>
      <c r="L768" s="653"/>
    </row>
    <row r="769" spans="1:12" ht="15.75" x14ac:dyDescent="0.25">
      <c r="A769" s="647" t="s">
        <v>958</v>
      </c>
      <c r="B769" s="654"/>
      <c r="C769" s="649"/>
      <c r="D769" s="655" t="s">
        <v>959</v>
      </c>
      <c r="E769" s="651"/>
      <c r="F769" s="656">
        <v>0.36805555555555558</v>
      </c>
      <c r="G769" s="647"/>
      <c r="H769" s="648"/>
      <c r="I769" s="649"/>
      <c r="J769" s="655"/>
      <c r="K769" s="651"/>
      <c r="L769" s="656"/>
    </row>
    <row r="770" spans="1:12" ht="15.75" x14ac:dyDescent="0.25">
      <c r="A770" s="647" t="s">
        <v>961</v>
      </c>
      <c r="B770" s="648"/>
      <c r="C770" s="649"/>
      <c r="D770" s="650" t="s">
        <v>160</v>
      </c>
      <c r="E770" s="651"/>
      <c r="F770" s="653">
        <v>0.40277777777777779</v>
      </c>
      <c r="G770" s="647"/>
      <c r="H770" s="648"/>
      <c r="I770" s="649"/>
      <c r="J770" s="650"/>
      <c r="K770" s="651"/>
      <c r="L770" s="653"/>
    </row>
    <row r="771" spans="1:12" ht="15.75" x14ac:dyDescent="0.25">
      <c r="A771" s="647"/>
      <c r="B771" s="648"/>
      <c r="C771" s="649"/>
      <c r="D771" s="655" t="s">
        <v>962</v>
      </c>
      <c r="E771" s="651"/>
      <c r="F771" s="656">
        <v>0.40972222222222221</v>
      </c>
      <c r="G771" s="647"/>
      <c r="H771" s="648"/>
      <c r="I771" s="649"/>
      <c r="J771" s="655"/>
      <c r="K771" s="651"/>
      <c r="L771" s="656"/>
    </row>
    <row r="772" spans="1:12" ht="15.75" x14ac:dyDescent="0.25">
      <c r="A772" s="647"/>
      <c r="B772" s="654"/>
      <c r="C772" s="649"/>
      <c r="D772" s="655" t="s">
        <v>960</v>
      </c>
      <c r="E772" s="651"/>
      <c r="F772" s="656">
        <v>0.44097222222222221</v>
      </c>
      <c r="G772" s="647"/>
      <c r="H772" s="654"/>
      <c r="I772" s="649"/>
      <c r="J772" s="655"/>
      <c r="K772" s="651"/>
      <c r="L772" s="656"/>
    </row>
    <row r="773" spans="1:12" ht="15.75" x14ac:dyDescent="0.25">
      <c r="A773" s="647" t="s">
        <v>961</v>
      </c>
      <c r="B773" s="654"/>
      <c r="C773" s="649"/>
      <c r="D773" s="650" t="s">
        <v>163</v>
      </c>
      <c r="E773" s="651"/>
      <c r="F773" s="653">
        <v>0.49652777777777779</v>
      </c>
      <c r="G773" s="647"/>
      <c r="H773" s="654"/>
      <c r="I773" s="649"/>
      <c r="J773" s="650"/>
      <c r="K773" s="651"/>
      <c r="L773" s="653"/>
    </row>
    <row r="774" spans="1:12" ht="15.75" x14ac:dyDescent="0.25">
      <c r="A774" s="647"/>
      <c r="B774" s="648"/>
      <c r="C774" s="649"/>
      <c r="D774" s="655" t="s">
        <v>164</v>
      </c>
      <c r="E774" s="651"/>
      <c r="F774" s="656">
        <v>0.52777777777777779</v>
      </c>
      <c r="G774" s="647"/>
      <c r="H774" s="648"/>
      <c r="I774" s="649"/>
      <c r="J774" s="655"/>
      <c r="K774" s="651"/>
      <c r="L774" s="656"/>
    </row>
    <row r="775" spans="1:12" ht="15.75" x14ac:dyDescent="0.25">
      <c r="A775" s="647"/>
      <c r="B775" s="648"/>
      <c r="C775" s="649"/>
      <c r="D775" s="655" t="s">
        <v>166</v>
      </c>
      <c r="E775" s="657">
        <v>0.54166666666666663</v>
      </c>
      <c r="F775" s="656"/>
      <c r="G775" s="647"/>
      <c r="H775" s="648"/>
      <c r="I775" s="649"/>
      <c r="J775" s="655"/>
      <c r="K775" s="657"/>
      <c r="L775" s="656"/>
    </row>
    <row r="776" spans="1:12" ht="15.75" x14ac:dyDescent="0.25">
      <c r="A776" s="647"/>
      <c r="B776" s="648" t="s">
        <v>459</v>
      </c>
      <c r="C776" s="649">
        <v>201</v>
      </c>
      <c r="D776" s="650" t="s">
        <v>1393</v>
      </c>
      <c r="E776" s="651"/>
      <c r="F776" s="658"/>
      <c r="G776" s="647"/>
      <c r="H776" s="648"/>
      <c r="I776" s="649"/>
      <c r="J776" s="650"/>
      <c r="K776" s="651"/>
      <c r="L776" s="658"/>
    </row>
    <row r="777" spans="1:12" ht="15.75" x14ac:dyDescent="0.25">
      <c r="A777" s="647"/>
      <c r="B777" s="648"/>
      <c r="C777" s="649"/>
      <c r="D777" s="650"/>
      <c r="E777" s="651"/>
      <c r="F777" s="656"/>
      <c r="G777" s="647"/>
      <c r="H777" s="648"/>
      <c r="I777" s="649"/>
      <c r="J777" s="650"/>
      <c r="K777" s="651"/>
      <c r="L777" s="656"/>
    </row>
    <row r="778" spans="1:12" ht="15.75" x14ac:dyDescent="0.25">
      <c r="A778" s="647"/>
      <c r="B778" s="648" t="s">
        <v>459</v>
      </c>
      <c r="C778" s="649">
        <v>36</v>
      </c>
      <c r="D778" s="650" t="s">
        <v>1394</v>
      </c>
      <c r="E778" s="651"/>
      <c r="F778" s="653"/>
      <c r="G778" s="647"/>
      <c r="H778" s="648"/>
      <c r="I778" s="649"/>
      <c r="J778" s="650"/>
      <c r="K778" s="651"/>
      <c r="L778" s="653"/>
    </row>
    <row r="779" spans="1:12" ht="15.75" x14ac:dyDescent="0.25">
      <c r="A779" s="647"/>
      <c r="B779" s="648"/>
      <c r="C779" s="649"/>
      <c r="D779" s="655" t="s">
        <v>166</v>
      </c>
      <c r="E779" s="651"/>
      <c r="F779" s="656">
        <v>0.54166666666666663</v>
      </c>
      <c r="G779" s="647"/>
      <c r="H779" s="648"/>
      <c r="I779" s="649"/>
      <c r="J779" s="655"/>
      <c r="K779" s="651"/>
      <c r="L779" s="656"/>
    </row>
    <row r="780" spans="1:12" ht="15.75" x14ac:dyDescent="0.25">
      <c r="A780" s="647" t="s">
        <v>961</v>
      </c>
      <c r="B780" s="648"/>
      <c r="C780" s="649"/>
      <c r="D780" s="650" t="s">
        <v>160</v>
      </c>
      <c r="E780" s="651"/>
      <c r="F780" s="653">
        <v>0.59375</v>
      </c>
      <c r="G780" s="647"/>
      <c r="H780" s="648"/>
      <c r="I780" s="649"/>
      <c r="J780" s="650"/>
      <c r="K780" s="651"/>
      <c r="L780" s="653"/>
    </row>
    <row r="781" spans="1:12" ht="15.75" x14ac:dyDescent="0.25">
      <c r="A781" s="647"/>
      <c r="B781" s="648"/>
      <c r="C781" s="649"/>
      <c r="D781" s="655" t="s">
        <v>962</v>
      </c>
      <c r="E781" s="651"/>
      <c r="F781" s="656">
        <v>0.60416666666666663</v>
      </c>
      <c r="G781" s="647"/>
      <c r="H781" s="648"/>
      <c r="I781" s="649"/>
      <c r="J781" s="655"/>
      <c r="K781" s="651"/>
      <c r="L781" s="656"/>
    </row>
    <row r="782" spans="1:12" ht="15.75" x14ac:dyDescent="0.25">
      <c r="A782" s="647"/>
      <c r="B782" s="654"/>
      <c r="C782" s="649"/>
      <c r="D782" s="655" t="s">
        <v>960</v>
      </c>
      <c r="E782" s="651"/>
      <c r="F782" s="656">
        <v>0.63194444444444442</v>
      </c>
      <c r="G782" s="647"/>
      <c r="H782" s="654"/>
      <c r="I782" s="649"/>
      <c r="J782" s="655"/>
      <c r="K782" s="651"/>
      <c r="L782" s="656"/>
    </row>
    <row r="783" spans="1:12" ht="15.75" x14ac:dyDescent="0.25">
      <c r="A783" s="647" t="s">
        <v>961</v>
      </c>
      <c r="B783" s="654"/>
      <c r="C783" s="649"/>
      <c r="D783" s="650" t="s">
        <v>163</v>
      </c>
      <c r="E783" s="651"/>
      <c r="F783" s="653">
        <v>0.68402777777777779</v>
      </c>
      <c r="G783" s="647"/>
      <c r="H783" s="654"/>
      <c r="I783" s="649"/>
      <c r="J783" s="650"/>
      <c r="K783" s="657"/>
      <c r="L783" s="653"/>
    </row>
    <row r="784" spans="1:12" ht="15.75" x14ac:dyDescent="0.25">
      <c r="A784" s="647"/>
      <c r="B784" s="648"/>
      <c r="C784" s="649"/>
      <c r="D784" s="655" t="s">
        <v>164</v>
      </c>
      <c r="E784" s="651"/>
      <c r="F784" s="656">
        <v>0.71527777777777779</v>
      </c>
      <c r="G784" s="647"/>
      <c r="H784" s="648"/>
      <c r="I784" s="649"/>
      <c r="J784" s="650"/>
      <c r="K784" s="657"/>
      <c r="L784" s="656"/>
    </row>
    <row r="785" spans="1:12" ht="15.75" x14ac:dyDescent="0.25">
      <c r="A785" s="647"/>
      <c r="B785" s="648"/>
      <c r="C785" s="649"/>
      <c r="D785" s="655" t="s">
        <v>166</v>
      </c>
      <c r="E785" s="657">
        <v>0.72916666666666663</v>
      </c>
      <c r="F785" s="656"/>
      <c r="G785" s="647"/>
      <c r="H785" s="648"/>
      <c r="I785" s="649"/>
      <c r="J785" s="650"/>
      <c r="K785" s="657"/>
      <c r="L785" s="653"/>
    </row>
    <row r="786" spans="1:12" ht="15.75" x14ac:dyDescent="0.25">
      <c r="A786" s="647"/>
      <c r="B786" s="648" t="s">
        <v>459</v>
      </c>
      <c r="C786" s="649">
        <v>36</v>
      </c>
      <c r="D786" s="650" t="s">
        <v>1395</v>
      </c>
      <c r="E786" s="651"/>
      <c r="F786" s="658"/>
      <c r="G786" s="647"/>
      <c r="H786" s="648"/>
      <c r="I786" s="649"/>
      <c r="J786" s="650"/>
      <c r="K786" s="657"/>
      <c r="L786" s="653"/>
    </row>
    <row r="787" spans="1:12" ht="15.75" x14ac:dyDescent="0.25">
      <c r="A787" s="647"/>
      <c r="B787" s="648"/>
      <c r="C787" s="649"/>
      <c r="D787" s="650"/>
      <c r="E787" s="657"/>
      <c r="F787" s="653"/>
      <c r="G787" s="647"/>
      <c r="H787" s="648"/>
      <c r="I787" s="649"/>
      <c r="J787" s="650"/>
      <c r="K787" s="657"/>
      <c r="L787" s="653"/>
    </row>
    <row r="788" spans="1:12" ht="15.75" x14ac:dyDescent="0.25">
      <c r="A788" s="647"/>
      <c r="B788" s="648" t="s">
        <v>459</v>
      </c>
      <c r="C788" s="649">
        <v>25</v>
      </c>
      <c r="D788" s="650" t="s">
        <v>1175</v>
      </c>
      <c r="E788" s="651"/>
      <c r="F788" s="653"/>
      <c r="G788" s="647"/>
      <c r="H788" s="648"/>
      <c r="I788" s="649"/>
      <c r="J788" s="650"/>
      <c r="K788" s="657"/>
      <c r="L788" s="653"/>
    </row>
    <row r="789" spans="1:12" ht="15.75" x14ac:dyDescent="0.25">
      <c r="A789" s="647"/>
      <c r="B789" s="648"/>
      <c r="C789" s="649"/>
      <c r="D789" s="655" t="s">
        <v>166</v>
      </c>
      <c r="E789" s="651"/>
      <c r="F789" s="656">
        <v>0.72916666666666663</v>
      </c>
      <c r="G789" s="647"/>
      <c r="H789" s="648"/>
      <c r="I789" s="649"/>
      <c r="J789" s="650"/>
      <c r="K789" s="657"/>
      <c r="L789" s="652"/>
    </row>
    <row r="790" spans="1:12" ht="15.75" x14ac:dyDescent="0.25">
      <c r="A790" s="647" t="s">
        <v>961</v>
      </c>
      <c r="B790" s="648"/>
      <c r="C790" s="649"/>
      <c r="D790" s="650" t="s">
        <v>160</v>
      </c>
      <c r="E790" s="651"/>
      <c r="F790" s="653">
        <v>0.77083333333333337</v>
      </c>
      <c r="G790" s="647"/>
      <c r="H790" s="648"/>
      <c r="I790" s="649"/>
      <c r="J790" s="650"/>
      <c r="K790" s="651"/>
      <c r="L790" s="652"/>
    </row>
    <row r="791" spans="1:12" ht="15.75" x14ac:dyDescent="0.25">
      <c r="A791" s="647"/>
      <c r="B791" s="648"/>
      <c r="C791" s="649"/>
      <c r="D791" s="655" t="s">
        <v>962</v>
      </c>
      <c r="E791" s="651"/>
      <c r="F791" s="656">
        <v>0.77777777777777779</v>
      </c>
      <c r="G791" s="647"/>
      <c r="H791" s="648"/>
      <c r="I791" s="649"/>
      <c r="J791" s="650"/>
      <c r="K791" s="651"/>
      <c r="L791" s="652"/>
    </row>
    <row r="792" spans="1:12" ht="15.75" x14ac:dyDescent="0.25">
      <c r="A792" s="647"/>
      <c r="B792" s="654"/>
      <c r="C792" s="649"/>
      <c r="D792" s="655" t="s">
        <v>960</v>
      </c>
      <c r="E792" s="651"/>
      <c r="F792" s="656">
        <v>0.80555555555555558</v>
      </c>
      <c r="G792" s="647"/>
      <c r="H792" s="648"/>
      <c r="I792" s="649"/>
      <c r="J792" s="650"/>
      <c r="K792" s="651"/>
      <c r="L792" s="652"/>
    </row>
    <row r="793" spans="1:12" ht="15.75" x14ac:dyDescent="0.25">
      <c r="A793" s="647" t="s">
        <v>958</v>
      </c>
      <c r="B793" s="654"/>
      <c r="C793" s="649"/>
      <c r="D793" s="650" t="s">
        <v>163</v>
      </c>
      <c r="E793" s="657">
        <v>0.84722222222222221</v>
      </c>
      <c r="F793" s="653"/>
      <c r="G793" s="647"/>
      <c r="H793" s="648"/>
      <c r="I793" s="649"/>
      <c r="J793" s="650"/>
      <c r="K793" s="651"/>
      <c r="L793" s="652"/>
    </row>
    <row r="794" spans="1:12" ht="15.75" x14ac:dyDescent="0.25">
      <c r="A794" s="647"/>
      <c r="B794" s="648"/>
      <c r="C794" s="649"/>
      <c r="D794" s="650" t="s">
        <v>963</v>
      </c>
      <c r="E794" s="657">
        <v>0.87152777777777779</v>
      </c>
      <c r="F794" s="656"/>
      <c r="G794" s="647"/>
      <c r="H794" s="648"/>
      <c r="I794" s="649"/>
      <c r="J794" s="650"/>
      <c r="K794" s="651"/>
      <c r="L794" s="652"/>
    </row>
    <row r="795" spans="1:12" ht="15.75" x14ac:dyDescent="0.25">
      <c r="A795" s="647"/>
      <c r="B795" s="648" t="s">
        <v>462</v>
      </c>
      <c r="C795" s="649" t="s">
        <v>459</v>
      </c>
      <c r="D795" s="650"/>
      <c r="E795" s="657"/>
      <c r="F795" s="653"/>
      <c r="G795" s="647"/>
      <c r="H795" s="648"/>
      <c r="I795" s="649"/>
      <c r="J795" s="650"/>
      <c r="K795" s="651"/>
      <c r="L795" s="652"/>
    </row>
    <row r="796" spans="1:12" ht="15.75" x14ac:dyDescent="0.25">
      <c r="A796" s="647"/>
      <c r="B796" s="648"/>
      <c r="C796" s="649"/>
      <c r="D796" s="650"/>
      <c r="E796" s="651"/>
      <c r="F796" s="658"/>
      <c r="G796" s="647"/>
      <c r="H796" s="648"/>
      <c r="I796" s="649"/>
      <c r="J796" s="650"/>
      <c r="K796" s="651"/>
      <c r="L796" s="652"/>
    </row>
    <row r="797" spans="1:12" ht="15.75" x14ac:dyDescent="0.25">
      <c r="A797" s="647"/>
      <c r="B797" s="654"/>
      <c r="C797" s="649"/>
      <c r="D797" s="650"/>
      <c r="E797" s="657"/>
      <c r="F797" s="653"/>
      <c r="G797" s="647"/>
      <c r="H797" s="648"/>
      <c r="I797" s="649"/>
      <c r="J797" s="650"/>
      <c r="K797" s="651"/>
      <c r="L797" s="658"/>
    </row>
    <row r="798" spans="1:12" ht="15.75" x14ac:dyDescent="0.25">
      <c r="A798" s="647"/>
      <c r="B798" s="648"/>
      <c r="C798" s="649"/>
      <c r="D798" s="650"/>
      <c r="E798" s="657"/>
      <c r="F798" s="653"/>
      <c r="G798" s="647"/>
      <c r="H798" s="648"/>
      <c r="I798" s="649"/>
      <c r="J798" s="655"/>
      <c r="K798" s="651"/>
      <c r="L798" s="658"/>
    </row>
    <row r="799" spans="1:12" ht="15.75" x14ac:dyDescent="0.25">
      <c r="A799" s="647"/>
      <c r="B799" s="648"/>
      <c r="C799" s="649"/>
      <c r="D799" s="650"/>
      <c r="E799" s="657"/>
      <c r="F799" s="652"/>
      <c r="G799" s="647"/>
      <c r="H799" s="648"/>
      <c r="I799" s="649"/>
      <c r="J799" s="650"/>
      <c r="K799" s="651"/>
      <c r="L799" s="658"/>
    </row>
    <row r="800" spans="1:12" ht="16.5" thickBot="1" x14ac:dyDescent="0.3">
      <c r="A800" s="659"/>
      <c r="B800" s="660"/>
      <c r="C800" s="661"/>
      <c r="D800" s="662"/>
      <c r="E800" s="663"/>
      <c r="F800" s="664"/>
      <c r="G800" s="665"/>
      <c r="H800" s="666"/>
      <c r="I800" s="667"/>
      <c r="J800" s="668"/>
      <c r="K800" s="663"/>
      <c r="L800" s="669"/>
    </row>
    <row r="801" spans="1:12" ht="21" x14ac:dyDescent="0.35">
      <c r="A801" s="781" t="s">
        <v>945</v>
      </c>
      <c r="B801" s="782"/>
      <c r="C801" s="782"/>
      <c r="D801" s="782"/>
      <c r="E801" s="782"/>
      <c r="F801" s="782"/>
      <c r="G801" s="782"/>
      <c r="H801" s="782"/>
      <c r="I801" s="782"/>
      <c r="J801" s="782"/>
      <c r="K801" s="782"/>
      <c r="L801" s="783"/>
    </row>
    <row r="802" spans="1:12" ht="18.75" x14ac:dyDescent="0.3">
      <c r="A802" s="784" t="s">
        <v>946</v>
      </c>
      <c r="B802" s="785"/>
      <c r="C802" s="785"/>
      <c r="D802" s="785"/>
      <c r="E802" s="785"/>
      <c r="F802" s="785"/>
      <c r="G802" s="785"/>
      <c r="H802" s="785"/>
      <c r="I802" s="785"/>
      <c r="J802" s="785"/>
      <c r="K802" s="785"/>
      <c r="L802" s="786"/>
    </row>
    <row r="803" spans="1:12" ht="24" x14ac:dyDescent="0.4">
      <c r="A803" s="787" t="s">
        <v>947</v>
      </c>
      <c r="B803" s="788"/>
      <c r="C803" s="788"/>
      <c r="D803" s="788"/>
      <c r="E803" s="788"/>
      <c r="F803" s="788"/>
      <c r="G803" s="788"/>
      <c r="H803" s="788"/>
      <c r="I803" s="788"/>
      <c r="J803" s="788"/>
      <c r="K803" s="788"/>
      <c r="L803" s="789"/>
    </row>
    <row r="804" spans="1:12" ht="24" x14ac:dyDescent="0.4">
      <c r="A804" s="623" t="s">
        <v>1279</v>
      </c>
      <c r="B804" s="624"/>
      <c r="C804" s="624"/>
      <c r="D804" s="625" t="s">
        <v>949</v>
      </c>
      <c r="E804" s="790" t="s">
        <v>683</v>
      </c>
      <c r="F804" s="790"/>
      <c r="G804" s="790"/>
      <c r="H804" s="790"/>
      <c r="I804" s="790"/>
      <c r="J804" s="626" t="s">
        <v>1111</v>
      </c>
      <c r="K804" s="790"/>
      <c r="L804" s="791"/>
    </row>
    <row r="805" spans="1:12" ht="15.75" thickBot="1" x14ac:dyDescent="0.3">
      <c r="A805" s="627"/>
      <c r="B805" s="628"/>
      <c r="C805" s="628"/>
      <c r="D805" s="629"/>
      <c r="E805" s="628"/>
      <c r="F805" s="628"/>
      <c r="G805" s="628"/>
      <c r="H805" s="628"/>
      <c r="I805" s="792"/>
      <c r="J805" s="792"/>
      <c r="K805" s="628"/>
      <c r="L805" s="630"/>
    </row>
    <row r="806" spans="1:12" ht="16.5" thickBot="1" x14ac:dyDescent="0.3">
      <c r="A806" s="631" t="s">
        <v>952</v>
      </c>
      <c r="B806" s="632"/>
      <c r="C806" s="633"/>
      <c r="D806" s="634" t="s">
        <v>953</v>
      </c>
      <c r="E806" s="631" t="s">
        <v>954</v>
      </c>
      <c r="F806" s="635" t="s">
        <v>955</v>
      </c>
      <c r="G806" s="631" t="s">
        <v>952</v>
      </c>
      <c r="H806" s="632"/>
      <c r="I806" s="633"/>
      <c r="J806" s="634" t="s">
        <v>953</v>
      </c>
      <c r="K806" s="631" t="s">
        <v>954</v>
      </c>
      <c r="L806" s="631" t="s">
        <v>955</v>
      </c>
    </row>
    <row r="807" spans="1:12" ht="15.75" x14ac:dyDescent="0.25">
      <c r="A807" s="636"/>
      <c r="B807" s="637"/>
      <c r="C807" s="638"/>
      <c r="D807" s="639"/>
      <c r="E807" s="640"/>
      <c r="F807" s="641"/>
      <c r="G807" s="636"/>
      <c r="H807" s="642"/>
      <c r="I807" s="643"/>
      <c r="J807" s="644"/>
      <c r="K807" s="645"/>
      <c r="L807" s="646"/>
    </row>
    <row r="808" spans="1:12" ht="15.75" x14ac:dyDescent="0.25">
      <c r="A808" s="647"/>
      <c r="B808" s="648" t="s">
        <v>459</v>
      </c>
      <c r="C808" s="649">
        <v>203</v>
      </c>
      <c r="D808" s="650" t="s">
        <v>1396</v>
      </c>
      <c r="E808" s="651"/>
      <c r="F808" s="652"/>
      <c r="G808" s="647"/>
      <c r="H808" s="648"/>
      <c r="I808" s="649"/>
      <c r="J808" s="650"/>
      <c r="K808" s="651"/>
      <c r="L808" s="653"/>
    </row>
    <row r="809" spans="1:12" ht="15.75" x14ac:dyDescent="0.25">
      <c r="A809" s="647" t="s">
        <v>958</v>
      </c>
      <c r="B809" s="654"/>
      <c r="C809" s="649"/>
      <c r="D809" s="655" t="s">
        <v>959</v>
      </c>
      <c r="E809" s="651"/>
      <c r="F809" s="656">
        <v>0.38194444444444442</v>
      </c>
      <c r="G809" s="647"/>
      <c r="H809" s="648"/>
      <c r="I809" s="649"/>
      <c r="J809" s="655"/>
      <c r="K809" s="651"/>
      <c r="L809" s="656"/>
    </row>
    <row r="810" spans="1:12" ht="15.75" x14ac:dyDescent="0.25">
      <c r="A810" s="647" t="s">
        <v>961</v>
      </c>
      <c r="B810" s="648"/>
      <c r="C810" s="649"/>
      <c r="D810" s="650" t="s">
        <v>160</v>
      </c>
      <c r="E810" s="651"/>
      <c r="F810" s="653">
        <v>0.41666666666666669</v>
      </c>
      <c r="G810" s="647"/>
      <c r="H810" s="648"/>
      <c r="I810" s="649"/>
      <c r="J810" s="650"/>
      <c r="K810" s="651"/>
      <c r="L810" s="653"/>
    </row>
    <row r="811" spans="1:12" ht="15.75" x14ac:dyDescent="0.25">
      <c r="A811" s="647"/>
      <c r="B811" s="648"/>
      <c r="C811" s="649"/>
      <c r="D811" s="655" t="s">
        <v>962</v>
      </c>
      <c r="E811" s="651"/>
      <c r="F811" s="656">
        <v>0.4236111111111111</v>
      </c>
      <c r="G811" s="647"/>
      <c r="H811" s="648"/>
      <c r="I811" s="649"/>
      <c r="J811" s="655"/>
      <c r="K811" s="651"/>
      <c r="L811" s="656"/>
    </row>
    <row r="812" spans="1:12" ht="15.75" x14ac:dyDescent="0.25">
      <c r="A812" s="647"/>
      <c r="B812" s="654"/>
      <c r="C812" s="649"/>
      <c r="D812" s="655" t="s">
        <v>960</v>
      </c>
      <c r="E812" s="651"/>
      <c r="F812" s="656">
        <v>0.4548611111111111</v>
      </c>
      <c r="G812" s="647"/>
      <c r="H812" s="654"/>
      <c r="I812" s="649"/>
      <c r="J812" s="655"/>
      <c r="K812" s="651"/>
      <c r="L812" s="656"/>
    </row>
    <row r="813" spans="1:12" ht="15.75" x14ac:dyDescent="0.25">
      <c r="A813" s="647" t="s">
        <v>961</v>
      </c>
      <c r="B813" s="654"/>
      <c r="C813" s="649"/>
      <c r="D813" s="650" t="s">
        <v>163</v>
      </c>
      <c r="E813" s="651"/>
      <c r="F813" s="653">
        <v>0.51041666666666663</v>
      </c>
      <c r="G813" s="647"/>
      <c r="H813" s="654"/>
      <c r="I813" s="649"/>
      <c r="J813" s="650"/>
      <c r="K813" s="651"/>
      <c r="L813" s="653"/>
    </row>
    <row r="814" spans="1:12" ht="15.75" x14ac:dyDescent="0.25">
      <c r="A814" s="647"/>
      <c r="B814" s="648"/>
      <c r="C814" s="649"/>
      <c r="D814" s="655" t="s">
        <v>164</v>
      </c>
      <c r="E814" s="651"/>
      <c r="F814" s="656">
        <v>0.54166666666666663</v>
      </c>
      <c r="G814" s="647"/>
      <c r="H814" s="648"/>
      <c r="I814" s="649"/>
      <c r="J814" s="655"/>
      <c r="K814" s="651"/>
      <c r="L814" s="656"/>
    </row>
    <row r="815" spans="1:12" ht="15.75" x14ac:dyDescent="0.25">
      <c r="A815" s="647"/>
      <c r="B815" s="648"/>
      <c r="C815" s="649"/>
      <c r="D815" s="655" t="s">
        <v>166</v>
      </c>
      <c r="E815" s="657">
        <v>0.55555555555555558</v>
      </c>
      <c r="F815" s="656"/>
      <c r="G815" s="647"/>
      <c r="H815" s="648"/>
      <c r="I815" s="649"/>
      <c r="J815" s="655"/>
      <c r="K815" s="657"/>
      <c r="L815" s="656"/>
    </row>
    <row r="816" spans="1:12" ht="15.75" x14ac:dyDescent="0.25">
      <c r="A816" s="647"/>
      <c r="B816" s="648" t="s">
        <v>459</v>
      </c>
      <c r="C816" s="649">
        <v>203</v>
      </c>
      <c r="D816" s="650" t="s">
        <v>1397</v>
      </c>
      <c r="E816" s="651"/>
      <c r="F816" s="658"/>
      <c r="G816" s="647"/>
      <c r="H816" s="648"/>
      <c r="I816" s="649"/>
      <c r="J816" s="650"/>
      <c r="K816" s="651"/>
      <c r="L816" s="658"/>
    </row>
    <row r="817" spans="1:12" ht="15.75" x14ac:dyDescent="0.25">
      <c r="A817" s="647"/>
      <c r="B817" s="648"/>
      <c r="C817" s="649"/>
      <c r="D817" s="650"/>
      <c r="E817" s="651"/>
      <c r="F817" s="656"/>
      <c r="G817" s="647"/>
      <c r="H817" s="648"/>
      <c r="I817" s="649"/>
      <c r="J817" s="650"/>
      <c r="K817" s="651"/>
      <c r="L817" s="656"/>
    </row>
    <row r="818" spans="1:12" ht="15.75" x14ac:dyDescent="0.25">
      <c r="A818" s="647"/>
      <c r="B818" s="648" t="s">
        <v>459</v>
      </c>
      <c r="C818" s="649">
        <v>23</v>
      </c>
      <c r="D818" s="650" t="s">
        <v>1398</v>
      </c>
      <c r="E818" s="651"/>
      <c r="F818" s="653"/>
      <c r="G818" s="647"/>
      <c r="H818" s="648"/>
      <c r="I818" s="649"/>
      <c r="J818" s="650"/>
      <c r="K818" s="651"/>
      <c r="L818" s="653"/>
    </row>
    <row r="819" spans="1:12" ht="15.75" x14ac:dyDescent="0.25">
      <c r="A819" s="647"/>
      <c r="B819" s="648"/>
      <c r="C819" s="649"/>
      <c r="D819" s="655" t="s">
        <v>166</v>
      </c>
      <c r="E819" s="651"/>
      <c r="F819" s="656">
        <v>0.55555555555555558</v>
      </c>
      <c r="G819" s="647"/>
      <c r="H819" s="648"/>
      <c r="I819" s="649"/>
      <c r="J819" s="655"/>
      <c r="K819" s="651"/>
      <c r="L819" s="656"/>
    </row>
    <row r="820" spans="1:12" ht="15.75" x14ac:dyDescent="0.25">
      <c r="A820" s="647" t="s">
        <v>961</v>
      </c>
      <c r="B820" s="648"/>
      <c r="C820" s="649"/>
      <c r="D820" s="650" t="s">
        <v>160</v>
      </c>
      <c r="E820" s="651"/>
      <c r="F820" s="653">
        <v>0.60763888888888884</v>
      </c>
      <c r="G820" s="647"/>
      <c r="H820" s="648"/>
      <c r="I820" s="649"/>
      <c r="J820" s="650"/>
      <c r="K820" s="651"/>
      <c r="L820" s="653"/>
    </row>
    <row r="821" spans="1:12" ht="15.75" x14ac:dyDescent="0.25">
      <c r="A821" s="647"/>
      <c r="B821" s="648"/>
      <c r="C821" s="649"/>
      <c r="D821" s="655" t="s">
        <v>962</v>
      </c>
      <c r="E821" s="651"/>
      <c r="F821" s="656">
        <v>0.61805555555555558</v>
      </c>
      <c r="G821" s="647"/>
      <c r="H821" s="648"/>
      <c r="I821" s="649"/>
      <c r="J821" s="655"/>
      <c r="K821" s="651"/>
      <c r="L821" s="656"/>
    </row>
    <row r="822" spans="1:12" ht="15.75" x14ac:dyDescent="0.25">
      <c r="A822" s="647"/>
      <c r="B822" s="654"/>
      <c r="C822" s="649"/>
      <c r="D822" s="655" t="s">
        <v>960</v>
      </c>
      <c r="E822" s="651"/>
      <c r="F822" s="656">
        <v>0.64583333333333337</v>
      </c>
      <c r="G822" s="647"/>
      <c r="H822" s="654"/>
      <c r="I822" s="649"/>
      <c r="J822" s="655"/>
      <c r="K822" s="651"/>
      <c r="L822" s="656"/>
    </row>
    <row r="823" spans="1:12" ht="15.75" x14ac:dyDescent="0.25">
      <c r="A823" s="647" t="s">
        <v>961</v>
      </c>
      <c r="B823" s="654"/>
      <c r="C823" s="649"/>
      <c r="D823" s="650" t="s">
        <v>163</v>
      </c>
      <c r="E823" s="651"/>
      <c r="F823" s="653">
        <v>0.70138888888888884</v>
      </c>
      <c r="G823" s="647"/>
      <c r="H823" s="654"/>
      <c r="I823" s="649"/>
      <c r="J823" s="650"/>
      <c r="K823" s="657"/>
      <c r="L823" s="653"/>
    </row>
    <row r="824" spans="1:12" ht="15.75" x14ac:dyDescent="0.25">
      <c r="A824" s="647"/>
      <c r="B824" s="648"/>
      <c r="C824" s="649"/>
      <c r="D824" s="655" t="s">
        <v>164</v>
      </c>
      <c r="E824" s="651"/>
      <c r="F824" s="656">
        <v>0.72916666666666663</v>
      </c>
      <c r="G824" s="647"/>
      <c r="H824" s="648"/>
      <c r="I824" s="649"/>
      <c r="J824" s="650"/>
      <c r="K824" s="657"/>
      <c r="L824" s="656"/>
    </row>
    <row r="825" spans="1:12" ht="15.75" x14ac:dyDescent="0.25">
      <c r="A825" s="647"/>
      <c r="B825" s="648"/>
      <c r="C825" s="649"/>
      <c r="D825" s="655" t="s">
        <v>166</v>
      </c>
      <c r="E825" s="657">
        <v>0.74305555555555558</v>
      </c>
      <c r="F825" s="656"/>
      <c r="G825" s="647"/>
      <c r="H825" s="648"/>
      <c r="I825" s="649"/>
      <c r="J825" s="650"/>
      <c r="K825" s="657"/>
      <c r="L825" s="653"/>
    </row>
    <row r="826" spans="1:12" ht="15.75" x14ac:dyDescent="0.25">
      <c r="A826" s="647"/>
      <c r="B826" s="648" t="s">
        <v>462</v>
      </c>
      <c r="C826" s="649" t="s">
        <v>459</v>
      </c>
      <c r="D826" s="650"/>
      <c r="E826" s="651"/>
      <c r="F826" s="658"/>
      <c r="G826" s="647"/>
      <c r="H826" s="648"/>
      <c r="I826" s="649"/>
      <c r="J826" s="650"/>
      <c r="K826" s="657"/>
      <c r="L826" s="653"/>
    </row>
    <row r="827" spans="1:12" ht="15.75" x14ac:dyDescent="0.25">
      <c r="A827" s="647"/>
      <c r="B827" s="648"/>
      <c r="C827" s="649"/>
      <c r="D827" s="650"/>
      <c r="E827" s="657"/>
      <c r="F827" s="653"/>
      <c r="G827" s="647"/>
      <c r="H827" s="648"/>
      <c r="I827" s="649"/>
      <c r="J827" s="650"/>
      <c r="K827" s="657"/>
      <c r="L827" s="653"/>
    </row>
    <row r="828" spans="1:12" ht="15.75" x14ac:dyDescent="0.25">
      <c r="A828" s="647"/>
      <c r="B828" s="648" t="s">
        <v>459</v>
      </c>
      <c r="C828" s="649">
        <v>26</v>
      </c>
      <c r="D828" s="650" t="s">
        <v>1399</v>
      </c>
      <c r="E828" s="651"/>
      <c r="F828" s="653"/>
      <c r="G828" s="647"/>
      <c r="H828" s="648"/>
      <c r="I828" s="649"/>
      <c r="J828" s="650"/>
      <c r="K828" s="657"/>
      <c r="L828" s="653"/>
    </row>
    <row r="829" spans="1:12" ht="15.75" x14ac:dyDescent="0.25">
      <c r="A829" s="647"/>
      <c r="B829" s="648"/>
      <c r="C829" s="649"/>
      <c r="D829" s="655" t="s">
        <v>166</v>
      </c>
      <c r="E829" s="651"/>
      <c r="F829" s="656">
        <v>0.74305555555555558</v>
      </c>
      <c r="G829" s="647"/>
      <c r="H829" s="648"/>
      <c r="I829" s="649"/>
      <c r="J829" s="650"/>
      <c r="K829" s="657"/>
      <c r="L829" s="652"/>
    </row>
    <row r="830" spans="1:12" ht="15.75" x14ac:dyDescent="0.25">
      <c r="A830" s="647" t="s">
        <v>958</v>
      </c>
      <c r="B830" s="648"/>
      <c r="C830" s="649"/>
      <c r="D830" s="650" t="s">
        <v>160</v>
      </c>
      <c r="E830" s="657">
        <v>0.79513888888888884</v>
      </c>
      <c r="F830" s="653"/>
      <c r="G830" s="647"/>
      <c r="H830" s="648"/>
      <c r="I830" s="649"/>
      <c r="J830" s="650"/>
      <c r="K830" s="651"/>
      <c r="L830" s="652"/>
    </row>
    <row r="831" spans="1:12" ht="15.75" x14ac:dyDescent="0.25">
      <c r="A831" s="647"/>
      <c r="B831" s="648"/>
      <c r="C831" s="649"/>
      <c r="D831" s="650" t="s">
        <v>963</v>
      </c>
      <c r="E831" s="657">
        <v>0.83333333333333337</v>
      </c>
      <c r="F831" s="656"/>
      <c r="G831" s="647"/>
      <c r="H831" s="648"/>
      <c r="I831" s="649"/>
      <c r="J831" s="650"/>
      <c r="K831" s="651"/>
      <c r="L831" s="652"/>
    </row>
    <row r="832" spans="1:12" ht="15.75" x14ac:dyDescent="0.25">
      <c r="A832" s="647"/>
      <c r="B832" s="648" t="s">
        <v>462</v>
      </c>
      <c r="C832" s="649" t="s">
        <v>459</v>
      </c>
      <c r="D832" s="650"/>
      <c r="E832" s="657"/>
      <c r="F832" s="653"/>
      <c r="G832" s="647"/>
      <c r="H832" s="648"/>
      <c r="I832" s="649"/>
      <c r="J832" s="650"/>
      <c r="K832" s="651"/>
      <c r="L832" s="652"/>
    </row>
    <row r="833" spans="1:12" ht="15.75" x14ac:dyDescent="0.25">
      <c r="A833" s="647"/>
      <c r="B833" s="648"/>
      <c r="C833" s="649"/>
      <c r="D833" s="650"/>
      <c r="E833" s="651"/>
      <c r="F833" s="658"/>
      <c r="G833" s="647"/>
      <c r="H833" s="648"/>
      <c r="I833" s="649"/>
      <c r="J833" s="650"/>
      <c r="K833" s="651"/>
      <c r="L833" s="652"/>
    </row>
    <row r="834" spans="1:12" ht="15.75" x14ac:dyDescent="0.25">
      <c r="A834" s="647"/>
      <c r="B834" s="654"/>
      <c r="C834" s="649"/>
      <c r="D834" s="650"/>
      <c r="E834" s="657"/>
      <c r="F834" s="653"/>
      <c r="G834" s="647"/>
      <c r="H834" s="648"/>
      <c r="I834" s="649"/>
      <c r="J834" s="650"/>
      <c r="K834" s="651"/>
      <c r="L834" s="652"/>
    </row>
    <row r="835" spans="1:12" ht="15.75" x14ac:dyDescent="0.25">
      <c r="A835" s="647"/>
      <c r="B835" s="648"/>
      <c r="C835" s="649"/>
      <c r="D835" s="650"/>
      <c r="E835" s="657"/>
      <c r="F835" s="653"/>
      <c r="G835" s="647"/>
      <c r="H835" s="648"/>
      <c r="I835" s="649"/>
      <c r="J835" s="650"/>
      <c r="K835" s="651"/>
      <c r="L835" s="652"/>
    </row>
    <row r="836" spans="1:12" ht="15.75" x14ac:dyDescent="0.25">
      <c r="A836" s="647"/>
      <c r="B836" s="648"/>
      <c r="C836" s="649"/>
      <c r="D836" s="650"/>
      <c r="E836" s="651"/>
      <c r="F836" s="658"/>
      <c r="G836" s="647"/>
      <c r="H836" s="648"/>
      <c r="I836" s="649"/>
      <c r="J836" s="650"/>
      <c r="K836" s="651"/>
      <c r="L836" s="652"/>
    </row>
    <row r="837" spans="1:12" ht="15.75" x14ac:dyDescent="0.25">
      <c r="A837" s="647"/>
      <c r="B837" s="654"/>
      <c r="C837" s="649"/>
      <c r="D837" s="650"/>
      <c r="E837" s="657"/>
      <c r="F837" s="653"/>
      <c r="G837" s="647"/>
      <c r="H837" s="648"/>
      <c r="I837" s="649"/>
      <c r="J837" s="650"/>
      <c r="K837" s="651"/>
      <c r="L837" s="658"/>
    </row>
    <row r="838" spans="1:12" ht="15.75" x14ac:dyDescent="0.25">
      <c r="A838" s="647"/>
      <c r="B838" s="648"/>
      <c r="C838" s="649"/>
      <c r="D838" s="650"/>
      <c r="E838" s="657"/>
      <c r="F838" s="653"/>
      <c r="G838" s="647"/>
      <c r="H838" s="648"/>
      <c r="I838" s="649"/>
      <c r="J838" s="655"/>
      <c r="K838" s="651"/>
      <c r="L838" s="658"/>
    </row>
    <row r="839" spans="1:12" ht="15.75" x14ac:dyDescent="0.25">
      <c r="A839" s="647"/>
      <c r="B839" s="648"/>
      <c r="C839" s="649"/>
      <c r="D839" s="650"/>
      <c r="E839" s="657"/>
      <c r="F839" s="652"/>
      <c r="G839" s="647"/>
      <c r="H839" s="648"/>
      <c r="I839" s="649"/>
      <c r="J839" s="650"/>
      <c r="K839" s="651"/>
      <c r="L839" s="658"/>
    </row>
    <row r="840" spans="1:12" ht="16.5" thickBot="1" x14ac:dyDescent="0.3">
      <c r="A840" s="659"/>
      <c r="B840" s="660"/>
      <c r="C840" s="661"/>
      <c r="D840" s="662"/>
      <c r="E840" s="663"/>
      <c r="F840" s="664"/>
      <c r="G840" s="665"/>
      <c r="H840" s="666"/>
      <c r="I840" s="667"/>
      <c r="J840" s="668"/>
      <c r="K840" s="663"/>
      <c r="L840" s="669"/>
    </row>
    <row r="841" spans="1:12" ht="21" x14ac:dyDescent="0.35">
      <c r="A841" s="781" t="s">
        <v>945</v>
      </c>
      <c r="B841" s="782"/>
      <c r="C841" s="782"/>
      <c r="D841" s="782"/>
      <c r="E841" s="782"/>
      <c r="F841" s="782"/>
      <c r="G841" s="782"/>
      <c r="H841" s="782"/>
      <c r="I841" s="782"/>
      <c r="J841" s="782"/>
      <c r="K841" s="782"/>
      <c r="L841" s="783"/>
    </row>
    <row r="842" spans="1:12" ht="18.75" x14ac:dyDescent="0.3">
      <c r="A842" s="784" t="s">
        <v>946</v>
      </c>
      <c r="B842" s="785"/>
      <c r="C842" s="785"/>
      <c r="D842" s="785"/>
      <c r="E842" s="785"/>
      <c r="F842" s="785"/>
      <c r="G842" s="785"/>
      <c r="H842" s="785"/>
      <c r="I842" s="785"/>
      <c r="J842" s="785"/>
      <c r="K842" s="785"/>
      <c r="L842" s="786"/>
    </row>
    <row r="843" spans="1:12" ht="24" x14ac:dyDescent="0.4">
      <c r="A843" s="787" t="s">
        <v>947</v>
      </c>
      <c r="B843" s="788"/>
      <c r="C843" s="788"/>
      <c r="D843" s="788"/>
      <c r="E843" s="788"/>
      <c r="F843" s="788"/>
      <c r="G843" s="788"/>
      <c r="H843" s="788"/>
      <c r="I843" s="788"/>
      <c r="J843" s="788"/>
      <c r="K843" s="788"/>
      <c r="L843" s="789"/>
    </row>
    <row r="844" spans="1:12" ht="24" x14ac:dyDescent="0.4">
      <c r="A844" s="623" t="s">
        <v>1279</v>
      </c>
      <c r="B844" s="624"/>
      <c r="C844" s="624"/>
      <c r="D844" s="625" t="s">
        <v>949</v>
      </c>
      <c r="E844" s="790" t="s">
        <v>683</v>
      </c>
      <c r="F844" s="790"/>
      <c r="G844" s="790"/>
      <c r="H844" s="790"/>
      <c r="I844" s="790"/>
      <c r="J844" s="626" t="s">
        <v>1121</v>
      </c>
      <c r="K844" s="790"/>
      <c r="L844" s="791"/>
    </row>
    <row r="845" spans="1:12" ht="15.75" thickBot="1" x14ac:dyDescent="0.3">
      <c r="A845" s="627"/>
      <c r="B845" s="628"/>
      <c r="C845" s="628"/>
      <c r="D845" s="629"/>
      <c r="E845" s="628"/>
      <c r="F845" s="628"/>
      <c r="G845" s="628"/>
      <c r="H845" s="628"/>
      <c r="I845" s="792"/>
      <c r="J845" s="792"/>
      <c r="K845" s="628"/>
      <c r="L845" s="630"/>
    </row>
    <row r="846" spans="1:12" ht="16.5" thickBot="1" x14ac:dyDescent="0.3">
      <c r="A846" s="631" t="s">
        <v>952</v>
      </c>
      <c r="B846" s="632"/>
      <c r="C846" s="633"/>
      <c r="D846" s="634" t="s">
        <v>953</v>
      </c>
      <c r="E846" s="631" t="s">
        <v>954</v>
      </c>
      <c r="F846" s="635" t="s">
        <v>955</v>
      </c>
      <c r="G846" s="631" t="s">
        <v>952</v>
      </c>
      <c r="H846" s="632"/>
      <c r="I846" s="633"/>
      <c r="J846" s="634" t="s">
        <v>953</v>
      </c>
      <c r="K846" s="631" t="s">
        <v>954</v>
      </c>
      <c r="L846" s="631" t="s">
        <v>955</v>
      </c>
    </row>
    <row r="847" spans="1:12" ht="15.75" x14ac:dyDescent="0.25">
      <c r="A847" s="636"/>
      <c r="B847" s="637"/>
      <c r="C847" s="638"/>
      <c r="D847" s="639"/>
      <c r="E847" s="640"/>
      <c r="F847" s="641"/>
      <c r="G847" s="636"/>
      <c r="H847" s="642"/>
      <c r="I847" s="643"/>
      <c r="J847" s="644"/>
      <c r="K847" s="645"/>
      <c r="L847" s="646"/>
    </row>
    <row r="848" spans="1:12" ht="15.75" x14ac:dyDescent="0.25">
      <c r="A848" s="647"/>
      <c r="B848" s="648" t="s">
        <v>459</v>
      </c>
      <c r="C848" s="649">
        <v>3</v>
      </c>
      <c r="D848" s="650" t="s">
        <v>1396</v>
      </c>
      <c r="E848" s="651"/>
      <c r="F848" s="652"/>
      <c r="G848" s="647"/>
      <c r="H848" s="648" t="s">
        <v>459</v>
      </c>
      <c r="I848" s="649">
        <v>44</v>
      </c>
      <c r="J848" s="650" t="s">
        <v>1400</v>
      </c>
      <c r="K848" s="651"/>
      <c r="L848" s="653"/>
    </row>
    <row r="849" spans="1:12" ht="15.75" x14ac:dyDescent="0.25">
      <c r="A849" s="647" t="s">
        <v>958</v>
      </c>
      <c r="B849" s="654"/>
      <c r="C849" s="649"/>
      <c r="D849" s="655" t="s">
        <v>959</v>
      </c>
      <c r="E849" s="651"/>
      <c r="F849" s="656">
        <v>0.38194444444444442</v>
      </c>
      <c r="G849" s="647"/>
      <c r="H849" s="648"/>
      <c r="I849" s="649"/>
      <c r="J849" s="655" t="s">
        <v>960</v>
      </c>
      <c r="K849" s="651"/>
      <c r="L849" s="656">
        <v>0.88888888888888884</v>
      </c>
    </row>
    <row r="850" spans="1:12" ht="15.75" x14ac:dyDescent="0.25">
      <c r="A850" s="647" t="s">
        <v>961</v>
      </c>
      <c r="B850" s="654"/>
      <c r="C850" s="649"/>
      <c r="D850" s="650" t="s">
        <v>163</v>
      </c>
      <c r="E850" s="651"/>
      <c r="F850" s="653">
        <v>0.40972222222222221</v>
      </c>
      <c r="G850" s="647" t="s">
        <v>961</v>
      </c>
      <c r="H850" s="654"/>
      <c r="I850" s="649"/>
      <c r="J850" s="650" t="s">
        <v>163</v>
      </c>
      <c r="K850" s="651"/>
      <c r="L850" s="653">
        <v>0.9375</v>
      </c>
    </row>
    <row r="851" spans="1:12" ht="15.75" x14ac:dyDescent="0.25">
      <c r="A851" s="647"/>
      <c r="B851" s="648"/>
      <c r="C851" s="649"/>
      <c r="D851" s="655" t="s">
        <v>164</v>
      </c>
      <c r="E851" s="651"/>
      <c r="F851" s="656">
        <v>0.4375</v>
      </c>
      <c r="G851" s="647"/>
      <c r="H851" s="648"/>
      <c r="I851" s="649"/>
      <c r="J851" s="655" t="s">
        <v>164</v>
      </c>
      <c r="K851" s="651"/>
      <c r="L851" s="656">
        <v>0.95833333333333337</v>
      </c>
    </row>
    <row r="852" spans="1:12" ht="15.75" x14ac:dyDescent="0.25">
      <c r="A852" s="647"/>
      <c r="B852" s="648"/>
      <c r="C852" s="649"/>
      <c r="D852" s="655" t="s">
        <v>166</v>
      </c>
      <c r="E852" s="651"/>
      <c r="F852" s="656">
        <v>0.4513888888888889</v>
      </c>
      <c r="G852" s="647"/>
      <c r="H852" s="648"/>
      <c r="I852" s="649"/>
      <c r="J852" s="655" t="s">
        <v>166</v>
      </c>
      <c r="K852" s="651"/>
      <c r="L852" s="656">
        <v>0.96875</v>
      </c>
    </row>
    <row r="853" spans="1:12" ht="15.75" x14ac:dyDescent="0.25">
      <c r="A853" s="647" t="s">
        <v>961</v>
      </c>
      <c r="B853" s="648"/>
      <c r="C853" s="649"/>
      <c r="D853" s="650" t="s">
        <v>160</v>
      </c>
      <c r="E853" s="651"/>
      <c r="F853" s="653">
        <v>0.49652777777777779</v>
      </c>
      <c r="G853" s="647" t="s">
        <v>958</v>
      </c>
      <c r="H853" s="648"/>
      <c r="I853" s="649"/>
      <c r="J853" s="650" t="s">
        <v>160</v>
      </c>
      <c r="K853" s="657">
        <v>1.0013888888888889</v>
      </c>
      <c r="L853" s="653"/>
    </row>
    <row r="854" spans="1:12" ht="15.75" x14ac:dyDescent="0.25">
      <c r="A854" s="647"/>
      <c r="B854" s="648"/>
      <c r="C854" s="649"/>
      <c r="D854" s="655" t="s">
        <v>962</v>
      </c>
      <c r="E854" s="651"/>
      <c r="F854" s="656">
        <v>0.50694444444444442</v>
      </c>
      <c r="G854" s="647"/>
      <c r="H854" s="648"/>
      <c r="I854" s="649"/>
      <c r="J854" s="650" t="s">
        <v>963</v>
      </c>
      <c r="K854" s="657">
        <v>1.0326388888888889</v>
      </c>
      <c r="L854" s="656"/>
    </row>
    <row r="855" spans="1:12" ht="15.75" x14ac:dyDescent="0.25">
      <c r="A855" s="647"/>
      <c r="B855" s="648"/>
      <c r="C855" s="649"/>
      <c r="D855" s="655" t="s">
        <v>960</v>
      </c>
      <c r="E855" s="657">
        <v>0.53819444444444442</v>
      </c>
      <c r="F855" s="656"/>
      <c r="G855" s="647"/>
      <c r="H855" s="648" t="s">
        <v>462</v>
      </c>
      <c r="I855" s="649" t="s">
        <v>459</v>
      </c>
      <c r="J855" s="650"/>
      <c r="K855" s="657"/>
      <c r="L855" s="653"/>
    </row>
    <row r="856" spans="1:12" ht="15.75" x14ac:dyDescent="0.25">
      <c r="A856" s="647"/>
      <c r="B856" s="648" t="s">
        <v>462</v>
      </c>
      <c r="C856" s="649" t="s">
        <v>459</v>
      </c>
      <c r="D856" s="650"/>
      <c r="E856" s="651"/>
      <c r="F856" s="658"/>
      <c r="G856" s="647"/>
      <c r="H856" s="648"/>
      <c r="I856" s="649"/>
      <c r="J856" s="650"/>
      <c r="K856" s="657"/>
      <c r="L856" s="653"/>
    </row>
    <row r="857" spans="1:12" ht="15.75" x14ac:dyDescent="0.25">
      <c r="A857" s="647"/>
      <c r="B857" s="648"/>
      <c r="C857" s="649"/>
      <c r="D857" s="650"/>
      <c r="E857" s="651"/>
      <c r="F857" s="656"/>
      <c r="G857" s="647"/>
      <c r="H857" s="648"/>
      <c r="I857" s="649"/>
      <c r="J857" s="650"/>
      <c r="K857" s="657"/>
      <c r="L857" s="653"/>
    </row>
    <row r="858" spans="1:12" ht="15.75" x14ac:dyDescent="0.25">
      <c r="A858" s="647"/>
      <c r="B858" s="648" t="s">
        <v>459</v>
      </c>
      <c r="C858" s="649">
        <v>35</v>
      </c>
      <c r="D858" s="650" t="s">
        <v>1401</v>
      </c>
      <c r="E858" s="651"/>
      <c r="F858" s="653"/>
      <c r="G858" s="647"/>
      <c r="H858" s="648"/>
      <c r="I858" s="649"/>
      <c r="J858" s="650"/>
      <c r="K858" s="657"/>
      <c r="L858" s="653"/>
    </row>
    <row r="859" spans="1:12" ht="15.75" x14ac:dyDescent="0.25">
      <c r="A859" s="647"/>
      <c r="B859" s="648"/>
      <c r="C859" s="649"/>
      <c r="D859" s="655" t="s">
        <v>960</v>
      </c>
      <c r="E859" s="651"/>
      <c r="F859" s="656">
        <v>0.53819444444444442</v>
      </c>
      <c r="G859" s="647"/>
      <c r="H859" s="648"/>
      <c r="I859" s="649"/>
      <c r="J859" s="650"/>
      <c r="K859" s="657"/>
      <c r="L859" s="652"/>
    </row>
    <row r="860" spans="1:12" ht="15.75" x14ac:dyDescent="0.25">
      <c r="A860" s="647" t="s">
        <v>961</v>
      </c>
      <c r="B860" s="654"/>
      <c r="C860" s="649"/>
      <c r="D860" s="650" t="s">
        <v>163</v>
      </c>
      <c r="E860" s="651"/>
      <c r="F860" s="653">
        <v>0.59027777777777779</v>
      </c>
      <c r="G860" s="647"/>
      <c r="H860" s="648"/>
      <c r="I860" s="649"/>
      <c r="J860" s="650"/>
      <c r="K860" s="651"/>
      <c r="L860" s="652"/>
    </row>
    <row r="861" spans="1:12" ht="15.75" x14ac:dyDescent="0.25">
      <c r="A861" s="647"/>
      <c r="B861" s="648"/>
      <c r="C861" s="649"/>
      <c r="D861" s="655" t="s">
        <v>164</v>
      </c>
      <c r="E861" s="651"/>
      <c r="F861" s="656">
        <v>0.625</v>
      </c>
      <c r="G861" s="647"/>
      <c r="H861" s="648"/>
      <c r="I861" s="649"/>
      <c r="J861" s="650"/>
      <c r="K861" s="651"/>
      <c r="L861" s="652"/>
    </row>
    <row r="862" spans="1:12" ht="15.75" x14ac:dyDescent="0.25">
      <c r="A862" s="647"/>
      <c r="B862" s="648"/>
      <c r="C862" s="649"/>
      <c r="D862" s="655" t="s">
        <v>166</v>
      </c>
      <c r="E862" s="651"/>
      <c r="F862" s="656">
        <v>0.63888888888888884</v>
      </c>
      <c r="G862" s="647"/>
      <c r="H862" s="648"/>
      <c r="I862" s="649"/>
      <c r="J862" s="650"/>
      <c r="K862" s="651"/>
      <c r="L862" s="652"/>
    </row>
    <row r="863" spans="1:12" ht="15.75" x14ac:dyDescent="0.25">
      <c r="A863" s="647" t="s">
        <v>961</v>
      </c>
      <c r="B863" s="648"/>
      <c r="C863" s="649"/>
      <c r="D863" s="650" t="s">
        <v>160</v>
      </c>
      <c r="E863" s="651"/>
      <c r="F863" s="653">
        <v>0.68402777777777779</v>
      </c>
      <c r="G863" s="647"/>
      <c r="H863" s="648"/>
      <c r="I863" s="649"/>
      <c r="J863" s="650"/>
      <c r="K863" s="651"/>
      <c r="L863" s="652"/>
    </row>
    <row r="864" spans="1:12" ht="15.75" x14ac:dyDescent="0.25">
      <c r="A864" s="647"/>
      <c r="B864" s="648"/>
      <c r="C864" s="649"/>
      <c r="D864" s="655" t="s">
        <v>962</v>
      </c>
      <c r="E864" s="651"/>
      <c r="F864" s="656">
        <v>0.69444444444444442</v>
      </c>
      <c r="G864" s="647"/>
      <c r="H864" s="648"/>
      <c r="I864" s="649"/>
      <c r="J864" s="650"/>
      <c r="K864" s="651"/>
      <c r="L864" s="652"/>
    </row>
    <row r="865" spans="1:12" ht="15.75" x14ac:dyDescent="0.25">
      <c r="A865" s="647"/>
      <c r="B865" s="648"/>
      <c r="C865" s="649"/>
      <c r="D865" s="655" t="s">
        <v>960</v>
      </c>
      <c r="E865" s="657">
        <v>0.72569444444444442</v>
      </c>
      <c r="F865" s="656"/>
      <c r="G865" s="647"/>
      <c r="H865" s="648"/>
      <c r="I865" s="649"/>
      <c r="J865" s="650"/>
      <c r="K865" s="651"/>
      <c r="L865" s="652"/>
    </row>
    <row r="866" spans="1:12" ht="15.75" x14ac:dyDescent="0.25">
      <c r="A866" s="647"/>
      <c r="B866" s="648" t="s">
        <v>459</v>
      </c>
      <c r="C866" s="649">
        <v>35</v>
      </c>
      <c r="D866" s="650" t="s">
        <v>1402</v>
      </c>
      <c r="E866" s="651"/>
      <c r="F866" s="658"/>
      <c r="G866" s="647"/>
      <c r="H866" s="648"/>
      <c r="I866" s="649"/>
      <c r="J866" s="650"/>
      <c r="K866" s="657"/>
      <c r="L866" s="653"/>
    </row>
    <row r="867" spans="1:12" ht="15.75" x14ac:dyDescent="0.25">
      <c r="A867" s="647"/>
      <c r="B867" s="648"/>
      <c r="C867" s="649"/>
      <c r="D867" s="650"/>
      <c r="E867" s="651"/>
      <c r="F867" s="656"/>
      <c r="G867" s="647"/>
      <c r="H867" s="648"/>
      <c r="I867" s="649"/>
      <c r="J867" s="650"/>
      <c r="K867" s="657"/>
      <c r="L867" s="653"/>
    </row>
    <row r="868" spans="1:12" ht="15.75" x14ac:dyDescent="0.25">
      <c r="A868" s="647"/>
      <c r="B868" s="648" t="s">
        <v>459</v>
      </c>
      <c r="C868" s="649">
        <v>33</v>
      </c>
      <c r="D868" s="650" t="s">
        <v>1403</v>
      </c>
      <c r="E868" s="651"/>
      <c r="F868" s="653"/>
      <c r="G868" s="647"/>
      <c r="H868" s="648"/>
      <c r="I868" s="649"/>
      <c r="J868" s="650"/>
      <c r="K868" s="657"/>
      <c r="L868" s="653"/>
    </row>
    <row r="869" spans="1:12" ht="15.75" x14ac:dyDescent="0.25">
      <c r="A869" s="647"/>
      <c r="B869" s="648"/>
      <c r="C869" s="649"/>
      <c r="D869" s="655" t="s">
        <v>960</v>
      </c>
      <c r="E869" s="651"/>
      <c r="F869" s="656">
        <v>0.72569444444444442</v>
      </c>
      <c r="G869" s="647"/>
      <c r="H869" s="648"/>
      <c r="I869" s="649"/>
      <c r="J869" s="650"/>
      <c r="K869" s="657"/>
      <c r="L869" s="652"/>
    </row>
    <row r="870" spans="1:12" ht="15.75" x14ac:dyDescent="0.25">
      <c r="A870" s="647" t="s">
        <v>961</v>
      </c>
      <c r="B870" s="654"/>
      <c r="C870" s="649"/>
      <c r="D870" s="650" t="s">
        <v>163</v>
      </c>
      <c r="E870" s="651"/>
      <c r="F870" s="653">
        <v>0.77777777777777779</v>
      </c>
      <c r="G870" s="647"/>
      <c r="H870" s="648"/>
      <c r="I870" s="649"/>
      <c r="J870" s="650"/>
      <c r="K870" s="651"/>
      <c r="L870" s="652"/>
    </row>
    <row r="871" spans="1:12" ht="15.75" x14ac:dyDescent="0.25">
      <c r="A871" s="647"/>
      <c r="B871" s="648"/>
      <c r="C871" s="649"/>
      <c r="D871" s="655" t="s">
        <v>164</v>
      </c>
      <c r="E871" s="651"/>
      <c r="F871" s="656">
        <v>0.80208333333333337</v>
      </c>
      <c r="G871" s="647"/>
      <c r="H871" s="648"/>
      <c r="I871" s="649"/>
      <c r="J871" s="650"/>
      <c r="K871" s="651"/>
      <c r="L871" s="652"/>
    </row>
    <row r="872" spans="1:12" ht="15.75" x14ac:dyDescent="0.25">
      <c r="A872" s="647"/>
      <c r="B872" s="648"/>
      <c r="C872" s="649"/>
      <c r="D872" s="655" t="s">
        <v>166</v>
      </c>
      <c r="E872" s="651"/>
      <c r="F872" s="656">
        <v>0.81597222222222221</v>
      </c>
      <c r="G872" s="647"/>
      <c r="H872" s="648"/>
      <c r="I872" s="649"/>
      <c r="J872" s="650"/>
      <c r="K872" s="651"/>
      <c r="L872" s="652"/>
    </row>
    <row r="873" spans="1:12" ht="15.75" x14ac:dyDescent="0.25">
      <c r="A873" s="647" t="s">
        <v>961</v>
      </c>
      <c r="B873" s="648"/>
      <c r="C873" s="649"/>
      <c r="D873" s="650" t="s">
        <v>160</v>
      </c>
      <c r="E873" s="651"/>
      <c r="F873" s="653">
        <v>0.85763888888888884</v>
      </c>
      <c r="G873" s="647"/>
      <c r="H873" s="648"/>
      <c r="I873" s="649"/>
      <c r="J873" s="650"/>
      <c r="K873" s="651"/>
      <c r="L873" s="652"/>
    </row>
    <row r="874" spans="1:12" ht="15.75" x14ac:dyDescent="0.25">
      <c r="A874" s="647"/>
      <c r="B874" s="648"/>
      <c r="C874" s="649"/>
      <c r="D874" s="655" t="s">
        <v>962</v>
      </c>
      <c r="E874" s="651"/>
      <c r="F874" s="656">
        <v>0.86458333333333337</v>
      </c>
      <c r="G874" s="647"/>
      <c r="H874" s="648"/>
      <c r="I874" s="649"/>
      <c r="J874" s="650"/>
      <c r="K874" s="651"/>
      <c r="L874" s="652"/>
    </row>
    <row r="875" spans="1:12" ht="15.75" x14ac:dyDescent="0.25">
      <c r="A875" s="647"/>
      <c r="B875" s="648"/>
      <c r="C875" s="649"/>
      <c r="D875" s="655" t="s">
        <v>960</v>
      </c>
      <c r="E875" s="657">
        <v>0.88888888888888884</v>
      </c>
      <c r="F875" s="656"/>
      <c r="G875" s="647"/>
      <c r="H875" s="648"/>
      <c r="I875" s="649"/>
      <c r="J875" s="650"/>
      <c r="K875" s="651"/>
      <c r="L875" s="652"/>
    </row>
    <row r="876" spans="1:12" ht="15.75" x14ac:dyDescent="0.25">
      <c r="A876" s="647"/>
      <c r="B876" s="648" t="s">
        <v>462</v>
      </c>
      <c r="C876" s="649" t="s">
        <v>459</v>
      </c>
      <c r="D876" s="650"/>
      <c r="E876" s="651"/>
      <c r="F876" s="658"/>
      <c r="G876" s="647"/>
      <c r="H876" s="648"/>
      <c r="I876" s="649"/>
      <c r="J876" s="650"/>
      <c r="K876" s="651"/>
      <c r="L876" s="652"/>
    </row>
    <row r="877" spans="1:12" ht="15.75" x14ac:dyDescent="0.25">
      <c r="A877" s="647"/>
      <c r="B877" s="648"/>
      <c r="C877" s="649"/>
      <c r="D877" s="650"/>
      <c r="E877" s="657"/>
      <c r="F877" s="658"/>
      <c r="G877" s="647"/>
      <c r="H877" s="648"/>
      <c r="I877" s="649"/>
      <c r="J877" s="650"/>
      <c r="K877" s="651"/>
      <c r="L877" s="658"/>
    </row>
    <row r="878" spans="1:12" ht="15.75" x14ac:dyDescent="0.25">
      <c r="A878" s="647"/>
      <c r="B878" s="648"/>
      <c r="C878" s="649"/>
      <c r="D878" s="655"/>
      <c r="E878" s="657"/>
      <c r="F878" s="653"/>
      <c r="G878" s="647"/>
      <c r="H878" s="648"/>
      <c r="I878" s="649"/>
      <c r="J878" s="655"/>
      <c r="K878" s="651"/>
      <c r="L878" s="658"/>
    </row>
    <row r="879" spans="1:12" ht="15.75" x14ac:dyDescent="0.25">
      <c r="A879" s="647"/>
      <c r="B879" s="648"/>
      <c r="C879" s="649"/>
      <c r="D879" s="650"/>
      <c r="E879" s="651"/>
      <c r="F879" s="652"/>
      <c r="G879" s="647"/>
      <c r="H879" s="648"/>
      <c r="I879" s="649"/>
      <c r="J879" s="650"/>
      <c r="K879" s="651"/>
      <c r="L879" s="658"/>
    </row>
    <row r="880" spans="1:12" ht="16.5" thickBot="1" x14ac:dyDescent="0.3">
      <c r="A880" s="659"/>
      <c r="B880" s="660"/>
      <c r="C880" s="661"/>
      <c r="D880" s="662"/>
      <c r="E880" s="663"/>
      <c r="F880" s="664"/>
      <c r="G880" s="665"/>
      <c r="H880" s="666"/>
      <c r="I880" s="667"/>
      <c r="J880" s="668"/>
      <c r="K880" s="663"/>
      <c r="L880" s="669"/>
    </row>
    <row r="881" spans="1:12" ht="21" x14ac:dyDescent="0.35">
      <c r="A881" s="781" t="s">
        <v>945</v>
      </c>
      <c r="B881" s="782"/>
      <c r="C881" s="782"/>
      <c r="D881" s="782"/>
      <c r="E881" s="782"/>
      <c r="F881" s="782"/>
      <c r="G881" s="782"/>
      <c r="H881" s="782"/>
      <c r="I881" s="782"/>
      <c r="J881" s="782"/>
      <c r="K881" s="782"/>
      <c r="L881" s="783"/>
    </row>
    <row r="882" spans="1:12" ht="18.75" x14ac:dyDescent="0.3">
      <c r="A882" s="784" t="s">
        <v>946</v>
      </c>
      <c r="B882" s="785"/>
      <c r="C882" s="785"/>
      <c r="D882" s="785"/>
      <c r="E882" s="785"/>
      <c r="F882" s="785"/>
      <c r="G882" s="785"/>
      <c r="H882" s="785"/>
      <c r="I882" s="785"/>
      <c r="J882" s="785"/>
      <c r="K882" s="785"/>
      <c r="L882" s="786"/>
    </row>
    <row r="883" spans="1:12" ht="24" x14ac:dyDescent="0.4">
      <c r="A883" s="787" t="s">
        <v>947</v>
      </c>
      <c r="B883" s="788"/>
      <c r="C883" s="788"/>
      <c r="D883" s="788"/>
      <c r="E883" s="788"/>
      <c r="F883" s="788"/>
      <c r="G883" s="788"/>
      <c r="H883" s="788"/>
      <c r="I883" s="788"/>
      <c r="J883" s="788"/>
      <c r="K883" s="788"/>
      <c r="L883" s="789"/>
    </row>
    <row r="884" spans="1:12" ht="24" x14ac:dyDescent="0.4">
      <c r="A884" s="623" t="s">
        <v>1279</v>
      </c>
      <c r="B884" s="624"/>
      <c r="C884" s="624"/>
      <c r="D884" s="625" t="s">
        <v>949</v>
      </c>
      <c r="E884" s="790" t="s">
        <v>683</v>
      </c>
      <c r="F884" s="790"/>
      <c r="G884" s="790"/>
      <c r="H884" s="790"/>
      <c r="I884" s="790"/>
      <c r="J884" s="626" t="s">
        <v>1129</v>
      </c>
      <c r="K884" s="790"/>
      <c r="L884" s="791"/>
    </row>
    <row r="885" spans="1:12" ht="15.75" thickBot="1" x14ac:dyDescent="0.3">
      <c r="A885" s="627"/>
      <c r="B885" s="628"/>
      <c r="C885" s="628"/>
      <c r="D885" s="629"/>
      <c r="E885" s="628"/>
      <c r="F885" s="628"/>
      <c r="G885" s="628"/>
      <c r="H885" s="628"/>
      <c r="I885" s="792"/>
      <c r="J885" s="792"/>
      <c r="K885" s="628"/>
      <c r="L885" s="630"/>
    </row>
    <row r="886" spans="1:12" ht="16.5" thickBot="1" x14ac:dyDescent="0.3">
      <c r="A886" s="631" t="s">
        <v>952</v>
      </c>
      <c r="B886" s="632"/>
      <c r="C886" s="633"/>
      <c r="D886" s="634" t="s">
        <v>953</v>
      </c>
      <c r="E886" s="631" t="s">
        <v>954</v>
      </c>
      <c r="F886" s="635" t="s">
        <v>955</v>
      </c>
      <c r="G886" s="631" t="s">
        <v>952</v>
      </c>
      <c r="H886" s="632"/>
      <c r="I886" s="633"/>
      <c r="J886" s="634" t="s">
        <v>953</v>
      </c>
      <c r="K886" s="631" t="s">
        <v>954</v>
      </c>
      <c r="L886" s="631" t="s">
        <v>955</v>
      </c>
    </row>
    <row r="887" spans="1:12" ht="15.75" x14ac:dyDescent="0.25">
      <c r="A887" s="636"/>
      <c r="B887" s="637"/>
      <c r="C887" s="638"/>
      <c r="D887" s="639"/>
      <c r="E887" s="640"/>
      <c r="F887" s="641"/>
      <c r="G887" s="636"/>
      <c r="H887" s="642"/>
      <c r="I887" s="643"/>
      <c r="J887" s="644"/>
      <c r="K887" s="645"/>
      <c r="L887" s="646"/>
    </row>
    <row r="888" spans="1:12" ht="15.75" x14ac:dyDescent="0.25">
      <c r="A888" s="647"/>
      <c r="B888" s="648" t="s">
        <v>459</v>
      </c>
      <c r="C888" s="649">
        <v>7</v>
      </c>
      <c r="D888" s="650" t="s">
        <v>1404</v>
      </c>
      <c r="E888" s="651"/>
      <c r="F888" s="652"/>
      <c r="G888" s="647"/>
      <c r="H888" s="648" t="s">
        <v>459</v>
      </c>
      <c r="I888" s="649">
        <v>39</v>
      </c>
      <c r="J888" s="650" t="s">
        <v>1405</v>
      </c>
      <c r="K888" s="651"/>
      <c r="L888" s="653"/>
    </row>
    <row r="889" spans="1:12" ht="15.75" x14ac:dyDescent="0.25">
      <c r="A889" s="647" t="s">
        <v>958</v>
      </c>
      <c r="B889" s="654"/>
      <c r="C889" s="649"/>
      <c r="D889" s="655" t="s">
        <v>959</v>
      </c>
      <c r="E889" s="651"/>
      <c r="F889" s="656">
        <v>0.39583333333333331</v>
      </c>
      <c r="G889" s="647"/>
      <c r="H889" s="648"/>
      <c r="I889" s="649"/>
      <c r="J889" s="655" t="s">
        <v>166</v>
      </c>
      <c r="K889" s="651"/>
      <c r="L889" s="656">
        <v>0.82291666666666663</v>
      </c>
    </row>
    <row r="890" spans="1:12" ht="15.75" x14ac:dyDescent="0.25">
      <c r="A890" s="647" t="s">
        <v>961</v>
      </c>
      <c r="B890" s="654"/>
      <c r="C890" s="649"/>
      <c r="D890" s="650" t="s">
        <v>163</v>
      </c>
      <c r="E890" s="651"/>
      <c r="F890" s="653">
        <v>0.4236111111111111</v>
      </c>
      <c r="G890" s="647" t="s">
        <v>961</v>
      </c>
      <c r="H890" s="648"/>
      <c r="I890" s="649"/>
      <c r="J890" s="650" t="s">
        <v>160</v>
      </c>
      <c r="K890" s="651"/>
      <c r="L890" s="653">
        <v>0.86805555555555558</v>
      </c>
    </row>
    <row r="891" spans="1:12" ht="15.75" x14ac:dyDescent="0.25">
      <c r="A891" s="647"/>
      <c r="B891" s="648"/>
      <c r="C891" s="649"/>
      <c r="D891" s="655" t="s">
        <v>164</v>
      </c>
      <c r="E891" s="651"/>
      <c r="F891" s="656">
        <v>0.4513888888888889</v>
      </c>
      <c r="G891" s="647"/>
      <c r="H891" s="648"/>
      <c r="I891" s="649"/>
      <c r="J891" s="655" t="s">
        <v>962</v>
      </c>
      <c r="K891" s="651"/>
      <c r="L891" s="656">
        <v>0.875</v>
      </c>
    </row>
    <row r="892" spans="1:12" ht="15.75" x14ac:dyDescent="0.25">
      <c r="A892" s="647"/>
      <c r="B892" s="648"/>
      <c r="C892" s="649"/>
      <c r="D892" s="655" t="s">
        <v>166</v>
      </c>
      <c r="E892" s="651"/>
      <c r="F892" s="656">
        <v>0.46527777777777779</v>
      </c>
      <c r="G892" s="647"/>
      <c r="H892" s="648"/>
      <c r="I892" s="649"/>
      <c r="J892" s="655" t="s">
        <v>960</v>
      </c>
      <c r="K892" s="651"/>
      <c r="L892" s="656">
        <v>0.90277777777777779</v>
      </c>
    </row>
    <row r="893" spans="1:12" ht="15.75" x14ac:dyDescent="0.25">
      <c r="A893" s="647" t="s">
        <v>961</v>
      </c>
      <c r="B893" s="648"/>
      <c r="C893" s="649"/>
      <c r="D893" s="650" t="s">
        <v>160</v>
      </c>
      <c r="E893" s="651"/>
      <c r="F893" s="653">
        <v>0.51041666666666663</v>
      </c>
      <c r="G893" s="647" t="s">
        <v>958</v>
      </c>
      <c r="H893" s="654"/>
      <c r="I893" s="649"/>
      <c r="J893" s="650" t="s">
        <v>163</v>
      </c>
      <c r="K893" s="657">
        <v>0.95138888888888884</v>
      </c>
      <c r="L893" s="653"/>
    </row>
    <row r="894" spans="1:12" ht="15.75" x14ac:dyDescent="0.25">
      <c r="A894" s="647"/>
      <c r="B894" s="648"/>
      <c r="C894" s="649"/>
      <c r="D894" s="655" t="s">
        <v>962</v>
      </c>
      <c r="E894" s="651"/>
      <c r="F894" s="656">
        <v>0.52083333333333337</v>
      </c>
      <c r="G894" s="647"/>
      <c r="H894" s="648"/>
      <c r="I894" s="649"/>
      <c r="J894" s="650" t="s">
        <v>963</v>
      </c>
      <c r="K894" s="657">
        <v>0.97569444444444442</v>
      </c>
      <c r="L894" s="656"/>
    </row>
    <row r="895" spans="1:12" ht="15.75" x14ac:dyDescent="0.25">
      <c r="A895" s="647"/>
      <c r="B895" s="648"/>
      <c r="C895" s="649"/>
      <c r="D895" s="655" t="s">
        <v>960</v>
      </c>
      <c r="E895" s="657">
        <v>0.54861111111111116</v>
      </c>
      <c r="F895" s="656"/>
      <c r="G895" s="647"/>
      <c r="H895" s="648" t="s">
        <v>462</v>
      </c>
      <c r="I895" s="649" t="s">
        <v>459</v>
      </c>
      <c r="J895" s="650"/>
      <c r="K895" s="657"/>
      <c r="L895" s="653"/>
    </row>
    <row r="896" spans="1:12" ht="15.75" x14ac:dyDescent="0.25">
      <c r="A896" s="647"/>
      <c r="B896" s="648" t="s">
        <v>462</v>
      </c>
      <c r="C896" s="649" t="s">
        <v>459</v>
      </c>
      <c r="D896" s="650"/>
      <c r="E896" s="651"/>
      <c r="F896" s="658"/>
      <c r="G896" s="647"/>
      <c r="H896" s="648"/>
      <c r="I896" s="649"/>
      <c r="J896" s="650"/>
      <c r="K896" s="651"/>
      <c r="L896" s="652"/>
    </row>
    <row r="897" spans="1:12" ht="15.75" x14ac:dyDescent="0.25">
      <c r="A897" s="647"/>
      <c r="B897" s="648"/>
      <c r="C897" s="649"/>
      <c r="D897" s="650"/>
      <c r="E897" s="651"/>
      <c r="F897" s="656"/>
      <c r="G897" s="647"/>
      <c r="H897" s="648"/>
      <c r="I897" s="649"/>
      <c r="J897" s="650"/>
      <c r="K897" s="651"/>
      <c r="L897" s="658"/>
    </row>
    <row r="898" spans="1:12" ht="15.75" x14ac:dyDescent="0.25">
      <c r="A898" s="647"/>
      <c r="B898" s="648" t="s">
        <v>459</v>
      </c>
      <c r="C898" s="649">
        <v>16</v>
      </c>
      <c r="D898" s="650" t="s">
        <v>985</v>
      </c>
      <c r="E898" s="651"/>
      <c r="F898" s="653"/>
      <c r="G898" s="647"/>
      <c r="H898" s="648"/>
      <c r="I898" s="649"/>
      <c r="J898" s="650"/>
      <c r="K898" s="657"/>
      <c r="L898" s="653"/>
    </row>
    <row r="899" spans="1:12" ht="15.75" x14ac:dyDescent="0.25">
      <c r="A899" s="647"/>
      <c r="B899" s="648"/>
      <c r="C899" s="649"/>
      <c r="D899" s="655" t="s">
        <v>960</v>
      </c>
      <c r="E899" s="651"/>
      <c r="F899" s="656">
        <v>0.54861111111111116</v>
      </c>
      <c r="G899" s="647"/>
      <c r="H899" s="648"/>
      <c r="I899" s="649"/>
      <c r="J899" s="650"/>
      <c r="K899" s="657"/>
      <c r="L899" s="652"/>
    </row>
    <row r="900" spans="1:12" ht="15.75" x14ac:dyDescent="0.25">
      <c r="A900" s="647" t="s">
        <v>961</v>
      </c>
      <c r="B900" s="654"/>
      <c r="C900" s="649"/>
      <c r="D900" s="650" t="s">
        <v>163</v>
      </c>
      <c r="E900" s="651"/>
      <c r="F900" s="653">
        <v>0.60416666666666663</v>
      </c>
      <c r="G900" s="647"/>
      <c r="H900" s="648"/>
      <c r="I900" s="649"/>
      <c r="J900" s="650"/>
      <c r="K900" s="651"/>
      <c r="L900" s="652"/>
    </row>
    <row r="901" spans="1:12" ht="15.75" x14ac:dyDescent="0.25">
      <c r="A901" s="647"/>
      <c r="B901" s="648"/>
      <c r="C901" s="649"/>
      <c r="D901" s="655" t="s">
        <v>164</v>
      </c>
      <c r="E901" s="651"/>
      <c r="F901" s="656">
        <v>0.63888888888888884</v>
      </c>
      <c r="G901" s="647"/>
      <c r="H901" s="648"/>
      <c r="I901" s="649"/>
      <c r="J901" s="650"/>
      <c r="K901" s="651"/>
      <c r="L901" s="652"/>
    </row>
    <row r="902" spans="1:12" ht="15.75" x14ac:dyDescent="0.25">
      <c r="A902" s="647"/>
      <c r="B902" s="648"/>
      <c r="C902" s="649"/>
      <c r="D902" s="655" t="s">
        <v>166</v>
      </c>
      <c r="E902" s="657">
        <v>0.65277777777777779</v>
      </c>
      <c r="F902" s="656"/>
      <c r="G902" s="647"/>
      <c r="H902" s="648"/>
      <c r="I902" s="649"/>
      <c r="J902" s="650"/>
      <c r="K902" s="651"/>
      <c r="L902" s="652"/>
    </row>
    <row r="903" spans="1:12" ht="15.75" x14ac:dyDescent="0.25">
      <c r="A903" s="647"/>
      <c r="B903" s="648" t="s">
        <v>462</v>
      </c>
      <c r="C903" s="649" t="s">
        <v>459</v>
      </c>
      <c r="D903" s="650"/>
      <c r="E903" s="651"/>
      <c r="F903" s="653"/>
      <c r="G903" s="647"/>
      <c r="H903" s="648"/>
      <c r="I903" s="649"/>
      <c r="J903" s="650"/>
      <c r="K903" s="651"/>
      <c r="L903" s="652"/>
    </row>
    <row r="904" spans="1:12" ht="15.75" x14ac:dyDescent="0.25">
      <c r="A904" s="647"/>
      <c r="B904" s="648"/>
      <c r="C904" s="649"/>
      <c r="D904" s="655"/>
      <c r="E904" s="651"/>
      <c r="F904" s="656"/>
      <c r="G904" s="647"/>
      <c r="H904" s="648"/>
      <c r="I904" s="649"/>
      <c r="J904" s="650"/>
      <c r="K904" s="651"/>
      <c r="L904" s="652"/>
    </row>
    <row r="905" spans="1:12" ht="15.75" x14ac:dyDescent="0.25">
      <c r="A905" s="647"/>
      <c r="B905" s="648" t="s">
        <v>459</v>
      </c>
      <c r="C905" s="649">
        <v>40</v>
      </c>
      <c r="D905" s="650" t="s">
        <v>1406</v>
      </c>
      <c r="E905" s="651"/>
      <c r="F905" s="653"/>
      <c r="G905" s="647"/>
      <c r="H905" s="648"/>
      <c r="I905" s="649"/>
      <c r="J905" s="650"/>
      <c r="K905" s="651"/>
      <c r="L905" s="652"/>
    </row>
    <row r="906" spans="1:12" ht="15.75" x14ac:dyDescent="0.25">
      <c r="A906" s="647"/>
      <c r="B906" s="648"/>
      <c r="C906" s="649"/>
      <c r="D906" s="655" t="s">
        <v>166</v>
      </c>
      <c r="E906" s="651"/>
      <c r="F906" s="656">
        <v>0.65277777777777779</v>
      </c>
      <c r="G906" s="647"/>
      <c r="H906" s="648"/>
      <c r="I906" s="649"/>
      <c r="J906" s="650"/>
      <c r="K906" s="657"/>
      <c r="L906" s="653"/>
    </row>
    <row r="907" spans="1:12" ht="15.75" x14ac:dyDescent="0.25">
      <c r="A907" s="647" t="s">
        <v>961</v>
      </c>
      <c r="B907" s="648"/>
      <c r="C907" s="649"/>
      <c r="D907" s="650" t="s">
        <v>160</v>
      </c>
      <c r="E907" s="651"/>
      <c r="F907" s="653">
        <v>0.69791666666666663</v>
      </c>
      <c r="G907" s="647"/>
      <c r="H907" s="648"/>
      <c r="I907" s="649"/>
      <c r="J907" s="650"/>
      <c r="K907" s="657"/>
      <c r="L907" s="653"/>
    </row>
    <row r="908" spans="1:12" ht="15.75" x14ac:dyDescent="0.25">
      <c r="A908" s="647"/>
      <c r="B908" s="648"/>
      <c r="C908" s="649"/>
      <c r="D908" s="655" t="s">
        <v>962</v>
      </c>
      <c r="E908" s="651"/>
      <c r="F908" s="656">
        <v>0.70833333333333337</v>
      </c>
      <c r="G908" s="647"/>
      <c r="H908" s="648"/>
      <c r="I908" s="649"/>
      <c r="J908" s="650"/>
      <c r="K908" s="651"/>
      <c r="L908" s="653"/>
    </row>
    <row r="909" spans="1:12" ht="15.75" x14ac:dyDescent="0.25">
      <c r="A909" s="647"/>
      <c r="B909" s="648"/>
      <c r="C909" s="649"/>
      <c r="D909" s="655" t="s">
        <v>960</v>
      </c>
      <c r="E909" s="651"/>
      <c r="F909" s="656">
        <v>0.73611111111111116</v>
      </c>
      <c r="G909" s="647"/>
      <c r="H909" s="648"/>
      <c r="I909" s="649"/>
      <c r="J909" s="655"/>
      <c r="K909" s="651"/>
      <c r="L909" s="656"/>
    </row>
    <row r="910" spans="1:12" ht="15.75" x14ac:dyDescent="0.25">
      <c r="A910" s="647" t="s">
        <v>961</v>
      </c>
      <c r="B910" s="654"/>
      <c r="C910" s="649"/>
      <c r="D910" s="650" t="s">
        <v>163</v>
      </c>
      <c r="E910" s="651"/>
      <c r="F910" s="653">
        <v>0.78819444444444442</v>
      </c>
      <c r="G910" s="647"/>
      <c r="H910" s="654"/>
      <c r="I910" s="649"/>
      <c r="J910" s="650"/>
      <c r="K910" s="651"/>
      <c r="L910" s="653"/>
    </row>
    <row r="911" spans="1:12" ht="15.75" x14ac:dyDescent="0.25">
      <c r="A911" s="647"/>
      <c r="B911" s="648"/>
      <c r="C911" s="649"/>
      <c r="D911" s="655" t="s">
        <v>164</v>
      </c>
      <c r="E911" s="651"/>
      <c r="F911" s="656">
        <v>0.8125</v>
      </c>
      <c r="G911" s="647"/>
      <c r="H911" s="648"/>
      <c r="I911" s="649"/>
      <c r="J911" s="655"/>
      <c r="K911" s="651"/>
      <c r="L911" s="656"/>
    </row>
    <row r="912" spans="1:12" ht="15.75" x14ac:dyDescent="0.25">
      <c r="A912" s="647"/>
      <c r="B912" s="648"/>
      <c r="C912" s="649"/>
      <c r="D912" s="655" t="s">
        <v>166</v>
      </c>
      <c r="E912" s="657">
        <v>0.82291666666666663</v>
      </c>
      <c r="F912" s="656"/>
      <c r="G912" s="647"/>
      <c r="H912" s="648"/>
      <c r="I912" s="649"/>
      <c r="J912" s="655"/>
      <c r="K912" s="651"/>
      <c r="L912" s="656"/>
    </row>
    <row r="913" spans="1:12" ht="15.75" x14ac:dyDescent="0.25">
      <c r="A913" s="647"/>
      <c r="B913" s="648" t="s">
        <v>459</v>
      </c>
      <c r="C913" s="649">
        <v>40</v>
      </c>
      <c r="D913" s="650" t="s">
        <v>1407</v>
      </c>
      <c r="E913" s="651"/>
      <c r="F913" s="653"/>
      <c r="G913" s="647"/>
      <c r="H913" s="648"/>
      <c r="I913" s="649"/>
      <c r="J913" s="650"/>
      <c r="K913" s="657"/>
      <c r="L913" s="653"/>
    </row>
    <row r="914" spans="1:12" ht="15.75" x14ac:dyDescent="0.25">
      <c r="A914" s="647"/>
      <c r="B914" s="648"/>
      <c r="C914" s="649"/>
      <c r="D914" s="655"/>
      <c r="E914" s="651"/>
      <c r="F914" s="656"/>
      <c r="G914" s="647"/>
      <c r="H914" s="648"/>
      <c r="I914" s="649"/>
      <c r="J914" s="650"/>
      <c r="K914" s="657"/>
      <c r="L914" s="656"/>
    </row>
    <row r="915" spans="1:12" ht="15.75" x14ac:dyDescent="0.25">
      <c r="A915" s="647"/>
      <c r="B915" s="648"/>
      <c r="C915" s="649"/>
      <c r="D915" s="655"/>
      <c r="E915" s="657"/>
      <c r="F915" s="656"/>
      <c r="G915" s="647"/>
      <c r="H915" s="648"/>
      <c r="I915" s="649"/>
      <c r="J915" s="650"/>
      <c r="K915" s="657"/>
      <c r="L915" s="653"/>
    </row>
    <row r="916" spans="1:12" ht="15.75" x14ac:dyDescent="0.25">
      <c r="A916" s="647"/>
      <c r="B916" s="648"/>
      <c r="C916" s="649"/>
      <c r="D916" s="650"/>
      <c r="E916" s="651"/>
      <c r="F916" s="658"/>
      <c r="G916" s="647"/>
      <c r="H916" s="648"/>
      <c r="I916" s="649"/>
      <c r="J916" s="650"/>
      <c r="K916" s="651"/>
      <c r="L916" s="652"/>
    </row>
    <row r="917" spans="1:12" ht="15.75" x14ac:dyDescent="0.25">
      <c r="A917" s="647"/>
      <c r="B917" s="648"/>
      <c r="C917" s="649"/>
      <c r="D917" s="650"/>
      <c r="E917" s="657"/>
      <c r="F917" s="658"/>
      <c r="G917" s="647"/>
      <c r="H917" s="648"/>
      <c r="I917" s="649"/>
      <c r="J917" s="650"/>
      <c r="K917" s="651"/>
      <c r="L917" s="658"/>
    </row>
    <row r="918" spans="1:12" ht="15.75" x14ac:dyDescent="0.25">
      <c r="A918" s="647"/>
      <c r="B918" s="648"/>
      <c r="C918" s="649"/>
      <c r="D918" s="655"/>
      <c r="E918" s="657"/>
      <c r="F918" s="653"/>
      <c r="G918" s="647"/>
      <c r="H918" s="648"/>
      <c r="I918" s="649"/>
      <c r="J918" s="655"/>
      <c r="K918" s="651"/>
      <c r="L918" s="658"/>
    </row>
    <row r="919" spans="1:12" ht="15.75" x14ac:dyDescent="0.25">
      <c r="A919" s="647"/>
      <c r="B919" s="648"/>
      <c r="C919" s="649"/>
      <c r="D919" s="650"/>
      <c r="E919" s="651"/>
      <c r="F919" s="652"/>
      <c r="G919" s="647"/>
      <c r="H919" s="648"/>
      <c r="I919" s="649"/>
      <c r="J919" s="650"/>
      <c r="K919" s="651"/>
      <c r="L919" s="658"/>
    </row>
    <row r="920" spans="1:12" ht="16.5" thickBot="1" x14ac:dyDescent="0.3">
      <c r="A920" s="659"/>
      <c r="B920" s="660"/>
      <c r="C920" s="661"/>
      <c r="D920" s="662"/>
      <c r="E920" s="663"/>
      <c r="F920" s="664"/>
      <c r="G920" s="665"/>
      <c r="H920" s="666"/>
      <c r="I920" s="667"/>
      <c r="J920" s="668"/>
      <c r="K920" s="663"/>
      <c r="L920" s="669"/>
    </row>
    <row r="921" spans="1:12" ht="21" x14ac:dyDescent="0.35">
      <c r="A921" s="781" t="s">
        <v>945</v>
      </c>
      <c r="B921" s="782"/>
      <c r="C921" s="782"/>
      <c r="D921" s="782"/>
      <c r="E921" s="782"/>
      <c r="F921" s="782"/>
      <c r="G921" s="782"/>
      <c r="H921" s="782"/>
      <c r="I921" s="782"/>
      <c r="J921" s="782"/>
      <c r="K921" s="782"/>
      <c r="L921" s="783"/>
    </row>
    <row r="922" spans="1:12" ht="18.75" x14ac:dyDescent="0.3">
      <c r="A922" s="784" t="s">
        <v>946</v>
      </c>
      <c r="B922" s="785"/>
      <c r="C922" s="785"/>
      <c r="D922" s="785"/>
      <c r="E922" s="785"/>
      <c r="F922" s="785"/>
      <c r="G922" s="785"/>
      <c r="H922" s="785"/>
      <c r="I922" s="785"/>
      <c r="J922" s="785"/>
      <c r="K922" s="785"/>
      <c r="L922" s="786"/>
    </row>
    <row r="923" spans="1:12" ht="24" x14ac:dyDescent="0.4">
      <c r="A923" s="787" t="s">
        <v>947</v>
      </c>
      <c r="B923" s="788"/>
      <c r="C923" s="788"/>
      <c r="D923" s="788"/>
      <c r="E923" s="788"/>
      <c r="F923" s="788"/>
      <c r="G923" s="788"/>
      <c r="H923" s="788"/>
      <c r="I923" s="788"/>
      <c r="J923" s="788"/>
      <c r="K923" s="788"/>
      <c r="L923" s="789"/>
    </row>
    <row r="924" spans="1:12" ht="24" x14ac:dyDescent="0.4">
      <c r="A924" s="623" t="s">
        <v>1279</v>
      </c>
      <c r="B924" s="624"/>
      <c r="C924" s="624"/>
      <c r="D924" s="625" t="s">
        <v>949</v>
      </c>
      <c r="E924" s="790" t="s">
        <v>683</v>
      </c>
      <c r="F924" s="790"/>
      <c r="G924" s="790"/>
      <c r="H924" s="790"/>
      <c r="I924" s="790"/>
      <c r="J924" s="626" t="s">
        <v>1136</v>
      </c>
      <c r="K924" s="790"/>
      <c r="L924" s="791"/>
    </row>
    <row r="925" spans="1:12" ht="15.75" thickBot="1" x14ac:dyDescent="0.3">
      <c r="A925" s="627"/>
      <c r="B925" s="628"/>
      <c r="C925" s="628"/>
      <c r="D925" s="629"/>
      <c r="E925" s="628"/>
      <c r="F925" s="628"/>
      <c r="G925" s="628"/>
      <c r="H925" s="628"/>
      <c r="I925" s="792"/>
      <c r="J925" s="792"/>
      <c r="K925" s="628"/>
      <c r="L925" s="630"/>
    </row>
    <row r="926" spans="1:12" ht="16.5" thickBot="1" x14ac:dyDescent="0.3">
      <c r="A926" s="631" t="s">
        <v>952</v>
      </c>
      <c r="B926" s="632"/>
      <c r="C926" s="633"/>
      <c r="D926" s="634" t="s">
        <v>953</v>
      </c>
      <c r="E926" s="631" t="s">
        <v>954</v>
      </c>
      <c r="F926" s="635" t="s">
        <v>955</v>
      </c>
      <c r="G926" s="631" t="s">
        <v>952</v>
      </c>
      <c r="H926" s="632"/>
      <c r="I926" s="633"/>
      <c r="J926" s="634" t="s">
        <v>953</v>
      </c>
      <c r="K926" s="631" t="s">
        <v>954</v>
      </c>
      <c r="L926" s="631" t="s">
        <v>955</v>
      </c>
    </row>
    <row r="927" spans="1:12" ht="15.75" x14ac:dyDescent="0.25">
      <c r="A927" s="636"/>
      <c r="B927" s="637"/>
      <c r="C927" s="638"/>
      <c r="D927" s="639"/>
      <c r="E927" s="640"/>
      <c r="F927" s="641"/>
      <c r="G927" s="636"/>
      <c r="H927" s="642"/>
      <c r="I927" s="643"/>
      <c r="J927" s="644"/>
      <c r="K927" s="645"/>
      <c r="L927" s="646"/>
    </row>
    <row r="928" spans="1:12" ht="15.75" x14ac:dyDescent="0.25">
      <c r="A928" s="647"/>
      <c r="B928" s="648" t="s">
        <v>459</v>
      </c>
      <c r="C928" s="649">
        <v>9</v>
      </c>
      <c r="D928" s="650" t="s">
        <v>1408</v>
      </c>
      <c r="E928" s="651"/>
      <c r="F928" s="652"/>
      <c r="G928" s="647"/>
      <c r="H928" s="648" t="s">
        <v>459</v>
      </c>
      <c r="I928" s="649">
        <v>76</v>
      </c>
      <c r="J928" s="650" t="s">
        <v>1409</v>
      </c>
      <c r="K928" s="651"/>
      <c r="L928" s="652"/>
    </row>
    <row r="929" spans="1:12" ht="15.75" x14ac:dyDescent="0.25">
      <c r="A929" s="647" t="s">
        <v>958</v>
      </c>
      <c r="B929" s="654"/>
      <c r="C929" s="649"/>
      <c r="D929" s="655" t="s">
        <v>959</v>
      </c>
      <c r="E929" s="651"/>
      <c r="F929" s="656">
        <v>0.40972222222222221</v>
      </c>
      <c r="G929" s="647" t="s">
        <v>958</v>
      </c>
      <c r="H929" s="654"/>
      <c r="I929" s="649"/>
      <c r="J929" s="655" t="s">
        <v>959</v>
      </c>
      <c r="K929" s="651"/>
      <c r="L929" s="656" t="s">
        <v>1410</v>
      </c>
    </row>
    <row r="930" spans="1:12" ht="15.75" x14ac:dyDescent="0.25">
      <c r="A930" s="647" t="s">
        <v>961</v>
      </c>
      <c r="B930" s="654"/>
      <c r="C930" s="649"/>
      <c r="D930" s="650" t="s">
        <v>163</v>
      </c>
      <c r="E930" s="651"/>
      <c r="F930" s="653">
        <v>0.4375</v>
      </c>
      <c r="G930" s="647" t="s">
        <v>961</v>
      </c>
      <c r="H930" s="654"/>
      <c r="I930" s="649"/>
      <c r="J930" s="650" t="s">
        <v>163</v>
      </c>
      <c r="K930" s="651"/>
      <c r="L930" s="653">
        <v>0.96527777777777779</v>
      </c>
    </row>
    <row r="931" spans="1:12" ht="15.75" x14ac:dyDescent="0.25">
      <c r="A931" s="647"/>
      <c r="B931" s="648"/>
      <c r="C931" s="649"/>
      <c r="D931" s="655" t="s">
        <v>164</v>
      </c>
      <c r="E931" s="651"/>
      <c r="F931" s="656">
        <v>0.46527777777777779</v>
      </c>
      <c r="G931" s="647"/>
      <c r="H931" s="648"/>
      <c r="I931" s="649"/>
      <c r="J931" s="655" t="s">
        <v>164</v>
      </c>
      <c r="K931" s="651"/>
      <c r="L931" s="656">
        <v>0.98611111111111116</v>
      </c>
    </row>
    <row r="932" spans="1:12" ht="15.75" x14ac:dyDescent="0.25">
      <c r="A932" s="647"/>
      <c r="B932" s="648"/>
      <c r="C932" s="649"/>
      <c r="D932" s="655" t="s">
        <v>166</v>
      </c>
      <c r="E932" s="651"/>
      <c r="F932" s="656">
        <v>0.47916666666666669</v>
      </c>
      <c r="G932" s="647"/>
      <c r="H932" s="648"/>
      <c r="I932" s="649"/>
      <c r="J932" s="655" t="s">
        <v>166</v>
      </c>
      <c r="K932" s="651"/>
      <c r="L932" s="656">
        <v>0.99652777777777779</v>
      </c>
    </row>
    <row r="933" spans="1:12" ht="15.75" x14ac:dyDescent="0.25">
      <c r="A933" s="647" t="s">
        <v>961</v>
      </c>
      <c r="B933" s="648"/>
      <c r="C933" s="649"/>
      <c r="D933" s="650" t="s">
        <v>160</v>
      </c>
      <c r="E933" s="651"/>
      <c r="F933" s="653">
        <v>0.52430555555555558</v>
      </c>
      <c r="G933" s="647" t="s">
        <v>961</v>
      </c>
      <c r="H933" s="648"/>
      <c r="I933" s="649"/>
      <c r="J933" s="650" t="s">
        <v>160</v>
      </c>
      <c r="K933" s="651"/>
      <c r="L933" s="653">
        <v>1.0347222222222223</v>
      </c>
    </row>
    <row r="934" spans="1:12" ht="15.75" x14ac:dyDescent="0.25">
      <c r="A934" s="647"/>
      <c r="B934" s="648"/>
      <c r="C934" s="649"/>
      <c r="D934" s="655" t="s">
        <v>962</v>
      </c>
      <c r="E934" s="651"/>
      <c r="F934" s="656">
        <v>0.53472222222222221</v>
      </c>
      <c r="G934" s="647"/>
      <c r="H934" s="648"/>
      <c r="I934" s="649"/>
      <c r="J934" s="655" t="s">
        <v>962</v>
      </c>
      <c r="K934" s="651"/>
      <c r="L934" s="656">
        <v>4.1666666666666664E-2</v>
      </c>
    </row>
    <row r="935" spans="1:12" ht="15.75" x14ac:dyDescent="0.25">
      <c r="A935" s="647"/>
      <c r="B935" s="648"/>
      <c r="C935" s="649"/>
      <c r="D935" s="655" t="s">
        <v>960</v>
      </c>
      <c r="E935" s="657">
        <v>0.55902777777777779</v>
      </c>
      <c r="F935" s="656"/>
      <c r="G935" s="647"/>
      <c r="H935" s="648"/>
      <c r="I935" s="649"/>
      <c r="J935" s="655" t="s">
        <v>960</v>
      </c>
      <c r="K935" s="657">
        <v>6.5972222222222224E-2</v>
      </c>
      <c r="L935" s="656"/>
    </row>
    <row r="936" spans="1:12" ht="15.75" x14ac:dyDescent="0.25">
      <c r="A936" s="647"/>
      <c r="B936" s="648" t="s">
        <v>462</v>
      </c>
      <c r="C936" s="649" t="s">
        <v>459</v>
      </c>
      <c r="D936" s="650"/>
      <c r="E936" s="651"/>
      <c r="F936" s="658"/>
      <c r="G936" s="647"/>
      <c r="H936" s="648" t="s">
        <v>459</v>
      </c>
      <c r="I936" s="649">
        <v>76</v>
      </c>
      <c r="J936" s="650" t="s">
        <v>1411</v>
      </c>
      <c r="K936" s="651"/>
      <c r="L936" s="658"/>
    </row>
    <row r="937" spans="1:12" ht="15.75" x14ac:dyDescent="0.25">
      <c r="A937" s="647"/>
      <c r="B937" s="648"/>
      <c r="C937" s="649"/>
      <c r="D937" s="650"/>
      <c r="E937" s="651"/>
      <c r="F937" s="656"/>
      <c r="G937" s="647"/>
      <c r="H937" s="648"/>
      <c r="I937" s="649"/>
      <c r="J937" s="650"/>
      <c r="K937" s="651"/>
      <c r="L937" s="656"/>
    </row>
    <row r="938" spans="1:12" ht="15.75" x14ac:dyDescent="0.25">
      <c r="A938" s="647"/>
      <c r="B938" s="648" t="s">
        <v>459</v>
      </c>
      <c r="C938" s="649">
        <v>18</v>
      </c>
      <c r="D938" s="650" t="s">
        <v>1412</v>
      </c>
      <c r="E938" s="651"/>
      <c r="F938" s="653"/>
      <c r="G938" s="647"/>
      <c r="H938" s="648" t="s">
        <v>459</v>
      </c>
      <c r="I938" s="649">
        <v>74</v>
      </c>
      <c r="J938" s="650" t="s">
        <v>1413</v>
      </c>
      <c r="K938" s="651"/>
      <c r="L938" s="653"/>
    </row>
    <row r="939" spans="1:12" ht="15.75" x14ac:dyDescent="0.25">
      <c r="A939" s="647"/>
      <c r="B939" s="648"/>
      <c r="C939" s="649"/>
      <c r="D939" s="655" t="s">
        <v>960</v>
      </c>
      <c r="E939" s="651"/>
      <c r="F939" s="656">
        <v>0.55902777777777779</v>
      </c>
      <c r="G939" s="647"/>
      <c r="H939" s="648"/>
      <c r="I939" s="649"/>
      <c r="J939" s="655" t="s">
        <v>960</v>
      </c>
      <c r="K939" s="651"/>
      <c r="L939" s="656">
        <v>6.5972222222222224E-2</v>
      </c>
    </row>
    <row r="940" spans="1:12" ht="15.75" x14ac:dyDescent="0.25">
      <c r="A940" s="647" t="s">
        <v>961</v>
      </c>
      <c r="B940" s="654"/>
      <c r="C940" s="649"/>
      <c r="D940" s="650" t="s">
        <v>163</v>
      </c>
      <c r="E940" s="651"/>
      <c r="F940" s="653">
        <v>0.62152777777777779</v>
      </c>
      <c r="G940" s="647" t="s">
        <v>961</v>
      </c>
      <c r="H940" s="654"/>
      <c r="I940" s="649"/>
      <c r="J940" s="650" t="s">
        <v>163</v>
      </c>
      <c r="K940" s="651"/>
      <c r="L940" s="653">
        <v>0.14583333333333334</v>
      </c>
    </row>
    <row r="941" spans="1:12" ht="15.75" x14ac:dyDescent="0.25">
      <c r="A941" s="647"/>
      <c r="B941" s="648"/>
      <c r="C941" s="649"/>
      <c r="D941" s="655" t="s">
        <v>164</v>
      </c>
      <c r="E941" s="651"/>
      <c r="F941" s="656">
        <v>0.65277777777777779</v>
      </c>
      <c r="G941" s="647"/>
      <c r="H941" s="648"/>
      <c r="I941" s="649"/>
      <c r="J941" s="655" t="s">
        <v>164</v>
      </c>
      <c r="K941" s="651"/>
      <c r="L941" s="656">
        <v>0.16666666666666666</v>
      </c>
    </row>
    <row r="942" spans="1:12" ht="15.75" x14ac:dyDescent="0.25">
      <c r="A942" s="647"/>
      <c r="B942" s="648"/>
      <c r="C942" s="649"/>
      <c r="D942" s="655" t="s">
        <v>166</v>
      </c>
      <c r="E942" s="657">
        <v>0.66666666666666663</v>
      </c>
      <c r="F942" s="656"/>
      <c r="G942" s="647"/>
      <c r="H942" s="648"/>
      <c r="I942" s="649"/>
      <c r="J942" s="655" t="s">
        <v>166</v>
      </c>
      <c r="K942" s="651"/>
      <c r="L942" s="656">
        <v>0.17708333333333334</v>
      </c>
    </row>
    <row r="943" spans="1:12" ht="15.75" x14ac:dyDescent="0.25">
      <c r="A943" s="647"/>
      <c r="B943" s="648" t="s">
        <v>462</v>
      </c>
      <c r="C943" s="649" t="s">
        <v>459</v>
      </c>
      <c r="D943" s="650"/>
      <c r="E943" s="651"/>
      <c r="F943" s="653"/>
      <c r="G943" s="647" t="s">
        <v>958</v>
      </c>
      <c r="H943" s="648"/>
      <c r="I943" s="649"/>
      <c r="J943" s="650" t="s">
        <v>160</v>
      </c>
      <c r="K943" s="657">
        <v>0.20972222222222223</v>
      </c>
      <c r="L943" s="653"/>
    </row>
    <row r="944" spans="1:12" ht="15.75" x14ac:dyDescent="0.25">
      <c r="A944" s="647"/>
      <c r="B944" s="648"/>
      <c r="C944" s="649"/>
      <c r="D944" s="655"/>
      <c r="E944" s="651"/>
      <c r="F944" s="656"/>
      <c r="G944" s="647"/>
      <c r="H944" s="648"/>
      <c r="I944" s="649"/>
      <c r="J944" s="650" t="s">
        <v>963</v>
      </c>
      <c r="K944" s="657">
        <v>0.24097222222222223</v>
      </c>
      <c r="L944" s="656"/>
    </row>
    <row r="945" spans="1:12" ht="15.75" x14ac:dyDescent="0.25">
      <c r="A945" s="647"/>
      <c r="B945" s="648" t="s">
        <v>459</v>
      </c>
      <c r="C945" s="649">
        <v>208</v>
      </c>
      <c r="D945" s="650" t="s">
        <v>1414</v>
      </c>
      <c r="E945" s="651"/>
      <c r="F945" s="653"/>
      <c r="G945" s="647"/>
      <c r="H945" s="648" t="s">
        <v>462</v>
      </c>
      <c r="I945" s="649" t="s">
        <v>459</v>
      </c>
      <c r="J945" s="650"/>
      <c r="K945" s="657"/>
      <c r="L945" s="653"/>
    </row>
    <row r="946" spans="1:12" ht="15.75" x14ac:dyDescent="0.25">
      <c r="A946" s="647"/>
      <c r="B946" s="648"/>
      <c r="C946" s="649"/>
      <c r="D946" s="655" t="s">
        <v>166</v>
      </c>
      <c r="E946" s="651"/>
      <c r="F946" s="656">
        <v>0.66666666666666663</v>
      </c>
      <c r="G946" s="647"/>
      <c r="H946" s="648"/>
      <c r="I946" s="649"/>
      <c r="J946" s="650"/>
      <c r="K946" s="651"/>
      <c r="L946" s="653"/>
    </row>
    <row r="947" spans="1:12" ht="15.75" x14ac:dyDescent="0.25">
      <c r="A947" s="647" t="s">
        <v>961</v>
      </c>
      <c r="B947" s="648"/>
      <c r="C947" s="649"/>
      <c r="D947" s="650" t="s">
        <v>160</v>
      </c>
      <c r="E947" s="651"/>
      <c r="F947" s="653">
        <v>0.71180555555555558</v>
      </c>
      <c r="G947" s="647"/>
      <c r="H947" s="648"/>
      <c r="I947" s="649"/>
      <c r="J947" s="655"/>
      <c r="K947" s="651"/>
      <c r="L947" s="656"/>
    </row>
    <row r="948" spans="1:12" ht="15.75" x14ac:dyDescent="0.25">
      <c r="A948" s="647"/>
      <c r="B948" s="648"/>
      <c r="C948" s="649"/>
      <c r="D948" s="655" t="s">
        <v>962</v>
      </c>
      <c r="E948" s="651"/>
      <c r="F948" s="656">
        <v>0.72222222222222221</v>
      </c>
      <c r="G948" s="647"/>
      <c r="H948" s="648"/>
      <c r="I948" s="649"/>
      <c r="J948" s="655"/>
      <c r="K948" s="657"/>
      <c r="L948" s="656"/>
    </row>
    <row r="949" spans="1:12" ht="15.75" x14ac:dyDescent="0.25">
      <c r="A949" s="647"/>
      <c r="B949" s="654"/>
      <c r="C949" s="649"/>
      <c r="D949" s="655" t="s">
        <v>960</v>
      </c>
      <c r="E949" s="651"/>
      <c r="F949" s="656">
        <v>0.75</v>
      </c>
      <c r="G949" s="647"/>
      <c r="H949" s="648"/>
      <c r="I949" s="649"/>
      <c r="J949" s="650"/>
      <c r="K949" s="651"/>
      <c r="L949" s="658"/>
    </row>
    <row r="950" spans="1:12" ht="15.75" x14ac:dyDescent="0.25">
      <c r="A950" s="647" t="s">
        <v>958</v>
      </c>
      <c r="B950" s="654"/>
      <c r="C950" s="649"/>
      <c r="D950" s="650" t="s">
        <v>163</v>
      </c>
      <c r="E950" s="657">
        <v>0.79861111111111116</v>
      </c>
      <c r="F950" s="653"/>
      <c r="G950" s="647"/>
      <c r="H950" s="648"/>
      <c r="I950" s="649"/>
      <c r="J950" s="650"/>
      <c r="K950" s="651"/>
      <c r="L950" s="652"/>
    </row>
    <row r="951" spans="1:12" ht="15.75" x14ac:dyDescent="0.25">
      <c r="A951" s="647"/>
      <c r="B951" s="648"/>
      <c r="C951" s="649"/>
      <c r="D951" s="650" t="s">
        <v>963</v>
      </c>
      <c r="E951" s="657">
        <v>0.82291666666666663</v>
      </c>
      <c r="F951" s="656"/>
      <c r="G951" s="647"/>
      <c r="H951" s="648"/>
      <c r="I951" s="649"/>
      <c r="J951" s="650"/>
      <c r="K951" s="651"/>
      <c r="L951" s="652"/>
    </row>
    <row r="952" spans="1:12" ht="15.75" x14ac:dyDescent="0.25">
      <c r="A952" s="647"/>
      <c r="B952" s="648" t="s">
        <v>462</v>
      </c>
      <c r="C952" s="649" t="s">
        <v>459</v>
      </c>
      <c r="D952" s="650"/>
      <c r="E952" s="657"/>
      <c r="F952" s="653"/>
      <c r="G952" s="647"/>
      <c r="H952" s="648"/>
      <c r="I952" s="649"/>
      <c r="J952" s="650"/>
      <c r="K952" s="651"/>
      <c r="L952" s="652"/>
    </row>
    <row r="953" spans="1:12" ht="15.75" x14ac:dyDescent="0.25">
      <c r="A953" s="647"/>
      <c r="B953" s="648"/>
      <c r="C953" s="649"/>
      <c r="D953" s="650"/>
      <c r="E953" s="651"/>
      <c r="F953" s="653"/>
      <c r="G953" s="647"/>
      <c r="H953" s="648"/>
      <c r="I953" s="649"/>
      <c r="J953" s="650"/>
      <c r="K953" s="651"/>
      <c r="L953" s="652"/>
    </row>
    <row r="954" spans="1:12" ht="15.75" x14ac:dyDescent="0.25">
      <c r="A954" s="647"/>
      <c r="B954" s="648"/>
      <c r="C954" s="649"/>
      <c r="D954" s="655"/>
      <c r="E954" s="651"/>
      <c r="F954" s="656"/>
      <c r="G954" s="647"/>
      <c r="H954" s="648"/>
      <c r="I954" s="649"/>
      <c r="J954" s="650"/>
      <c r="K954" s="651"/>
      <c r="L954" s="652"/>
    </row>
    <row r="955" spans="1:12" ht="15.75" x14ac:dyDescent="0.25">
      <c r="A955" s="647"/>
      <c r="B955" s="648"/>
      <c r="C955" s="649"/>
      <c r="D955" s="655"/>
      <c r="E955" s="657"/>
      <c r="F955" s="656"/>
      <c r="G955" s="647"/>
      <c r="H955" s="648"/>
      <c r="I955" s="649"/>
      <c r="J955" s="650"/>
      <c r="K955" s="651"/>
      <c r="L955" s="652"/>
    </row>
    <row r="956" spans="1:12" ht="15.75" x14ac:dyDescent="0.25">
      <c r="A956" s="647"/>
      <c r="B956" s="648"/>
      <c r="C956" s="649"/>
      <c r="D956" s="650"/>
      <c r="E956" s="651"/>
      <c r="F956" s="658"/>
      <c r="G956" s="647"/>
      <c r="H956" s="648"/>
      <c r="I956" s="649"/>
      <c r="J956" s="650"/>
      <c r="K956" s="651"/>
      <c r="L956" s="652"/>
    </row>
    <row r="957" spans="1:12" ht="15.75" x14ac:dyDescent="0.25">
      <c r="A957" s="647"/>
      <c r="B957" s="648"/>
      <c r="C957" s="649"/>
      <c r="D957" s="650"/>
      <c r="E957" s="657"/>
      <c r="F957" s="658"/>
      <c r="G957" s="647"/>
      <c r="H957" s="648"/>
      <c r="I957" s="649"/>
      <c r="J957" s="650"/>
      <c r="K957" s="651"/>
      <c r="L957" s="658"/>
    </row>
    <row r="958" spans="1:12" ht="15.75" x14ac:dyDescent="0.25">
      <c r="A958" s="647"/>
      <c r="B958" s="648"/>
      <c r="C958" s="649"/>
      <c r="D958" s="655"/>
      <c r="E958" s="657"/>
      <c r="F958" s="653"/>
      <c r="G958" s="647"/>
      <c r="H958" s="648"/>
      <c r="I958" s="649"/>
      <c r="J958" s="655"/>
      <c r="K958" s="651"/>
      <c r="L958" s="658"/>
    </row>
    <row r="959" spans="1:12" ht="15.75" x14ac:dyDescent="0.25">
      <c r="A959" s="647"/>
      <c r="B959" s="648"/>
      <c r="C959" s="649"/>
      <c r="D959" s="650"/>
      <c r="E959" s="651"/>
      <c r="F959" s="652"/>
      <c r="G959" s="647"/>
      <c r="H959" s="648"/>
      <c r="I959" s="649"/>
      <c r="J959" s="650"/>
      <c r="K959" s="651"/>
      <c r="L959" s="658"/>
    </row>
    <row r="960" spans="1:12" ht="16.5" thickBot="1" x14ac:dyDescent="0.3">
      <c r="A960" s="659"/>
      <c r="B960" s="660"/>
      <c r="C960" s="661"/>
      <c r="D960" s="662"/>
      <c r="E960" s="663"/>
      <c r="F960" s="664"/>
      <c r="G960" s="665"/>
      <c r="H960" s="666"/>
      <c r="I960" s="667"/>
      <c r="J960" s="668"/>
      <c r="K960" s="663"/>
      <c r="L960" s="669"/>
    </row>
    <row r="961" spans="1:12" ht="21" x14ac:dyDescent="0.35">
      <c r="A961" s="781" t="s">
        <v>945</v>
      </c>
      <c r="B961" s="782"/>
      <c r="C961" s="782"/>
      <c r="D961" s="782"/>
      <c r="E961" s="782"/>
      <c r="F961" s="782"/>
      <c r="G961" s="782"/>
      <c r="H961" s="782"/>
      <c r="I961" s="782"/>
      <c r="J961" s="782"/>
      <c r="K961" s="782"/>
      <c r="L961" s="783"/>
    </row>
    <row r="962" spans="1:12" ht="18.75" x14ac:dyDescent="0.3">
      <c r="A962" s="784" t="s">
        <v>946</v>
      </c>
      <c r="B962" s="785"/>
      <c r="C962" s="785"/>
      <c r="D962" s="785"/>
      <c r="E962" s="785"/>
      <c r="F962" s="785"/>
      <c r="G962" s="785"/>
      <c r="H962" s="785"/>
      <c r="I962" s="785"/>
      <c r="J962" s="785"/>
      <c r="K962" s="785"/>
      <c r="L962" s="786"/>
    </row>
    <row r="963" spans="1:12" ht="24" x14ac:dyDescent="0.4">
      <c r="A963" s="787" t="s">
        <v>947</v>
      </c>
      <c r="B963" s="788"/>
      <c r="C963" s="788"/>
      <c r="D963" s="788"/>
      <c r="E963" s="788"/>
      <c r="F963" s="788"/>
      <c r="G963" s="788"/>
      <c r="H963" s="788"/>
      <c r="I963" s="788"/>
      <c r="J963" s="788"/>
      <c r="K963" s="788"/>
      <c r="L963" s="789"/>
    </row>
    <row r="964" spans="1:12" ht="24" x14ac:dyDescent="0.4">
      <c r="A964" s="623" t="s">
        <v>1279</v>
      </c>
      <c r="B964" s="624"/>
      <c r="C964" s="624"/>
      <c r="D964" s="625" t="s">
        <v>949</v>
      </c>
      <c r="E964" s="790" t="s">
        <v>683</v>
      </c>
      <c r="F964" s="790"/>
      <c r="G964" s="790"/>
      <c r="H964" s="790"/>
      <c r="I964" s="790"/>
      <c r="J964" s="626" t="s">
        <v>1144</v>
      </c>
      <c r="K964" s="790"/>
      <c r="L964" s="791"/>
    </row>
    <row r="965" spans="1:12" ht="15.75" thickBot="1" x14ac:dyDescent="0.3">
      <c r="A965" s="627"/>
      <c r="B965" s="628"/>
      <c r="C965" s="628"/>
      <c r="D965" s="629"/>
      <c r="E965" s="628"/>
      <c r="F965" s="628"/>
      <c r="G965" s="628"/>
      <c r="H965" s="628"/>
      <c r="I965" s="792"/>
      <c r="J965" s="792"/>
      <c r="K965" s="628"/>
      <c r="L965" s="630"/>
    </row>
    <row r="966" spans="1:12" ht="16.5" thickBot="1" x14ac:dyDescent="0.3">
      <c r="A966" s="631" t="s">
        <v>952</v>
      </c>
      <c r="B966" s="632"/>
      <c r="C966" s="633"/>
      <c r="D966" s="634" t="s">
        <v>953</v>
      </c>
      <c r="E966" s="631" t="s">
        <v>954</v>
      </c>
      <c r="F966" s="635" t="s">
        <v>955</v>
      </c>
      <c r="G966" s="631" t="s">
        <v>952</v>
      </c>
      <c r="H966" s="632"/>
      <c r="I966" s="633"/>
      <c r="J966" s="634" t="s">
        <v>953</v>
      </c>
      <c r="K966" s="631" t="s">
        <v>954</v>
      </c>
      <c r="L966" s="631" t="s">
        <v>955</v>
      </c>
    </row>
    <row r="967" spans="1:12" ht="15.75" x14ac:dyDescent="0.25">
      <c r="A967" s="636"/>
      <c r="B967" s="637"/>
      <c r="C967" s="638"/>
      <c r="D967" s="639"/>
      <c r="E967" s="640"/>
      <c r="F967" s="641"/>
      <c r="G967" s="636"/>
      <c r="H967" s="642"/>
      <c r="I967" s="643"/>
      <c r="J967" s="644"/>
      <c r="K967" s="645"/>
      <c r="L967" s="646"/>
    </row>
    <row r="968" spans="1:12" ht="15.75" x14ac:dyDescent="0.25">
      <c r="A968" s="647"/>
      <c r="B968" s="648" t="s">
        <v>459</v>
      </c>
      <c r="C968" s="649">
        <v>207</v>
      </c>
      <c r="D968" s="650" t="s">
        <v>1415</v>
      </c>
      <c r="E968" s="651"/>
      <c r="F968" s="652"/>
      <c r="G968" s="647"/>
      <c r="H968" s="648"/>
      <c r="I968" s="649"/>
      <c r="J968" s="650"/>
      <c r="K968" s="651"/>
      <c r="L968" s="652"/>
    </row>
    <row r="969" spans="1:12" ht="15.75" x14ac:dyDescent="0.25">
      <c r="A969" s="647" t="s">
        <v>958</v>
      </c>
      <c r="B969" s="654"/>
      <c r="C969" s="649"/>
      <c r="D969" s="655" t="s">
        <v>959</v>
      </c>
      <c r="E969" s="651"/>
      <c r="F969" s="656">
        <v>0.41666666666666669</v>
      </c>
      <c r="G969" s="647"/>
      <c r="H969" s="654"/>
      <c r="I969" s="649"/>
      <c r="J969" s="655"/>
      <c r="K969" s="651"/>
      <c r="L969" s="656"/>
    </row>
    <row r="970" spans="1:12" ht="15.75" x14ac:dyDescent="0.25">
      <c r="A970" s="647" t="s">
        <v>961</v>
      </c>
      <c r="B970" s="648"/>
      <c r="C970" s="649"/>
      <c r="D970" s="650" t="s">
        <v>160</v>
      </c>
      <c r="E970" s="651"/>
      <c r="F970" s="653">
        <v>0.4513888888888889</v>
      </c>
      <c r="G970" s="647"/>
      <c r="H970" s="654"/>
      <c r="I970" s="649"/>
      <c r="J970" s="650"/>
      <c r="K970" s="651"/>
      <c r="L970" s="653"/>
    </row>
    <row r="971" spans="1:12" ht="15.75" x14ac:dyDescent="0.25">
      <c r="A971" s="647"/>
      <c r="B971" s="648"/>
      <c r="C971" s="649"/>
      <c r="D971" s="655" t="s">
        <v>962</v>
      </c>
      <c r="E971" s="651"/>
      <c r="F971" s="656">
        <v>0.45833333333333331</v>
      </c>
      <c r="G971" s="647"/>
      <c r="H971" s="648"/>
      <c r="I971" s="649"/>
      <c r="J971" s="655"/>
      <c r="K971" s="651"/>
      <c r="L971" s="656"/>
    </row>
    <row r="972" spans="1:12" ht="15.75" x14ac:dyDescent="0.25">
      <c r="A972" s="647"/>
      <c r="B972" s="654"/>
      <c r="C972" s="649"/>
      <c r="D972" s="655" t="s">
        <v>960</v>
      </c>
      <c r="E972" s="651"/>
      <c r="F972" s="656">
        <v>0.4861111111111111</v>
      </c>
      <c r="G972" s="647"/>
      <c r="H972" s="648"/>
      <c r="I972" s="649"/>
      <c r="J972" s="655"/>
      <c r="K972" s="651"/>
      <c r="L972" s="656"/>
    </row>
    <row r="973" spans="1:12" ht="15.75" x14ac:dyDescent="0.25">
      <c r="A973" s="647" t="s">
        <v>958</v>
      </c>
      <c r="B973" s="654"/>
      <c r="C973" s="649"/>
      <c r="D973" s="650" t="s">
        <v>163</v>
      </c>
      <c r="E973" s="657">
        <v>0.53819444444444442</v>
      </c>
      <c r="F973" s="653"/>
      <c r="G973" s="647"/>
      <c r="H973" s="648"/>
      <c r="I973" s="649"/>
      <c r="J973" s="650"/>
      <c r="K973" s="651"/>
      <c r="L973" s="653"/>
    </row>
    <row r="974" spans="1:12" ht="15.75" x14ac:dyDescent="0.25">
      <c r="A974" s="647"/>
      <c r="B974" s="648"/>
      <c r="C974" s="649"/>
      <c r="D974" s="650" t="s">
        <v>963</v>
      </c>
      <c r="E974" s="657">
        <v>0.5625</v>
      </c>
      <c r="F974" s="656"/>
      <c r="G974" s="647"/>
      <c r="H974" s="648"/>
      <c r="I974" s="649"/>
      <c r="J974" s="655"/>
      <c r="K974" s="651"/>
      <c r="L974" s="656"/>
    </row>
    <row r="975" spans="1:12" ht="15.75" x14ac:dyDescent="0.25">
      <c r="A975" s="647"/>
      <c r="B975" s="648" t="s">
        <v>462</v>
      </c>
      <c r="C975" s="649" t="s">
        <v>459</v>
      </c>
      <c r="D975" s="650"/>
      <c r="E975" s="657"/>
      <c r="F975" s="653"/>
      <c r="G975" s="647"/>
      <c r="H975" s="648"/>
      <c r="I975" s="649"/>
      <c r="J975" s="655"/>
      <c r="K975" s="657"/>
      <c r="L975" s="656"/>
    </row>
    <row r="976" spans="1:12" ht="15.75" x14ac:dyDescent="0.25">
      <c r="A976" s="647"/>
      <c r="B976" s="648"/>
      <c r="C976" s="649"/>
      <c r="D976" s="650"/>
      <c r="E976" s="651"/>
      <c r="F976" s="653"/>
      <c r="G976" s="647"/>
      <c r="H976" s="648"/>
      <c r="I976" s="649"/>
      <c r="J976" s="650"/>
      <c r="K976" s="651"/>
      <c r="L976" s="658"/>
    </row>
    <row r="977" spans="1:12" ht="15.75" x14ac:dyDescent="0.25">
      <c r="A977" s="647"/>
      <c r="B977" s="648"/>
      <c r="C977" s="649"/>
      <c r="D977" s="655"/>
      <c r="E977" s="651"/>
      <c r="F977" s="656"/>
      <c r="G977" s="647"/>
      <c r="H977" s="648"/>
      <c r="I977" s="649"/>
      <c r="J977" s="650"/>
      <c r="K977" s="651"/>
      <c r="L977" s="656"/>
    </row>
    <row r="978" spans="1:12" ht="15.75" x14ac:dyDescent="0.25">
      <c r="A978" s="647"/>
      <c r="B978" s="648"/>
      <c r="C978" s="649"/>
      <c r="D978" s="655"/>
      <c r="E978" s="657"/>
      <c r="F978" s="656"/>
      <c r="G978" s="647"/>
      <c r="H978" s="648"/>
      <c r="I978" s="649"/>
      <c r="J978" s="650"/>
      <c r="K978" s="651"/>
      <c r="L978" s="653"/>
    </row>
    <row r="979" spans="1:12" ht="15.75" x14ac:dyDescent="0.25">
      <c r="A979" s="647"/>
      <c r="B979" s="648"/>
      <c r="C979" s="649"/>
      <c r="D979" s="650"/>
      <c r="E979" s="651"/>
      <c r="F979" s="658"/>
      <c r="G979" s="647"/>
      <c r="H979" s="648"/>
      <c r="I979" s="649"/>
      <c r="J979" s="655"/>
      <c r="K979" s="651"/>
      <c r="L979" s="656"/>
    </row>
    <row r="980" spans="1:12" ht="15.75" x14ac:dyDescent="0.25">
      <c r="A980" s="647"/>
      <c r="B980" s="648"/>
      <c r="C980" s="649"/>
      <c r="D980" s="650"/>
      <c r="E980" s="657"/>
      <c r="F980" s="658"/>
      <c r="G980" s="647"/>
      <c r="H980" s="654"/>
      <c r="I980" s="649"/>
      <c r="J980" s="650"/>
      <c r="K980" s="651"/>
      <c r="L980" s="653"/>
    </row>
    <row r="981" spans="1:12" ht="15.75" x14ac:dyDescent="0.25">
      <c r="A981" s="647"/>
      <c r="B981" s="648"/>
      <c r="C981" s="649"/>
      <c r="D981" s="655"/>
      <c r="E981" s="657"/>
      <c r="F981" s="653"/>
      <c r="G981" s="647"/>
      <c r="H981" s="648"/>
      <c r="I981" s="649"/>
      <c r="J981" s="655"/>
      <c r="K981" s="651"/>
      <c r="L981" s="656"/>
    </row>
    <row r="982" spans="1:12" ht="15.75" x14ac:dyDescent="0.25">
      <c r="A982" s="647"/>
      <c r="B982" s="648"/>
      <c r="C982" s="649"/>
      <c r="D982" s="650"/>
      <c r="E982" s="651"/>
      <c r="F982" s="652"/>
      <c r="G982" s="647"/>
      <c r="H982" s="648"/>
      <c r="I982" s="649"/>
      <c r="J982" s="655"/>
      <c r="K982" s="651"/>
      <c r="L982" s="656"/>
    </row>
    <row r="983" spans="1:12" ht="15.75" x14ac:dyDescent="0.25">
      <c r="A983" s="647"/>
      <c r="B983" s="648"/>
      <c r="C983" s="649"/>
      <c r="D983" s="650"/>
      <c r="E983" s="651"/>
      <c r="F983" s="653"/>
      <c r="G983" s="647"/>
      <c r="H983" s="648"/>
      <c r="I983" s="649"/>
      <c r="J983" s="650"/>
      <c r="K983" s="657"/>
      <c r="L983" s="653"/>
    </row>
    <row r="984" spans="1:12" ht="15.75" x14ac:dyDescent="0.25">
      <c r="A984" s="647"/>
      <c r="B984" s="648"/>
      <c r="C984" s="649"/>
      <c r="D984" s="655"/>
      <c r="E984" s="651"/>
      <c r="F984" s="656"/>
      <c r="G984" s="647"/>
      <c r="H984" s="648"/>
      <c r="I984" s="649"/>
      <c r="J984" s="650"/>
      <c r="K984" s="657"/>
      <c r="L984" s="656"/>
    </row>
    <row r="985" spans="1:12" ht="15.75" x14ac:dyDescent="0.25">
      <c r="A985" s="647"/>
      <c r="B985" s="648"/>
      <c r="C985" s="649"/>
      <c r="D985" s="650"/>
      <c r="E985" s="651"/>
      <c r="F985" s="653"/>
      <c r="G985" s="647"/>
      <c r="H985" s="648"/>
      <c r="I985" s="649"/>
      <c r="J985" s="650"/>
      <c r="K985" s="657"/>
      <c r="L985" s="653"/>
    </row>
    <row r="986" spans="1:12" ht="15.75" x14ac:dyDescent="0.25">
      <c r="A986" s="647"/>
      <c r="B986" s="648"/>
      <c r="C986" s="649"/>
      <c r="D986" s="655"/>
      <c r="E986" s="651"/>
      <c r="F986" s="656"/>
      <c r="G986" s="647"/>
      <c r="H986" s="648"/>
      <c r="I986" s="649"/>
      <c r="J986" s="650"/>
      <c r="K986" s="651"/>
      <c r="L986" s="653"/>
    </row>
    <row r="987" spans="1:12" ht="15.75" x14ac:dyDescent="0.25">
      <c r="A987" s="647"/>
      <c r="B987" s="648"/>
      <c r="C987" s="649"/>
      <c r="D987" s="650"/>
      <c r="E987" s="651"/>
      <c r="F987" s="653"/>
      <c r="G987" s="647"/>
      <c r="H987" s="648"/>
      <c r="I987" s="649"/>
      <c r="J987" s="655"/>
      <c r="K987" s="651"/>
      <c r="L987" s="656"/>
    </row>
    <row r="988" spans="1:12" ht="15.75" x14ac:dyDescent="0.25">
      <c r="A988" s="647"/>
      <c r="B988" s="648"/>
      <c r="C988" s="649"/>
      <c r="D988" s="655"/>
      <c r="E988" s="651"/>
      <c r="F988" s="656"/>
      <c r="G988" s="647"/>
      <c r="H988" s="648"/>
      <c r="I988" s="649"/>
      <c r="J988" s="655"/>
      <c r="K988" s="657"/>
      <c r="L988" s="656"/>
    </row>
    <row r="989" spans="1:12" ht="15.75" x14ac:dyDescent="0.25">
      <c r="A989" s="647"/>
      <c r="B989" s="654"/>
      <c r="C989" s="649"/>
      <c r="D989" s="655"/>
      <c r="E989" s="651"/>
      <c r="F989" s="656"/>
      <c r="G989" s="647"/>
      <c r="H989" s="648"/>
      <c r="I989" s="649"/>
      <c r="J989" s="650"/>
      <c r="K989" s="651"/>
      <c r="L989" s="658"/>
    </row>
    <row r="990" spans="1:12" ht="15.75" x14ac:dyDescent="0.25">
      <c r="A990" s="647"/>
      <c r="B990" s="654"/>
      <c r="C990" s="649"/>
      <c r="D990" s="650"/>
      <c r="E990" s="657"/>
      <c r="F990" s="653"/>
      <c r="G990" s="647"/>
      <c r="H990" s="648"/>
      <c r="I990" s="649"/>
      <c r="J990" s="650"/>
      <c r="K990" s="651"/>
      <c r="L990" s="652"/>
    </row>
    <row r="991" spans="1:12" ht="15.75" x14ac:dyDescent="0.25">
      <c r="A991" s="647"/>
      <c r="B991" s="648"/>
      <c r="C991" s="649"/>
      <c r="D991" s="650"/>
      <c r="E991" s="657"/>
      <c r="F991" s="656"/>
      <c r="G991" s="647"/>
      <c r="H991" s="648"/>
      <c r="I991" s="649"/>
      <c r="J991" s="650"/>
      <c r="K991" s="651"/>
      <c r="L991" s="652"/>
    </row>
    <row r="992" spans="1:12" ht="15.75" x14ac:dyDescent="0.25">
      <c r="A992" s="647"/>
      <c r="B992" s="648"/>
      <c r="C992" s="649"/>
      <c r="D992" s="650"/>
      <c r="E992" s="657"/>
      <c r="F992" s="653"/>
      <c r="G992" s="647"/>
      <c r="H992" s="648"/>
      <c r="I992" s="649"/>
      <c r="J992" s="650"/>
      <c r="K992" s="651"/>
      <c r="L992" s="652"/>
    </row>
    <row r="993" spans="1:12" ht="15.75" x14ac:dyDescent="0.25">
      <c r="A993" s="647"/>
      <c r="B993" s="648"/>
      <c r="C993" s="649"/>
      <c r="D993" s="650"/>
      <c r="E993" s="651"/>
      <c r="F993" s="653"/>
      <c r="G993" s="647"/>
      <c r="H993" s="648"/>
      <c r="I993" s="649"/>
      <c r="J993" s="650"/>
      <c r="K993" s="651"/>
      <c r="L993" s="652"/>
    </row>
    <row r="994" spans="1:12" ht="15.75" x14ac:dyDescent="0.25">
      <c r="A994" s="647"/>
      <c r="B994" s="648"/>
      <c r="C994" s="649"/>
      <c r="D994" s="655"/>
      <c r="E994" s="651"/>
      <c r="F994" s="656"/>
      <c r="G994" s="647"/>
      <c r="H994" s="648"/>
      <c r="I994" s="649"/>
      <c r="J994" s="650"/>
      <c r="K994" s="651"/>
      <c r="L994" s="652"/>
    </row>
    <row r="995" spans="1:12" ht="15.75" x14ac:dyDescent="0.25">
      <c r="A995" s="647"/>
      <c r="B995" s="648"/>
      <c r="C995" s="649"/>
      <c r="D995" s="655"/>
      <c r="E995" s="657"/>
      <c r="F995" s="656"/>
      <c r="G995" s="647"/>
      <c r="H995" s="648"/>
      <c r="I995" s="649"/>
      <c r="J995" s="650"/>
      <c r="K995" s="651"/>
      <c r="L995" s="652"/>
    </row>
    <row r="996" spans="1:12" ht="15.75" x14ac:dyDescent="0.25">
      <c r="A996" s="647"/>
      <c r="B996" s="648"/>
      <c r="C996" s="649"/>
      <c r="D996" s="650"/>
      <c r="E996" s="651"/>
      <c r="F996" s="658"/>
      <c r="G996" s="647"/>
      <c r="H996" s="648"/>
      <c r="I996" s="649"/>
      <c r="J996" s="650"/>
      <c r="K996" s="651"/>
      <c r="L996" s="652"/>
    </row>
    <row r="997" spans="1:12" ht="15.75" x14ac:dyDescent="0.25">
      <c r="A997" s="647"/>
      <c r="B997" s="648"/>
      <c r="C997" s="649"/>
      <c r="D997" s="650"/>
      <c r="E997" s="657"/>
      <c r="F997" s="658"/>
      <c r="G997" s="647"/>
      <c r="H997" s="648"/>
      <c r="I997" s="649"/>
      <c r="J997" s="650"/>
      <c r="K997" s="651"/>
      <c r="L997" s="658"/>
    </row>
    <row r="998" spans="1:12" ht="15.75" x14ac:dyDescent="0.25">
      <c r="A998" s="647"/>
      <c r="B998" s="648"/>
      <c r="C998" s="649"/>
      <c r="D998" s="655"/>
      <c r="E998" s="657"/>
      <c r="F998" s="653"/>
      <c r="G998" s="647"/>
      <c r="H998" s="648"/>
      <c r="I998" s="649"/>
      <c r="J998" s="655"/>
      <c r="K998" s="651"/>
      <c r="L998" s="658"/>
    </row>
    <row r="999" spans="1:12" ht="15.75" x14ac:dyDescent="0.25">
      <c r="A999" s="647"/>
      <c r="B999" s="648"/>
      <c r="C999" s="649"/>
      <c r="D999" s="650"/>
      <c r="E999" s="651"/>
      <c r="F999" s="652"/>
      <c r="G999" s="647"/>
      <c r="H999" s="648"/>
      <c r="I999" s="649"/>
      <c r="J999" s="650"/>
      <c r="K999" s="651"/>
      <c r="L999" s="658"/>
    </row>
    <row r="1000" spans="1:12" ht="16.5" thickBot="1" x14ac:dyDescent="0.3">
      <c r="A1000" s="659"/>
      <c r="B1000" s="660"/>
      <c r="C1000" s="661"/>
      <c r="D1000" s="662"/>
      <c r="E1000" s="663"/>
      <c r="F1000" s="664"/>
      <c r="G1000" s="665"/>
      <c r="H1000" s="666"/>
      <c r="I1000" s="667"/>
      <c r="J1000" s="668"/>
      <c r="K1000" s="663"/>
      <c r="L1000" s="669"/>
    </row>
    <row r="1001" spans="1:12" ht="21" x14ac:dyDescent="0.35">
      <c r="A1001" s="781" t="s">
        <v>945</v>
      </c>
      <c r="B1001" s="782"/>
      <c r="C1001" s="782"/>
      <c r="D1001" s="782"/>
      <c r="E1001" s="782"/>
      <c r="F1001" s="782"/>
      <c r="G1001" s="782"/>
      <c r="H1001" s="782"/>
      <c r="I1001" s="782"/>
      <c r="J1001" s="782"/>
      <c r="K1001" s="782"/>
      <c r="L1001" s="783"/>
    </row>
    <row r="1002" spans="1:12" ht="18.75" x14ac:dyDescent="0.3">
      <c r="A1002" s="784" t="s">
        <v>946</v>
      </c>
      <c r="B1002" s="785"/>
      <c r="C1002" s="785"/>
      <c r="D1002" s="785"/>
      <c r="E1002" s="785"/>
      <c r="F1002" s="785"/>
      <c r="G1002" s="785"/>
      <c r="H1002" s="785"/>
      <c r="I1002" s="785"/>
      <c r="J1002" s="785"/>
      <c r="K1002" s="785"/>
      <c r="L1002" s="786"/>
    </row>
    <row r="1003" spans="1:12" ht="24" x14ac:dyDescent="0.4">
      <c r="A1003" s="787" t="s">
        <v>947</v>
      </c>
      <c r="B1003" s="788"/>
      <c r="C1003" s="788"/>
      <c r="D1003" s="788"/>
      <c r="E1003" s="788"/>
      <c r="F1003" s="788"/>
      <c r="G1003" s="788"/>
      <c r="H1003" s="788"/>
      <c r="I1003" s="788"/>
      <c r="J1003" s="788"/>
      <c r="K1003" s="788"/>
      <c r="L1003" s="789"/>
    </row>
    <row r="1004" spans="1:12" ht="24" x14ac:dyDescent="0.4">
      <c r="A1004" s="623" t="s">
        <v>1279</v>
      </c>
      <c r="B1004" s="624"/>
      <c r="C1004" s="624"/>
      <c r="D1004" s="625" t="s">
        <v>949</v>
      </c>
      <c r="E1004" s="790" t="s">
        <v>683</v>
      </c>
      <c r="F1004" s="790"/>
      <c r="G1004" s="790"/>
      <c r="H1004" s="790"/>
      <c r="I1004" s="790"/>
      <c r="J1004" s="626" t="s">
        <v>1152</v>
      </c>
      <c r="K1004" s="790"/>
      <c r="L1004" s="791"/>
    </row>
    <row r="1005" spans="1:12" ht="15.75" thickBot="1" x14ac:dyDescent="0.3">
      <c r="A1005" s="627"/>
      <c r="B1005" s="628"/>
      <c r="C1005" s="628"/>
      <c r="D1005" s="629"/>
      <c r="E1005" s="628"/>
      <c r="F1005" s="628"/>
      <c r="G1005" s="628"/>
      <c r="H1005" s="628"/>
      <c r="I1005" s="792"/>
      <c r="J1005" s="792"/>
      <c r="K1005" s="628"/>
      <c r="L1005" s="630"/>
    </row>
    <row r="1006" spans="1:12" ht="16.5" thickBot="1" x14ac:dyDescent="0.3">
      <c r="A1006" s="631" t="s">
        <v>952</v>
      </c>
      <c r="B1006" s="632"/>
      <c r="C1006" s="633"/>
      <c r="D1006" s="634" t="s">
        <v>953</v>
      </c>
      <c r="E1006" s="631" t="s">
        <v>954</v>
      </c>
      <c r="F1006" s="635" t="s">
        <v>955</v>
      </c>
      <c r="G1006" s="631" t="s">
        <v>952</v>
      </c>
      <c r="H1006" s="632"/>
      <c r="I1006" s="633"/>
      <c r="J1006" s="634" t="s">
        <v>953</v>
      </c>
      <c r="K1006" s="631" t="s">
        <v>954</v>
      </c>
      <c r="L1006" s="631" t="s">
        <v>955</v>
      </c>
    </row>
    <row r="1007" spans="1:12" ht="15.75" x14ac:dyDescent="0.25">
      <c r="A1007" s="636"/>
      <c r="B1007" s="637"/>
      <c r="C1007" s="638"/>
      <c r="D1007" s="639"/>
      <c r="E1007" s="640"/>
      <c r="F1007" s="641"/>
      <c r="G1007" s="636"/>
      <c r="H1007" s="642"/>
      <c r="I1007" s="643"/>
      <c r="J1007" s="644"/>
      <c r="K1007" s="645"/>
      <c r="L1007" s="646"/>
    </row>
    <row r="1008" spans="1:12" ht="15.75" x14ac:dyDescent="0.25">
      <c r="A1008" s="647"/>
      <c r="B1008" s="648" t="s">
        <v>459</v>
      </c>
      <c r="C1008" s="649">
        <v>2</v>
      </c>
      <c r="D1008" s="650" t="s">
        <v>1416</v>
      </c>
      <c r="E1008" s="651"/>
      <c r="F1008" s="652"/>
      <c r="G1008" s="647"/>
      <c r="H1008" s="648"/>
      <c r="I1008" s="649"/>
      <c r="J1008" s="650"/>
      <c r="K1008" s="651"/>
      <c r="L1008" s="653"/>
    </row>
    <row r="1009" spans="1:12" ht="15.75" x14ac:dyDescent="0.25">
      <c r="A1009" s="647" t="s">
        <v>958</v>
      </c>
      <c r="B1009" s="654"/>
      <c r="C1009" s="649"/>
      <c r="D1009" s="655" t="s">
        <v>959</v>
      </c>
      <c r="E1009" s="651"/>
      <c r="F1009" s="656">
        <v>0.4201388888888889</v>
      </c>
      <c r="G1009" s="647"/>
      <c r="H1009" s="648"/>
      <c r="I1009" s="649"/>
      <c r="J1009" s="655"/>
      <c r="K1009" s="651"/>
      <c r="L1009" s="656"/>
    </row>
    <row r="1010" spans="1:12" ht="15.75" x14ac:dyDescent="0.25">
      <c r="A1010" s="647" t="s">
        <v>961</v>
      </c>
      <c r="B1010" s="654"/>
      <c r="C1010" s="649"/>
      <c r="D1010" s="650" t="s">
        <v>163</v>
      </c>
      <c r="E1010" s="651"/>
      <c r="F1010" s="653">
        <v>0.44791666666666669</v>
      </c>
      <c r="G1010" s="647"/>
      <c r="H1010" s="648"/>
      <c r="I1010" s="649"/>
      <c r="J1010" s="650"/>
      <c r="K1010" s="651"/>
      <c r="L1010" s="653"/>
    </row>
    <row r="1011" spans="1:12" ht="15.75" x14ac:dyDescent="0.25">
      <c r="A1011" s="647"/>
      <c r="B1011" s="648"/>
      <c r="C1011" s="649"/>
      <c r="D1011" s="655" t="s">
        <v>164</v>
      </c>
      <c r="E1011" s="651"/>
      <c r="F1011" s="656">
        <v>0.47916666666666669</v>
      </c>
      <c r="G1011" s="647"/>
      <c r="H1011" s="648"/>
      <c r="I1011" s="649"/>
      <c r="J1011" s="655"/>
      <c r="K1011" s="651"/>
      <c r="L1011" s="656"/>
    </row>
    <row r="1012" spans="1:12" ht="15.75" x14ac:dyDescent="0.25">
      <c r="A1012" s="647"/>
      <c r="B1012" s="648"/>
      <c r="C1012" s="649"/>
      <c r="D1012" s="655" t="s">
        <v>166</v>
      </c>
      <c r="E1012" s="657">
        <v>0.49305555555555558</v>
      </c>
      <c r="F1012" s="656"/>
      <c r="G1012" s="647"/>
      <c r="H1012" s="648"/>
      <c r="I1012" s="649"/>
      <c r="J1012" s="655"/>
      <c r="K1012" s="657"/>
      <c r="L1012" s="656"/>
    </row>
    <row r="1013" spans="1:12" ht="15.75" x14ac:dyDescent="0.25">
      <c r="A1013" s="647"/>
      <c r="B1013" s="648" t="s">
        <v>462</v>
      </c>
      <c r="C1013" s="649" t="s">
        <v>459</v>
      </c>
      <c r="D1013" s="650"/>
      <c r="E1013" s="651"/>
      <c r="F1013" s="658"/>
      <c r="G1013" s="647"/>
      <c r="H1013" s="648"/>
      <c r="I1013" s="649"/>
      <c r="J1013" s="650"/>
      <c r="K1013" s="651"/>
      <c r="L1013" s="658"/>
    </row>
    <row r="1014" spans="1:12" ht="15.75" x14ac:dyDescent="0.25">
      <c r="A1014" s="647"/>
      <c r="B1014" s="648"/>
      <c r="C1014" s="649"/>
      <c r="D1014" s="650"/>
      <c r="E1014" s="651"/>
      <c r="F1014" s="656"/>
      <c r="G1014" s="647"/>
      <c r="H1014" s="648"/>
      <c r="I1014" s="649"/>
      <c r="J1014" s="650"/>
      <c r="K1014" s="651"/>
      <c r="L1014" s="656"/>
    </row>
    <row r="1015" spans="1:12" ht="15.75" x14ac:dyDescent="0.25">
      <c r="A1015" s="647"/>
      <c r="B1015" s="648" t="s">
        <v>459</v>
      </c>
      <c r="C1015" s="649">
        <v>25</v>
      </c>
      <c r="D1015" s="650" t="s">
        <v>1417</v>
      </c>
      <c r="E1015" s="651"/>
      <c r="F1015" s="653"/>
      <c r="G1015" s="647"/>
      <c r="H1015" s="648"/>
      <c r="I1015" s="649"/>
      <c r="J1015" s="650"/>
      <c r="K1015" s="651"/>
      <c r="L1015" s="653"/>
    </row>
    <row r="1016" spans="1:12" ht="15.75" x14ac:dyDescent="0.25">
      <c r="A1016" s="647"/>
      <c r="B1016" s="648"/>
      <c r="C1016" s="649"/>
      <c r="D1016" s="655" t="s">
        <v>166</v>
      </c>
      <c r="E1016" s="651"/>
      <c r="F1016" s="656">
        <v>0.49305555555555558</v>
      </c>
      <c r="G1016" s="647"/>
      <c r="H1016" s="648"/>
      <c r="I1016" s="649"/>
      <c r="J1016" s="655"/>
      <c r="K1016" s="651"/>
      <c r="L1016" s="656"/>
    </row>
    <row r="1017" spans="1:12" ht="15.75" x14ac:dyDescent="0.25">
      <c r="A1017" s="647" t="s">
        <v>961</v>
      </c>
      <c r="B1017" s="648"/>
      <c r="C1017" s="649"/>
      <c r="D1017" s="650" t="s">
        <v>160</v>
      </c>
      <c r="E1017" s="651"/>
      <c r="F1017" s="653">
        <v>0.54513888888888884</v>
      </c>
      <c r="G1017" s="647"/>
      <c r="H1017" s="654"/>
      <c r="I1017" s="649"/>
      <c r="J1017" s="650"/>
      <c r="K1017" s="657"/>
      <c r="L1017" s="653"/>
    </row>
    <row r="1018" spans="1:12" ht="15.75" x14ac:dyDescent="0.25">
      <c r="A1018" s="647"/>
      <c r="B1018" s="648"/>
      <c r="C1018" s="649"/>
      <c r="D1018" s="655" t="s">
        <v>962</v>
      </c>
      <c r="E1018" s="651"/>
      <c r="F1018" s="656">
        <v>0.55555555555555558</v>
      </c>
      <c r="G1018" s="647"/>
      <c r="H1018" s="648"/>
      <c r="I1018" s="649"/>
      <c r="J1018" s="650"/>
      <c r="K1018" s="657"/>
      <c r="L1018" s="656"/>
    </row>
    <row r="1019" spans="1:12" ht="15.75" x14ac:dyDescent="0.25">
      <c r="A1019" s="647"/>
      <c r="B1019" s="648"/>
      <c r="C1019" s="649"/>
      <c r="D1019" s="655" t="s">
        <v>960</v>
      </c>
      <c r="E1019" s="651"/>
      <c r="F1019" s="656">
        <v>0.58680555555555558</v>
      </c>
      <c r="G1019" s="647"/>
      <c r="H1019" s="648"/>
      <c r="I1019" s="649"/>
      <c r="J1019" s="650"/>
      <c r="K1019" s="657"/>
      <c r="L1019" s="653"/>
    </row>
    <row r="1020" spans="1:12" ht="15.75" x14ac:dyDescent="0.25">
      <c r="A1020" s="647" t="s">
        <v>961</v>
      </c>
      <c r="B1020" s="654"/>
      <c r="C1020" s="649"/>
      <c r="D1020" s="650" t="s">
        <v>163</v>
      </c>
      <c r="E1020" s="651"/>
      <c r="F1020" s="653">
        <v>0.64236111111111116</v>
      </c>
      <c r="G1020" s="647"/>
      <c r="H1020" s="648"/>
      <c r="I1020" s="649"/>
      <c r="J1020" s="655"/>
      <c r="K1020" s="651"/>
      <c r="L1020" s="658"/>
    </row>
    <row r="1021" spans="1:12" ht="15.75" x14ac:dyDescent="0.25">
      <c r="A1021" s="647"/>
      <c r="B1021" s="648"/>
      <c r="C1021" s="649"/>
      <c r="D1021" s="655" t="s">
        <v>164</v>
      </c>
      <c r="E1021" s="651"/>
      <c r="F1021" s="656">
        <v>0.67361111111111116</v>
      </c>
      <c r="G1021" s="647"/>
      <c r="H1021" s="648"/>
      <c r="I1021" s="649"/>
      <c r="J1021" s="650"/>
      <c r="K1021" s="651"/>
      <c r="L1021" s="658"/>
    </row>
    <row r="1022" spans="1:12" ht="15.75" x14ac:dyDescent="0.25">
      <c r="A1022" s="647"/>
      <c r="B1022" s="648"/>
      <c r="C1022" s="649"/>
      <c r="D1022" s="655" t="s">
        <v>166</v>
      </c>
      <c r="E1022" s="657">
        <v>0.6875</v>
      </c>
      <c r="F1022" s="656"/>
      <c r="G1022" s="647"/>
      <c r="H1022" s="648"/>
      <c r="I1022" s="649"/>
      <c r="J1022" s="655"/>
      <c r="K1022" s="651"/>
      <c r="L1022" s="658"/>
    </row>
    <row r="1023" spans="1:12" ht="15.75" x14ac:dyDescent="0.25">
      <c r="A1023" s="647"/>
      <c r="B1023" s="648" t="s">
        <v>459</v>
      </c>
      <c r="C1023" s="649">
        <v>25</v>
      </c>
      <c r="D1023" s="650" t="s">
        <v>1418</v>
      </c>
      <c r="E1023" s="651"/>
      <c r="F1023" s="653"/>
      <c r="G1023" s="647"/>
      <c r="H1023" s="648"/>
      <c r="I1023" s="649"/>
      <c r="J1023" s="650"/>
      <c r="K1023" s="651"/>
      <c r="L1023" s="658"/>
    </row>
    <row r="1024" spans="1:12" ht="15.75" x14ac:dyDescent="0.25">
      <c r="A1024" s="647"/>
      <c r="B1024" s="648"/>
      <c r="C1024" s="649"/>
      <c r="D1024" s="655"/>
      <c r="E1024" s="657"/>
      <c r="F1024" s="653"/>
      <c r="G1024" s="647"/>
      <c r="H1024" s="648"/>
      <c r="I1024" s="649"/>
      <c r="J1024" s="650"/>
      <c r="K1024" s="651"/>
      <c r="L1024" s="653"/>
    </row>
    <row r="1025" spans="1:12" ht="15.75" x14ac:dyDescent="0.25">
      <c r="A1025" s="647"/>
      <c r="B1025" s="648" t="s">
        <v>459</v>
      </c>
      <c r="C1025" s="649">
        <v>46</v>
      </c>
      <c r="D1025" s="650" t="s">
        <v>1419</v>
      </c>
      <c r="E1025" s="651"/>
      <c r="F1025" s="653"/>
      <c r="G1025" s="647"/>
      <c r="H1025" s="648"/>
      <c r="I1025" s="649"/>
      <c r="J1025" s="650"/>
      <c r="K1025" s="657"/>
      <c r="L1025" s="653"/>
    </row>
    <row r="1026" spans="1:12" ht="15.75" x14ac:dyDescent="0.25">
      <c r="A1026" s="647"/>
      <c r="B1026" s="648"/>
      <c r="C1026" s="649"/>
      <c r="D1026" s="655" t="s">
        <v>166</v>
      </c>
      <c r="E1026" s="651"/>
      <c r="F1026" s="656">
        <v>0.6875</v>
      </c>
      <c r="G1026" s="647"/>
      <c r="H1026" s="648"/>
      <c r="I1026" s="649"/>
      <c r="J1026" s="655"/>
      <c r="K1026" s="651"/>
      <c r="L1026" s="658"/>
    </row>
    <row r="1027" spans="1:12" ht="15.75" x14ac:dyDescent="0.25">
      <c r="A1027" s="647" t="s">
        <v>961</v>
      </c>
      <c r="B1027" s="648"/>
      <c r="C1027" s="649"/>
      <c r="D1027" s="650" t="s">
        <v>160</v>
      </c>
      <c r="E1027" s="651"/>
      <c r="F1027" s="653">
        <v>0.73611111111111116</v>
      </c>
      <c r="G1027" s="647"/>
      <c r="H1027" s="648"/>
      <c r="I1027" s="649"/>
      <c r="J1027" s="650"/>
      <c r="K1027" s="651"/>
      <c r="L1027" s="658"/>
    </row>
    <row r="1028" spans="1:12" ht="15.75" x14ac:dyDescent="0.25">
      <c r="A1028" s="647"/>
      <c r="B1028" s="648"/>
      <c r="C1028" s="649"/>
      <c r="D1028" s="655" t="s">
        <v>962</v>
      </c>
      <c r="E1028" s="651"/>
      <c r="F1028" s="656">
        <v>0.74305555555555558</v>
      </c>
      <c r="G1028" s="647"/>
      <c r="H1028" s="648"/>
      <c r="I1028" s="649"/>
      <c r="J1028" s="655"/>
      <c r="K1028" s="651"/>
      <c r="L1028" s="658"/>
    </row>
    <row r="1029" spans="1:12" ht="15.75" x14ac:dyDescent="0.25">
      <c r="A1029" s="647"/>
      <c r="B1029" s="648"/>
      <c r="C1029" s="649"/>
      <c r="D1029" s="655" t="s">
        <v>960</v>
      </c>
      <c r="E1029" s="651"/>
      <c r="F1029" s="656">
        <v>0.77083333333333337</v>
      </c>
      <c r="G1029" s="647"/>
      <c r="H1029" s="648"/>
      <c r="I1029" s="649"/>
      <c r="J1029" s="650"/>
      <c r="K1029" s="651"/>
      <c r="L1029" s="658"/>
    </row>
    <row r="1030" spans="1:12" ht="15.75" x14ac:dyDescent="0.25">
      <c r="A1030" s="647" t="s">
        <v>958</v>
      </c>
      <c r="B1030" s="654"/>
      <c r="C1030" s="649"/>
      <c r="D1030" s="650" t="s">
        <v>163</v>
      </c>
      <c r="E1030" s="657">
        <v>0.82361111111111107</v>
      </c>
      <c r="F1030" s="653"/>
      <c r="G1030" s="647"/>
      <c r="H1030" s="648"/>
      <c r="I1030" s="649"/>
      <c r="J1030" s="650"/>
      <c r="K1030" s="651"/>
      <c r="L1030" s="653"/>
    </row>
    <row r="1031" spans="1:12" ht="15.75" x14ac:dyDescent="0.25">
      <c r="A1031" s="647"/>
      <c r="B1031" s="648"/>
      <c r="C1031" s="649"/>
      <c r="D1031" s="650" t="s">
        <v>963</v>
      </c>
      <c r="E1031" s="657">
        <v>0.84791666666666665</v>
      </c>
      <c r="F1031" s="656"/>
      <c r="G1031" s="647"/>
      <c r="H1031" s="648"/>
      <c r="I1031" s="649"/>
      <c r="J1031" s="655"/>
      <c r="K1031" s="651"/>
      <c r="L1031" s="656"/>
    </row>
    <row r="1032" spans="1:12" ht="15.75" x14ac:dyDescent="0.25">
      <c r="A1032" s="647"/>
      <c r="B1032" s="648" t="s">
        <v>459</v>
      </c>
      <c r="C1032" s="649">
        <v>46</v>
      </c>
      <c r="D1032" s="650" t="s">
        <v>1420</v>
      </c>
      <c r="E1032" s="657"/>
      <c r="F1032" s="653"/>
      <c r="G1032" s="647"/>
      <c r="H1032" s="648"/>
      <c r="I1032" s="649"/>
      <c r="J1032" s="650"/>
      <c r="K1032" s="651"/>
      <c r="L1032" s="653"/>
    </row>
    <row r="1033" spans="1:12" ht="15.75" x14ac:dyDescent="0.25">
      <c r="A1033" s="647"/>
      <c r="B1033" s="648"/>
      <c r="C1033" s="649"/>
      <c r="D1033" s="655"/>
      <c r="E1033" s="651"/>
      <c r="F1033" s="658"/>
      <c r="G1033" s="647"/>
      <c r="H1033" s="648"/>
      <c r="I1033" s="649"/>
      <c r="J1033" s="655"/>
      <c r="K1033" s="651"/>
      <c r="L1033" s="656"/>
    </row>
    <row r="1034" spans="1:12" ht="15.75" x14ac:dyDescent="0.25">
      <c r="A1034" s="647"/>
      <c r="B1034" s="648"/>
      <c r="C1034" s="649"/>
      <c r="D1034" s="650"/>
      <c r="E1034" s="651"/>
      <c r="F1034" s="658"/>
      <c r="G1034" s="647"/>
      <c r="H1034" s="654"/>
      <c r="I1034" s="649"/>
      <c r="J1034" s="655"/>
      <c r="K1034" s="651"/>
      <c r="L1034" s="656"/>
    </row>
    <row r="1035" spans="1:12" ht="15.75" x14ac:dyDescent="0.25">
      <c r="A1035" s="647"/>
      <c r="B1035" s="648"/>
      <c r="C1035" s="649"/>
      <c r="D1035" s="655"/>
      <c r="E1035" s="651"/>
      <c r="F1035" s="658"/>
      <c r="G1035" s="647"/>
      <c r="H1035" s="654"/>
      <c r="I1035" s="649"/>
      <c r="J1035" s="650"/>
      <c r="K1035" s="657"/>
      <c r="L1035" s="653"/>
    </row>
    <row r="1036" spans="1:12" ht="15.75" x14ac:dyDescent="0.25">
      <c r="A1036" s="647"/>
      <c r="B1036" s="648"/>
      <c r="C1036" s="649"/>
      <c r="D1036" s="655"/>
      <c r="E1036" s="657"/>
      <c r="F1036" s="656"/>
      <c r="G1036" s="647"/>
      <c r="H1036" s="648"/>
      <c r="I1036" s="649"/>
      <c r="J1036" s="650"/>
      <c r="K1036" s="657"/>
      <c r="L1036" s="656"/>
    </row>
    <row r="1037" spans="1:12" ht="15.75" x14ac:dyDescent="0.25">
      <c r="A1037" s="647"/>
      <c r="B1037" s="648"/>
      <c r="C1037" s="649"/>
      <c r="D1037" s="650"/>
      <c r="E1037" s="651"/>
      <c r="F1037" s="653"/>
      <c r="G1037" s="647"/>
      <c r="H1037" s="648"/>
      <c r="I1037" s="649"/>
      <c r="J1037" s="650"/>
      <c r="K1037" s="657"/>
      <c r="L1037" s="653"/>
    </row>
    <row r="1038" spans="1:12" ht="15.75" x14ac:dyDescent="0.25">
      <c r="A1038" s="647"/>
      <c r="B1038" s="648"/>
      <c r="C1038" s="649"/>
      <c r="D1038" s="655"/>
      <c r="E1038" s="657"/>
      <c r="F1038" s="653"/>
      <c r="G1038" s="647"/>
      <c r="H1038" s="648"/>
      <c r="I1038" s="649"/>
      <c r="J1038" s="655"/>
      <c r="K1038" s="651"/>
      <c r="L1038" s="658"/>
    </row>
    <row r="1039" spans="1:12" ht="15.75" x14ac:dyDescent="0.25">
      <c r="A1039" s="647"/>
      <c r="B1039" s="648"/>
      <c r="C1039" s="649"/>
      <c r="D1039" s="650"/>
      <c r="E1039" s="651"/>
      <c r="F1039" s="652"/>
      <c r="G1039" s="647"/>
      <c r="H1039" s="648"/>
      <c r="I1039" s="649"/>
      <c r="J1039" s="650"/>
      <c r="K1039" s="651"/>
      <c r="L1039" s="658"/>
    </row>
    <row r="1040" spans="1:12" ht="16.5" thickBot="1" x14ac:dyDescent="0.3">
      <c r="A1040" s="659"/>
      <c r="B1040" s="660"/>
      <c r="C1040" s="661"/>
      <c r="D1040" s="662"/>
      <c r="E1040" s="663"/>
      <c r="F1040" s="664"/>
      <c r="G1040" s="665"/>
      <c r="H1040" s="666"/>
      <c r="I1040" s="667"/>
      <c r="J1040" s="668"/>
      <c r="K1040" s="663"/>
      <c r="L1040" s="669"/>
    </row>
    <row r="1041" spans="1:12" ht="21" x14ac:dyDescent="0.35">
      <c r="A1041" s="781" t="s">
        <v>945</v>
      </c>
      <c r="B1041" s="782"/>
      <c r="C1041" s="782"/>
      <c r="D1041" s="782"/>
      <c r="E1041" s="782"/>
      <c r="F1041" s="782"/>
      <c r="G1041" s="782"/>
      <c r="H1041" s="782"/>
      <c r="I1041" s="782"/>
      <c r="J1041" s="782"/>
      <c r="K1041" s="782"/>
      <c r="L1041" s="783"/>
    </row>
    <row r="1042" spans="1:12" ht="18.75" x14ac:dyDescent="0.3">
      <c r="A1042" s="784" t="s">
        <v>946</v>
      </c>
      <c r="B1042" s="785"/>
      <c r="C1042" s="785"/>
      <c r="D1042" s="785"/>
      <c r="E1042" s="785"/>
      <c r="F1042" s="785"/>
      <c r="G1042" s="785"/>
      <c r="H1042" s="785"/>
      <c r="I1042" s="785"/>
      <c r="J1042" s="785"/>
      <c r="K1042" s="785"/>
      <c r="L1042" s="786"/>
    </row>
    <row r="1043" spans="1:12" ht="24" x14ac:dyDescent="0.4">
      <c r="A1043" s="787" t="s">
        <v>947</v>
      </c>
      <c r="B1043" s="788"/>
      <c r="C1043" s="788"/>
      <c r="D1043" s="788"/>
      <c r="E1043" s="788"/>
      <c r="F1043" s="788"/>
      <c r="G1043" s="788"/>
      <c r="H1043" s="788"/>
      <c r="I1043" s="788"/>
      <c r="J1043" s="788"/>
      <c r="K1043" s="788"/>
      <c r="L1043" s="789"/>
    </row>
    <row r="1044" spans="1:12" ht="24" x14ac:dyDescent="0.4">
      <c r="A1044" s="623" t="s">
        <v>1279</v>
      </c>
      <c r="B1044" s="624"/>
      <c r="C1044" s="624"/>
      <c r="D1044" s="625" t="s">
        <v>949</v>
      </c>
      <c r="E1044" s="790" t="s">
        <v>683</v>
      </c>
      <c r="F1044" s="790"/>
      <c r="G1044" s="790"/>
      <c r="H1044" s="790"/>
      <c r="I1044" s="790"/>
      <c r="J1044" s="626" t="s">
        <v>1157</v>
      </c>
      <c r="K1044" s="790"/>
      <c r="L1044" s="791"/>
    </row>
    <row r="1045" spans="1:12" ht="15.75" thickBot="1" x14ac:dyDescent="0.3">
      <c r="A1045" s="627"/>
      <c r="B1045" s="628"/>
      <c r="C1045" s="628"/>
      <c r="D1045" s="629"/>
      <c r="E1045" s="628"/>
      <c r="F1045" s="628"/>
      <c r="G1045" s="628"/>
      <c r="H1045" s="628"/>
      <c r="I1045" s="792"/>
      <c r="J1045" s="792"/>
      <c r="K1045" s="628"/>
      <c r="L1045" s="630"/>
    </row>
    <row r="1046" spans="1:12" ht="16.5" thickBot="1" x14ac:dyDescent="0.3">
      <c r="A1046" s="631" t="s">
        <v>952</v>
      </c>
      <c r="B1046" s="632"/>
      <c r="C1046" s="633"/>
      <c r="D1046" s="634" t="s">
        <v>953</v>
      </c>
      <c r="E1046" s="631" t="s">
        <v>954</v>
      </c>
      <c r="F1046" s="635" t="s">
        <v>955</v>
      </c>
      <c r="G1046" s="631" t="s">
        <v>952</v>
      </c>
      <c r="H1046" s="632"/>
      <c r="I1046" s="633"/>
      <c r="J1046" s="634" t="s">
        <v>953</v>
      </c>
      <c r="K1046" s="631" t="s">
        <v>954</v>
      </c>
      <c r="L1046" s="631" t="s">
        <v>955</v>
      </c>
    </row>
    <row r="1047" spans="1:12" ht="15.75" x14ac:dyDescent="0.25">
      <c r="A1047" s="636"/>
      <c r="B1047" s="637"/>
      <c r="C1047" s="638"/>
      <c r="D1047" s="639"/>
      <c r="E1047" s="640"/>
      <c r="F1047" s="641"/>
      <c r="G1047" s="636"/>
      <c r="H1047" s="642"/>
      <c r="I1047" s="643"/>
      <c r="J1047" s="644"/>
      <c r="K1047" s="645"/>
      <c r="L1047" s="646"/>
    </row>
    <row r="1048" spans="1:12" ht="15.75" x14ac:dyDescent="0.25">
      <c r="A1048" s="647"/>
      <c r="B1048" s="648" t="s">
        <v>459</v>
      </c>
      <c r="C1048" s="649">
        <v>208</v>
      </c>
      <c r="D1048" s="650" t="s">
        <v>1421</v>
      </c>
      <c r="E1048" s="651"/>
      <c r="F1048" s="652"/>
      <c r="G1048" s="647"/>
      <c r="H1048" s="648"/>
      <c r="I1048" s="649"/>
      <c r="J1048" s="650"/>
      <c r="K1048" s="651"/>
      <c r="L1048" s="653"/>
    </row>
    <row r="1049" spans="1:12" ht="15.75" x14ac:dyDescent="0.25">
      <c r="A1049" s="647" t="s">
        <v>958</v>
      </c>
      <c r="B1049" s="654"/>
      <c r="C1049" s="649"/>
      <c r="D1049" s="655" t="s">
        <v>959</v>
      </c>
      <c r="E1049" s="651"/>
      <c r="F1049" s="656">
        <v>0.44791666666666669</v>
      </c>
      <c r="G1049" s="647"/>
      <c r="H1049" s="648"/>
      <c r="I1049" s="649"/>
      <c r="J1049" s="655"/>
      <c r="K1049" s="651"/>
      <c r="L1049" s="656"/>
    </row>
    <row r="1050" spans="1:12" ht="15.75" x14ac:dyDescent="0.25">
      <c r="A1050" s="647" t="s">
        <v>961</v>
      </c>
      <c r="B1050" s="654"/>
      <c r="C1050" s="649"/>
      <c r="D1050" s="650" t="s">
        <v>163</v>
      </c>
      <c r="E1050" s="651"/>
      <c r="F1050" s="653">
        <v>0.47569444444444442</v>
      </c>
      <c r="G1050" s="647"/>
      <c r="H1050" s="654"/>
      <c r="I1050" s="649"/>
      <c r="J1050" s="650"/>
      <c r="K1050" s="651"/>
      <c r="L1050" s="653"/>
    </row>
    <row r="1051" spans="1:12" ht="15.75" x14ac:dyDescent="0.25">
      <c r="A1051" s="647"/>
      <c r="B1051" s="648"/>
      <c r="C1051" s="649"/>
      <c r="D1051" s="655" t="s">
        <v>164</v>
      </c>
      <c r="E1051" s="651"/>
      <c r="F1051" s="656">
        <v>0.50694444444444442</v>
      </c>
      <c r="G1051" s="647"/>
      <c r="H1051" s="648"/>
      <c r="I1051" s="649"/>
      <c r="J1051" s="655"/>
      <c r="K1051" s="651"/>
      <c r="L1051" s="656"/>
    </row>
    <row r="1052" spans="1:12" ht="15.75" x14ac:dyDescent="0.25">
      <c r="A1052" s="647"/>
      <c r="B1052" s="648"/>
      <c r="C1052" s="649"/>
      <c r="D1052" s="655" t="s">
        <v>166</v>
      </c>
      <c r="E1052" s="651"/>
      <c r="F1052" s="656">
        <v>0.52083333333333337</v>
      </c>
      <c r="G1052" s="647"/>
      <c r="H1052" s="648"/>
      <c r="I1052" s="649"/>
      <c r="J1052" s="655"/>
      <c r="K1052" s="651"/>
      <c r="L1052" s="656"/>
    </row>
    <row r="1053" spans="1:12" ht="15.75" x14ac:dyDescent="0.25">
      <c r="A1053" s="647" t="s">
        <v>961</v>
      </c>
      <c r="B1053" s="648"/>
      <c r="C1053" s="649"/>
      <c r="D1053" s="650" t="s">
        <v>160</v>
      </c>
      <c r="E1053" s="651"/>
      <c r="F1053" s="653">
        <v>0.57291666666666663</v>
      </c>
      <c r="G1053" s="647"/>
      <c r="H1053" s="648"/>
      <c r="I1053" s="649"/>
      <c r="J1053" s="650"/>
      <c r="K1053" s="651"/>
      <c r="L1053" s="653"/>
    </row>
    <row r="1054" spans="1:12" ht="15.75" x14ac:dyDescent="0.25">
      <c r="A1054" s="647"/>
      <c r="B1054" s="648"/>
      <c r="C1054" s="649"/>
      <c r="D1054" s="655" t="s">
        <v>962</v>
      </c>
      <c r="E1054" s="651"/>
      <c r="F1054" s="656">
        <v>0.58333333333333337</v>
      </c>
      <c r="G1054" s="647"/>
      <c r="H1054" s="648"/>
      <c r="I1054" s="649"/>
      <c r="J1054" s="655"/>
      <c r="K1054" s="651"/>
      <c r="L1054" s="656"/>
    </row>
    <row r="1055" spans="1:12" ht="15.75" x14ac:dyDescent="0.25">
      <c r="A1055" s="647"/>
      <c r="B1055" s="648"/>
      <c r="C1055" s="649"/>
      <c r="D1055" s="655" t="s">
        <v>960</v>
      </c>
      <c r="E1055" s="657">
        <v>0.61458333333333337</v>
      </c>
      <c r="F1055" s="656"/>
      <c r="G1055" s="647"/>
      <c r="H1055" s="648"/>
      <c r="I1055" s="649"/>
      <c r="J1055" s="655"/>
      <c r="K1055" s="651"/>
      <c r="L1055" s="656"/>
    </row>
    <row r="1056" spans="1:12" ht="15.75" x14ac:dyDescent="0.25">
      <c r="A1056" s="647"/>
      <c r="B1056" s="648" t="s">
        <v>459</v>
      </c>
      <c r="C1056" s="649">
        <v>208</v>
      </c>
      <c r="D1056" s="650" t="s">
        <v>1422</v>
      </c>
      <c r="E1056" s="651"/>
      <c r="F1056" s="658"/>
      <c r="G1056" s="647"/>
      <c r="H1056" s="654"/>
      <c r="I1056" s="649"/>
      <c r="J1056" s="650"/>
      <c r="K1056" s="651"/>
      <c r="L1056" s="653"/>
    </row>
    <row r="1057" spans="1:12" ht="15.75" x14ac:dyDescent="0.25">
      <c r="A1057" s="647"/>
      <c r="B1057" s="648"/>
      <c r="C1057" s="649"/>
      <c r="D1057" s="650"/>
      <c r="E1057" s="651"/>
      <c r="F1057" s="656"/>
      <c r="G1057" s="647"/>
      <c r="H1057" s="648"/>
      <c r="I1057" s="649"/>
      <c r="J1057" s="650"/>
      <c r="K1057" s="657"/>
      <c r="L1057" s="656"/>
    </row>
    <row r="1058" spans="1:12" ht="15.75" x14ac:dyDescent="0.25">
      <c r="A1058" s="647"/>
      <c r="B1058" s="648" t="s">
        <v>459</v>
      </c>
      <c r="C1058" s="649">
        <v>37</v>
      </c>
      <c r="D1058" s="650" t="s">
        <v>1103</v>
      </c>
      <c r="E1058" s="651"/>
      <c r="F1058" s="653"/>
      <c r="G1058" s="647"/>
      <c r="H1058" s="648"/>
      <c r="I1058" s="649"/>
      <c r="J1058" s="650"/>
      <c r="K1058" s="657"/>
      <c r="L1058" s="653"/>
    </row>
    <row r="1059" spans="1:12" ht="15.75" x14ac:dyDescent="0.25">
      <c r="A1059" s="647"/>
      <c r="B1059" s="648"/>
      <c r="C1059" s="649"/>
      <c r="D1059" s="655" t="s">
        <v>960</v>
      </c>
      <c r="E1059" s="651"/>
      <c r="F1059" s="656">
        <v>0.61458333333333337</v>
      </c>
      <c r="G1059" s="647"/>
      <c r="H1059" s="648"/>
      <c r="I1059" s="649"/>
      <c r="J1059" s="650"/>
      <c r="K1059" s="657"/>
      <c r="L1059" s="653"/>
    </row>
    <row r="1060" spans="1:12" ht="15.75" x14ac:dyDescent="0.25">
      <c r="A1060" s="647" t="s">
        <v>961</v>
      </c>
      <c r="B1060" s="654"/>
      <c r="C1060" s="649"/>
      <c r="D1060" s="650" t="s">
        <v>163</v>
      </c>
      <c r="E1060" s="651"/>
      <c r="F1060" s="653">
        <v>0.66666666666666663</v>
      </c>
      <c r="G1060" s="647"/>
      <c r="H1060" s="648"/>
      <c r="I1060" s="649"/>
      <c r="J1060" s="650"/>
      <c r="K1060" s="657"/>
      <c r="L1060" s="652"/>
    </row>
    <row r="1061" spans="1:12" ht="15.75" x14ac:dyDescent="0.25">
      <c r="A1061" s="647"/>
      <c r="B1061" s="648"/>
      <c r="C1061" s="649"/>
      <c r="D1061" s="655" t="s">
        <v>164</v>
      </c>
      <c r="E1061" s="651"/>
      <c r="F1061" s="656">
        <v>0.69791666666666663</v>
      </c>
      <c r="G1061" s="647"/>
      <c r="H1061" s="648"/>
      <c r="I1061" s="649"/>
      <c r="J1061" s="650"/>
      <c r="K1061" s="651"/>
      <c r="L1061" s="652"/>
    </row>
    <row r="1062" spans="1:12" ht="15.75" x14ac:dyDescent="0.25">
      <c r="A1062" s="647"/>
      <c r="B1062" s="648"/>
      <c r="C1062" s="649"/>
      <c r="D1062" s="655" t="s">
        <v>166</v>
      </c>
      <c r="E1062" s="651"/>
      <c r="F1062" s="656">
        <v>0.71180555555555558</v>
      </c>
      <c r="G1062" s="647"/>
      <c r="H1062" s="648"/>
      <c r="I1062" s="649"/>
      <c r="J1062" s="650"/>
      <c r="K1062" s="651"/>
      <c r="L1062" s="652"/>
    </row>
    <row r="1063" spans="1:12" ht="15.75" x14ac:dyDescent="0.25">
      <c r="A1063" s="647" t="s">
        <v>961</v>
      </c>
      <c r="B1063" s="648"/>
      <c r="C1063" s="649"/>
      <c r="D1063" s="650" t="s">
        <v>160</v>
      </c>
      <c r="E1063" s="651"/>
      <c r="F1063" s="653">
        <v>0.75694444444444442</v>
      </c>
      <c r="G1063" s="647"/>
      <c r="H1063" s="648"/>
      <c r="I1063" s="649"/>
      <c r="J1063" s="650"/>
      <c r="K1063" s="651"/>
      <c r="L1063" s="652"/>
    </row>
    <row r="1064" spans="1:12" ht="15.75" x14ac:dyDescent="0.25">
      <c r="A1064" s="647"/>
      <c r="B1064" s="648"/>
      <c r="C1064" s="649"/>
      <c r="D1064" s="655" t="s">
        <v>962</v>
      </c>
      <c r="E1064" s="651"/>
      <c r="F1064" s="656">
        <v>0.76388888888888884</v>
      </c>
      <c r="G1064" s="647"/>
      <c r="H1064" s="648"/>
      <c r="I1064" s="649"/>
      <c r="J1064" s="650"/>
      <c r="K1064" s="651"/>
      <c r="L1064" s="652"/>
    </row>
    <row r="1065" spans="1:12" ht="15.75" x14ac:dyDescent="0.25">
      <c r="A1065" s="647"/>
      <c r="B1065" s="648"/>
      <c r="C1065" s="649"/>
      <c r="D1065" s="655" t="s">
        <v>960</v>
      </c>
      <c r="E1065" s="657">
        <v>0.79166666666666663</v>
      </c>
      <c r="F1065" s="656"/>
      <c r="G1065" s="647"/>
      <c r="H1065" s="648"/>
      <c r="I1065" s="649"/>
      <c r="J1065" s="650"/>
      <c r="K1065" s="651"/>
      <c r="L1065" s="652"/>
    </row>
    <row r="1066" spans="1:12" ht="15.75" x14ac:dyDescent="0.25">
      <c r="A1066" s="647"/>
      <c r="B1066" s="648" t="s">
        <v>459</v>
      </c>
      <c r="C1066" s="649">
        <v>37</v>
      </c>
      <c r="D1066" s="650" t="s">
        <v>1423</v>
      </c>
      <c r="E1066" s="651"/>
      <c r="F1066" s="658"/>
      <c r="G1066" s="647"/>
      <c r="H1066" s="648"/>
      <c r="I1066" s="649"/>
      <c r="J1066" s="650"/>
      <c r="K1066" s="651"/>
      <c r="L1066" s="652"/>
    </row>
    <row r="1067" spans="1:12" ht="15.75" x14ac:dyDescent="0.25">
      <c r="A1067" s="647"/>
      <c r="B1067" s="648"/>
      <c r="C1067" s="649"/>
      <c r="D1067" s="650"/>
      <c r="E1067" s="651"/>
      <c r="F1067" s="656"/>
      <c r="G1067" s="647"/>
      <c r="H1067" s="648"/>
      <c r="I1067" s="649"/>
      <c r="J1067" s="650"/>
      <c r="K1067" s="651"/>
      <c r="L1067" s="652"/>
    </row>
    <row r="1068" spans="1:12" ht="15.75" x14ac:dyDescent="0.25">
      <c r="A1068" s="647"/>
      <c r="B1068" s="648" t="s">
        <v>459</v>
      </c>
      <c r="C1068" s="649">
        <v>42</v>
      </c>
      <c r="D1068" s="650" t="s">
        <v>1424</v>
      </c>
      <c r="E1068" s="651"/>
      <c r="F1068" s="653"/>
      <c r="G1068" s="647"/>
      <c r="H1068" s="648"/>
      <c r="I1068" s="649"/>
      <c r="J1068" s="650"/>
      <c r="K1068" s="651"/>
      <c r="L1068" s="658"/>
    </row>
    <row r="1069" spans="1:12" ht="15.75" x14ac:dyDescent="0.25">
      <c r="A1069" s="647"/>
      <c r="B1069" s="648"/>
      <c r="C1069" s="649"/>
      <c r="D1069" s="655" t="s">
        <v>960</v>
      </c>
      <c r="E1069" s="651"/>
      <c r="F1069" s="656">
        <v>0.79166666666666663</v>
      </c>
      <c r="G1069" s="647"/>
      <c r="H1069" s="648"/>
      <c r="I1069" s="649"/>
      <c r="J1069" s="655"/>
      <c r="K1069" s="651"/>
      <c r="L1069" s="658"/>
    </row>
    <row r="1070" spans="1:12" ht="15.75" x14ac:dyDescent="0.25">
      <c r="A1070" s="647" t="s">
        <v>961</v>
      </c>
      <c r="B1070" s="654"/>
      <c r="C1070" s="649"/>
      <c r="D1070" s="650" t="s">
        <v>163</v>
      </c>
      <c r="E1070" s="651"/>
      <c r="F1070" s="653">
        <v>0.84375</v>
      </c>
      <c r="G1070" s="647"/>
      <c r="H1070" s="648"/>
      <c r="I1070" s="649"/>
      <c r="J1070" s="650"/>
      <c r="K1070" s="651"/>
      <c r="L1070" s="658"/>
    </row>
    <row r="1071" spans="1:12" ht="15.75" x14ac:dyDescent="0.25">
      <c r="A1071" s="647"/>
      <c r="B1071" s="648"/>
      <c r="C1071" s="649"/>
      <c r="D1071" s="655" t="s">
        <v>164</v>
      </c>
      <c r="E1071" s="651"/>
      <c r="F1071" s="656">
        <v>0.86458333333333337</v>
      </c>
      <c r="G1071" s="647"/>
      <c r="H1071" s="648"/>
      <c r="I1071" s="649"/>
      <c r="J1071" s="650"/>
      <c r="K1071" s="651"/>
      <c r="L1071" s="652"/>
    </row>
    <row r="1072" spans="1:12" ht="15.75" x14ac:dyDescent="0.25">
      <c r="A1072" s="647"/>
      <c r="B1072" s="648"/>
      <c r="C1072" s="649"/>
      <c r="D1072" s="655" t="s">
        <v>166</v>
      </c>
      <c r="E1072" s="651"/>
      <c r="F1072" s="656">
        <v>0.875</v>
      </c>
      <c r="G1072" s="647"/>
      <c r="H1072" s="648"/>
      <c r="I1072" s="649"/>
      <c r="J1072" s="650"/>
      <c r="K1072" s="651"/>
      <c r="L1072" s="652"/>
    </row>
    <row r="1073" spans="1:12" ht="15.75" x14ac:dyDescent="0.25">
      <c r="A1073" s="647" t="s">
        <v>961</v>
      </c>
      <c r="B1073" s="648"/>
      <c r="C1073" s="649"/>
      <c r="D1073" s="650" t="s">
        <v>160</v>
      </c>
      <c r="E1073" s="651"/>
      <c r="F1073" s="653">
        <v>0.90972222222222221</v>
      </c>
      <c r="G1073" s="647"/>
      <c r="H1073" s="648"/>
      <c r="I1073" s="649"/>
      <c r="J1073" s="650"/>
      <c r="K1073" s="651"/>
      <c r="L1073" s="652"/>
    </row>
    <row r="1074" spans="1:12" ht="15.75" x14ac:dyDescent="0.25">
      <c r="A1074" s="647"/>
      <c r="B1074" s="648"/>
      <c r="C1074" s="649"/>
      <c r="D1074" s="655" t="s">
        <v>962</v>
      </c>
      <c r="E1074" s="651"/>
      <c r="F1074" s="656">
        <v>0.91666666666666663</v>
      </c>
      <c r="G1074" s="647"/>
      <c r="H1074" s="648"/>
      <c r="I1074" s="649"/>
      <c r="J1074" s="650"/>
      <c r="K1074" s="651"/>
      <c r="L1074" s="652"/>
    </row>
    <row r="1075" spans="1:12" ht="15.75" x14ac:dyDescent="0.25">
      <c r="A1075" s="647"/>
      <c r="B1075" s="648"/>
      <c r="C1075" s="649"/>
      <c r="D1075" s="655" t="s">
        <v>960</v>
      </c>
      <c r="E1075" s="651"/>
      <c r="F1075" s="656">
        <v>0.94097222222222221</v>
      </c>
      <c r="G1075" s="647"/>
      <c r="H1075" s="648"/>
      <c r="I1075" s="649"/>
      <c r="J1075" s="650"/>
      <c r="K1075" s="651"/>
      <c r="L1075" s="652"/>
    </row>
    <row r="1076" spans="1:12" ht="15.75" x14ac:dyDescent="0.25">
      <c r="A1076" s="647" t="s">
        <v>958</v>
      </c>
      <c r="B1076" s="654"/>
      <c r="C1076" s="649"/>
      <c r="D1076" s="650" t="s">
        <v>163</v>
      </c>
      <c r="E1076" s="657">
        <v>0.98263888888888884</v>
      </c>
      <c r="F1076" s="653"/>
      <c r="G1076" s="647"/>
      <c r="H1076" s="648"/>
      <c r="I1076" s="649"/>
      <c r="J1076" s="650"/>
      <c r="K1076" s="651"/>
      <c r="L1076" s="652"/>
    </row>
    <row r="1077" spans="1:12" ht="15.75" x14ac:dyDescent="0.25">
      <c r="A1077" s="647"/>
      <c r="B1077" s="648"/>
      <c r="C1077" s="649"/>
      <c r="D1077" s="650" t="s">
        <v>963</v>
      </c>
      <c r="E1077" s="657">
        <v>1.0069444444444444</v>
      </c>
      <c r="F1077" s="656"/>
      <c r="G1077" s="647"/>
      <c r="H1077" s="648"/>
      <c r="I1077" s="649"/>
      <c r="J1077" s="650"/>
      <c r="K1077" s="651"/>
      <c r="L1077" s="658"/>
    </row>
    <row r="1078" spans="1:12" ht="15.75" x14ac:dyDescent="0.25">
      <c r="A1078" s="647"/>
      <c r="B1078" s="648" t="s">
        <v>462</v>
      </c>
      <c r="C1078" s="649" t="s">
        <v>459</v>
      </c>
      <c r="D1078" s="650"/>
      <c r="E1078" s="657"/>
      <c r="F1078" s="653"/>
      <c r="G1078" s="647"/>
      <c r="H1078" s="648"/>
      <c r="I1078" s="649"/>
      <c r="J1078" s="655"/>
      <c r="K1078" s="651"/>
      <c r="L1078" s="658"/>
    </row>
    <row r="1079" spans="1:12" ht="15.75" x14ac:dyDescent="0.25">
      <c r="A1079" s="647"/>
      <c r="B1079" s="648"/>
      <c r="C1079" s="649"/>
      <c r="D1079" s="650"/>
      <c r="E1079" s="651"/>
      <c r="F1079" s="652"/>
      <c r="G1079" s="647"/>
      <c r="H1079" s="648"/>
      <c r="I1079" s="649"/>
      <c r="J1079" s="650"/>
      <c r="K1079" s="651"/>
      <c r="L1079" s="658"/>
    </row>
    <row r="1080" spans="1:12" ht="16.5" thickBot="1" x14ac:dyDescent="0.3">
      <c r="A1080" s="659"/>
      <c r="B1080" s="660"/>
      <c r="C1080" s="661"/>
      <c r="D1080" s="662"/>
      <c r="E1080" s="663"/>
      <c r="F1080" s="664"/>
      <c r="G1080" s="665"/>
      <c r="H1080" s="666"/>
      <c r="I1080" s="667"/>
      <c r="J1080" s="668"/>
      <c r="K1080" s="663"/>
      <c r="L1080" s="669"/>
    </row>
    <row r="1081" spans="1:12" ht="21" x14ac:dyDescent="0.35">
      <c r="A1081" s="781" t="s">
        <v>945</v>
      </c>
      <c r="B1081" s="782"/>
      <c r="C1081" s="782"/>
      <c r="D1081" s="782"/>
      <c r="E1081" s="782"/>
      <c r="F1081" s="782"/>
      <c r="G1081" s="782"/>
      <c r="H1081" s="782"/>
      <c r="I1081" s="782"/>
      <c r="J1081" s="782"/>
      <c r="K1081" s="782"/>
      <c r="L1081" s="783"/>
    </row>
    <row r="1082" spans="1:12" ht="18.75" x14ac:dyDescent="0.3">
      <c r="A1082" s="784" t="s">
        <v>946</v>
      </c>
      <c r="B1082" s="785"/>
      <c r="C1082" s="785"/>
      <c r="D1082" s="785"/>
      <c r="E1082" s="785"/>
      <c r="F1082" s="785"/>
      <c r="G1082" s="785"/>
      <c r="H1082" s="785"/>
      <c r="I1082" s="785"/>
      <c r="J1082" s="785"/>
      <c r="K1082" s="785"/>
      <c r="L1082" s="786"/>
    </row>
    <row r="1083" spans="1:12" ht="24" x14ac:dyDescent="0.4">
      <c r="A1083" s="787" t="s">
        <v>947</v>
      </c>
      <c r="B1083" s="788"/>
      <c r="C1083" s="788"/>
      <c r="D1083" s="788"/>
      <c r="E1083" s="788"/>
      <c r="F1083" s="788"/>
      <c r="G1083" s="788"/>
      <c r="H1083" s="788"/>
      <c r="I1083" s="788"/>
      <c r="J1083" s="788"/>
      <c r="K1083" s="788"/>
      <c r="L1083" s="789"/>
    </row>
    <row r="1084" spans="1:12" ht="24" x14ac:dyDescent="0.4">
      <c r="A1084" s="623" t="s">
        <v>1279</v>
      </c>
      <c r="B1084" s="624"/>
      <c r="C1084" s="624"/>
      <c r="D1084" s="625" t="s">
        <v>949</v>
      </c>
      <c r="E1084" s="790" t="s">
        <v>683</v>
      </c>
      <c r="F1084" s="790"/>
      <c r="G1084" s="790"/>
      <c r="H1084" s="790"/>
      <c r="I1084" s="790"/>
      <c r="J1084" s="626" t="s">
        <v>1161</v>
      </c>
      <c r="K1084" s="790"/>
      <c r="L1084" s="791"/>
    </row>
    <row r="1085" spans="1:12" ht="15.75" thickBot="1" x14ac:dyDescent="0.3">
      <c r="A1085" s="627"/>
      <c r="B1085" s="628"/>
      <c r="C1085" s="628"/>
      <c r="D1085" s="629"/>
      <c r="E1085" s="628"/>
      <c r="F1085" s="628"/>
      <c r="G1085" s="628"/>
      <c r="H1085" s="628"/>
      <c r="I1085" s="792"/>
      <c r="J1085" s="792"/>
      <c r="K1085" s="628"/>
      <c r="L1085" s="630"/>
    </row>
    <row r="1086" spans="1:12" ht="16.5" thickBot="1" x14ac:dyDescent="0.3">
      <c r="A1086" s="631" t="s">
        <v>952</v>
      </c>
      <c r="B1086" s="632"/>
      <c r="C1086" s="633"/>
      <c r="D1086" s="634" t="s">
        <v>953</v>
      </c>
      <c r="E1086" s="631" t="s">
        <v>954</v>
      </c>
      <c r="F1086" s="635" t="s">
        <v>955</v>
      </c>
      <c r="G1086" s="631" t="s">
        <v>952</v>
      </c>
      <c r="H1086" s="632"/>
      <c r="I1086" s="633"/>
      <c r="J1086" s="634" t="s">
        <v>953</v>
      </c>
      <c r="K1086" s="631" t="s">
        <v>954</v>
      </c>
      <c r="L1086" s="631" t="s">
        <v>955</v>
      </c>
    </row>
    <row r="1087" spans="1:12" ht="15.75" x14ac:dyDescent="0.25">
      <c r="A1087" s="636"/>
      <c r="B1087" s="637"/>
      <c r="C1087" s="638"/>
      <c r="D1087" s="639"/>
      <c r="E1087" s="640"/>
      <c r="F1087" s="641"/>
      <c r="G1087" s="636"/>
      <c r="H1087" s="642"/>
      <c r="I1087" s="643"/>
      <c r="J1087" s="644"/>
      <c r="K1087" s="645"/>
      <c r="L1087" s="646"/>
    </row>
    <row r="1088" spans="1:12" ht="15.75" x14ac:dyDescent="0.25">
      <c r="A1088" s="647"/>
      <c r="B1088" s="648" t="s">
        <v>459</v>
      </c>
      <c r="C1088" s="649">
        <v>29</v>
      </c>
      <c r="D1088" s="650" t="s">
        <v>1425</v>
      </c>
      <c r="E1088" s="651"/>
      <c r="F1088" s="652"/>
      <c r="G1088" s="647"/>
      <c r="H1088" s="648"/>
      <c r="I1088" s="649"/>
      <c r="J1088" s="650"/>
      <c r="K1088" s="651"/>
      <c r="L1088" s="653"/>
    </row>
    <row r="1089" spans="1:12" ht="15.75" x14ac:dyDescent="0.25">
      <c r="A1089" s="647" t="s">
        <v>958</v>
      </c>
      <c r="B1089" s="654"/>
      <c r="C1089" s="649"/>
      <c r="D1089" s="655" t="s">
        <v>959</v>
      </c>
      <c r="E1089" s="651"/>
      <c r="F1089" s="656">
        <v>0.50347222222222221</v>
      </c>
      <c r="G1089" s="647"/>
      <c r="H1089" s="648"/>
      <c r="I1089" s="649"/>
      <c r="J1089" s="655"/>
      <c r="K1089" s="651"/>
      <c r="L1089" s="656"/>
    </row>
    <row r="1090" spans="1:12" ht="15.75" x14ac:dyDescent="0.25">
      <c r="A1090" s="647" t="s">
        <v>961</v>
      </c>
      <c r="B1090" s="648"/>
      <c r="C1090" s="649"/>
      <c r="D1090" s="650" t="s">
        <v>160</v>
      </c>
      <c r="E1090" s="651"/>
      <c r="F1090" s="653">
        <v>0.53819444444444442</v>
      </c>
      <c r="G1090" s="647"/>
      <c r="H1090" s="654"/>
      <c r="I1090" s="649"/>
      <c r="J1090" s="650"/>
      <c r="K1090" s="651"/>
      <c r="L1090" s="653"/>
    </row>
    <row r="1091" spans="1:12" ht="15.75" x14ac:dyDescent="0.25">
      <c r="A1091" s="647"/>
      <c r="B1091" s="648"/>
      <c r="C1091" s="649"/>
      <c r="D1091" s="655" t="s">
        <v>962</v>
      </c>
      <c r="E1091" s="651"/>
      <c r="F1091" s="656">
        <v>0.54861111111111116</v>
      </c>
      <c r="G1091" s="647"/>
      <c r="H1091" s="648"/>
      <c r="I1091" s="649"/>
      <c r="J1091" s="655"/>
      <c r="K1091" s="651"/>
      <c r="L1091" s="656"/>
    </row>
    <row r="1092" spans="1:12" ht="15.75" x14ac:dyDescent="0.25">
      <c r="A1092" s="647"/>
      <c r="B1092" s="648"/>
      <c r="C1092" s="649"/>
      <c r="D1092" s="655" t="s">
        <v>960</v>
      </c>
      <c r="E1092" s="651"/>
      <c r="F1092" s="656">
        <v>0.57986111111111116</v>
      </c>
      <c r="G1092" s="647"/>
      <c r="H1092" s="648"/>
      <c r="I1092" s="649"/>
      <c r="J1092" s="655"/>
      <c r="K1092" s="651"/>
      <c r="L1092" s="656"/>
    </row>
    <row r="1093" spans="1:12" ht="15.75" x14ac:dyDescent="0.25">
      <c r="A1093" s="647" t="s">
        <v>961</v>
      </c>
      <c r="B1093" s="654"/>
      <c r="C1093" s="649"/>
      <c r="D1093" s="650" t="s">
        <v>163</v>
      </c>
      <c r="E1093" s="651"/>
      <c r="F1093" s="653">
        <v>0.63541666666666663</v>
      </c>
      <c r="G1093" s="647"/>
      <c r="H1093" s="648"/>
      <c r="I1093" s="649"/>
      <c r="J1093" s="650"/>
      <c r="K1093" s="651"/>
      <c r="L1093" s="653"/>
    </row>
    <row r="1094" spans="1:12" ht="15.75" x14ac:dyDescent="0.25">
      <c r="A1094" s="647"/>
      <c r="B1094" s="648"/>
      <c r="C1094" s="649"/>
      <c r="D1094" s="655" t="s">
        <v>164</v>
      </c>
      <c r="E1094" s="651"/>
      <c r="F1094" s="656">
        <v>0.66666666666666663</v>
      </c>
      <c r="G1094" s="647"/>
      <c r="H1094" s="648"/>
      <c r="I1094" s="649"/>
      <c r="J1094" s="655"/>
      <c r="K1094" s="651"/>
      <c r="L1094" s="656"/>
    </row>
    <row r="1095" spans="1:12" ht="15.75" x14ac:dyDescent="0.25">
      <c r="A1095" s="647"/>
      <c r="B1095" s="648"/>
      <c r="C1095" s="649"/>
      <c r="D1095" s="655" t="s">
        <v>166</v>
      </c>
      <c r="E1095" s="657">
        <v>0.68055555555555558</v>
      </c>
      <c r="F1095" s="656"/>
      <c r="G1095" s="647"/>
      <c r="H1095" s="654"/>
      <c r="I1095" s="649"/>
      <c r="J1095" s="655"/>
      <c r="K1095" s="657"/>
      <c r="L1095" s="656"/>
    </row>
    <row r="1096" spans="1:12" ht="15.75" x14ac:dyDescent="0.25">
      <c r="A1096" s="647"/>
      <c r="B1096" s="648" t="s">
        <v>459</v>
      </c>
      <c r="C1096" s="649">
        <v>29</v>
      </c>
      <c r="D1096" s="650" t="s">
        <v>1426</v>
      </c>
      <c r="E1096" s="651"/>
      <c r="F1096" s="656"/>
      <c r="G1096" s="647"/>
      <c r="H1096" s="648"/>
      <c r="I1096" s="649"/>
      <c r="J1096" s="650"/>
      <c r="K1096" s="651"/>
      <c r="L1096" s="658"/>
    </row>
    <row r="1097" spans="1:12" ht="15.75" x14ac:dyDescent="0.25">
      <c r="A1097" s="647"/>
      <c r="B1097" s="648"/>
      <c r="C1097" s="649"/>
      <c r="D1097" s="650"/>
      <c r="E1097" s="651"/>
      <c r="F1097" s="653"/>
      <c r="G1097" s="647"/>
      <c r="H1097" s="648"/>
      <c r="I1097" s="649"/>
      <c r="J1097" s="650"/>
      <c r="K1097" s="651"/>
      <c r="L1097" s="652"/>
    </row>
    <row r="1098" spans="1:12" ht="15.75" x14ac:dyDescent="0.25">
      <c r="A1098" s="647"/>
      <c r="B1098" s="648" t="s">
        <v>459</v>
      </c>
      <c r="C1098" s="649">
        <v>202</v>
      </c>
      <c r="D1098" s="650" t="s">
        <v>1023</v>
      </c>
      <c r="E1098" s="651"/>
      <c r="F1098" s="656"/>
      <c r="G1098" s="647"/>
      <c r="H1098" s="648"/>
      <c r="I1098" s="649"/>
      <c r="J1098" s="650"/>
      <c r="K1098" s="651"/>
      <c r="L1098" s="653"/>
    </row>
    <row r="1099" spans="1:12" ht="15.75" x14ac:dyDescent="0.25">
      <c r="A1099" s="647"/>
      <c r="B1099" s="648"/>
      <c r="C1099" s="649"/>
      <c r="D1099" s="655" t="s">
        <v>166</v>
      </c>
      <c r="E1099" s="651"/>
      <c r="F1099" s="656">
        <v>0.68055555555555558</v>
      </c>
      <c r="G1099" s="647"/>
      <c r="H1099" s="648"/>
      <c r="I1099" s="649"/>
      <c r="J1099" s="655"/>
      <c r="K1099" s="651"/>
      <c r="L1099" s="656"/>
    </row>
    <row r="1100" spans="1:12" ht="15.75" x14ac:dyDescent="0.25">
      <c r="A1100" s="647" t="s">
        <v>961</v>
      </c>
      <c r="B1100" s="648"/>
      <c r="C1100" s="649"/>
      <c r="D1100" s="650" t="s">
        <v>160</v>
      </c>
      <c r="E1100" s="651"/>
      <c r="F1100" s="653">
        <v>0.72916666666666663</v>
      </c>
      <c r="G1100" s="647"/>
      <c r="H1100" s="654"/>
      <c r="I1100" s="649"/>
      <c r="J1100" s="650"/>
      <c r="K1100" s="651"/>
      <c r="L1100" s="653"/>
    </row>
    <row r="1101" spans="1:12" ht="15.75" x14ac:dyDescent="0.25">
      <c r="A1101" s="647"/>
      <c r="B1101" s="648"/>
      <c r="C1101" s="649"/>
      <c r="D1101" s="655" t="s">
        <v>962</v>
      </c>
      <c r="E1101" s="651"/>
      <c r="F1101" s="656">
        <v>0.73611111111111116</v>
      </c>
      <c r="G1101" s="647"/>
      <c r="H1101" s="648"/>
      <c r="I1101" s="649"/>
      <c r="J1101" s="655"/>
      <c r="K1101" s="651"/>
      <c r="L1101" s="656"/>
    </row>
    <row r="1102" spans="1:12" ht="15.75" x14ac:dyDescent="0.25">
      <c r="A1102" s="647"/>
      <c r="B1102" s="648"/>
      <c r="C1102" s="649"/>
      <c r="D1102" s="655" t="s">
        <v>960</v>
      </c>
      <c r="E1102" s="657">
        <v>0.76388888888888884</v>
      </c>
      <c r="F1102" s="656"/>
      <c r="G1102" s="647"/>
      <c r="H1102" s="648"/>
      <c r="I1102" s="649"/>
      <c r="J1102" s="655"/>
      <c r="K1102" s="651"/>
      <c r="L1102" s="656"/>
    </row>
    <row r="1103" spans="1:12" ht="15.75" x14ac:dyDescent="0.25">
      <c r="A1103" s="647"/>
      <c r="B1103" s="648" t="s">
        <v>462</v>
      </c>
      <c r="C1103" s="649" t="s">
        <v>459</v>
      </c>
      <c r="D1103" s="650"/>
      <c r="E1103" s="651"/>
      <c r="F1103" s="658"/>
      <c r="G1103" s="647"/>
      <c r="H1103" s="648"/>
      <c r="I1103" s="649"/>
      <c r="J1103" s="650"/>
      <c r="K1103" s="657"/>
      <c r="L1103" s="653"/>
    </row>
    <row r="1104" spans="1:12" ht="15.75" x14ac:dyDescent="0.25">
      <c r="A1104" s="647"/>
      <c r="B1104" s="648"/>
      <c r="C1104" s="649"/>
      <c r="D1104" s="650"/>
      <c r="E1104" s="657"/>
      <c r="F1104" s="658"/>
      <c r="G1104" s="647"/>
      <c r="H1104" s="648"/>
      <c r="I1104" s="649"/>
      <c r="J1104" s="650"/>
      <c r="K1104" s="657"/>
      <c r="L1104" s="658"/>
    </row>
    <row r="1105" spans="1:12" ht="15.75" x14ac:dyDescent="0.25">
      <c r="A1105" s="647"/>
      <c r="B1105" s="648" t="s">
        <v>459</v>
      </c>
      <c r="C1105" s="649">
        <v>35</v>
      </c>
      <c r="D1105" s="650" t="s">
        <v>1427</v>
      </c>
      <c r="E1105" s="651"/>
      <c r="F1105" s="653"/>
      <c r="G1105" s="647"/>
      <c r="H1105" s="648"/>
      <c r="I1105" s="649"/>
      <c r="J1105" s="650"/>
      <c r="K1105" s="657"/>
      <c r="L1105" s="658"/>
    </row>
    <row r="1106" spans="1:12" ht="15.75" x14ac:dyDescent="0.25">
      <c r="A1106" s="647"/>
      <c r="B1106" s="648"/>
      <c r="C1106" s="649"/>
      <c r="D1106" s="655" t="s">
        <v>960</v>
      </c>
      <c r="E1106" s="651"/>
      <c r="F1106" s="656">
        <v>0.76388888888888884</v>
      </c>
      <c r="G1106" s="647"/>
      <c r="H1106" s="654"/>
      <c r="I1106" s="649"/>
      <c r="J1106" s="650"/>
      <c r="K1106" s="657"/>
      <c r="L1106" s="653"/>
    </row>
    <row r="1107" spans="1:12" ht="15.75" x14ac:dyDescent="0.25">
      <c r="A1107" s="647" t="s">
        <v>961</v>
      </c>
      <c r="B1107" s="654"/>
      <c r="C1107" s="649"/>
      <c r="D1107" s="650" t="s">
        <v>163</v>
      </c>
      <c r="E1107" s="651"/>
      <c r="F1107" s="653">
        <v>0.81944444444444442</v>
      </c>
      <c r="G1107" s="647"/>
      <c r="H1107" s="648"/>
      <c r="I1107" s="649"/>
      <c r="J1107" s="650"/>
      <c r="K1107" s="657"/>
      <c r="L1107" s="656"/>
    </row>
    <row r="1108" spans="1:12" ht="15.75" x14ac:dyDescent="0.25">
      <c r="A1108" s="647"/>
      <c r="B1108" s="648"/>
      <c r="C1108" s="649"/>
      <c r="D1108" s="655" t="s">
        <v>164</v>
      </c>
      <c r="E1108" s="651"/>
      <c r="F1108" s="656">
        <v>0.84375</v>
      </c>
      <c r="G1108" s="647"/>
      <c r="H1108" s="648"/>
      <c r="I1108" s="649"/>
      <c r="J1108" s="650"/>
      <c r="K1108" s="657"/>
      <c r="L1108" s="653"/>
    </row>
    <row r="1109" spans="1:12" ht="15.75" x14ac:dyDescent="0.25">
      <c r="A1109" s="647"/>
      <c r="B1109" s="648"/>
      <c r="C1109" s="649"/>
      <c r="D1109" s="655" t="s">
        <v>166</v>
      </c>
      <c r="E1109" s="651"/>
      <c r="F1109" s="656">
        <v>0.85763888888888884</v>
      </c>
      <c r="G1109" s="647"/>
      <c r="H1109" s="648"/>
      <c r="I1109" s="649"/>
      <c r="J1109" s="650"/>
      <c r="K1109" s="657"/>
      <c r="L1109" s="653"/>
    </row>
    <row r="1110" spans="1:12" ht="15.75" x14ac:dyDescent="0.25">
      <c r="A1110" s="647" t="s">
        <v>958</v>
      </c>
      <c r="B1110" s="648"/>
      <c r="C1110" s="649"/>
      <c r="D1110" s="650" t="s">
        <v>160</v>
      </c>
      <c r="E1110" s="657">
        <v>0.89583333333333337</v>
      </c>
      <c r="F1110" s="653"/>
      <c r="G1110" s="647"/>
      <c r="H1110" s="648"/>
      <c r="I1110" s="649"/>
      <c r="J1110" s="650"/>
      <c r="K1110" s="651"/>
      <c r="L1110" s="652"/>
    </row>
    <row r="1111" spans="1:12" ht="15.75" x14ac:dyDescent="0.25">
      <c r="A1111" s="647"/>
      <c r="B1111" s="648"/>
      <c r="C1111" s="649"/>
      <c r="D1111" s="650" t="s">
        <v>963</v>
      </c>
      <c r="E1111" s="657">
        <v>0.92708333333333337</v>
      </c>
      <c r="F1111" s="658"/>
      <c r="G1111" s="647"/>
      <c r="H1111" s="648"/>
      <c r="I1111" s="649"/>
      <c r="J1111" s="650"/>
      <c r="K1111" s="651"/>
      <c r="L1111" s="652"/>
    </row>
    <row r="1112" spans="1:12" ht="15.75" x14ac:dyDescent="0.25">
      <c r="A1112" s="647"/>
      <c r="B1112" s="648" t="s">
        <v>462</v>
      </c>
      <c r="C1112" s="649" t="s">
        <v>459</v>
      </c>
      <c r="D1112" s="650"/>
      <c r="E1112" s="657"/>
      <c r="F1112" s="658"/>
      <c r="G1112" s="647"/>
      <c r="H1112" s="648"/>
      <c r="I1112" s="649"/>
      <c r="J1112" s="650"/>
      <c r="K1112" s="651"/>
      <c r="L1112" s="652"/>
    </row>
    <row r="1113" spans="1:12" ht="15.75" x14ac:dyDescent="0.25">
      <c r="A1113" s="647"/>
      <c r="B1113" s="654"/>
      <c r="C1113" s="649"/>
      <c r="D1113" s="650"/>
      <c r="E1113" s="657"/>
      <c r="F1113" s="653"/>
      <c r="G1113" s="647"/>
      <c r="H1113" s="648"/>
      <c r="I1113" s="649"/>
      <c r="J1113" s="650"/>
      <c r="K1113" s="651"/>
      <c r="L1113" s="652"/>
    </row>
    <row r="1114" spans="1:12" ht="15.75" x14ac:dyDescent="0.25">
      <c r="A1114" s="647"/>
      <c r="B1114" s="648"/>
      <c r="C1114" s="649"/>
      <c r="D1114" s="655"/>
      <c r="E1114" s="651"/>
      <c r="F1114" s="656"/>
      <c r="G1114" s="647"/>
      <c r="H1114" s="648"/>
      <c r="I1114" s="649"/>
      <c r="J1114" s="650"/>
      <c r="K1114" s="651"/>
      <c r="L1114" s="652"/>
    </row>
    <row r="1115" spans="1:12" ht="15.75" x14ac:dyDescent="0.25">
      <c r="A1115" s="647"/>
      <c r="B1115" s="648"/>
      <c r="C1115" s="649"/>
      <c r="D1115" s="655"/>
      <c r="E1115" s="657"/>
      <c r="F1115" s="656"/>
      <c r="G1115" s="647"/>
      <c r="H1115" s="648"/>
      <c r="I1115" s="649"/>
      <c r="J1115" s="650"/>
      <c r="K1115" s="651"/>
      <c r="L1115" s="652"/>
    </row>
    <row r="1116" spans="1:12" ht="15.75" x14ac:dyDescent="0.25">
      <c r="A1116" s="647"/>
      <c r="B1116" s="648"/>
      <c r="C1116" s="649"/>
      <c r="D1116" s="650"/>
      <c r="E1116" s="651"/>
      <c r="F1116" s="658"/>
      <c r="G1116" s="647"/>
      <c r="H1116" s="648"/>
      <c r="I1116" s="649"/>
      <c r="J1116" s="650"/>
      <c r="K1116" s="651"/>
      <c r="L1116" s="652"/>
    </row>
    <row r="1117" spans="1:12" ht="15.75" x14ac:dyDescent="0.25">
      <c r="A1117" s="647"/>
      <c r="B1117" s="648"/>
      <c r="C1117" s="649"/>
      <c r="D1117" s="650"/>
      <c r="E1117" s="657"/>
      <c r="F1117" s="658"/>
      <c r="G1117" s="647"/>
      <c r="H1117" s="648"/>
      <c r="I1117" s="649"/>
      <c r="J1117" s="650"/>
      <c r="K1117" s="651"/>
      <c r="L1117" s="658"/>
    </row>
    <row r="1118" spans="1:12" ht="15.75" x14ac:dyDescent="0.25">
      <c r="A1118" s="647"/>
      <c r="B1118" s="648"/>
      <c r="C1118" s="649"/>
      <c r="D1118" s="655"/>
      <c r="E1118" s="657"/>
      <c r="F1118" s="653"/>
      <c r="G1118" s="647"/>
      <c r="H1118" s="648"/>
      <c r="I1118" s="649"/>
      <c r="J1118" s="655"/>
      <c r="K1118" s="651"/>
      <c r="L1118" s="658"/>
    </row>
    <row r="1119" spans="1:12" ht="15.75" x14ac:dyDescent="0.25">
      <c r="A1119" s="647"/>
      <c r="B1119" s="648"/>
      <c r="C1119" s="649"/>
      <c r="D1119" s="650"/>
      <c r="E1119" s="651"/>
      <c r="F1119" s="652"/>
      <c r="G1119" s="647"/>
      <c r="H1119" s="648"/>
      <c r="I1119" s="649"/>
      <c r="J1119" s="650"/>
      <c r="K1119" s="651"/>
      <c r="L1119" s="658"/>
    </row>
    <row r="1120" spans="1:12" ht="16.5" thickBot="1" x14ac:dyDescent="0.3">
      <c r="A1120" s="659"/>
      <c r="B1120" s="660"/>
      <c r="C1120" s="661"/>
      <c r="D1120" s="662"/>
      <c r="E1120" s="663"/>
      <c r="F1120" s="664"/>
      <c r="G1120" s="665"/>
      <c r="H1120" s="666"/>
      <c r="I1120" s="667"/>
      <c r="J1120" s="668"/>
      <c r="K1120" s="663"/>
      <c r="L1120" s="669"/>
    </row>
    <row r="1121" spans="1:12" ht="21" x14ac:dyDescent="0.35">
      <c r="A1121" s="781" t="s">
        <v>945</v>
      </c>
      <c r="B1121" s="782"/>
      <c r="C1121" s="782"/>
      <c r="D1121" s="782"/>
      <c r="E1121" s="782"/>
      <c r="F1121" s="782"/>
      <c r="G1121" s="782"/>
      <c r="H1121" s="782"/>
      <c r="I1121" s="782"/>
      <c r="J1121" s="782"/>
      <c r="K1121" s="782"/>
      <c r="L1121" s="783"/>
    </row>
    <row r="1122" spans="1:12" ht="18.75" x14ac:dyDescent="0.3">
      <c r="A1122" s="784" t="s">
        <v>946</v>
      </c>
      <c r="B1122" s="785"/>
      <c r="C1122" s="785"/>
      <c r="D1122" s="785"/>
      <c r="E1122" s="785"/>
      <c r="F1122" s="785"/>
      <c r="G1122" s="785"/>
      <c r="H1122" s="785"/>
      <c r="I1122" s="785"/>
      <c r="J1122" s="785"/>
      <c r="K1122" s="785"/>
      <c r="L1122" s="786"/>
    </row>
    <row r="1123" spans="1:12" ht="24" x14ac:dyDescent="0.4">
      <c r="A1123" s="787" t="s">
        <v>947</v>
      </c>
      <c r="B1123" s="788"/>
      <c r="C1123" s="788"/>
      <c r="D1123" s="788"/>
      <c r="E1123" s="788"/>
      <c r="F1123" s="788"/>
      <c r="G1123" s="788"/>
      <c r="H1123" s="788"/>
      <c r="I1123" s="788"/>
      <c r="J1123" s="788"/>
      <c r="K1123" s="788"/>
      <c r="L1123" s="789"/>
    </row>
    <row r="1124" spans="1:12" ht="24" x14ac:dyDescent="0.4">
      <c r="A1124" s="623" t="s">
        <v>1279</v>
      </c>
      <c r="B1124" s="624"/>
      <c r="C1124" s="624"/>
      <c r="D1124" s="625" t="s">
        <v>949</v>
      </c>
      <c r="E1124" s="790" t="s">
        <v>683</v>
      </c>
      <c r="F1124" s="790"/>
      <c r="G1124" s="790"/>
      <c r="H1124" s="790"/>
      <c r="I1124" s="790"/>
      <c r="J1124" s="626" t="s">
        <v>1166</v>
      </c>
      <c r="K1124" s="790"/>
      <c r="L1124" s="791"/>
    </row>
    <row r="1125" spans="1:12" ht="15.75" thickBot="1" x14ac:dyDescent="0.3">
      <c r="A1125" s="627"/>
      <c r="B1125" s="628"/>
      <c r="C1125" s="628"/>
      <c r="D1125" s="629"/>
      <c r="E1125" s="628"/>
      <c r="F1125" s="628"/>
      <c r="G1125" s="628"/>
      <c r="H1125" s="628"/>
      <c r="I1125" s="792"/>
      <c r="J1125" s="792"/>
      <c r="K1125" s="628"/>
      <c r="L1125" s="630"/>
    </row>
    <row r="1126" spans="1:12" ht="16.5" thickBot="1" x14ac:dyDescent="0.3">
      <c r="A1126" s="631" t="s">
        <v>952</v>
      </c>
      <c r="B1126" s="632"/>
      <c r="C1126" s="633"/>
      <c r="D1126" s="634" t="s">
        <v>953</v>
      </c>
      <c r="E1126" s="631" t="s">
        <v>954</v>
      </c>
      <c r="F1126" s="635" t="s">
        <v>955</v>
      </c>
      <c r="G1126" s="631" t="s">
        <v>952</v>
      </c>
      <c r="H1126" s="632"/>
      <c r="I1126" s="633"/>
      <c r="J1126" s="634" t="s">
        <v>953</v>
      </c>
      <c r="K1126" s="631" t="s">
        <v>954</v>
      </c>
      <c r="L1126" s="631" t="s">
        <v>955</v>
      </c>
    </row>
    <row r="1127" spans="1:12" ht="15.75" x14ac:dyDescent="0.25">
      <c r="A1127" s="636"/>
      <c r="B1127" s="637"/>
      <c r="C1127" s="638"/>
      <c r="D1127" s="639"/>
      <c r="E1127" s="640"/>
      <c r="F1127" s="641"/>
      <c r="G1127" s="636"/>
      <c r="H1127" s="642"/>
      <c r="I1127" s="643"/>
      <c r="J1127" s="644"/>
      <c r="K1127" s="645"/>
      <c r="L1127" s="646"/>
    </row>
    <row r="1128" spans="1:12" ht="15.75" x14ac:dyDescent="0.25">
      <c r="A1128" s="647"/>
      <c r="B1128" s="648" t="s">
        <v>459</v>
      </c>
      <c r="C1128" s="649">
        <v>33</v>
      </c>
      <c r="D1128" s="650" t="s">
        <v>1428</v>
      </c>
      <c r="E1128" s="651"/>
      <c r="F1128" s="652"/>
      <c r="G1128" s="647"/>
      <c r="H1128" s="648" t="s">
        <v>459</v>
      </c>
      <c r="I1128" s="649">
        <v>47</v>
      </c>
      <c r="J1128" s="650" t="s">
        <v>973</v>
      </c>
      <c r="K1128" s="651"/>
      <c r="L1128" s="653"/>
    </row>
    <row r="1129" spans="1:12" ht="15.75" x14ac:dyDescent="0.25">
      <c r="A1129" s="647" t="s">
        <v>958</v>
      </c>
      <c r="B1129" s="654"/>
      <c r="C1129" s="649"/>
      <c r="D1129" s="655" t="s">
        <v>959</v>
      </c>
      <c r="E1129" s="651"/>
      <c r="F1129" s="656">
        <v>0.51736111111111116</v>
      </c>
      <c r="G1129" s="647"/>
      <c r="H1129" s="648"/>
      <c r="I1129" s="649"/>
      <c r="J1129" s="655" t="s">
        <v>166</v>
      </c>
      <c r="K1129" s="651"/>
      <c r="L1129" s="656">
        <v>0.92708333333333337</v>
      </c>
    </row>
    <row r="1130" spans="1:12" ht="15.75" x14ac:dyDescent="0.25">
      <c r="A1130" s="647" t="s">
        <v>961</v>
      </c>
      <c r="B1130" s="654"/>
      <c r="C1130" s="649"/>
      <c r="D1130" s="650" t="s">
        <v>163</v>
      </c>
      <c r="E1130" s="651"/>
      <c r="F1130" s="653">
        <v>0.54513888888888884</v>
      </c>
      <c r="G1130" s="647" t="s">
        <v>961</v>
      </c>
      <c r="H1130" s="648"/>
      <c r="I1130" s="649"/>
      <c r="J1130" s="650" t="s">
        <v>160</v>
      </c>
      <c r="K1130" s="651"/>
      <c r="L1130" s="653">
        <v>0.96527777777777779</v>
      </c>
    </row>
    <row r="1131" spans="1:12" ht="15.75" x14ac:dyDescent="0.25">
      <c r="A1131" s="647"/>
      <c r="B1131" s="648"/>
      <c r="C1131" s="649"/>
      <c r="D1131" s="655" t="s">
        <v>164</v>
      </c>
      <c r="E1131" s="651"/>
      <c r="F1131" s="656">
        <v>0.57638888888888884</v>
      </c>
      <c r="G1131" s="647"/>
      <c r="H1131" s="648"/>
      <c r="I1131" s="649"/>
      <c r="J1131" s="655" t="s">
        <v>962</v>
      </c>
      <c r="K1131" s="651"/>
      <c r="L1131" s="656">
        <v>0.97222222222222221</v>
      </c>
    </row>
    <row r="1132" spans="1:12" ht="15.75" x14ac:dyDescent="0.25">
      <c r="A1132" s="647"/>
      <c r="B1132" s="648"/>
      <c r="C1132" s="649"/>
      <c r="D1132" s="655" t="s">
        <v>166</v>
      </c>
      <c r="E1132" s="651"/>
      <c r="F1132" s="656">
        <v>0.59027777777777779</v>
      </c>
      <c r="G1132" s="647"/>
      <c r="H1132" s="648"/>
      <c r="I1132" s="649"/>
      <c r="J1132" s="655" t="s">
        <v>960</v>
      </c>
      <c r="K1132" s="651"/>
      <c r="L1132" s="656">
        <v>0.99652777777777779</v>
      </c>
    </row>
    <row r="1133" spans="1:12" ht="15.75" x14ac:dyDescent="0.25">
      <c r="A1133" s="647" t="s">
        <v>961</v>
      </c>
      <c r="B1133" s="648"/>
      <c r="C1133" s="649"/>
      <c r="D1133" s="650" t="s">
        <v>160</v>
      </c>
      <c r="E1133" s="651"/>
      <c r="F1133" s="653">
        <v>0.63888888888888884</v>
      </c>
      <c r="G1133" s="647" t="s">
        <v>958</v>
      </c>
      <c r="H1133" s="654"/>
      <c r="I1133" s="649"/>
      <c r="J1133" s="650" t="s">
        <v>163</v>
      </c>
      <c r="K1133" s="657">
        <v>1.0381944444444444</v>
      </c>
      <c r="L1133" s="653"/>
    </row>
    <row r="1134" spans="1:12" ht="15.75" x14ac:dyDescent="0.25">
      <c r="A1134" s="647"/>
      <c r="B1134" s="648"/>
      <c r="C1134" s="649"/>
      <c r="D1134" s="655" t="s">
        <v>962</v>
      </c>
      <c r="E1134" s="651"/>
      <c r="F1134" s="656">
        <v>0.64583333333333337</v>
      </c>
      <c r="G1134" s="647"/>
      <c r="H1134" s="648"/>
      <c r="I1134" s="649"/>
      <c r="J1134" s="650" t="s">
        <v>963</v>
      </c>
      <c r="K1134" s="657">
        <v>6.25E-2</v>
      </c>
      <c r="L1134" s="656"/>
    </row>
    <row r="1135" spans="1:12" ht="15.75" x14ac:dyDescent="0.25">
      <c r="A1135" s="647"/>
      <c r="B1135" s="648"/>
      <c r="C1135" s="649"/>
      <c r="D1135" s="655" t="s">
        <v>960</v>
      </c>
      <c r="E1135" s="657">
        <v>0.67708333333333337</v>
      </c>
      <c r="F1135" s="656"/>
      <c r="G1135" s="647"/>
      <c r="H1135" s="648" t="s">
        <v>462</v>
      </c>
      <c r="I1135" s="649" t="s">
        <v>459</v>
      </c>
      <c r="J1135" s="650"/>
      <c r="K1135" s="657"/>
      <c r="L1135" s="653"/>
    </row>
    <row r="1136" spans="1:12" ht="15.75" x14ac:dyDescent="0.25">
      <c r="A1136" s="647"/>
      <c r="B1136" s="648" t="s">
        <v>459</v>
      </c>
      <c r="C1136" s="649">
        <v>33</v>
      </c>
      <c r="D1136" s="650" t="s">
        <v>1429</v>
      </c>
      <c r="E1136" s="651"/>
      <c r="F1136" s="658"/>
      <c r="G1136" s="647"/>
      <c r="H1136" s="648"/>
      <c r="I1136" s="649"/>
      <c r="J1136" s="650"/>
      <c r="K1136" s="657"/>
      <c r="L1136" s="653"/>
    </row>
    <row r="1137" spans="1:12" ht="15.75" x14ac:dyDescent="0.25">
      <c r="A1137" s="647"/>
      <c r="B1137" s="648"/>
      <c r="C1137" s="649"/>
      <c r="D1137" s="650"/>
      <c r="E1137" s="651"/>
      <c r="F1137" s="656"/>
      <c r="G1137" s="647"/>
      <c r="H1137" s="648"/>
      <c r="I1137" s="649"/>
      <c r="J1137" s="650"/>
      <c r="K1137" s="657"/>
      <c r="L1137" s="653"/>
    </row>
    <row r="1138" spans="1:12" ht="15.75" x14ac:dyDescent="0.25">
      <c r="A1138" s="647"/>
      <c r="B1138" s="648" t="s">
        <v>459</v>
      </c>
      <c r="C1138" s="649">
        <v>203</v>
      </c>
      <c r="D1138" s="650" t="s">
        <v>1430</v>
      </c>
      <c r="E1138" s="651"/>
      <c r="F1138" s="653"/>
      <c r="G1138" s="647"/>
      <c r="H1138" s="648"/>
      <c r="I1138" s="649"/>
      <c r="J1138" s="650"/>
      <c r="K1138" s="657"/>
      <c r="L1138" s="653"/>
    </row>
    <row r="1139" spans="1:12" ht="15.75" x14ac:dyDescent="0.25">
      <c r="A1139" s="647"/>
      <c r="B1139" s="648"/>
      <c r="C1139" s="649"/>
      <c r="D1139" s="655" t="s">
        <v>960</v>
      </c>
      <c r="E1139" s="651"/>
      <c r="F1139" s="656">
        <v>0.67708333333333337</v>
      </c>
      <c r="G1139" s="647"/>
      <c r="H1139" s="648"/>
      <c r="I1139" s="649"/>
      <c r="J1139" s="650"/>
      <c r="K1139" s="657"/>
      <c r="L1139" s="652"/>
    </row>
    <row r="1140" spans="1:12" ht="15.75" x14ac:dyDescent="0.25">
      <c r="A1140" s="647" t="s">
        <v>961</v>
      </c>
      <c r="B1140" s="654"/>
      <c r="C1140" s="649"/>
      <c r="D1140" s="650" t="s">
        <v>163</v>
      </c>
      <c r="E1140" s="651"/>
      <c r="F1140" s="653">
        <v>0.72916666666666663</v>
      </c>
      <c r="G1140" s="647"/>
      <c r="H1140" s="648"/>
      <c r="I1140" s="649"/>
      <c r="J1140" s="650"/>
      <c r="K1140" s="651"/>
      <c r="L1140" s="652"/>
    </row>
    <row r="1141" spans="1:12" ht="15.75" x14ac:dyDescent="0.25">
      <c r="A1141" s="647"/>
      <c r="B1141" s="648"/>
      <c r="C1141" s="649"/>
      <c r="D1141" s="655" t="s">
        <v>164</v>
      </c>
      <c r="E1141" s="651"/>
      <c r="F1141" s="656">
        <v>0.75694444444444442</v>
      </c>
      <c r="G1141" s="647"/>
      <c r="H1141" s="648"/>
      <c r="I1141" s="649"/>
      <c r="J1141" s="650"/>
      <c r="K1141" s="651"/>
      <c r="L1141" s="652"/>
    </row>
    <row r="1142" spans="1:12" ht="15.75" x14ac:dyDescent="0.25">
      <c r="A1142" s="647"/>
      <c r="B1142" s="648"/>
      <c r="C1142" s="649"/>
      <c r="D1142" s="655" t="s">
        <v>166</v>
      </c>
      <c r="E1142" s="657">
        <v>0.77083333333333337</v>
      </c>
      <c r="F1142" s="656"/>
      <c r="G1142" s="647"/>
      <c r="H1142" s="648"/>
      <c r="I1142" s="649"/>
      <c r="J1142" s="650"/>
      <c r="K1142" s="651"/>
      <c r="L1142" s="652"/>
    </row>
    <row r="1143" spans="1:12" ht="15.75" x14ac:dyDescent="0.25">
      <c r="A1143" s="647"/>
      <c r="B1143" s="648" t="s">
        <v>462</v>
      </c>
      <c r="C1143" s="649" t="s">
        <v>459</v>
      </c>
      <c r="D1143" s="650"/>
      <c r="E1143" s="651"/>
      <c r="F1143" s="653"/>
      <c r="G1143" s="647"/>
      <c r="H1143" s="648"/>
      <c r="I1143" s="649"/>
      <c r="J1143" s="650"/>
      <c r="K1143" s="651"/>
      <c r="L1143" s="652"/>
    </row>
    <row r="1144" spans="1:12" ht="15.75" x14ac:dyDescent="0.25">
      <c r="A1144" s="647"/>
      <c r="B1144" s="648"/>
      <c r="C1144" s="649"/>
      <c r="D1144" s="650"/>
      <c r="E1144" s="651"/>
      <c r="F1144" s="656"/>
      <c r="G1144" s="647"/>
      <c r="H1144" s="648"/>
      <c r="I1144" s="649"/>
      <c r="J1144" s="650"/>
      <c r="K1144" s="651"/>
      <c r="L1144" s="652"/>
    </row>
    <row r="1145" spans="1:12" ht="15.75" x14ac:dyDescent="0.25">
      <c r="A1145" s="647"/>
      <c r="B1145" s="648" t="s">
        <v>459</v>
      </c>
      <c r="C1145" s="649">
        <v>36</v>
      </c>
      <c r="D1145" s="650" t="s">
        <v>1431</v>
      </c>
      <c r="E1145" s="657"/>
      <c r="F1145" s="656"/>
      <c r="G1145" s="647"/>
      <c r="H1145" s="648"/>
      <c r="I1145" s="649"/>
      <c r="J1145" s="650"/>
      <c r="K1145" s="651"/>
      <c r="L1145" s="652"/>
    </row>
    <row r="1146" spans="1:12" ht="15.75" x14ac:dyDescent="0.25">
      <c r="A1146" s="647"/>
      <c r="B1146" s="648"/>
      <c r="C1146" s="649"/>
      <c r="D1146" s="655" t="s">
        <v>166</v>
      </c>
      <c r="E1146" s="651"/>
      <c r="F1146" s="656">
        <v>0.77083333333333337</v>
      </c>
      <c r="G1146" s="647"/>
      <c r="H1146" s="648"/>
      <c r="I1146" s="649"/>
      <c r="J1146" s="650"/>
      <c r="K1146" s="651"/>
      <c r="L1146" s="652"/>
    </row>
    <row r="1147" spans="1:12" ht="15.75" x14ac:dyDescent="0.25">
      <c r="A1147" s="647" t="s">
        <v>961</v>
      </c>
      <c r="B1147" s="648"/>
      <c r="C1147" s="649"/>
      <c r="D1147" s="650" t="s">
        <v>160</v>
      </c>
      <c r="E1147" s="651"/>
      <c r="F1147" s="653">
        <v>0.81597222222222221</v>
      </c>
      <c r="G1147" s="647"/>
      <c r="H1147" s="648"/>
      <c r="I1147" s="649"/>
      <c r="J1147" s="650"/>
      <c r="K1147" s="651"/>
      <c r="L1147" s="658"/>
    </row>
    <row r="1148" spans="1:12" ht="15.75" x14ac:dyDescent="0.25">
      <c r="A1148" s="647"/>
      <c r="B1148" s="648"/>
      <c r="C1148" s="649"/>
      <c r="D1148" s="655" t="s">
        <v>962</v>
      </c>
      <c r="E1148" s="651"/>
      <c r="F1148" s="656">
        <v>0.82291666666666663</v>
      </c>
      <c r="G1148" s="647"/>
      <c r="H1148" s="648"/>
      <c r="I1148" s="649"/>
      <c r="J1148" s="650"/>
      <c r="K1148" s="657"/>
      <c r="L1148" s="653"/>
    </row>
    <row r="1149" spans="1:12" ht="15.75" x14ac:dyDescent="0.25">
      <c r="A1149" s="647"/>
      <c r="B1149" s="648"/>
      <c r="C1149" s="649"/>
      <c r="D1149" s="655" t="s">
        <v>960</v>
      </c>
      <c r="E1149" s="651"/>
      <c r="F1149" s="656">
        <v>0.85069444444444442</v>
      </c>
      <c r="G1149" s="647"/>
      <c r="H1149" s="648"/>
      <c r="I1149" s="649"/>
      <c r="J1149" s="650"/>
      <c r="K1149" s="657"/>
      <c r="L1149" s="652"/>
    </row>
    <row r="1150" spans="1:12" ht="15.75" x14ac:dyDescent="0.25">
      <c r="A1150" s="647" t="s">
        <v>961</v>
      </c>
      <c r="B1150" s="654"/>
      <c r="C1150" s="649"/>
      <c r="D1150" s="650" t="s">
        <v>163</v>
      </c>
      <c r="E1150" s="651"/>
      <c r="F1150" s="653">
        <v>0.89583333333333337</v>
      </c>
      <c r="G1150" s="647"/>
      <c r="H1150" s="648"/>
      <c r="I1150" s="649"/>
      <c r="J1150" s="650"/>
      <c r="K1150" s="651"/>
      <c r="L1150" s="652"/>
    </row>
    <row r="1151" spans="1:12" ht="15.75" x14ac:dyDescent="0.25">
      <c r="A1151" s="647"/>
      <c r="B1151" s="648"/>
      <c r="C1151" s="649"/>
      <c r="D1151" s="655" t="s">
        <v>164</v>
      </c>
      <c r="E1151" s="651"/>
      <c r="F1151" s="656">
        <v>0.91666666666666663</v>
      </c>
      <c r="G1151" s="647"/>
      <c r="H1151" s="648"/>
      <c r="I1151" s="649"/>
      <c r="J1151" s="650"/>
      <c r="K1151" s="651"/>
      <c r="L1151" s="652"/>
    </row>
    <row r="1152" spans="1:12" ht="15.75" x14ac:dyDescent="0.25">
      <c r="A1152" s="647"/>
      <c r="B1152" s="648"/>
      <c r="C1152" s="649"/>
      <c r="D1152" s="655" t="s">
        <v>166</v>
      </c>
      <c r="E1152" s="657">
        <v>0.92708333333333337</v>
      </c>
      <c r="F1152" s="656"/>
      <c r="G1152" s="647"/>
      <c r="H1152" s="648"/>
      <c r="I1152" s="649"/>
      <c r="J1152" s="650"/>
      <c r="K1152" s="651"/>
      <c r="L1152" s="652"/>
    </row>
    <row r="1153" spans="1:12" ht="15.75" x14ac:dyDescent="0.25">
      <c r="A1153" s="647"/>
      <c r="B1153" s="648" t="s">
        <v>462</v>
      </c>
      <c r="C1153" s="649" t="s">
        <v>459</v>
      </c>
      <c r="D1153" s="650"/>
      <c r="E1153" s="651"/>
      <c r="F1153" s="653"/>
      <c r="G1153" s="647"/>
      <c r="H1153" s="648"/>
      <c r="I1153" s="649"/>
      <c r="J1153" s="650"/>
      <c r="K1153" s="651"/>
      <c r="L1153" s="652"/>
    </row>
    <row r="1154" spans="1:12" ht="15.75" x14ac:dyDescent="0.25">
      <c r="A1154" s="647"/>
      <c r="B1154" s="648"/>
      <c r="C1154" s="649"/>
      <c r="D1154" s="655"/>
      <c r="E1154" s="651"/>
      <c r="F1154" s="656"/>
      <c r="G1154" s="647"/>
      <c r="H1154" s="648"/>
      <c r="I1154" s="649"/>
      <c r="J1154" s="650"/>
      <c r="K1154" s="651"/>
      <c r="L1154" s="652"/>
    </row>
    <row r="1155" spans="1:12" ht="15.75" x14ac:dyDescent="0.25">
      <c r="A1155" s="647"/>
      <c r="B1155" s="648"/>
      <c r="C1155" s="649"/>
      <c r="D1155" s="655"/>
      <c r="E1155" s="657"/>
      <c r="F1155" s="656"/>
      <c r="G1155" s="647"/>
      <c r="H1155" s="648"/>
      <c r="I1155" s="649"/>
      <c r="J1155" s="650"/>
      <c r="K1155" s="651"/>
      <c r="L1155" s="652"/>
    </row>
    <row r="1156" spans="1:12" ht="15.75" x14ac:dyDescent="0.25">
      <c r="A1156" s="647"/>
      <c r="B1156" s="648"/>
      <c r="C1156" s="649"/>
      <c r="D1156" s="650"/>
      <c r="E1156" s="651"/>
      <c r="F1156" s="658"/>
      <c r="G1156" s="647"/>
      <c r="H1156" s="648"/>
      <c r="I1156" s="649"/>
      <c r="J1156" s="650"/>
      <c r="K1156" s="651"/>
      <c r="L1156" s="652"/>
    </row>
    <row r="1157" spans="1:12" ht="15.75" x14ac:dyDescent="0.25">
      <c r="A1157" s="647"/>
      <c r="B1157" s="648"/>
      <c r="C1157" s="649"/>
      <c r="D1157" s="650"/>
      <c r="E1157" s="657"/>
      <c r="F1157" s="658"/>
      <c r="G1157" s="647"/>
      <c r="H1157" s="648"/>
      <c r="I1157" s="649"/>
      <c r="J1157" s="650"/>
      <c r="K1157" s="651"/>
      <c r="L1157" s="658"/>
    </row>
    <row r="1158" spans="1:12" ht="15.75" x14ac:dyDescent="0.25">
      <c r="A1158" s="647"/>
      <c r="B1158" s="648"/>
      <c r="C1158" s="649"/>
      <c r="D1158" s="655"/>
      <c r="E1158" s="657"/>
      <c r="F1158" s="653"/>
      <c r="G1158" s="647"/>
      <c r="H1158" s="648"/>
      <c r="I1158" s="649"/>
      <c r="J1158" s="655"/>
      <c r="K1158" s="651"/>
      <c r="L1158" s="658"/>
    </row>
    <row r="1159" spans="1:12" ht="15.75" x14ac:dyDescent="0.25">
      <c r="A1159" s="647"/>
      <c r="B1159" s="648"/>
      <c r="C1159" s="649"/>
      <c r="D1159" s="650"/>
      <c r="E1159" s="651"/>
      <c r="F1159" s="652"/>
      <c r="G1159" s="647"/>
      <c r="H1159" s="648"/>
      <c r="I1159" s="649"/>
      <c r="J1159" s="650"/>
      <c r="K1159" s="651"/>
      <c r="L1159" s="658"/>
    </row>
    <row r="1160" spans="1:12" ht="16.5" thickBot="1" x14ac:dyDescent="0.3">
      <c r="A1160" s="659"/>
      <c r="B1160" s="660"/>
      <c r="C1160" s="661"/>
      <c r="D1160" s="662"/>
      <c r="E1160" s="663"/>
      <c r="F1160" s="664"/>
      <c r="G1160" s="665"/>
      <c r="H1160" s="666"/>
      <c r="I1160" s="667"/>
      <c r="J1160" s="668"/>
      <c r="K1160" s="663"/>
      <c r="L1160" s="669"/>
    </row>
    <row r="1161" spans="1:12" ht="21" x14ac:dyDescent="0.35">
      <c r="A1161" s="781" t="s">
        <v>945</v>
      </c>
      <c r="B1161" s="782"/>
      <c r="C1161" s="782"/>
      <c r="D1161" s="782"/>
      <c r="E1161" s="782"/>
      <c r="F1161" s="782"/>
      <c r="G1161" s="782"/>
      <c r="H1161" s="782"/>
      <c r="I1161" s="782"/>
      <c r="J1161" s="782"/>
      <c r="K1161" s="782"/>
      <c r="L1161" s="783"/>
    </row>
    <row r="1162" spans="1:12" ht="18.75" x14ac:dyDescent="0.3">
      <c r="A1162" s="784" t="s">
        <v>946</v>
      </c>
      <c r="B1162" s="785"/>
      <c r="C1162" s="785"/>
      <c r="D1162" s="785"/>
      <c r="E1162" s="785"/>
      <c r="F1162" s="785"/>
      <c r="G1162" s="785"/>
      <c r="H1162" s="785"/>
      <c r="I1162" s="785"/>
      <c r="J1162" s="785"/>
      <c r="K1162" s="785"/>
      <c r="L1162" s="786"/>
    </row>
    <row r="1163" spans="1:12" ht="24" x14ac:dyDescent="0.4">
      <c r="A1163" s="787" t="s">
        <v>947</v>
      </c>
      <c r="B1163" s="788"/>
      <c r="C1163" s="788"/>
      <c r="D1163" s="788"/>
      <c r="E1163" s="788"/>
      <c r="F1163" s="788"/>
      <c r="G1163" s="788"/>
      <c r="H1163" s="788"/>
      <c r="I1163" s="788"/>
      <c r="J1163" s="788"/>
      <c r="K1163" s="788"/>
      <c r="L1163" s="789"/>
    </row>
    <row r="1164" spans="1:12" ht="24" x14ac:dyDescent="0.4">
      <c r="A1164" s="623" t="s">
        <v>1279</v>
      </c>
      <c r="B1164" s="624"/>
      <c r="C1164" s="624"/>
      <c r="D1164" s="625" t="s">
        <v>949</v>
      </c>
      <c r="E1164" s="790" t="s">
        <v>683</v>
      </c>
      <c r="F1164" s="790"/>
      <c r="G1164" s="790"/>
      <c r="H1164" s="790"/>
      <c r="I1164" s="790"/>
      <c r="J1164" s="626" t="s">
        <v>1170</v>
      </c>
      <c r="K1164" s="790"/>
      <c r="L1164" s="791"/>
    </row>
    <row r="1165" spans="1:12" ht="15.75" thickBot="1" x14ac:dyDescent="0.3">
      <c r="A1165" s="627"/>
      <c r="B1165" s="628"/>
      <c r="C1165" s="628"/>
      <c r="D1165" s="629"/>
      <c r="E1165" s="628"/>
      <c r="F1165" s="628"/>
      <c r="G1165" s="628"/>
      <c r="H1165" s="628"/>
      <c r="I1165" s="792"/>
      <c r="J1165" s="792"/>
      <c r="K1165" s="628"/>
      <c r="L1165" s="630"/>
    </row>
    <row r="1166" spans="1:12" ht="16.5" thickBot="1" x14ac:dyDescent="0.3">
      <c r="A1166" s="631" t="s">
        <v>952</v>
      </c>
      <c r="B1166" s="632"/>
      <c r="C1166" s="633"/>
      <c r="D1166" s="634" t="s">
        <v>953</v>
      </c>
      <c r="E1166" s="631" t="s">
        <v>954</v>
      </c>
      <c r="F1166" s="635" t="s">
        <v>955</v>
      </c>
      <c r="G1166" s="631" t="s">
        <v>952</v>
      </c>
      <c r="H1166" s="632"/>
      <c r="I1166" s="633"/>
      <c r="J1166" s="634" t="s">
        <v>953</v>
      </c>
      <c r="K1166" s="631" t="s">
        <v>954</v>
      </c>
      <c r="L1166" s="631" t="s">
        <v>955</v>
      </c>
    </row>
    <row r="1167" spans="1:12" ht="15.75" x14ac:dyDescent="0.25">
      <c r="A1167" s="636"/>
      <c r="B1167" s="637"/>
      <c r="C1167" s="638"/>
      <c r="D1167" s="639"/>
      <c r="E1167" s="640"/>
      <c r="F1167" s="641"/>
      <c r="G1167" s="636"/>
      <c r="H1167" s="642"/>
      <c r="I1167" s="643"/>
      <c r="J1167" s="644"/>
      <c r="K1167" s="645"/>
      <c r="L1167" s="646"/>
    </row>
    <row r="1168" spans="1:12" ht="15.75" x14ac:dyDescent="0.25">
      <c r="A1168" s="647"/>
      <c r="B1168" s="648" t="s">
        <v>459</v>
      </c>
      <c r="C1168" s="649">
        <v>205</v>
      </c>
      <c r="D1168" s="650" t="s">
        <v>1432</v>
      </c>
      <c r="E1168" s="651"/>
      <c r="F1168" s="652"/>
      <c r="G1168" s="647"/>
      <c r="H1168" s="648" t="s">
        <v>459</v>
      </c>
      <c r="I1168" s="649">
        <v>71</v>
      </c>
      <c r="J1168" s="650" t="s">
        <v>1433</v>
      </c>
      <c r="K1168" s="651"/>
      <c r="L1168" s="653"/>
    </row>
    <row r="1169" spans="1:12" ht="15.75" x14ac:dyDescent="0.25">
      <c r="A1169" s="647" t="s">
        <v>958</v>
      </c>
      <c r="B1169" s="654"/>
      <c r="C1169" s="649"/>
      <c r="D1169" s="655" t="s">
        <v>959</v>
      </c>
      <c r="E1169" s="651"/>
      <c r="F1169" s="656">
        <v>0.63541666666666663</v>
      </c>
      <c r="G1169" s="647"/>
      <c r="H1169" s="648"/>
      <c r="I1169" s="649"/>
      <c r="J1169" s="655" t="s">
        <v>166</v>
      </c>
      <c r="K1169" s="651"/>
      <c r="L1169" s="656">
        <v>0.95833333333333337</v>
      </c>
    </row>
    <row r="1170" spans="1:12" ht="15.75" x14ac:dyDescent="0.25">
      <c r="A1170" s="647" t="s">
        <v>961</v>
      </c>
      <c r="B1170" s="648"/>
      <c r="C1170" s="649"/>
      <c r="D1170" s="650" t="s">
        <v>160</v>
      </c>
      <c r="E1170" s="651"/>
      <c r="F1170" s="653">
        <v>0.67708333333333337</v>
      </c>
      <c r="G1170" s="647" t="s">
        <v>961</v>
      </c>
      <c r="H1170" s="648"/>
      <c r="I1170" s="649"/>
      <c r="J1170" s="650" t="s">
        <v>160</v>
      </c>
      <c r="K1170" s="651"/>
      <c r="L1170" s="653">
        <v>0.99305555555555558</v>
      </c>
    </row>
    <row r="1171" spans="1:12" ht="15.75" x14ac:dyDescent="0.25">
      <c r="A1171" s="647"/>
      <c r="B1171" s="648"/>
      <c r="C1171" s="649"/>
      <c r="D1171" s="655" t="s">
        <v>962</v>
      </c>
      <c r="E1171" s="651"/>
      <c r="F1171" s="656">
        <v>0.6875</v>
      </c>
      <c r="G1171" s="647"/>
      <c r="H1171" s="648"/>
      <c r="I1171" s="649"/>
      <c r="J1171" s="655" t="s">
        <v>962</v>
      </c>
      <c r="K1171" s="651"/>
      <c r="L1171" s="656">
        <v>1</v>
      </c>
    </row>
    <row r="1172" spans="1:12" ht="15.75" x14ac:dyDescent="0.25">
      <c r="A1172" s="647"/>
      <c r="B1172" s="648"/>
      <c r="C1172" s="649"/>
      <c r="D1172" s="655" t="s">
        <v>960</v>
      </c>
      <c r="E1172" s="651"/>
      <c r="F1172" s="656">
        <v>0.71527777777777779</v>
      </c>
      <c r="G1172" s="647"/>
      <c r="H1172" s="648"/>
      <c r="I1172" s="649"/>
      <c r="J1172" s="655" t="s">
        <v>960</v>
      </c>
      <c r="K1172" s="651"/>
      <c r="L1172" s="656">
        <v>3.4722222222222224E-2</v>
      </c>
    </row>
    <row r="1173" spans="1:12" ht="15.75" x14ac:dyDescent="0.25">
      <c r="A1173" s="647" t="s">
        <v>961</v>
      </c>
      <c r="B1173" s="654"/>
      <c r="C1173" s="649"/>
      <c r="D1173" s="650" t="s">
        <v>163</v>
      </c>
      <c r="E1173" s="651"/>
      <c r="F1173" s="653">
        <v>0.76736111111111116</v>
      </c>
      <c r="G1173" s="647" t="s">
        <v>961</v>
      </c>
      <c r="H1173" s="654"/>
      <c r="I1173" s="649"/>
      <c r="J1173" s="650" t="s">
        <v>163</v>
      </c>
      <c r="K1173" s="651"/>
      <c r="L1173" s="653">
        <v>0.10416666666666667</v>
      </c>
    </row>
    <row r="1174" spans="1:12" ht="15.75" x14ac:dyDescent="0.25">
      <c r="A1174" s="647"/>
      <c r="B1174" s="648"/>
      <c r="C1174" s="649"/>
      <c r="D1174" s="655" t="s">
        <v>164</v>
      </c>
      <c r="E1174" s="651"/>
      <c r="F1174" s="656">
        <v>0.79166666666666663</v>
      </c>
      <c r="G1174" s="647"/>
      <c r="H1174" s="648"/>
      <c r="I1174" s="649"/>
      <c r="J1174" s="655" t="s">
        <v>164</v>
      </c>
      <c r="K1174" s="651"/>
      <c r="L1174" s="656">
        <v>0.125</v>
      </c>
    </row>
    <row r="1175" spans="1:12" ht="15.75" x14ac:dyDescent="0.25">
      <c r="A1175" s="647"/>
      <c r="B1175" s="648"/>
      <c r="C1175" s="649"/>
      <c r="D1175" s="655" t="s">
        <v>166</v>
      </c>
      <c r="E1175" s="657">
        <v>0.80555555555555558</v>
      </c>
      <c r="F1175" s="656"/>
      <c r="G1175" s="647"/>
      <c r="H1175" s="648"/>
      <c r="I1175" s="649"/>
      <c r="J1175" s="655" t="s">
        <v>166</v>
      </c>
      <c r="K1175" s="657">
        <v>0.13541666666666666</v>
      </c>
      <c r="L1175" s="656"/>
    </row>
    <row r="1176" spans="1:12" ht="15.75" x14ac:dyDescent="0.25">
      <c r="A1176" s="647"/>
      <c r="B1176" s="648" t="s">
        <v>462</v>
      </c>
      <c r="C1176" s="649" t="s">
        <v>459</v>
      </c>
      <c r="D1176" s="650"/>
      <c r="E1176" s="651"/>
      <c r="F1176" s="658"/>
      <c r="G1176" s="647"/>
      <c r="H1176" s="648" t="s">
        <v>462</v>
      </c>
      <c r="I1176" s="649" t="s">
        <v>459</v>
      </c>
      <c r="J1176" s="650"/>
      <c r="K1176" s="651"/>
      <c r="L1176" s="658"/>
    </row>
    <row r="1177" spans="1:12" ht="15.75" x14ac:dyDescent="0.25">
      <c r="A1177" s="647"/>
      <c r="B1177" s="648"/>
      <c r="C1177" s="649"/>
      <c r="D1177" s="650"/>
      <c r="E1177" s="651"/>
      <c r="F1177" s="656"/>
      <c r="G1177" s="647"/>
      <c r="H1177" s="648"/>
      <c r="I1177" s="649"/>
      <c r="J1177" s="650"/>
      <c r="K1177" s="651"/>
      <c r="L1177" s="656"/>
    </row>
    <row r="1178" spans="1:12" ht="15.75" x14ac:dyDescent="0.25">
      <c r="A1178" s="647"/>
      <c r="B1178" s="648" t="s">
        <v>459</v>
      </c>
      <c r="C1178" s="649">
        <v>72</v>
      </c>
      <c r="D1178" s="650" t="s">
        <v>1434</v>
      </c>
      <c r="E1178" s="651"/>
      <c r="F1178" s="653"/>
      <c r="G1178" s="647"/>
      <c r="H1178" s="648" t="s">
        <v>459</v>
      </c>
      <c r="I1178" s="649">
        <v>77</v>
      </c>
      <c r="J1178" s="650" t="s">
        <v>1251</v>
      </c>
      <c r="K1178" s="651"/>
      <c r="L1178" s="653"/>
    </row>
    <row r="1179" spans="1:12" ht="15.75" x14ac:dyDescent="0.25">
      <c r="A1179" s="647"/>
      <c r="B1179" s="648"/>
      <c r="C1179" s="649"/>
      <c r="D1179" s="655" t="s">
        <v>166</v>
      </c>
      <c r="E1179" s="651"/>
      <c r="F1179" s="656">
        <v>0.80555555555555558</v>
      </c>
      <c r="G1179" s="647"/>
      <c r="H1179" s="648"/>
      <c r="I1179" s="649"/>
      <c r="J1179" s="655" t="s">
        <v>166</v>
      </c>
      <c r="K1179" s="651"/>
      <c r="L1179" s="656">
        <v>0.13541666666666666</v>
      </c>
    </row>
    <row r="1180" spans="1:12" ht="15.75" x14ac:dyDescent="0.25">
      <c r="A1180" s="647" t="s">
        <v>961</v>
      </c>
      <c r="B1180" s="648"/>
      <c r="C1180" s="649"/>
      <c r="D1180" s="650" t="s">
        <v>160</v>
      </c>
      <c r="E1180" s="651"/>
      <c r="F1180" s="653">
        <v>0.84722222222222221</v>
      </c>
      <c r="G1180" s="647" t="s">
        <v>961</v>
      </c>
      <c r="H1180" s="648"/>
      <c r="I1180" s="649"/>
      <c r="J1180" s="650" t="s">
        <v>160</v>
      </c>
      <c r="K1180" s="651"/>
      <c r="L1180" s="653">
        <v>0.2013888888888889</v>
      </c>
    </row>
    <row r="1181" spans="1:12" ht="15.75" x14ac:dyDescent="0.25">
      <c r="A1181" s="647"/>
      <c r="B1181" s="648"/>
      <c r="C1181" s="649"/>
      <c r="D1181" s="655" t="s">
        <v>962</v>
      </c>
      <c r="E1181" s="651"/>
      <c r="F1181" s="656">
        <v>0.85416666666666663</v>
      </c>
      <c r="G1181" s="647"/>
      <c r="H1181" s="648"/>
      <c r="I1181" s="649"/>
      <c r="J1181" s="655" t="s">
        <v>962</v>
      </c>
      <c r="K1181" s="651"/>
      <c r="L1181" s="656">
        <v>0.20833333333333334</v>
      </c>
    </row>
    <row r="1182" spans="1:12" ht="15.75" x14ac:dyDescent="0.25">
      <c r="A1182" s="647"/>
      <c r="B1182" s="648"/>
      <c r="C1182" s="649"/>
      <c r="D1182" s="655" t="s">
        <v>960</v>
      </c>
      <c r="E1182" s="657">
        <v>0.87847222222222221</v>
      </c>
      <c r="F1182" s="656"/>
      <c r="G1182" s="647"/>
      <c r="H1182" s="648"/>
      <c r="I1182" s="649"/>
      <c r="J1182" s="655" t="s">
        <v>960</v>
      </c>
      <c r="K1182" s="651"/>
      <c r="L1182" s="656">
        <v>0.2326388888888889</v>
      </c>
    </row>
    <row r="1183" spans="1:12" ht="15.75" x14ac:dyDescent="0.25">
      <c r="A1183" s="647"/>
      <c r="B1183" s="648" t="s">
        <v>459</v>
      </c>
      <c r="C1183" s="649">
        <v>72</v>
      </c>
      <c r="D1183" s="650" t="s">
        <v>1435</v>
      </c>
      <c r="E1183" s="651"/>
      <c r="F1183" s="658"/>
      <c r="G1183" s="647" t="s">
        <v>958</v>
      </c>
      <c r="H1183" s="654"/>
      <c r="I1183" s="649"/>
      <c r="J1183" s="650" t="s">
        <v>163</v>
      </c>
      <c r="K1183" s="657">
        <v>0.2673611111111111</v>
      </c>
      <c r="L1183" s="653"/>
    </row>
    <row r="1184" spans="1:12" ht="15.75" x14ac:dyDescent="0.25">
      <c r="A1184" s="647"/>
      <c r="B1184" s="648"/>
      <c r="C1184" s="649"/>
      <c r="D1184" s="650"/>
      <c r="E1184" s="651"/>
      <c r="F1184" s="656"/>
      <c r="G1184" s="647"/>
      <c r="H1184" s="648"/>
      <c r="I1184" s="649"/>
      <c r="J1184" s="650" t="s">
        <v>963</v>
      </c>
      <c r="K1184" s="657">
        <v>0.29166666666666669</v>
      </c>
      <c r="L1184" s="656"/>
    </row>
    <row r="1185" spans="1:12" ht="15.75" x14ac:dyDescent="0.25">
      <c r="A1185" s="647"/>
      <c r="B1185" s="648" t="s">
        <v>459</v>
      </c>
      <c r="C1185" s="649">
        <v>41</v>
      </c>
      <c r="D1185" s="650" t="s">
        <v>1436</v>
      </c>
      <c r="E1185" s="651"/>
      <c r="F1185" s="653"/>
      <c r="G1185" s="647"/>
      <c r="H1185" s="648" t="s">
        <v>462</v>
      </c>
      <c r="I1185" s="649" t="s">
        <v>459</v>
      </c>
      <c r="J1185" s="650"/>
      <c r="K1185" s="657"/>
      <c r="L1185" s="653"/>
    </row>
    <row r="1186" spans="1:12" ht="15.75" x14ac:dyDescent="0.25">
      <c r="A1186" s="647"/>
      <c r="B1186" s="654"/>
      <c r="C1186" s="649"/>
      <c r="D1186" s="655" t="s">
        <v>960</v>
      </c>
      <c r="E1186" s="651"/>
      <c r="F1186" s="656">
        <v>0.87847222222222221</v>
      </c>
      <c r="G1186" s="647"/>
      <c r="H1186" s="648"/>
      <c r="I1186" s="649"/>
      <c r="J1186" s="650"/>
      <c r="K1186" s="657"/>
      <c r="L1186" s="653"/>
    </row>
    <row r="1187" spans="1:12" ht="15.75" x14ac:dyDescent="0.25">
      <c r="A1187" s="647" t="s">
        <v>961</v>
      </c>
      <c r="B1187" s="654"/>
      <c r="C1187" s="649"/>
      <c r="D1187" s="650" t="s">
        <v>163</v>
      </c>
      <c r="E1187" s="651"/>
      <c r="F1187" s="653">
        <v>0.92708333333333337</v>
      </c>
      <c r="G1187" s="647"/>
      <c r="H1187" s="648"/>
      <c r="I1187" s="649"/>
      <c r="J1187" s="650"/>
      <c r="K1187" s="657"/>
      <c r="L1187" s="653"/>
    </row>
    <row r="1188" spans="1:12" ht="15.75" x14ac:dyDescent="0.25">
      <c r="A1188" s="647"/>
      <c r="B1188" s="648"/>
      <c r="C1188" s="649"/>
      <c r="D1188" s="655" t="s">
        <v>164</v>
      </c>
      <c r="E1188" s="651"/>
      <c r="F1188" s="656">
        <v>0.94791666666666663</v>
      </c>
      <c r="G1188" s="647"/>
      <c r="H1188" s="648"/>
      <c r="I1188" s="649"/>
      <c r="J1188" s="650"/>
      <c r="K1188" s="657"/>
      <c r="L1188" s="653"/>
    </row>
    <row r="1189" spans="1:12" ht="15.75" x14ac:dyDescent="0.25">
      <c r="A1189" s="647"/>
      <c r="B1189" s="648"/>
      <c r="C1189" s="649"/>
      <c r="D1189" s="655" t="s">
        <v>166</v>
      </c>
      <c r="E1189" s="657">
        <v>0.95833333333333337</v>
      </c>
      <c r="F1189" s="656"/>
      <c r="G1189" s="647"/>
      <c r="H1189" s="648"/>
      <c r="I1189" s="649"/>
      <c r="J1189" s="650"/>
      <c r="K1189" s="657"/>
      <c r="L1189" s="652"/>
    </row>
    <row r="1190" spans="1:12" ht="15.75" x14ac:dyDescent="0.25">
      <c r="A1190" s="647"/>
      <c r="B1190" s="648" t="s">
        <v>462</v>
      </c>
      <c r="C1190" s="649" t="s">
        <v>459</v>
      </c>
      <c r="D1190" s="650"/>
      <c r="E1190" s="651"/>
      <c r="F1190" s="658"/>
      <c r="G1190" s="647"/>
      <c r="H1190" s="648"/>
      <c r="I1190" s="649"/>
      <c r="J1190" s="650"/>
      <c r="K1190" s="651"/>
      <c r="L1190" s="652"/>
    </row>
    <row r="1191" spans="1:12" ht="15.75" x14ac:dyDescent="0.25">
      <c r="A1191" s="647"/>
      <c r="B1191" s="648"/>
      <c r="C1191" s="649"/>
      <c r="D1191" s="650"/>
      <c r="E1191" s="651"/>
      <c r="F1191" s="656"/>
      <c r="G1191" s="647"/>
      <c r="H1191" s="648"/>
      <c r="I1191" s="649"/>
      <c r="J1191" s="650"/>
      <c r="K1191" s="651"/>
      <c r="L1191" s="652"/>
    </row>
    <row r="1192" spans="1:12" ht="15.75" x14ac:dyDescent="0.25">
      <c r="A1192" s="647"/>
      <c r="B1192" s="648"/>
      <c r="C1192" s="649"/>
      <c r="D1192" s="650"/>
      <c r="E1192" s="651"/>
      <c r="F1192" s="653"/>
      <c r="G1192" s="647"/>
      <c r="H1192" s="648"/>
      <c r="I1192" s="649"/>
      <c r="J1192" s="650"/>
      <c r="K1192" s="651"/>
      <c r="L1192" s="652"/>
    </row>
    <row r="1193" spans="1:12" ht="15.75" x14ac:dyDescent="0.25">
      <c r="A1193" s="647"/>
      <c r="B1193" s="648"/>
      <c r="C1193" s="649"/>
      <c r="D1193" s="655"/>
      <c r="E1193" s="651"/>
      <c r="F1193" s="656"/>
      <c r="G1193" s="647"/>
      <c r="H1193" s="648"/>
      <c r="I1193" s="649"/>
      <c r="J1193" s="650"/>
      <c r="K1193" s="651"/>
      <c r="L1193" s="652"/>
    </row>
    <row r="1194" spans="1:12" ht="15.75" x14ac:dyDescent="0.25">
      <c r="A1194" s="647"/>
      <c r="B1194" s="648"/>
      <c r="C1194" s="649"/>
      <c r="D1194" s="650"/>
      <c r="E1194" s="651"/>
      <c r="F1194" s="653"/>
      <c r="G1194" s="647"/>
      <c r="H1194" s="648"/>
      <c r="I1194" s="649"/>
      <c r="J1194" s="650"/>
      <c r="K1194" s="651"/>
      <c r="L1194" s="652"/>
    </row>
    <row r="1195" spans="1:12" ht="15.75" x14ac:dyDescent="0.25">
      <c r="A1195" s="647"/>
      <c r="B1195" s="648"/>
      <c r="C1195" s="649"/>
      <c r="D1195" s="655"/>
      <c r="E1195" s="651"/>
      <c r="F1195" s="656"/>
      <c r="G1195" s="647"/>
      <c r="H1195" s="648"/>
      <c r="I1195" s="649"/>
      <c r="J1195" s="650"/>
      <c r="K1195" s="651"/>
      <c r="L1195" s="652"/>
    </row>
    <row r="1196" spans="1:12" ht="15.75" x14ac:dyDescent="0.25">
      <c r="A1196" s="647"/>
      <c r="B1196" s="648"/>
      <c r="C1196" s="649"/>
      <c r="D1196" s="655"/>
      <c r="E1196" s="651"/>
      <c r="F1196" s="656"/>
      <c r="G1196" s="647"/>
      <c r="H1196" s="648"/>
      <c r="I1196" s="649"/>
      <c r="J1196" s="650"/>
      <c r="K1196" s="651"/>
      <c r="L1196" s="652"/>
    </row>
    <row r="1197" spans="1:12" ht="15.75" x14ac:dyDescent="0.25">
      <c r="A1197" s="647"/>
      <c r="B1197" s="654"/>
      <c r="C1197" s="649"/>
      <c r="D1197" s="650"/>
      <c r="E1197" s="657"/>
      <c r="F1197" s="653"/>
      <c r="G1197" s="647"/>
      <c r="H1197" s="648"/>
      <c r="I1197" s="649"/>
      <c r="J1197" s="650"/>
      <c r="K1197" s="651"/>
      <c r="L1197" s="658"/>
    </row>
    <row r="1198" spans="1:12" ht="15.75" x14ac:dyDescent="0.25">
      <c r="A1198" s="647"/>
      <c r="B1198" s="648"/>
      <c r="C1198" s="649"/>
      <c r="D1198" s="650"/>
      <c r="E1198" s="657"/>
      <c r="F1198" s="653"/>
      <c r="G1198" s="647"/>
      <c r="H1198" s="648"/>
      <c r="I1198" s="649"/>
      <c r="J1198" s="655"/>
      <c r="K1198" s="651"/>
      <c r="L1198" s="658"/>
    </row>
    <row r="1199" spans="1:12" ht="15.75" x14ac:dyDescent="0.25">
      <c r="A1199" s="647"/>
      <c r="B1199" s="648"/>
      <c r="C1199" s="649"/>
      <c r="D1199" s="650"/>
      <c r="E1199" s="657"/>
      <c r="F1199" s="652"/>
      <c r="G1199" s="647"/>
      <c r="H1199" s="648"/>
      <c r="I1199" s="649"/>
      <c r="J1199" s="650"/>
      <c r="K1199" s="651"/>
      <c r="L1199" s="658"/>
    </row>
    <row r="1200" spans="1:12" ht="16.5" thickBot="1" x14ac:dyDescent="0.3">
      <c r="A1200" s="659"/>
      <c r="B1200" s="660"/>
      <c r="C1200" s="661"/>
      <c r="D1200" s="662"/>
      <c r="E1200" s="663"/>
      <c r="F1200" s="664"/>
      <c r="G1200" s="665"/>
      <c r="H1200" s="666"/>
      <c r="I1200" s="667"/>
      <c r="J1200" s="668"/>
      <c r="K1200" s="663"/>
      <c r="L1200" s="669"/>
    </row>
  </sheetData>
  <mergeCells count="180">
    <mergeCell ref="A41:L41"/>
    <mergeCell ref="A42:L42"/>
    <mergeCell ref="A43:L43"/>
    <mergeCell ref="E44:I44"/>
    <mergeCell ref="K44:L44"/>
    <mergeCell ref="I45:J45"/>
    <mergeCell ref="A1:L1"/>
    <mergeCell ref="A2:L2"/>
    <mergeCell ref="A3:L3"/>
    <mergeCell ref="E4:I4"/>
    <mergeCell ref="K4:L4"/>
    <mergeCell ref="I5:J5"/>
    <mergeCell ref="A121:L121"/>
    <mergeCell ref="A122:L122"/>
    <mergeCell ref="A123:L123"/>
    <mergeCell ref="E124:I124"/>
    <mergeCell ref="K124:L124"/>
    <mergeCell ref="I125:J125"/>
    <mergeCell ref="A81:L81"/>
    <mergeCell ref="A82:L82"/>
    <mergeCell ref="A83:L83"/>
    <mergeCell ref="E84:I84"/>
    <mergeCell ref="K84:L84"/>
    <mergeCell ref="I85:J85"/>
    <mergeCell ref="A201:L201"/>
    <mergeCell ref="A202:L202"/>
    <mergeCell ref="A203:L203"/>
    <mergeCell ref="E204:I204"/>
    <mergeCell ref="K204:L204"/>
    <mergeCell ref="I205:J205"/>
    <mergeCell ref="A161:L161"/>
    <mergeCell ref="A162:L162"/>
    <mergeCell ref="A163:L163"/>
    <mergeCell ref="E164:I164"/>
    <mergeCell ref="K164:L164"/>
    <mergeCell ref="I165:J165"/>
    <mergeCell ref="A281:L281"/>
    <mergeCell ref="A282:L282"/>
    <mergeCell ref="A283:L283"/>
    <mergeCell ref="E284:I284"/>
    <mergeCell ref="K284:L284"/>
    <mergeCell ref="I285:J285"/>
    <mergeCell ref="A241:L241"/>
    <mergeCell ref="A242:L242"/>
    <mergeCell ref="A243:L243"/>
    <mergeCell ref="E244:I244"/>
    <mergeCell ref="K244:L244"/>
    <mergeCell ref="I245:J245"/>
    <mergeCell ref="A361:L361"/>
    <mergeCell ref="A362:L362"/>
    <mergeCell ref="A363:L363"/>
    <mergeCell ref="E364:I364"/>
    <mergeCell ref="K364:L364"/>
    <mergeCell ref="I365:J365"/>
    <mergeCell ref="A321:L321"/>
    <mergeCell ref="A322:L322"/>
    <mergeCell ref="A323:L323"/>
    <mergeCell ref="E324:I324"/>
    <mergeCell ref="K324:L324"/>
    <mergeCell ref="I325:J325"/>
    <mergeCell ref="A441:L441"/>
    <mergeCell ref="A442:L442"/>
    <mergeCell ref="A443:L443"/>
    <mergeCell ref="E444:I444"/>
    <mergeCell ref="K444:L444"/>
    <mergeCell ref="I445:J445"/>
    <mergeCell ref="A401:L401"/>
    <mergeCell ref="A402:L402"/>
    <mergeCell ref="A403:L403"/>
    <mergeCell ref="E404:I404"/>
    <mergeCell ref="K404:L404"/>
    <mergeCell ref="I405:J405"/>
    <mergeCell ref="A521:L521"/>
    <mergeCell ref="A522:L522"/>
    <mergeCell ref="A523:L523"/>
    <mergeCell ref="E524:I524"/>
    <mergeCell ref="K524:L524"/>
    <mergeCell ref="I525:J525"/>
    <mergeCell ref="A481:L481"/>
    <mergeCell ref="A482:L482"/>
    <mergeCell ref="A483:L483"/>
    <mergeCell ref="E484:I484"/>
    <mergeCell ref="K484:L484"/>
    <mergeCell ref="I485:J485"/>
    <mergeCell ref="A601:L601"/>
    <mergeCell ref="A602:L602"/>
    <mergeCell ref="A603:L603"/>
    <mergeCell ref="E604:I604"/>
    <mergeCell ref="K604:L604"/>
    <mergeCell ref="I605:J605"/>
    <mergeCell ref="A561:L561"/>
    <mergeCell ref="A562:L562"/>
    <mergeCell ref="A563:L563"/>
    <mergeCell ref="E564:I564"/>
    <mergeCell ref="K564:L564"/>
    <mergeCell ref="I565:J565"/>
    <mergeCell ref="A681:L681"/>
    <mergeCell ref="A682:L682"/>
    <mergeCell ref="A683:L683"/>
    <mergeCell ref="E684:I684"/>
    <mergeCell ref="K684:L684"/>
    <mergeCell ref="I685:J685"/>
    <mergeCell ref="A641:L641"/>
    <mergeCell ref="A642:L642"/>
    <mergeCell ref="A643:L643"/>
    <mergeCell ref="E644:I644"/>
    <mergeCell ref="K644:L644"/>
    <mergeCell ref="I645:J645"/>
    <mergeCell ref="A761:L761"/>
    <mergeCell ref="A762:L762"/>
    <mergeCell ref="A763:L763"/>
    <mergeCell ref="E764:I764"/>
    <mergeCell ref="K764:L764"/>
    <mergeCell ref="I765:J765"/>
    <mergeCell ref="A721:L721"/>
    <mergeCell ref="A722:L722"/>
    <mergeCell ref="A723:L723"/>
    <mergeCell ref="E724:I724"/>
    <mergeCell ref="K724:L724"/>
    <mergeCell ref="I725:J725"/>
    <mergeCell ref="A841:L841"/>
    <mergeCell ref="A842:L842"/>
    <mergeCell ref="A843:L843"/>
    <mergeCell ref="E844:I844"/>
    <mergeCell ref="K844:L844"/>
    <mergeCell ref="I845:J845"/>
    <mergeCell ref="A801:L801"/>
    <mergeCell ref="A802:L802"/>
    <mergeCell ref="A803:L803"/>
    <mergeCell ref="E804:I804"/>
    <mergeCell ref="K804:L804"/>
    <mergeCell ref="I805:J805"/>
    <mergeCell ref="A921:L921"/>
    <mergeCell ref="A922:L922"/>
    <mergeCell ref="A923:L923"/>
    <mergeCell ref="E924:I924"/>
    <mergeCell ref="K924:L924"/>
    <mergeCell ref="I925:J925"/>
    <mergeCell ref="A881:L881"/>
    <mergeCell ref="A882:L882"/>
    <mergeCell ref="A883:L883"/>
    <mergeCell ref="E884:I884"/>
    <mergeCell ref="K884:L884"/>
    <mergeCell ref="I885:J885"/>
    <mergeCell ref="A1001:L1001"/>
    <mergeCell ref="A1002:L1002"/>
    <mergeCell ref="A1003:L1003"/>
    <mergeCell ref="E1004:I1004"/>
    <mergeCell ref="K1004:L1004"/>
    <mergeCell ref="I1005:J1005"/>
    <mergeCell ref="A961:L961"/>
    <mergeCell ref="A962:L962"/>
    <mergeCell ref="A963:L963"/>
    <mergeCell ref="E964:I964"/>
    <mergeCell ref="K964:L964"/>
    <mergeCell ref="I965:J965"/>
    <mergeCell ref="A1081:L1081"/>
    <mergeCell ref="A1082:L1082"/>
    <mergeCell ref="A1083:L1083"/>
    <mergeCell ref="E1084:I1084"/>
    <mergeCell ref="K1084:L1084"/>
    <mergeCell ref="I1085:J1085"/>
    <mergeCell ref="A1041:L1041"/>
    <mergeCell ref="A1042:L1042"/>
    <mergeCell ref="A1043:L1043"/>
    <mergeCell ref="E1044:I1044"/>
    <mergeCell ref="K1044:L1044"/>
    <mergeCell ref="I1045:J1045"/>
    <mergeCell ref="A1161:L1161"/>
    <mergeCell ref="A1162:L1162"/>
    <mergeCell ref="A1163:L1163"/>
    <mergeCell ref="E1164:I1164"/>
    <mergeCell ref="K1164:L1164"/>
    <mergeCell ref="I1165:J1165"/>
    <mergeCell ref="A1121:L1121"/>
    <mergeCell ref="A1122:L1122"/>
    <mergeCell ref="A1123:L1123"/>
    <mergeCell ref="E1124:I1124"/>
    <mergeCell ref="K1124:L1124"/>
    <mergeCell ref="I1125:J11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8CD3-33DD-4479-8686-381FA36315BC}">
  <sheetPr>
    <tabColor rgb="FF92D050"/>
  </sheetPr>
  <dimension ref="A1:L720"/>
  <sheetViews>
    <sheetView topLeftCell="A3" workbookViewId="0">
      <selection activeCell="M24" sqref="M24"/>
    </sheetView>
  </sheetViews>
  <sheetFormatPr defaultRowHeight="15" x14ac:dyDescent="0.25"/>
  <cols>
    <col min="4" max="4" width="46.5703125" customWidth="1"/>
    <col min="10" max="10" width="46.5703125" customWidth="1"/>
  </cols>
  <sheetData>
    <row r="1" spans="1:12" ht="21" x14ac:dyDescent="0.35">
      <c r="A1" s="769" t="s">
        <v>945</v>
      </c>
      <c r="B1" s="770"/>
      <c r="C1" s="770"/>
      <c r="D1" s="770"/>
      <c r="E1" s="770"/>
      <c r="F1" s="770"/>
      <c r="G1" s="770"/>
      <c r="H1" s="770"/>
      <c r="I1" s="770"/>
      <c r="J1" s="770"/>
      <c r="K1" s="770"/>
      <c r="L1" s="771"/>
    </row>
    <row r="2" spans="1:12" ht="18.75" x14ac:dyDescent="0.3">
      <c r="A2" s="772" t="s">
        <v>946</v>
      </c>
      <c r="B2" s="773"/>
      <c r="C2" s="773"/>
      <c r="D2" s="773"/>
      <c r="E2" s="773"/>
      <c r="F2" s="773"/>
      <c r="G2" s="773"/>
      <c r="H2" s="773"/>
      <c r="I2" s="773"/>
      <c r="J2" s="773"/>
      <c r="K2" s="773"/>
      <c r="L2" s="774"/>
    </row>
    <row r="3" spans="1:12" ht="24" x14ac:dyDescent="0.4">
      <c r="A3" s="775" t="s">
        <v>947</v>
      </c>
      <c r="B3" s="776"/>
      <c r="C3" s="776"/>
      <c r="D3" s="776"/>
      <c r="E3" s="776"/>
      <c r="F3" s="776"/>
      <c r="G3" s="776"/>
      <c r="H3" s="776"/>
      <c r="I3" s="776"/>
      <c r="J3" s="776"/>
      <c r="K3" s="776"/>
      <c r="L3" s="777"/>
    </row>
    <row r="4" spans="1:12" ht="24" x14ac:dyDescent="0.4">
      <c r="A4" s="670" t="s">
        <v>1279</v>
      </c>
      <c r="B4" s="671"/>
      <c r="C4" s="671"/>
      <c r="D4" s="672" t="s">
        <v>949</v>
      </c>
      <c r="E4" s="778" t="s">
        <v>851</v>
      </c>
      <c r="F4" s="778"/>
      <c r="G4" s="778"/>
      <c r="H4" s="778"/>
      <c r="I4" s="778"/>
      <c r="J4" s="673" t="s">
        <v>951</v>
      </c>
      <c r="K4" s="778"/>
      <c r="L4" s="779"/>
    </row>
    <row r="5" spans="1:12" ht="15.75" thickBot="1" x14ac:dyDescent="0.3">
      <c r="A5" s="674"/>
      <c r="B5" s="675"/>
      <c r="C5" s="675"/>
      <c r="D5" s="676"/>
      <c r="E5" s="675"/>
      <c r="F5" s="675"/>
      <c r="G5" s="675"/>
      <c r="H5" s="675"/>
      <c r="I5" s="780"/>
      <c r="J5" s="780"/>
      <c r="K5" s="675"/>
      <c r="L5" s="677"/>
    </row>
    <row r="6" spans="1:12" ht="16.5" thickBot="1" x14ac:dyDescent="0.3">
      <c r="A6" s="631" t="s">
        <v>952</v>
      </c>
      <c r="B6" s="632"/>
      <c r="C6" s="633"/>
      <c r="D6" s="634" t="s">
        <v>953</v>
      </c>
      <c r="E6" s="631" t="s">
        <v>954</v>
      </c>
      <c r="F6" s="635" t="s">
        <v>955</v>
      </c>
      <c r="G6" s="631" t="s">
        <v>952</v>
      </c>
      <c r="H6" s="632"/>
      <c r="I6" s="633"/>
      <c r="J6" s="634" t="s">
        <v>953</v>
      </c>
      <c r="K6" s="631" t="s">
        <v>954</v>
      </c>
      <c r="L6" s="631" t="s">
        <v>955</v>
      </c>
    </row>
    <row r="7" spans="1:12" ht="15.75" x14ac:dyDescent="0.25">
      <c r="A7" s="636"/>
      <c r="B7" s="637"/>
      <c r="C7" s="638"/>
      <c r="D7" s="639"/>
      <c r="E7" s="640"/>
      <c r="F7" s="641"/>
      <c r="G7" s="636"/>
      <c r="H7" s="642"/>
      <c r="I7" s="643"/>
      <c r="J7" s="644"/>
      <c r="K7" s="645"/>
      <c r="L7" s="646"/>
    </row>
    <row r="8" spans="1:12" ht="15.75" x14ac:dyDescent="0.25">
      <c r="A8" s="647"/>
      <c r="B8" s="648" t="s">
        <v>459</v>
      </c>
      <c r="C8" s="649">
        <v>1</v>
      </c>
      <c r="D8" s="650" t="s">
        <v>1002</v>
      </c>
      <c r="E8" s="651"/>
      <c r="F8" s="652"/>
      <c r="G8" s="647"/>
      <c r="H8" s="648" t="s">
        <v>459</v>
      </c>
      <c r="I8" s="649">
        <v>29</v>
      </c>
      <c r="J8" s="650" t="s">
        <v>1437</v>
      </c>
      <c r="K8" s="651"/>
      <c r="L8" s="653"/>
    </row>
    <row r="9" spans="1:12" ht="15.75" x14ac:dyDescent="0.25">
      <c r="A9" s="647" t="s">
        <v>958</v>
      </c>
      <c r="B9" s="654"/>
      <c r="C9" s="649"/>
      <c r="D9" s="655" t="s">
        <v>959</v>
      </c>
      <c r="E9" s="651"/>
      <c r="F9" s="656">
        <v>0.2013888888888889</v>
      </c>
      <c r="G9" s="647"/>
      <c r="H9" s="648"/>
      <c r="I9" s="649"/>
      <c r="J9" s="655" t="s">
        <v>960</v>
      </c>
      <c r="K9" s="651"/>
      <c r="L9" s="656">
        <v>0.66319444444444442</v>
      </c>
    </row>
    <row r="10" spans="1:12" ht="15.75" x14ac:dyDescent="0.25">
      <c r="A10" s="647" t="s">
        <v>961</v>
      </c>
      <c r="B10" s="654"/>
      <c r="C10" s="649"/>
      <c r="D10" s="650" t="s">
        <v>163</v>
      </c>
      <c r="E10" s="651"/>
      <c r="F10" s="653">
        <v>0.22916666666666666</v>
      </c>
      <c r="G10" s="647" t="s">
        <v>961</v>
      </c>
      <c r="H10" s="654"/>
      <c r="I10" s="649"/>
      <c r="J10" s="650" t="s">
        <v>163</v>
      </c>
      <c r="K10" s="651"/>
      <c r="L10" s="653">
        <v>0.72222222222222221</v>
      </c>
    </row>
    <row r="11" spans="1:12" ht="15.75" x14ac:dyDescent="0.25">
      <c r="A11" s="647"/>
      <c r="B11" s="648"/>
      <c r="C11" s="649"/>
      <c r="D11" s="655" t="s">
        <v>164</v>
      </c>
      <c r="E11" s="651"/>
      <c r="F11" s="656">
        <v>0.25</v>
      </c>
      <c r="G11" s="647"/>
      <c r="H11" s="648"/>
      <c r="I11" s="649"/>
      <c r="J11" s="655" t="s">
        <v>164</v>
      </c>
      <c r="K11" s="651"/>
      <c r="L11" s="656">
        <v>0.75</v>
      </c>
    </row>
    <row r="12" spans="1:12" ht="15.75" x14ac:dyDescent="0.25">
      <c r="A12" s="647"/>
      <c r="B12" s="648"/>
      <c r="C12" s="649"/>
      <c r="D12" s="655" t="s">
        <v>166</v>
      </c>
      <c r="E12" s="651"/>
      <c r="F12" s="656">
        <v>0.2638888888888889</v>
      </c>
      <c r="G12" s="647"/>
      <c r="H12" s="648"/>
      <c r="I12" s="649"/>
      <c r="J12" s="655" t="s">
        <v>166</v>
      </c>
      <c r="K12" s="651"/>
      <c r="L12" s="656">
        <v>0.76736111111111116</v>
      </c>
    </row>
    <row r="13" spans="1:12" ht="15.75" x14ac:dyDescent="0.25">
      <c r="A13" s="647" t="s">
        <v>961</v>
      </c>
      <c r="B13" s="648"/>
      <c r="C13" s="649"/>
      <c r="D13" s="650" t="s">
        <v>160</v>
      </c>
      <c r="E13" s="651"/>
      <c r="F13" s="653">
        <v>0.2986111111111111</v>
      </c>
      <c r="G13" s="647" t="s">
        <v>961</v>
      </c>
      <c r="H13" s="648"/>
      <c r="I13" s="649"/>
      <c r="J13" s="650" t="s">
        <v>160</v>
      </c>
      <c r="K13" s="651"/>
      <c r="L13" s="653">
        <v>0.79861111111111116</v>
      </c>
    </row>
    <row r="14" spans="1:12" ht="15.75" x14ac:dyDescent="0.25">
      <c r="A14" s="647"/>
      <c r="B14" s="648"/>
      <c r="C14" s="649"/>
      <c r="D14" s="655" t="s">
        <v>962</v>
      </c>
      <c r="E14" s="651"/>
      <c r="F14" s="656">
        <v>0.30555555555555558</v>
      </c>
      <c r="G14" s="647"/>
      <c r="H14" s="648"/>
      <c r="I14" s="649"/>
      <c r="J14" s="655" t="s">
        <v>962</v>
      </c>
      <c r="K14" s="651"/>
      <c r="L14" s="656">
        <v>0.80555555555555558</v>
      </c>
    </row>
    <row r="15" spans="1:12" ht="15.75" x14ac:dyDescent="0.25">
      <c r="A15" s="647"/>
      <c r="B15" s="648"/>
      <c r="C15" s="649"/>
      <c r="D15" s="655" t="s">
        <v>960</v>
      </c>
      <c r="E15" s="651"/>
      <c r="F15" s="656">
        <v>0.33333333333333331</v>
      </c>
      <c r="G15" s="647"/>
      <c r="H15" s="648"/>
      <c r="I15" s="649"/>
      <c r="J15" s="655" t="s">
        <v>960</v>
      </c>
      <c r="K15" s="657">
        <v>0.83680555555555558</v>
      </c>
      <c r="L15" s="656"/>
    </row>
    <row r="16" spans="1:12" ht="15.75" x14ac:dyDescent="0.25">
      <c r="A16" s="647" t="s">
        <v>961</v>
      </c>
      <c r="B16" s="654"/>
      <c r="C16" s="649"/>
      <c r="D16" s="650" t="s">
        <v>163</v>
      </c>
      <c r="E16" s="651"/>
      <c r="F16" s="653">
        <v>0.37847222222222221</v>
      </c>
      <c r="G16" s="647"/>
      <c r="H16" s="648" t="s">
        <v>459</v>
      </c>
      <c r="I16" s="649">
        <v>29</v>
      </c>
      <c r="J16" s="650" t="s">
        <v>1438</v>
      </c>
      <c r="K16" s="651"/>
      <c r="L16" s="658"/>
    </row>
    <row r="17" spans="1:12" ht="15.75" x14ac:dyDescent="0.25">
      <c r="A17" s="647"/>
      <c r="B17" s="648"/>
      <c r="C17" s="649"/>
      <c r="D17" s="655" t="s">
        <v>164</v>
      </c>
      <c r="E17" s="651"/>
      <c r="F17" s="656">
        <v>0.40277777777777779</v>
      </c>
      <c r="G17" s="647"/>
      <c r="H17" s="648"/>
      <c r="I17" s="649"/>
      <c r="J17" s="650"/>
      <c r="K17" s="651"/>
      <c r="L17" s="656"/>
    </row>
    <row r="18" spans="1:12" ht="15.75" x14ac:dyDescent="0.25">
      <c r="A18" s="647"/>
      <c r="B18" s="648"/>
      <c r="C18" s="649"/>
      <c r="D18" s="655" t="s">
        <v>166</v>
      </c>
      <c r="E18" s="657">
        <v>0.41666666666666669</v>
      </c>
      <c r="F18" s="656"/>
      <c r="G18" s="647"/>
      <c r="H18" s="648" t="s">
        <v>459</v>
      </c>
      <c r="I18" s="649">
        <v>26</v>
      </c>
      <c r="J18" s="650" t="s">
        <v>1439</v>
      </c>
      <c r="K18" s="651"/>
      <c r="L18" s="653"/>
    </row>
    <row r="19" spans="1:12" ht="15.75" x14ac:dyDescent="0.25">
      <c r="A19" s="647"/>
      <c r="B19" s="648" t="s">
        <v>462</v>
      </c>
      <c r="C19" s="649" t="s">
        <v>459</v>
      </c>
      <c r="D19" s="650"/>
      <c r="E19" s="651"/>
      <c r="F19" s="658"/>
      <c r="G19" s="647"/>
      <c r="H19" s="648"/>
      <c r="I19" s="649"/>
      <c r="J19" s="655" t="s">
        <v>960</v>
      </c>
      <c r="K19" s="651"/>
      <c r="L19" s="656">
        <v>0.83680555555555558</v>
      </c>
    </row>
    <row r="20" spans="1:12" ht="15.75" x14ac:dyDescent="0.25">
      <c r="A20" s="647"/>
      <c r="B20" s="648"/>
      <c r="C20" s="649"/>
      <c r="D20" s="650"/>
      <c r="E20" s="651"/>
      <c r="F20" s="656"/>
      <c r="G20" s="647" t="s">
        <v>961</v>
      </c>
      <c r="H20" s="654"/>
      <c r="I20" s="649"/>
      <c r="J20" s="650" t="s">
        <v>163</v>
      </c>
      <c r="K20" s="651"/>
      <c r="L20" s="653">
        <v>0.86805555555555558</v>
      </c>
    </row>
    <row r="21" spans="1:12" ht="15.75" x14ac:dyDescent="0.25">
      <c r="A21" s="647"/>
      <c r="B21" s="648" t="s">
        <v>459</v>
      </c>
      <c r="C21" s="649">
        <v>16</v>
      </c>
      <c r="D21" s="650" t="s">
        <v>1440</v>
      </c>
      <c r="E21" s="651"/>
      <c r="F21" s="653"/>
      <c r="G21" s="647"/>
      <c r="H21" s="648"/>
      <c r="I21" s="649"/>
      <c r="J21" s="655" t="s">
        <v>164</v>
      </c>
      <c r="K21" s="651"/>
      <c r="L21" s="656">
        <v>0.88888888888888884</v>
      </c>
    </row>
    <row r="22" spans="1:12" ht="15.75" x14ac:dyDescent="0.25">
      <c r="A22" s="647"/>
      <c r="B22" s="648"/>
      <c r="C22" s="649"/>
      <c r="D22" s="655" t="s">
        <v>166</v>
      </c>
      <c r="E22" s="651"/>
      <c r="F22" s="656">
        <v>0.41666666666666669</v>
      </c>
      <c r="G22" s="647"/>
      <c r="H22" s="648"/>
      <c r="I22" s="649"/>
      <c r="J22" s="655" t="s">
        <v>166</v>
      </c>
      <c r="K22" s="651"/>
      <c r="L22" s="656">
        <v>0.90277777777777779</v>
      </c>
    </row>
    <row r="23" spans="1:12" ht="15.75" x14ac:dyDescent="0.25">
      <c r="A23" s="647" t="s">
        <v>961</v>
      </c>
      <c r="B23" s="648"/>
      <c r="C23" s="649"/>
      <c r="D23" s="650" t="s">
        <v>160</v>
      </c>
      <c r="E23" s="651"/>
      <c r="F23" s="653">
        <v>0.46180555555555558</v>
      </c>
      <c r="G23" s="647" t="s">
        <v>961</v>
      </c>
      <c r="H23" s="648"/>
      <c r="I23" s="649"/>
      <c r="J23" s="650" t="s">
        <v>160</v>
      </c>
      <c r="K23" s="651"/>
      <c r="L23" s="653">
        <v>0.9375</v>
      </c>
    </row>
    <row r="24" spans="1:12" ht="15.75" x14ac:dyDescent="0.25">
      <c r="A24" s="647"/>
      <c r="B24" s="648"/>
      <c r="C24" s="649"/>
      <c r="D24" s="655" t="s">
        <v>962</v>
      </c>
      <c r="E24" s="651"/>
      <c r="F24" s="656">
        <v>0.46875</v>
      </c>
      <c r="G24" s="647"/>
      <c r="H24" s="648"/>
      <c r="I24" s="649"/>
      <c r="J24" s="655" t="s">
        <v>962</v>
      </c>
      <c r="K24" s="651"/>
      <c r="L24" s="656">
        <v>0.94444444444444442</v>
      </c>
    </row>
    <row r="25" spans="1:12" ht="15.75" x14ac:dyDescent="0.25">
      <c r="A25" s="647"/>
      <c r="B25" s="648"/>
      <c r="C25" s="649"/>
      <c r="D25" s="655" t="s">
        <v>960</v>
      </c>
      <c r="E25" s="651"/>
      <c r="F25" s="656">
        <v>0.49652777777777779</v>
      </c>
      <c r="G25" s="647"/>
      <c r="H25" s="648"/>
      <c r="I25" s="649"/>
      <c r="J25" s="655" t="s">
        <v>960</v>
      </c>
      <c r="K25" s="651"/>
      <c r="L25" s="656">
        <v>0.96875</v>
      </c>
    </row>
    <row r="26" spans="1:12" ht="15.75" x14ac:dyDescent="0.25">
      <c r="A26" s="647" t="s">
        <v>961</v>
      </c>
      <c r="B26" s="654"/>
      <c r="C26" s="649"/>
      <c r="D26" s="650" t="s">
        <v>163</v>
      </c>
      <c r="E26" s="651"/>
      <c r="F26" s="653">
        <v>0.54513888888888884</v>
      </c>
      <c r="G26" s="647" t="s">
        <v>958</v>
      </c>
      <c r="H26" s="654"/>
      <c r="I26" s="649"/>
      <c r="J26" s="650" t="s">
        <v>163</v>
      </c>
      <c r="K26" s="657">
        <v>0.99583333333333335</v>
      </c>
      <c r="L26" s="653"/>
    </row>
    <row r="27" spans="1:12" ht="15.75" x14ac:dyDescent="0.25">
      <c r="A27" s="647"/>
      <c r="B27" s="648"/>
      <c r="C27" s="649"/>
      <c r="D27" s="655" t="s">
        <v>164</v>
      </c>
      <c r="E27" s="651"/>
      <c r="F27" s="656">
        <v>0.57291666666666663</v>
      </c>
      <c r="G27" s="647"/>
      <c r="H27" s="648"/>
      <c r="I27" s="649"/>
      <c r="J27" s="650" t="s">
        <v>963</v>
      </c>
      <c r="K27" s="657">
        <v>1.0201388888888889</v>
      </c>
      <c r="L27" s="656"/>
    </row>
    <row r="28" spans="1:12" ht="15.75" x14ac:dyDescent="0.25">
      <c r="A28" s="647"/>
      <c r="B28" s="648"/>
      <c r="C28" s="649"/>
      <c r="D28" s="655" t="s">
        <v>166</v>
      </c>
      <c r="E28" s="657">
        <v>0.58680555555555558</v>
      </c>
      <c r="F28" s="656"/>
      <c r="G28" s="647"/>
      <c r="H28" s="648" t="s">
        <v>462</v>
      </c>
      <c r="I28" s="649" t="s">
        <v>459</v>
      </c>
      <c r="J28" s="650"/>
      <c r="K28" s="657"/>
      <c r="L28" s="653"/>
    </row>
    <row r="29" spans="1:12" ht="15.75" x14ac:dyDescent="0.25">
      <c r="A29" s="647"/>
      <c r="B29" s="648" t="s">
        <v>462</v>
      </c>
      <c r="C29" s="649" t="s">
        <v>459</v>
      </c>
      <c r="D29" s="650"/>
      <c r="E29" s="651"/>
      <c r="F29" s="658"/>
      <c r="G29" s="647"/>
      <c r="H29" s="648"/>
      <c r="I29" s="649"/>
      <c r="J29" s="650"/>
      <c r="K29" s="657"/>
      <c r="L29" s="653"/>
    </row>
    <row r="30" spans="1:12" ht="15.75" x14ac:dyDescent="0.25">
      <c r="A30" s="647"/>
      <c r="B30" s="648"/>
      <c r="C30" s="649"/>
      <c r="D30" s="650"/>
      <c r="E30" s="651"/>
      <c r="F30" s="656"/>
      <c r="G30" s="647"/>
      <c r="H30" s="648"/>
      <c r="I30" s="649"/>
      <c r="J30" s="650"/>
      <c r="K30" s="651"/>
      <c r="L30" s="652"/>
    </row>
    <row r="31" spans="1:12" ht="15.75" x14ac:dyDescent="0.25">
      <c r="A31" s="647"/>
      <c r="B31" s="648" t="s">
        <v>459</v>
      </c>
      <c r="C31" s="649">
        <v>12</v>
      </c>
      <c r="D31" s="650" t="s">
        <v>1441</v>
      </c>
      <c r="E31" s="651"/>
      <c r="F31" s="653"/>
      <c r="G31" s="647"/>
      <c r="H31" s="648"/>
      <c r="I31" s="649"/>
      <c r="J31" s="650"/>
      <c r="K31" s="651"/>
      <c r="L31" s="652"/>
    </row>
    <row r="32" spans="1:12" ht="15.75" x14ac:dyDescent="0.25">
      <c r="A32" s="647"/>
      <c r="B32" s="648"/>
      <c r="C32" s="649"/>
      <c r="D32" s="655" t="s">
        <v>166</v>
      </c>
      <c r="E32" s="651"/>
      <c r="F32" s="656">
        <v>0.58680555555555558</v>
      </c>
      <c r="G32" s="647"/>
      <c r="H32" s="648"/>
      <c r="I32" s="649"/>
      <c r="J32" s="650"/>
      <c r="K32" s="651"/>
      <c r="L32" s="652"/>
    </row>
    <row r="33" spans="1:12" ht="15.75" x14ac:dyDescent="0.25">
      <c r="A33" s="647" t="s">
        <v>961</v>
      </c>
      <c r="B33" s="648"/>
      <c r="C33" s="649"/>
      <c r="D33" s="650" t="s">
        <v>160</v>
      </c>
      <c r="E33" s="651"/>
      <c r="F33" s="653">
        <v>0.62847222222222221</v>
      </c>
      <c r="G33" s="647"/>
      <c r="H33" s="648"/>
      <c r="I33" s="649"/>
      <c r="J33" s="650"/>
      <c r="K33" s="651"/>
      <c r="L33" s="652"/>
    </row>
    <row r="34" spans="1:12" ht="15.75" x14ac:dyDescent="0.25">
      <c r="A34" s="647"/>
      <c r="B34" s="648"/>
      <c r="C34" s="649"/>
      <c r="D34" s="655" t="s">
        <v>962</v>
      </c>
      <c r="E34" s="651"/>
      <c r="F34" s="656">
        <v>0.63541666666666663</v>
      </c>
      <c r="G34" s="647"/>
      <c r="H34" s="648"/>
      <c r="I34" s="649"/>
      <c r="J34" s="650"/>
      <c r="K34" s="651"/>
      <c r="L34" s="652"/>
    </row>
    <row r="35" spans="1:12" ht="15.75" x14ac:dyDescent="0.25">
      <c r="A35" s="647"/>
      <c r="B35" s="648"/>
      <c r="C35" s="649"/>
      <c r="D35" s="655" t="s">
        <v>960</v>
      </c>
      <c r="E35" s="657">
        <v>0.66319444444444442</v>
      </c>
      <c r="F35" s="656"/>
      <c r="G35" s="647"/>
      <c r="H35" s="648"/>
      <c r="I35" s="649"/>
      <c r="J35" s="650"/>
      <c r="K35" s="651"/>
      <c r="L35" s="652"/>
    </row>
    <row r="36" spans="1:12" ht="15.75" x14ac:dyDescent="0.25">
      <c r="A36" s="647"/>
      <c r="B36" s="648" t="s">
        <v>462</v>
      </c>
      <c r="C36" s="649" t="s">
        <v>459</v>
      </c>
      <c r="D36" s="650"/>
      <c r="E36" s="657"/>
      <c r="F36" s="653"/>
      <c r="G36" s="647"/>
      <c r="H36" s="648"/>
      <c r="I36" s="649"/>
      <c r="J36" s="650"/>
      <c r="K36" s="651"/>
      <c r="L36" s="652"/>
    </row>
    <row r="37" spans="1:12" ht="15.75" x14ac:dyDescent="0.25">
      <c r="A37" s="647"/>
      <c r="B37" s="648"/>
      <c r="C37" s="649"/>
      <c r="D37" s="650"/>
      <c r="E37" s="657"/>
      <c r="F37" s="658"/>
      <c r="G37" s="647"/>
      <c r="H37" s="648"/>
      <c r="I37" s="649"/>
      <c r="J37" s="650"/>
      <c r="K37" s="651"/>
      <c r="L37" s="658"/>
    </row>
    <row r="38" spans="1:12" ht="15.75" x14ac:dyDescent="0.25">
      <c r="A38" s="647"/>
      <c r="B38" s="648"/>
      <c r="C38" s="649"/>
      <c r="D38" s="655"/>
      <c r="E38" s="657"/>
      <c r="F38" s="653"/>
      <c r="G38" s="647"/>
      <c r="H38" s="648"/>
      <c r="I38" s="649"/>
      <c r="J38" s="655"/>
      <c r="K38" s="651"/>
      <c r="L38" s="658"/>
    </row>
    <row r="39" spans="1:12" ht="15.75" x14ac:dyDescent="0.25">
      <c r="A39" s="647"/>
      <c r="B39" s="648"/>
      <c r="C39" s="649"/>
      <c r="D39" s="650"/>
      <c r="E39" s="651"/>
      <c r="F39" s="652"/>
      <c r="G39" s="647"/>
      <c r="H39" s="648"/>
      <c r="I39" s="649"/>
      <c r="J39" s="650"/>
      <c r="K39" s="651"/>
      <c r="L39" s="658"/>
    </row>
    <row r="40" spans="1:12" ht="16.5" thickBot="1" x14ac:dyDescent="0.3">
      <c r="A40" s="659"/>
      <c r="B40" s="660"/>
      <c r="C40" s="661"/>
      <c r="D40" s="662"/>
      <c r="E40" s="663"/>
      <c r="F40" s="664"/>
      <c r="G40" s="665"/>
      <c r="H40" s="666"/>
      <c r="I40" s="667"/>
      <c r="J40" s="668"/>
      <c r="K40" s="663"/>
      <c r="L40" s="669"/>
    </row>
    <row r="41" spans="1:12" ht="21" x14ac:dyDescent="0.35">
      <c r="A41" s="769" t="s">
        <v>945</v>
      </c>
      <c r="B41" s="770"/>
      <c r="C41" s="770"/>
      <c r="D41" s="770"/>
      <c r="E41" s="770"/>
      <c r="F41" s="770"/>
      <c r="G41" s="770"/>
      <c r="H41" s="770"/>
      <c r="I41" s="770"/>
      <c r="J41" s="770"/>
      <c r="K41" s="770"/>
      <c r="L41" s="771"/>
    </row>
    <row r="42" spans="1:12" ht="18.75" x14ac:dyDescent="0.3">
      <c r="A42" s="772" t="s">
        <v>946</v>
      </c>
      <c r="B42" s="773"/>
      <c r="C42" s="773"/>
      <c r="D42" s="773"/>
      <c r="E42" s="773"/>
      <c r="F42" s="773"/>
      <c r="G42" s="773"/>
      <c r="H42" s="773"/>
      <c r="I42" s="773"/>
      <c r="J42" s="773"/>
      <c r="K42" s="773"/>
      <c r="L42" s="774"/>
    </row>
    <row r="43" spans="1:12" ht="24" x14ac:dyDescent="0.4">
      <c r="A43" s="775" t="s">
        <v>947</v>
      </c>
      <c r="B43" s="776"/>
      <c r="C43" s="776"/>
      <c r="D43" s="776"/>
      <c r="E43" s="776"/>
      <c r="F43" s="776"/>
      <c r="G43" s="776"/>
      <c r="H43" s="776"/>
      <c r="I43" s="776"/>
      <c r="J43" s="776"/>
      <c r="K43" s="776"/>
      <c r="L43" s="777"/>
    </row>
    <row r="44" spans="1:12" ht="24" x14ac:dyDescent="0.4">
      <c r="A44" s="670" t="s">
        <v>1279</v>
      </c>
      <c r="B44" s="671"/>
      <c r="C44" s="671"/>
      <c r="D44" s="672" t="s">
        <v>949</v>
      </c>
      <c r="E44" s="778" t="s">
        <v>851</v>
      </c>
      <c r="F44" s="778"/>
      <c r="G44" s="778"/>
      <c r="H44" s="778"/>
      <c r="I44" s="778"/>
      <c r="J44" s="673" t="s">
        <v>968</v>
      </c>
      <c r="K44" s="778"/>
      <c r="L44" s="779"/>
    </row>
    <row r="45" spans="1:12" ht="15.75" thickBot="1" x14ac:dyDescent="0.3">
      <c r="A45" s="674"/>
      <c r="B45" s="675"/>
      <c r="C45" s="675"/>
      <c r="D45" s="676"/>
      <c r="E45" s="675"/>
      <c r="F45" s="675"/>
      <c r="G45" s="675"/>
      <c r="H45" s="675"/>
      <c r="I45" s="780"/>
      <c r="J45" s="780"/>
      <c r="K45" s="675"/>
      <c r="L45" s="677"/>
    </row>
    <row r="46" spans="1:12" ht="16.5" thickBot="1" x14ac:dyDescent="0.3">
      <c r="A46" s="631" t="s">
        <v>952</v>
      </c>
      <c r="B46" s="632"/>
      <c r="C46" s="633"/>
      <c r="D46" s="634" t="s">
        <v>953</v>
      </c>
      <c r="E46" s="631" t="s">
        <v>954</v>
      </c>
      <c r="F46" s="635" t="s">
        <v>955</v>
      </c>
      <c r="G46" s="631" t="s">
        <v>952</v>
      </c>
      <c r="H46" s="632"/>
      <c r="I46" s="633"/>
      <c r="J46" s="634" t="s">
        <v>953</v>
      </c>
      <c r="K46" s="631" t="s">
        <v>954</v>
      </c>
      <c r="L46" s="631" t="s">
        <v>955</v>
      </c>
    </row>
    <row r="47" spans="1:12" ht="15.75" x14ac:dyDescent="0.25">
      <c r="A47" s="636"/>
      <c r="B47" s="637"/>
      <c r="C47" s="638"/>
      <c r="D47" s="639"/>
      <c r="E47" s="640"/>
      <c r="F47" s="641"/>
      <c r="G47" s="636"/>
      <c r="H47" s="642"/>
      <c r="I47" s="643"/>
      <c r="J47" s="644"/>
      <c r="K47" s="645"/>
      <c r="L47" s="646"/>
    </row>
    <row r="48" spans="1:12" ht="15.75" x14ac:dyDescent="0.25">
      <c r="A48" s="647"/>
      <c r="B48" s="648" t="s">
        <v>459</v>
      </c>
      <c r="C48" s="649">
        <v>2</v>
      </c>
      <c r="D48" s="650" t="s">
        <v>1012</v>
      </c>
      <c r="E48" s="651"/>
      <c r="F48" s="652"/>
      <c r="G48" s="647"/>
      <c r="H48" s="648" t="s">
        <v>459</v>
      </c>
      <c r="I48" s="649">
        <v>25</v>
      </c>
      <c r="J48" s="650" t="s">
        <v>1442</v>
      </c>
      <c r="K48" s="651"/>
      <c r="L48" s="653"/>
    </row>
    <row r="49" spans="1:12" ht="15.75" x14ac:dyDescent="0.25">
      <c r="A49" s="647" t="s">
        <v>958</v>
      </c>
      <c r="B49" s="654"/>
      <c r="C49" s="649"/>
      <c r="D49" s="655" t="s">
        <v>959</v>
      </c>
      <c r="E49" s="651"/>
      <c r="F49" s="656">
        <v>0.20833333333333334</v>
      </c>
      <c r="G49" s="647"/>
      <c r="H49" s="648"/>
      <c r="I49" s="649"/>
      <c r="J49" s="655" t="s">
        <v>960</v>
      </c>
      <c r="K49" s="651"/>
      <c r="L49" s="656">
        <v>0.60902777777777772</v>
      </c>
    </row>
    <row r="50" spans="1:12" ht="15.75" x14ac:dyDescent="0.25">
      <c r="A50" s="647" t="s">
        <v>961</v>
      </c>
      <c r="B50" s="648"/>
      <c r="C50" s="649"/>
      <c r="D50" s="650" t="s">
        <v>160</v>
      </c>
      <c r="E50" s="651"/>
      <c r="F50" s="653">
        <v>0.24305555555555555</v>
      </c>
      <c r="G50" s="647" t="s">
        <v>961</v>
      </c>
      <c r="H50" s="654"/>
      <c r="I50" s="649"/>
      <c r="J50" s="650" t="s">
        <v>163</v>
      </c>
      <c r="K50" s="651"/>
      <c r="L50" s="653">
        <v>0.65972222222222221</v>
      </c>
    </row>
    <row r="51" spans="1:12" ht="15.75" x14ac:dyDescent="0.25">
      <c r="A51" s="647"/>
      <c r="B51" s="648"/>
      <c r="C51" s="649"/>
      <c r="D51" s="655" t="s">
        <v>962</v>
      </c>
      <c r="E51" s="651"/>
      <c r="F51" s="656">
        <v>0.25</v>
      </c>
      <c r="G51" s="647"/>
      <c r="H51" s="648"/>
      <c r="I51" s="649"/>
      <c r="J51" s="655" t="s">
        <v>164</v>
      </c>
      <c r="K51" s="651"/>
      <c r="L51" s="656">
        <v>0.6875</v>
      </c>
    </row>
    <row r="52" spans="1:12" ht="15.75" x14ac:dyDescent="0.25">
      <c r="A52" s="647"/>
      <c r="B52" s="648"/>
      <c r="C52" s="649"/>
      <c r="D52" s="655" t="s">
        <v>960</v>
      </c>
      <c r="E52" s="651"/>
      <c r="F52" s="656">
        <v>0.27430555555555558</v>
      </c>
      <c r="G52" s="647"/>
      <c r="H52" s="648"/>
      <c r="I52" s="649"/>
      <c r="J52" s="655" t="s">
        <v>166</v>
      </c>
      <c r="K52" s="651"/>
      <c r="L52" s="656">
        <v>0.70486111111111116</v>
      </c>
    </row>
    <row r="53" spans="1:12" ht="15.75" x14ac:dyDescent="0.25">
      <c r="A53" s="647" t="s">
        <v>961</v>
      </c>
      <c r="B53" s="654"/>
      <c r="C53" s="649"/>
      <c r="D53" s="650" t="s">
        <v>163</v>
      </c>
      <c r="E53" s="651"/>
      <c r="F53" s="653">
        <v>0.3263888888888889</v>
      </c>
      <c r="G53" s="647" t="s">
        <v>961</v>
      </c>
      <c r="H53" s="648"/>
      <c r="I53" s="649"/>
      <c r="J53" s="650" t="s">
        <v>160</v>
      </c>
      <c r="K53" s="651"/>
      <c r="L53" s="653">
        <v>0.74305555555555558</v>
      </c>
    </row>
    <row r="54" spans="1:12" ht="15.75" x14ac:dyDescent="0.25">
      <c r="A54" s="647"/>
      <c r="B54" s="648"/>
      <c r="C54" s="649"/>
      <c r="D54" s="655" t="s">
        <v>164</v>
      </c>
      <c r="E54" s="651"/>
      <c r="F54" s="656">
        <v>0.34722222222222221</v>
      </c>
      <c r="G54" s="647"/>
      <c r="H54" s="648"/>
      <c r="I54" s="649"/>
      <c r="J54" s="655" t="s">
        <v>962</v>
      </c>
      <c r="K54" s="651"/>
      <c r="L54" s="656">
        <v>0.75</v>
      </c>
    </row>
    <row r="55" spans="1:12" ht="15.75" x14ac:dyDescent="0.25">
      <c r="A55" s="647"/>
      <c r="B55" s="648"/>
      <c r="C55" s="649"/>
      <c r="D55" s="655" t="s">
        <v>166</v>
      </c>
      <c r="E55" s="651"/>
      <c r="F55" s="656">
        <v>0.36458333333333331</v>
      </c>
      <c r="G55" s="647"/>
      <c r="H55" s="648"/>
      <c r="I55" s="649"/>
      <c r="J55" s="655" t="s">
        <v>960</v>
      </c>
      <c r="K55" s="657">
        <v>0.77777777777777779</v>
      </c>
      <c r="L55" s="656"/>
    </row>
    <row r="56" spans="1:12" ht="15.75" x14ac:dyDescent="0.25">
      <c r="A56" s="647" t="s">
        <v>961</v>
      </c>
      <c r="B56" s="648"/>
      <c r="C56" s="649"/>
      <c r="D56" s="650" t="s">
        <v>160</v>
      </c>
      <c r="E56" s="651"/>
      <c r="F56" s="653">
        <v>0.39583333333333331</v>
      </c>
      <c r="G56" s="647"/>
      <c r="H56" s="648" t="s">
        <v>459</v>
      </c>
      <c r="I56" s="649">
        <v>25</v>
      </c>
      <c r="J56" s="650" t="s">
        <v>1443</v>
      </c>
      <c r="K56" s="651"/>
      <c r="L56" s="658"/>
    </row>
    <row r="57" spans="1:12" ht="15.75" x14ac:dyDescent="0.25">
      <c r="A57" s="647"/>
      <c r="B57" s="648"/>
      <c r="C57" s="649"/>
      <c r="D57" s="655" t="s">
        <v>962</v>
      </c>
      <c r="E57" s="651"/>
      <c r="F57" s="656">
        <v>0.40277777777777779</v>
      </c>
      <c r="G57" s="647"/>
      <c r="H57" s="648"/>
      <c r="I57" s="649"/>
      <c r="J57" s="650"/>
      <c r="K57" s="651"/>
      <c r="L57" s="656"/>
    </row>
    <row r="58" spans="1:12" ht="15.75" x14ac:dyDescent="0.25">
      <c r="A58" s="647"/>
      <c r="B58" s="648"/>
      <c r="C58" s="649"/>
      <c r="D58" s="655" t="s">
        <v>960</v>
      </c>
      <c r="E58" s="657">
        <v>0.43402777777777779</v>
      </c>
      <c r="F58" s="656"/>
      <c r="G58" s="647"/>
      <c r="H58" s="648" t="s">
        <v>459</v>
      </c>
      <c r="I58" s="649">
        <v>22</v>
      </c>
      <c r="J58" s="650" t="s">
        <v>1444</v>
      </c>
      <c r="K58" s="651"/>
      <c r="L58" s="653"/>
    </row>
    <row r="59" spans="1:12" ht="15.75" x14ac:dyDescent="0.25">
      <c r="A59" s="647"/>
      <c r="B59" s="648" t="s">
        <v>462</v>
      </c>
      <c r="C59" s="649" t="s">
        <v>459</v>
      </c>
      <c r="D59" s="650"/>
      <c r="E59" s="651"/>
      <c r="F59" s="658"/>
      <c r="G59" s="647"/>
      <c r="H59" s="648"/>
      <c r="I59" s="649"/>
      <c r="J59" s="655" t="s">
        <v>960</v>
      </c>
      <c r="K59" s="651"/>
      <c r="L59" s="656">
        <v>0.77777777777777779</v>
      </c>
    </row>
    <row r="60" spans="1:12" ht="15.75" x14ac:dyDescent="0.25">
      <c r="A60" s="647"/>
      <c r="B60" s="648"/>
      <c r="C60" s="649"/>
      <c r="D60" s="650"/>
      <c r="E60" s="651"/>
      <c r="F60" s="656"/>
      <c r="G60" s="647" t="s">
        <v>958</v>
      </c>
      <c r="H60" s="654"/>
      <c r="I60" s="649"/>
      <c r="J60" s="650" t="s">
        <v>163</v>
      </c>
      <c r="K60" s="657">
        <v>0.82986111111111116</v>
      </c>
      <c r="L60" s="653"/>
    </row>
    <row r="61" spans="1:12" ht="15.75" x14ac:dyDescent="0.25">
      <c r="A61" s="647"/>
      <c r="B61" s="648" t="s">
        <v>459</v>
      </c>
      <c r="C61" s="649">
        <v>202</v>
      </c>
      <c r="D61" s="650" t="s">
        <v>1445</v>
      </c>
      <c r="E61" s="651"/>
      <c r="F61" s="653"/>
      <c r="G61" s="647"/>
      <c r="H61" s="648"/>
      <c r="I61" s="649"/>
      <c r="J61" s="650" t="s">
        <v>963</v>
      </c>
      <c r="K61" s="657">
        <v>0.85416666666666663</v>
      </c>
      <c r="L61" s="656"/>
    </row>
    <row r="62" spans="1:12" ht="15.75" x14ac:dyDescent="0.25">
      <c r="A62" s="647"/>
      <c r="B62" s="648"/>
      <c r="C62" s="649"/>
      <c r="D62" s="655" t="s">
        <v>960</v>
      </c>
      <c r="E62" s="651"/>
      <c r="F62" s="656">
        <v>0.43402777777777779</v>
      </c>
      <c r="G62" s="647"/>
      <c r="H62" s="648" t="s">
        <v>462</v>
      </c>
      <c r="I62" s="649" t="s">
        <v>459</v>
      </c>
      <c r="J62" s="650"/>
      <c r="K62" s="657"/>
      <c r="L62" s="653"/>
    </row>
    <row r="63" spans="1:12" ht="15.75" x14ac:dyDescent="0.25">
      <c r="A63" s="647" t="s">
        <v>961</v>
      </c>
      <c r="B63" s="654"/>
      <c r="C63" s="649"/>
      <c r="D63" s="650" t="s">
        <v>163</v>
      </c>
      <c r="E63" s="651"/>
      <c r="F63" s="653">
        <v>0.4826388888888889</v>
      </c>
      <c r="G63" s="647"/>
      <c r="H63" s="648"/>
      <c r="I63" s="649"/>
      <c r="J63" s="650"/>
      <c r="K63" s="657"/>
      <c r="L63" s="653"/>
    </row>
    <row r="64" spans="1:12" ht="15.75" x14ac:dyDescent="0.25">
      <c r="A64" s="647"/>
      <c r="B64" s="648"/>
      <c r="C64" s="649"/>
      <c r="D64" s="655" t="s">
        <v>164</v>
      </c>
      <c r="E64" s="651"/>
      <c r="F64" s="656">
        <v>0.51041666666666663</v>
      </c>
      <c r="G64" s="647"/>
      <c r="H64" s="648"/>
      <c r="I64" s="649"/>
      <c r="J64" s="650"/>
      <c r="K64" s="651"/>
      <c r="L64" s="652"/>
    </row>
    <row r="65" spans="1:12" ht="15.75" x14ac:dyDescent="0.25">
      <c r="A65" s="647"/>
      <c r="B65" s="648"/>
      <c r="C65" s="649"/>
      <c r="D65" s="655" t="s">
        <v>166</v>
      </c>
      <c r="E65" s="651"/>
      <c r="F65" s="656">
        <v>0.52430555555555558</v>
      </c>
      <c r="G65" s="647"/>
      <c r="H65" s="648"/>
      <c r="I65" s="649"/>
      <c r="J65" s="650"/>
      <c r="K65" s="651"/>
      <c r="L65" s="652"/>
    </row>
    <row r="66" spans="1:12" ht="15.75" x14ac:dyDescent="0.25">
      <c r="A66" s="647" t="s">
        <v>961</v>
      </c>
      <c r="B66" s="648"/>
      <c r="C66" s="649"/>
      <c r="D66" s="650" t="s">
        <v>160</v>
      </c>
      <c r="E66" s="651"/>
      <c r="F66" s="653">
        <v>0.56597222222222221</v>
      </c>
      <c r="G66" s="647"/>
      <c r="H66" s="648"/>
      <c r="I66" s="649"/>
      <c r="J66" s="650"/>
      <c r="K66" s="651"/>
      <c r="L66" s="652"/>
    </row>
    <row r="67" spans="1:12" ht="15.75" x14ac:dyDescent="0.25">
      <c r="A67" s="647"/>
      <c r="B67" s="648"/>
      <c r="C67" s="649"/>
      <c r="D67" s="655" t="s">
        <v>962</v>
      </c>
      <c r="E67" s="651"/>
      <c r="F67" s="656">
        <v>0.57291666666666663</v>
      </c>
      <c r="G67" s="647"/>
      <c r="H67" s="648"/>
      <c r="I67" s="649"/>
      <c r="J67" s="650"/>
      <c r="K67" s="651"/>
      <c r="L67" s="652"/>
    </row>
    <row r="68" spans="1:12" ht="15.75" x14ac:dyDescent="0.25">
      <c r="A68" s="647"/>
      <c r="B68" s="648"/>
      <c r="C68" s="649"/>
      <c r="D68" s="655" t="s">
        <v>960</v>
      </c>
      <c r="E68" s="657">
        <v>0.60902777777777772</v>
      </c>
      <c r="F68" s="656"/>
      <c r="G68" s="647"/>
      <c r="H68" s="648"/>
      <c r="I68" s="649"/>
      <c r="J68" s="650"/>
      <c r="K68" s="651"/>
      <c r="L68" s="652"/>
    </row>
    <row r="69" spans="1:12" ht="15.75" x14ac:dyDescent="0.25">
      <c r="A69" s="647"/>
      <c r="B69" s="648" t="s">
        <v>459</v>
      </c>
      <c r="C69" s="649">
        <v>202</v>
      </c>
      <c r="D69" s="650" t="s">
        <v>1446</v>
      </c>
      <c r="E69" s="651"/>
      <c r="F69" s="658"/>
      <c r="G69" s="647"/>
      <c r="H69" s="648"/>
      <c r="I69" s="649"/>
      <c r="J69" s="650"/>
      <c r="K69" s="651"/>
      <c r="L69" s="652"/>
    </row>
    <row r="70" spans="1:12" ht="15.75" x14ac:dyDescent="0.25">
      <c r="A70" s="647"/>
      <c r="B70" s="648"/>
      <c r="C70" s="649"/>
      <c r="D70" s="650"/>
      <c r="E70" s="651"/>
      <c r="F70" s="656"/>
      <c r="G70" s="647"/>
      <c r="H70" s="648"/>
      <c r="I70" s="649"/>
      <c r="J70" s="650"/>
      <c r="K70" s="651"/>
      <c r="L70" s="652"/>
    </row>
    <row r="71" spans="1:12" ht="15.75" x14ac:dyDescent="0.25">
      <c r="A71" s="647"/>
      <c r="B71" s="648"/>
      <c r="C71" s="649"/>
      <c r="D71" s="650"/>
      <c r="E71" s="651"/>
      <c r="F71" s="653"/>
      <c r="G71" s="647"/>
      <c r="H71" s="648"/>
      <c r="I71" s="649"/>
      <c r="J71" s="650"/>
      <c r="K71" s="651"/>
      <c r="L71" s="652"/>
    </row>
    <row r="72" spans="1:12" ht="15.75" x14ac:dyDescent="0.25">
      <c r="A72" s="647"/>
      <c r="B72" s="648"/>
      <c r="C72" s="649"/>
      <c r="D72" s="655"/>
      <c r="E72" s="651"/>
      <c r="F72" s="656"/>
      <c r="G72" s="647"/>
      <c r="H72" s="648"/>
      <c r="I72" s="649"/>
      <c r="J72" s="650"/>
      <c r="K72" s="651"/>
      <c r="L72" s="652"/>
    </row>
    <row r="73" spans="1:12" ht="15.75" x14ac:dyDescent="0.25">
      <c r="A73" s="647"/>
      <c r="B73" s="648"/>
      <c r="C73" s="649"/>
      <c r="D73" s="650"/>
      <c r="E73" s="651"/>
      <c r="F73" s="653"/>
      <c r="G73" s="647"/>
      <c r="H73" s="648"/>
      <c r="I73" s="649"/>
      <c r="J73" s="650"/>
      <c r="K73" s="651"/>
      <c r="L73" s="652"/>
    </row>
    <row r="74" spans="1:12" ht="15.75" x14ac:dyDescent="0.25">
      <c r="A74" s="647"/>
      <c r="B74" s="648"/>
      <c r="C74" s="649"/>
      <c r="D74" s="655"/>
      <c r="E74" s="651"/>
      <c r="F74" s="656"/>
      <c r="G74" s="647"/>
      <c r="H74" s="648"/>
      <c r="I74" s="649"/>
      <c r="J74" s="650"/>
      <c r="K74" s="651"/>
      <c r="L74" s="652"/>
    </row>
    <row r="75" spans="1:12" ht="15.75" x14ac:dyDescent="0.25">
      <c r="A75" s="647"/>
      <c r="B75" s="648"/>
      <c r="C75" s="649"/>
      <c r="D75" s="655"/>
      <c r="E75" s="657"/>
      <c r="F75" s="656"/>
      <c r="G75" s="647"/>
      <c r="H75" s="648"/>
      <c r="I75" s="649"/>
      <c r="J75" s="650"/>
      <c r="K75" s="651"/>
      <c r="L75" s="652"/>
    </row>
    <row r="76" spans="1:12" ht="15.75" x14ac:dyDescent="0.25">
      <c r="A76" s="647"/>
      <c r="B76" s="648"/>
      <c r="C76" s="649"/>
      <c r="D76" s="650"/>
      <c r="E76" s="657"/>
      <c r="F76" s="653"/>
      <c r="G76" s="647"/>
      <c r="H76" s="648"/>
      <c r="I76" s="649"/>
      <c r="J76" s="650"/>
      <c r="K76" s="651"/>
      <c r="L76" s="652"/>
    </row>
    <row r="77" spans="1:12" ht="15.75" x14ac:dyDescent="0.25">
      <c r="A77" s="647"/>
      <c r="B77" s="648"/>
      <c r="C77" s="649"/>
      <c r="D77" s="650"/>
      <c r="E77" s="657"/>
      <c r="F77" s="658"/>
      <c r="G77" s="647"/>
      <c r="H77" s="648"/>
      <c r="I77" s="649"/>
      <c r="J77" s="650"/>
      <c r="K77" s="651"/>
      <c r="L77" s="658"/>
    </row>
    <row r="78" spans="1:12" ht="15.75" x14ac:dyDescent="0.25">
      <c r="A78" s="647"/>
      <c r="B78" s="648"/>
      <c r="C78" s="649"/>
      <c r="D78" s="655"/>
      <c r="E78" s="657"/>
      <c r="F78" s="653"/>
      <c r="G78" s="647"/>
      <c r="H78" s="648"/>
      <c r="I78" s="649"/>
      <c r="J78" s="655"/>
      <c r="K78" s="651"/>
      <c r="L78" s="658"/>
    </row>
    <row r="79" spans="1:12" ht="15.75" x14ac:dyDescent="0.25">
      <c r="A79" s="647"/>
      <c r="B79" s="648"/>
      <c r="C79" s="649"/>
      <c r="D79" s="650"/>
      <c r="E79" s="651"/>
      <c r="F79" s="652"/>
      <c r="G79" s="647"/>
      <c r="H79" s="648"/>
      <c r="I79" s="649"/>
      <c r="J79" s="650"/>
      <c r="K79" s="651"/>
      <c r="L79" s="658"/>
    </row>
    <row r="80" spans="1:12" ht="16.5" thickBot="1" x14ac:dyDescent="0.3">
      <c r="A80" s="659"/>
      <c r="B80" s="660"/>
      <c r="C80" s="661"/>
      <c r="D80" s="662"/>
      <c r="E80" s="663"/>
      <c r="F80" s="664"/>
      <c r="G80" s="665"/>
      <c r="H80" s="666"/>
      <c r="I80" s="667"/>
      <c r="J80" s="668"/>
      <c r="K80" s="663"/>
      <c r="L80" s="669"/>
    </row>
    <row r="81" spans="1:12" ht="21" x14ac:dyDescent="0.35">
      <c r="A81" s="769" t="s">
        <v>945</v>
      </c>
      <c r="B81" s="770"/>
      <c r="C81" s="770"/>
      <c r="D81" s="770"/>
      <c r="E81" s="770"/>
      <c r="F81" s="770"/>
      <c r="G81" s="770"/>
      <c r="H81" s="770"/>
      <c r="I81" s="770"/>
      <c r="J81" s="770"/>
      <c r="K81" s="770"/>
      <c r="L81" s="771"/>
    </row>
    <row r="82" spans="1:12" ht="18.75" x14ac:dyDescent="0.3">
      <c r="A82" s="772" t="s">
        <v>946</v>
      </c>
      <c r="B82" s="773"/>
      <c r="C82" s="773"/>
      <c r="D82" s="773"/>
      <c r="E82" s="773"/>
      <c r="F82" s="773"/>
      <c r="G82" s="773"/>
      <c r="H82" s="773"/>
      <c r="I82" s="773"/>
      <c r="J82" s="773"/>
      <c r="K82" s="773"/>
      <c r="L82" s="774"/>
    </row>
    <row r="83" spans="1:12" ht="24" x14ac:dyDescent="0.4">
      <c r="A83" s="775" t="s">
        <v>947</v>
      </c>
      <c r="B83" s="776"/>
      <c r="C83" s="776"/>
      <c r="D83" s="776"/>
      <c r="E83" s="776"/>
      <c r="F83" s="776"/>
      <c r="G83" s="776"/>
      <c r="H83" s="776"/>
      <c r="I83" s="776"/>
      <c r="J83" s="776"/>
      <c r="K83" s="776"/>
      <c r="L83" s="777"/>
    </row>
    <row r="84" spans="1:12" ht="24" x14ac:dyDescent="0.4">
      <c r="A84" s="670" t="s">
        <v>1279</v>
      </c>
      <c r="B84" s="671"/>
      <c r="C84" s="671"/>
      <c r="D84" s="672" t="s">
        <v>949</v>
      </c>
      <c r="E84" s="778" t="s">
        <v>851</v>
      </c>
      <c r="F84" s="778"/>
      <c r="G84" s="778"/>
      <c r="H84" s="778"/>
      <c r="I84" s="778"/>
      <c r="J84" s="673" t="s">
        <v>976</v>
      </c>
      <c r="K84" s="778"/>
      <c r="L84" s="779"/>
    </row>
    <row r="85" spans="1:12" ht="15.75" thickBot="1" x14ac:dyDescent="0.3">
      <c r="A85" s="674"/>
      <c r="B85" s="675"/>
      <c r="C85" s="675"/>
      <c r="D85" s="676"/>
      <c r="E85" s="675"/>
      <c r="F85" s="675"/>
      <c r="G85" s="675"/>
      <c r="H85" s="675"/>
      <c r="I85" s="780"/>
      <c r="J85" s="780"/>
      <c r="K85" s="675"/>
      <c r="L85" s="677"/>
    </row>
    <row r="86" spans="1:12" ht="16.5" thickBot="1" x14ac:dyDescent="0.3">
      <c r="A86" s="631" t="s">
        <v>952</v>
      </c>
      <c r="B86" s="632"/>
      <c r="C86" s="633"/>
      <c r="D86" s="634" t="s">
        <v>953</v>
      </c>
      <c r="E86" s="631" t="s">
        <v>954</v>
      </c>
      <c r="F86" s="635" t="s">
        <v>955</v>
      </c>
      <c r="G86" s="631" t="s">
        <v>952</v>
      </c>
      <c r="H86" s="632"/>
      <c r="I86" s="633"/>
      <c r="J86" s="634" t="s">
        <v>953</v>
      </c>
      <c r="K86" s="631" t="s">
        <v>954</v>
      </c>
      <c r="L86" s="631" t="s">
        <v>955</v>
      </c>
    </row>
    <row r="87" spans="1:12" ht="15.75" x14ac:dyDescent="0.25">
      <c r="A87" s="636"/>
      <c r="B87" s="637"/>
      <c r="C87" s="638"/>
      <c r="D87" s="639"/>
      <c r="E87" s="640"/>
      <c r="F87" s="641"/>
      <c r="G87" s="636"/>
      <c r="H87" s="642"/>
      <c r="I87" s="643"/>
      <c r="J87" s="644"/>
      <c r="K87" s="645"/>
      <c r="L87" s="646"/>
    </row>
    <row r="88" spans="1:12" ht="15.75" x14ac:dyDescent="0.25">
      <c r="A88" s="647"/>
      <c r="B88" s="648" t="s">
        <v>459</v>
      </c>
      <c r="C88" s="649">
        <v>3</v>
      </c>
      <c r="D88" s="650" t="s">
        <v>1087</v>
      </c>
      <c r="E88" s="651"/>
      <c r="F88" s="652"/>
      <c r="G88" s="647"/>
      <c r="H88" s="648" t="s">
        <v>459</v>
      </c>
      <c r="I88" s="649">
        <v>18</v>
      </c>
      <c r="J88" s="650" t="s">
        <v>1447</v>
      </c>
      <c r="K88" s="651"/>
      <c r="L88" s="653"/>
    </row>
    <row r="89" spans="1:12" ht="15.75" x14ac:dyDescent="0.25">
      <c r="A89" s="647" t="s">
        <v>958</v>
      </c>
      <c r="B89" s="654"/>
      <c r="C89" s="649"/>
      <c r="D89" s="655" t="s">
        <v>959</v>
      </c>
      <c r="E89" s="651"/>
      <c r="F89" s="656">
        <v>0.24305555555555555</v>
      </c>
      <c r="G89" s="647"/>
      <c r="H89" s="648"/>
      <c r="I89" s="649"/>
      <c r="J89" s="655" t="s">
        <v>960</v>
      </c>
      <c r="K89" s="651"/>
      <c r="L89" s="656">
        <v>0.72222222222222221</v>
      </c>
    </row>
    <row r="90" spans="1:12" ht="15.75" x14ac:dyDescent="0.25">
      <c r="A90" s="647" t="s">
        <v>961</v>
      </c>
      <c r="B90" s="654"/>
      <c r="C90" s="649"/>
      <c r="D90" s="650" t="s">
        <v>163</v>
      </c>
      <c r="E90" s="651"/>
      <c r="F90" s="653">
        <v>0.27083333333333331</v>
      </c>
      <c r="G90" s="647" t="s">
        <v>961</v>
      </c>
      <c r="H90" s="654"/>
      <c r="I90" s="649"/>
      <c r="J90" s="650" t="s">
        <v>163</v>
      </c>
      <c r="K90" s="651"/>
      <c r="L90" s="653">
        <v>0.76736111111111116</v>
      </c>
    </row>
    <row r="91" spans="1:12" ht="15.75" x14ac:dyDescent="0.25">
      <c r="A91" s="647"/>
      <c r="B91" s="648"/>
      <c r="C91" s="649"/>
      <c r="D91" s="655" t="s">
        <v>164</v>
      </c>
      <c r="E91" s="651"/>
      <c r="F91" s="656">
        <v>0.29166666666666669</v>
      </c>
      <c r="G91" s="647"/>
      <c r="H91" s="648"/>
      <c r="I91" s="649"/>
      <c r="J91" s="655" t="s">
        <v>164</v>
      </c>
      <c r="K91" s="651"/>
      <c r="L91" s="656">
        <v>0.79166666666666663</v>
      </c>
    </row>
    <row r="92" spans="1:12" ht="15.75" x14ac:dyDescent="0.25">
      <c r="A92" s="647"/>
      <c r="B92" s="648"/>
      <c r="C92" s="649"/>
      <c r="D92" s="655" t="s">
        <v>166</v>
      </c>
      <c r="E92" s="651"/>
      <c r="F92" s="656">
        <v>0.30555555555555558</v>
      </c>
      <c r="G92" s="647"/>
      <c r="H92" s="648"/>
      <c r="I92" s="649"/>
      <c r="J92" s="655" t="s">
        <v>166</v>
      </c>
      <c r="K92" s="651"/>
      <c r="L92" s="656">
        <v>0.80902777777777779</v>
      </c>
    </row>
    <row r="93" spans="1:12" ht="15.75" x14ac:dyDescent="0.25">
      <c r="A93" s="647" t="s">
        <v>961</v>
      </c>
      <c r="B93" s="648"/>
      <c r="C93" s="649"/>
      <c r="D93" s="650" t="s">
        <v>160</v>
      </c>
      <c r="E93" s="651"/>
      <c r="F93" s="653">
        <v>0.34027777777777779</v>
      </c>
      <c r="G93" s="647" t="s">
        <v>961</v>
      </c>
      <c r="H93" s="648"/>
      <c r="I93" s="649"/>
      <c r="J93" s="650" t="s">
        <v>160</v>
      </c>
      <c r="K93" s="651"/>
      <c r="L93" s="653">
        <v>0.84027777777777779</v>
      </c>
    </row>
    <row r="94" spans="1:12" ht="15.75" x14ac:dyDescent="0.25">
      <c r="A94" s="647"/>
      <c r="B94" s="648"/>
      <c r="C94" s="649"/>
      <c r="D94" s="655" t="s">
        <v>962</v>
      </c>
      <c r="E94" s="651"/>
      <c r="F94" s="656">
        <v>0.34722222222222221</v>
      </c>
      <c r="G94" s="647"/>
      <c r="H94" s="648"/>
      <c r="I94" s="649"/>
      <c r="J94" s="655" t="s">
        <v>962</v>
      </c>
      <c r="K94" s="651"/>
      <c r="L94" s="656">
        <v>0.84722222222222221</v>
      </c>
    </row>
    <row r="95" spans="1:12" ht="15.75" x14ac:dyDescent="0.25">
      <c r="A95" s="647"/>
      <c r="B95" s="648"/>
      <c r="C95" s="649"/>
      <c r="D95" s="655" t="s">
        <v>960</v>
      </c>
      <c r="E95" s="651"/>
      <c r="F95" s="656">
        <v>0.375</v>
      </c>
      <c r="G95" s="647"/>
      <c r="H95" s="648"/>
      <c r="I95" s="649"/>
      <c r="J95" s="655" t="s">
        <v>960</v>
      </c>
      <c r="K95" s="657">
        <v>0.87847222222222221</v>
      </c>
      <c r="L95" s="656"/>
    </row>
    <row r="96" spans="1:12" ht="15.75" x14ac:dyDescent="0.25">
      <c r="A96" s="647" t="s">
        <v>961</v>
      </c>
      <c r="B96" s="654"/>
      <c r="C96" s="649"/>
      <c r="D96" s="650" t="s">
        <v>163</v>
      </c>
      <c r="E96" s="651"/>
      <c r="F96" s="653">
        <v>0.4236111111111111</v>
      </c>
      <c r="G96" s="647"/>
      <c r="H96" s="648" t="s">
        <v>462</v>
      </c>
      <c r="I96" s="649" t="s">
        <v>459</v>
      </c>
      <c r="J96" s="650"/>
      <c r="K96" s="651"/>
      <c r="L96" s="658"/>
    </row>
    <row r="97" spans="1:12" ht="15.75" x14ac:dyDescent="0.25">
      <c r="A97" s="647"/>
      <c r="B97" s="648"/>
      <c r="C97" s="649"/>
      <c r="D97" s="655" t="s">
        <v>164</v>
      </c>
      <c r="E97" s="651"/>
      <c r="F97" s="656">
        <v>0.44791666666666669</v>
      </c>
      <c r="G97" s="647"/>
      <c r="H97" s="648"/>
      <c r="I97" s="649"/>
      <c r="J97" s="650"/>
      <c r="K97" s="651"/>
      <c r="L97" s="656"/>
    </row>
    <row r="98" spans="1:12" ht="15.75" x14ac:dyDescent="0.25">
      <c r="A98" s="647"/>
      <c r="B98" s="648"/>
      <c r="C98" s="649"/>
      <c r="D98" s="655" t="s">
        <v>166</v>
      </c>
      <c r="E98" s="657">
        <v>0.46180555555555558</v>
      </c>
      <c r="F98" s="656"/>
      <c r="G98" s="647"/>
      <c r="H98" s="648" t="s">
        <v>459</v>
      </c>
      <c r="I98" s="649">
        <v>29</v>
      </c>
      <c r="J98" s="650" t="s">
        <v>1436</v>
      </c>
      <c r="K98" s="651"/>
      <c r="L98" s="653"/>
    </row>
    <row r="99" spans="1:12" ht="15.75" x14ac:dyDescent="0.25">
      <c r="A99" s="647"/>
      <c r="B99" s="648" t="s">
        <v>462</v>
      </c>
      <c r="C99" s="649" t="s">
        <v>459</v>
      </c>
      <c r="D99" s="650"/>
      <c r="E99" s="651"/>
      <c r="F99" s="658"/>
      <c r="G99" s="647"/>
      <c r="H99" s="648"/>
      <c r="I99" s="649"/>
      <c r="J99" s="655" t="s">
        <v>960</v>
      </c>
      <c r="K99" s="651"/>
      <c r="L99" s="656">
        <v>0.87847222222222221</v>
      </c>
    </row>
    <row r="100" spans="1:12" ht="15.75" x14ac:dyDescent="0.25">
      <c r="A100" s="647"/>
      <c r="B100" s="648"/>
      <c r="C100" s="649"/>
      <c r="D100" s="650"/>
      <c r="E100" s="651"/>
      <c r="F100" s="656"/>
      <c r="G100" s="647" t="s">
        <v>961</v>
      </c>
      <c r="H100" s="654"/>
      <c r="I100" s="649"/>
      <c r="J100" s="650" t="s">
        <v>163</v>
      </c>
      <c r="K100" s="651"/>
      <c r="L100" s="653">
        <v>0.90972222222222221</v>
      </c>
    </row>
    <row r="101" spans="1:12" ht="15.75" x14ac:dyDescent="0.25">
      <c r="A101" s="647"/>
      <c r="B101" s="648" t="s">
        <v>459</v>
      </c>
      <c r="C101" s="649">
        <v>205</v>
      </c>
      <c r="D101" s="650" t="s">
        <v>983</v>
      </c>
      <c r="E101" s="651"/>
      <c r="F101" s="653"/>
      <c r="G101" s="647"/>
      <c r="H101" s="648"/>
      <c r="I101" s="649"/>
      <c r="J101" s="655" t="s">
        <v>164</v>
      </c>
      <c r="K101" s="651"/>
      <c r="L101" s="656">
        <v>0.93055555555555558</v>
      </c>
    </row>
    <row r="102" spans="1:12" ht="15.75" x14ac:dyDescent="0.25">
      <c r="A102" s="647"/>
      <c r="B102" s="648"/>
      <c r="C102" s="649"/>
      <c r="D102" s="655" t="s">
        <v>166</v>
      </c>
      <c r="E102" s="651"/>
      <c r="F102" s="656">
        <v>0.46180555555555558</v>
      </c>
      <c r="G102" s="647"/>
      <c r="H102" s="648"/>
      <c r="I102" s="649"/>
      <c r="J102" s="655" t="s">
        <v>166</v>
      </c>
      <c r="K102" s="651"/>
      <c r="L102" s="656">
        <v>0.94444444444444442</v>
      </c>
    </row>
    <row r="103" spans="1:12" ht="15.75" x14ac:dyDescent="0.25">
      <c r="A103" s="647" t="s">
        <v>961</v>
      </c>
      <c r="B103" s="648"/>
      <c r="C103" s="649"/>
      <c r="D103" s="650" t="s">
        <v>160</v>
      </c>
      <c r="E103" s="651"/>
      <c r="F103" s="653">
        <v>0.50347222222222221</v>
      </c>
      <c r="G103" s="647" t="s">
        <v>961</v>
      </c>
      <c r="H103" s="648"/>
      <c r="I103" s="649"/>
      <c r="J103" s="650" t="s">
        <v>160</v>
      </c>
      <c r="K103" s="651"/>
      <c r="L103" s="653">
        <v>0.97916666666666663</v>
      </c>
    </row>
    <row r="104" spans="1:12" ht="15.75" x14ac:dyDescent="0.25">
      <c r="A104" s="647"/>
      <c r="B104" s="648"/>
      <c r="C104" s="649"/>
      <c r="D104" s="655" t="s">
        <v>962</v>
      </c>
      <c r="E104" s="651"/>
      <c r="F104" s="656">
        <v>0.51041666666666663</v>
      </c>
      <c r="G104" s="647"/>
      <c r="H104" s="648"/>
      <c r="I104" s="649"/>
      <c r="J104" s="655" t="s">
        <v>962</v>
      </c>
      <c r="K104" s="651"/>
      <c r="L104" s="656">
        <v>0.98611111111111116</v>
      </c>
    </row>
    <row r="105" spans="1:12" ht="15.75" x14ac:dyDescent="0.25">
      <c r="A105" s="647"/>
      <c r="B105" s="648"/>
      <c r="C105" s="649"/>
      <c r="D105" s="655" t="s">
        <v>960</v>
      </c>
      <c r="E105" s="657">
        <v>0.54513888888888884</v>
      </c>
      <c r="F105" s="656"/>
      <c r="G105" s="647"/>
      <c r="H105" s="648"/>
      <c r="I105" s="649"/>
      <c r="J105" s="655" t="s">
        <v>960</v>
      </c>
      <c r="K105" s="651"/>
      <c r="L105" s="656">
        <v>1.0104166666666667</v>
      </c>
    </row>
    <row r="106" spans="1:12" ht="15.75" x14ac:dyDescent="0.25">
      <c r="A106" s="647"/>
      <c r="B106" s="648" t="s">
        <v>459</v>
      </c>
      <c r="C106" s="649">
        <v>205</v>
      </c>
      <c r="D106" s="650" t="s">
        <v>1448</v>
      </c>
      <c r="E106" s="651"/>
      <c r="F106" s="658"/>
      <c r="G106" s="647" t="s">
        <v>958</v>
      </c>
      <c r="H106" s="654"/>
      <c r="I106" s="649"/>
      <c r="J106" s="650" t="s">
        <v>163</v>
      </c>
      <c r="K106" s="657">
        <v>1.0375000000000001</v>
      </c>
      <c r="L106" s="653"/>
    </row>
    <row r="107" spans="1:12" ht="15.75" x14ac:dyDescent="0.25">
      <c r="A107" s="647"/>
      <c r="B107" s="648"/>
      <c r="C107" s="649"/>
      <c r="D107" s="650"/>
      <c r="E107" s="651"/>
      <c r="F107" s="656"/>
      <c r="G107" s="647"/>
      <c r="H107" s="648"/>
      <c r="I107" s="649"/>
      <c r="J107" s="650" t="s">
        <v>963</v>
      </c>
      <c r="K107" s="657">
        <v>6.1805555555555558E-2</v>
      </c>
      <c r="L107" s="656"/>
    </row>
    <row r="108" spans="1:12" ht="15.75" x14ac:dyDescent="0.25">
      <c r="A108" s="647"/>
      <c r="B108" s="648" t="s">
        <v>459</v>
      </c>
      <c r="C108" s="649">
        <v>22</v>
      </c>
      <c r="D108" s="650" t="s">
        <v>1198</v>
      </c>
      <c r="E108" s="651"/>
      <c r="F108" s="653"/>
      <c r="G108" s="647"/>
      <c r="H108" s="648" t="s">
        <v>462</v>
      </c>
      <c r="I108" s="649" t="s">
        <v>459</v>
      </c>
      <c r="J108" s="650"/>
      <c r="K108" s="657"/>
      <c r="L108" s="653"/>
    </row>
    <row r="109" spans="1:12" ht="15.75" x14ac:dyDescent="0.25">
      <c r="A109" s="647"/>
      <c r="B109" s="648"/>
      <c r="C109" s="649"/>
      <c r="D109" s="655" t="s">
        <v>960</v>
      </c>
      <c r="E109" s="651"/>
      <c r="F109" s="656">
        <v>0.54513888888888884</v>
      </c>
      <c r="G109" s="647"/>
      <c r="H109" s="648"/>
      <c r="I109" s="649"/>
      <c r="J109" s="650"/>
      <c r="K109" s="657"/>
      <c r="L109" s="653"/>
    </row>
    <row r="110" spans="1:12" ht="15.75" x14ac:dyDescent="0.25">
      <c r="A110" s="647" t="s">
        <v>961</v>
      </c>
      <c r="B110" s="654"/>
      <c r="C110" s="649"/>
      <c r="D110" s="650" t="s">
        <v>163</v>
      </c>
      <c r="E110" s="651"/>
      <c r="F110" s="653">
        <v>0.59722222222222221</v>
      </c>
      <c r="G110" s="647"/>
      <c r="H110" s="648"/>
      <c r="I110" s="649"/>
      <c r="J110" s="650"/>
      <c r="K110" s="651"/>
      <c r="L110" s="652"/>
    </row>
    <row r="111" spans="1:12" ht="15.75" x14ac:dyDescent="0.25">
      <c r="A111" s="647"/>
      <c r="B111" s="648"/>
      <c r="C111" s="649"/>
      <c r="D111" s="655" t="s">
        <v>164</v>
      </c>
      <c r="E111" s="651"/>
      <c r="F111" s="656">
        <v>0.625</v>
      </c>
      <c r="G111" s="647"/>
      <c r="H111" s="648"/>
      <c r="I111" s="649"/>
      <c r="J111" s="650"/>
      <c r="K111" s="651"/>
      <c r="L111" s="652"/>
    </row>
    <row r="112" spans="1:12" ht="15.75" x14ac:dyDescent="0.25">
      <c r="A112" s="647"/>
      <c r="B112" s="648"/>
      <c r="C112" s="649"/>
      <c r="D112" s="655" t="s">
        <v>166</v>
      </c>
      <c r="E112" s="651"/>
      <c r="F112" s="656">
        <v>0.63888888888888884</v>
      </c>
      <c r="G112" s="647"/>
      <c r="H112" s="648"/>
      <c r="I112" s="649"/>
      <c r="J112" s="650"/>
      <c r="K112" s="651"/>
      <c r="L112" s="652"/>
    </row>
    <row r="113" spans="1:12" ht="15.75" x14ac:dyDescent="0.25">
      <c r="A113" s="647" t="s">
        <v>961</v>
      </c>
      <c r="B113" s="648"/>
      <c r="C113" s="649"/>
      <c r="D113" s="650" t="s">
        <v>160</v>
      </c>
      <c r="E113" s="651"/>
      <c r="F113" s="653">
        <v>0.68055555555555558</v>
      </c>
      <c r="G113" s="647"/>
      <c r="H113" s="648"/>
      <c r="I113" s="649"/>
      <c r="J113" s="650"/>
      <c r="K113" s="651"/>
      <c r="L113" s="652"/>
    </row>
    <row r="114" spans="1:12" ht="15.75" x14ac:dyDescent="0.25">
      <c r="A114" s="647"/>
      <c r="B114" s="648"/>
      <c r="C114" s="649"/>
      <c r="D114" s="655" t="s">
        <v>962</v>
      </c>
      <c r="E114" s="651"/>
      <c r="F114" s="656">
        <v>0.6875</v>
      </c>
      <c r="G114" s="647"/>
      <c r="H114" s="648"/>
      <c r="I114" s="649"/>
      <c r="J114" s="650"/>
      <c r="K114" s="651"/>
      <c r="L114" s="652"/>
    </row>
    <row r="115" spans="1:12" ht="15.75" x14ac:dyDescent="0.25">
      <c r="A115" s="647"/>
      <c r="B115" s="648"/>
      <c r="C115" s="649"/>
      <c r="D115" s="655" t="s">
        <v>960</v>
      </c>
      <c r="E115" s="657">
        <v>0.72222222222222221</v>
      </c>
      <c r="F115" s="656"/>
      <c r="G115" s="647"/>
      <c r="H115" s="648"/>
      <c r="I115" s="649"/>
      <c r="J115" s="650"/>
      <c r="K115" s="651"/>
      <c r="L115" s="652"/>
    </row>
    <row r="116" spans="1:12" ht="15.75" x14ac:dyDescent="0.25">
      <c r="A116" s="647"/>
      <c r="B116" s="648" t="s">
        <v>459</v>
      </c>
      <c r="C116" s="649">
        <v>22</v>
      </c>
      <c r="D116" s="650" t="s">
        <v>1449</v>
      </c>
      <c r="E116" s="657"/>
      <c r="F116" s="653"/>
      <c r="G116" s="647"/>
      <c r="H116" s="648"/>
      <c r="I116" s="649"/>
      <c r="J116" s="650"/>
      <c r="K116" s="651"/>
      <c r="L116" s="652"/>
    </row>
    <row r="117" spans="1:12" ht="15.75" x14ac:dyDescent="0.25">
      <c r="A117" s="647"/>
      <c r="B117" s="648"/>
      <c r="C117" s="649"/>
      <c r="D117" s="650"/>
      <c r="E117" s="657"/>
      <c r="F117" s="658"/>
      <c r="G117" s="647"/>
      <c r="H117" s="648"/>
      <c r="I117" s="649"/>
      <c r="J117" s="650"/>
      <c r="K117" s="651"/>
      <c r="L117" s="658"/>
    </row>
    <row r="118" spans="1:12" ht="15.75" x14ac:dyDescent="0.25">
      <c r="A118" s="647"/>
      <c r="B118" s="648"/>
      <c r="C118" s="649"/>
      <c r="D118" s="655"/>
      <c r="E118" s="657"/>
      <c r="F118" s="653"/>
      <c r="G118" s="647"/>
      <c r="H118" s="648"/>
      <c r="I118" s="649"/>
      <c r="J118" s="655"/>
      <c r="K118" s="651"/>
      <c r="L118" s="658"/>
    </row>
    <row r="119" spans="1:12" ht="15.75" x14ac:dyDescent="0.25">
      <c r="A119" s="647"/>
      <c r="B119" s="648"/>
      <c r="C119" s="649"/>
      <c r="D119" s="650"/>
      <c r="E119" s="651"/>
      <c r="F119" s="652"/>
      <c r="G119" s="647"/>
      <c r="H119" s="648"/>
      <c r="I119" s="649"/>
      <c r="J119" s="650"/>
      <c r="K119" s="651"/>
      <c r="L119" s="658"/>
    </row>
    <row r="120" spans="1:12" ht="16.5" thickBot="1" x14ac:dyDescent="0.3">
      <c r="A120" s="659"/>
      <c r="B120" s="660"/>
      <c r="C120" s="661"/>
      <c r="D120" s="662"/>
      <c r="E120" s="663"/>
      <c r="F120" s="664"/>
      <c r="G120" s="665"/>
      <c r="H120" s="666"/>
      <c r="I120" s="667"/>
      <c r="J120" s="668"/>
      <c r="K120" s="663"/>
      <c r="L120" s="669"/>
    </row>
    <row r="121" spans="1:12" ht="21" x14ac:dyDescent="0.35">
      <c r="A121" s="769" t="s">
        <v>945</v>
      </c>
      <c r="B121" s="770"/>
      <c r="C121" s="770"/>
      <c r="D121" s="770"/>
      <c r="E121" s="770"/>
      <c r="F121" s="770"/>
      <c r="G121" s="770"/>
      <c r="H121" s="770"/>
      <c r="I121" s="770"/>
      <c r="J121" s="770"/>
      <c r="K121" s="770"/>
      <c r="L121" s="771"/>
    </row>
    <row r="122" spans="1:12" ht="18.75" x14ac:dyDescent="0.3">
      <c r="A122" s="772" t="s">
        <v>946</v>
      </c>
      <c r="B122" s="773"/>
      <c r="C122" s="773"/>
      <c r="D122" s="773"/>
      <c r="E122" s="773"/>
      <c r="F122" s="773"/>
      <c r="G122" s="773"/>
      <c r="H122" s="773"/>
      <c r="I122" s="773"/>
      <c r="J122" s="773"/>
      <c r="K122" s="773"/>
      <c r="L122" s="774"/>
    </row>
    <row r="123" spans="1:12" ht="24" x14ac:dyDescent="0.4">
      <c r="A123" s="775" t="s">
        <v>947</v>
      </c>
      <c r="B123" s="776"/>
      <c r="C123" s="776"/>
      <c r="D123" s="776"/>
      <c r="E123" s="776"/>
      <c r="F123" s="776"/>
      <c r="G123" s="776"/>
      <c r="H123" s="776"/>
      <c r="I123" s="776"/>
      <c r="J123" s="776"/>
      <c r="K123" s="776"/>
      <c r="L123" s="777"/>
    </row>
    <row r="124" spans="1:12" ht="24" x14ac:dyDescent="0.4">
      <c r="A124" s="670" t="s">
        <v>1279</v>
      </c>
      <c r="B124" s="671"/>
      <c r="C124" s="671"/>
      <c r="D124" s="672" t="s">
        <v>949</v>
      </c>
      <c r="E124" s="778" t="s">
        <v>851</v>
      </c>
      <c r="F124" s="778"/>
      <c r="G124" s="778"/>
      <c r="H124" s="778"/>
      <c r="I124" s="778"/>
      <c r="J124" s="673" t="s">
        <v>986</v>
      </c>
      <c r="K124" s="778"/>
      <c r="L124" s="779"/>
    </row>
    <row r="125" spans="1:12" ht="15.75" thickBot="1" x14ac:dyDescent="0.3">
      <c r="A125" s="674"/>
      <c r="B125" s="675"/>
      <c r="C125" s="675"/>
      <c r="D125" s="676"/>
      <c r="E125" s="675"/>
      <c r="F125" s="675"/>
      <c r="G125" s="675"/>
      <c r="H125" s="675"/>
      <c r="I125" s="780"/>
      <c r="J125" s="780"/>
      <c r="K125" s="675"/>
      <c r="L125" s="677"/>
    </row>
    <row r="126" spans="1:12" ht="16.5" thickBot="1" x14ac:dyDescent="0.3">
      <c r="A126" s="631" t="s">
        <v>952</v>
      </c>
      <c r="B126" s="632"/>
      <c r="C126" s="633"/>
      <c r="D126" s="634" t="s">
        <v>953</v>
      </c>
      <c r="E126" s="631" t="s">
        <v>954</v>
      </c>
      <c r="F126" s="635" t="s">
        <v>955</v>
      </c>
      <c r="G126" s="631" t="s">
        <v>952</v>
      </c>
      <c r="H126" s="632"/>
      <c r="I126" s="633"/>
      <c r="J126" s="634" t="s">
        <v>953</v>
      </c>
      <c r="K126" s="631" t="s">
        <v>954</v>
      </c>
      <c r="L126" s="631" t="s">
        <v>955</v>
      </c>
    </row>
    <row r="127" spans="1:12" ht="15.75" x14ac:dyDescent="0.25">
      <c r="A127" s="636"/>
      <c r="B127" s="637"/>
      <c r="C127" s="638"/>
      <c r="D127" s="639"/>
      <c r="E127" s="640"/>
      <c r="F127" s="641"/>
      <c r="G127" s="636"/>
      <c r="H127" s="642"/>
      <c r="I127" s="643"/>
      <c r="J127" s="644"/>
      <c r="K127" s="645"/>
      <c r="L127" s="646"/>
    </row>
    <row r="128" spans="1:12" ht="15.75" x14ac:dyDescent="0.25">
      <c r="A128" s="647"/>
      <c r="B128" s="648" t="s">
        <v>459</v>
      </c>
      <c r="C128" s="649">
        <v>4</v>
      </c>
      <c r="D128" s="650" t="s">
        <v>1105</v>
      </c>
      <c r="E128" s="651"/>
      <c r="F128" s="652"/>
      <c r="G128" s="647"/>
      <c r="H128" s="648" t="s">
        <v>459</v>
      </c>
      <c r="I128" s="649">
        <v>204</v>
      </c>
      <c r="J128" s="650" t="s">
        <v>1450</v>
      </c>
      <c r="K128" s="651"/>
      <c r="L128" s="653"/>
    </row>
    <row r="129" spans="1:12" ht="15.75" x14ac:dyDescent="0.25">
      <c r="A129" s="647" t="s">
        <v>958</v>
      </c>
      <c r="B129" s="654"/>
      <c r="C129" s="649"/>
      <c r="D129" s="655" t="s">
        <v>959</v>
      </c>
      <c r="E129" s="651"/>
      <c r="F129" s="656">
        <v>0.25</v>
      </c>
      <c r="G129" s="647"/>
      <c r="H129" s="648"/>
      <c r="I129" s="649"/>
      <c r="J129" s="655" t="s">
        <v>960</v>
      </c>
      <c r="K129" s="651"/>
      <c r="L129" s="656">
        <v>0.65277777777777779</v>
      </c>
    </row>
    <row r="130" spans="1:12" ht="15.75" x14ac:dyDescent="0.25">
      <c r="A130" s="647" t="s">
        <v>961</v>
      </c>
      <c r="B130" s="648"/>
      <c r="C130" s="649"/>
      <c r="D130" s="650" t="s">
        <v>160</v>
      </c>
      <c r="E130" s="651"/>
      <c r="F130" s="653">
        <v>0.28472222222222221</v>
      </c>
      <c r="G130" s="647" t="s">
        <v>961</v>
      </c>
      <c r="H130" s="654"/>
      <c r="I130" s="649"/>
      <c r="J130" s="650" t="s">
        <v>163</v>
      </c>
      <c r="K130" s="651"/>
      <c r="L130" s="653">
        <v>0.70138888888888884</v>
      </c>
    </row>
    <row r="131" spans="1:12" ht="15.75" x14ac:dyDescent="0.25">
      <c r="A131" s="647"/>
      <c r="B131" s="648"/>
      <c r="C131" s="649"/>
      <c r="D131" s="655" t="s">
        <v>962</v>
      </c>
      <c r="E131" s="651"/>
      <c r="F131" s="656">
        <v>0.29166666666666669</v>
      </c>
      <c r="G131" s="647"/>
      <c r="H131" s="648"/>
      <c r="I131" s="649"/>
      <c r="J131" s="655" t="s">
        <v>164</v>
      </c>
      <c r="K131" s="651"/>
      <c r="L131" s="656">
        <v>0.72916666666666663</v>
      </c>
    </row>
    <row r="132" spans="1:12" ht="15.75" x14ac:dyDescent="0.25">
      <c r="A132" s="647"/>
      <c r="B132" s="648"/>
      <c r="C132" s="649"/>
      <c r="D132" s="655" t="s">
        <v>960</v>
      </c>
      <c r="E132" s="651"/>
      <c r="F132" s="656">
        <v>0.31944444444444442</v>
      </c>
      <c r="G132" s="647"/>
      <c r="H132" s="648"/>
      <c r="I132" s="649"/>
      <c r="J132" s="655" t="s">
        <v>166</v>
      </c>
      <c r="K132" s="651"/>
      <c r="L132" s="656">
        <v>0.74652777777777779</v>
      </c>
    </row>
    <row r="133" spans="1:12" ht="15.75" x14ac:dyDescent="0.25">
      <c r="A133" s="647" t="s">
        <v>961</v>
      </c>
      <c r="B133" s="654"/>
      <c r="C133" s="649"/>
      <c r="D133" s="650" t="s">
        <v>163</v>
      </c>
      <c r="E133" s="651"/>
      <c r="F133" s="653">
        <v>0.36805555555555558</v>
      </c>
      <c r="G133" s="647" t="s">
        <v>961</v>
      </c>
      <c r="H133" s="648"/>
      <c r="I133" s="649"/>
      <c r="J133" s="650" t="s">
        <v>160</v>
      </c>
      <c r="K133" s="651"/>
      <c r="L133" s="653">
        <v>0.77430555555555558</v>
      </c>
    </row>
    <row r="134" spans="1:12" ht="15.75" x14ac:dyDescent="0.25">
      <c r="A134" s="647"/>
      <c r="B134" s="648"/>
      <c r="C134" s="649"/>
      <c r="D134" s="655" t="s">
        <v>164</v>
      </c>
      <c r="E134" s="651"/>
      <c r="F134" s="656">
        <v>0.3888888888888889</v>
      </c>
      <c r="G134" s="647"/>
      <c r="H134" s="648"/>
      <c r="I134" s="649"/>
      <c r="J134" s="655" t="s">
        <v>962</v>
      </c>
      <c r="K134" s="651"/>
      <c r="L134" s="656">
        <v>0.78125</v>
      </c>
    </row>
    <row r="135" spans="1:12" ht="15.75" x14ac:dyDescent="0.25">
      <c r="A135" s="647"/>
      <c r="B135" s="648"/>
      <c r="C135" s="649"/>
      <c r="D135" s="655" t="s">
        <v>166</v>
      </c>
      <c r="E135" s="651"/>
      <c r="F135" s="656">
        <v>0.40625</v>
      </c>
      <c r="G135" s="647"/>
      <c r="H135" s="648"/>
      <c r="I135" s="649"/>
      <c r="J135" s="655" t="s">
        <v>960</v>
      </c>
      <c r="K135" s="657">
        <v>0.80902777777777779</v>
      </c>
      <c r="L135" s="656"/>
    </row>
    <row r="136" spans="1:12" ht="15.75" x14ac:dyDescent="0.25">
      <c r="A136" s="647" t="s">
        <v>961</v>
      </c>
      <c r="B136" s="648"/>
      <c r="C136" s="649"/>
      <c r="D136" s="650" t="s">
        <v>160</v>
      </c>
      <c r="E136" s="651"/>
      <c r="F136" s="653">
        <v>0.44097222222222221</v>
      </c>
      <c r="G136" s="647"/>
      <c r="H136" s="648" t="s">
        <v>462</v>
      </c>
      <c r="I136" s="649" t="s">
        <v>459</v>
      </c>
      <c r="J136" s="650"/>
      <c r="K136" s="651"/>
      <c r="L136" s="658"/>
    </row>
    <row r="137" spans="1:12" ht="15.75" x14ac:dyDescent="0.25">
      <c r="A137" s="647"/>
      <c r="B137" s="648"/>
      <c r="C137" s="649"/>
      <c r="D137" s="655" t="s">
        <v>962</v>
      </c>
      <c r="E137" s="651"/>
      <c r="F137" s="656">
        <v>0.44791666666666669</v>
      </c>
      <c r="G137" s="647"/>
      <c r="H137" s="648"/>
      <c r="I137" s="649"/>
      <c r="J137" s="650"/>
      <c r="K137" s="651"/>
      <c r="L137" s="656"/>
    </row>
    <row r="138" spans="1:12" ht="15.75" x14ac:dyDescent="0.25">
      <c r="A138" s="647"/>
      <c r="B138" s="648"/>
      <c r="C138" s="649"/>
      <c r="D138" s="655" t="s">
        <v>960</v>
      </c>
      <c r="E138" s="657">
        <v>0.47916666666666669</v>
      </c>
      <c r="F138" s="656"/>
      <c r="G138" s="647"/>
      <c r="H138" s="648" t="s">
        <v>459</v>
      </c>
      <c r="I138" s="649">
        <v>24</v>
      </c>
      <c r="J138" s="650" t="s">
        <v>1451</v>
      </c>
      <c r="K138" s="651"/>
      <c r="L138" s="653"/>
    </row>
    <row r="139" spans="1:12" ht="15.75" x14ac:dyDescent="0.25">
      <c r="A139" s="647"/>
      <c r="B139" s="648" t="s">
        <v>462</v>
      </c>
      <c r="C139" s="649" t="s">
        <v>459</v>
      </c>
      <c r="D139" s="650"/>
      <c r="E139" s="651"/>
      <c r="F139" s="658"/>
      <c r="G139" s="647"/>
      <c r="H139" s="648"/>
      <c r="I139" s="649"/>
      <c r="J139" s="655" t="s">
        <v>960</v>
      </c>
      <c r="K139" s="651"/>
      <c r="L139" s="656">
        <v>0.80902777777777779</v>
      </c>
    </row>
    <row r="140" spans="1:12" ht="15.75" x14ac:dyDescent="0.25">
      <c r="A140" s="647"/>
      <c r="B140" s="648"/>
      <c r="C140" s="649"/>
      <c r="D140" s="650"/>
      <c r="E140" s="651"/>
      <c r="F140" s="656"/>
      <c r="G140" s="647" t="s">
        <v>961</v>
      </c>
      <c r="H140" s="654"/>
      <c r="I140" s="649"/>
      <c r="J140" s="650" t="s">
        <v>163</v>
      </c>
      <c r="K140" s="651"/>
      <c r="L140" s="653">
        <v>0.85416666666666663</v>
      </c>
    </row>
    <row r="141" spans="1:12" ht="15.75" x14ac:dyDescent="0.25">
      <c r="A141" s="647"/>
      <c r="B141" s="648" t="s">
        <v>459</v>
      </c>
      <c r="C141" s="649">
        <v>7</v>
      </c>
      <c r="D141" s="650" t="s">
        <v>1452</v>
      </c>
      <c r="E141" s="651"/>
      <c r="F141" s="653"/>
      <c r="G141" s="647"/>
      <c r="H141" s="648"/>
      <c r="I141" s="649"/>
      <c r="J141" s="655" t="s">
        <v>164</v>
      </c>
      <c r="K141" s="651"/>
      <c r="L141" s="656">
        <v>0.875</v>
      </c>
    </row>
    <row r="142" spans="1:12" ht="15.75" x14ac:dyDescent="0.25">
      <c r="A142" s="647"/>
      <c r="B142" s="648"/>
      <c r="C142" s="649"/>
      <c r="D142" s="655" t="s">
        <v>960</v>
      </c>
      <c r="E142" s="651"/>
      <c r="F142" s="656">
        <v>0.47916666666666669</v>
      </c>
      <c r="G142" s="647"/>
      <c r="H142" s="648"/>
      <c r="I142" s="649"/>
      <c r="J142" s="655" t="s">
        <v>166</v>
      </c>
      <c r="K142" s="657">
        <v>0.89236111111111116</v>
      </c>
      <c r="L142" s="656"/>
    </row>
    <row r="143" spans="1:12" ht="15.75" x14ac:dyDescent="0.25">
      <c r="A143" s="647" t="s">
        <v>961</v>
      </c>
      <c r="B143" s="654"/>
      <c r="C143" s="649"/>
      <c r="D143" s="650" t="s">
        <v>163</v>
      </c>
      <c r="E143" s="651"/>
      <c r="F143" s="653">
        <v>0.52430555555555558</v>
      </c>
      <c r="G143" s="647"/>
      <c r="H143" s="648" t="s">
        <v>462</v>
      </c>
      <c r="I143" s="649" t="s">
        <v>459</v>
      </c>
      <c r="J143" s="650"/>
      <c r="K143" s="651"/>
      <c r="L143" s="658"/>
    </row>
    <row r="144" spans="1:12" ht="15.75" x14ac:dyDescent="0.25">
      <c r="A144" s="647"/>
      <c r="B144" s="648"/>
      <c r="C144" s="649"/>
      <c r="D144" s="655" t="s">
        <v>164</v>
      </c>
      <c r="E144" s="651"/>
      <c r="F144" s="656">
        <v>0.55208333333333337</v>
      </c>
      <c r="G144" s="647"/>
      <c r="H144" s="648"/>
      <c r="I144" s="649"/>
      <c r="J144" s="650"/>
      <c r="K144" s="651"/>
      <c r="L144" s="656"/>
    </row>
    <row r="145" spans="1:12" ht="15.75" x14ac:dyDescent="0.25">
      <c r="A145" s="647"/>
      <c r="B145" s="648"/>
      <c r="C145" s="649"/>
      <c r="D145" s="655" t="s">
        <v>166</v>
      </c>
      <c r="E145" s="651"/>
      <c r="F145" s="656">
        <v>0.56944444444444442</v>
      </c>
      <c r="G145" s="647"/>
      <c r="H145" s="648" t="s">
        <v>459</v>
      </c>
      <c r="I145" s="649">
        <v>74</v>
      </c>
      <c r="J145" s="650" t="s">
        <v>1126</v>
      </c>
      <c r="K145" s="651"/>
      <c r="L145" s="653"/>
    </row>
    <row r="146" spans="1:12" ht="15.75" x14ac:dyDescent="0.25">
      <c r="A146" s="647" t="s">
        <v>961</v>
      </c>
      <c r="B146" s="648"/>
      <c r="C146" s="649"/>
      <c r="D146" s="650" t="s">
        <v>160</v>
      </c>
      <c r="E146" s="651"/>
      <c r="F146" s="653">
        <v>0.60763888888888884</v>
      </c>
      <c r="G146" s="647"/>
      <c r="H146" s="648"/>
      <c r="I146" s="649"/>
      <c r="J146" s="655" t="s">
        <v>166</v>
      </c>
      <c r="K146" s="651"/>
      <c r="L146" s="656">
        <v>0.89236111111111116</v>
      </c>
    </row>
    <row r="147" spans="1:12" ht="15.75" x14ac:dyDescent="0.25">
      <c r="A147" s="647"/>
      <c r="B147" s="648"/>
      <c r="C147" s="649"/>
      <c r="D147" s="655" t="s">
        <v>962</v>
      </c>
      <c r="E147" s="651"/>
      <c r="F147" s="656">
        <v>0.61458333333333337</v>
      </c>
      <c r="G147" s="647" t="s">
        <v>961</v>
      </c>
      <c r="H147" s="648"/>
      <c r="I147" s="649"/>
      <c r="J147" s="650" t="s">
        <v>160</v>
      </c>
      <c r="K147" s="651"/>
      <c r="L147" s="653">
        <v>0.92361111111111116</v>
      </c>
    </row>
    <row r="148" spans="1:12" ht="15.75" x14ac:dyDescent="0.25">
      <c r="A148" s="647"/>
      <c r="B148" s="648"/>
      <c r="C148" s="649"/>
      <c r="D148" s="655" t="s">
        <v>960</v>
      </c>
      <c r="E148" s="657">
        <v>0.65277777777777779</v>
      </c>
      <c r="F148" s="656"/>
      <c r="G148" s="647"/>
      <c r="H148" s="648"/>
      <c r="I148" s="649"/>
      <c r="J148" s="655" t="s">
        <v>962</v>
      </c>
      <c r="K148" s="651"/>
      <c r="L148" s="656">
        <v>0.93055555555555558</v>
      </c>
    </row>
    <row r="149" spans="1:12" ht="15.75" x14ac:dyDescent="0.25">
      <c r="A149" s="647"/>
      <c r="B149" s="648" t="s">
        <v>462</v>
      </c>
      <c r="C149" s="649" t="s">
        <v>459</v>
      </c>
      <c r="D149" s="650"/>
      <c r="E149" s="651"/>
      <c r="F149" s="658"/>
      <c r="G149" s="647"/>
      <c r="H149" s="648"/>
      <c r="I149" s="649"/>
      <c r="J149" s="655" t="s">
        <v>960</v>
      </c>
      <c r="K149" s="657"/>
      <c r="L149" s="656">
        <v>0.95486111111111116</v>
      </c>
    </row>
    <row r="150" spans="1:12" ht="15.75" x14ac:dyDescent="0.25">
      <c r="A150" s="647"/>
      <c r="B150" s="648"/>
      <c r="C150" s="649"/>
      <c r="D150" s="650"/>
      <c r="E150" s="651"/>
      <c r="F150" s="656"/>
      <c r="G150" s="647" t="s">
        <v>958</v>
      </c>
      <c r="H150" s="648"/>
      <c r="I150" s="649"/>
      <c r="J150" s="650" t="s">
        <v>160</v>
      </c>
      <c r="K150" s="657">
        <v>0.98750000000000004</v>
      </c>
      <c r="L150" s="653"/>
    </row>
    <row r="151" spans="1:12" ht="15.75" x14ac:dyDescent="0.25">
      <c r="A151" s="647"/>
      <c r="B151" s="648"/>
      <c r="C151" s="649"/>
      <c r="D151" s="650"/>
      <c r="E151" s="651"/>
      <c r="F151" s="653"/>
      <c r="G151" s="647"/>
      <c r="H151" s="648"/>
      <c r="I151" s="649"/>
      <c r="J151" s="650" t="s">
        <v>963</v>
      </c>
      <c r="K151" s="657">
        <v>1.0118055555555556</v>
      </c>
      <c r="L151" s="652"/>
    </row>
    <row r="152" spans="1:12" ht="15.75" x14ac:dyDescent="0.25">
      <c r="A152" s="647"/>
      <c r="B152" s="648"/>
      <c r="C152" s="649"/>
      <c r="D152" s="655"/>
      <c r="E152" s="651"/>
      <c r="F152" s="656"/>
      <c r="G152" s="647"/>
      <c r="H152" s="648" t="s">
        <v>459</v>
      </c>
      <c r="I152" s="649">
        <v>74</v>
      </c>
      <c r="J152" s="650" t="s">
        <v>1453</v>
      </c>
      <c r="K152" s="657"/>
      <c r="L152" s="652"/>
    </row>
    <row r="153" spans="1:12" ht="15.75" x14ac:dyDescent="0.25">
      <c r="A153" s="647"/>
      <c r="B153" s="648"/>
      <c r="C153" s="649"/>
      <c r="D153" s="650"/>
      <c r="E153" s="651"/>
      <c r="F153" s="653"/>
      <c r="G153" s="647"/>
      <c r="H153" s="648"/>
      <c r="I153" s="649"/>
      <c r="J153" s="650"/>
      <c r="K153" s="651"/>
      <c r="L153" s="652"/>
    </row>
    <row r="154" spans="1:12" ht="15.75" x14ac:dyDescent="0.25">
      <c r="A154" s="647"/>
      <c r="B154" s="648"/>
      <c r="C154" s="649"/>
      <c r="D154" s="655"/>
      <c r="E154" s="651"/>
      <c r="F154" s="656"/>
      <c r="G154" s="647"/>
      <c r="H154" s="648"/>
      <c r="I154" s="649"/>
      <c r="J154" s="650"/>
      <c r="K154" s="651"/>
      <c r="L154" s="652"/>
    </row>
    <row r="155" spans="1:12" ht="15.75" x14ac:dyDescent="0.25">
      <c r="A155" s="647"/>
      <c r="B155" s="648"/>
      <c r="C155" s="649"/>
      <c r="D155" s="655"/>
      <c r="E155" s="657"/>
      <c r="F155" s="656"/>
      <c r="G155" s="647"/>
      <c r="H155" s="648"/>
      <c r="I155" s="649"/>
      <c r="J155" s="650"/>
      <c r="K155" s="651"/>
      <c r="L155" s="652"/>
    </row>
    <row r="156" spans="1:12" ht="15.75" x14ac:dyDescent="0.25">
      <c r="A156" s="647"/>
      <c r="B156" s="648"/>
      <c r="C156" s="649"/>
      <c r="D156" s="650"/>
      <c r="E156" s="657"/>
      <c r="F156" s="653"/>
      <c r="G156" s="647"/>
      <c r="H156" s="648"/>
      <c r="I156" s="649"/>
      <c r="J156" s="650"/>
      <c r="K156" s="651"/>
      <c r="L156" s="652"/>
    </row>
    <row r="157" spans="1:12" ht="15.75" x14ac:dyDescent="0.25">
      <c r="A157" s="647"/>
      <c r="B157" s="648"/>
      <c r="C157" s="649"/>
      <c r="D157" s="650"/>
      <c r="E157" s="657"/>
      <c r="F157" s="658"/>
      <c r="G157" s="647"/>
      <c r="H157" s="648"/>
      <c r="I157" s="649"/>
      <c r="J157" s="650"/>
      <c r="K157" s="651"/>
      <c r="L157" s="658"/>
    </row>
    <row r="158" spans="1:12" ht="15.75" x14ac:dyDescent="0.25">
      <c r="A158" s="647"/>
      <c r="B158" s="648"/>
      <c r="C158" s="649"/>
      <c r="D158" s="655"/>
      <c r="E158" s="657"/>
      <c r="F158" s="653"/>
      <c r="G158" s="647"/>
      <c r="H158" s="648"/>
      <c r="I158" s="649"/>
      <c r="J158" s="655"/>
      <c r="K158" s="651"/>
      <c r="L158" s="658"/>
    </row>
    <row r="159" spans="1:12" ht="15.75" x14ac:dyDescent="0.25">
      <c r="A159" s="647"/>
      <c r="B159" s="648"/>
      <c r="C159" s="649"/>
      <c r="D159" s="650"/>
      <c r="E159" s="651"/>
      <c r="F159" s="652"/>
      <c r="G159" s="647"/>
      <c r="H159" s="648"/>
      <c r="I159" s="649"/>
      <c r="J159" s="650"/>
      <c r="K159" s="651"/>
      <c r="L159" s="658"/>
    </row>
    <row r="160" spans="1:12" ht="16.5" thickBot="1" x14ac:dyDescent="0.3">
      <c r="A160" s="659"/>
      <c r="B160" s="660"/>
      <c r="C160" s="661"/>
      <c r="D160" s="662"/>
      <c r="E160" s="663"/>
      <c r="F160" s="664"/>
      <c r="G160" s="665"/>
      <c r="H160" s="666"/>
      <c r="I160" s="667"/>
      <c r="J160" s="668"/>
      <c r="K160" s="663"/>
      <c r="L160" s="669"/>
    </row>
    <row r="161" spans="1:12" ht="21" x14ac:dyDescent="0.35">
      <c r="A161" s="769" t="s">
        <v>945</v>
      </c>
      <c r="B161" s="770"/>
      <c r="C161" s="770"/>
      <c r="D161" s="770"/>
      <c r="E161" s="770"/>
      <c r="F161" s="770"/>
      <c r="G161" s="770"/>
      <c r="H161" s="770"/>
      <c r="I161" s="770"/>
      <c r="J161" s="770"/>
      <c r="K161" s="770"/>
      <c r="L161" s="771"/>
    </row>
    <row r="162" spans="1:12" ht="18.75" x14ac:dyDescent="0.3">
      <c r="A162" s="772" t="s">
        <v>946</v>
      </c>
      <c r="B162" s="773"/>
      <c r="C162" s="773"/>
      <c r="D162" s="773"/>
      <c r="E162" s="773"/>
      <c r="F162" s="773"/>
      <c r="G162" s="773"/>
      <c r="H162" s="773"/>
      <c r="I162" s="773"/>
      <c r="J162" s="773"/>
      <c r="K162" s="773"/>
      <c r="L162" s="774"/>
    </row>
    <row r="163" spans="1:12" ht="24" x14ac:dyDescent="0.4">
      <c r="A163" s="775" t="s">
        <v>947</v>
      </c>
      <c r="B163" s="776"/>
      <c r="C163" s="776"/>
      <c r="D163" s="776"/>
      <c r="E163" s="776"/>
      <c r="F163" s="776"/>
      <c r="G163" s="776"/>
      <c r="H163" s="776"/>
      <c r="I163" s="776"/>
      <c r="J163" s="776"/>
      <c r="K163" s="776"/>
      <c r="L163" s="777"/>
    </row>
    <row r="164" spans="1:12" ht="24" x14ac:dyDescent="0.4">
      <c r="A164" s="670" t="s">
        <v>1279</v>
      </c>
      <c r="B164" s="671"/>
      <c r="C164" s="671"/>
      <c r="D164" s="672" t="s">
        <v>949</v>
      </c>
      <c r="E164" s="778" t="s">
        <v>851</v>
      </c>
      <c r="F164" s="778"/>
      <c r="G164" s="778"/>
      <c r="H164" s="778"/>
      <c r="I164" s="778"/>
      <c r="J164" s="673" t="s">
        <v>994</v>
      </c>
      <c r="K164" s="778"/>
      <c r="L164" s="779"/>
    </row>
    <row r="165" spans="1:12" ht="15.75" thickBot="1" x14ac:dyDescent="0.3">
      <c r="A165" s="674"/>
      <c r="B165" s="675"/>
      <c r="C165" s="675"/>
      <c r="D165" s="676"/>
      <c r="E165" s="675"/>
      <c r="F165" s="675"/>
      <c r="G165" s="675"/>
      <c r="H165" s="675"/>
      <c r="I165" s="780"/>
      <c r="J165" s="780"/>
      <c r="K165" s="675"/>
      <c r="L165" s="677"/>
    </row>
    <row r="166" spans="1:12" ht="16.5" thickBot="1" x14ac:dyDescent="0.3">
      <c r="A166" s="631" t="s">
        <v>952</v>
      </c>
      <c r="B166" s="632"/>
      <c r="C166" s="633"/>
      <c r="D166" s="634" t="s">
        <v>953</v>
      </c>
      <c r="E166" s="631" t="s">
        <v>954</v>
      </c>
      <c r="F166" s="635" t="s">
        <v>955</v>
      </c>
      <c r="G166" s="631" t="s">
        <v>952</v>
      </c>
      <c r="H166" s="632"/>
      <c r="I166" s="633"/>
      <c r="J166" s="634" t="s">
        <v>953</v>
      </c>
      <c r="K166" s="631" t="s">
        <v>954</v>
      </c>
      <c r="L166" s="631" t="s">
        <v>955</v>
      </c>
    </row>
    <row r="167" spans="1:12" ht="15.75" x14ac:dyDescent="0.25">
      <c r="A167" s="636"/>
      <c r="B167" s="637"/>
      <c r="C167" s="638"/>
      <c r="D167" s="639"/>
      <c r="E167" s="640"/>
      <c r="F167" s="641"/>
      <c r="G167" s="636"/>
      <c r="H167" s="642"/>
      <c r="I167" s="643"/>
      <c r="J167" s="644"/>
      <c r="K167" s="645"/>
      <c r="L167" s="646"/>
    </row>
    <row r="168" spans="1:12" ht="15.75" x14ac:dyDescent="0.25">
      <c r="A168" s="647"/>
      <c r="B168" s="648" t="s">
        <v>459</v>
      </c>
      <c r="C168" s="649">
        <v>5</v>
      </c>
      <c r="D168" s="650" t="s">
        <v>1137</v>
      </c>
      <c r="E168" s="651"/>
      <c r="F168" s="652"/>
      <c r="G168" s="647"/>
      <c r="H168" s="648" t="s">
        <v>459</v>
      </c>
      <c r="I168" s="649">
        <v>19</v>
      </c>
      <c r="J168" s="650" t="s">
        <v>1454</v>
      </c>
      <c r="K168" s="651"/>
      <c r="L168" s="653"/>
    </row>
    <row r="169" spans="1:12" ht="15.75" x14ac:dyDescent="0.25">
      <c r="A169" s="647" t="s">
        <v>958</v>
      </c>
      <c r="B169" s="654"/>
      <c r="C169" s="649"/>
      <c r="D169" s="655" t="s">
        <v>959</v>
      </c>
      <c r="E169" s="651"/>
      <c r="F169" s="656">
        <v>0.25694444444444442</v>
      </c>
      <c r="G169" s="647"/>
      <c r="H169" s="648"/>
      <c r="I169" s="649"/>
      <c r="J169" s="655" t="s">
        <v>960</v>
      </c>
      <c r="K169" s="651"/>
      <c r="L169" s="656">
        <v>0.73263888888888884</v>
      </c>
    </row>
    <row r="170" spans="1:12" ht="15.75" x14ac:dyDescent="0.25">
      <c r="A170" s="647" t="s">
        <v>961</v>
      </c>
      <c r="B170" s="654"/>
      <c r="C170" s="649"/>
      <c r="D170" s="650" t="s">
        <v>163</v>
      </c>
      <c r="E170" s="651"/>
      <c r="F170" s="653">
        <v>0.28472222222222221</v>
      </c>
      <c r="G170" s="647" t="s">
        <v>961</v>
      </c>
      <c r="H170" s="654"/>
      <c r="I170" s="649"/>
      <c r="J170" s="650" t="s">
        <v>163</v>
      </c>
      <c r="K170" s="651"/>
      <c r="L170" s="653">
        <v>0.78125</v>
      </c>
    </row>
    <row r="171" spans="1:12" ht="15.75" x14ac:dyDescent="0.25">
      <c r="A171" s="647"/>
      <c r="B171" s="648"/>
      <c r="C171" s="649"/>
      <c r="D171" s="655" t="s">
        <v>164</v>
      </c>
      <c r="E171" s="651"/>
      <c r="F171" s="656">
        <v>0.30555555555555558</v>
      </c>
      <c r="G171" s="647"/>
      <c r="H171" s="648"/>
      <c r="I171" s="649"/>
      <c r="J171" s="655" t="s">
        <v>164</v>
      </c>
      <c r="K171" s="651"/>
      <c r="L171" s="656">
        <v>0.80555555555555558</v>
      </c>
    </row>
    <row r="172" spans="1:12" ht="15.75" x14ac:dyDescent="0.25">
      <c r="A172" s="647"/>
      <c r="B172" s="648"/>
      <c r="C172" s="649"/>
      <c r="D172" s="655" t="s">
        <v>166</v>
      </c>
      <c r="E172" s="651"/>
      <c r="F172" s="656">
        <v>0.31944444444444442</v>
      </c>
      <c r="G172" s="647"/>
      <c r="H172" s="648"/>
      <c r="I172" s="649"/>
      <c r="J172" s="655" t="s">
        <v>166</v>
      </c>
      <c r="K172" s="651"/>
      <c r="L172" s="656">
        <v>0.82291666666666663</v>
      </c>
    </row>
    <row r="173" spans="1:12" ht="15.75" x14ac:dyDescent="0.25">
      <c r="A173" s="647" t="s">
        <v>961</v>
      </c>
      <c r="B173" s="648"/>
      <c r="C173" s="649"/>
      <c r="D173" s="650" t="s">
        <v>160</v>
      </c>
      <c r="E173" s="651"/>
      <c r="F173" s="653">
        <v>0.35416666666666669</v>
      </c>
      <c r="G173" s="647" t="s">
        <v>961</v>
      </c>
      <c r="H173" s="648"/>
      <c r="I173" s="649"/>
      <c r="J173" s="650" t="s">
        <v>160</v>
      </c>
      <c r="K173" s="651"/>
      <c r="L173" s="653">
        <v>0.85416666666666663</v>
      </c>
    </row>
    <row r="174" spans="1:12" ht="15.75" x14ac:dyDescent="0.25">
      <c r="A174" s="647"/>
      <c r="B174" s="648"/>
      <c r="C174" s="649"/>
      <c r="D174" s="655" t="s">
        <v>962</v>
      </c>
      <c r="E174" s="651"/>
      <c r="F174" s="656">
        <v>0.3611111111111111</v>
      </c>
      <c r="G174" s="647"/>
      <c r="H174" s="648"/>
      <c r="I174" s="649"/>
      <c r="J174" s="655" t="s">
        <v>962</v>
      </c>
      <c r="K174" s="651"/>
      <c r="L174" s="656">
        <v>0.86111111111111116</v>
      </c>
    </row>
    <row r="175" spans="1:12" ht="15.75" x14ac:dyDescent="0.25">
      <c r="A175" s="647"/>
      <c r="B175" s="648"/>
      <c r="C175" s="649"/>
      <c r="D175" s="655" t="s">
        <v>960</v>
      </c>
      <c r="E175" s="657">
        <v>0.3888888888888889</v>
      </c>
      <c r="F175" s="656"/>
      <c r="G175" s="647"/>
      <c r="H175" s="648"/>
      <c r="I175" s="649"/>
      <c r="J175" s="655" t="s">
        <v>960</v>
      </c>
      <c r="K175" s="657">
        <v>0.88888888888888884</v>
      </c>
      <c r="L175" s="656"/>
    </row>
    <row r="176" spans="1:12" ht="15.75" x14ac:dyDescent="0.25">
      <c r="A176" s="647"/>
      <c r="B176" s="648" t="s">
        <v>459</v>
      </c>
      <c r="C176" s="649">
        <v>5</v>
      </c>
      <c r="D176" s="650" t="s">
        <v>1455</v>
      </c>
      <c r="E176" s="651"/>
      <c r="F176" s="658"/>
      <c r="G176" s="647"/>
      <c r="H176" s="648" t="s">
        <v>462</v>
      </c>
      <c r="I176" s="649" t="s">
        <v>459</v>
      </c>
      <c r="J176" s="650"/>
      <c r="K176" s="651"/>
      <c r="L176" s="658"/>
    </row>
    <row r="177" spans="1:12" ht="15.75" x14ac:dyDescent="0.25">
      <c r="A177" s="647"/>
      <c r="B177" s="648"/>
      <c r="C177" s="649"/>
      <c r="D177" s="650"/>
      <c r="E177" s="651"/>
      <c r="F177" s="656"/>
      <c r="G177" s="647"/>
      <c r="H177" s="648"/>
      <c r="I177" s="649"/>
      <c r="J177" s="650"/>
      <c r="K177" s="651"/>
      <c r="L177" s="656"/>
    </row>
    <row r="178" spans="1:12" ht="15.75" x14ac:dyDescent="0.25">
      <c r="A178" s="647"/>
      <c r="B178" s="648" t="s">
        <v>459</v>
      </c>
      <c r="C178" s="649">
        <v>14</v>
      </c>
      <c r="D178" s="650" t="s">
        <v>1026</v>
      </c>
      <c r="E178" s="651"/>
      <c r="F178" s="653"/>
      <c r="G178" s="647"/>
      <c r="H178" s="648" t="s">
        <v>459</v>
      </c>
      <c r="I178" s="649">
        <v>28</v>
      </c>
      <c r="J178" s="650" t="s">
        <v>1456</v>
      </c>
      <c r="K178" s="651"/>
      <c r="L178" s="653"/>
    </row>
    <row r="179" spans="1:12" ht="15.75" x14ac:dyDescent="0.25">
      <c r="A179" s="647"/>
      <c r="B179" s="648"/>
      <c r="C179" s="649"/>
      <c r="D179" s="655" t="s">
        <v>960</v>
      </c>
      <c r="E179" s="651"/>
      <c r="F179" s="656">
        <v>0.3888888888888889</v>
      </c>
      <c r="G179" s="647"/>
      <c r="H179" s="648"/>
      <c r="I179" s="649"/>
      <c r="J179" s="655" t="s">
        <v>960</v>
      </c>
      <c r="K179" s="651"/>
      <c r="L179" s="656">
        <v>0.88888888888888884</v>
      </c>
    </row>
    <row r="180" spans="1:12" ht="15.75" x14ac:dyDescent="0.25">
      <c r="A180" s="647" t="s">
        <v>961</v>
      </c>
      <c r="B180" s="654"/>
      <c r="C180" s="649"/>
      <c r="D180" s="650" t="s">
        <v>163</v>
      </c>
      <c r="E180" s="651"/>
      <c r="F180" s="653">
        <v>0.43402777777777779</v>
      </c>
      <c r="G180" s="647" t="s">
        <v>961</v>
      </c>
      <c r="H180" s="654"/>
      <c r="I180" s="649"/>
      <c r="J180" s="650" t="s">
        <v>163</v>
      </c>
      <c r="K180" s="651"/>
      <c r="L180" s="653">
        <v>0.92361111111111116</v>
      </c>
    </row>
    <row r="181" spans="1:12" ht="15.75" x14ac:dyDescent="0.25">
      <c r="A181" s="647"/>
      <c r="B181" s="648"/>
      <c r="C181" s="649"/>
      <c r="D181" s="655" t="s">
        <v>164</v>
      </c>
      <c r="E181" s="651"/>
      <c r="F181" s="656">
        <v>0.45833333333333331</v>
      </c>
      <c r="G181" s="647"/>
      <c r="H181" s="648"/>
      <c r="I181" s="649"/>
      <c r="J181" s="655" t="s">
        <v>164</v>
      </c>
      <c r="K181" s="651"/>
      <c r="L181" s="656">
        <v>0.94444444444444442</v>
      </c>
    </row>
    <row r="182" spans="1:12" ht="15.75" x14ac:dyDescent="0.25">
      <c r="A182" s="647"/>
      <c r="B182" s="648"/>
      <c r="C182" s="649"/>
      <c r="D182" s="655" t="s">
        <v>166</v>
      </c>
      <c r="E182" s="651"/>
      <c r="F182" s="656">
        <v>0.47569444444444442</v>
      </c>
      <c r="G182" s="647"/>
      <c r="H182" s="648"/>
      <c r="I182" s="649"/>
      <c r="J182" s="655" t="s">
        <v>166</v>
      </c>
      <c r="K182" s="651"/>
      <c r="L182" s="656">
        <v>0.95833333333333337</v>
      </c>
    </row>
    <row r="183" spans="1:12" ht="15.75" x14ac:dyDescent="0.25">
      <c r="A183" s="647" t="s">
        <v>961</v>
      </c>
      <c r="B183" s="648"/>
      <c r="C183" s="649"/>
      <c r="D183" s="650" t="s">
        <v>160</v>
      </c>
      <c r="E183" s="651"/>
      <c r="F183" s="653">
        <v>0.51388888888888884</v>
      </c>
      <c r="G183" s="647" t="s">
        <v>958</v>
      </c>
      <c r="H183" s="648"/>
      <c r="I183" s="649"/>
      <c r="J183" s="650" t="s">
        <v>160</v>
      </c>
      <c r="K183" s="657">
        <v>0.98611111111111116</v>
      </c>
      <c r="L183" s="653"/>
    </row>
    <row r="184" spans="1:12" ht="15.75" x14ac:dyDescent="0.25">
      <c r="A184" s="647"/>
      <c r="B184" s="648"/>
      <c r="C184" s="649"/>
      <c r="D184" s="655" t="s">
        <v>962</v>
      </c>
      <c r="E184" s="651"/>
      <c r="F184" s="656">
        <v>0.52083333333333337</v>
      </c>
      <c r="G184" s="647"/>
      <c r="H184" s="648"/>
      <c r="I184" s="649"/>
      <c r="J184" s="650" t="s">
        <v>963</v>
      </c>
      <c r="K184" s="657">
        <v>1.0173611111111112</v>
      </c>
      <c r="L184" s="656"/>
    </row>
    <row r="185" spans="1:12" ht="15.75" x14ac:dyDescent="0.25">
      <c r="A185" s="647"/>
      <c r="B185" s="648"/>
      <c r="C185" s="649"/>
      <c r="D185" s="655" t="s">
        <v>960</v>
      </c>
      <c r="E185" s="657">
        <v>0.55555555555555558</v>
      </c>
      <c r="F185" s="656"/>
      <c r="G185" s="647"/>
      <c r="H185" s="648" t="s">
        <v>462</v>
      </c>
      <c r="I185" s="649" t="s">
        <v>459</v>
      </c>
      <c r="J185" s="650"/>
      <c r="K185" s="657"/>
      <c r="L185" s="653"/>
    </row>
    <row r="186" spans="1:12" ht="15.75" x14ac:dyDescent="0.25">
      <c r="A186" s="647"/>
      <c r="B186" s="648" t="s">
        <v>462</v>
      </c>
      <c r="C186" s="649" t="s">
        <v>459</v>
      </c>
      <c r="D186" s="650"/>
      <c r="E186" s="657"/>
      <c r="F186" s="653"/>
      <c r="G186" s="647"/>
      <c r="H186" s="648"/>
      <c r="I186" s="649"/>
      <c r="J186" s="650"/>
      <c r="K186" s="657"/>
      <c r="L186" s="653"/>
    </row>
    <row r="187" spans="1:12" ht="15.75" x14ac:dyDescent="0.25">
      <c r="A187" s="647"/>
      <c r="B187" s="648"/>
      <c r="C187" s="649"/>
      <c r="D187" s="650"/>
      <c r="E187" s="657"/>
      <c r="F187" s="658"/>
      <c r="G187" s="647"/>
      <c r="H187" s="648"/>
      <c r="I187" s="649"/>
      <c r="J187" s="650"/>
      <c r="K187" s="651"/>
      <c r="L187" s="652"/>
    </row>
    <row r="188" spans="1:12" ht="15.75" x14ac:dyDescent="0.25">
      <c r="A188" s="647"/>
      <c r="B188" s="648" t="s">
        <v>459</v>
      </c>
      <c r="C188" s="649">
        <v>23</v>
      </c>
      <c r="D188" s="650" t="s">
        <v>1229</v>
      </c>
      <c r="E188" s="651"/>
      <c r="F188" s="653"/>
      <c r="G188" s="647"/>
      <c r="H188" s="648"/>
      <c r="I188" s="649"/>
      <c r="J188" s="650"/>
      <c r="K188" s="651"/>
      <c r="L188" s="652"/>
    </row>
    <row r="189" spans="1:12" ht="15.75" x14ac:dyDescent="0.25">
      <c r="A189" s="647"/>
      <c r="B189" s="648"/>
      <c r="C189" s="649"/>
      <c r="D189" s="655" t="s">
        <v>960</v>
      </c>
      <c r="E189" s="651"/>
      <c r="F189" s="656">
        <v>0.55555555555555558</v>
      </c>
      <c r="G189" s="647"/>
      <c r="H189" s="648"/>
      <c r="I189" s="649"/>
      <c r="J189" s="650"/>
      <c r="K189" s="651"/>
      <c r="L189" s="652"/>
    </row>
    <row r="190" spans="1:12" ht="15.75" x14ac:dyDescent="0.25">
      <c r="A190" s="647" t="s">
        <v>961</v>
      </c>
      <c r="B190" s="654"/>
      <c r="C190" s="649"/>
      <c r="D190" s="650" t="s">
        <v>163</v>
      </c>
      <c r="E190" s="651"/>
      <c r="F190" s="653">
        <v>0.60763888888888884</v>
      </c>
      <c r="G190" s="647"/>
      <c r="H190" s="648"/>
      <c r="I190" s="649"/>
      <c r="J190" s="650"/>
      <c r="K190" s="651"/>
      <c r="L190" s="652"/>
    </row>
    <row r="191" spans="1:12" ht="15.75" x14ac:dyDescent="0.25">
      <c r="A191" s="647"/>
      <c r="B191" s="648"/>
      <c r="C191" s="649"/>
      <c r="D191" s="655" t="s">
        <v>164</v>
      </c>
      <c r="E191" s="651"/>
      <c r="F191" s="656">
        <v>0.63541666666666663</v>
      </c>
      <c r="G191" s="647"/>
      <c r="H191" s="648"/>
      <c r="I191" s="649"/>
      <c r="J191" s="650"/>
      <c r="K191" s="651"/>
      <c r="L191" s="652"/>
    </row>
    <row r="192" spans="1:12" ht="15.75" x14ac:dyDescent="0.25">
      <c r="A192" s="647"/>
      <c r="B192" s="648"/>
      <c r="C192" s="649"/>
      <c r="D192" s="655" t="s">
        <v>166</v>
      </c>
      <c r="E192" s="651"/>
      <c r="F192" s="656">
        <v>0.64930555555555558</v>
      </c>
      <c r="G192" s="647"/>
      <c r="H192" s="648"/>
      <c r="I192" s="649"/>
      <c r="J192" s="650"/>
      <c r="K192" s="651"/>
      <c r="L192" s="652"/>
    </row>
    <row r="193" spans="1:12" ht="15.75" x14ac:dyDescent="0.25">
      <c r="A193" s="647" t="s">
        <v>961</v>
      </c>
      <c r="B193" s="648"/>
      <c r="C193" s="649"/>
      <c r="D193" s="650" t="s">
        <v>160</v>
      </c>
      <c r="E193" s="651"/>
      <c r="F193" s="653">
        <v>0.69097222222222221</v>
      </c>
      <c r="G193" s="647"/>
      <c r="H193" s="648"/>
      <c r="I193" s="649"/>
      <c r="J193" s="650"/>
      <c r="K193" s="651"/>
      <c r="L193" s="652"/>
    </row>
    <row r="194" spans="1:12" ht="15.75" x14ac:dyDescent="0.25">
      <c r="A194" s="647"/>
      <c r="B194" s="648"/>
      <c r="C194" s="649"/>
      <c r="D194" s="655" t="s">
        <v>962</v>
      </c>
      <c r="E194" s="651"/>
      <c r="F194" s="656">
        <v>0.69791666666666663</v>
      </c>
      <c r="G194" s="647"/>
      <c r="H194" s="648"/>
      <c r="I194" s="649"/>
      <c r="J194" s="650"/>
      <c r="K194" s="651"/>
      <c r="L194" s="652"/>
    </row>
    <row r="195" spans="1:12" ht="15.75" x14ac:dyDescent="0.25">
      <c r="A195" s="647"/>
      <c r="B195" s="648"/>
      <c r="C195" s="649"/>
      <c r="D195" s="655" t="s">
        <v>960</v>
      </c>
      <c r="E195" s="657">
        <v>0.73263888888888884</v>
      </c>
      <c r="F195" s="656"/>
      <c r="G195" s="647"/>
      <c r="H195" s="648"/>
      <c r="I195" s="649"/>
      <c r="J195" s="650"/>
      <c r="K195" s="651"/>
      <c r="L195" s="652"/>
    </row>
    <row r="196" spans="1:12" ht="15.75" x14ac:dyDescent="0.25">
      <c r="A196" s="647"/>
      <c r="B196" s="648" t="s">
        <v>459</v>
      </c>
      <c r="C196" s="649">
        <v>23</v>
      </c>
      <c r="D196" s="650" t="s">
        <v>1457</v>
      </c>
      <c r="E196" s="657"/>
      <c r="F196" s="653"/>
      <c r="G196" s="647"/>
      <c r="H196" s="648"/>
      <c r="I196" s="649"/>
      <c r="J196" s="650"/>
      <c r="K196" s="651"/>
      <c r="L196" s="652"/>
    </row>
    <row r="197" spans="1:12" ht="15.75" x14ac:dyDescent="0.25">
      <c r="A197" s="647"/>
      <c r="B197" s="648"/>
      <c r="C197" s="649"/>
      <c r="D197" s="650"/>
      <c r="E197" s="657"/>
      <c r="F197" s="658"/>
      <c r="G197" s="647"/>
      <c r="H197" s="648"/>
      <c r="I197" s="649"/>
      <c r="J197" s="650"/>
      <c r="K197" s="651"/>
      <c r="L197" s="658"/>
    </row>
    <row r="198" spans="1:12" ht="15.75" x14ac:dyDescent="0.25">
      <c r="A198" s="647"/>
      <c r="B198" s="648"/>
      <c r="C198" s="649"/>
      <c r="D198" s="655"/>
      <c r="E198" s="657"/>
      <c r="F198" s="653"/>
      <c r="G198" s="647"/>
      <c r="H198" s="648"/>
      <c r="I198" s="649"/>
      <c r="J198" s="655"/>
      <c r="K198" s="651"/>
      <c r="L198" s="658"/>
    </row>
    <row r="199" spans="1:12" ht="15.75" x14ac:dyDescent="0.25">
      <c r="A199" s="647"/>
      <c r="B199" s="648"/>
      <c r="C199" s="649"/>
      <c r="D199" s="650"/>
      <c r="E199" s="651"/>
      <c r="F199" s="652"/>
      <c r="G199" s="647"/>
      <c r="H199" s="648"/>
      <c r="I199" s="649"/>
      <c r="J199" s="650"/>
      <c r="K199" s="651"/>
      <c r="L199" s="658"/>
    </row>
    <row r="200" spans="1:12" ht="16.5" thickBot="1" x14ac:dyDescent="0.3">
      <c r="A200" s="659"/>
      <c r="B200" s="660"/>
      <c r="C200" s="661"/>
      <c r="D200" s="662"/>
      <c r="E200" s="663"/>
      <c r="F200" s="664"/>
      <c r="G200" s="665"/>
      <c r="H200" s="666"/>
      <c r="I200" s="667"/>
      <c r="J200" s="668"/>
      <c r="K200" s="663"/>
      <c r="L200" s="669"/>
    </row>
    <row r="201" spans="1:12" ht="21" x14ac:dyDescent="0.35">
      <c r="A201" s="769" t="s">
        <v>945</v>
      </c>
      <c r="B201" s="770"/>
      <c r="C201" s="770"/>
      <c r="D201" s="770"/>
      <c r="E201" s="770"/>
      <c r="F201" s="770"/>
      <c r="G201" s="770"/>
      <c r="H201" s="770"/>
      <c r="I201" s="770"/>
      <c r="J201" s="770"/>
      <c r="K201" s="770"/>
      <c r="L201" s="771"/>
    </row>
    <row r="202" spans="1:12" ht="18.75" x14ac:dyDescent="0.3">
      <c r="A202" s="772" t="s">
        <v>946</v>
      </c>
      <c r="B202" s="773"/>
      <c r="C202" s="773"/>
      <c r="D202" s="773"/>
      <c r="E202" s="773"/>
      <c r="F202" s="773"/>
      <c r="G202" s="773"/>
      <c r="H202" s="773"/>
      <c r="I202" s="773"/>
      <c r="J202" s="773"/>
      <c r="K202" s="773"/>
      <c r="L202" s="774"/>
    </row>
    <row r="203" spans="1:12" ht="24" x14ac:dyDescent="0.4">
      <c r="A203" s="775" t="s">
        <v>947</v>
      </c>
      <c r="B203" s="776"/>
      <c r="C203" s="776"/>
      <c r="D203" s="776"/>
      <c r="E203" s="776"/>
      <c r="F203" s="776"/>
      <c r="G203" s="776"/>
      <c r="H203" s="776"/>
      <c r="I203" s="776"/>
      <c r="J203" s="776"/>
      <c r="K203" s="776"/>
      <c r="L203" s="777"/>
    </row>
    <row r="204" spans="1:12" ht="24" x14ac:dyDescent="0.4">
      <c r="A204" s="670" t="s">
        <v>1279</v>
      </c>
      <c r="B204" s="671"/>
      <c r="C204" s="671"/>
      <c r="D204" s="672" t="s">
        <v>949</v>
      </c>
      <c r="E204" s="778" t="s">
        <v>851</v>
      </c>
      <c r="F204" s="778"/>
      <c r="G204" s="778"/>
      <c r="H204" s="778"/>
      <c r="I204" s="778"/>
      <c r="J204" s="673" t="s">
        <v>1001</v>
      </c>
      <c r="K204" s="778"/>
      <c r="L204" s="779"/>
    </row>
    <row r="205" spans="1:12" ht="15.75" thickBot="1" x14ac:dyDescent="0.3">
      <c r="A205" s="674"/>
      <c r="B205" s="675"/>
      <c r="C205" s="675"/>
      <c r="D205" s="676"/>
      <c r="E205" s="675"/>
      <c r="F205" s="675"/>
      <c r="G205" s="675"/>
      <c r="H205" s="675"/>
      <c r="I205" s="780"/>
      <c r="J205" s="780"/>
      <c r="K205" s="675"/>
      <c r="L205" s="677"/>
    </row>
    <row r="206" spans="1:12" ht="16.5" thickBot="1" x14ac:dyDescent="0.3">
      <c r="A206" s="631" t="s">
        <v>952</v>
      </c>
      <c r="B206" s="632"/>
      <c r="C206" s="633"/>
      <c r="D206" s="634" t="s">
        <v>953</v>
      </c>
      <c r="E206" s="631" t="s">
        <v>954</v>
      </c>
      <c r="F206" s="635" t="s">
        <v>955</v>
      </c>
      <c r="G206" s="631" t="s">
        <v>952</v>
      </c>
      <c r="H206" s="632"/>
      <c r="I206" s="633"/>
      <c r="J206" s="634" t="s">
        <v>953</v>
      </c>
      <c r="K206" s="631" t="s">
        <v>954</v>
      </c>
      <c r="L206" s="631" t="s">
        <v>955</v>
      </c>
    </row>
    <row r="207" spans="1:12" ht="15.75" x14ac:dyDescent="0.25">
      <c r="A207" s="636"/>
      <c r="B207" s="637"/>
      <c r="C207" s="638"/>
      <c r="D207" s="639"/>
      <c r="E207" s="640"/>
      <c r="F207" s="641"/>
      <c r="G207" s="636"/>
      <c r="H207" s="642"/>
      <c r="I207" s="643"/>
      <c r="J207" s="644"/>
      <c r="K207" s="645"/>
      <c r="L207" s="646"/>
    </row>
    <row r="208" spans="1:12" ht="15.75" x14ac:dyDescent="0.25">
      <c r="A208" s="647"/>
      <c r="B208" s="648" t="s">
        <v>459</v>
      </c>
      <c r="C208" s="649">
        <v>6</v>
      </c>
      <c r="D208" s="650" t="s">
        <v>1192</v>
      </c>
      <c r="E208" s="651"/>
      <c r="F208" s="652"/>
      <c r="G208" s="647"/>
      <c r="H208" s="648"/>
      <c r="I208" s="649"/>
      <c r="J208" s="650"/>
      <c r="K208" s="651"/>
      <c r="L208" s="653"/>
    </row>
    <row r="209" spans="1:12" ht="15.75" x14ac:dyDescent="0.25">
      <c r="A209" s="647" t="s">
        <v>958</v>
      </c>
      <c r="B209" s="654"/>
      <c r="C209" s="649"/>
      <c r="D209" s="655" t="s">
        <v>959</v>
      </c>
      <c r="E209" s="651"/>
      <c r="F209" s="656">
        <v>0.27083333333333331</v>
      </c>
      <c r="G209" s="647"/>
      <c r="H209" s="648"/>
      <c r="I209" s="649"/>
      <c r="J209" s="655"/>
      <c r="K209" s="651"/>
      <c r="L209" s="656"/>
    </row>
    <row r="210" spans="1:12" ht="15.75" x14ac:dyDescent="0.25">
      <c r="A210" s="647" t="s">
        <v>961</v>
      </c>
      <c r="B210" s="654"/>
      <c r="C210" s="649"/>
      <c r="D210" s="650" t="s">
        <v>163</v>
      </c>
      <c r="E210" s="651"/>
      <c r="F210" s="653">
        <v>0.2986111111111111</v>
      </c>
      <c r="G210" s="647"/>
      <c r="H210" s="654"/>
      <c r="I210" s="649"/>
      <c r="J210" s="650"/>
      <c r="K210" s="651"/>
      <c r="L210" s="653"/>
    </row>
    <row r="211" spans="1:12" ht="15.75" x14ac:dyDescent="0.25">
      <c r="A211" s="647"/>
      <c r="B211" s="648"/>
      <c r="C211" s="649"/>
      <c r="D211" s="655" t="s">
        <v>164</v>
      </c>
      <c r="E211" s="651"/>
      <c r="F211" s="656">
        <v>0.31944444444444442</v>
      </c>
      <c r="G211" s="647"/>
      <c r="H211" s="648"/>
      <c r="I211" s="649"/>
      <c r="J211" s="655"/>
      <c r="K211" s="651"/>
      <c r="L211" s="656"/>
    </row>
    <row r="212" spans="1:12" ht="15.75" x14ac:dyDescent="0.25">
      <c r="A212" s="647"/>
      <c r="B212" s="648"/>
      <c r="C212" s="649"/>
      <c r="D212" s="655" t="s">
        <v>166</v>
      </c>
      <c r="E212" s="651"/>
      <c r="F212" s="656">
        <v>0.33333333333333331</v>
      </c>
      <c r="G212" s="647"/>
      <c r="H212" s="648"/>
      <c r="I212" s="649"/>
      <c r="J212" s="655"/>
      <c r="K212" s="651"/>
      <c r="L212" s="656"/>
    </row>
    <row r="213" spans="1:12" ht="15.75" x14ac:dyDescent="0.25">
      <c r="A213" s="647" t="s">
        <v>961</v>
      </c>
      <c r="B213" s="648"/>
      <c r="C213" s="649"/>
      <c r="D213" s="650" t="s">
        <v>160</v>
      </c>
      <c r="E213" s="651"/>
      <c r="F213" s="653">
        <v>0.36805555555555558</v>
      </c>
      <c r="G213" s="647"/>
      <c r="H213" s="648"/>
      <c r="I213" s="649"/>
      <c r="J213" s="650"/>
      <c r="K213" s="651"/>
      <c r="L213" s="653"/>
    </row>
    <row r="214" spans="1:12" ht="15.75" x14ac:dyDescent="0.25">
      <c r="A214" s="647"/>
      <c r="B214" s="648"/>
      <c r="C214" s="649"/>
      <c r="D214" s="655" t="s">
        <v>962</v>
      </c>
      <c r="E214" s="651"/>
      <c r="F214" s="656">
        <v>0.375</v>
      </c>
      <c r="G214" s="647"/>
      <c r="H214" s="648"/>
      <c r="I214" s="649"/>
      <c r="J214" s="655"/>
      <c r="K214" s="651"/>
      <c r="L214" s="656"/>
    </row>
    <row r="215" spans="1:12" ht="15.75" x14ac:dyDescent="0.25">
      <c r="A215" s="647"/>
      <c r="B215" s="648"/>
      <c r="C215" s="649"/>
      <c r="D215" s="655" t="s">
        <v>960</v>
      </c>
      <c r="E215" s="651"/>
      <c r="F215" s="656">
        <v>0.40277777777777779</v>
      </c>
      <c r="G215" s="647"/>
      <c r="H215" s="648"/>
      <c r="I215" s="649"/>
      <c r="J215" s="655"/>
      <c r="K215" s="657"/>
      <c r="L215" s="656"/>
    </row>
    <row r="216" spans="1:12" ht="15.75" x14ac:dyDescent="0.25">
      <c r="A216" s="647" t="s">
        <v>961</v>
      </c>
      <c r="B216" s="654"/>
      <c r="C216" s="649"/>
      <c r="D216" s="650" t="s">
        <v>163</v>
      </c>
      <c r="E216" s="651"/>
      <c r="F216" s="653">
        <v>0.44444444444444442</v>
      </c>
      <c r="G216" s="647"/>
      <c r="H216" s="648"/>
      <c r="I216" s="649"/>
      <c r="J216" s="650"/>
      <c r="K216" s="651"/>
      <c r="L216" s="658"/>
    </row>
    <row r="217" spans="1:12" ht="15.75" x14ac:dyDescent="0.25">
      <c r="A217" s="647"/>
      <c r="B217" s="648"/>
      <c r="C217" s="649"/>
      <c r="D217" s="655" t="s">
        <v>164</v>
      </c>
      <c r="E217" s="651"/>
      <c r="F217" s="656">
        <v>0.46875</v>
      </c>
      <c r="G217" s="647"/>
      <c r="H217" s="648"/>
      <c r="I217" s="649"/>
      <c r="J217" s="650"/>
      <c r="K217" s="651"/>
      <c r="L217" s="656"/>
    </row>
    <row r="218" spans="1:12" ht="15.75" x14ac:dyDescent="0.25">
      <c r="A218" s="647"/>
      <c r="B218" s="648"/>
      <c r="C218" s="649"/>
      <c r="D218" s="655" t="s">
        <v>166</v>
      </c>
      <c r="E218" s="657">
        <v>0.4861111111111111</v>
      </c>
      <c r="F218" s="656"/>
      <c r="G218" s="647"/>
      <c r="H218" s="648"/>
      <c r="I218" s="649"/>
      <c r="J218" s="650"/>
      <c r="K218" s="651"/>
      <c r="L218" s="653"/>
    </row>
    <row r="219" spans="1:12" ht="15.75" x14ac:dyDescent="0.25">
      <c r="A219" s="647"/>
      <c r="B219" s="648" t="s">
        <v>459</v>
      </c>
      <c r="C219" s="649">
        <v>6</v>
      </c>
      <c r="D219" s="650" t="s">
        <v>1458</v>
      </c>
      <c r="E219" s="651"/>
      <c r="F219" s="658"/>
      <c r="G219" s="647"/>
      <c r="H219" s="648"/>
      <c r="I219" s="649"/>
      <c r="J219" s="655"/>
      <c r="K219" s="651"/>
      <c r="L219" s="656"/>
    </row>
    <row r="220" spans="1:12" ht="15.75" x14ac:dyDescent="0.25">
      <c r="A220" s="647"/>
      <c r="B220" s="648"/>
      <c r="C220" s="649"/>
      <c r="D220" s="650"/>
      <c r="E220" s="651"/>
      <c r="F220" s="656"/>
      <c r="G220" s="647"/>
      <c r="H220" s="654"/>
      <c r="I220" s="649"/>
      <c r="J220" s="650"/>
      <c r="K220" s="651"/>
      <c r="L220" s="653"/>
    </row>
    <row r="221" spans="1:12" ht="15.75" x14ac:dyDescent="0.25">
      <c r="A221" s="647"/>
      <c r="B221" s="648" t="s">
        <v>459</v>
      </c>
      <c r="C221" s="649">
        <v>9</v>
      </c>
      <c r="D221" s="650" t="s">
        <v>1344</v>
      </c>
      <c r="E221" s="651"/>
      <c r="F221" s="653"/>
      <c r="G221" s="647"/>
      <c r="H221" s="648"/>
      <c r="I221" s="649"/>
      <c r="J221" s="655"/>
      <c r="K221" s="651"/>
      <c r="L221" s="656"/>
    </row>
    <row r="222" spans="1:12" ht="15.75" x14ac:dyDescent="0.25">
      <c r="A222" s="647"/>
      <c r="B222" s="648"/>
      <c r="C222" s="649"/>
      <c r="D222" s="655" t="s">
        <v>166</v>
      </c>
      <c r="E222" s="651"/>
      <c r="F222" s="656">
        <v>0.4861111111111111</v>
      </c>
      <c r="G222" s="647"/>
      <c r="H222" s="648"/>
      <c r="I222" s="649"/>
      <c r="J222" s="655"/>
      <c r="K222" s="651"/>
      <c r="L222" s="656"/>
    </row>
    <row r="223" spans="1:12" ht="15.75" x14ac:dyDescent="0.25">
      <c r="A223" s="647" t="s">
        <v>961</v>
      </c>
      <c r="B223" s="648"/>
      <c r="C223" s="649"/>
      <c r="D223" s="650" t="s">
        <v>160</v>
      </c>
      <c r="E223" s="651"/>
      <c r="F223" s="653">
        <v>0.52430555555555558</v>
      </c>
      <c r="G223" s="647"/>
      <c r="H223" s="648"/>
      <c r="I223" s="649"/>
      <c r="J223" s="650"/>
      <c r="K223" s="651"/>
      <c r="L223" s="653"/>
    </row>
    <row r="224" spans="1:12" ht="15.75" x14ac:dyDescent="0.25">
      <c r="A224" s="647"/>
      <c r="B224" s="648"/>
      <c r="C224" s="649"/>
      <c r="D224" s="655" t="s">
        <v>962</v>
      </c>
      <c r="E224" s="651"/>
      <c r="F224" s="656">
        <v>0.53125</v>
      </c>
      <c r="G224" s="647"/>
      <c r="H224" s="648"/>
      <c r="I224" s="649"/>
      <c r="J224" s="655"/>
      <c r="K224" s="651"/>
      <c r="L224" s="656"/>
    </row>
    <row r="225" spans="1:12" ht="15.75" x14ac:dyDescent="0.25">
      <c r="A225" s="647"/>
      <c r="B225" s="648"/>
      <c r="C225" s="649"/>
      <c r="D225" s="655" t="s">
        <v>960</v>
      </c>
      <c r="E225" s="651"/>
      <c r="F225" s="656">
        <v>0.55902777777777779</v>
      </c>
      <c r="G225" s="647"/>
      <c r="H225" s="648"/>
      <c r="I225" s="649"/>
      <c r="J225" s="655"/>
      <c r="K225" s="651"/>
      <c r="L225" s="656"/>
    </row>
    <row r="226" spans="1:12" ht="15.75" x14ac:dyDescent="0.25">
      <c r="A226" s="647" t="s">
        <v>961</v>
      </c>
      <c r="B226" s="654"/>
      <c r="C226" s="649"/>
      <c r="D226" s="650" t="s">
        <v>163</v>
      </c>
      <c r="E226" s="651"/>
      <c r="F226" s="653">
        <v>0.61805555555555558</v>
      </c>
      <c r="G226" s="647"/>
      <c r="H226" s="654"/>
      <c r="I226" s="649"/>
      <c r="J226" s="650"/>
      <c r="K226" s="657"/>
      <c r="L226" s="653"/>
    </row>
    <row r="227" spans="1:12" ht="15.75" x14ac:dyDescent="0.25">
      <c r="A227" s="647"/>
      <c r="B227" s="648"/>
      <c r="C227" s="649"/>
      <c r="D227" s="655" t="s">
        <v>164</v>
      </c>
      <c r="E227" s="651"/>
      <c r="F227" s="656">
        <v>0.64583333333333337</v>
      </c>
      <c r="G227" s="647"/>
      <c r="H227" s="648"/>
      <c r="I227" s="649"/>
      <c r="J227" s="650"/>
      <c r="K227" s="657"/>
      <c r="L227" s="656"/>
    </row>
    <row r="228" spans="1:12" ht="15.75" x14ac:dyDescent="0.25">
      <c r="A228" s="647"/>
      <c r="B228" s="648"/>
      <c r="C228" s="649"/>
      <c r="D228" s="655" t="s">
        <v>166</v>
      </c>
      <c r="E228" s="657">
        <v>0.65972222222222221</v>
      </c>
      <c r="F228" s="656"/>
      <c r="G228" s="647"/>
      <c r="H228" s="648"/>
      <c r="I228" s="649"/>
      <c r="J228" s="650"/>
      <c r="K228" s="657"/>
      <c r="L228" s="653"/>
    </row>
    <row r="229" spans="1:12" ht="15.75" x14ac:dyDescent="0.25">
      <c r="A229" s="647"/>
      <c r="B229" s="648" t="s">
        <v>462</v>
      </c>
      <c r="C229" s="649" t="s">
        <v>459</v>
      </c>
      <c r="D229" s="650"/>
      <c r="E229" s="651"/>
      <c r="F229" s="658"/>
      <c r="G229" s="647"/>
      <c r="H229" s="648"/>
      <c r="I229" s="649"/>
      <c r="J229" s="650"/>
      <c r="K229" s="657"/>
      <c r="L229" s="653"/>
    </row>
    <row r="230" spans="1:12" ht="15.75" x14ac:dyDescent="0.25">
      <c r="A230" s="647"/>
      <c r="B230" s="648"/>
      <c r="C230" s="649"/>
      <c r="D230" s="650"/>
      <c r="E230" s="651"/>
      <c r="F230" s="656"/>
      <c r="G230" s="647"/>
      <c r="H230" s="648"/>
      <c r="I230" s="649"/>
      <c r="J230" s="650"/>
      <c r="K230" s="651"/>
      <c r="L230" s="652"/>
    </row>
    <row r="231" spans="1:12" ht="15.75" x14ac:dyDescent="0.25">
      <c r="A231" s="647"/>
      <c r="B231" s="648" t="s">
        <v>459</v>
      </c>
      <c r="C231" s="649">
        <v>203</v>
      </c>
      <c r="D231" s="650" t="s">
        <v>1339</v>
      </c>
      <c r="E231" s="651"/>
      <c r="F231" s="653"/>
      <c r="G231" s="647"/>
      <c r="H231" s="648"/>
      <c r="I231" s="649"/>
      <c r="J231" s="650"/>
      <c r="K231" s="651"/>
      <c r="L231" s="652"/>
    </row>
    <row r="232" spans="1:12" ht="15.75" x14ac:dyDescent="0.25">
      <c r="A232" s="647"/>
      <c r="B232" s="648"/>
      <c r="C232" s="649"/>
      <c r="D232" s="655" t="s">
        <v>166</v>
      </c>
      <c r="E232" s="651"/>
      <c r="F232" s="656">
        <v>0.65972222222222221</v>
      </c>
      <c r="G232" s="647"/>
      <c r="H232" s="648"/>
      <c r="I232" s="649"/>
      <c r="J232" s="650"/>
      <c r="K232" s="651"/>
      <c r="L232" s="652"/>
    </row>
    <row r="233" spans="1:12" ht="15.75" x14ac:dyDescent="0.25">
      <c r="A233" s="647" t="s">
        <v>961</v>
      </c>
      <c r="B233" s="648"/>
      <c r="C233" s="649"/>
      <c r="D233" s="650" t="s">
        <v>160</v>
      </c>
      <c r="E233" s="651"/>
      <c r="F233" s="653">
        <v>0.70138888888888884</v>
      </c>
      <c r="G233" s="647"/>
      <c r="H233" s="648"/>
      <c r="I233" s="649"/>
      <c r="J233" s="650"/>
      <c r="K233" s="651"/>
      <c r="L233" s="652"/>
    </row>
    <row r="234" spans="1:12" ht="15.75" x14ac:dyDescent="0.25">
      <c r="A234" s="647"/>
      <c r="B234" s="648"/>
      <c r="C234" s="649"/>
      <c r="D234" s="655" t="s">
        <v>962</v>
      </c>
      <c r="E234" s="651"/>
      <c r="F234" s="656">
        <v>0.70833333333333337</v>
      </c>
      <c r="G234" s="647"/>
      <c r="H234" s="648"/>
      <c r="I234" s="649"/>
      <c r="J234" s="650"/>
      <c r="K234" s="651"/>
      <c r="L234" s="652"/>
    </row>
    <row r="235" spans="1:12" ht="15.75" x14ac:dyDescent="0.25">
      <c r="A235" s="647"/>
      <c r="B235" s="648"/>
      <c r="C235" s="649"/>
      <c r="D235" s="655" t="s">
        <v>960</v>
      </c>
      <c r="E235" s="651"/>
      <c r="F235" s="656">
        <v>0.74305555555555558</v>
      </c>
      <c r="G235" s="647"/>
      <c r="H235" s="648"/>
      <c r="I235" s="649"/>
      <c r="J235" s="650"/>
      <c r="K235" s="651"/>
      <c r="L235" s="652"/>
    </row>
    <row r="236" spans="1:12" ht="15.75" x14ac:dyDescent="0.25">
      <c r="A236" s="647" t="s">
        <v>958</v>
      </c>
      <c r="B236" s="654"/>
      <c r="C236" s="649"/>
      <c r="D236" s="650" t="s">
        <v>163</v>
      </c>
      <c r="E236" s="657">
        <v>0.79513888888888884</v>
      </c>
      <c r="F236" s="653"/>
      <c r="G236" s="647"/>
      <c r="H236" s="648"/>
      <c r="I236" s="649"/>
      <c r="J236" s="650"/>
      <c r="K236" s="651"/>
      <c r="L236" s="652"/>
    </row>
    <row r="237" spans="1:12" ht="15.75" x14ac:dyDescent="0.25">
      <c r="A237" s="647"/>
      <c r="B237" s="648"/>
      <c r="C237" s="649"/>
      <c r="D237" s="650" t="s">
        <v>963</v>
      </c>
      <c r="E237" s="657">
        <v>0.81944444444444442</v>
      </c>
      <c r="F237" s="658"/>
      <c r="G237" s="647"/>
      <c r="H237" s="648"/>
      <c r="I237" s="649"/>
      <c r="J237" s="650"/>
      <c r="K237" s="651"/>
      <c r="L237" s="658"/>
    </row>
    <row r="238" spans="1:12" ht="15.75" x14ac:dyDescent="0.25">
      <c r="A238" s="647"/>
      <c r="B238" s="648" t="s">
        <v>462</v>
      </c>
      <c r="C238" s="649" t="s">
        <v>459</v>
      </c>
      <c r="D238" s="650"/>
      <c r="E238" s="657"/>
      <c r="F238" s="653"/>
      <c r="G238" s="647"/>
      <c r="H238" s="648"/>
      <c r="I238" s="649"/>
      <c r="J238" s="655"/>
      <c r="K238" s="651"/>
      <c r="L238" s="658"/>
    </row>
    <row r="239" spans="1:12" ht="15.75" x14ac:dyDescent="0.25">
      <c r="A239" s="647"/>
      <c r="B239" s="648"/>
      <c r="C239" s="649"/>
      <c r="D239" s="650"/>
      <c r="E239" s="657"/>
      <c r="F239" s="652"/>
      <c r="G239" s="647"/>
      <c r="H239" s="648"/>
      <c r="I239" s="649"/>
      <c r="J239" s="650"/>
      <c r="K239" s="651"/>
      <c r="L239" s="658"/>
    </row>
    <row r="240" spans="1:12" ht="16.5" thickBot="1" x14ac:dyDescent="0.3">
      <c r="A240" s="659"/>
      <c r="B240" s="660"/>
      <c r="C240" s="661"/>
      <c r="D240" s="662"/>
      <c r="E240" s="663"/>
      <c r="F240" s="664"/>
      <c r="G240" s="665"/>
      <c r="H240" s="666"/>
      <c r="I240" s="667"/>
      <c r="J240" s="668"/>
      <c r="K240" s="663"/>
      <c r="L240" s="669"/>
    </row>
    <row r="241" spans="1:12" ht="21" x14ac:dyDescent="0.35">
      <c r="A241" s="769" t="s">
        <v>945</v>
      </c>
      <c r="B241" s="770"/>
      <c r="C241" s="770"/>
      <c r="D241" s="770"/>
      <c r="E241" s="770"/>
      <c r="F241" s="770"/>
      <c r="G241" s="770"/>
      <c r="H241" s="770"/>
      <c r="I241" s="770"/>
      <c r="J241" s="770"/>
      <c r="K241" s="770"/>
      <c r="L241" s="771"/>
    </row>
    <row r="242" spans="1:12" ht="18.75" x14ac:dyDescent="0.3">
      <c r="A242" s="772" t="s">
        <v>946</v>
      </c>
      <c r="B242" s="773"/>
      <c r="C242" s="773"/>
      <c r="D242" s="773"/>
      <c r="E242" s="773"/>
      <c r="F242" s="773"/>
      <c r="G242" s="773"/>
      <c r="H242" s="773"/>
      <c r="I242" s="773"/>
      <c r="J242" s="773"/>
      <c r="K242" s="773"/>
      <c r="L242" s="774"/>
    </row>
    <row r="243" spans="1:12" ht="24" x14ac:dyDescent="0.4">
      <c r="A243" s="775" t="s">
        <v>947</v>
      </c>
      <c r="B243" s="776"/>
      <c r="C243" s="776"/>
      <c r="D243" s="776"/>
      <c r="E243" s="776"/>
      <c r="F243" s="776"/>
      <c r="G243" s="776"/>
      <c r="H243" s="776"/>
      <c r="I243" s="776"/>
      <c r="J243" s="776"/>
      <c r="K243" s="776"/>
      <c r="L243" s="777"/>
    </row>
    <row r="244" spans="1:12" ht="24" x14ac:dyDescent="0.4">
      <c r="A244" s="670" t="s">
        <v>1279</v>
      </c>
      <c r="B244" s="671"/>
      <c r="C244" s="671"/>
      <c r="D244" s="672" t="s">
        <v>949</v>
      </c>
      <c r="E244" s="778" t="s">
        <v>851</v>
      </c>
      <c r="F244" s="778"/>
      <c r="G244" s="778"/>
      <c r="H244" s="778"/>
      <c r="I244" s="778"/>
      <c r="J244" s="673" t="s">
        <v>1011</v>
      </c>
      <c r="K244" s="778"/>
      <c r="L244" s="779"/>
    </row>
    <row r="245" spans="1:12" ht="15.75" thickBot="1" x14ac:dyDescent="0.3">
      <c r="A245" s="674"/>
      <c r="B245" s="675"/>
      <c r="C245" s="675"/>
      <c r="D245" s="676"/>
      <c r="E245" s="675"/>
      <c r="F245" s="675"/>
      <c r="G245" s="675"/>
      <c r="H245" s="675"/>
      <c r="I245" s="780"/>
      <c r="J245" s="780"/>
      <c r="K245" s="675"/>
      <c r="L245" s="677"/>
    </row>
    <row r="246" spans="1:12" ht="16.5" thickBot="1" x14ac:dyDescent="0.3">
      <c r="A246" s="631" t="s">
        <v>952</v>
      </c>
      <c r="B246" s="632"/>
      <c r="C246" s="633"/>
      <c r="D246" s="634" t="s">
        <v>953</v>
      </c>
      <c r="E246" s="631" t="s">
        <v>954</v>
      </c>
      <c r="F246" s="635" t="s">
        <v>955</v>
      </c>
      <c r="G246" s="631" t="s">
        <v>952</v>
      </c>
      <c r="H246" s="632"/>
      <c r="I246" s="633"/>
      <c r="J246" s="634" t="s">
        <v>953</v>
      </c>
      <c r="K246" s="631" t="s">
        <v>954</v>
      </c>
      <c r="L246" s="631" t="s">
        <v>955</v>
      </c>
    </row>
    <row r="247" spans="1:12" ht="15.75" x14ac:dyDescent="0.25">
      <c r="A247" s="636"/>
      <c r="B247" s="637"/>
      <c r="C247" s="638"/>
      <c r="D247" s="639"/>
      <c r="E247" s="640"/>
      <c r="F247" s="641"/>
      <c r="G247" s="636"/>
      <c r="H247" s="642"/>
      <c r="I247" s="643"/>
      <c r="J247" s="644"/>
      <c r="K247" s="645"/>
      <c r="L247" s="646"/>
    </row>
    <row r="248" spans="1:12" ht="15.75" x14ac:dyDescent="0.25">
      <c r="A248" s="647"/>
      <c r="B248" s="648" t="s">
        <v>459</v>
      </c>
      <c r="C248" s="649">
        <v>7</v>
      </c>
      <c r="D248" s="650" t="s">
        <v>1211</v>
      </c>
      <c r="E248" s="651"/>
      <c r="F248" s="652"/>
      <c r="G248" s="647"/>
      <c r="H248" s="648"/>
      <c r="I248" s="649"/>
      <c r="J248" s="650"/>
      <c r="K248" s="651"/>
      <c r="L248" s="653"/>
    </row>
    <row r="249" spans="1:12" ht="15.75" x14ac:dyDescent="0.25">
      <c r="A249" s="647" t="s">
        <v>958</v>
      </c>
      <c r="B249" s="654"/>
      <c r="C249" s="649"/>
      <c r="D249" s="655" t="s">
        <v>959</v>
      </c>
      <c r="E249" s="651"/>
      <c r="F249" s="656">
        <v>0.27777777777777779</v>
      </c>
      <c r="G249" s="647"/>
      <c r="H249" s="648"/>
      <c r="I249" s="649"/>
      <c r="J249" s="655"/>
      <c r="K249" s="651"/>
      <c r="L249" s="656"/>
    </row>
    <row r="250" spans="1:12" ht="15.75" x14ac:dyDescent="0.25">
      <c r="A250" s="647" t="s">
        <v>961</v>
      </c>
      <c r="B250" s="648"/>
      <c r="C250" s="649"/>
      <c r="D250" s="650" t="s">
        <v>160</v>
      </c>
      <c r="E250" s="651"/>
      <c r="F250" s="653">
        <v>0.3125</v>
      </c>
      <c r="G250" s="647"/>
      <c r="H250" s="654"/>
      <c r="I250" s="649"/>
      <c r="J250" s="650"/>
      <c r="K250" s="651"/>
      <c r="L250" s="653"/>
    </row>
    <row r="251" spans="1:12" ht="15.75" x14ac:dyDescent="0.25">
      <c r="A251" s="647"/>
      <c r="B251" s="648"/>
      <c r="C251" s="649"/>
      <c r="D251" s="655" t="s">
        <v>962</v>
      </c>
      <c r="E251" s="651"/>
      <c r="F251" s="656">
        <v>0.31944444444444442</v>
      </c>
      <c r="G251" s="647"/>
      <c r="H251" s="648"/>
      <c r="I251" s="649"/>
      <c r="J251" s="655"/>
      <c r="K251" s="651"/>
      <c r="L251" s="656"/>
    </row>
    <row r="252" spans="1:12" ht="15.75" x14ac:dyDescent="0.25">
      <c r="A252" s="647"/>
      <c r="B252" s="648"/>
      <c r="C252" s="649"/>
      <c r="D252" s="655" t="s">
        <v>960</v>
      </c>
      <c r="E252" s="651"/>
      <c r="F252" s="656">
        <v>0.34722222222222221</v>
      </c>
      <c r="G252" s="647"/>
      <c r="H252" s="648"/>
      <c r="I252" s="649"/>
      <c r="J252" s="655"/>
      <c r="K252" s="651"/>
      <c r="L252" s="656"/>
    </row>
    <row r="253" spans="1:12" ht="15.75" x14ac:dyDescent="0.25">
      <c r="A253" s="647" t="s">
        <v>961</v>
      </c>
      <c r="B253" s="654"/>
      <c r="C253" s="649"/>
      <c r="D253" s="650" t="s">
        <v>163</v>
      </c>
      <c r="E253" s="651"/>
      <c r="F253" s="653">
        <v>0.3923611111111111</v>
      </c>
      <c r="G253" s="647"/>
      <c r="H253" s="648"/>
      <c r="I253" s="649"/>
      <c r="J253" s="650"/>
      <c r="K253" s="651"/>
      <c r="L253" s="653"/>
    </row>
    <row r="254" spans="1:12" ht="15.75" x14ac:dyDescent="0.25">
      <c r="A254" s="647"/>
      <c r="B254" s="648"/>
      <c r="C254" s="649"/>
      <c r="D254" s="655" t="s">
        <v>164</v>
      </c>
      <c r="E254" s="651"/>
      <c r="F254" s="656">
        <v>0.41666666666666669</v>
      </c>
      <c r="G254" s="647"/>
      <c r="H254" s="648"/>
      <c r="I254" s="649"/>
      <c r="J254" s="655"/>
      <c r="K254" s="651"/>
      <c r="L254" s="656"/>
    </row>
    <row r="255" spans="1:12" ht="15.75" x14ac:dyDescent="0.25">
      <c r="A255" s="647"/>
      <c r="B255" s="648"/>
      <c r="C255" s="649"/>
      <c r="D255" s="655" t="s">
        <v>166</v>
      </c>
      <c r="E255" s="657">
        <v>0.43055555555555558</v>
      </c>
      <c r="F255" s="656"/>
      <c r="G255" s="647"/>
      <c r="H255" s="648"/>
      <c r="I255" s="649"/>
      <c r="J255" s="655"/>
      <c r="K255" s="657"/>
      <c r="L255" s="656"/>
    </row>
    <row r="256" spans="1:12" ht="15.75" x14ac:dyDescent="0.25">
      <c r="A256" s="647"/>
      <c r="B256" s="648" t="s">
        <v>459</v>
      </c>
      <c r="C256" s="649">
        <v>7</v>
      </c>
      <c r="D256" s="650" t="s">
        <v>1459</v>
      </c>
      <c r="E256" s="651"/>
      <c r="F256" s="658"/>
      <c r="G256" s="647"/>
      <c r="H256" s="648"/>
      <c r="I256" s="649"/>
      <c r="J256" s="650"/>
      <c r="K256" s="651"/>
      <c r="L256" s="658"/>
    </row>
    <row r="257" spans="1:12" ht="15.75" x14ac:dyDescent="0.25">
      <c r="A257" s="647"/>
      <c r="B257" s="648"/>
      <c r="C257" s="649"/>
      <c r="D257" s="650"/>
      <c r="E257" s="651"/>
      <c r="F257" s="656"/>
      <c r="G257" s="647"/>
      <c r="H257" s="648"/>
      <c r="I257" s="649"/>
      <c r="J257" s="650"/>
      <c r="K257" s="651"/>
      <c r="L257" s="656"/>
    </row>
    <row r="258" spans="1:12" ht="15.75" x14ac:dyDescent="0.25">
      <c r="A258" s="647"/>
      <c r="B258" s="648" t="s">
        <v>459</v>
      </c>
      <c r="C258" s="649">
        <v>5</v>
      </c>
      <c r="D258" s="650" t="s">
        <v>1460</v>
      </c>
      <c r="E258" s="651"/>
      <c r="F258" s="653"/>
      <c r="G258" s="647"/>
      <c r="H258" s="648"/>
      <c r="I258" s="649"/>
      <c r="J258" s="650"/>
      <c r="K258" s="651"/>
      <c r="L258" s="653"/>
    </row>
    <row r="259" spans="1:12" ht="15.75" x14ac:dyDescent="0.25">
      <c r="A259" s="647"/>
      <c r="B259" s="648"/>
      <c r="C259" s="649"/>
      <c r="D259" s="655" t="s">
        <v>166</v>
      </c>
      <c r="E259" s="651"/>
      <c r="F259" s="656">
        <v>0.43055555555555558</v>
      </c>
      <c r="G259" s="647"/>
      <c r="H259" s="648"/>
      <c r="I259" s="649"/>
      <c r="J259" s="655"/>
      <c r="K259" s="651"/>
      <c r="L259" s="656"/>
    </row>
    <row r="260" spans="1:12" ht="15.75" x14ac:dyDescent="0.25">
      <c r="A260" s="647" t="s">
        <v>961</v>
      </c>
      <c r="B260" s="648"/>
      <c r="C260" s="649"/>
      <c r="D260" s="650" t="s">
        <v>160</v>
      </c>
      <c r="E260" s="651"/>
      <c r="F260" s="653">
        <v>0.47222222222222221</v>
      </c>
      <c r="G260" s="647"/>
      <c r="H260" s="654"/>
      <c r="I260" s="649"/>
      <c r="J260" s="650"/>
      <c r="K260" s="651"/>
      <c r="L260" s="653"/>
    </row>
    <row r="261" spans="1:12" ht="15.75" x14ac:dyDescent="0.25">
      <c r="A261" s="647"/>
      <c r="B261" s="648"/>
      <c r="C261" s="649"/>
      <c r="D261" s="655" t="s">
        <v>962</v>
      </c>
      <c r="E261" s="651"/>
      <c r="F261" s="656">
        <v>0.47916666666666669</v>
      </c>
      <c r="G261" s="647"/>
      <c r="H261" s="648"/>
      <c r="I261" s="649"/>
      <c r="J261" s="655"/>
      <c r="K261" s="651"/>
      <c r="L261" s="656"/>
    </row>
    <row r="262" spans="1:12" ht="15.75" x14ac:dyDescent="0.25">
      <c r="A262" s="647"/>
      <c r="B262" s="648"/>
      <c r="C262" s="649"/>
      <c r="D262" s="655" t="s">
        <v>960</v>
      </c>
      <c r="E262" s="651"/>
      <c r="F262" s="656">
        <v>0.51388888888888884</v>
      </c>
      <c r="G262" s="647"/>
      <c r="H262" s="648"/>
      <c r="I262" s="649"/>
      <c r="J262" s="655"/>
      <c r="K262" s="651"/>
      <c r="L262" s="656"/>
    </row>
    <row r="263" spans="1:12" ht="15.75" x14ac:dyDescent="0.25">
      <c r="A263" s="647" t="s">
        <v>961</v>
      </c>
      <c r="B263" s="654"/>
      <c r="C263" s="649"/>
      <c r="D263" s="650" t="s">
        <v>163</v>
      </c>
      <c r="E263" s="651"/>
      <c r="F263" s="653">
        <v>0.56597222222222221</v>
      </c>
      <c r="G263" s="647"/>
      <c r="H263" s="648"/>
      <c r="I263" s="649"/>
      <c r="J263" s="650"/>
      <c r="K263" s="651"/>
      <c r="L263" s="653"/>
    </row>
    <row r="264" spans="1:12" ht="15.75" x14ac:dyDescent="0.25">
      <c r="A264" s="647"/>
      <c r="B264" s="648"/>
      <c r="C264" s="649"/>
      <c r="D264" s="655" t="s">
        <v>164</v>
      </c>
      <c r="E264" s="651"/>
      <c r="F264" s="656">
        <v>0.59375</v>
      </c>
      <c r="G264" s="647"/>
      <c r="H264" s="648"/>
      <c r="I264" s="649"/>
      <c r="J264" s="655"/>
      <c r="K264" s="651"/>
      <c r="L264" s="656"/>
    </row>
    <row r="265" spans="1:12" ht="15.75" x14ac:dyDescent="0.25">
      <c r="A265" s="647"/>
      <c r="B265" s="648"/>
      <c r="C265" s="649"/>
      <c r="D265" s="655" t="s">
        <v>166</v>
      </c>
      <c r="E265" s="657">
        <v>0.60763888888888884</v>
      </c>
      <c r="F265" s="656"/>
      <c r="G265" s="647"/>
      <c r="H265" s="648"/>
      <c r="I265" s="649"/>
      <c r="J265" s="655"/>
      <c r="K265" s="651"/>
      <c r="L265" s="656"/>
    </row>
    <row r="266" spans="1:12" ht="15.75" x14ac:dyDescent="0.25">
      <c r="A266" s="647"/>
      <c r="B266" s="648" t="s">
        <v>462</v>
      </c>
      <c r="C266" s="649" t="s">
        <v>459</v>
      </c>
      <c r="D266" s="650"/>
      <c r="E266" s="651"/>
      <c r="F266" s="658"/>
      <c r="G266" s="647"/>
      <c r="H266" s="654"/>
      <c r="I266" s="649"/>
      <c r="J266" s="650"/>
      <c r="K266" s="657"/>
      <c r="L266" s="653"/>
    </row>
    <row r="267" spans="1:12" ht="15.75" x14ac:dyDescent="0.25">
      <c r="A267" s="647"/>
      <c r="B267" s="648"/>
      <c r="C267" s="649"/>
      <c r="D267" s="650"/>
      <c r="E267" s="651"/>
      <c r="F267" s="656"/>
      <c r="G267" s="647"/>
      <c r="H267" s="648"/>
      <c r="I267" s="649"/>
      <c r="J267" s="650"/>
      <c r="K267" s="657"/>
      <c r="L267" s="656"/>
    </row>
    <row r="268" spans="1:12" ht="15.75" x14ac:dyDescent="0.25">
      <c r="A268" s="647"/>
      <c r="B268" s="648" t="s">
        <v>459</v>
      </c>
      <c r="C268" s="649">
        <v>205</v>
      </c>
      <c r="D268" s="650" t="s">
        <v>993</v>
      </c>
      <c r="E268" s="651"/>
      <c r="F268" s="653"/>
      <c r="G268" s="647"/>
      <c r="H268" s="648"/>
      <c r="I268" s="649"/>
      <c r="J268" s="650"/>
      <c r="K268" s="657"/>
      <c r="L268" s="653"/>
    </row>
    <row r="269" spans="1:12" ht="15.75" x14ac:dyDescent="0.25">
      <c r="A269" s="647"/>
      <c r="B269" s="648"/>
      <c r="C269" s="649"/>
      <c r="D269" s="655" t="s">
        <v>166</v>
      </c>
      <c r="E269" s="651"/>
      <c r="F269" s="656">
        <v>0.60763888888888884</v>
      </c>
      <c r="G269" s="647"/>
      <c r="H269" s="648"/>
      <c r="I269" s="649"/>
      <c r="J269" s="650"/>
      <c r="K269" s="657"/>
      <c r="L269" s="653"/>
    </row>
    <row r="270" spans="1:12" ht="15.75" x14ac:dyDescent="0.25">
      <c r="A270" s="647" t="s">
        <v>961</v>
      </c>
      <c r="B270" s="648"/>
      <c r="C270" s="649"/>
      <c r="D270" s="650" t="s">
        <v>160</v>
      </c>
      <c r="E270" s="651"/>
      <c r="F270" s="653">
        <v>0.64930555555555558</v>
      </c>
      <c r="G270" s="647"/>
      <c r="H270" s="648"/>
      <c r="I270" s="649"/>
      <c r="J270" s="650"/>
      <c r="K270" s="651"/>
      <c r="L270" s="652"/>
    </row>
    <row r="271" spans="1:12" ht="15.75" x14ac:dyDescent="0.25">
      <c r="A271" s="647"/>
      <c r="B271" s="648"/>
      <c r="C271" s="649"/>
      <c r="D271" s="655" t="s">
        <v>962</v>
      </c>
      <c r="E271" s="651"/>
      <c r="F271" s="656">
        <v>0.65625</v>
      </c>
      <c r="G271" s="647"/>
      <c r="H271" s="648"/>
      <c r="I271" s="649"/>
      <c r="J271" s="650"/>
      <c r="K271" s="651"/>
      <c r="L271" s="652"/>
    </row>
    <row r="272" spans="1:12" ht="15.75" x14ac:dyDescent="0.25">
      <c r="A272" s="647"/>
      <c r="B272" s="648"/>
      <c r="C272" s="649"/>
      <c r="D272" s="655" t="s">
        <v>960</v>
      </c>
      <c r="E272" s="651"/>
      <c r="F272" s="656">
        <v>0.68402777777777779</v>
      </c>
      <c r="G272" s="647"/>
      <c r="H272" s="648"/>
      <c r="I272" s="649"/>
      <c r="J272" s="650"/>
      <c r="K272" s="651"/>
      <c r="L272" s="652"/>
    </row>
    <row r="273" spans="1:12" ht="15.75" x14ac:dyDescent="0.25">
      <c r="A273" s="647" t="s">
        <v>958</v>
      </c>
      <c r="B273" s="654"/>
      <c r="C273" s="649"/>
      <c r="D273" s="650" t="s">
        <v>163</v>
      </c>
      <c r="E273" s="657">
        <v>0.73541666666666672</v>
      </c>
      <c r="F273" s="653"/>
      <c r="G273" s="647"/>
      <c r="H273" s="648"/>
      <c r="I273" s="649"/>
      <c r="J273" s="650"/>
      <c r="K273" s="651"/>
      <c r="L273" s="652"/>
    </row>
    <row r="274" spans="1:12" ht="15.75" x14ac:dyDescent="0.25">
      <c r="A274" s="647"/>
      <c r="B274" s="648"/>
      <c r="C274" s="649"/>
      <c r="D274" s="650" t="s">
        <v>963</v>
      </c>
      <c r="E274" s="657">
        <v>0.7631944444444444</v>
      </c>
      <c r="F274" s="658"/>
      <c r="G274" s="647"/>
      <c r="H274" s="648"/>
      <c r="I274" s="649"/>
      <c r="J274" s="650"/>
      <c r="K274" s="651"/>
      <c r="L274" s="652"/>
    </row>
    <row r="275" spans="1:12" ht="15.75" x14ac:dyDescent="0.25">
      <c r="A275" s="647"/>
      <c r="B275" s="648" t="s">
        <v>462</v>
      </c>
      <c r="C275" s="649" t="s">
        <v>459</v>
      </c>
      <c r="D275" s="650"/>
      <c r="E275" s="657"/>
      <c r="F275" s="653"/>
      <c r="G275" s="647"/>
      <c r="H275" s="648"/>
      <c r="I275" s="649"/>
      <c r="J275" s="650"/>
      <c r="K275" s="651"/>
      <c r="L275" s="652"/>
    </row>
    <row r="276" spans="1:12" ht="15.75" x14ac:dyDescent="0.25">
      <c r="A276" s="647"/>
      <c r="B276" s="648"/>
      <c r="C276" s="649"/>
      <c r="D276" s="650"/>
      <c r="E276" s="657"/>
      <c r="F276" s="652"/>
      <c r="G276" s="647"/>
      <c r="H276" s="648"/>
      <c r="I276" s="649"/>
      <c r="J276" s="650"/>
      <c r="K276" s="651"/>
      <c r="L276" s="652"/>
    </row>
    <row r="277" spans="1:12" ht="15.75" x14ac:dyDescent="0.25">
      <c r="A277" s="647"/>
      <c r="B277" s="648"/>
      <c r="C277" s="649"/>
      <c r="D277" s="650"/>
      <c r="E277" s="657"/>
      <c r="F277" s="658"/>
      <c r="G277" s="647"/>
      <c r="H277" s="648"/>
      <c r="I277" s="649"/>
      <c r="J277" s="650"/>
      <c r="K277" s="651"/>
      <c r="L277" s="658"/>
    </row>
    <row r="278" spans="1:12" ht="15.75" x14ac:dyDescent="0.25">
      <c r="A278" s="647"/>
      <c r="B278" s="648"/>
      <c r="C278" s="649"/>
      <c r="D278" s="650"/>
      <c r="E278" s="657"/>
      <c r="F278" s="653"/>
      <c r="G278" s="647"/>
      <c r="H278" s="648"/>
      <c r="I278" s="649"/>
      <c r="J278" s="655"/>
      <c r="K278" s="651"/>
      <c r="L278" s="658"/>
    </row>
    <row r="279" spans="1:12" ht="15.75" x14ac:dyDescent="0.25">
      <c r="A279" s="647"/>
      <c r="B279" s="648"/>
      <c r="C279" s="649"/>
      <c r="D279" s="650"/>
      <c r="E279" s="657"/>
      <c r="F279" s="652"/>
      <c r="G279" s="647"/>
      <c r="H279" s="648"/>
      <c r="I279" s="649"/>
      <c r="J279" s="650"/>
      <c r="K279" s="651"/>
      <c r="L279" s="658"/>
    </row>
    <row r="280" spans="1:12" ht="16.5" thickBot="1" x14ac:dyDescent="0.3">
      <c r="A280" s="659"/>
      <c r="B280" s="660"/>
      <c r="C280" s="661"/>
      <c r="D280" s="662"/>
      <c r="E280" s="663"/>
      <c r="F280" s="664"/>
      <c r="G280" s="665"/>
      <c r="H280" s="666"/>
      <c r="I280" s="667"/>
      <c r="J280" s="668"/>
      <c r="K280" s="663"/>
      <c r="L280" s="669"/>
    </row>
    <row r="281" spans="1:12" ht="21" x14ac:dyDescent="0.35">
      <c r="A281" s="769" t="s">
        <v>945</v>
      </c>
      <c r="B281" s="770"/>
      <c r="C281" s="770"/>
      <c r="D281" s="770"/>
      <c r="E281" s="770"/>
      <c r="F281" s="770"/>
      <c r="G281" s="770"/>
      <c r="H281" s="770"/>
      <c r="I281" s="770"/>
      <c r="J281" s="770"/>
      <c r="K281" s="770"/>
      <c r="L281" s="771"/>
    </row>
    <row r="282" spans="1:12" ht="18.75" x14ac:dyDescent="0.3">
      <c r="A282" s="772" t="s">
        <v>946</v>
      </c>
      <c r="B282" s="773"/>
      <c r="C282" s="773"/>
      <c r="D282" s="773"/>
      <c r="E282" s="773"/>
      <c r="F282" s="773"/>
      <c r="G282" s="773"/>
      <c r="H282" s="773"/>
      <c r="I282" s="773"/>
      <c r="J282" s="773"/>
      <c r="K282" s="773"/>
      <c r="L282" s="774"/>
    </row>
    <row r="283" spans="1:12" ht="24" x14ac:dyDescent="0.4">
      <c r="A283" s="775" t="s">
        <v>947</v>
      </c>
      <c r="B283" s="776"/>
      <c r="C283" s="776"/>
      <c r="D283" s="776"/>
      <c r="E283" s="776"/>
      <c r="F283" s="776"/>
      <c r="G283" s="776"/>
      <c r="H283" s="776"/>
      <c r="I283" s="776"/>
      <c r="J283" s="776"/>
      <c r="K283" s="776"/>
      <c r="L283" s="777"/>
    </row>
    <row r="284" spans="1:12" ht="24" x14ac:dyDescent="0.4">
      <c r="A284" s="670" t="s">
        <v>1279</v>
      </c>
      <c r="B284" s="671"/>
      <c r="C284" s="671"/>
      <c r="D284" s="672" t="s">
        <v>949</v>
      </c>
      <c r="E284" s="778" t="s">
        <v>851</v>
      </c>
      <c r="F284" s="778"/>
      <c r="G284" s="778"/>
      <c r="H284" s="778"/>
      <c r="I284" s="778"/>
      <c r="J284" s="673" t="s">
        <v>1022</v>
      </c>
      <c r="K284" s="778"/>
      <c r="L284" s="779"/>
    </row>
    <row r="285" spans="1:12" ht="15.75" thickBot="1" x14ac:dyDescent="0.3">
      <c r="A285" s="674"/>
      <c r="B285" s="675"/>
      <c r="C285" s="675"/>
      <c r="D285" s="676"/>
      <c r="E285" s="675"/>
      <c r="F285" s="675"/>
      <c r="G285" s="675"/>
      <c r="H285" s="675"/>
      <c r="I285" s="780"/>
      <c r="J285" s="780"/>
      <c r="K285" s="675"/>
      <c r="L285" s="677"/>
    </row>
    <row r="286" spans="1:12" ht="16.5" thickBot="1" x14ac:dyDescent="0.3">
      <c r="A286" s="631" t="s">
        <v>952</v>
      </c>
      <c r="B286" s="632"/>
      <c r="C286" s="633"/>
      <c r="D286" s="634" t="s">
        <v>953</v>
      </c>
      <c r="E286" s="631" t="s">
        <v>954</v>
      </c>
      <c r="F286" s="635" t="s">
        <v>955</v>
      </c>
      <c r="G286" s="631" t="s">
        <v>952</v>
      </c>
      <c r="H286" s="632"/>
      <c r="I286" s="633"/>
      <c r="J286" s="634" t="s">
        <v>953</v>
      </c>
      <c r="K286" s="631" t="s">
        <v>954</v>
      </c>
      <c r="L286" s="631" t="s">
        <v>955</v>
      </c>
    </row>
    <row r="287" spans="1:12" ht="15.75" x14ac:dyDescent="0.25">
      <c r="A287" s="636"/>
      <c r="B287" s="637"/>
      <c r="C287" s="638"/>
      <c r="D287" s="639"/>
      <c r="E287" s="640"/>
      <c r="F287" s="641"/>
      <c r="G287" s="636"/>
      <c r="H287" s="642"/>
      <c r="I287" s="643"/>
      <c r="J287" s="644"/>
      <c r="K287" s="645"/>
      <c r="L287" s="646"/>
    </row>
    <row r="288" spans="1:12" ht="15.75" x14ac:dyDescent="0.25">
      <c r="A288" s="647"/>
      <c r="B288" s="648" t="s">
        <v>459</v>
      </c>
      <c r="C288" s="649">
        <v>8</v>
      </c>
      <c r="D288" s="650" t="s">
        <v>1224</v>
      </c>
      <c r="E288" s="651"/>
      <c r="F288" s="652"/>
      <c r="G288" s="647"/>
      <c r="H288" s="648" t="s">
        <v>459</v>
      </c>
      <c r="I288" s="649">
        <v>31</v>
      </c>
      <c r="J288" s="650" t="s">
        <v>1023</v>
      </c>
      <c r="K288" s="651"/>
      <c r="L288" s="653"/>
    </row>
    <row r="289" spans="1:12" ht="15.75" x14ac:dyDescent="0.25">
      <c r="A289" s="647" t="s">
        <v>958</v>
      </c>
      <c r="B289" s="654"/>
      <c r="C289" s="649"/>
      <c r="D289" s="655" t="s">
        <v>959</v>
      </c>
      <c r="E289" s="651"/>
      <c r="F289" s="656">
        <v>0.28472222222222221</v>
      </c>
      <c r="G289" s="647"/>
      <c r="H289" s="648"/>
      <c r="I289" s="649"/>
      <c r="J289" s="655" t="s">
        <v>166</v>
      </c>
      <c r="K289" s="651"/>
      <c r="L289" s="656">
        <v>0.68055555555555558</v>
      </c>
    </row>
    <row r="290" spans="1:12" ht="15.75" x14ac:dyDescent="0.25">
      <c r="A290" s="647" t="s">
        <v>961</v>
      </c>
      <c r="B290" s="654"/>
      <c r="C290" s="649"/>
      <c r="D290" s="650" t="s">
        <v>163</v>
      </c>
      <c r="E290" s="651"/>
      <c r="F290" s="653">
        <v>0.3125</v>
      </c>
      <c r="G290" s="647" t="s">
        <v>961</v>
      </c>
      <c r="H290" s="648"/>
      <c r="I290" s="649"/>
      <c r="J290" s="650" t="s">
        <v>160</v>
      </c>
      <c r="K290" s="651"/>
      <c r="L290" s="653">
        <v>0.72222222222222221</v>
      </c>
    </row>
    <row r="291" spans="1:12" ht="15.75" x14ac:dyDescent="0.25">
      <c r="A291" s="647"/>
      <c r="B291" s="648"/>
      <c r="C291" s="649"/>
      <c r="D291" s="655" t="s">
        <v>164</v>
      </c>
      <c r="E291" s="651"/>
      <c r="F291" s="656">
        <v>0.33333333333333331</v>
      </c>
      <c r="G291" s="647"/>
      <c r="H291" s="648"/>
      <c r="I291" s="649"/>
      <c r="J291" s="655" t="s">
        <v>962</v>
      </c>
      <c r="K291" s="651"/>
      <c r="L291" s="656">
        <v>0.72916666666666663</v>
      </c>
    </row>
    <row r="292" spans="1:12" ht="15.75" x14ac:dyDescent="0.25">
      <c r="A292" s="647"/>
      <c r="B292" s="648"/>
      <c r="C292" s="649"/>
      <c r="D292" s="655" t="s">
        <v>166</v>
      </c>
      <c r="E292" s="651"/>
      <c r="F292" s="656">
        <v>0.34722222222222221</v>
      </c>
      <c r="G292" s="647"/>
      <c r="H292" s="648"/>
      <c r="I292" s="649"/>
      <c r="J292" s="655" t="s">
        <v>960</v>
      </c>
      <c r="K292" s="651"/>
      <c r="L292" s="656">
        <v>0.76041666666666663</v>
      </c>
    </row>
    <row r="293" spans="1:12" ht="15.75" x14ac:dyDescent="0.25">
      <c r="A293" s="647" t="s">
        <v>961</v>
      </c>
      <c r="B293" s="648"/>
      <c r="C293" s="649"/>
      <c r="D293" s="650" t="s">
        <v>160</v>
      </c>
      <c r="E293" s="651"/>
      <c r="F293" s="653">
        <v>0.38194444444444442</v>
      </c>
      <c r="G293" s="647" t="s">
        <v>961</v>
      </c>
      <c r="H293" s="654"/>
      <c r="I293" s="649"/>
      <c r="J293" s="650" t="s">
        <v>163</v>
      </c>
      <c r="K293" s="651"/>
      <c r="L293" s="653">
        <v>0.80902777777777779</v>
      </c>
    </row>
    <row r="294" spans="1:12" ht="15.75" x14ac:dyDescent="0.25">
      <c r="A294" s="647"/>
      <c r="B294" s="648"/>
      <c r="C294" s="649"/>
      <c r="D294" s="655" t="s">
        <v>962</v>
      </c>
      <c r="E294" s="651"/>
      <c r="F294" s="656">
        <v>0.3888888888888889</v>
      </c>
      <c r="G294" s="647"/>
      <c r="H294" s="648"/>
      <c r="I294" s="649"/>
      <c r="J294" s="655" t="s">
        <v>164</v>
      </c>
      <c r="K294" s="651"/>
      <c r="L294" s="656">
        <v>0.83333333333333337</v>
      </c>
    </row>
    <row r="295" spans="1:12" ht="15.75" x14ac:dyDescent="0.25">
      <c r="A295" s="647"/>
      <c r="B295" s="648"/>
      <c r="C295" s="649"/>
      <c r="D295" s="655" t="s">
        <v>960</v>
      </c>
      <c r="E295" s="651"/>
      <c r="F295" s="656">
        <v>0.41666666666666669</v>
      </c>
      <c r="G295" s="647"/>
      <c r="H295" s="648"/>
      <c r="I295" s="649"/>
      <c r="J295" s="655" t="s">
        <v>166</v>
      </c>
      <c r="K295" s="657">
        <v>0.85069444444444442</v>
      </c>
      <c r="L295" s="656"/>
    </row>
    <row r="296" spans="1:12" ht="15.75" x14ac:dyDescent="0.25">
      <c r="A296" s="647" t="s">
        <v>961</v>
      </c>
      <c r="B296" s="654"/>
      <c r="C296" s="649"/>
      <c r="D296" s="650" t="s">
        <v>163</v>
      </c>
      <c r="E296" s="651"/>
      <c r="F296" s="653">
        <v>0.46180555555555558</v>
      </c>
      <c r="G296" s="647"/>
      <c r="H296" s="648" t="s">
        <v>459</v>
      </c>
      <c r="I296" s="649">
        <v>31</v>
      </c>
      <c r="J296" s="650" t="s">
        <v>1461</v>
      </c>
      <c r="K296" s="651"/>
      <c r="L296" s="658"/>
    </row>
    <row r="297" spans="1:12" ht="15.75" x14ac:dyDescent="0.25">
      <c r="A297" s="647"/>
      <c r="B297" s="648"/>
      <c r="C297" s="649"/>
      <c r="D297" s="655" t="s">
        <v>164</v>
      </c>
      <c r="E297" s="651"/>
      <c r="F297" s="656">
        <v>0.48958333333333331</v>
      </c>
      <c r="G297" s="647"/>
      <c r="H297" s="648"/>
      <c r="I297" s="649"/>
      <c r="J297" s="650"/>
      <c r="K297" s="651"/>
      <c r="L297" s="656"/>
    </row>
    <row r="298" spans="1:12" ht="15.75" x14ac:dyDescent="0.25">
      <c r="A298" s="647"/>
      <c r="B298" s="648"/>
      <c r="C298" s="649"/>
      <c r="D298" s="655" t="s">
        <v>166</v>
      </c>
      <c r="E298" s="657">
        <v>0.50347222222222221</v>
      </c>
      <c r="F298" s="656"/>
      <c r="G298" s="647"/>
      <c r="H298" s="648" t="s">
        <v>459</v>
      </c>
      <c r="I298" s="649">
        <v>32</v>
      </c>
      <c r="J298" s="650" t="s">
        <v>1462</v>
      </c>
      <c r="K298" s="651"/>
      <c r="L298" s="653"/>
    </row>
    <row r="299" spans="1:12" ht="15.75" x14ac:dyDescent="0.25">
      <c r="A299" s="647"/>
      <c r="B299" s="648" t="s">
        <v>462</v>
      </c>
      <c r="C299" s="649" t="s">
        <v>459</v>
      </c>
      <c r="D299" s="650"/>
      <c r="E299" s="651"/>
      <c r="F299" s="658"/>
      <c r="G299" s="647"/>
      <c r="H299" s="648"/>
      <c r="I299" s="649"/>
      <c r="J299" s="655" t="s">
        <v>166</v>
      </c>
      <c r="K299" s="651"/>
      <c r="L299" s="656">
        <v>0.85069444444444442</v>
      </c>
    </row>
    <row r="300" spans="1:12" ht="15.75" x14ac:dyDescent="0.25">
      <c r="A300" s="647"/>
      <c r="B300" s="648"/>
      <c r="C300" s="649"/>
      <c r="D300" s="650"/>
      <c r="E300" s="651"/>
      <c r="F300" s="656"/>
      <c r="G300" s="647" t="s">
        <v>961</v>
      </c>
      <c r="H300" s="648"/>
      <c r="I300" s="649"/>
      <c r="J300" s="650" t="s">
        <v>160</v>
      </c>
      <c r="K300" s="651"/>
      <c r="L300" s="653">
        <v>0.88194444444444442</v>
      </c>
    </row>
    <row r="301" spans="1:12" ht="15.75" x14ac:dyDescent="0.25">
      <c r="A301" s="647"/>
      <c r="B301" s="648" t="s">
        <v>459</v>
      </c>
      <c r="C301" s="649">
        <v>19</v>
      </c>
      <c r="D301" s="650" t="s">
        <v>1463</v>
      </c>
      <c r="E301" s="651"/>
      <c r="F301" s="653"/>
      <c r="G301" s="647"/>
      <c r="H301" s="648"/>
      <c r="I301" s="649"/>
      <c r="J301" s="655" t="s">
        <v>962</v>
      </c>
      <c r="K301" s="651"/>
      <c r="L301" s="656">
        <v>0.88888888888888884</v>
      </c>
    </row>
    <row r="302" spans="1:12" ht="15.75" x14ac:dyDescent="0.25">
      <c r="A302" s="647"/>
      <c r="B302" s="648"/>
      <c r="C302" s="649"/>
      <c r="D302" s="655" t="s">
        <v>166</v>
      </c>
      <c r="E302" s="651"/>
      <c r="F302" s="656">
        <v>0.50347222222222221</v>
      </c>
      <c r="G302" s="647"/>
      <c r="H302" s="648"/>
      <c r="I302" s="649"/>
      <c r="J302" s="655" t="s">
        <v>960</v>
      </c>
      <c r="K302" s="651"/>
      <c r="L302" s="656">
        <v>0.91319444444444442</v>
      </c>
    </row>
    <row r="303" spans="1:12" ht="15.75" x14ac:dyDescent="0.25">
      <c r="A303" s="647" t="s">
        <v>961</v>
      </c>
      <c r="B303" s="648"/>
      <c r="C303" s="649"/>
      <c r="D303" s="650" t="s">
        <v>160</v>
      </c>
      <c r="E303" s="651"/>
      <c r="F303" s="653">
        <v>0.54513888888888884</v>
      </c>
      <c r="G303" s="647" t="s">
        <v>961</v>
      </c>
      <c r="H303" s="654"/>
      <c r="I303" s="649"/>
      <c r="J303" s="650" t="s">
        <v>163</v>
      </c>
      <c r="K303" s="651"/>
      <c r="L303" s="653">
        <v>0.95138888888888884</v>
      </c>
    </row>
    <row r="304" spans="1:12" ht="15.75" x14ac:dyDescent="0.25">
      <c r="A304" s="647"/>
      <c r="B304" s="648"/>
      <c r="C304" s="649"/>
      <c r="D304" s="655" t="s">
        <v>962</v>
      </c>
      <c r="E304" s="651"/>
      <c r="F304" s="656">
        <v>0.55208333333333337</v>
      </c>
      <c r="G304" s="647"/>
      <c r="H304" s="648"/>
      <c r="I304" s="649"/>
      <c r="J304" s="655" t="s">
        <v>164</v>
      </c>
      <c r="K304" s="651"/>
      <c r="L304" s="656">
        <v>0.97222222222222221</v>
      </c>
    </row>
    <row r="305" spans="1:12" ht="15.75" x14ac:dyDescent="0.25">
      <c r="A305" s="647"/>
      <c r="B305" s="648"/>
      <c r="C305" s="649"/>
      <c r="D305" s="655" t="s">
        <v>960</v>
      </c>
      <c r="E305" s="651"/>
      <c r="F305" s="656">
        <v>0.58680555555555558</v>
      </c>
      <c r="G305" s="647"/>
      <c r="H305" s="648"/>
      <c r="I305" s="649"/>
      <c r="J305" s="655" t="s">
        <v>166</v>
      </c>
      <c r="K305" s="651"/>
      <c r="L305" s="656">
        <v>0.98263888888888884</v>
      </c>
    </row>
    <row r="306" spans="1:12" ht="15.75" x14ac:dyDescent="0.25">
      <c r="A306" s="647" t="s">
        <v>961</v>
      </c>
      <c r="B306" s="654"/>
      <c r="C306" s="649"/>
      <c r="D306" s="650" t="s">
        <v>163</v>
      </c>
      <c r="E306" s="651"/>
      <c r="F306" s="653">
        <v>0.63888888888888884</v>
      </c>
      <c r="G306" s="647" t="s">
        <v>958</v>
      </c>
      <c r="H306" s="648"/>
      <c r="I306" s="649"/>
      <c r="J306" s="650" t="s">
        <v>160</v>
      </c>
      <c r="K306" s="657">
        <v>1.0069444444444444</v>
      </c>
      <c r="L306" s="653"/>
    </row>
    <row r="307" spans="1:12" ht="15.75" x14ac:dyDescent="0.25">
      <c r="A307" s="647"/>
      <c r="B307" s="648"/>
      <c r="C307" s="649"/>
      <c r="D307" s="655" t="s">
        <v>164</v>
      </c>
      <c r="E307" s="651"/>
      <c r="F307" s="656">
        <v>0.66666666666666663</v>
      </c>
      <c r="G307" s="647"/>
      <c r="H307" s="648"/>
      <c r="I307" s="649"/>
      <c r="J307" s="650" t="s">
        <v>963</v>
      </c>
      <c r="K307" s="657">
        <v>1.0381944444444444</v>
      </c>
      <c r="L307" s="656"/>
    </row>
    <row r="308" spans="1:12" ht="15.75" x14ac:dyDescent="0.25">
      <c r="A308" s="647"/>
      <c r="B308" s="648"/>
      <c r="C308" s="649"/>
      <c r="D308" s="655" t="s">
        <v>166</v>
      </c>
      <c r="E308" s="657">
        <v>0.68055555555555558</v>
      </c>
      <c r="F308" s="656"/>
      <c r="G308" s="647"/>
      <c r="H308" s="648" t="s">
        <v>462</v>
      </c>
      <c r="I308" s="649" t="s">
        <v>459</v>
      </c>
      <c r="J308" s="650"/>
      <c r="K308" s="657"/>
      <c r="L308" s="653"/>
    </row>
    <row r="309" spans="1:12" ht="15.75" x14ac:dyDescent="0.25">
      <c r="A309" s="647"/>
      <c r="B309" s="648" t="s">
        <v>459</v>
      </c>
      <c r="C309" s="649">
        <v>19</v>
      </c>
      <c r="D309" s="650" t="s">
        <v>1464</v>
      </c>
      <c r="E309" s="651"/>
      <c r="F309" s="658"/>
      <c r="G309" s="647"/>
      <c r="H309" s="648"/>
      <c r="I309" s="649"/>
      <c r="J309" s="650"/>
      <c r="K309" s="657"/>
      <c r="L309" s="653"/>
    </row>
    <row r="310" spans="1:12" ht="15.75" x14ac:dyDescent="0.25">
      <c r="A310" s="647"/>
      <c r="B310" s="648"/>
      <c r="C310" s="649"/>
      <c r="D310" s="650"/>
      <c r="E310" s="651"/>
      <c r="F310" s="656"/>
      <c r="G310" s="647"/>
      <c r="H310" s="648"/>
      <c r="I310" s="649"/>
      <c r="J310" s="650"/>
      <c r="K310" s="651"/>
      <c r="L310" s="652"/>
    </row>
    <row r="311" spans="1:12" ht="15.75" x14ac:dyDescent="0.25">
      <c r="A311" s="647"/>
      <c r="B311" s="648"/>
      <c r="C311" s="649"/>
      <c r="D311" s="650"/>
      <c r="E311" s="651"/>
      <c r="F311" s="653"/>
      <c r="G311" s="647"/>
      <c r="H311" s="648"/>
      <c r="I311" s="649"/>
      <c r="J311" s="650"/>
      <c r="K311" s="651"/>
      <c r="L311" s="652"/>
    </row>
    <row r="312" spans="1:12" ht="15.75" x14ac:dyDescent="0.25">
      <c r="A312" s="647"/>
      <c r="B312" s="648"/>
      <c r="C312" s="649"/>
      <c r="D312" s="655"/>
      <c r="E312" s="651"/>
      <c r="F312" s="656"/>
      <c r="G312" s="647"/>
      <c r="H312" s="648"/>
      <c r="I312" s="649"/>
      <c r="J312" s="650"/>
      <c r="K312" s="651"/>
      <c r="L312" s="652"/>
    </row>
    <row r="313" spans="1:12" ht="15.75" x14ac:dyDescent="0.25">
      <c r="A313" s="647"/>
      <c r="B313" s="648"/>
      <c r="C313" s="649"/>
      <c r="D313" s="650"/>
      <c r="E313" s="651"/>
      <c r="F313" s="653"/>
      <c r="G313" s="647"/>
      <c r="H313" s="648"/>
      <c r="I313" s="649"/>
      <c r="J313" s="650"/>
      <c r="K313" s="651"/>
      <c r="L313" s="652"/>
    </row>
    <row r="314" spans="1:12" ht="15.75" x14ac:dyDescent="0.25">
      <c r="A314" s="647"/>
      <c r="B314" s="648"/>
      <c r="C314" s="649"/>
      <c r="D314" s="655"/>
      <c r="E314" s="651"/>
      <c r="F314" s="656"/>
      <c r="G314" s="647"/>
      <c r="H314" s="648"/>
      <c r="I314" s="649"/>
      <c r="J314" s="650"/>
      <c r="K314" s="651"/>
      <c r="L314" s="652"/>
    </row>
    <row r="315" spans="1:12" ht="15.75" x14ac:dyDescent="0.25">
      <c r="A315" s="647"/>
      <c r="B315" s="648"/>
      <c r="C315" s="649"/>
      <c r="D315" s="655"/>
      <c r="E315" s="651"/>
      <c r="F315" s="656"/>
      <c r="G315" s="647"/>
      <c r="H315" s="648"/>
      <c r="I315" s="649"/>
      <c r="J315" s="650"/>
      <c r="K315" s="651"/>
      <c r="L315" s="652"/>
    </row>
    <row r="316" spans="1:12" ht="15.75" x14ac:dyDescent="0.25">
      <c r="A316" s="647"/>
      <c r="B316" s="654"/>
      <c r="C316" s="649"/>
      <c r="D316" s="650"/>
      <c r="E316" s="657"/>
      <c r="F316" s="653"/>
      <c r="G316" s="647"/>
      <c r="H316" s="648"/>
      <c r="I316" s="649"/>
      <c r="J316" s="650"/>
      <c r="K316" s="651"/>
      <c r="L316" s="652"/>
    </row>
    <row r="317" spans="1:12" ht="15.75" x14ac:dyDescent="0.25">
      <c r="A317" s="647"/>
      <c r="B317" s="648"/>
      <c r="C317" s="649"/>
      <c r="D317" s="650"/>
      <c r="E317" s="657"/>
      <c r="F317" s="658"/>
      <c r="G317" s="647"/>
      <c r="H317" s="648"/>
      <c r="I317" s="649"/>
      <c r="J317" s="650"/>
      <c r="K317" s="651"/>
      <c r="L317" s="658"/>
    </row>
    <row r="318" spans="1:12" ht="15.75" x14ac:dyDescent="0.25">
      <c r="A318" s="647"/>
      <c r="B318" s="648"/>
      <c r="C318" s="649"/>
      <c r="D318" s="650"/>
      <c r="E318" s="657"/>
      <c r="F318" s="653"/>
      <c r="G318" s="647"/>
      <c r="H318" s="648"/>
      <c r="I318" s="649"/>
      <c r="J318" s="655"/>
      <c r="K318" s="651"/>
      <c r="L318" s="658"/>
    </row>
    <row r="319" spans="1:12" ht="15.75" x14ac:dyDescent="0.25">
      <c r="A319" s="647"/>
      <c r="B319" s="648"/>
      <c r="C319" s="649"/>
      <c r="D319" s="650"/>
      <c r="E319" s="657"/>
      <c r="F319" s="652"/>
      <c r="G319" s="647"/>
      <c r="H319" s="648"/>
      <c r="I319" s="649"/>
      <c r="J319" s="650"/>
      <c r="K319" s="651"/>
      <c r="L319" s="658"/>
    </row>
    <row r="320" spans="1:12" ht="16.5" thickBot="1" x14ac:dyDescent="0.3">
      <c r="A320" s="659"/>
      <c r="B320" s="660"/>
      <c r="C320" s="661"/>
      <c r="D320" s="662"/>
      <c r="E320" s="663"/>
      <c r="F320" s="664"/>
      <c r="G320" s="665"/>
      <c r="H320" s="666"/>
      <c r="I320" s="667"/>
      <c r="J320" s="668"/>
      <c r="K320" s="663"/>
      <c r="L320" s="669"/>
    </row>
    <row r="321" spans="1:12" ht="21" x14ac:dyDescent="0.35">
      <c r="A321" s="769" t="s">
        <v>945</v>
      </c>
      <c r="B321" s="770"/>
      <c r="C321" s="770"/>
      <c r="D321" s="770"/>
      <c r="E321" s="770"/>
      <c r="F321" s="770"/>
      <c r="G321" s="770"/>
      <c r="H321" s="770"/>
      <c r="I321" s="770"/>
      <c r="J321" s="770"/>
      <c r="K321" s="770"/>
      <c r="L321" s="771"/>
    </row>
    <row r="322" spans="1:12" ht="18.75" x14ac:dyDescent="0.3">
      <c r="A322" s="772" t="s">
        <v>946</v>
      </c>
      <c r="B322" s="773"/>
      <c r="C322" s="773"/>
      <c r="D322" s="773"/>
      <c r="E322" s="773"/>
      <c r="F322" s="773"/>
      <c r="G322" s="773"/>
      <c r="H322" s="773"/>
      <c r="I322" s="773"/>
      <c r="J322" s="773"/>
      <c r="K322" s="773"/>
      <c r="L322" s="774"/>
    </row>
    <row r="323" spans="1:12" ht="24" x14ac:dyDescent="0.4">
      <c r="A323" s="775" t="s">
        <v>947</v>
      </c>
      <c r="B323" s="776"/>
      <c r="C323" s="776"/>
      <c r="D323" s="776"/>
      <c r="E323" s="776"/>
      <c r="F323" s="776"/>
      <c r="G323" s="776"/>
      <c r="H323" s="776"/>
      <c r="I323" s="776"/>
      <c r="J323" s="776"/>
      <c r="K323" s="776"/>
      <c r="L323" s="777"/>
    </row>
    <row r="324" spans="1:12" ht="24" x14ac:dyDescent="0.4">
      <c r="A324" s="670" t="s">
        <v>1279</v>
      </c>
      <c r="B324" s="671"/>
      <c r="C324" s="671"/>
      <c r="D324" s="672" t="s">
        <v>949</v>
      </c>
      <c r="E324" s="778" t="s">
        <v>851</v>
      </c>
      <c r="F324" s="778"/>
      <c r="G324" s="778"/>
      <c r="H324" s="778"/>
      <c r="I324" s="778"/>
      <c r="J324" s="673" t="s">
        <v>1031</v>
      </c>
      <c r="K324" s="778"/>
      <c r="L324" s="779"/>
    </row>
    <row r="325" spans="1:12" ht="15.75" thickBot="1" x14ac:dyDescent="0.3">
      <c r="A325" s="674"/>
      <c r="B325" s="675"/>
      <c r="C325" s="675"/>
      <c r="D325" s="676"/>
      <c r="E325" s="675"/>
      <c r="F325" s="675"/>
      <c r="G325" s="675"/>
      <c r="H325" s="675"/>
      <c r="I325" s="780"/>
      <c r="J325" s="780"/>
      <c r="K325" s="675"/>
      <c r="L325" s="677"/>
    </row>
    <row r="326" spans="1:12" ht="16.5" thickBot="1" x14ac:dyDescent="0.3">
      <c r="A326" s="631" t="s">
        <v>952</v>
      </c>
      <c r="B326" s="632"/>
      <c r="C326" s="633"/>
      <c r="D326" s="634" t="s">
        <v>953</v>
      </c>
      <c r="E326" s="631" t="s">
        <v>954</v>
      </c>
      <c r="F326" s="635" t="s">
        <v>955</v>
      </c>
      <c r="G326" s="631" t="s">
        <v>952</v>
      </c>
      <c r="H326" s="632"/>
      <c r="I326" s="633"/>
      <c r="J326" s="634" t="s">
        <v>953</v>
      </c>
      <c r="K326" s="631" t="s">
        <v>954</v>
      </c>
      <c r="L326" s="631" t="s">
        <v>955</v>
      </c>
    </row>
    <row r="327" spans="1:12" ht="15.75" x14ac:dyDescent="0.25">
      <c r="A327" s="636"/>
      <c r="B327" s="637"/>
      <c r="C327" s="638"/>
      <c r="D327" s="639"/>
      <c r="E327" s="640"/>
      <c r="F327" s="641"/>
      <c r="G327" s="636"/>
      <c r="H327" s="642"/>
      <c r="I327" s="643"/>
      <c r="J327" s="644"/>
      <c r="K327" s="645"/>
      <c r="L327" s="646"/>
    </row>
    <row r="328" spans="1:12" ht="15.75" x14ac:dyDescent="0.25">
      <c r="A328" s="647"/>
      <c r="B328" s="648" t="s">
        <v>459</v>
      </c>
      <c r="C328" s="649">
        <v>9</v>
      </c>
      <c r="D328" s="650" t="s">
        <v>1465</v>
      </c>
      <c r="E328" s="651"/>
      <c r="F328" s="652"/>
      <c r="G328" s="647"/>
      <c r="H328" s="648" t="s">
        <v>459</v>
      </c>
      <c r="I328" s="649">
        <v>23</v>
      </c>
      <c r="J328" s="650" t="s">
        <v>1466</v>
      </c>
      <c r="K328" s="651"/>
      <c r="L328" s="653"/>
    </row>
    <row r="329" spans="1:12" ht="15.75" x14ac:dyDescent="0.25">
      <c r="A329" s="647" t="s">
        <v>958</v>
      </c>
      <c r="B329" s="654"/>
      <c r="C329" s="649"/>
      <c r="D329" s="655" t="s">
        <v>959</v>
      </c>
      <c r="E329" s="651"/>
      <c r="F329" s="656">
        <v>0.29166666666666669</v>
      </c>
      <c r="G329" s="647"/>
      <c r="H329" s="648"/>
      <c r="I329" s="649"/>
      <c r="J329" s="655" t="s">
        <v>166</v>
      </c>
      <c r="K329" s="651"/>
      <c r="L329" s="656">
        <v>0.79166666666666663</v>
      </c>
    </row>
    <row r="330" spans="1:12" ht="15.75" x14ac:dyDescent="0.25">
      <c r="A330" s="647" t="s">
        <v>961</v>
      </c>
      <c r="B330" s="648"/>
      <c r="C330" s="649"/>
      <c r="D330" s="650" t="s">
        <v>160</v>
      </c>
      <c r="E330" s="651"/>
      <c r="F330" s="653">
        <v>0.3263888888888889</v>
      </c>
      <c r="G330" s="647" t="s">
        <v>961</v>
      </c>
      <c r="H330" s="648"/>
      <c r="I330" s="649"/>
      <c r="J330" s="650" t="s">
        <v>160</v>
      </c>
      <c r="K330" s="651"/>
      <c r="L330" s="653">
        <v>0.8125</v>
      </c>
    </row>
    <row r="331" spans="1:12" ht="15.75" x14ac:dyDescent="0.25">
      <c r="A331" s="647"/>
      <c r="B331" s="648"/>
      <c r="C331" s="649"/>
      <c r="D331" s="655" t="s">
        <v>962</v>
      </c>
      <c r="E331" s="651"/>
      <c r="F331" s="656">
        <v>0.33333333333333331</v>
      </c>
      <c r="G331" s="647"/>
      <c r="H331" s="648"/>
      <c r="I331" s="649"/>
      <c r="J331" s="655" t="s">
        <v>962</v>
      </c>
      <c r="K331" s="651"/>
      <c r="L331" s="656">
        <v>0.81944444444444442</v>
      </c>
    </row>
    <row r="332" spans="1:12" ht="15.75" x14ac:dyDescent="0.25">
      <c r="A332" s="647"/>
      <c r="B332" s="648"/>
      <c r="C332" s="649"/>
      <c r="D332" s="655" t="s">
        <v>960</v>
      </c>
      <c r="E332" s="651"/>
      <c r="F332" s="656">
        <v>0.3611111111111111</v>
      </c>
      <c r="G332" s="647"/>
      <c r="H332" s="648"/>
      <c r="I332" s="649"/>
      <c r="J332" s="655" t="s">
        <v>960</v>
      </c>
      <c r="K332" s="651"/>
      <c r="L332" s="656">
        <v>0.84375</v>
      </c>
    </row>
    <row r="333" spans="1:12" ht="15.75" x14ac:dyDescent="0.25">
      <c r="A333" s="647" t="s">
        <v>961</v>
      </c>
      <c r="B333" s="654"/>
      <c r="C333" s="649"/>
      <c r="D333" s="650" t="s">
        <v>163</v>
      </c>
      <c r="E333" s="651"/>
      <c r="F333" s="653">
        <v>0.40277777777777779</v>
      </c>
      <c r="G333" s="647" t="s">
        <v>961</v>
      </c>
      <c r="H333" s="654"/>
      <c r="I333" s="649"/>
      <c r="J333" s="650" t="s">
        <v>163</v>
      </c>
      <c r="K333" s="651"/>
      <c r="L333" s="653">
        <v>0.88194444444444442</v>
      </c>
    </row>
    <row r="334" spans="1:12" ht="15.75" x14ac:dyDescent="0.25">
      <c r="A334" s="647"/>
      <c r="B334" s="648"/>
      <c r="C334" s="649"/>
      <c r="D334" s="655" t="s">
        <v>164</v>
      </c>
      <c r="E334" s="651"/>
      <c r="F334" s="656">
        <v>0.42708333333333331</v>
      </c>
      <c r="G334" s="647"/>
      <c r="H334" s="648"/>
      <c r="I334" s="649"/>
      <c r="J334" s="655" t="s">
        <v>164</v>
      </c>
      <c r="K334" s="651"/>
      <c r="L334" s="656">
        <v>0.90277777777777779</v>
      </c>
    </row>
    <row r="335" spans="1:12" ht="15.75" x14ac:dyDescent="0.25">
      <c r="A335" s="647"/>
      <c r="B335" s="648"/>
      <c r="C335" s="649"/>
      <c r="D335" s="655" t="s">
        <v>166</v>
      </c>
      <c r="E335" s="657">
        <v>0.44097222222222221</v>
      </c>
      <c r="F335" s="656"/>
      <c r="G335" s="647"/>
      <c r="H335" s="648"/>
      <c r="I335" s="649"/>
      <c r="J335" s="655" t="s">
        <v>166</v>
      </c>
      <c r="K335" s="657">
        <v>0.91666666666666663</v>
      </c>
      <c r="L335" s="656"/>
    </row>
    <row r="336" spans="1:12" ht="15.75" x14ac:dyDescent="0.25">
      <c r="A336" s="647"/>
      <c r="B336" s="648" t="s">
        <v>459</v>
      </c>
      <c r="C336" s="649">
        <v>9</v>
      </c>
      <c r="D336" s="650" t="s">
        <v>1467</v>
      </c>
      <c r="E336" s="651"/>
      <c r="F336" s="658"/>
      <c r="G336" s="647"/>
      <c r="H336" s="648" t="s">
        <v>462</v>
      </c>
      <c r="I336" s="649" t="s">
        <v>459</v>
      </c>
      <c r="J336" s="650"/>
      <c r="K336" s="651"/>
      <c r="L336" s="658"/>
    </row>
    <row r="337" spans="1:12" ht="15.75" x14ac:dyDescent="0.25">
      <c r="A337" s="647"/>
      <c r="B337" s="648"/>
      <c r="C337" s="649"/>
      <c r="D337" s="650"/>
      <c r="E337" s="651"/>
      <c r="F337" s="656"/>
      <c r="G337" s="647"/>
      <c r="H337" s="648"/>
      <c r="I337" s="649"/>
      <c r="J337" s="650"/>
      <c r="K337" s="651"/>
      <c r="L337" s="656"/>
    </row>
    <row r="338" spans="1:12" ht="15.75" x14ac:dyDescent="0.25">
      <c r="A338" s="647"/>
      <c r="B338" s="648" t="s">
        <v>459</v>
      </c>
      <c r="C338" s="649">
        <v>203</v>
      </c>
      <c r="D338" s="650" t="s">
        <v>1140</v>
      </c>
      <c r="E338" s="651"/>
      <c r="F338" s="653"/>
      <c r="G338" s="647"/>
      <c r="H338" s="648" t="s">
        <v>459</v>
      </c>
      <c r="I338" s="649">
        <v>30</v>
      </c>
      <c r="J338" s="650" t="s">
        <v>1325</v>
      </c>
      <c r="K338" s="651"/>
      <c r="L338" s="653"/>
    </row>
    <row r="339" spans="1:12" ht="15.75" x14ac:dyDescent="0.25">
      <c r="A339" s="647"/>
      <c r="B339" s="648"/>
      <c r="C339" s="649"/>
      <c r="D339" s="655" t="s">
        <v>166</v>
      </c>
      <c r="E339" s="651"/>
      <c r="F339" s="656">
        <v>0.44097222222222221</v>
      </c>
      <c r="G339" s="647"/>
      <c r="H339" s="648"/>
      <c r="I339" s="649"/>
      <c r="J339" s="655" t="s">
        <v>166</v>
      </c>
      <c r="K339" s="651"/>
      <c r="L339" s="656">
        <v>0.91666666666666663</v>
      </c>
    </row>
    <row r="340" spans="1:12" ht="15.75" x14ac:dyDescent="0.25">
      <c r="A340" s="647" t="s">
        <v>961</v>
      </c>
      <c r="B340" s="648"/>
      <c r="C340" s="649"/>
      <c r="D340" s="650" t="s">
        <v>160</v>
      </c>
      <c r="E340" s="651"/>
      <c r="F340" s="653">
        <v>0.4826388888888889</v>
      </c>
      <c r="G340" s="647" t="s">
        <v>961</v>
      </c>
      <c r="H340" s="648"/>
      <c r="I340" s="649"/>
      <c r="J340" s="650" t="s">
        <v>160</v>
      </c>
      <c r="K340" s="651"/>
      <c r="L340" s="653">
        <v>0.95138888888888884</v>
      </c>
    </row>
    <row r="341" spans="1:12" ht="15.75" x14ac:dyDescent="0.25">
      <c r="A341" s="647"/>
      <c r="B341" s="648"/>
      <c r="C341" s="649"/>
      <c r="D341" s="655" t="s">
        <v>962</v>
      </c>
      <c r="E341" s="651"/>
      <c r="F341" s="656">
        <v>0.48958333333333331</v>
      </c>
      <c r="G341" s="647"/>
      <c r="H341" s="648"/>
      <c r="I341" s="649"/>
      <c r="J341" s="655" t="s">
        <v>962</v>
      </c>
      <c r="K341" s="651"/>
      <c r="L341" s="656">
        <v>0.95833333333333337</v>
      </c>
    </row>
    <row r="342" spans="1:12" ht="15.75" x14ac:dyDescent="0.25">
      <c r="A342" s="647"/>
      <c r="B342" s="648"/>
      <c r="C342" s="649"/>
      <c r="D342" s="655" t="s">
        <v>960</v>
      </c>
      <c r="E342" s="651"/>
      <c r="F342" s="656">
        <v>0.52430555555555558</v>
      </c>
      <c r="G342" s="647"/>
      <c r="H342" s="648"/>
      <c r="I342" s="649"/>
      <c r="J342" s="655" t="s">
        <v>960</v>
      </c>
      <c r="K342" s="651"/>
      <c r="L342" s="656">
        <v>0.98263888888888884</v>
      </c>
    </row>
    <row r="343" spans="1:12" ht="15.75" x14ac:dyDescent="0.25">
      <c r="A343" s="647" t="s">
        <v>961</v>
      </c>
      <c r="B343" s="654"/>
      <c r="C343" s="649"/>
      <c r="D343" s="650" t="s">
        <v>163</v>
      </c>
      <c r="E343" s="651"/>
      <c r="F343" s="653">
        <v>0.57638888888888884</v>
      </c>
      <c r="G343" s="647" t="s">
        <v>958</v>
      </c>
      <c r="H343" s="654"/>
      <c r="I343" s="649"/>
      <c r="J343" s="650" t="s">
        <v>163</v>
      </c>
      <c r="K343" s="657">
        <v>1.0097222222222222</v>
      </c>
      <c r="L343" s="653"/>
    </row>
    <row r="344" spans="1:12" ht="15.75" x14ac:dyDescent="0.25">
      <c r="A344" s="647"/>
      <c r="B344" s="648"/>
      <c r="C344" s="649"/>
      <c r="D344" s="655" t="s">
        <v>164</v>
      </c>
      <c r="E344" s="651"/>
      <c r="F344" s="656">
        <v>0.60416666666666663</v>
      </c>
      <c r="G344" s="647"/>
      <c r="H344" s="648"/>
      <c r="I344" s="649"/>
      <c r="J344" s="650" t="s">
        <v>963</v>
      </c>
      <c r="K344" s="657">
        <v>1.0340277777777778</v>
      </c>
      <c r="L344" s="656"/>
    </row>
    <row r="345" spans="1:12" ht="15.75" x14ac:dyDescent="0.25">
      <c r="A345" s="647"/>
      <c r="B345" s="648"/>
      <c r="C345" s="649"/>
      <c r="D345" s="655" t="s">
        <v>166</v>
      </c>
      <c r="E345" s="657">
        <v>0.62152777777777779</v>
      </c>
      <c r="F345" s="656"/>
      <c r="G345" s="647"/>
      <c r="H345" s="648" t="s">
        <v>462</v>
      </c>
      <c r="I345" s="649" t="s">
        <v>459</v>
      </c>
      <c r="J345" s="650"/>
      <c r="K345" s="657"/>
      <c r="L345" s="653"/>
    </row>
    <row r="346" spans="1:12" ht="15.75" x14ac:dyDescent="0.25">
      <c r="A346" s="647"/>
      <c r="B346" s="648" t="s">
        <v>459</v>
      </c>
      <c r="C346" s="649">
        <v>203</v>
      </c>
      <c r="D346" s="650" t="s">
        <v>1468</v>
      </c>
      <c r="E346" s="651"/>
      <c r="F346" s="658"/>
      <c r="G346" s="647"/>
      <c r="H346" s="648"/>
      <c r="I346" s="649"/>
      <c r="J346" s="650"/>
      <c r="K346" s="657"/>
      <c r="L346" s="653"/>
    </row>
    <row r="347" spans="1:12" ht="15.75" x14ac:dyDescent="0.25">
      <c r="A347" s="647"/>
      <c r="B347" s="648"/>
      <c r="C347" s="649"/>
      <c r="D347" s="650"/>
      <c r="E347" s="651"/>
      <c r="F347" s="656"/>
      <c r="G347" s="647"/>
      <c r="H347" s="648"/>
      <c r="I347" s="649"/>
      <c r="J347" s="650"/>
      <c r="K347" s="651"/>
      <c r="L347" s="652"/>
    </row>
    <row r="348" spans="1:12" ht="15.75" x14ac:dyDescent="0.25">
      <c r="A348" s="647"/>
      <c r="B348" s="648" t="s">
        <v>459</v>
      </c>
      <c r="C348" s="649">
        <v>27</v>
      </c>
      <c r="D348" s="650" t="s">
        <v>1109</v>
      </c>
      <c r="E348" s="651"/>
      <c r="F348" s="653"/>
      <c r="G348" s="647"/>
      <c r="H348" s="648"/>
      <c r="I348" s="649"/>
      <c r="J348" s="650"/>
      <c r="K348" s="651"/>
      <c r="L348" s="652"/>
    </row>
    <row r="349" spans="1:12" ht="15.75" x14ac:dyDescent="0.25">
      <c r="A349" s="647"/>
      <c r="B349" s="648"/>
      <c r="C349" s="649"/>
      <c r="D349" s="655" t="s">
        <v>166</v>
      </c>
      <c r="E349" s="651"/>
      <c r="F349" s="656">
        <v>0.62152777777777779</v>
      </c>
      <c r="G349" s="647"/>
      <c r="H349" s="648"/>
      <c r="I349" s="649"/>
      <c r="J349" s="650"/>
      <c r="K349" s="651"/>
      <c r="L349" s="652"/>
    </row>
    <row r="350" spans="1:12" ht="15.75" x14ac:dyDescent="0.25">
      <c r="A350" s="647" t="s">
        <v>961</v>
      </c>
      <c r="B350" s="648"/>
      <c r="C350" s="649"/>
      <c r="D350" s="650" t="s">
        <v>160</v>
      </c>
      <c r="E350" s="651"/>
      <c r="F350" s="653">
        <v>0.65972222222222221</v>
      </c>
      <c r="G350" s="647"/>
      <c r="H350" s="648"/>
      <c r="I350" s="649"/>
      <c r="J350" s="650"/>
      <c r="K350" s="651"/>
      <c r="L350" s="652"/>
    </row>
    <row r="351" spans="1:12" ht="15.75" x14ac:dyDescent="0.25">
      <c r="A351" s="647"/>
      <c r="B351" s="648"/>
      <c r="C351" s="649"/>
      <c r="D351" s="655" t="s">
        <v>962</v>
      </c>
      <c r="E351" s="651"/>
      <c r="F351" s="656">
        <v>0.66666666666666663</v>
      </c>
      <c r="G351" s="647"/>
      <c r="H351" s="648"/>
      <c r="I351" s="649"/>
      <c r="J351" s="650"/>
      <c r="K351" s="651"/>
      <c r="L351" s="652"/>
    </row>
    <row r="352" spans="1:12" ht="15.75" x14ac:dyDescent="0.25">
      <c r="A352" s="647"/>
      <c r="B352" s="648"/>
      <c r="C352" s="649"/>
      <c r="D352" s="655" t="s">
        <v>960</v>
      </c>
      <c r="E352" s="651"/>
      <c r="F352" s="656">
        <v>0.69444444444444442</v>
      </c>
      <c r="G352" s="647"/>
      <c r="H352" s="648"/>
      <c r="I352" s="649"/>
      <c r="J352" s="650"/>
      <c r="K352" s="651"/>
      <c r="L352" s="652"/>
    </row>
    <row r="353" spans="1:12" ht="15.75" x14ac:dyDescent="0.25">
      <c r="A353" s="647" t="s">
        <v>961</v>
      </c>
      <c r="B353" s="654"/>
      <c r="C353" s="649"/>
      <c r="D353" s="650" t="s">
        <v>163</v>
      </c>
      <c r="E353" s="651"/>
      <c r="F353" s="653">
        <v>0.74652777777777779</v>
      </c>
      <c r="G353" s="647"/>
      <c r="H353" s="648"/>
      <c r="I353" s="649"/>
      <c r="J353" s="650"/>
      <c r="K353" s="651"/>
      <c r="L353" s="652"/>
    </row>
    <row r="354" spans="1:12" ht="15.75" x14ac:dyDescent="0.25">
      <c r="A354" s="647"/>
      <c r="B354" s="648"/>
      <c r="C354" s="649"/>
      <c r="D354" s="655" t="s">
        <v>164</v>
      </c>
      <c r="E354" s="651"/>
      <c r="F354" s="656">
        <v>0.77083333333333337</v>
      </c>
      <c r="G354" s="647"/>
      <c r="H354" s="648"/>
      <c r="I354" s="649"/>
      <c r="J354" s="650"/>
      <c r="K354" s="651"/>
      <c r="L354" s="652"/>
    </row>
    <row r="355" spans="1:12" ht="15.75" x14ac:dyDescent="0.25">
      <c r="A355" s="647"/>
      <c r="B355" s="648"/>
      <c r="C355" s="649"/>
      <c r="D355" s="655" t="s">
        <v>166</v>
      </c>
      <c r="E355" s="657">
        <v>0.79166666666666663</v>
      </c>
      <c r="F355" s="656"/>
      <c r="G355" s="647"/>
      <c r="H355" s="648"/>
      <c r="I355" s="649"/>
      <c r="J355" s="650"/>
      <c r="K355" s="651"/>
      <c r="L355" s="652"/>
    </row>
    <row r="356" spans="1:12" ht="15.75" x14ac:dyDescent="0.25">
      <c r="A356" s="647"/>
      <c r="B356" s="648" t="s">
        <v>459</v>
      </c>
      <c r="C356" s="649">
        <v>27</v>
      </c>
      <c r="D356" s="650" t="s">
        <v>1469</v>
      </c>
      <c r="E356" s="651"/>
      <c r="F356" s="658"/>
      <c r="G356" s="647"/>
      <c r="H356" s="648"/>
      <c r="I356" s="649"/>
      <c r="J356" s="650"/>
      <c r="K356" s="651"/>
      <c r="L356" s="652"/>
    </row>
    <row r="357" spans="1:12" ht="15.75" x14ac:dyDescent="0.25">
      <c r="A357" s="647"/>
      <c r="B357" s="648"/>
      <c r="C357" s="649"/>
      <c r="D357" s="650"/>
      <c r="E357" s="657"/>
      <c r="F357" s="658"/>
      <c r="G357" s="647"/>
      <c r="H357" s="648"/>
      <c r="I357" s="649"/>
      <c r="J357" s="650"/>
      <c r="K357" s="651"/>
      <c r="L357" s="658"/>
    </row>
    <row r="358" spans="1:12" ht="15.75" x14ac:dyDescent="0.25">
      <c r="A358" s="647"/>
      <c r="B358" s="648"/>
      <c r="C358" s="649"/>
      <c r="D358" s="650"/>
      <c r="E358" s="657"/>
      <c r="F358" s="653"/>
      <c r="G358" s="647"/>
      <c r="H358" s="648"/>
      <c r="I358" s="649"/>
      <c r="J358" s="655"/>
      <c r="K358" s="651"/>
      <c r="L358" s="658"/>
    </row>
    <row r="359" spans="1:12" ht="15.75" x14ac:dyDescent="0.25">
      <c r="A359" s="647"/>
      <c r="B359" s="648"/>
      <c r="C359" s="649"/>
      <c r="D359" s="650"/>
      <c r="E359" s="657"/>
      <c r="F359" s="652"/>
      <c r="G359" s="647"/>
      <c r="H359" s="648"/>
      <c r="I359" s="649"/>
      <c r="J359" s="650"/>
      <c r="K359" s="651"/>
      <c r="L359" s="658"/>
    </row>
    <row r="360" spans="1:12" ht="16.5" thickBot="1" x14ac:dyDescent="0.3">
      <c r="A360" s="659"/>
      <c r="B360" s="660"/>
      <c r="C360" s="661"/>
      <c r="D360" s="662"/>
      <c r="E360" s="663"/>
      <c r="F360" s="664"/>
      <c r="G360" s="665"/>
      <c r="H360" s="666"/>
      <c r="I360" s="667"/>
      <c r="J360" s="668"/>
      <c r="K360" s="663"/>
      <c r="L360" s="669"/>
    </row>
    <row r="361" spans="1:12" ht="21" x14ac:dyDescent="0.35">
      <c r="A361" s="769" t="s">
        <v>945</v>
      </c>
      <c r="B361" s="770"/>
      <c r="C361" s="770"/>
      <c r="D361" s="770"/>
      <c r="E361" s="770"/>
      <c r="F361" s="770"/>
      <c r="G361" s="770"/>
      <c r="H361" s="770"/>
      <c r="I361" s="770"/>
      <c r="J361" s="770"/>
      <c r="K361" s="770"/>
      <c r="L361" s="771"/>
    </row>
    <row r="362" spans="1:12" ht="18.75" x14ac:dyDescent="0.3">
      <c r="A362" s="772" t="s">
        <v>946</v>
      </c>
      <c r="B362" s="773"/>
      <c r="C362" s="773"/>
      <c r="D362" s="773"/>
      <c r="E362" s="773"/>
      <c r="F362" s="773"/>
      <c r="G362" s="773"/>
      <c r="H362" s="773"/>
      <c r="I362" s="773"/>
      <c r="J362" s="773"/>
      <c r="K362" s="773"/>
      <c r="L362" s="774"/>
    </row>
    <row r="363" spans="1:12" ht="24" x14ac:dyDescent="0.4">
      <c r="A363" s="775" t="s">
        <v>947</v>
      </c>
      <c r="B363" s="776"/>
      <c r="C363" s="776"/>
      <c r="D363" s="776"/>
      <c r="E363" s="776"/>
      <c r="F363" s="776"/>
      <c r="G363" s="776"/>
      <c r="H363" s="776"/>
      <c r="I363" s="776"/>
      <c r="J363" s="776"/>
      <c r="K363" s="776"/>
      <c r="L363" s="777"/>
    </row>
    <row r="364" spans="1:12" ht="24" x14ac:dyDescent="0.4">
      <c r="A364" s="670" t="s">
        <v>1279</v>
      </c>
      <c r="B364" s="671"/>
      <c r="C364" s="671"/>
      <c r="D364" s="672" t="s">
        <v>949</v>
      </c>
      <c r="E364" s="778" t="s">
        <v>851</v>
      </c>
      <c r="F364" s="778"/>
      <c r="G364" s="778"/>
      <c r="H364" s="778"/>
      <c r="I364" s="778"/>
      <c r="J364" s="673" t="s">
        <v>1042</v>
      </c>
      <c r="K364" s="778"/>
      <c r="L364" s="779"/>
    </row>
    <row r="365" spans="1:12" ht="15.75" thickBot="1" x14ac:dyDescent="0.3">
      <c r="A365" s="674"/>
      <c r="B365" s="675"/>
      <c r="C365" s="675"/>
      <c r="D365" s="676"/>
      <c r="E365" s="675"/>
      <c r="F365" s="675"/>
      <c r="G365" s="675"/>
      <c r="H365" s="675"/>
      <c r="I365" s="780"/>
      <c r="J365" s="780"/>
      <c r="K365" s="675"/>
      <c r="L365" s="677"/>
    </row>
    <row r="366" spans="1:12" ht="16.5" thickBot="1" x14ac:dyDescent="0.3">
      <c r="A366" s="631" t="s">
        <v>952</v>
      </c>
      <c r="B366" s="632"/>
      <c r="C366" s="633"/>
      <c r="D366" s="634" t="s">
        <v>953</v>
      </c>
      <c r="E366" s="631" t="s">
        <v>954</v>
      </c>
      <c r="F366" s="635" t="s">
        <v>955</v>
      </c>
      <c r="G366" s="631" t="s">
        <v>952</v>
      </c>
      <c r="H366" s="632"/>
      <c r="I366" s="633"/>
      <c r="J366" s="634" t="s">
        <v>953</v>
      </c>
      <c r="K366" s="631" t="s">
        <v>954</v>
      </c>
      <c r="L366" s="631" t="s">
        <v>955</v>
      </c>
    </row>
    <row r="367" spans="1:12" ht="15.75" x14ac:dyDescent="0.25">
      <c r="A367" s="636"/>
      <c r="B367" s="637"/>
      <c r="C367" s="638"/>
      <c r="D367" s="639"/>
      <c r="E367" s="640"/>
      <c r="F367" s="641"/>
      <c r="G367" s="636"/>
      <c r="H367" s="642"/>
      <c r="I367" s="643"/>
      <c r="J367" s="644"/>
      <c r="K367" s="645"/>
      <c r="L367" s="646"/>
    </row>
    <row r="368" spans="1:12" ht="15.75" x14ac:dyDescent="0.25">
      <c r="A368" s="647"/>
      <c r="B368" s="648" t="s">
        <v>459</v>
      </c>
      <c r="C368" s="649">
        <v>10</v>
      </c>
      <c r="D368" s="650" t="s">
        <v>1470</v>
      </c>
      <c r="E368" s="651"/>
      <c r="F368" s="652"/>
      <c r="G368" s="647"/>
      <c r="H368" s="648" t="s">
        <v>459</v>
      </c>
      <c r="I368" s="649">
        <v>71</v>
      </c>
      <c r="J368" s="650" t="s">
        <v>1160</v>
      </c>
      <c r="K368" s="651"/>
      <c r="L368" s="653"/>
    </row>
    <row r="369" spans="1:12" ht="15.75" x14ac:dyDescent="0.25">
      <c r="A369" s="647" t="s">
        <v>958</v>
      </c>
      <c r="B369" s="654"/>
      <c r="C369" s="649"/>
      <c r="D369" s="655" t="s">
        <v>959</v>
      </c>
      <c r="E369" s="651"/>
      <c r="F369" s="656">
        <v>0.3125</v>
      </c>
      <c r="G369" s="647"/>
      <c r="H369" s="648"/>
      <c r="I369" s="649"/>
      <c r="J369" s="655" t="s">
        <v>960</v>
      </c>
      <c r="K369" s="651"/>
      <c r="L369" s="656">
        <v>0.82638888888888884</v>
      </c>
    </row>
    <row r="370" spans="1:12" ht="15.75" x14ac:dyDescent="0.25">
      <c r="A370" s="647" t="s">
        <v>961</v>
      </c>
      <c r="B370" s="654"/>
      <c r="C370" s="649"/>
      <c r="D370" s="650" t="s">
        <v>163</v>
      </c>
      <c r="E370" s="651"/>
      <c r="F370" s="653">
        <v>0.34027777777777779</v>
      </c>
      <c r="G370" s="647" t="s">
        <v>958</v>
      </c>
      <c r="H370" s="654"/>
      <c r="I370" s="649"/>
      <c r="J370" s="650" t="s">
        <v>163</v>
      </c>
      <c r="K370" s="657">
        <v>0.84027777777777779</v>
      </c>
      <c r="L370" s="653"/>
    </row>
    <row r="371" spans="1:12" ht="15.75" x14ac:dyDescent="0.25">
      <c r="A371" s="647"/>
      <c r="B371" s="648"/>
      <c r="C371" s="649"/>
      <c r="D371" s="655" t="s">
        <v>164</v>
      </c>
      <c r="E371" s="651"/>
      <c r="F371" s="656">
        <v>0.3611111111111111</v>
      </c>
      <c r="G371" s="647"/>
      <c r="H371" s="648"/>
      <c r="I371" s="649"/>
      <c r="J371" s="650" t="s">
        <v>963</v>
      </c>
      <c r="K371" s="657">
        <v>0.86458333333333337</v>
      </c>
      <c r="L371" s="656"/>
    </row>
    <row r="372" spans="1:12" ht="15.75" x14ac:dyDescent="0.25">
      <c r="A372" s="647"/>
      <c r="B372" s="648"/>
      <c r="C372" s="649"/>
      <c r="D372" s="655" t="s">
        <v>166</v>
      </c>
      <c r="E372" s="651"/>
      <c r="F372" s="656">
        <v>0.37847222222222221</v>
      </c>
      <c r="G372" s="647"/>
      <c r="H372" s="648" t="s">
        <v>459</v>
      </c>
      <c r="I372" s="649">
        <v>71</v>
      </c>
      <c r="J372" s="650" t="s">
        <v>1471</v>
      </c>
      <c r="K372" s="657"/>
      <c r="L372" s="653"/>
    </row>
    <row r="373" spans="1:12" ht="15.75" x14ac:dyDescent="0.25">
      <c r="A373" s="647" t="s">
        <v>961</v>
      </c>
      <c r="B373" s="648"/>
      <c r="C373" s="649"/>
      <c r="D373" s="650" t="s">
        <v>160</v>
      </c>
      <c r="E373" s="651"/>
      <c r="F373" s="653">
        <v>0.40972222222222221</v>
      </c>
      <c r="G373" s="647"/>
      <c r="H373" s="648"/>
      <c r="I373" s="649"/>
      <c r="J373" s="650"/>
      <c r="K373" s="657"/>
      <c r="L373" s="653"/>
    </row>
    <row r="374" spans="1:12" ht="15.75" x14ac:dyDescent="0.25">
      <c r="A374" s="647"/>
      <c r="B374" s="648"/>
      <c r="C374" s="649"/>
      <c r="D374" s="655" t="s">
        <v>962</v>
      </c>
      <c r="E374" s="651"/>
      <c r="F374" s="656">
        <v>0.41666666666666669</v>
      </c>
      <c r="G374" s="647"/>
      <c r="H374" s="648"/>
      <c r="I374" s="649"/>
      <c r="J374" s="650"/>
      <c r="K374" s="651"/>
      <c r="L374" s="652"/>
    </row>
    <row r="375" spans="1:12" ht="15.75" x14ac:dyDescent="0.25">
      <c r="A375" s="647"/>
      <c r="B375" s="648"/>
      <c r="C375" s="649"/>
      <c r="D375" s="655" t="s">
        <v>960</v>
      </c>
      <c r="E375" s="651"/>
      <c r="F375" s="656">
        <v>0.44791666666666669</v>
      </c>
      <c r="G375" s="647"/>
      <c r="H375" s="648"/>
      <c r="I375" s="649"/>
      <c r="J375" s="650"/>
      <c r="K375" s="651"/>
      <c r="L375" s="652"/>
    </row>
    <row r="376" spans="1:12" ht="15.75" x14ac:dyDescent="0.25">
      <c r="A376" s="647" t="s">
        <v>961</v>
      </c>
      <c r="B376" s="654"/>
      <c r="C376" s="649"/>
      <c r="D376" s="650" t="s">
        <v>163</v>
      </c>
      <c r="E376" s="651"/>
      <c r="F376" s="653">
        <v>0.49305555555555558</v>
      </c>
      <c r="G376" s="647"/>
      <c r="H376" s="648"/>
      <c r="I376" s="649"/>
      <c r="J376" s="650"/>
      <c r="K376" s="651"/>
      <c r="L376" s="652"/>
    </row>
    <row r="377" spans="1:12" ht="15.75" x14ac:dyDescent="0.25">
      <c r="A377" s="647"/>
      <c r="B377" s="648"/>
      <c r="C377" s="649"/>
      <c r="D377" s="655" t="s">
        <v>164</v>
      </c>
      <c r="E377" s="651"/>
      <c r="F377" s="656">
        <v>0.52083333333333337</v>
      </c>
      <c r="G377" s="647"/>
      <c r="H377" s="648"/>
      <c r="I377" s="649"/>
      <c r="J377" s="650"/>
      <c r="K377" s="651"/>
      <c r="L377" s="652"/>
    </row>
    <row r="378" spans="1:12" ht="15.75" x14ac:dyDescent="0.25">
      <c r="A378" s="647"/>
      <c r="B378" s="648"/>
      <c r="C378" s="649"/>
      <c r="D378" s="655" t="s">
        <v>166</v>
      </c>
      <c r="E378" s="657">
        <v>0.53472222222222221</v>
      </c>
      <c r="F378" s="656"/>
      <c r="G378" s="647"/>
      <c r="H378" s="648"/>
      <c r="I378" s="649"/>
      <c r="J378" s="650"/>
      <c r="K378" s="651"/>
      <c r="L378" s="652"/>
    </row>
    <row r="379" spans="1:12" ht="15.75" x14ac:dyDescent="0.25">
      <c r="A379" s="647"/>
      <c r="B379" s="648" t="s">
        <v>462</v>
      </c>
      <c r="C379" s="649" t="s">
        <v>459</v>
      </c>
      <c r="D379" s="650"/>
      <c r="E379" s="651"/>
      <c r="F379" s="658"/>
      <c r="G379" s="647"/>
      <c r="H379" s="648"/>
      <c r="I379" s="649"/>
      <c r="J379" s="650"/>
      <c r="K379" s="651"/>
      <c r="L379" s="652"/>
    </row>
    <row r="380" spans="1:12" ht="15.75" x14ac:dyDescent="0.25">
      <c r="A380" s="647"/>
      <c r="B380" s="648"/>
      <c r="C380" s="649"/>
      <c r="D380" s="650"/>
      <c r="E380" s="651"/>
      <c r="F380" s="656"/>
      <c r="G380" s="647"/>
      <c r="H380" s="648"/>
      <c r="I380" s="649"/>
      <c r="J380" s="650"/>
      <c r="K380" s="651"/>
      <c r="L380" s="652"/>
    </row>
    <row r="381" spans="1:12" ht="15.75" x14ac:dyDescent="0.25">
      <c r="A381" s="647"/>
      <c r="B381" s="648" t="s">
        <v>459</v>
      </c>
      <c r="C381" s="649">
        <v>6</v>
      </c>
      <c r="D381" s="650" t="s">
        <v>1289</v>
      </c>
      <c r="E381" s="651"/>
      <c r="F381" s="653"/>
      <c r="G381" s="647"/>
      <c r="H381" s="648"/>
      <c r="I381" s="649"/>
      <c r="J381" s="650"/>
      <c r="K381" s="651"/>
      <c r="L381" s="658"/>
    </row>
    <row r="382" spans="1:12" ht="15.75" x14ac:dyDescent="0.25">
      <c r="A382" s="647"/>
      <c r="B382" s="648"/>
      <c r="C382" s="649"/>
      <c r="D382" s="655" t="s">
        <v>166</v>
      </c>
      <c r="E382" s="651"/>
      <c r="F382" s="656">
        <v>0.53472222222222221</v>
      </c>
      <c r="G382" s="647"/>
      <c r="H382" s="648"/>
      <c r="I382" s="649"/>
      <c r="J382" s="655"/>
      <c r="K382" s="651"/>
      <c r="L382" s="658"/>
    </row>
    <row r="383" spans="1:12" ht="15.75" x14ac:dyDescent="0.25">
      <c r="A383" s="647" t="s">
        <v>961</v>
      </c>
      <c r="B383" s="648"/>
      <c r="C383" s="649"/>
      <c r="D383" s="650" t="s">
        <v>160</v>
      </c>
      <c r="E383" s="651"/>
      <c r="F383" s="653">
        <v>0.57638888888888884</v>
      </c>
      <c r="G383" s="647"/>
      <c r="H383" s="648"/>
      <c r="I383" s="649"/>
      <c r="J383" s="650"/>
      <c r="K383" s="651"/>
      <c r="L383" s="658"/>
    </row>
    <row r="384" spans="1:12" ht="15.75" x14ac:dyDescent="0.25">
      <c r="A384" s="647"/>
      <c r="B384" s="648"/>
      <c r="C384" s="649"/>
      <c r="D384" s="655" t="s">
        <v>962</v>
      </c>
      <c r="E384" s="651"/>
      <c r="F384" s="656">
        <v>0.58333333333333337</v>
      </c>
      <c r="G384" s="647"/>
      <c r="H384" s="648"/>
      <c r="I384" s="649"/>
      <c r="J384" s="655"/>
      <c r="K384" s="651"/>
      <c r="L384" s="656"/>
    </row>
    <row r="385" spans="1:12" ht="15.75" x14ac:dyDescent="0.25">
      <c r="A385" s="647"/>
      <c r="B385" s="648"/>
      <c r="C385" s="649"/>
      <c r="D385" s="655" t="s">
        <v>960</v>
      </c>
      <c r="E385" s="657">
        <v>0.62152777777777779</v>
      </c>
      <c r="F385" s="656"/>
      <c r="G385" s="647"/>
      <c r="H385" s="648"/>
      <c r="I385" s="649"/>
      <c r="J385" s="655"/>
      <c r="K385" s="651"/>
      <c r="L385" s="656"/>
    </row>
    <row r="386" spans="1:12" ht="15.75" x14ac:dyDescent="0.25">
      <c r="A386" s="647"/>
      <c r="B386" s="648" t="s">
        <v>462</v>
      </c>
      <c r="C386" s="649" t="s">
        <v>459</v>
      </c>
      <c r="D386" s="650"/>
      <c r="E386" s="651"/>
      <c r="F386" s="658"/>
      <c r="G386" s="647"/>
      <c r="H386" s="654"/>
      <c r="I386" s="649"/>
      <c r="J386" s="650"/>
      <c r="K386" s="657"/>
      <c r="L386" s="653"/>
    </row>
    <row r="387" spans="1:12" ht="15.75" x14ac:dyDescent="0.25">
      <c r="A387" s="647"/>
      <c r="B387" s="648"/>
      <c r="C387" s="649"/>
      <c r="D387" s="650"/>
      <c r="E387" s="651"/>
      <c r="F387" s="656"/>
      <c r="G387" s="647"/>
      <c r="H387" s="648"/>
      <c r="I387" s="649"/>
      <c r="J387" s="650"/>
      <c r="K387" s="657"/>
      <c r="L387" s="656"/>
    </row>
    <row r="388" spans="1:12" ht="15.75" x14ac:dyDescent="0.25">
      <c r="A388" s="647"/>
      <c r="B388" s="648" t="s">
        <v>459</v>
      </c>
      <c r="C388" s="649">
        <v>26</v>
      </c>
      <c r="D388" s="650" t="s">
        <v>1472</v>
      </c>
      <c r="E388" s="651"/>
      <c r="F388" s="653"/>
      <c r="G388" s="647"/>
      <c r="H388" s="648"/>
      <c r="I388" s="649"/>
      <c r="J388" s="650"/>
      <c r="K388" s="657"/>
      <c r="L388" s="653"/>
    </row>
    <row r="389" spans="1:12" ht="15.75" x14ac:dyDescent="0.25">
      <c r="A389" s="647"/>
      <c r="B389" s="648"/>
      <c r="C389" s="649"/>
      <c r="D389" s="655" t="s">
        <v>960</v>
      </c>
      <c r="E389" s="651"/>
      <c r="F389" s="656">
        <v>0.62152777777777779</v>
      </c>
      <c r="G389" s="647"/>
      <c r="H389" s="648"/>
      <c r="I389" s="649"/>
      <c r="J389" s="650"/>
      <c r="K389" s="657"/>
      <c r="L389" s="653"/>
    </row>
    <row r="390" spans="1:12" ht="15.75" x14ac:dyDescent="0.25">
      <c r="A390" s="647" t="s">
        <v>961</v>
      </c>
      <c r="B390" s="654"/>
      <c r="C390" s="649"/>
      <c r="D390" s="650" t="s">
        <v>163</v>
      </c>
      <c r="E390" s="651"/>
      <c r="F390" s="653">
        <v>0.67013888888888884</v>
      </c>
      <c r="G390" s="647"/>
      <c r="H390" s="648"/>
      <c r="I390" s="649"/>
      <c r="J390" s="650"/>
      <c r="K390" s="651"/>
      <c r="L390" s="652"/>
    </row>
    <row r="391" spans="1:12" ht="15.75" x14ac:dyDescent="0.25">
      <c r="A391" s="647"/>
      <c r="B391" s="648"/>
      <c r="C391" s="649"/>
      <c r="D391" s="655" t="s">
        <v>164</v>
      </c>
      <c r="E391" s="651"/>
      <c r="F391" s="656">
        <v>0.69791666666666663</v>
      </c>
      <c r="G391" s="647"/>
      <c r="H391" s="648"/>
      <c r="I391" s="649"/>
      <c r="J391" s="650"/>
      <c r="K391" s="651"/>
      <c r="L391" s="652"/>
    </row>
    <row r="392" spans="1:12" ht="15.75" x14ac:dyDescent="0.25">
      <c r="A392" s="647"/>
      <c r="B392" s="648"/>
      <c r="C392" s="649"/>
      <c r="D392" s="655" t="s">
        <v>166</v>
      </c>
      <c r="E392" s="651"/>
      <c r="F392" s="656">
        <v>0.71527777777777779</v>
      </c>
      <c r="G392" s="647"/>
      <c r="H392" s="648"/>
      <c r="I392" s="649"/>
      <c r="J392" s="650"/>
      <c r="K392" s="651"/>
      <c r="L392" s="652"/>
    </row>
    <row r="393" spans="1:12" ht="15.75" x14ac:dyDescent="0.25">
      <c r="A393" s="647" t="s">
        <v>961</v>
      </c>
      <c r="B393" s="648"/>
      <c r="C393" s="649"/>
      <c r="D393" s="650" t="s">
        <v>160</v>
      </c>
      <c r="E393" s="651"/>
      <c r="F393" s="653">
        <v>0.75347222222222221</v>
      </c>
      <c r="G393" s="647"/>
      <c r="H393" s="648"/>
      <c r="I393" s="649"/>
      <c r="J393" s="650"/>
      <c r="K393" s="651"/>
      <c r="L393" s="652"/>
    </row>
    <row r="394" spans="1:12" ht="15.75" x14ac:dyDescent="0.25">
      <c r="A394" s="647"/>
      <c r="B394" s="648"/>
      <c r="C394" s="649"/>
      <c r="D394" s="655" t="s">
        <v>962</v>
      </c>
      <c r="E394" s="651"/>
      <c r="F394" s="656">
        <v>0.76041666666666663</v>
      </c>
      <c r="G394" s="647"/>
      <c r="H394" s="648"/>
      <c r="I394" s="649"/>
      <c r="J394" s="650"/>
      <c r="K394" s="651"/>
      <c r="L394" s="652"/>
    </row>
    <row r="395" spans="1:12" ht="15.75" x14ac:dyDescent="0.25">
      <c r="A395" s="647"/>
      <c r="B395" s="648"/>
      <c r="C395" s="649"/>
      <c r="D395" s="655" t="s">
        <v>960</v>
      </c>
      <c r="E395" s="657">
        <v>0.79513888888888884</v>
      </c>
      <c r="F395" s="656"/>
      <c r="G395" s="647"/>
      <c r="H395" s="648"/>
      <c r="I395" s="649"/>
      <c r="J395" s="650"/>
      <c r="K395" s="651"/>
      <c r="L395" s="652"/>
    </row>
    <row r="396" spans="1:12" ht="15.75" x14ac:dyDescent="0.25">
      <c r="A396" s="647"/>
      <c r="B396" s="648" t="s">
        <v>459</v>
      </c>
      <c r="C396" s="649">
        <v>26</v>
      </c>
      <c r="D396" s="650" t="s">
        <v>1473</v>
      </c>
      <c r="E396" s="657"/>
      <c r="F396" s="653"/>
      <c r="G396" s="647"/>
      <c r="H396" s="648"/>
      <c r="I396" s="649"/>
      <c r="J396" s="650"/>
      <c r="K396" s="651"/>
      <c r="L396" s="652"/>
    </row>
    <row r="397" spans="1:12" ht="15.75" x14ac:dyDescent="0.25">
      <c r="A397" s="647"/>
      <c r="B397" s="648"/>
      <c r="C397" s="649"/>
      <c r="D397" s="650"/>
      <c r="E397" s="657"/>
      <c r="F397" s="658"/>
      <c r="G397" s="647"/>
      <c r="H397" s="648"/>
      <c r="I397" s="649"/>
      <c r="J397" s="650"/>
      <c r="K397" s="651"/>
      <c r="L397" s="658"/>
    </row>
    <row r="398" spans="1:12" ht="15.75" x14ac:dyDescent="0.25">
      <c r="A398" s="647"/>
      <c r="B398" s="648"/>
      <c r="C398" s="649"/>
      <c r="D398" s="655"/>
      <c r="E398" s="657"/>
      <c r="F398" s="653"/>
      <c r="G398" s="647"/>
      <c r="H398" s="648"/>
      <c r="I398" s="649"/>
      <c r="J398" s="655"/>
      <c r="K398" s="651"/>
      <c r="L398" s="658"/>
    </row>
    <row r="399" spans="1:12" ht="15.75" x14ac:dyDescent="0.25">
      <c r="A399" s="647"/>
      <c r="B399" s="648"/>
      <c r="C399" s="649"/>
      <c r="D399" s="650"/>
      <c r="E399" s="651"/>
      <c r="F399" s="652"/>
      <c r="G399" s="647"/>
      <c r="H399" s="648"/>
      <c r="I399" s="649"/>
      <c r="J399" s="650"/>
      <c r="K399" s="651"/>
      <c r="L399" s="658"/>
    </row>
    <row r="400" spans="1:12" ht="16.5" thickBot="1" x14ac:dyDescent="0.3">
      <c r="A400" s="659"/>
      <c r="B400" s="660"/>
      <c r="C400" s="661"/>
      <c r="D400" s="662"/>
      <c r="E400" s="663"/>
      <c r="F400" s="664"/>
      <c r="G400" s="665"/>
      <c r="H400" s="666"/>
      <c r="I400" s="667"/>
      <c r="J400" s="668"/>
      <c r="K400" s="663"/>
      <c r="L400" s="669"/>
    </row>
    <row r="401" spans="1:12" ht="21" x14ac:dyDescent="0.35">
      <c r="A401" s="769" t="s">
        <v>945</v>
      </c>
      <c r="B401" s="770"/>
      <c r="C401" s="770"/>
      <c r="D401" s="770"/>
      <c r="E401" s="770"/>
      <c r="F401" s="770"/>
      <c r="G401" s="770"/>
      <c r="H401" s="770"/>
      <c r="I401" s="770"/>
      <c r="J401" s="770"/>
      <c r="K401" s="770"/>
      <c r="L401" s="771"/>
    </row>
    <row r="402" spans="1:12" ht="18.75" x14ac:dyDescent="0.3">
      <c r="A402" s="772" t="s">
        <v>946</v>
      </c>
      <c r="B402" s="773"/>
      <c r="C402" s="773"/>
      <c r="D402" s="773"/>
      <c r="E402" s="773"/>
      <c r="F402" s="773"/>
      <c r="G402" s="773"/>
      <c r="H402" s="773"/>
      <c r="I402" s="773"/>
      <c r="J402" s="773"/>
      <c r="K402" s="773"/>
      <c r="L402" s="774"/>
    </row>
    <row r="403" spans="1:12" ht="24" x14ac:dyDescent="0.4">
      <c r="A403" s="775" t="s">
        <v>947</v>
      </c>
      <c r="B403" s="776"/>
      <c r="C403" s="776"/>
      <c r="D403" s="776"/>
      <c r="E403" s="776"/>
      <c r="F403" s="776"/>
      <c r="G403" s="776"/>
      <c r="H403" s="776"/>
      <c r="I403" s="776"/>
      <c r="J403" s="776"/>
      <c r="K403" s="776"/>
      <c r="L403" s="777"/>
    </row>
    <row r="404" spans="1:12" ht="24" x14ac:dyDescent="0.4">
      <c r="A404" s="670" t="s">
        <v>1279</v>
      </c>
      <c r="B404" s="671"/>
      <c r="C404" s="671"/>
      <c r="D404" s="672" t="s">
        <v>949</v>
      </c>
      <c r="E404" s="778" t="s">
        <v>851</v>
      </c>
      <c r="F404" s="778"/>
      <c r="G404" s="778"/>
      <c r="H404" s="778"/>
      <c r="I404" s="778"/>
      <c r="J404" s="673" t="s">
        <v>1050</v>
      </c>
      <c r="K404" s="778"/>
      <c r="L404" s="779"/>
    </row>
    <row r="405" spans="1:12" ht="15.75" thickBot="1" x14ac:dyDescent="0.3">
      <c r="A405" s="674"/>
      <c r="B405" s="675"/>
      <c r="C405" s="675"/>
      <c r="D405" s="676"/>
      <c r="E405" s="675"/>
      <c r="F405" s="675"/>
      <c r="G405" s="675"/>
      <c r="H405" s="675"/>
      <c r="I405" s="780"/>
      <c r="J405" s="780"/>
      <c r="K405" s="675"/>
      <c r="L405" s="677"/>
    </row>
    <row r="406" spans="1:12" ht="16.5" thickBot="1" x14ac:dyDescent="0.3">
      <c r="A406" s="631" t="s">
        <v>952</v>
      </c>
      <c r="B406" s="632"/>
      <c r="C406" s="633"/>
      <c r="D406" s="634" t="s">
        <v>953</v>
      </c>
      <c r="E406" s="631" t="s">
        <v>954</v>
      </c>
      <c r="F406" s="635" t="s">
        <v>955</v>
      </c>
      <c r="G406" s="631" t="s">
        <v>952</v>
      </c>
      <c r="H406" s="632"/>
      <c r="I406" s="633"/>
      <c r="J406" s="634" t="s">
        <v>953</v>
      </c>
      <c r="K406" s="631" t="s">
        <v>954</v>
      </c>
      <c r="L406" s="631" t="s">
        <v>955</v>
      </c>
    </row>
    <row r="407" spans="1:12" ht="15.75" x14ac:dyDescent="0.25">
      <c r="A407" s="636"/>
      <c r="B407" s="637"/>
      <c r="C407" s="638"/>
      <c r="D407" s="639"/>
      <c r="E407" s="640"/>
      <c r="F407" s="641"/>
      <c r="G407" s="636"/>
      <c r="H407" s="642"/>
      <c r="I407" s="643"/>
      <c r="J407" s="644"/>
      <c r="K407" s="645"/>
      <c r="L407" s="646"/>
    </row>
    <row r="408" spans="1:12" ht="15.75" x14ac:dyDescent="0.25">
      <c r="A408" s="647"/>
      <c r="B408" s="648" t="s">
        <v>459</v>
      </c>
      <c r="C408" s="649">
        <v>11</v>
      </c>
      <c r="D408" s="650" t="s">
        <v>1474</v>
      </c>
      <c r="E408" s="651"/>
      <c r="F408" s="652"/>
      <c r="G408" s="647"/>
      <c r="H408" s="648"/>
      <c r="I408" s="649"/>
      <c r="J408" s="650"/>
      <c r="K408" s="651"/>
      <c r="L408" s="653"/>
    </row>
    <row r="409" spans="1:12" ht="15.75" x14ac:dyDescent="0.25">
      <c r="A409" s="647" t="s">
        <v>958</v>
      </c>
      <c r="B409" s="654"/>
      <c r="C409" s="649"/>
      <c r="D409" s="655" t="s">
        <v>959</v>
      </c>
      <c r="E409" s="651"/>
      <c r="F409" s="656">
        <v>0.3263888888888889</v>
      </c>
      <c r="G409" s="647"/>
      <c r="H409" s="648"/>
      <c r="I409" s="649"/>
      <c r="J409" s="655"/>
      <c r="K409" s="651"/>
      <c r="L409" s="656"/>
    </row>
    <row r="410" spans="1:12" ht="15.75" x14ac:dyDescent="0.25">
      <c r="A410" s="647" t="s">
        <v>961</v>
      </c>
      <c r="B410" s="654"/>
      <c r="C410" s="649"/>
      <c r="D410" s="650" t="s">
        <v>163</v>
      </c>
      <c r="E410" s="651"/>
      <c r="F410" s="653">
        <v>0.35416666666666669</v>
      </c>
      <c r="G410" s="647"/>
      <c r="H410" s="654"/>
      <c r="I410" s="649"/>
      <c r="J410" s="650"/>
      <c r="K410" s="657"/>
      <c r="L410" s="653"/>
    </row>
    <row r="411" spans="1:12" ht="15.75" x14ac:dyDescent="0.25">
      <c r="A411" s="647"/>
      <c r="B411" s="648"/>
      <c r="C411" s="649"/>
      <c r="D411" s="655" t="s">
        <v>164</v>
      </c>
      <c r="E411" s="651"/>
      <c r="F411" s="656">
        <v>0.375</v>
      </c>
      <c r="G411" s="647"/>
      <c r="H411" s="648"/>
      <c r="I411" s="649"/>
      <c r="J411" s="650"/>
      <c r="K411" s="657"/>
      <c r="L411" s="656"/>
    </row>
    <row r="412" spans="1:12" ht="15.75" x14ac:dyDescent="0.25">
      <c r="A412" s="647"/>
      <c r="B412" s="648"/>
      <c r="C412" s="649"/>
      <c r="D412" s="655" t="s">
        <v>166</v>
      </c>
      <c r="E412" s="651"/>
      <c r="F412" s="656">
        <v>0.3923611111111111</v>
      </c>
      <c r="G412" s="647"/>
      <c r="H412" s="648"/>
      <c r="I412" s="649"/>
      <c r="J412" s="650"/>
      <c r="K412" s="657"/>
      <c r="L412" s="653"/>
    </row>
    <row r="413" spans="1:12" ht="15.75" x14ac:dyDescent="0.25">
      <c r="A413" s="647" t="s">
        <v>961</v>
      </c>
      <c r="B413" s="648"/>
      <c r="C413" s="649"/>
      <c r="D413" s="650" t="s">
        <v>160</v>
      </c>
      <c r="E413" s="651"/>
      <c r="F413" s="653">
        <v>0.43055555555555558</v>
      </c>
      <c r="G413" s="647"/>
      <c r="H413" s="648"/>
      <c r="I413" s="649"/>
      <c r="J413" s="650"/>
      <c r="K413" s="657"/>
      <c r="L413" s="653"/>
    </row>
    <row r="414" spans="1:12" ht="15.75" x14ac:dyDescent="0.25">
      <c r="A414" s="647"/>
      <c r="B414" s="648"/>
      <c r="C414" s="649"/>
      <c r="D414" s="655" t="s">
        <v>962</v>
      </c>
      <c r="E414" s="651"/>
      <c r="F414" s="656">
        <v>0.4375</v>
      </c>
      <c r="G414" s="647"/>
      <c r="H414" s="648"/>
      <c r="I414" s="649"/>
      <c r="J414" s="650"/>
      <c r="K414" s="651"/>
      <c r="L414" s="652"/>
    </row>
    <row r="415" spans="1:12" ht="15.75" x14ac:dyDescent="0.25">
      <c r="A415" s="647"/>
      <c r="B415" s="648"/>
      <c r="C415" s="649"/>
      <c r="D415" s="655" t="s">
        <v>960</v>
      </c>
      <c r="E415" s="651"/>
      <c r="F415" s="656">
        <v>0.46875</v>
      </c>
      <c r="G415" s="647"/>
      <c r="H415" s="648"/>
      <c r="I415" s="649"/>
      <c r="J415" s="650"/>
      <c r="K415" s="651"/>
      <c r="L415" s="652"/>
    </row>
    <row r="416" spans="1:12" ht="15.75" x14ac:dyDescent="0.25">
      <c r="A416" s="647" t="s">
        <v>958</v>
      </c>
      <c r="B416" s="654"/>
      <c r="C416" s="649"/>
      <c r="D416" s="650" t="s">
        <v>163</v>
      </c>
      <c r="E416" s="657">
        <v>0.52430555555555558</v>
      </c>
      <c r="F416" s="653"/>
      <c r="G416" s="647"/>
      <c r="H416" s="648"/>
      <c r="I416" s="649"/>
      <c r="J416" s="650"/>
      <c r="K416" s="651"/>
      <c r="L416" s="652"/>
    </row>
    <row r="417" spans="1:12" ht="15.75" x14ac:dyDescent="0.25">
      <c r="A417" s="647"/>
      <c r="B417" s="648"/>
      <c r="C417" s="649"/>
      <c r="D417" s="650" t="s">
        <v>963</v>
      </c>
      <c r="E417" s="657">
        <v>0.54861111111111116</v>
      </c>
      <c r="F417" s="656"/>
      <c r="G417" s="647"/>
      <c r="H417" s="648"/>
      <c r="I417" s="649"/>
      <c r="J417" s="650"/>
      <c r="K417" s="651"/>
      <c r="L417" s="652"/>
    </row>
    <row r="418" spans="1:12" ht="15.75" x14ac:dyDescent="0.25">
      <c r="A418" s="647"/>
      <c r="B418" s="648" t="s">
        <v>462</v>
      </c>
      <c r="C418" s="649" t="s">
        <v>459</v>
      </c>
      <c r="D418" s="650"/>
      <c r="E418" s="657"/>
      <c r="F418" s="656"/>
      <c r="G418" s="647"/>
      <c r="H418" s="648"/>
      <c r="I418" s="649"/>
      <c r="J418" s="650"/>
      <c r="K418" s="651"/>
      <c r="L418" s="652"/>
    </row>
    <row r="419" spans="1:12" ht="15.75" x14ac:dyDescent="0.25">
      <c r="A419" s="647"/>
      <c r="B419" s="648"/>
      <c r="C419" s="649"/>
      <c r="D419" s="650"/>
      <c r="E419" s="657"/>
      <c r="F419" s="658"/>
      <c r="G419" s="647"/>
      <c r="H419" s="648"/>
      <c r="I419" s="649"/>
      <c r="J419" s="650"/>
      <c r="K419" s="651"/>
      <c r="L419" s="652"/>
    </row>
    <row r="420" spans="1:12" ht="15.75" x14ac:dyDescent="0.25">
      <c r="A420" s="647"/>
      <c r="B420" s="648"/>
      <c r="C420" s="649"/>
      <c r="D420" s="650"/>
      <c r="E420" s="651"/>
      <c r="F420" s="656"/>
      <c r="G420" s="647"/>
      <c r="H420" s="648"/>
      <c r="I420" s="649"/>
      <c r="J420" s="650"/>
      <c r="K420" s="651"/>
      <c r="L420" s="652"/>
    </row>
    <row r="421" spans="1:12" ht="15.75" x14ac:dyDescent="0.25">
      <c r="A421" s="647"/>
      <c r="B421" s="648"/>
      <c r="C421" s="649"/>
      <c r="D421" s="650"/>
      <c r="E421" s="651"/>
      <c r="F421" s="653"/>
      <c r="G421" s="647"/>
      <c r="H421" s="648"/>
      <c r="I421" s="649"/>
      <c r="J421" s="650"/>
      <c r="K421" s="651"/>
      <c r="L421" s="658"/>
    </row>
    <row r="422" spans="1:12" ht="15.75" x14ac:dyDescent="0.25">
      <c r="A422" s="647"/>
      <c r="B422" s="648"/>
      <c r="C422" s="649"/>
      <c r="D422" s="655"/>
      <c r="E422" s="651"/>
      <c r="F422" s="656"/>
      <c r="G422" s="647"/>
      <c r="H422" s="648"/>
      <c r="I422" s="649"/>
      <c r="J422" s="655"/>
      <c r="K422" s="651"/>
      <c r="L422" s="658"/>
    </row>
    <row r="423" spans="1:12" ht="15.75" x14ac:dyDescent="0.25">
      <c r="A423" s="647"/>
      <c r="B423" s="648"/>
      <c r="C423" s="649"/>
      <c r="D423" s="650"/>
      <c r="E423" s="651"/>
      <c r="F423" s="653"/>
      <c r="G423" s="647"/>
      <c r="H423" s="648"/>
      <c r="I423" s="649"/>
      <c r="J423" s="650"/>
      <c r="K423" s="651"/>
      <c r="L423" s="658"/>
    </row>
    <row r="424" spans="1:12" ht="15.75" x14ac:dyDescent="0.25">
      <c r="A424" s="647"/>
      <c r="B424" s="648"/>
      <c r="C424" s="649"/>
      <c r="D424" s="655"/>
      <c r="E424" s="651"/>
      <c r="F424" s="656"/>
      <c r="G424" s="647"/>
      <c r="H424" s="648"/>
      <c r="I424" s="649"/>
      <c r="J424" s="655"/>
      <c r="K424" s="651"/>
      <c r="L424" s="656"/>
    </row>
    <row r="425" spans="1:12" ht="15.75" x14ac:dyDescent="0.25">
      <c r="A425" s="647"/>
      <c r="B425" s="648"/>
      <c r="C425" s="649"/>
      <c r="D425" s="655"/>
      <c r="E425" s="657"/>
      <c r="F425" s="656"/>
      <c r="G425" s="647"/>
      <c r="H425" s="648"/>
      <c r="I425" s="649"/>
      <c r="J425" s="655"/>
      <c r="K425" s="651"/>
      <c r="L425" s="656"/>
    </row>
    <row r="426" spans="1:12" ht="15.75" x14ac:dyDescent="0.25">
      <c r="A426" s="647"/>
      <c r="B426" s="648"/>
      <c r="C426" s="649"/>
      <c r="D426" s="650"/>
      <c r="E426" s="651"/>
      <c r="F426" s="658"/>
      <c r="G426" s="647"/>
      <c r="H426" s="654"/>
      <c r="I426" s="649"/>
      <c r="J426" s="650"/>
      <c r="K426" s="657"/>
      <c r="L426" s="653"/>
    </row>
    <row r="427" spans="1:12" ht="15.75" x14ac:dyDescent="0.25">
      <c r="A427" s="647"/>
      <c r="B427" s="648"/>
      <c r="C427" s="649"/>
      <c r="D427" s="650"/>
      <c r="E427" s="651"/>
      <c r="F427" s="656"/>
      <c r="G427" s="647"/>
      <c r="H427" s="648"/>
      <c r="I427" s="649"/>
      <c r="J427" s="650"/>
      <c r="K427" s="657"/>
      <c r="L427" s="656"/>
    </row>
    <row r="428" spans="1:12" ht="15.75" x14ac:dyDescent="0.25">
      <c r="A428" s="647"/>
      <c r="B428" s="648"/>
      <c r="C428" s="649"/>
      <c r="D428" s="650"/>
      <c r="E428" s="651"/>
      <c r="F428" s="653"/>
      <c r="G428" s="647"/>
      <c r="H428" s="648"/>
      <c r="I428" s="649"/>
      <c r="J428" s="650"/>
      <c r="K428" s="657"/>
      <c r="L428" s="653"/>
    </row>
    <row r="429" spans="1:12" ht="15.75" x14ac:dyDescent="0.25">
      <c r="A429" s="647"/>
      <c r="B429" s="648"/>
      <c r="C429" s="649"/>
      <c r="D429" s="655"/>
      <c r="E429" s="651"/>
      <c r="F429" s="656"/>
      <c r="G429" s="647"/>
      <c r="H429" s="648"/>
      <c r="I429" s="649"/>
      <c r="J429" s="650"/>
      <c r="K429" s="657"/>
      <c r="L429" s="653"/>
    </row>
    <row r="430" spans="1:12" ht="15.75" x14ac:dyDescent="0.25">
      <c r="A430" s="647"/>
      <c r="B430" s="654"/>
      <c r="C430" s="649"/>
      <c r="D430" s="650"/>
      <c r="E430" s="651"/>
      <c r="F430" s="653"/>
      <c r="G430" s="647"/>
      <c r="H430" s="648"/>
      <c r="I430" s="649"/>
      <c r="J430" s="650"/>
      <c r="K430" s="651"/>
      <c r="L430" s="652"/>
    </row>
    <row r="431" spans="1:12" ht="15.75" x14ac:dyDescent="0.25">
      <c r="A431" s="647"/>
      <c r="B431" s="648"/>
      <c r="C431" s="649"/>
      <c r="D431" s="655"/>
      <c r="E431" s="651"/>
      <c r="F431" s="656"/>
      <c r="G431" s="647"/>
      <c r="H431" s="648"/>
      <c r="I431" s="649"/>
      <c r="J431" s="650"/>
      <c r="K431" s="651"/>
      <c r="L431" s="652"/>
    </row>
    <row r="432" spans="1:12" ht="15.75" x14ac:dyDescent="0.25">
      <c r="A432" s="647"/>
      <c r="B432" s="648"/>
      <c r="C432" s="649"/>
      <c r="D432" s="655"/>
      <c r="E432" s="651"/>
      <c r="F432" s="656"/>
      <c r="G432" s="647"/>
      <c r="H432" s="648"/>
      <c r="I432" s="649"/>
      <c r="J432" s="650"/>
      <c r="K432" s="651"/>
      <c r="L432" s="652"/>
    </row>
    <row r="433" spans="1:12" ht="15.75" x14ac:dyDescent="0.25">
      <c r="A433" s="647"/>
      <c r="B433" s="648"/>
      <c r="C433" s="649"/>
      <c r="D433" s="650"/>
      <c r="E433" s="651"/>
      <c r="F433" s="653"/>
      <c r="G433" s="647"/>
      <c r="H433" s="648"/>
      <c r="I433" s="649"/>
      <c r="J433" s="650"/>
      <c r="K433" s="651"/>
      <c r="L433" s="652"/>
    </row>
    <row r="434" spans="1:12" ht="15.75" x14ac:dyDescent="0.25">
      <c r="A434" s="647"/>
      <c r="B434" s="648"/>
      <c r="C434" s="649"/>
      <c r="D434" s="655"/>
      <c r="E434" s="651"/>
      <c r="F434" s="656"/>
      <c r="G434" s="647"/>
      <c r="H434" s="648"/>
      <c r="I434" s="649"/>
      <c r="J434" s="650"/>
      <c r="K434" s="651"/>
      <c r="L434" s="652"/>
    </row>
    <row r="435" spans="1:12" ht="15.75" x14ac:dyDescent="0.25">
      <c r="A435" s="647"/>
      <c r="B435" s="648"/>
      <c r="C435" s="649"/>
      <c r="D435" s="655"/>
      <c r="E435" s="657"/>
      <c r="F435" s="656"/>
      <c r="G435" s="647"/>
      <c r="H435" s="648"/>
      <c r="I435" s="649"/>
      <c r="J435" s="650"/>
      <c r="K435" s="651"/>
      <c r="L435" s="652"/>
    </row>
    <row r="436" spans="1:12" ht="15.75" x14ac:dyDescent="0.25">
      <c r="A436" s="647"/>
      <c r="B436" s="648"/>
      <c r="C436" s="649"/>
      <c r="D436" s="650"/>
      <c r="E436" s="657"/>
      <c r="F436" s="653"/>
      <c r="G436" s="647"/>
      <c r="H436" s="648"/>
      <c r="I436" s="649"/>
      <c r="J436" s="650"/>
      <c r="K436" s="651"/>
      <c r="L436" s="652"/>
    </row>
    <row r="437" spans="1:12" ht="15.75" x14ac:dyDescent="0.25">
      <c r="A437" s="647"/>
      <c r="B437" s="648"/>
      <c r="C437" s="649"/>
      <c r="D437" s="650"/>
      <c r="E437" s="657"/>
      <c r="F437" s="658"/>
      <c r="G437" s="647"/>
      <c r="H437" s="648"/>
      <c r="I437" s="649"/>
      <c r="J437" s="650"/>
      <c r="K437" s="651"/>
      <c r="L437" s="658"/>
    </row>
    <row r="438" spans="1:12" ht="15.75" x14ac:dyDescent="0.25">
      <c r="A438" s="647"/>
      <c r="B438" s="648"/>
      <c r="C438" s="649"/>
      <c r="D438" s="655"/>
      <c r="E438" s="657"/>
      <c r="F438" s="653"/>
      <c r="G438" s="647"/>
      <c r="H438" s="648"/>
      <c r="I438" s="649"/>
      <c r="J438" s="655"/>
      <c r="K438" s="651"/>
      <c r="L438" s="658"/>
    </row>
    <row r="439" spans="1:12" ht="15.75" x14ac:dyDescent="0.25">
      <c r="A439" s="647"/>
      <c r="B439" s="648"/>
      <c r="C439" s="649"/>
      <c r="D439" s="650"/>
      <c r="E439" s="651"/>
      <c r="F439" s="652"/>
      <c r="G439" s="647"/>
      <c r="H439" s="648"/>
      <c r="I439" s="649"/>
      <c r="J439" s="650"/>
      <c r="K439" s="651"/>
      <c r="L439" s="658"/>
    </row>
    <row r="440" spans="1:12" ht="16.5" thickBot="1" x14ac:dyDescent="0.3">
      <c r="A440" s="659"/>
      <c r="B440" s="660"/>
      <c r="C440" s="661"/>
      <c r="D440" s="662"/>
      <c r="E440" s="663"/>
      <c r="F440" s="664"/>
      <c r="G440" s="665"/>
      <c r="H440" s="666"/>
      <c r="I440" s="667"/>
      <c r="J440" s="668"/>
      <c r="K440" s="663"/>
      <c r="L440" s="669"/>
    </row>
    <row r="441" spans="1:12" ht="21" x14ac:dyDescent="0.35">
      <c r="A441" s="769" t="s">
        <v>945</v>
      </c>
      <c r="B441" s="770"/>
      <c r="C441" s="770"/>
      <c r="D441" s="770"/>
      <c r="E441" s="770"/>
      <c r="F441" s="770"/>
      <c r="G441" s="770"/>
      <c r="H441" s="770"/>
      <c r="I441" s="770"/>
      <c r="J441" s="770"/>
      <c r="K441" s="770"/>
      <c r="L441" s="771"/>
    </row>
    <row r="442" spans="1:12" ht="18.75" x14ac:dyDescent="0.3">
      <c r="A442" s="772" t="s">
        <v>946</v>
      </c>
      <c r="B442" s="773"/>
      <c r="C442" s="773"/>
      <c r="D442" s="773"/>
      <c r="E442" s="773"/>
      <c r="F442" s="773"/>
      <c r="G442" s="773"/>
      <c r="H442" s="773"/>
      <c r="I442" s="773"/>
      <c r="J442" s="773"/>
      <c r="K442" s="773"/>
      <c r="L442" s="774"/>
    </row>
    <row r="443" spans="1:12" ht="24" x14ac:dyDescent="0.4">
      <c r="A443" s="775" t="s">
        <v>947</v>
      </c>
      <c r="B443" s="776"/>
      <c r="C443" s="776"/>
      <c r="D443" s="776"/>
      <c r="E443" s="776"/>
      <c r="F443" s="776"/>
      <c r="G443" s="776"/>
      <c r="H443" s="776"/>
      <c r="I443" s="776"/>
      <c r="J443" s="776"/>
      <c r="K443" s="776"/>
      <c r="L443" s="777"/>
    </row>
    <row r="444" spans="1:12" ht="24" x14ac:dyDescent="0.4">
      <c r="A444" s="670" t="s">
        <v>1279</v>
      </c>
      <c r="B444" s="671"/>
      <c r="C444" s="671"/>
      <c r="D444" s="672" t="s">
        <v>949</v>
      </c>
      <c r="E444" s="778" t="s">
        <v>851</v>
      </c>
      <c r="F444" s="778"/>
      <c r="G444" s="778"/>
      <c r="H444" s="778"/>
      <c r="I444" s="778"/>
      <c r="J444" s="673" t="s">
        <v>1056</v>
      </c>
      <c r="K444" s="778"/>
      <c r="L444" s="779"/>
    </row>
    <row r="445" spans="1:12" ht="15.75" thickBot="1" x14ac:dyDescent="0.3">
      <c r="A445" s="674"/>
      <c r="B445" s="675"/>
      <c r="C445" s="675"/>
      <c r="D445" s="676"/>
      <c r="E445" s="675"/>
      <c r="F445" s="675"/>
      <c r="G445" s="675"/>
      <c r="H445" s="675"/>
      <c r="I445" s="780"/>
      <c r="J445" s="780"/>
      <c r="K445" s="675"/>
      <c r="L445" s="677"/>
    </row>
    <row r="446" spans="1:12" ht="16.5" thickBot="1" x14ac:dyDescent="0.3">
      <c r="A446" s="631" t="s">
        <v>952</v>
      </c>
      <c r="B446" s="632"/>
      <c r="C446" s="633"/>
      <c r="D446" s="634" t="s">
        <v>953</v>
      </c>
      <c r="E446" s="631" t="s">
        <v>954</v>
      </c>
      <c r="F446" s="635" t="s">
        <v>955</v>
      </c>
      <c r="G446" s="631" t="s">
        <v>952</v>
      </c>
      <c r="H446" s="632"/>
      <c r="I446" s="633"/>
      <c r="J446" s="634" t="s">
        <v>953</v>
      </c>
      <c r="K446" s="631" t="s">
        <v>954</v>
      </c>
      <c r="L446" s="631" t="s">
        <v>955</v>
      </c>
    </row>
    <row r="447" spans="1:12" ht="15.75" x14ac:dyDescent="0.25">
      <c r="A447" s="636"/>
      <c r="B447" s="637"/>
      <c r="C447" s="638"/>
      <c r="D447" s="639"/>
      <c r="E447" s="640"/>
      <c r="F447" s="641"/>
      <c r="G447" s="636"/>
      <c r="H447" s="642"/>
      <c r="I447" s="643"/>
      <c r="J447" s="644"/>
      <c r="K447" s="645"/>
      <c r="L447" s="646"/>
    </row>
    <row r="448" spans="1:12" ht="15.75" x14ac:dyDescent="0.25">
      <c r="A448" s="647"/>
      <c r="B448" s="648" t="s">
        <v>459</v>
      </c>
      <c r="C448" s="649">
        <v>12</v>
      </c>
      <c r="D448" s="650" t="s">
        <v>1475</v>
      </c>
      <c r="E448" s="651"/>
      <c r="F448" s="652"/>
      <c r="G448" s="647"/>
      <c r="H448" s="648" t="s">
        <v>459</v>
      </c>
      <c r="I448" s="649">
        <v>73</v>
      </c>
      <c r="J448" s="650" t="s">
        <v>1476</v>
      </c>
      <c r="K448" s="651"/>
      <c r="L448" s="653"/>
    </row>
    <row r="449" spans="1:12" ht="15.75" x14ac:dyDescent="0.25">
      <c r="A449" s="647" t="s">
        <v>958</v>
      </c>
      <c r="B449" s="654"/>
      <c r="C449" s="649"/>
      <c r="D449" s="655" t="s">
        <v>959</v>
      </c>
      <c r="E449" s="651"/>
      <c r="F449" s="656">
        <v>0.375</v>
      </c>
      <c r="G449" s="647"/>
      <c r="H449" s="648"/>
      <c r="I449" s="649"/>
      <c r="J449" s="655" t="s">
        <v>166</v>
      </c>
      <c r="K449" s="651"/>
      <c r="L449" s="656">
        <v>0.86805555555555558</v>
      </c>
    </row>
    <row r="450" spans="1:12" ht="15.75" x14ac:dyDescent="0.25">
      <c r="A450" s="647" t="s">
        <v>961</v>
      </c>
      <c r="B450" s="648"/>
      <c r="C450" s="649"/>
      <c r="D450" s="650" t="s">
        <v>160</v>
      </c>
      <c r="E450" s="651"/>
      <c r="F450" s="653">
        <v>0.4201388888888889</v>
      </c>
      <c r="G450" s="647" t="s">
        <v>961</v>
      </c>
      <c r="H450" s="648"/>
      <c r="I450" s="649"/>
      <c r="J450" s="650" t="s">
        <v>160</v>
      </c>
      <c r="K450" s="651"/>
      <c r="L450" s="653">
        <v>0.90972222222222221</v>
      </c>
    </row>
    <row r="451" spans="1:12" ht="15.75" x14ac:dyDescent="0.25">
      <c r="A451" s="647"/>
      <c r="B451" s="648"/>
      <c r="C451" s="649"/>
      <c r="D451" s="655" t="s">
        <v>962</v>
      </c>
      <c r="E451" s="651"/>
      <c r="F451" s="656">
        <v>0.42708333333333331</v>
      </c>
      <c r="G451" s="647"/>
      <c r="H451" s="648"/>
      <c r="I451" s="649"/>
      <c r="J451" s="655" t="s">
        <v>962</v>
      </c>
      <c r="K451" s="651"/>
      <c r="L451" s="656">
        <v>0.91666666666666663</v>
      </c>
    </row>
    <row r="452" spans="1:12" ht="15.75" x14ac:dyDescent="0.25">
      <c r="A452" s="647"/>
      <c r="B452" s="648"/>
      <c r="C452" s="649"/>
      <c r="D452" s="655" t="s">
        <v>960</v>
      </c>
      <c r="E452" s="651"/>
      <c r="F452" s="656">
        <v>0.45833333333333331</v>
      </c>
      <c r="G452" s="647"/>
      <c r="H452" s="648"/>
      <c r="I452" s="649"/>
      <c r="J452" s="655" t="s">
        <v>960</v>
      </c>
      <c r="K452" s="651"/>
      <c r="L452" s="656">
        <v>0.94097222222222221</v>
      </c>
    </row>
    <row r="453" spans="1:12" ht="15.75" x14ac:dyDescent="0.25">
      <c r="A453" s="647" t="s">
        <v>961</v>
      </c>
      <c r="B453" s="654"/>
      <c r="C453" s="649"/>
      <c r="D453" s="650" t="s">
        <v>163</v>
      </c>
      <c r="E453" s="651"/>
      <c r="F453" s="653">
        <v>0.50347222222222221</v>
      </c>
      <c r="G453" s="647" t="s">
        <v>961</v>
      </c>
      <c r="H453" s="654"/>
      <c r="I453" s="649"/>
      <c r="J453" s="650" t="s">
        <v>163</v>
      </c>
      <c r="K453" s="651"/>
      <c r="L453" s="653">
        <v>0.97916666666666663</v>
      </c>
    </row>
    <row r="454" spans="1:12" ht="15.75" x14ac:dyDescent="0.25">
      <c r="A454" s="647"/>
      <c r="B454" s="648"/>
      <c r="C454" s="649"/>
      <c r="D454" s="655" t="s">
        <v>164</v>
      </c>
      <c r="E454" s="651"/>
      <c r="F454" s="656">
        <v>0.53125</v>
      </c>
      <c r="G454" s="647"/>
      <c r="H454" s="648"/>
      <c r="I454" s="649"/>
      <c r="J454" s="655" t="s">
        <v>164</v>
      </c>
      <c r="K454" s="651"/>
      <c r="L454" s="656">
        <v>0</v>
      </c>
    </row>
    <row r="455" spans="1:12" ht="15.75" x14ac:dyDescent="0.25">
      <c r="A455" s="647"/>
      <c r="B455" s="648"/>
      <c r="C455" s="649"/>
      <c r="D455" s="655" t="s">
        <v>166</v>
      </c>
      <c r="E455" s="657">
        <v>0.54513888888888884</v>
      </c>
      <c r="F455" s="656"/>
      <c r="G455" s="647"/>
      <c r="H455" s="648"/>
      <c r="I455" s="649"/>
      <c r="J455" s="655" t="s">
        <v>166</v>
      </c>
      <c r="K455" s="651"/>
      <c r="L455" s="656">
        <v>6.9444444444444441E-3</v>
      </c>
    </row>
    <row r="456" spans="1:12" ht="15.75" x14ac:dyDescent="0.25">
      <c r="A456" s="647"/>
      <c r="B456" s="648" t="s">
        <v>459</v>
      </c>
      <c r="C456" s="649">
        <v>12</v>
      </c>
      <c r="D456" s="650" t="s">
        <v>1477</v>
      </c>
      <c r="E456" s="651"/>
      <c r="F456" s="658"/>
      <c r="G456" s="647" t="s">
        <v>958</v>
      </c>
      <c r="H456" s="648"/>
      <c r="I456" s="649"/>
      <c r="J456" s="650" t="s">
        <v>160</v>
      </c>
      <c r="K456" s="657">
        <v>4.1666666666666664E-2</v>
      </c>
      <c r="L456" s="653"/>
    </row>
    <row r="457" spans="1:12" ht="15.75" x14ac:dyDescent="0.25">
      <c r="A457" s="647"/>
      <c r="B457" s="648"/>
      <c r="C457" s="649"/>
      <c r="D457" s="650"/>
      <c r="E457" s="651"/>
      <c r="F457" s="656"/>
      <c r="G457" s="647"/>
      <c r="H457" s="648"/>
      <c r="I457" s="649"/>
      <c r="J457" s="650" t="s">
        <v>963</v>
      </c>
      <c r="K457" s="657">
        <v>7.2916666666666671E-2</v>
      </c>
      <c r="L457" s="656"/>
    </row>
    <row r="458" spans="1:12" ht="15.75" x14ac:dyDescent="0.25">
      <c r="A458" s="647"/>
      <c r="B458" s="648" t="s">
        <v>459</v>
      </c>
      <c r="C458" s="649">
        <v>201</v>
      </c>
      <c r="D458" s="650" t="s">
        <v>1209</v>
      </c>
      <c r="E458" s="651"/>
      <c r="F458" s="653"/>
      <c r="G458" s="647"/>
      <c r="H458" s="648" t="s">
        <v>459</v>
      </c>
      <c r="I458" s="649">
        <v>73</v>
      </c>
      <c r="J458" s="650" t="s">
        <v>1478</v>
      </c>
      <c r="K458" s="657"/>
      <c r="L458" s="653"/>
    </row>
    <row r="459" spans="1:12" ht="15.75" x14ac:dyDescent="0.25">
      <c r="A459" s="647"/>
      <c r="B459" s="648"/>
      <c r="C459" s="649"/>
      <c r="D459" s="655" t="s">
        <v>166</v>
      </c>
      <c r="E459" s="651"/>
      <c r="F459" s="656">
        <v>0.54513888888888884</v>
      </c>
      <c r="G459" s="647"/>
      <c r="H459" s="648"/>
      <c r="I459" s="649"/>
      <c r="J459" s="650"/>
      <c r="K459" s="657"/>
      <c r="L459" s="653"/>
    </row>
    <row r="460" spans="1:12" ht="15.75" x14ac:dyDescent="0.25">
      <c r="A460" s="647" t="s">
        <v>961</v>
      </c>
      <c r="B460" s="648"/>
      <c r="C460" s="649"/>
      <c r="D460" s="650" t="s">
        <v>160</v>
      </c>
      <c r="E460" s="651"/>
      <c r="F460" s="653">
        <v>0.58680555555555558</v>
      </c>
      <c r="G460" s="647"/>
      <c r="H460" s="648"/>
      <c r="I460" s="649"/>
      <c r="J460" s="650"/>
      <c r="K460" s="651"/>
      <c r="L460" s="652"/>
    </row>
    <row r="461" spans="1:12" ht="15.75" x14ac:dyDescent="0.25">
      <c r="A461" s="647"/>
      <c r="B461" s="648"/>
      <c r="C461" s="649"/>
      <c r="D461" s="655" t="s">
        <v>962</v>
      </c>
      <c r="E461" s="651"/>
      <c r="F461" s="656">
        <v>0.59375</v>
      </c>
      <c r="G461" s="647"/>
      <c r="H461" s="648"/>
      <c r="I461" s="649"/>
      <c r="J461" s="650"/>
      <c r="K461" s="651"/>
      <c r="L461" s="652"/>
    </row>
    <row r="462" spans="1:12" ht="15.75" x14ac:dyDescent="0.25">
      <c r="A462" s="647"/>
      <c r="B462" s="648"/>
      <c r="C462" s="649"/>
      <c r="D462" s="655" t="s">
        <v>960</v>
      </c>
      <c r="E462" s="651"/>
      <c r="F462" s="656">
        <v>0.62152777777777779</v>
      </c>
      <c r="G462" s="647"/>
      <c r="H462" s="648"/>
      <c r="I462" s="649"/>
      <c r="J462" s="650"/>
      <c r="K462" s="651"/>
      <c r="L462" s="652"/>
    </row>
    <row r="463" spans="1:12" ht="15.75" x14ac:dyDescent="0.25">
      <c r="A463" s="647" t="s">
        <v>961</v>
      </c>
      <c r="B463" s="654"/>
      <c r="C463" s="649"/>
      <c r="D463" s="650" t="s">
        <v>163</v>
      </c>
      <c r="E463" s="651"/>
      <c r="F463" s="653">
        <v>0.68055555555555558</v>
      </c>
      <c r="G463" s="647"/>
      <c r="H463" s="648"/>
      <c r="I463" s="649"/>
      <c r="J463" s="650"/>
      <c r="K463" s="651"/>
      <c r="L463" s="652"/>
    </row>
    <row r="464" spans="1:12" ht="15.75" x14ac:dyDescent="0.25">
      <c r="A464" s="647"/>
      <c r="B464" s="648"/>
      <c r="C464" s="649"/>
      <c r="D464" s="655" t="s">
        <v>164</v>
      </c>
      <c r="E464" s="651"/>
      <c r="F464" s="656">
        <v>0.70833333333333337</v>
      </c>
      <c r="G464" s="647"/>
      <c r="H464" s="648"/>
      <c r="I464" s="649"/>
      <c r="J464" s="650"/>
      <c r="K464" s="651"/>
      <c r="L464" s="652"/>
    </row>
    <row r="465" spans="1:12" ht="15.75" x14ac:dyDescent="0.25">
      <c r="A465" s="647"/>
      <c r="B465" s="648"/>
      <c r="C465" s="649"/>
      <c r="D465" s="655" t="s">
        <v>166</v>
      </c>
      <c r="E465" s="657">
        <v>0.72222222222222221</v>
      </c>
      <c r="F465" s="656"/>
      <c r="G465" s="647"/>
      <c r="H465" s="648"/>
      <c r="I465" s="649"/>
      <c r="J465" s="650"/>
      <c r="K465" s="651"/>
      <c r="L465" s="652"/>
    </row>
    <row r="466" spans="1:12" ht="15.75" x14ac:dyDescent="0.25">
      <c r="A466" s="647"/>
      <c r="B466" s="648" t="s">
        <v>462</v>
      </c>
      <c r="C466" s="649" t="s">
        <v>459</v>
      </c>
      <c r="D466" s="650"/>
      <c r="E466" s="651"/>
      <c r="F466" s="658"/>
      <c r="G466" s="647"/>
      <c r="H466" s="648"/>
      <c r="I466" s="649"/>
      <c r="J466" s="650"/>
      <c r="K466" s="651"/>
      <c r="L466" s="652"/>
    </row>
    <row r="467" spans="1:12" ht="15.75" x14ac:dyDescent="0.25">
      <c r="A467" s="647"/>
      <c r="B467" s="648"/>
      <c r="C467" s="649"/>
      <c r="D467" s="650"/>
      <c r="E467" s="651"/>
      <c r="F467" s="656"/>
      <c r="G467" s="647"/>
      <c r="H467" s="648"/>
      <c r="I467" s="649"/>
      <c r="J467" s="650"/>
      <c r="K467" s="657"/>
      <c r="L467" s="656"/>
    </row>
    <row r="468" spans="1:12" ht="15.75" x14ac:dyDescent="0.25">
      <c r="A468" s="647"/>
      <c r="B468" s="648" t="s">
        <v>459</v>
      </c>
      <c r="C468" s="649">
        <v>20</v>
      </c>
      <c r="D468" s="650" t="s">
        <v>1479</v>
      </c>
      <c r="E468" s="651"/>
      <c r="F468" s="653"/>
      <c r="G468" s="647"/>
      <c r="H468" s="648"/>
      <c r="I468" s="649"/>
      <c r="J468" s="650"/>
      <c r="K468" s="657"/>
      <c r="L468" s="653"/>
    </row>
    <row r="469" spans="1:12" ht="15.75" x14ac:dyDescent="0.25">
      <c r="A469" s="647"/>
      <c r="B469" s="648"/>
      <c r="C469" s="649"/>
      <c r="D469" s="655" t="s">
        <v>166</v>
      </c>
      <c r="E469" s="651"/>
      <c r="F469" s="656">
        <v>0.72222222222222221</v>
      </c>
      <c r="G469" s="647"/>
      <c r="H469" s="648"/>
      <c r="I469" s="649"/>
      <c r="J469" s="650"/>
      <c r="K469" s="657"/>
      <c r="L469" s="653"/>
    </row>
    <row r="470" spans="1:12" ht="15.75" x14ac:dyDescent="0.25">
      <c r="A470" s="647" t="s">
        <v>961</v>
      </c>
      <c r="B470" s="648"/>
      <c r="C470" s="649"/>
      <c r="D470" s="650" t="s">
        <v>160</v>
      </c>
      <c r="E470" s="651"/>
      <c r="F470" s="653">
        <v>0.76388888888888884</v>
      </c>
      <c r="G470" s="647"/>
      <c r="H470" s="648"/>
      <c r="I470" s="649"/>
      <c r="J470" s="650"/>
      <c r="K470" s="651"/>
      <c r="L470" s="652"/>
    </row>
    <row r="471" spans="1:12" ht="15.75" x14ac:dyDescent="0.25">
      <c r="A471" s="647"/>
      <c r="B471" s="648"/>
      <c r="C471" s="649"/>
      <c r="D471" s="655" t="s">
        <v>962</v>
      </c>
      <c r="E471" s="651"/>
      <c r="F471" s="656">
        <v>0.77083333333333337</v>
      </c>
      <c r="G471" s="647"/>
      <c r="H471" s="648"/>
      <c r="I471" s="649"/>
      <c r="J471" s="650"/>
      <c r="K471" s="651"/>
      <c r="L471" s="652"/>
    </row>
    <row r="472" spans="1:12" ht="15.75" x14ac:dyDescent="0.25">
      <c r="A472" s="647"/>
      <c r="B472" s="648"/>
      <c r="C472" s="649"/>
      <c r="D472" s="655" t="s">
        <v>960</v>
      </c>
      <c r="E472" s="651"/>
      <c r="F472" s="656">
        <v>0.79513888888888884</v>
      </c>
      <c r="G472" s="647"/>
      <c r="H472" s="648"/>
      <c r="I472" s="649"/>
      <c r="J472" s="650"/>
      <c r="K472" s="651"/>
      <c r="L472" s="652"/>
    </row>
    <row r="473" spans="1:12" ht="15.75" x14ac:dyDescent="0.25">
      <c r="A473" s="647" t="s">
        <v>961</v>
      </c>
      <c r="B473" s="654"/>
      <c r="C473" s="649"/>
      <c r="D473" s="650" t="s">
        <v>163</v>
      </c>
      <c r="E473" s="651"/>
      <c r="F473" s="653">
        <v>0.84027777777777779</v>
      </c>
      <c r="G473" s="647"/>
      <c r="H473" s="648"/>
      <c r="I473" s="649"/>
      <c r="J473" s="650"/>
      <c r="K473" s="651"/>
      <c r="L473" s="652"/>
    </row>
    <row r="474" spans="1:12" ht="15.75" x14ac:dyDescent="0.25">
      <c r="A474" s="647"/>
      <c r="B474" s="648"/>
      <c r="C474" s="649"/>
      <c r="D474" s="655" t="s">
        <v>164</v>
      </c>
      <c r="E474" s="651"/>
      <c r="F474" s="656">
        <v>0.86111111111111116</v>
      </c>
      <c r="G474" s="647"/>
      <c r="H474" s="648"/>
      <c r="I474" s="649"/>
      <c r="J474" s="650"/>
      <c r="K474" s="651"/>
      <c r="L474" s="652"/>
    </row>
    <row r="475" spans="1:12" ht="15.75" x14ac:dyDescent="0.25">
      <c r="A475" s="647"/>
      <c r="B475" s="648"/>
      <c r="C475" s="649"/>
      <c r="D475" s="655" t="s">
        <v>166</v>
      </c>
      <c r="E475" s="657">
        <v>0.875</v>
      </c>
      <c r="F475" s="656"/>
      <c r="G475" s="647"/>
      <c r="H475" s="648"/>
      <c r="I475" s="649"/>
      <c r="J475" s="650"/>
      <c r="K475" s="651"/>
      <c r="L475" s="652"/>
    </row>
    <row r="476" spans="1:12" ht="15.75" x14ac:dyDescent="0.25">
      <c r="A476" s="647"/>
      <c r="B476" s="648" t="s">
        <v>462</v>
      </c>
      <c r="C476" s="649" t="s">
        <v>459</v>
      </c>
      <c r="D476" s="650"/>
      <c r="E476" s="651"/>
      <c r="F476" s="658"/>
      <c r="G476" s="647"/>
      <c r="H476" s="648"/>
      <c r="I476" s="649"/>
      <c r="J476" s="650"/>
      <c r="K476" s="651"/>
      <c r="L476" s="652"/>
    </row>
    <row r="477" spans="1:12" ht="15.75" x14ac:dyDescent="0.25">
      <c r="A477" s="647"/>
      <c r="B477" s="648"/>
      <c r="C477" s="649"/>
      <c r="D477" s="650"/>
      <c r="E477" s="657"/>
      <c r="F477" s="658"/>
      <c r="G477" s="647"/>
      <c r="H477" s="648"/>
      <c r="I477" s="649"/>
      <c r="J477" s="650"/>
      <c r="K477" s="651"/>
      <c r="L477" s="658"/>
    </row>
    <row r="478" spans="1:12" ht="15.75" x14ac:dyDescent="0.25">
      <c r="A478" s="647"/>
      <c r="B478" s="648"/>
      <c r="C478" s="649"/>
      <c r="D478" s="650"/>
      <c r="E478" s="657"/>
      <c r="F478" s="653"/>
      <c r="G478" s="647"/>
      <c r="H478" s="648"/>
      <c r="I478" s="649"/>
      <c r="J478" s="655"/>
      <c r="K478" s="651"/>
      <c r="L478" s="658"/>
    </row>
    <row r="479" spans="1:12" ht="15.75" x14ac:dyDescent="0.25">
      <c r="A479" s="647"/>
      <c r="B479" s="648"/>
      <c r="C479" s="649"/>
      <c r="D479" s="650"/>
      <c r="E479" s="657"/>
      <c r="F479" s="652"/>
      <c r="G479" s="647"/>
      <c r="H479" s="648"/>
      <c r="I479" s="649"/>
      <c r="J479" s="650"/>
      <c r="K479" s="651"/>
      <c r="L479" s="658"/>
    </row>
    <row r="480" spans="1:12" ht="16.5" thickBot="1" x14ac:dyDescent="0.3">
      <c r="A480" s="659"/>
      <c r="B480" s="660"/>
      <c r="C480" s="661"/>
      <c r="D480" s="662"/>
      <c r="E480" s="663"/>
      <c r="F480" s="664"/>
      <c r="G480" s="665"/>
      <c r="H480" s="666"/>
      <c r="I480" s="667"/>
      <c r="J480" s="668"/>
      <c r="K480" s="663"/>
      <c r="L480" s="669"/>
    </row>
    <row r="481" spans="1:12" ht="21" x14ac:dyDescent="0.35">
      <c r="A481" s="769" t="s">
        <v>945</v>
      </c>
      <c r="B481" s="770"/>
      <c r="C481" s="770"/>
      <c r="D481" s="770"/>
      <c r="E481" s="770"/>
      <c r="F481" s="770"/>
      <c r="G481" s="770"/>
      <c r="H481" s="770"/>
      <c r="I481" s="770"/>
      <c r="J481" s="770"/>
      <c r="K481" s="770"/>
      <c r="L481" s="771"/>
    </row>
    <row r="482" spans="1:12" ht="18.75" x14ac:dyDescent="0.3">
      <c r="A482" s="772" t="s">
        <v>946</v>
      </c>
      <c r="B482" s="773"/>
      <c r="C482" s="773"/>
      <c r="D482" s="773"/>
      <c r="E482" s="773"/>
      <c r="F482" s="773"/>
      <c r="G482" s="773"/>
      <c r="H482" s="773"/>
      <c r="I482" s="773"/>
      <c r="J482" s="773"/>
      <c r="K482" s="773"/>
      <c r="L482" s="774"/>
    </row>
    <row r="483" spans="1:12" ht="24" x14ac:dyDescent="0.4">
      <c r="A483" s="775" t="s">
        <v>947</v>
      </c>
      <c r="B483" s="776"/>
      <c r="C483" s="776"/>
      <c r="D483" s="776"/>
      <c r="E483" s="776"/>
      <c r="F483" s="776"/>
      <c r="G483" s="776"/>
      <c r="H483" s="776"/>
      <c r="I483" s="776"/>
      <c r="J483" s="776"/>
      <c r="K483" s="776"/>
      <c r="L483" s="777"/>
    </row>
    <row r="484" spans="1:12" ht="24" x14ac:dyDescent="0.4">
      <c r="A484" s="670" t="s">
        <v>1279</v>
      </c>
      <c r="B484" s="671"/>
      <c r="C484" s="671"/>
      <c r="D484" s="672" t="s">
        <v>949</v>
      </c>
      <c r="E484" s="778" t="s">
        <v>851</v>
      </c>
      <c r="F484" s="778"/>
      <c r="G484" s="778"/>
      <c r="H484" s="778"/>
      <c r="I484" s="778"/>
      <c r="J484" s="673" t="s">
        <v>1065</v>
      </c>
      <c r="K484" s="778"/>
      <c r="L484" s="779"/>
    </row>
    <row r="485" spans="1:12" ht="15.75" thickBot="1" x14ac:dyDescent="0.3">
      <c r="A485" s="674"/>
      <c r="B485" s="675"/>
      <c r="C485" s="675"/>
      <c r="D485" s="676"/>
      <c r="E485" s="675"/>
      <c r="F485" s="675"/>
      <c r="G485" s="675"/>
      <c r="H485" s="675"/>
      <c r="I485" s="780"/>
      <c r="J485" s="780"/>
      <c r="K485" s="675"/>
      <c r="L485" s="677"/>
    </row>
    <row r="486" spans="1:12" ht="16.5" thickBot="1" x14ac:dyDescent="0.3">
      <c r="A486" s="631" t="s">
        <v>952</v>
      </c>
      <c r="B486" s="632"/>
      <c r="C486" s="633"/>
      <c r="D486" s="634" t="s">
        <v>953</v>
      </c>
      <c r="E486" s="631" t="s">
        <v>954</v>
      </c>
      <c r="F486" s="635" t="s">
        <v>955</v>
      </c>
      <c r="G486" s="631" t="s">
        <v>952</v>
      </c>
      <c r="H486" s="632"/>
      <c r="I486" s="633"/>
      <c r="J486" s="634" t="s">
        <v>953</v>
      </c>
      <c r="K486" s="631" t="s">
        <v>954</v>
      </c>
      <c r="L486" s="631" t="s">
        <v>955</v>
      </c>
    </row>
    <row r="487" spans="1:12" ht="15.75" x14ac:dyDescent="0.25">
      <c r="A487" s="636"/>
      <c r="B487" s="637"/>
      <c r="C487" s="638"/>
      <c r="D487" s="639"/>
      <c r="E487" s="640"/>
      <c r="F487" s="641"/>
      <c r="G487" s="636"/>
      <c r="H487" s="642"/>
      <c r="I487" s="643"/>
      <c r="J487" s="644"/>
      <c r="K487" s="645"/>
      <c r="L487" s="646"/>
    </row>
    <row r="488" spans="1:12" ht="15.75" x14ac:dyDescent="0.25">
      <c r="A488" s="647"/>
      <c r="B488" s="648" t="s">
        <v>459</v>
      </c>
      <c r="C488" s="649">
        <v>13</v>
      </c>
      <c r="D488" s="650" t="s">
        <v>1480</v>
      </c>
      <c r="E488" s="651"/>
      <c r="F488" s="652"/>
      <c r="G488" s="647"/>
      <c r="H488" s="648" t="s">
        <v>459</v>
      </c>
      <c r="I488" s="649">
        <v>72</v>
      </c>
      <c r="J488" s="650" t="s">
        <v>1150</v>
      </c>
      <c r="K488" s="651"/>
      <c r="L488" s="653"/>
    </row>
    <row r="489" spans="1:12" ht="15.75" x14ac:dyDescent="0.25">
      <c r="A489" s="647" t="s">
        <v>958</v>
      </c>
      <c r="B489" s="654"/>
      <c r="C489" s="649"/>
      <c r="D489" s="655" t="s">
        <v>959</v>
      </c>
      <c r="E489" s="651"/>
      <c r="F489" s="656">
        <v>0.38541666666666669</v>
      </c>
      <c r="G489" s="647"/>
      <c r="H489" s="648"/>
      <c r="I489" s="649"/>
      <c r="J489" s="655" t="s">
        <v>166</v>
      </c>
      <c r="K489" s="651"/>
      <c r="L489" s="656">
        <v>0.79861111111111116</v>
      </c>
    </row>
    <row r="490" spans="1:12" ht="15.75" x14ac:dyDescent="0.25">
      <c r="A490" s="647" t="s">
        <v>961</v>
      </c>
      <c r="B490" s="654"/>
      <c r="C490" s="649"/>
      <c r="D490" s="650" t="s">
        <v>163</v>
      </c>
      <c r="E490" s="651"/>
      <c r="F490" s="653">
        <v>0.41319444444444442</v>
      </c>
      <c r="G490" s="647" t="s">
        <v>961</v>
      </c>
      <c r="H490" s="648"/>
      <c r="I490" s="649"/>
      <c r="J490" s="650" t="s">
        <v>160</v>
      </c>
      <c r="K490" s="651"/>
      <c r="L490" s="653">
        <v>0.82638888888888884</v>
      </c>
    </row>
    <row r="491" spans="1:12" ht="15.75" x14ac:dyDescent="0.25">
      <c r="A491" s="647"/>
      <c r="B491" s="648"/>
      <c r="C491" s="649"/>
      <c r="D491" s="655" t="s">
        <v>164</v>
      </c>
      <c r="E491" s="651"/>
      <c r="F491" s="656">
        <v>0.4375</v>
      </c>
      <c r="G491" s="647"/>
      <c r="H491" s="648"/>
      <c r="I491" s="649"/>
      <c r="J491" s="655" t="s">
        <v>962</v>
      </c>
      <c r="K491" s="651"/>
      <c r="L491" s="656">
        <v>0.83333333333333337</v>
      </c>
    </row>
    <row r="492" spans="1:12" ht="15.75" x14ac:dyDescent="0.25">
      <c r="A492" s="647"/>
      <c r="B492" s="648"/>
      <c r="C492" s="649"/>
      <c r="D492" s="655" t="s">
        <v>166</v>
      </c>
      <c r="E492" s="651"/>
      <c r="F492" s="656">
        <v>0.4548611111111111</v>
      </c>
      <c r="G492" s="647"/>
      <c r="H492" s="648"/>
      <c r="I492" s="649"/>
      <c r="J492" s="655" t="s">
        <v>960</v>
      </c>
      <c r="K492" s="651"/>
      <c r="L492" s="656">
        <v>0.85763888888888884</v>
      </c>
    </row>
    <row r="493" spans="1:12" ht="15.75" x14ac:dyDescent="0.25">
      <c r="A493" s="647" t="s">
        <v>961</v>
      </c>
      <c r="B493" s="648"/>
      <c r="C493" s="649"/>
      <c r="D493" s="650" t="s">
        <v>160</v>
      </c>
      <c r="E493" s="651"/>
      <c r="F493" s="653">
        <v>0.49305555555555558</v>
      </c>
      <c r="G493" s="647" t="s">
        <v>961</v>
      </c>
      <c r="H493" s="654"/>
      <c r="I493" s="649"/>
      <c r="J493" s="650" t="s">
        <v>163</v>
      </c>
      <c r="K493" s="651"/>
      <c r="L493" s="653">
        <v>0.89583333333333337</v>
      </c>
    </row>
    <row r="494" spans="1:12" ht="15.75" x14ac:dyDescent="0.25">
      <c r="A494" s="647"/>
      <c r="B494" s="648"/>
      <c r="C494" s="649"/>
      <c r="D494" s="655" t="s">
        <v>962</v>
      </c>
      <c r="E494" s="651"/>
      <c r="F494" s="656">
        <v>0.5</v>
      </c>
      <c r="G494" s="647"/>
      <c r="H494" s="648"/>
      <c r="I494" s="649"/>
      <c r="J494" s="655" t="s">
        <v>164</v>
      </c>
      <c r="K494" s="651"/>
      <c r="L494" s="656">
        <v>0.91666666666666663</v>
      </c>
    </row>
    <row r="495" spans="1:12" ht="15.75" x14ac:dyDescent="0.25">
      <c r="A495" s="647"/>
      <c r="B495" s="648"/>
      <c r="C495" s="649"/>
      <c r="D495" s="655" t="s">
        <v>960</v>
      </c>
      <c r="E495" s="657">
        <v>0.53472222222222221</v>
      </c>
      <c r="F495" s="656"/>
      <c r="G495" s="647"/>
      <c r="H495" s="648"/>
      <c r="I495" s="649"/>
      <c r="J495" s="655" t="s">
        <v>166</v>
      </c>
      <c r="K495" s="657">
        <v>0.93055555555555558</v>
      </c>
      <c r="L495" s="656"/>
    </row>
    <row r="496" spans="1:12" ht="15.75" x14ac:dyDescent="0.25">
      <c r="A496" s="647"/>
      <c r="B496" s="648" t="s">
        <v>459</v>
      </c>
      <c r="C496" s="649">
        <v>13</v>
      </c>
      <c r="D496" s="650" t="s">
        <v>1481</v>
      </c>
      <c r="E496" s="651"/>
      <c r="F496" s="658"/>
      <c r="G496" s="647"/>
      <c r="H496" s="648" t="s">
        <v>459</v>
      </c>
      <c r="I496" s="649">
        <v>72</v>
      </c>
      <c r="J496" s="650" t="s">
        <v>1482</v>
      </c>
      <c r="K496" s="651"/>
      <c r="L496" s="658"/>
    </row>
    <row r="497" spans="1:12" ht="15.75" x14ac:dyDescent="0.25">
      <c r="A497" s="647"/>
      <c r="B497" s="648"/>
      <c r="C497" s="649"/>
      <c r="D497" s="650"/>
      <c r="E497" s="651"/>
      <c r="F497" s="656"/>
      <c r="G497" s="647"/>
      <c r="H497" s="648"/>
      <c r="I497" s="649"/>
      <c r="J497" s="650"/>
      <c r="K497" s="657"/>
      <c r="L497" s="658"/>
    </row>
    <row r="498" spans="1:12" ht="15.75" x14ac:dyDescent="0.25">
      <c r="A498" s="647"/>
      <c r="B498" s="648" t="s">
        <v>459</v>
      </c>
      <c r="C498" s="649">
        <v>21</v>
      </c>
      <c r="D498" s="650" t="s">
        <v>1142</v>
      </c>
      <c r="E498" s="651"/>
      <c r="F498" s="653"/>
      <c r="G498" s="647"/>
      <c r="H498" s="648" t="s">
        <v>459</v>
      </c>
      <c r="I498" s="649">
        <v>31</v>
      </c>
      <c r="J498" s="650" t="s">
        <v>1483</v>
      </c>
      <c r="K498" s="651"/>
      <c r="L498" s="653"/>
    </row>
    <row r="499" spans="1:12" ht="15.75" x14ac:dyDescent="0.25">
      <c r="A499" s="647"/>
      <c r="B499" s="648"/>
      <c r="C499" s="649"/>
      <c r="D499" s="655" t="s">
        <v>960</v>
      </c>
      <c r="E499" s="651"/>
      <c r="F499" s="656">
        <v>0.53472222222222221</v>
      </c>
      <c r="G499" s="647"/>
      <c r="H499" s="648"/>
      <c r="I499" s="649"/>
      <c r="J499" s="655" t="s">
        <v>166</v>
      </c>
      <c r="K499" s="651"/>
      <c r="L499" s="656">
        <v>0.93055555555555558</v>
      </c>
    </row>
    <row r="500" spans="1:12" ht="15.75" x14ac:dyDescent="0.25">
      <c r="A500" s="647" t="s">
        <v>961</v>
      </c>
      <c r="B500" s="654"/>
      <c r="C500" s="649"/>
      <c r="D500" s="650" t="s">
        <v>163</v>
      </c>
      <c r="E500" s="651"/>
      <c r="F500" s="653">
        <v>0.58680555555555558</v>
      </c>
      <c r="G500" s="647" t="s">
        <v>961</v>
      </c>
      <c r="H500" s="648"/>
      <c r="I500" s="649"/>
      <c r="J500" s="650" t="s">
        <v>160</v>
      </c>
      <c r="K500" s="651"/>
      <c r="L500" s="653">
        <v>0.96527777777777779</v>
      </c>
    </row>
    <row r="501" spans="1:12" ht="15.75" x14ac:dyDescent="0.25">
      <c r="A501" s="647"/>
      <c r="B501" s="648"/>
      <c r="C501" s="649"/>
      <c r="D501" s="655" t="s">
        <v>164</v>
      </c>
      <c r="E501" s="651"/>
      <c r="F501" s="656">
        <v>0.61458333333333337</v>
      </c>
      <c r="G501" s="647"/>
      <c r="H501" s="648"/>
      <c r="I501" s="649"/>
      <c r="J501" s="655" t="s">
        <v>962</v>
      </c>
      <c r="K501" s="651"/>
      <c r="L501" s="656">
        <v>0.97222222222222221</v>
      </c>
    </row>
    <row r="502" spans="1:12" ht="15.75" x14ac:dyDescent="0.25">
      <c r="A502" s="647"/>
      <c r="B502" s="648"/>
      <c r="C502" s="649"/>
      <c r="D502" s="655" t="s">
        <v>166</v>
      </c>
      <c r="E502" s="651"/>
      <c r="F502" s="656">
        <v>0.62847222222222221</v>
      </c>
      <c r="G502" s="647"/>
      <c r="H502" s="648"/>
      <c r="I502" s="649"/>
      <c r="J502" s="655" t="s">
        <v>960</v>
      </c>
      <c r="K502" s="651"/>
      <c r="L502" s="656">
        <v>0.99652777777777779</v>
      </c>
    </row>
    <row r="503" spans="1:12" ht="15.75" x14ac:dyDescent="0.25">
      <c r="A503" s="647" t="s">
        <v>961</v>
      </c>
      <c r="B503" s="648"/>
      <c r="C503" s="649"/>
      <c r="D503" s="650" t="s">
        <v>160</v>
      </c>
      <c r="E503" s="651"/>
      <c r="F503" s="653">
        <v>0.67013888888888884</v>
      </c>
      <c r="G503" s="647" t="s">
        <v>958</v>
      </c>
      <c r="H503" s="654"/>
      <c r="I503" s="649"/>
      <c r="J503" s="650" t="s">
        <v>163</v>
      </c>
      <c r="K503" s="657">
        <v>1.023611111111111</v>
      </c>
      <c r="L503" s="653"/>
    </row>
    <row r="504" spans="1:12" ht="15.75" x14ac:dyDescent="0.25">
      <c r="A504" s="647"/>
      <c r="B504" s="648"/>
      <c r="C504" s="649"/>
      <c r="D504" s="655" t="s">
        <v>962</v>
      </c>
      <c r="E504" s="651"/>
      <c r="F504" s="656">
        <v>0.67708333333333337</v>
      </c>
      <c r="G504" s="647"/>
      <c r="H504" s="648"/>
      <c r="I504" s="649"/>
      <c r="J504" s="650" t="s">
        <v>963</v>
      </c>
      <c r="K504" s="657">
        <v>4.791666666666667E-2</v>
      </c>
      <c r="L504" s="656"/>
    </row>
    <row r="505" spans="1:12" ht="15.75" x14ac:dyDescent="0.25">
      <c r="A505" s="647"/>
      <c r="B505" s="648"/>
      <c r="C505" s="649"/>
      <c r="D505" s="655" t="s">
        <v>960</v>
      </c>
      <c r="E505" s="657">
        <v>0.70833333333333337</v>
      </c>
      <c r="F505" s="656"/>
      <c r="G505" s="647"/>
      <c r="H505" s="648" t="s">
        <v>462</v>
      </c>
      <c r="I505" s="649" t="s">
        <v>459</v>
      </c>
      <c r="J505" s="650"/>
      <c r="K505" s="657"/>
      <c r="L505" s="653"/>
    </row>
    <row r="506" spans="1:12" ht="15.75" x14ac:dyDescent="0.25">
      <c r="A506" s="647"/>
      <c r="B506" s="648" t="s">
        <v>459</v>
      </c>
      <c r="C506" s="649">
        <v>21</v>
      </c>
      <c r="D506" s="650" t="s">
        <v>1484</v>
      </c>
      <c r="E506" s="657"/>
      <c r="F506" s="653"/>
      <c r="G506" s="647"/>
      <c r="H506" s="648"/>
      <c r="I506" s="649"/>
      <c r="J506" s="650"/>
      <c r="K506" s="657"/>
      <c r="L506" s="653"/>
    </row>
    <row r="507" spans="1:12" ht="15.75" x14ac:dyDescent="0.25">
      <c r="A507" s="647"/>
      <c r="B507" s="648"/>
      <c r="C507" s="649"/>
      <c r="D507" s="650"/>
      <c r="E507" s="657"/>
      <c r="F507" s="658"/>
      <c r="G507" s="647"/>
      <c r="H507" s="648"/>
      <c r="I507" s="649"/>
      <c r="J507" s="650"/>
      <c r="K507" s="651"/>
      <c r="L507" s="652"/>
    </row>
    <row r="508" spans="1:12" ht="15.75" x14ac:dyDescent="0.25">
      <c r="A508" s="647"/>
      <c r="B508" s="648" t="s">
        <v>459</v>
      </c>
      <c r="C508" s="649">
        <v>32</v>
      </c>
      <c r="D508" s="650" t="s">
        <v>1485</v>
      </c>
      <c r="E508" s="651"/>
      <c r="F508" s="653"/>
      <c r="G508" s="647"/>
      <c r="H508" s="648"/>
      <c r="I508" s="649"/>
      <c r="J508" s="650"/>
      <c r="K508" s="651"/>
      <c r="L508" s="652"/>
    </row>
    <row r="509" spans="1:12" ht="15.75" x14ac:dyDescent="0.25">
      <c r="A509" s="647"/>
      <c r="B509" s="648"/>
      <c r="C509" s="649"/>
      <c r="D509" s="655" t="s">
        <v>960</v>
      </c>
      <c r="E509" s="651"/>
      <c r="F509" s="656">
        <v>0.70486111111111116</v>
      </c>
      <c r="G509" s="647"/>
      <c r="H509" s="648"/>
      <c r="I509" s="649"/>
      <c r="J509" s="650"/>
      <c r="K509" s="651"/>
      <c r="L509" s="652"/>
    </row>
    <row r="510" spans="1:12" ht="15.75" x14ac:dyDescent="0.25">
      <c r="A510" s="647" t="s">
        <v>961</v>
      </c>
      <c r="B510" s="654"/>
      <c r="C510" s="649"/>
      <c r="D510" s="650" t="s">
        <v>163</v>
      </c>
      <c r="E510" s="651"/>
      <c r="F510" s="653">
        <v>0.75694444444444442</v>
      </c>
      <c r="G510" s="647"/>
      <c r="H510" s="648"/>
      <c r="I510" s="649"/>
      <c r="J510" s="650"/>
      <c r="K510" s="651"/>
      <c r="L510" s="652"/>
    </row>
    <row r="511" spans="1:12" ht="15.75" x14ac:dyDescent="0.25">
      <c r="A511" s="647"/>
      <c r="B511" s="648"/>
      <c r="C511" s="649"/>
      <c r="D511" s="655" t="s">
        <v>164</v>
      </c>
      <c r="E511" s="651"/>
      <c r="F511" s="656">
        <v>0.78125</v>
      </c>
      <c r="G511" s="647"/>
      <c r="H511" s="648"/>
      <c r="I511" s="649"/>
      <c r="J511" s="650"/>
      <c r="K511" s="651"/>
      <c r="L511" s="652"/>
    </row>
    <row r="512" spans="1:12" ht="15.75" x14ac:dyDescent="0.25">
      <c r="A512" s="647"/>
      <c r="B512" s="648"/>
      <c r="C512" s="649"/>
      <c r="D512" s="655" t="s">
        <v>166</v>
      </c>
      <c r="E512" s="657">
        <v>0.79861111111111116</v>
      </c>
      <c r="F512" s="656"/>
      <c r="G512" s="647"/>
      <c r="H512" s="648"/>
      <c r="I512" s="649"/>
      <c r="J512" s="650"/>
      <c r="K512" s="651"/>
      <c r="L512" s="652"/>
    </row>
    <row r="513" spans="1:12" ht="15.75" x14ac:dyDescent="0.25">
      <c r="A513" s="647"/>
      <c r="B513" s="648" t="s">
        <v>459</v>
      </c>
      <c r="C513" s="649">
        <v>32</v>
      </c>
      <c r="D513" s="650" t="s">
        <v>1486</v>
      </c>
      <c r="E513" s="651"/>
      <c r="F513" s="653"/>
      <c r="G513" s="647"/>
      <c r="H513" s="648"/>
      <c r="I513" s="649"/>
      <c r="J513" s="650"/>
      <c r="K513" s="651"/>
      <c r="L513" s="652"/>
    </row>
    <row r="514" spans="1:12" ht="15.75" x14ac:dyDescent="0.25">
      <c r="A514" s="647"/>
      <c r="B514" s="648"/>
      <c r="C514" s="649"/>
      <c r="D514" s="655"/>
      <c r="E514" s="651"/>
      <c r="F514" s="656"/>
      <c r="G514" s="647"/>
      <c r="H514" s="648"/>
      <c r="I514" s="649"/>
      <c r="J514" s="650"/>
      <c r="K514" s="651"/>
      <c r="L514" s="652"/>
    </row>
    <row r="515" spans="1:12" ht="15.75" x14ac:dyDescent="0.25">
      <c r="A515" s="647"/>
      <c r="B515" s="648"/>
      <c r="C515" s="649"/>
      <c r="D515" s="655"/>
      <c r="E515" s="657"/>
      <c r="F515" s="656"/>
      <c r="G515" s="647"/>
      <c r="H515" s="648"/>
      <c r="I515" s="649"/>
      <c r="J515" s="650"/>
      <c r="K515" s="651"/>
      <c r="L515" s="652"/>
    </row>
    <row r="516" spans="1:12" ht="15.75" x14ac:dyDescent="0.25">
      <c r="A516" s="647"/>
      <c r="B516" s="648"/>
      <c r="C516" s="649"/>
      <c r="D516" s="650"/>
      <c r="E516" s="657"/>
      <c r="F516" s="653"/>
      <c r="G516" s="647"/>
      <c r="H516" s="648"/>
      <c r="I516" s="649"/>
      <c r="J516" s="650"/>
      <c r="K516" s="651"/>
      <c r="L516" s="652"/>
    </row>
    <row r="517" spans="1:12" ht="15.75" x14ac:dyDescent="0.25">
      <c r="A517" s="647"/>
      <c r="B517" s="648"/>
      <c r="C517" s="649"/>
      <c r="D517" s="650"/>
      <c r="E517" s="657"/>
      <c r="F517" s="658"/>
      <c r="G517" s="647"/>
      <c r="H517" s="648"/>
      <c r="I517" s="649"/>
      <c r="J517" s="650"/>
      <c r="K517" s="651"/>
      <c r="L517" s="658"/>
    </row>
    <row r="518" spans="1:12" ht="15.75" x14ac:dyDescent="0.25">
      <c r="A518" s="647"/>
      <c r="B518" s="648"/>
      <c r="C518" s="649"/>
      <c r="D518" s="655"/>
      <c r="E518" s="657"/>
      <c r="F518" s="653"/>
      <c r="G518" s="647"/>
      <c r="H518" s="648"/>
      <c r="I518" s="649"/>
      <c r="J518" s="655"/>
      <c r="K518" s="651"/>
      <c r="L518" s="658"/>
    </row>
    <row r="519" spans="1:12" ht="15.75" x14ac:dyDescent="0.25">
      <c r="A519" s="647"/>
      <c r="B519" s="648"/>
      <c r="C519" s="649"/>
      <c r="D519" s="650"/>
      <c r="E519" s="651"/>
      <c r="F519" s="652"/>
      <c r="G519" s="647"/>
      <c r="H519" s="648"/>
      <c r="I519" s="649"/>
      <c r="J519" s="650"/>
      <c r="K519" s="651"/>
      <c r="L519" s="658"/>
    </row>
    <row r="520" spans="1:12" ht="16.5" thickBot="1" x14ac:dyDescent="0.3">
      <c r="A520" s="659"/>
      <c r="B520" s="660"/>
      <c r="C520" s="661"/>
      <c r="D520" s="662"/>
      <c r="E520" s="663"/>
      <c r="F520" s="664"/>
      <c r="G520" s="665"/>
      <c r="H520" s="666"/>
      <c r="I520" s="667"/>
      <c r="J520" s="668"/>
      <c r="K520" s="663"/>
      <c r="L520" s="669"/>
    </row>
    <row r="521" spans="1:12" ht="21" x14ac:dyDescent="0.35">
      <c r="A521" s="769" t="s">
        <v>945</v>
      </c>
      <c r="B521" s="770"/>
      <c r="C521" s="770"/>
      <c r="D521" s="770"/>
      <c r="E521" s="770"/>
      <c r="F521" s="770"/>
      <c r="G521" s="770"/>
      <c r="H521" s="770"/>
      <c r="I521" s="770"/>
      <c r="J521" s="770"/>
      <c r="K521" s="770"/>
      <c r="L521" s="771"/>
    </row>
    <row r="522" spans="1:12" ht="18.75" x14ac:dyDescent="0.3">
      <c r="A522" s="772" t="s">
        <v>946</v>
      </c>
      <c r="B522" s="773"/>
      <c r="C522" s="773"/>
      <c r="D522" s="773"/>
      <c r="E522" s="773"/>
      <c r="F522" s="773"/>
      <c r="G522" s="773"/>
      <c r="H522" s="773"/>
      <c r="I522" s="773"/>
      <c r="J522" s="773"/>
      <c r="K522" s="773"/>
      <c r="L522" s="774"/>
    </row>
    <row r="523" spans="1:12" ht="24" x14ac:dyDescent="0.4">
      <c r="A523" s="775" t="s">
        <v>947</v>
      </c>
      <c r="B523" s="776"/>
      <c r="C523" s="776"/>
      <c r="D523" s="776"/>
      <c r="E523" s="776"/>
      <c r="F523" s="776"/>
      <c r="G523" s="776"/>
      <c r="H523" s="776"/>
      <c r="I523" s="776"/>
      <c r="J523" s="776"/>
      <c r="K523" s="776"/>
      <c r="L523" s="777"/>
    </row>
    <row r="524" spans="1:12" ht="24" x14ac:dyDescent="0.4">
      <c r="A524" s="670" t="s">
        <v>1279</v>
      </c>
      <c r="B524" s="671"/>
      <c r="C524" s="671"/>
      <c r="D524" s="672" t="s">
        <v>949</v>
      </c>
      <c r="E524" s="778" t="s">
        <v>851</v>
      </c>
      <c r="F524" s="778"/>
      <c r="G524" s="778"/>
      <c r="H524" s="778"/>
      <c r="I524" s="778"/>
      <c r="J524" s="673" t="s">
        <v>1071</v>
      </c>
      <c r="K524" s="778"/>
      <c r="L524" s="779"/>
    </row>
    <row r="525" spans="1:12" ht="15.75" thickBot="1" x14ac:dyDescent="0.3">
      <c r="A525" s="674"/>
      <c r="B525" s="675"/>
      <c r="C525" s="675"/>
      <c r="D525" s="676"/>
      <c r="E525" s="675"/>
      <c r="F525" s="675"/>
      <c r="G525" s="675"/>
      <c r="H525" s="675"/>
      <c r="I525" s="780"/>
      <c r="J525" s="780"/>
      <c r="K525" s="675"/>
      <c r="L525" s="677"/>
    </row>
    <row r="526" spans="1:12" ht="16.5" thickBot="1" x14ac:dyDescent="0.3">
      <c r="A526" s="631" t="s">
        <v>952</v>
      </c>
      <c r="B526" s="632"/>
      <c r="C526" s="633"/>
      <c r="D526" s="634" t="s">
        <v>953</v>
      </c>
      <c r="E526" s="631" t="s">
        <v>954</v>
      </c>
      <c r="F526" s="635" t="s">
        <v>955</v>
      </c>
      <c r="G526" s="631" t="s">
        <v>952</v>
      </c>
      <c r="H526" s="632"/>
      <c r="I526" s="633"/>
      <c r="J526" s="634" t="s">
        <v>953</v>
      </c>
      <c r="K526" s="631" t="s">
        <v>954</v>
      </c>
      <c r="L526" s="631" t="s">
        <v>955</v>
      </c>
    </row>
    <row r="527" spans="1:12" ht="15.75" x14ac:dyDescent="0.25">
      <c r="A527" s="636"/>
      <c r="B527" s="637"/>
      <c r="C527" s="638"/>
      <c r="D527" s="639"/>
      <c r="E527" s="640"/>
      <c r="F527" s="641"/>
      <c r="G527" s="636"/>
      <c r="H527" s="642"/>
      <c r="I527" s="643"/>
      <c r="J527" s="644"/>
      <c r="K527" s="645"/>
      <c r="L527" s="646"/>
    </row>
    <row r="528" spans="1:12" ht="15.75" x14ac:dyDescent="0.25">
      <c r="A528" s="647"/>
      <c r="B528" s="648" t="s">
        <v>459</v>
      </c>
      <c r="C528" s="649">
        <v>15</v>
      </c>
      <c r="D528" s="650" t="s">
        <v>1487</v>
      </c>
      <c r="E528" s="651"/>
      <c r="F528" s="652"/>
      <c r="G528" s="647"/>
      <c r="H528" s="648" t="s">
        <v>459</v>
      </c>
      <c r="I528" s="649">
        <v>25</v>
      </c>
      <c r="J528" s="650" t="s">
        <v>1488</v>
      </c>
      <c r="K528" s="651"/>
      <c r="L528" s="653"/>
    </row>
    <row r="529" spans="1:12" ht="15.75" x14ac:dyDescent="0.25">
      <c r="A529" s="647" t="s">
        <v>958</v>
      </c>
      <c r="B529" s="654"/>
      <c r="C529" s="649"/>
      <c r="D529" s="655" t="s">
        <v>959</v>
      </c>
      <c r="E529" s="651"/>
      <c r="F529" s="656">
        <v>0.40277777777777779</v>
      </c>
      <c r="G529" s="647"/>
      <c r="H529" s="648"/>
      <c r="I529" s="649"/>
      <c r="J529" s="655" t="s">
        <v>960</v>
      </c>
      <c r="K529" s="651"/>
      <c r="L529" s="656">
        <v>0.81944444444444442</v>
      </c>
    </row>
    <row r="530" spans="1:12" ht="15.75" x14ac:dyDescent="0.25">
      <c r="A530" s="647" t="s">
        <v>961</v>
      </c>
      <c r="B530" s="648"/>
      <c r="C530" s="649"/>
      <c r="D530" s="650" t="s">
        <v>160</v>
      </c>
      <c r="E530" s="651"/>
      <c r="F530" s="653">
        <v>0.4513888888888889</v>
      </c>
      <c r="G530" s="647" t="s">
        <v>958</v>
      </c>
      <c r="H530" s="654"/>
      <c r="I530" s="649"/>
      <c r="J530" s="650" t="s">
        <v>163</v>
      </c>
      <c r="K530" s="657">
        <v>0.86805555555555558</v>
      </c>
      <c r="L530" s="653"/>
    </row>
    <row r="531" spans="1:12" ht="15.75" x14ac:dyDescent="0.25">
      <c r="A531" s="647"/>
      <c r="B531" s="648"/>
      <c r="C531" s="649"/>
      <c r="D531" s="655" t="s">
        <v>962</v>
      </c>
      <c r="E531" s="651"/>
      <c r="F531" s="656">
        <v>0.45833333333333331</v>
      </c>
      <c r="G531" s="647"/>
      <c r="H531" s="648"/>
      <c r="I531" s="649"/>
      <c r="J531" s="650" t="s">
        <v>963</v>
      </c>
      <c r="K531" s="657">
        <v>0.89236111111111116</v>
      </c>
      <c r="L531" s="656"/>
    </row>
    <row r="532" spans="1:12" ht="15.75" x14ac:dyDescent="0.25">
      <c r="A532" s="647"/>
      <c r="B532" s="648"/>
      <c r="C532" s="649"/>
      <c r="D532" s="655" t="s">
        <v>960</v>
      </c>
      <c r="E532" s="651"/>
      <c r="F532" s="656">
        <v>0.48958333333333331</v>
      </c>
      <c r="G532" s="647"/>
      <c r="H532" s="648" t="s">
        <v>462</v>
      </c>
      <c r="I532" s="649" t="s">
        <v>459</v>
      </c>
      <c r="J532" s="650"/>
      <c r="K532" s="657"/>
      <c r="L532" s="653"/>
    </row>
    <row r="533" spans="1:12" ht="15.75" x14ac:dyDescent="0.25">
      <c r="A533" s="647" t="s">
        <v>961</v>
      </c>
      <c r="B533" s="654"/>
      <c r="C533" s="649"/>
      <c r="D533" s="650" t="s">
        <v>163</v>
      </c>
      <c r="E533" s="651"/>
      <c r="F533" s="653">
        <v>0.53472222222222221</v>
      </c>
      <c r="G533" s="647"/>
      <c r="H533" s="648"/>
      <c r="I533" s="649"/>
      <c r="J533" s="650"/>
      <c r="K533" s="657"/>
      <c r="L533" s="653"/>
    </row>
    <row r="534" spans="1:12" ht="15.75" x14ac:dyDescent="0.25">
      <c r="A534" s="647"/>
      <c r="B534" s="648"/>
      <c r="C534" s="649"/>
      <c r="D534" s="655" t="s">
        <v>164</v>
      </c>
      <c r="E534" s="651"/>
      <c r="F534" s="656">
        <v>0.5625</v>
      </c>
      <c r="G534" s="647"/>
      <c r="H534" s="648"/>
      <c r="I534" s="649"/>
      <c r="J534" s="650"/>
      <c r="K534" s="651"/>
      <c r="L534" s="652"/>
    </row>
    <row r="535" spans="1:12" ht="15.75" x14ac:dyDescent="0.25">
      <c r="A535" s="647"/>
      <c r="B535" s="648"/>
      <c r="C535" s="649"/>
      <c r="D535" s="655" t="s">
        <v>166</v>
      </c>
      <c r="E535" s="657">
        <v>0.57638888888888884</v>
      </c>
      <c r="F535" s="656"/>
      <c r="G535" s="647"/>
      <c r="H535" s="648"/>
      <c r="I535" s="649"/>
      <c r="J535" s="650"/>
      <c r="K535" s="651"/>
      <c r="L535" s="652"/>
    </row>
    <row r="536" spans="1:12" ht="15.75" x14ac:dyDescent="0.25">
      <c r="A536" s="647"/>
      <c r="B536" s="648" t="s">
        <v>462</v>
      </c>
      <c r="C536" s="649" t="s">
        <v>459</v>
      </c>
      <c r="D536" s="650"/>
      <c r="E536" s="651"/>
      <c r="F536" s="658"/>
      <c r="G536" s="647"/>
      <c r="H536" s="648"/>
      <c r="I536" s="649"/>
      <c r="J536" s="650"/>
      <c r="K536" s="651"/>
      <c r="L536" s="652"/>
    </row>
    <row r="537" spans="1:12" ht="15.75" x14ac:dyDescent="0.25">
      <c r="A537" s="647"/>
      <c r="B537" s="648"/>
      <c r="C537" s="649"/>
      <c r="D537" s="650"/>
      <c r="E537" s="651"/>
      <c r="F537" s="656"/>
      <c r="G537" s="647"/>
      <c r="H537" s="648"/>
      <c r="I537" s="649"/>
      <c r="J537" s="650"/>
      <c r="K537" s="651"/>
      <c r="L537" s="652"/>
    </row>
    <row r="538" spans="1:12" ht="15.75" x14ac:dyDescent="0.25">
      <c r="A538" s="647"/>
      <c r="B538" s="648" t="s">
        <v>459</v>
      </c>
      <c r="C538" s="649">
        <v>13</v>
      </c>
      <c r="D538" s="650" t="s">
        <v>1489</v>
      </c>
      <c r="E538" s="651"/>
      <c r="F538" s="653"/>
      <c r="G538" s="647"/>
      <c r="H538" s="648"/>
      <c r="I538" s="649"/>
      <c r="J538" s="650"/>
      <c r="K538" s="651"/>
      <c r="L538" s="652"/>
    </row>
    <row r="539" spans="1:12" ht="15.75" x14ac:dyDescent="0.25">
      <c r="A539" s="647"/>
      <c r="B539" s="648"/>
      <c r="C539" s="649"/>
      <c r="D539" s="655" t="s">
        <v>166</v>
      </c>
      <c r="E539" s="651"/>
      <c r="F539" s="656">
        <v>0.57638888888888884</v>
      </c>
      <c r="G539" s="647"/>
      <c r="H539" s="648"/>
      <c r="I539" s="649"/>
      <c r="J539" s="650"/>
      <c r="K539" s="651"/>
      <c r="L539" s="652"/>
    </row>
    <row r="540" spans="1:12" ht="15.75" x14ac:dyDescent="0.25">
      <c r="A540" s="647" t="s">
        <v>961</v>
      </c>
      <c r="B540" s="648"/>
      <c r="C540" s="649"/>
      <c r="D540" s="650" t="s">
        <v>160</v>
      </c>
      <c r="E540" s="651"/>
      <c r="F540" s="653">
        <v>0.61805555555555558</v>
      </c>
      <c r="G540" s="647"/>
      <c r="H540" s="648"/>
      <c r="I540" s="649"/>
      <c r="J540" s="650"/>
      <c r="K540" s="651"/>
      <c r="L540" s="652"/>
    </row>
    <row r="541" spans="1:12" ht="15.75" x14ac:dyDescent="0.25">
      <c r="A541" s="647"/>
      <c r="B541" s="648"/>
      <c r="C541" s="649"/>
      <c r="D541" s="655" t="s">
        <v>962</v>
      </c>
      <c r="E541" s="651"/>
      <c r="F541" s="656">
        <v>0.625</v>
      </c>
      <c r="G541" s="647"/>
      <c r="H541" s="648"/>
      <c r="I541" s="649"/>
      <c r="J541" s="650"/>
      <c r="K541" s="651"/>
      <c r="L541" s="658"/>
    </row>
    <row r="542" spans="1:12" ht="15.75" x14ac:dyDescent="0.25">
      <c r="A542" s="647"/>
      <c r="B542" s="648"/>
      <c r="C542" s="649"/>
      <c r="D542" s="655" t="s">
        <v>960</v>
      </c>
      <c r="E542" s="657">
        <v>0.65972222222222221</v>
      </c>
      <c r="F542" s="656"/>
      <c r="G542" s="647"/>
      <c r="H542" s="648"/>
      <c r="I542" s="649"/>
      <c r="J542" s="655"/>
      <c r="K542" s="651"/>
      <c r="L542" s="658"/>
    </row>
    <row r="543" spans="1:12" ht="15.75" x14ac:dyDescent="0.25">
      <c r="A543" s="647"/>
      <c r="B543" s="648" t="s">
        <v>462</v>
      </c>
      <c r="C543" s="649" t="s">
        <v>459</v>
      </c>
      <c r="D543" s="650"/>
      <c r="E543" s="657"/>
      <c r="F543" s="653"/>
      <c r="G543" s="647"/>
      <c r="H543" s="648"/>
      <c r="I543" s="649"/>
      <c r="J543" s="650"/>
      <c r="K543" s="651"/>
      <c r="L543" s="658"/>
    </row>
    <row r="544" spans="1:12" ht="15.75" x14ac:dyDescent="0.25">
      <c r="A544" s="647"/>
      <c r="B544" s="648"/>
      <c r="C544" s="649"/>
      <c r="D544" s="650"/>
      <c r="E544" s="657"/>
      <c r="F544" s="658"/>
      <c r="G544" s="647"/>
      <c r="H544" s="648"/>
      <c r="I544" s="649"/>
      <c r="J544" s="655"/>
      <c r="K544" s="651"/>
      <c r="L544" s="656"/>
    </row>
    <row r="545" spans="1:12" ht="15.75" x14ac:dyDescent="0.25">
      <c r="A545" s="647"/>
      <c r="B545" s="648" t="s">
        <v>459</v>
      </c>
      <c r="C545" s="649">
        <v>202</v>
      </c>
      <c r="D545" s="650" t="s">
        <v>1043</v>
      </c>
      <c r="E545" s="651"/>
      <c r="F545" s="653"/>
      <c r="G545" s="647"/>
      <c r="H545" s="648"/>
      <c r="I545" s="649"/>
      <c r="J545" s="655"/>
      <c r="K545" s="651"/>
      <c r="L545" s="656"/>
    </row>
    <row r="546" spans="1:12" ht="15.75" x14ac:dyDescent="0.25">
      <c r="A546" s="647"/>
      <c r="B546" s="648"/>
      <c r="C546" s="649"/>
      <c r="D546" s="655" t="s">
        <v>960</v>
      </c>
      <c r="E546" s="651"/>
      <c r="F546" s="656">
        <v>0.65972222222222221</v>
      </c>
      <c r="G546" s="647"/>
      <c r="H546" s="654"/>
      <c r="I546" s="649"/>
      <c r="J546" s="650"/>
      <c r="K546" s="657"/>
      <c r="L546" s="653"/>
    </row>
    <row r="547" spans="1:12" ht="15.75" x14ac:dyDescent="0.25">
      <c r="A547" s="647" t="s">
        <v>961</v>
      </c>
      <c r="B547" s="654"/>
      <c r="C547" s="649"/>
      <c r="D547" s="650" t="s">
        <v>163</v>
      </c>
      <c r="E547" s="651"/>
      <c r="F547" s="653">
        <v>0.71180555555555558</v>
      </c>
      <c r="G547" s="647"/>
      <c r="H547" s="648"/>
      <c r="I547" s="649"/>
      <c r="J547" s="650"/>
      <c r="K547" s="657"/>
      <c r="L547" s="656"/>
    </row>
    <row r="548" spans="1:12" ht="15.75" x14ac:dyDescent="0.25">
      <c r="A548" s="647"/>
      <c r="B548" s="648"/>
      <c r="C548" s="649"/>
      <c r="D548" s="655" t="s">
        <v>164</v>
      </c>
      <c r="E548" s="651"/>
      <c r="F548" s="656">
        <v>0.73958333333333337</v>
      </c>
      <c r="G548" s="647"/>
      <c r="H548" s="648"/>
      <c r="I548" s="649"/>
      <c r="J548" s="650"/>
      <c r="K548" s="657"/>
      <c r="L548" s="653"/>
    </row>
    <row r="549" spans="1:12" ht="15.75" x14ac:dyDescent="0.25">
      <c r="A549" s="647"/>
      <c r="B549" s="648"/>
      <c r="C549" s="649"/>
      <c r="D549" s="655" t="s">
        <v>166</v>
      </c>
      <c r="E549" s="651"/>
      <c r="F549" s="656">
        <v>0.75347222222222221</v>
      </c>
      <c r="G549" s="647"/>
      <c r="H549" s="648"/>
      <c r="I549" s="649"/>
      <c r="J549" s="650"/>
      <c r="K549" s="657"/>
      <c r="L549" s="653"/>
    </row>
    <row r="550" spans="1:12" ht="15.75" x14ac:dyDescent="0.25">
      <c r="A550" s="647" t="s">
        <v>961</v>
      </c>
      <c r="B550" s="648"/>
      <c r="C550" s="649"/>
      <c r="D550" s="650" t="s">
        <v>160</v>
      </c>
      <c r="E550" s="651"/>
      <c r="F550" s="653">
        <v>0.78472222222222221</v>
      </c>
      <c r="G550" s="647"/>
      <c r="H550" s="648"/>
      <c r="I550" s="649"/>
      <c r="J550" s="650"/>
      <c r="K550" s="651"/>
      <c r="L550" s="652"/>
    </row>
    <row r="551" spans="1:12" ht="15.75" x14ac:dyDescent="0.25">
      <c r="A551" s="647"/>
      <c r="B551" s="648"/>
      <c r="C551" s="649"/>
      <c r="D551" s="655" t="s">
        <v>962</v>
      </c>
      <c r="E551" s="651"/>
      <c r="F551" s="656">
        <v>0.79166666666666663</v>
      </c>
      <c r="G551" s="647"/>
      <c r="H551" s="648"/>
      <c r="I551" s="649"/>
      <c r="J551" s="650"/>
      <c r="K551" s="651"/>
      <c r="L551" s="652"/>
    </row>
    <row r="552" spans="1:12" ht="15.75" x14ac:dyDescent="0.25">
      <c r="A552" s="647"/>
      <c r="B552" s="648"/>
      <c r="C552" s="649"/>
      <c r="D552" s="655" t="s">
        <v>960</v>
      </c>
      <c r="E552" s="657">
        <v>0.81944444444444442</v>
      </c>
      <c r="F552" s="656"/>
      <c r="G552" s="647"/>
      <c r="H552" s="648"/>
      <c r="I552" s="649"/>
      <c r="J552" s="650"/>
      <c r="K552" s="651"/>
      <c r="L552" s="652"/>
    </row>
    <row r="553" spans="1:12" ht="15.75" x14ac:dyDescent="0.25">
      <c r="A553" s="647"/>
      <c r="B553" s="648" t="s">
        <v>462</v>
      </c>
      <c r="C553" s="649" t="s">
        <v>459</v>
      </c>
      <c r="D553" s="650"/>
      <c r="E553" s="651"/>
      <c r="F553" s="658"/>
      <c r="G553" s="647"/>
      <c r="H553" s="648"/>
      <c r="I553" s="649"/>
      <c r="J553" s="650"/>
      <c r="K553" s="651"/>
      <c r="L553" s="652"/>
    </row>
    <row r="554" spans="1:12" ht="15.75" x14ac:dyDescent="0.25">
      <c r="A554" s="647"/>
      <c r="B554" s="648"/>
      <c r="C554" s="649"/>
      <c r="D554" s="655"/>
      <c r="E554" s="651"/>
      <c r="F554" s="656"/>
      <c r="G554" s="647"/>
      <c r="H554" s="648"/>
      <c r="I554" s="649"/>
      <c r="J554" s="650"/>
      <c r="K554" s="651"/>
      <c r="L554" s="652"/>
    </row>
    <row r="555" spans="1:12" ht="15.75" x14ac:dyDescent="0.25">
      <c r="A555" s="647"/>
      <c r="B555" s="648"/>
      <c r="C555" s="649"/>
      <c r="D555" s="655"/>
      <c r="E555" s="657"/>
      <c r="F555" s="656"/>
      <c r="G555" s="647"/>
      <c r="H555" s="648"/>
      <c r="I555" s="649"/>
      <c r="J555" s="650"/>
      <c r="K555" s="651"/>
      <c r="L555" s="652"/>
    </row>
    <row r="556" spans="1:12" ht="15.75" x14ac:dyDescent="0.25">
      <c r="A556" s="647"/>
      <c r="B556" s="648"/>
      <c r="C556" s="649"/>
      <c r="D556" s="650"/>
      <c r="E556" s="657"/>
      <c r="F556" s="653"/>
      <c r="G556" s="647"/>
      <c r="H556" s="648"/>
      <c r="I556" s="649"/>
      <c r="J556" s="650"/>
      <c r="K556" s="651"/>
      <c r="L556" s="652"/>
    </row>
    <row r="557" spans="1:12" ht="15.75" x14ac:dyDescent="0.25">
      <c r="A557" s="647"/>
      <c r="B557" s="648"/>
      <c r="C557" s="649"/>
      <c r="D557" s="650"/>
      <c r="E557" s="657"/>
      <c r="F557" s="658"/>
      <c r="G557" s="647"/>
      <c r="H557" s="648"/>
      <c r="I557" s="649"/>
      <c r="J557" s="650"/>
      <c r="K557" s="651"/>
      <c r="L557" s="658"/>
    </row>
    <row r="558" spans="1:12" ht="15.75" x14ac:dyDescent="0.25">
      <c r="A558" s="647"/>
      <c r="B558" s="648"/>
      <c r="C558" s="649"/>
      <c r="D558" s="655"/>
      <c r="E558" s="657"/>
      <c r="F558" s="653"/>
      <c r="G558" s="647"/>
      <c r="H558" s="648"/>
      <c r="I558" s="649"/>
      <c r="J558" s="655"/>
      <c r="K558" s="651"/>
      <c r="L558" s="658"/>
    </row>
    <row r="559" spans="1:12" ht="15.75" x14ac:dyDescent="0.25">
      <c r="A559" s="647"/>
      <c r="B559" s="648"/>
      <c r="C559" s="649"/>
      <c r="D559" s="650"/>
      <c r="E559" s="651"/>
      <c r="F559" s="652"/>
      <c r="G559" s="647"/>
      <c r="H559" s="648"/>
      <c r="I559" s="649"/>
      <c r="J559" s="650"/>
      <c r="K559" s="651"/>
      <c r="L559" s="658"/>
    </row>
    <row r="560" spans="1:12" ht="16.5" thickBot="1" x14ac:dyDescent="0.3">
      <c r="A560" s="659"/>
      <c r="B560" s="660"/>
      <c r="C560" s="661"/>
      <c r="D560" s="662"/>
      <c r="E560" s="663"/>
      <c r="F560" s="664"/>
      <c r="G560" s="665"/>
      <c r="H560" s="666"/>
      <c r="I560" s="667"/>
      <c r="J560" s="668"/>
      <c r="K560" s="663"/>
      <c r="L560" s="669"/>
    </row>
    <row r="561" spans="1:12" ht="21" x14ac:dyDescent="0.35">
      <c r="A561" s="769" t="s">
        <v>945</v>
      </c>
      <c r="B561" s="770"/>
      <c r="C561" s="770"/>
      <c r="D561" s="770"/>
      <c r="E561" s="770"/>
      <c r="F561" s="770"/>
      <c r="G561" s="770"/>
      <c r="H561" s="770"/>
      <c r="I561" s="770"/>
      <c r="J561" s="770"/>
      <c r="K561" s="770"/>
      <c r="L561" s="771"/>
    </row>
    <row r="562" spans="1:12" ht="18.75" x14ac:dyDescent="0.3">
      <c r="A562" s="772" t="s">
        <v>946</v>
      </c>
      <c r="B562" s="773"/>
      <c r="C562" s="773"/>
      <c r="D562" s="773"/>
      <c r="E562" s="773"/>
      <c r="F562" s="773"/>
      <c r="G562" s="773"/>
      <c r="H562" s="773"/>
      <c r="I562" s="773"/>
      <c r="J562" s="773"/>
      <c r="K562" s="773"/>
      <c r="L562" s="774"/>
    </row>
    <row r="563" spans="1:12" ht="24" x14ac:dyDescent="0.4">
      <c r="A563" s="775" t="s">
        <v>947</v>
      </c>
      <c r="B563" s="776"/>
      <c r="C563" s="776"/>
      <c r="D563" s="776"/>
      <c r="E563" s="776"/>
      <c r="F563" s="776"/>
      <c r="G563" s="776"/>
      <c r="H563" s="776"/>
      <c r="I563" s="776"/>
      <c r="J563" s="776"/>
      <c r="K563" s="776"/>
      <c r="L563" s="777"/>
    </row>
    <row r="564" spans="1:12" ht="24" x14ac:dyDescent="0.4">
      <c r="A564" s="670" t="s">
        <v>1279</v>
      </c>
      <c r="B564" s="671"/>
      <c r="C564" s="671"/>
      <c r="D564" s="672" t="s">
        <v>949</v>
      </c>
      <c r="E564" s="778" t="s">
        <v>851</v>
      </c>
      <c r="F564" s="778"/>
      <c r="G564" s="778"/>
      <c r="H564" s="778"/>
      <c r="I564" s="778"/>
      <c r="J564" s="673" t="s">
        <v>1077</v>
      </c>
      <c r="K564" s="778"/>
      <c r="L564" s="779"/>
    </row>
    <row r="565" spans="1:12" ht="15.75" thickBot="1" x14ac:dyDescent="0.3">
      <c r="A565" s="674"/>
      <c r="B565" s="675"/>
      <c r="C565" s="675"/>
      <c r="D565" s="676"/>
      <c r="E565" s="675"/>
      <c r="F565" s="675"/>
      <c r="G565" s="675"/>
      <c r="H565" s="675"/>
      <c r="I565" s="780"/>
      <c r="J565" s="780"/>
      <c r="K565" s="675"/>
      <c r="L565" s="677"/>
    </row>
    <row r="566" spans="1:12" ht="16.5" thickBot="1" x14ac:dyDescent="0.3">
      <c r="A566" s="631" t="s">
        <v>952</v>
      </c>
      <c r="B566" s="632"/>
      <c r="C566" s="633"/>
      <c r="D566" s="634" t="s">
        <v>953</v>
      </c>
      <c r="E566" s="631" t="s">
        <v>954</v>
      </c>
      <c r="F566" s="635" t="s">
        <v>955</v>
      </c>
      <c r="G566" s="681" t="s">
        <v>952</v>
      </c>
      <c r="H566" s="682"/>
      <c r="I566" s="683"/>
      <c r="J566" s="684" t="s">
        <v>953</v>
      </c>
      <c r="K566" s="681" t="s">
        <v>954</v>
      </c>
      <c r="L566" s="681" t="s">
        <v>955</v>
      </c>
    </row>
    <row r="567" spans="1:12" ht="15.75" x14ac:dyDescent="0.25">
      <c r="A567" s="636"/>
      <c r="B567" s="637"/>
      <c r="C567" s="638"/>
      <c r="D567" s="639"/>
      <c r="E567" s="640"/>
      <c r="F567" s="685"/>
      <c r="G567" s="686"/>
      <c r="H567" s="642"/>
      <c r="I567" s="643"/>
      <c r="J567" s="644"/>
      <c r="K567" s="687"/>
      <c r="L567" s="688"/>
    </row>
    <row r="568" spans="1:12" ht="15.75" x14ac:dyDescent="0.25">
      <c r="A568" s="647"/>
      <c r="B568" s="648" t="s">
        <v>459</v>
      </c>
      <c r="C568" s="649">
        <v>201</v>
      </c>
      <c r="D568" s="650" t="s">
        <v>1490</v>
      </c>
      <c r="E568" s="651"/>
      <c r="F568" s="689"/>
      <c r="G568" s="690"/>
      <c r="H568" s="648" t="s">
        <v>459</v>
      </c>
      <c r="I568" s="649">
        <v>27</v>
      </c>
      <c r="J568" s="650" t="s">
        <v>1491</v>
      </c>
      <c r="K568" s="691"/>
      <c r="L568" s="692"/>
    </row>
    <row r="569" spans="1:12" ht="15.75" x14ac:dyDescent="0.25">
      <c r="A569" s="647" t="s">
        <v>958</v>
      </c>
      <c r="B569" s="654"/>
      <c r="C569" s="649"/>
      <c r="D569" s="655" t="s">
        <v>959</v>
      </c>
      <c r="E569" s="651"/>
      <c r="F569" s="693">
        <v>0.4236111111111111</v>
      </c>
      <c r="G569" s="694"/>
      <c r="H569" s="648"/>
      <c r="I569" s="649"/>
      <c r="J569" s="655" t="s">
        <v>166</v>
      </c>
      <c r="K569" s="651"/>
      <c r="L569" s="656">
        <v>0.83680555555555558</v>
      </c>
    </row>
    <row r="570" spans="1:12" ht="15.75" x14ac:dyDescent="0.25">
      <c r="A570" s="647" t="s">
        <v>961</v>
      </c>
      <c r="B570" s="654"/>
      <c r="C570" s="649"/>
      <c r="D570" s="650" t="s">
        <v>163</v>
      </c>
      <c r="E570" s="651"/>
      <c r="F570" s="695">
        <v>0.4513888888888889</v>
      </c>
      <c r="G570" s="694" t="s">
        <v>961</v>
      </c>
      <c r="H570" s="648"/>
      <c r="I570" s="649"/>
      <c r="J570" s="650" t="s">
        <v>160</v>
      </c>
      <c r="K570" s="651"/>
      <c r="L570" s="653">
        <v>0.86805555555555558</v>
      </c>
    </row>
    <row r="571" spans="1:12" ht="15.75" x14ac:dyDescent="0.25">
      <c r="A571" s="647"/>
      <c r="B571" s="648"/>
      <c r="C571" s="649"/>
      <c r="D571" s="655" t="s">
        <v>164</v>
      </c>
      <c r="E571" s="651"/>
      <c r="F571" s="693">
        <v>0.47916666666666669</v>
      </c>
      <c r="G571" s="694"/>
      <c r="H571" s="648"/>
      <c r="I571" s="649"/>
      <c r="J571" s="655" t="s">
        <v>962</v>
      </c>
      <c r="K571" s="651"/>
      <c r="L571" s="656">
        <v>0.875</v>
      </c>
    </row>
    <row r="572" spans="1:12" ht="15.75" x14ac:dyDescent="0.25">
      <c r="A572" s="647"/>
      <c r="B572" s="648"/>
      <c r="C572" s="649"/>
      <c r="D572" s="655" t="s">
        <v>166</v>
      </c>
      <c r="E572" s="657">
        <v>0.49305555555555558</v>
      </c>
      <c r="F572" s="693"/>
      <c r="G572" s="694"/>
      <c r="H572" s="648"/>
      <c r="I572" s="649"/>
      <c r="J572" s="655" t="s">
        <v>960</v>
      </c>
      <c r="K572" s="651"/>
      <c r="L572" s="656">
        <v>0.89930555555555558</v>
      </c>
    </row>
    <row r="573" spans="1:12" ht="15.75" x14ac:dyDescent="0.25">
      <c r="A573" s="647"/>
      <c r="B573" s="648" t="s">
        <v>459</v>
      </c>
      <c r="C573" s="649">
        <v>201</v>
      </c>
      <c r="D573" s="650" t="s">
        <v>1492</v>
      </c>
      <c r="E573" s="651"/>
      <c r="F573" s="696"/>
      <c r="G573" s="694" t="s">
        <v>961</v>
      </c>
      <c r="H573" s="654"/>
      <c r="I573" s="649"/>
      <c r="J573" s="650" t="s">
        <v>163</v>
      </c>
      <c r="K573" s="651"/>
      <c r="L573" s="653">
        <v>0.9375</v>
      </c>
    </row>
    <row r="574" spans="1:12" ht="15.75" x14ac:dyDescent="0.25">
      <c r="A574" s="647"/>
      <c r="B574" s="648"/>
      <c r="C574" s="649"/>
      <c r="D574" s="650"/>
      <c r="E574" s="651"/>
      <c r="F574" s="693"/>
      <c r="G574" s="694"/>
      <c r="H574" s="648"/>
      <c r="I574" s="649"/>
      <c r="J574" s="655" t="s">
        <v>164</v>
      </c>
      <c r="K574" s="651"/>
      <c r="L574" s="656">
        <v>0.95833333333333337</v>
      </c>
    </row>
    <row r="575" spans="1:12" ht="15.75" x14ac:dyDescent="0.25">
      <c r="A575" s="647"/>
      <c r="B575" s="648" t="s">
        <v>459</v>
      </c>
      <c r="C575" s="649">
        <v>18</v>
      </c>
      <c r="D575" s="650" t="s">
        <v>1417</v>
      </c>
      <c r="E575" s="651"/>
      <c r="F575" s="695"/>
      <c r="G575" s="694"/>
      <c r="H575" s="648"/>
      <c r="I575" s="649"/>
      <c r="J575" s="655" t="s">
        <v>166</v>
      </c>
      <c r="K575" s="657">
        <v>0.96527777777777779</v>
      </c>
      <c r="L575" s="656"/>
    </row>
    <row r="576" spans="1:12" ht="15.75" x14ac:dyDescent="0.25">
      <c r="A576" s="647"/>
      <c r="B576" s="648"/>
      <c r="C576" s="649"/>
      <c r="D576" s="655" t="s">
        <v>166</v>
      </c>
      <c r="E576" s="651"/>
      <c r="F576" s="693">
        <v>0.49305555555555558</v>
      </c>
      <c r="G576" s="694"/>
      <c r="H576" s="648" t="s">
        <v>462</v>
      </c>
      <c r="I576" s="649" t="s">
        <v>459</v>
      </c>
      <c r="J576" s="650"/>
      <c r="K576" s="651"/>
      <c r="L576" s="658"/>
    </row>
    <row r="577" spans="1:12" ht="15.75" x14ac:dyDescent="0.25">
      <c r="A577" s="647" t="s">
        <v>961</v>
      </c>
      <c r="B577" s="648"/>
      <c r="C577" s="649"/>
      <c r="D577" s="650" t="s">
        <v>160</v>
      </c>
      <c r="E577" s="651"/>
      <c r="F577" s="695">
        <v>0.53472222222222221</v>
      </c>
      <c r="G577" s="690"/>
      <c r="H577" s="697"/>
      <c r="I577" s="691"/>
      <c r="J577" s="691"/>
      <c r="K577" s="691"/>
      <c r="L577" s="692"/>
    </row>
    <row r="578" spans="1:12" ht="15.75" x14ac:dyDescent="0.25">
      <c r="A578" s="647"/>
      <c r="B578" s="648"/>
      <c r="C578" s="649"/>
      <c r="D578" s="655" t="s">
        <v>962</v>
      </c>
      <c r="E578" s="651"/>
      <c r="F578" s="693">
        <v>0.54166666666666663</v>
      </c>
      <c r="G578" s="694"/>
      <c r="H578" s="648" t="s">
        <v>459</v>
      </c>
      <c r="I578" s="649">
        <v>71</v>
      </c>
      <c r="J578" s="650" t="s">
        <v>1493</v>
      </c>
      <c r="K578" s="651"/>
      <c r="L578" s="653"/>
    </row>
    <row r="579" spans="1:12" ht="15.75" x14ac:dyDescent="0.25">
      <c r="A579" s="647"/>
      <c r="B579" s="648"/>
      <c r="C579" s="649"/>
      <c r="D579" s="655" t="s">
        <v>960</v>
      </c>
      <c r="E579" s="651"/>
      <c r="F579" s="693">
        <v>0.56944444444444442</v>
      </c>
      <c r="G579" s="694"/>
      <c r="H579" s="648"/>
      <c r="I579" s="649"/>
      <c r="J579" s="655" t="s">
        <v>166</v>
      </c>
      <c r="K579" s="651"/>
      <c r="L579" s="656">
        <v>0.96527777777777779</v>
      </c>
    </row>
    <row r="580" spans="1:12" ht="15.75" x14ac:dyDescent="0.25">
      <c r="A580" s="647" t="s">
        <v>961</v>
      </c>
      <c r="B580" s="654"/>
      <c r="C580" s="649"/>
      <c r="D580" s="650" t="s">
        <v>163</v>
      </c>
      <c r="E580" s="651"/>
      <c r="F580" s="695">
        <v>0.62847222222222221</v>
      </c>
      <c r="G580" s="694" t="s">
        <v>961</v>
      </c>
      <c r="H580" s="648"/>
      <c r="I580" s="649"/>
      <c r="J580" s="650" t="s">
        <v>160</v>
      </c>
      <c r="K580" s="651"/>
      <c r="L580" s="653">
        <v>0.99305555555555558</v>
      </c>
    </row>
    <row r="581" spans="1:12" ht="15.75" x14ac:dyDescent="0.25">
      <c r="A581" s="647"/>
      <c r="B581" s="648"/>
      <c r="C581" s="649"/>
      <c r="D581" s="655" t="s">
        <v>164</v>
      </c>
      <c r="E581" s="651"/>
      <c r="F581" s="693">
        <v>0.65625</v>
      </c>
      <c r="G581" s="694"/>
      <c r="H581" s="648"/>
      <c r="I581" s="649"/>
      <c r="J581" s="655" t="s">
        <v>962</v>
      </c>
      <c r="K581" s="651"/>
      <c r="L581" s="656">
        <v>0</v>
      </c>
    </row>
    <row r="582" spans="1:12" ht="15.75" x14ac:dyDescent="0.25">
      <c r="A582" s="647"/>
      <c r="B582" s="648"/>
      <c r="C582" s="649"/>
      <c r="D582" s="655" t="s">
        <v>166</v>
      </c>
      <c r="E582" s="657">
        <v>0.67708333333333337</v>
      </c>
      <c r="F582" s="693"/>
      <c r="G582" s="694"/>
      <c r="H582" s="648"/>
      <c r="I582" s="649"/>
      <c r="J582" s="655" t="s">
        <v>960</v>
      </c>
      <c r="K582" s="651"/>
      <c r="L582" s="656">
        <v>1.7361111111111112E-2</v>
      </c>
    </row>
    <row r="583" spans="1:12" ht="15.75" x14ac:dyDescent="0.25">
      <c r="A583" s="647"/>
      <c r="B583" s="648" t="s">
        <v>459</v>
      </c>
      <c r="C583" s="649">
        <v>18</v>
      </c>
      <c r="D583" s="650" t="s">
        <v>1494</v>
      </c>
      <c r="E583" s="651"/>
      <c r="F583" s="696"/>
      <c r="G583" s="694" t="s">
        <v>961</v>
      </c>
      <c r="H583" s="654"/>
      <c r="I583" s="649"/>
      <c r="J583" s="650" t="s">
        <v>163</v>
      </c>
      <c r="K583" s="651"/>
      <c r="L583" s="653">
        <v>1.0625</v>
      </c>
    </row>
    <row r="584" spans="1:12" ht="15.75" x14ac:dyDescent="0.25">
      <c r="A584" s="647"/>
      <c r="B584" s="648"/>
      <c r="C584" s="649"/>
      <c r="D584" s="650"/>
      <c r="E584" s="651"/>
      <c r="F584" s="693"/>
      <c r="G584" s="694"/>
      <c r="H584" s="648"/>
      <c r="I584" s="649"/>
      <c r="J584" s="655" t="s">
        <v>164</v>
      </c>
      <c r="K584" s="651"/>
      <c r="L584" s="656">
        <v>8.3333333333333329E-2</v>
      </c>
    </row>
    <row r="585" spans="1:12" ht="15.75" x14ac:dyDescent="0.25">
      <c r="A585" s="647"/>
      <c r="B585" s="648" t="s">
        <v>459</v>
      </c>
      <c r="C585" s="649">
        <v>17</v>
      </c>
      <c r="D585" s="650" t="s">
        <v>1495</v>
      </c>
      <c r="E585" s="651"/>
      <c r="F585" s="695"/>
      <c r="G585" s="694"/>
      <c r="H585" s="648"/>
      <c r="I585" s="649"/>
      <c r="J585" s="655" t="s">
        <v>166</v>
      </c>
      <c r="K585" s="651"/>
      <c r="L585" s="656">
        <v>9.0277777777777776E-2</v>
      </c>
    </row>
    <row r="586" spans="1:12" ht="15.75" x14ac:dyDescent="0.25">
      <c r="A586" s="647"/>
      <c r="B586" s="648"/>
      <c r="C586" s="649"/>
      <c r="D586" s="655" t="s">
        <v>166</v>
      </c>
      <c r="E586" s="651"/>
      <c r="F586" s="693">
        <v>0.67708333333333337</v>
      </c>
      <c r="G586" s="694" t="s">
        <v>961</v>
      </c>
      <c r="H586" s="648"/>
      <c r="I586" s="649"/>
      <c r="J586" s="650" t="s">
        <v>160</v>
      </c>
      <c r="K586" s="651"/>
      <c r="L586" s="653">
        <v>1.1180555555555556</v>
      </c>
    </row>
    <row r="587" spans="1:12" ht="15.75" x14ac:dyDescent="0.25">
      <c r="A587" s="647" t="s">
        <v>961</v>
      </c>
      <c r="B587" s="648"/>
      <c r="C587" s="649"/>
      <c r="D587" s="650" t="s">
        <v>160</v>
      </c>
      <c r="E587" s="651"/>
      <c r="F587" s="695">
        <v>0.71180555555555558</v>
      </c>
      <c r="G587" s="694"/>
      <c r="H587" s="648"/>
      <c r="I587" s="649"/>
      <c r="J587" s="655" t="s">
        <v>962</v>
      </c>
      <c r="K587" s="651"/>
      <c r="L587" s="656">
        <v>0.125</v>
      </c>
    </row>
    <row r="588" spans="1:12" ht="15.75" x14ac:dyDescent="0.25">
      <c r="A588" s="647"/>
      <c r="B588" s="648"/>
      <c r="C588" s="649"/>
      <c r="D588" s="655" t="s">
        <v>962</v>
      </c>
      <c r="E588" s="651"/>
      <c r="F588" s="693">
        <v>0.71875</v>
      </c>
      <c r="G588" s="694"/>
      <c r="H588" s="648"/>
      <c r="I588" s="649"/>
      <c r="J588" s="655" t="s">
        <v>960</v>
      </c>
      <c r="K588" s="657">
        <v>0.1423611111111111</v>
      </c>
      <c r="L588" s="656"/>
    </row>
    <row r="589" spans="1:12" ht="15.75" x14ac:dyDescent="0.25">
      <c r="A589" s="647"/>
      <c r="B589" s="648"/>
      <c r="C589" s="649"/>
      <c r="D589" s="655" t="s">
        <v>960</v>
      </c>
      <c r="E589" s="651"/>
      <c r="F589" s="693">
        <v>0.74652777777777779</v>
      </c>
      <c r="G589" s="694"/>
      <c r="H589" s="648" t="s">
        <v>462</v>
      </c>
      <c r="I589" s="649" t="s">
        <v>459</v>
      </c>
      <c r="J589" s="655"/>
      <c r="K589" s="651"/>
      <c r="L589" s="656"/>
    </row>
    <row r="590" spans="1:12" ht="15.75" x14ac:dyDescent="0.25">
      <c r="A590" s="647" t="s">
        <v>961</v>
      </c>
      <c r="B590" s="654"/>
      <c r="C590" s="649"/>
      <c r="D590" s="650" t="s">
        <v>163</v>
      </c>
      <c r="E590" s="651"/>
      <c r="F590" s="695">
        <v>0.79513888888888884</v>
      </c>
      <c r="G590" s="694"/>
      <c r="H590" s="648"/>
      <c r="I590" s="649"/>
      <c r="J590" s="650"/>
      <c r="K590" s="651"/>
      <c r="L590" s="653"/>
    </row>
    <row r="591" spans="1:12" ht="15.75" x14ac:dyDescent="0.25">
      <c r="A591" s="647"/>
      <c r="B591" s="648"/>
      <c r="C591" s="649"/>
      <c r="D591" s="655" t="s">
        <v>164</v>
      </c>
      <c r="E591" s="651"/>
      <c r="F591" s="693">
        <v>0.81944444444444442</v>
      </c>
      <c r="G591" s="694"/>
      <c r="H591" s="648" t="s">
        <v>459</v>
      </c>
      <c r="I591" s="649">
        <v>73</v>
      </c>
      <c r="J591" s="650" t="s">
        <v>1496</v>
      </c>
      <c r="K591" s="651"/>
      <c r="L591" s="653"/>
    </row>
    <row r="592" spans="1:12" ht="15.75" x14ac:dyDescent="0.25">
      <c r="A592" s="647"/>
      <c r="B592" s="648"/>
      <c r="C592" s="649"/>
      <c r="D592" s="655" t="s">
        <v>166</v>
      </c>
      <c r="E592" s="657">
        <v>0.83680555555555558</v>
      </c>
      <c r="F592" s="693"/>
      <c r="G592" s="694"/>
      <c r="H592" s="648"/>
      <c r="I592" s="649"/>
      <c r="J592" s="655" t="s">
        <v>960</v>
      </c>
      <c r="K592" s="651"/>
      <c r="L592" s="656">
        <v>0.1423611111111111</v>
      </c>
    </row>
    <row r="593" spans="1:12" ht="15.75" x14ac:dyDescent="0.25">
      <c r="A593" s="647"/>
      <c r="B593" s="648" t="s">
        <v>462</v>
      </c>
      <c r="C593" s="649" t="s">
        <v>459</v>
      </c>
      <c r="D593" s="650"/>
      <c r="E593" s="651"/>
      <c r="F593" s="696"/>
      <c r="G593" s="694" t="s">
        <v>961</v>
      </c>
      <c r="H593" s="654"/>
      <c r="I593" s="649"/>
      <c r="J593" s="650" t="s">
        <v>163</v>
      </c>
      <c r="K593" s="651"/>
      <c r="L593" s="653">
        <v>0.1875</v>
      </c>
    </row>
    <row r="594" spans="1:12" ht="15.75" x14ac:dyDescent="0.25">
      <c r="A594" s="647"/>
      <c r="B594" s="648"/>
      <c r="C594" s="649"/>
      <c r="D594" s="655"/>
      <c r="E594" s="651"/>
      <c r="F594" s="693"/>
      <c r="G594" s="694"/>
      <c r="H594" s="648"/>
      <c r="I594" s="649"/>
      <c r="J594" s="655" t="s">
        <v>164</v>
      </c>
      <c r="K594" s="651"/>
      <c r="L594" s="656">
        <v>0.20833333333333334</v>
      </c>
    </row>
    <row r="595" spans="1:12" ht="15.75" x14ac:dyDescent="0.25">
      <c r="A595" s="647"/>
      <c r="B595" s="648"/>
      <c r="C595" s="649"/>
      <c r="D595" s="655"/>
      <c r="E595" s="651"/>
      <c r="F595" s="693"/>
      <c r="G595" s="694"/>
      <c r="H595" s="648"/>
      <c r="I595" s="649"/>
      <c r="J595" s="655" t="s">
        <v>166</v>
      </c>
      <c r="K595" s="651"/>
      <c r="L595" s="656">
        <v>0.21527777777777779</v>
      </c>
    </row>
    <row r="596" spans="1:12" ht="15.75" x14ac:dyDescent="0.25">
      <c r="A596" s="647"/>
      <c r="B596" s="654"/>
      <c r="C596" s="649"/>
      <c r="D596" s="650"/>
      <c r="E596" s="657"/>
      <c r="F596" s="695"/>
      <c r="G596" s="694" t="s">
        <v>958</v>
      </c>
      <c r="H596" s="648"/>
      <c r="I596" s="649"/>
      <c r="J596" s="650" t="s">
        <v>160</v>
      </c>
      <c r="K596" s="657">
        <v>0.24305555555555555</v>
      </c>
      <c r="L596" s="653"/>
    </row>
    <row r="597" spans="1:12" ht="15.75" x14ac:dyDescent="0.25">
      <c r="A597" s="647"/>
      <c r="B597" s="648"/>
      <c r="C597" s="649"/>
      <c r="D597" s="650"/>
      <c r="E597" s="657"/>
      <c r="F597" s="696"/>
      <c r="G597" s="694"/>
      <c r="H597" s="648"/>
      <c r="I597" s="649"/>
      <c r="J597" s="650" t="s">
        <v>963</v>
      </c>
      <c r="K597" s="657">
        <v>0.27430555555555558</v>
      </c>
      <c r="L597" s="656"/>
    </row>
    <row r="598" spans="1:12" ht="15.75" x14ac:dyDescent="0.25">
      <c r="A598" s="647"/>
      <c r="B598" s="648"/>
      <c r="C598" s="649"/>
      <c r="D598" s="650"/>
      <c r="E598" s="657"/>
      <c r="F598" s="695"/>
      <c r="G598" s="694"/>
      <c r="H598" s="648" t="s">
        <v>462</v>
      </c>
      <c r="I598" s="649" t="s">
        <v>459</v>
      </c>
      <c r="J598" s="650"/>
      <c r="K598" s="657"/>
      <c r="L598" s="656"/>
    </row>
    <row r="599" spans="1:12" ht="15.75" x14ac:dyDescent="0.25">
      <c r="A599" s="647"/>
      <c r="B599" s="648"/>
      <c r="C599" s="649"/>
      <c r="D599" s="650"/>
      <c r="E599" s="657"/>
      <c r="F599" s="689"/>
      <c r="G599" s="690"/>
      <c r="H599" s="697"/>
      <c r="I599" s="691"/>
      <c r="J599" s="691"/>
      <c r="K599" s="691"/>
      <c r="L599" s="692"/>
    </row>
    <row r="600" spans="1:12" ht="16.5" thickBot="1" x14ac:dyDescent="0.3">
      <c r="A600" s="659"/>
      <c r="B600" s="660"/>
      <c r="C600" s="661"/>
      <c r="D600" s="662"/>
      <c r="E600" s="663"/>
      <c r="F600" s="698"/>
      <c r="G600" s="699"/>
      <c r="H600" s="666"/>
      <c r="I600" s="667"/>
      <c r="J600" s="668"/>
      <c r="K600" s="663"/>
      <c r="L600" s="669"/>
    </row>
    <row r="601" spans="1:12" ht="21" x14ac:dyDescent="0.35">
      <c r="A601" s="769" t="s">
        <v>945</v>
      </c>
      <c r="B601" s="770"/>
      <c r="C601" s="770"/>
      <c r="D601" s="770"/>
      <c r="E601" s="770"/>
      <c r="F601" s="770"/>
      <c r="G601" s="770"/>
      <c r="H601" s="793"/>
      <c r="I601" s="793"/>
      <c r="J601" s="793"/>
      <c r="K601" s="793"/>
      <c r="L601" s="794"/>
    </row>
    <row r="602" spans="1:12" ht="18.75" x14ac:dyDescent="0.3">
      <c r="A602" s="772" t="s">
        <v>946</v>
      </c>
      <c r="B602" s="773"/>
      <c r="C602" s="773"/>
      <c r="D602" s="773"/>
      <c r="E602" s="773"/>
      <c r="F602" s="773"/>
      <c r="G602" s="773"/>
      <c r="H602" s="773"/>
      <c r="I602" s="773"/>
      <c r="J602" s="773"/>
      <c r="K602" s="773"/>
      <c r="L602" s="774"/>
    </row>
    <row r="603" spans="1:12" ht="24" x14ac:dyDescent="0.4">
      <c r="A603" s="775" t="s">
        <v>947</v>
      </c>
      <c r="B603" s="776"/>
      <c r="C603" s="776"/>
      <c r="D603" s="776"/>
      <c r="E603" s="776"/>
      <c r="F603" s="776"/>
      <c r="G603" s="776"/>
      <c r="H603" s="776"/>
      <c r="I603" s="776"/>
      <c r="J603" s="776"/>
      <c r="K603" s="776"/>
      <c r="L603" s="777"/>
    </row>
    <row r="604" spans="1:12" ht="24" x14ac:dyDescent="0.4">
      <c r="A604" s="670" t="s">
        <v>1279</v>
      </c>
      <c r="B604" s="671"/>
      <c r="C604" s="671"/>
      <c r="D604" s="672" t="s">
        <v>949</v>
      </c>
      <c r="E604" s="778" t="s">
        <v>851</v>
      </c>
      <c r="F604" s="778"/>
      <c r="G604" s="778"/>
      <c r="H604" s="778"/>
      <c r="I604" s="778"/>
      <c r="J604" s="673" t="s">
        <v>1081</v>
      </c>
      <c r="K604" s="778"/>
      <c r="L604" s="779"/>
    </row>
    <row r="605" spans="1:12" ht="15.75" thickBot="1" x14ac:dyDescent="0.3">
      <c r="A605" s="674"/>
      <c r="B605" s="675"/>
      <c r="C605" s="675"/>
      <c r="D605" s="676"/>
      <c r="E605" s="675"/>
      <c r="F605" s="675"/>
      <c r="G605" s="675"/>
      <c r="H605" s="675"/>
      <c r="I605" s="780"/>
      <c r="J605" s="780"/>
      <c r="K605" s="675"/>
      <c r="L605" s="677"/>
    </row>
    <row r="606" spans="1:12" ht="16.5" thickBot="1" x14ac:dyDescent="0.3">
      <c r="A606" s="631" t="s">
        <v>952</v>
      </c>
      <c r="B606" s="632"/>
      <c r="C606" s="633"/>
      <c r="D606" s="634" t="s">
        <v>953</v>
      </c>
      <c r="E606" s="631" t="s">
        <v>954</v>
      </c>
      <c r="F606" s="635" t="s">
        <v>955</v>
      </c>
      <c r="G606" s="631" t="s">
        <v>952</v>
      </c>
      <c r="H606" s="632"/>
      <c r="I606" s="633"/>
      <c r="J606" s="634" t="s">
        <v>953</v>
      </c>
      <c r="K606" s="631" t="s">
        <v>954</v>
      </c>
      <c r="L606" s="631" t="s">
        <v>955</v>
      </c>
    </row>
    <row r="607" spans="1:12" ht="15.75" x14ac:dyDescent="0.25">
      <c r="A607" s="636"/>
      <c r="B607" s="637"/>
      <c r="C607" s="638"/>
      <c r="D607" s="639"/>
      <c r="E607" s="640"/>
      <c r="F607" s="641"/>
      <c r="G607" s="636"/>
      <c r="H607" s="642"/>
      <c r="I607" s="643"/>
      <c r="J607" s="644"/>
      <c r="K607" s="645"/>
      <c r="L607" s="646"/>
    </row>
    <row r="608" spans="1:12" ht="15.75" x14ac:dyDescent="0.25">
      <c r="A608" s="647"/>
      <c r="B608" s="648" t="s">
        <v>459</v>
      </c>
      <c r="C608" s="649">
        <v>204</v>
      </c>
      <c r="D608" s="650" t="s">
        <v>1497</v>
      </c>
      <c r="E608" s="651"/>
      <c r="F608" s="652"/>
      <c r="G608" s="647"/>
      <c r="H608" s="648" t="s">
        <v>459</v>
      </c>
      <c r="I608" s="649">
        <v>75</v>
      </c>
      <c r="J608" s="650" t="s">
        <v>1498</v>
      </c>
      <c r="K608" s="651"/>
      <c r="L608" s="653"/>
    </row>
    <row r="609" spans="1:12" ht="15.75" x14ac:dyDescent="0.25">
      <c r="A609" s="647" t="s">
        <v>958</v>
      </c>
      <c r="B609" s="654"/>
      <c r="C609" s="649"/>
      <c r="D609" s="655" t="s">
        <v>959</v>
      </c>
      <c r="E609" s="651"/>
      <c r="F609" s="656">
        <v>0.44444444444444442</v>
      </c>
      <c r="G609" s="647"/>
      <c r="H609" s="648"/>
      <c r="I609" s="649"/>
      <c r="J609" s="655" t="s">
        <v>960</v>
      </c>
      <c r="K609" s="651"/>
      <c r="L609" s="656">
        <v>0.92708333333333337</v>
      </c>
    </row>
    <row r="610" spans="1:12" ht="15.75" x14ac:dyDescent="0.25">
      <c r="A610" s="647" t="s">
        <v>961</v>
      </c>
      <c r="B610" s="654"/>
      <c r="C610" s="649"/>
      <c r="D610" s="650" t="s">
        <v>163</v>
      </c>
      <c r="E610" s="651"/>
      <c r="F610" s="653">
        <v>0.47222222222222221</v>
      </c>
      <c r="G610" s="647" t="s">
        <v>961</v>
      </c>
      <c r="H610" s="654"/>
      <c r="I610" s="649"/>
      <c r="J610" s="650" t="s">
        <v>163</v>
      </c>
      <c r="K610" s="651"/>
      <c r="L610" s="653">
        <v>0.96527777777777779</v>
      </c>
    </row>
    <row r="611" spans="1:12" ht="15.75" x14ac:dyDescent="0.25">
      <c r="A611" s="647"/>
      <c r="B611" s="648"/>
      <c r="C611" s="649"/>
      <c r="D611" s="655" t="s">
        <v>164</v>
      </c>
      <c r="E611" s="651"/>
      <c r="F611" s="656">
        <v>0.5</v>
      </c>
      <c r="G611" s="647"/>
      <c r="H611" s="648"/>
      <c r="I611" s="649"/>
      <c r="J611" s="655" t="s">
        <v>164</v>
      </c>
      <c r="K611" s="651"/>
      <c r="L611" s="656">
        <v>0.98611111111111116</v>
      </c>
    </row>
    <row r="612" spans="1:12" ht="15.75" x14ac:dyDescent="0.25">
      <c r="A612" s="647"/>
      <c r="B612" s="648"/>
      <c r="C612" s="649"/>
      <c r="D612" s="655" t="s">
        <v>166</v>
      </c>
      <c r="E612" s="651"/>
      <c r="F612" s="656">
        <v>0.51388888888888884</v>
      </c>
      <c r="G612" s="647"/>
      <c r="H612" s="648"/>
      <c r="I612" s="649"/>
      <c r="J612" s="655" t="s">
        <v>166</v>
      </c>
      <c r="K612" s="651"/>
      <c r="L612" s="656">
        <v>0.99652777777777779</v>
      </c>
    </row>
    <row r="613" spans="1:12" ht="15.75" x14ac:dyDescent="0.25">
      <c r="A613" s="647" t="s">
        <v>961</v>
      </c>
      <c r="B613" s="648"/>
      <c r="C613" s="649"/>
      <c r="D613" s="650" t="s">
        <v>160</v>
      </c>
      <c r="E613" s="651"/>
      <c r="F613" s="653">
        <v>0.55555555555555558</v>
      </c>
      <c r="G613" s="647" t="s">
        <v>961</v>
      </c>
      <c r="H613" s="648"/>
      <c r="I613" s="649"/>
      <c r="J613" s="650" t="s">
        <v>160</v>
      </c>
      <c r="K613" s="651"/>
      <c r="L613" s="653">
        <v>3.4722222222222224E-2</v>
      </c>
    </row>
    <row r="614" spans="1:12" ht="15.75" x14ac:dyDescent="0.25">
      <c r="A614" s="647"/>
      <c r="B614" s="648"/>
      <c r="C614" s="649"/>
      <c r="D614" s="655" t="s">
        <v>962</v>
      </c>
      <c r="E614" s="651"/>
      <c r="F614" s="656">
        <v>0.5625</v>
      </c>
      <c r="G614" s="647"/>
      <c r="H614" s="648"/>
      <c r="I614" s="649"/>
      <c r="J614" s="655" t="s">
        <v>962</v>
      </c>
      <c r="K614" s="651"/>
      <c r="L614" s="656">
        <v>4.1666666666666664E-2</v>
      </c>
    </row>
    <row r="615" spans="1:12" ht="15.75" x14ac:dyDescent="0.25">
      <c r="A615" s="647"/>
      <c r="B615" s="648"/>
      <c r="C615" s="649"/>
      <c r="D615" s="655" t="s">
        <v>960</v>
      </c>
      <c r="E615" s="657">
        <v>0.59722222222222221</v>
      </c>
      <c r="F615" s="656"/>
      <c r="G615" s="647"/>
      <c r="H615" s="648"/>
      <c r="I615" s="649"/>
      <c r="J615" s="655" t="s">
        <v>960</v>
      </c>
      <c r="K615" s="657">
        <v>6.25E-2</v>
      </c>
      <c r="L615" s="656"/>
    </row>
    <row r="616" spans="1:12" ht="15.75" x14ac:dyDescent="0.25">
      <c r="A616" s="647"/>
      <c r="B616" s="648" t="s">
        <v>459</v>
      </c>
      <c r="C616" s="649">
        <v>204</v>
      </c>
      <c r="D616" s="650" t="s">
        <v>1499</v>
      </c>
      <c r="E616" s="651"/>
      <c r="F616" s="658"/>
      <c r="G616" s="647"/>
      <c r="H616" s="648" t="s">
        <v>459</v>
      </c>
      <c r="I616" s="649">
        <v>75</v>
      </c>
      <c r="J616" s="650" t="s">
        <v>1500</v>
      </c>
      <c r="K616" s="651"/>
      <c r="L616" s="658"/>
    </row>
    <row r="617" spans="1:12" ht="15.75" x14ac:dyDescent="0.25">
      <c r="A617" s="647"/>
      <c r="B617" s="648"/>
      <c r="C617" s="649"/>
      <c r="D617" s="650"/>
      <c r="E617" s="651"/>
      <c r="F617" s="656"/>
      <c r="G617" s="647"/>
      <c r="H617" s="648"/>
      <c r="I617" s="649"/>
      <c r="J617" s="650"/>
      <c r="K617" s="651"/>
      <c r="L617" s="656"/>
    </row>
    <row r="618" spans="1:12" ht="15.75" x14ac:dyDescent="0.25">
      <c r="A618" s="647"/>
      <c r="B618" s="648" t="s">
        <v>459</v>
      </c>
      <c r="C618" s="649">
        <v>24</v>
      </c>
      <c r="D618" s="650" t="s">
        <v>1501</v>
      </c>
      <c r="E618" s="651"/>
      <c r="F618" s="653"/>
      <c r="G618" s="647"/>
      <c r="H618" s="648" t="s">
        <v>459</v>
      </c>
      <c r="I618" s="649">
        <v>74</v>
      </c>
      <c r="J618" s="650" t="s">
        <v>1502</v>
      </c>
      <c r="K618" s="651"/>
      <c r="L618" s="653"/>
    </row>
    <row r="619" spans="1:12" ht="15.75" x14ac:dyDescent="0.25">
      <c r="A619" s="647"/>
      <c r="B619" s="648"/>
      <c r="C619" s="649"/>
      <c r="D619" s="655" t="s">
        <v>960</v>
      </c>
      <c r="E619" s="651"/>
      <c r="F619" s="656">
        <v>0.59722222222222221</v>
      </c>
      <c r="G619" s="647"/>
      <c r="H619" s="648"/>
      <c r="I619" s="649"/>
      <c r="J619" s="655" t="s">
        <v>960</v>
      </c>
      <c r="K619" s="651"/>
      <c r="L619" s="656">
        <v>6.25E-2</v>
      </c>
    </row>
    <row r="620" spans="1:12" ht="15.75" x14ac:dyDescent="0.25">
      <c r="A620" s="647" t="s">
        <v>961</v>
      </c>
      <c r="B620" s="654"/>
      <c r="C620" s="649"/>
      <c r="D620" s="650" t="s">
        <v>163</v>
      </c>
      <c r="E620" s="651"/>
      <c r="F620" s="653">
        <v>0.64930555555555558</v>
      </c>
      <c r="G620" s="647" t="s">
        <v>961</v>
      </c>
      <c r="H620" s="654"/>
      <c r="I620" s="649"/>
      <c r="J620" s="650" t="s">
        <v>163</v>
      </c>
      <c r="K620" s="651"/>
      <c r="L620" s="653">
        <v>0.10416666666666667</v>
      </c>
    </row>
    <row r="621" spans="1:12" ht="15.75" x14ac:dyDescent="0.25">
      <c r="A621" s="647"/>
      <c r="B621" s="648"/>
      <c r="C621" s="649"/>
      <c r="D621" s="655" t="s">
        <v>164</v>
      </c>
      <c r="E621" s="651"/>
      <c r="F621" s="656">
        <v>0.67708333333333337</v>
      </c>
      <c r="G621" s="647"/>
      <c r="H621" s="648"/>
      <c r="I621" s="649"/>
      <c r="J621" s="655" t="s">
        <v>164</v>
      </c>
      <c r="K621" s="651"/>
      <c r="L621" s="656">
        <v>0.125</v>
      </c>
    </row>
    <row r="622" spans="1:12" ht="15.75" x14ac:dyDescent="0.25">
      <c r="A622" s="647"/>
      <c r="B622" s="648"/>
      <c r="C622" s="649"/>
      <c r="D622" s="655" t="s">
        <v>166</v>
      </c>
      <c r="E622" s="651"/>
      <c r="F622" s="656">
        <v>0.69444444444444442</v>
      </c>
      <c r="G622" s="647"/>
      <c r="H622" s="648"/>
      <c r="I622" s="649"/>
      <c r="J622" s="655" t="s">
        <v>166</v>
      </c>
      <c r="K622" s="651"/>
      <c r="L622" s="656">
        <v>0.13194444444444445</v>
      </c>
    </row>
    <row r="623" spans="1:12" ht="15.75" x14ac:dyDescent="0.25">
      <c r="A623" s="647" t="s">
        <v>961</v>
      </c>
      <c r="B623" s="648"/>
      <c r="C623" s="649"/>
      <c r="D623" s="650" t="s">
        <v>160</v>
      </c>
      <c r="E623" s="651"/>
      <c r="F623" s="653">
        <v>0.73263888888888884</v>
      </c>
      <c r="G623" s="647" t="s">
        <v>961</v>
      </c>
      <c r="H623" s="648"/>
      <c r="I623" s="649"/>
      <c r="J623" s="650" t="s">
        <v>160</v>
      </c>
      <c r="K623" s="651"/>
      <c r="L623" s="653">
        <v>0.15972222222222221</v>
      </c>
    </row>
    <row r="624" spans="1:12" ht="15.75" x14ac:dyDescent="0.25">
      <c r="A624" s="647"/>
      <c r="B624" s="648"/>
      <c r="C624" s="649"/>
      <c r="D624" s="655" t="s">
        <v>962</v>
      </c>
      <c r="E624" s="651"/>
      <c r="F624" s="656">
        <v>0.73958333333333337</v>
      </c>
      <c r="G624" s="647"/>
      <c r="H624" s="648"/>
      <c r="I624" s="649"/>
      <c r="J624" s="655" t="s">
        <v>962</v>
      </c>
      <c r="K624" s="651"/>
      <c r="L624" s="656">
        <v>0.16666666666666666</v>
      </c>
    </row>
    <row r="625" spans="1:12" ht="15.75" x14ac:dyDescent="0.25">
      <c r="A625" s="647"/>
      <c r="B625" s="648"/>
      <c r="C625" s="649"/>
      <c r="D625" s="655" t="s">
        <v>960</v>
      </c>
      <c r="E625" s="657">
        <v>0.77083333333333337</v>
      </c>
      <c r="F625" s="656"/>
      <c r="G625" s="647"/>
      <c r="H625" s="648"/>
      <c r="I625" s="649"/>
      <c r="J625" s="655" t="s">
        <v>960</v>
      </c>
      <c r="K625" s="657"/>
      <c r="L625" s="656">
        <v>0.18402777777777779</v>
      </c>
    </row>
    <row r="626" spans="1:12" ht="15.75" x14ac:dyDescent="0.25">
      <c r="A626" s="647"/>
      <c r="B626" s="648" t="s">
        <v>459</v>
      </c>
      <c r="C626" s="649">
        <v>24</v>
      </c>
      <c r="D626" s="650" t="s">
        <v>1503</v>
      </c>
      <c r="E626" s="651"/>
      <c r="F626" s="658"/>
      <c r="G626" s="647" t="s">
        <v>958</v>
      </c>
      <c r="H626" s="648"/>
      <c r="I626" s="649"/>
      <c r="J626" s="650" t="s">
        <v>160</v>
      </c>
      <c r="K626" s="657">
        <v>0.22361111111111112</v>
      </c>
      <c r="L626" s="653"/>
    </row>
    <row r="627" spans="1:12" ht="15.75" x14ac:dyDescent="0.25">
      <c r="A627" s="647"/>
      <c r="B627" s="648"/>
      <c r="C627" s="649"/>
      <c r="D627" s="650"/>
      <c r="E627" s="651"/>
      <c r="F627" s="656"/>
      <c r="G627" s="647"/>
      <c r="H627" s="648"/>
      <c r="I627" s="649"/>
      <c r="J627" s="650" t="s">
        <v>963</v>
      </c>
      <c r="K627" s="657">
        <v>0.24444444444444444</v>
      </c>
      <c r="L627" s="652"/>
    </row>
    <row r="628" spans="1:12" ht="15.75" x14ac:dyDescent="0.25">
      <c r="A628" s="647"/>
      <c r="B628" s="648" t="s">
        <v>459</v>
      </c>
      <c r="C628" s="649">
        <v>21</v>
      </c>
      <c r="D628" s="650" t="s">
        <v>957</v>
      </c>
      <c r="E628" s="651"/>
      <c r="F628" s="653"/>
      <c r="G628" s="647"/>
      <c r="H628" s="648" t="s">
        <v>462</v>
      </c>
      <c r="I628" s="649" t="s">
        <v>459</v>
      </c>
      <c r="J628" s="650"/>
      <c r="K628" s="657"/>
      <c r="L628" s="652"/>
    </row>
    <row r="629" spans="1:12" ht="15.75" x14ac:dyDescent="0.25">
      <c r="A629" s="647"/>
      <c r="B629" s="648"/>
      <c r="C629" s="649"/>
      <c r="D629" s="655" t="s">
        <v>960</v>
      </c>
      <c r="E629" s="651"/>
      <c r="F629" s="656">
        <v>0.77083333333333337</v>
      </c>
      <c r="G629" s="647"/>
      <c r="H629" s="648"/>
      <c r="I629" s="649"/>
      <c r="J629" s="650"/>
      <c r="K629" s="651"/>
      <c r="L629" s="652"/>
    </row>
    <row r="630" spans="1:12" ht="15.75" x14ac:dyDescent="0.25">
      <c r="A630" s="647" t="s">
        <v>961</v>
      </c>
      <c r="B630" s="654"/>
      <c r="C630" s="649"/>
      <c r="D630" s="650" t="s">
        <v>163</v>
      </c>
      <c r="E630" s="651"/>
      <c r="F630" s="653">
        <v>0.82291666666666663</v>
      </c>
      <c r="G630" s="647"/>
      <c r="H630" s="648"/>
      <c r="I630" s="649"/>
      <c r="J630" s="650"/>
      <c r="K630" s="651"/>
      <c r="L630" s="652"/>
    </row>
    <row r="631" spans="1:12" ht="15.75" x14ac:dyDescent="0.25">
      <c r="A631" s="647"/>
      <c r="B631" s="648"/>
      <c r="C631" s="649"/>
      <c r="D631" s="655" t="s">
        <v>164</v>
      </c>
      <c r="E631" s="651"/>
      <c r="F631" s="656">
        <v>0.84722222222222221</v>
      </c>
      <c r="G631" s="647"/>
      <c r="H631" s="648"/>
      <c r="I631" s="649"/>
      <c r="J631" s="650"/>
      <c r="K631" s="651"/>
      <c r="L631" s="652"/>
    </row>
    <row r="632" spans="1:12" ht="15.75" x14ac:dyDescent="0.25">
      <c r="A632" s="647"/>
      <c r="B632" s="648"/>
      <c r="C632" s="649"/>
      <c r="D632" s="655" t="s">
        <v>166</v>
      </c>
      <c r="E632" s="651"/>
      <c r="F632" s="656">
        <v>0.85763888888888884</v>
      </c>
      <c r="G632" s="647"/>
      <c r="H632" s="648"/>
      <c r="I632" s="649"/>
      <c r="J632" s="650"/>
      <c r="K632" s="651"/>
      <c r="L632" s="652"/>
    </row>
    <row r="633" spans="1:12" ht="15.75" x14ac:dyDescent="0.25">
      <c r="A633" s="647" t="s">
        <v>961</v>
      </c>
      <c r="B633" s="648"/>
      <c r="C633" s="649"/>
      <c r="D633" s="650" t="s">
        <v>160</v>
      </c>
      <c r="E633" s="651"/>
      <c r="F633" s="653">
        <v>0.89583333333333337</v>
      </c>
      <c r="G633" s="647"/>
      <c r="H633" s="648"/>
      <c r="I633" s="649"/>
      <c r="J633" s="650"/>
      <c r="K633" s="651"/>
      <c r="L633" s="658"/>
    </row>
    <row r="634" spans="1:12" ht="15.75" x14ac:dyDescent="0.25">
      <c r="A634" s="647"/>
      <c r="B634" s="648"/>
      <c r="C634" s="649"/>
      <c r="D634" s="655" t="s">
        <v>962</v>
      </c>
      <c r="E634" s="651"/>
      <c r="F634" s="656">
        <v>0.90277777777777779</v>
      </c>
      <c r="G634" s="647"/>
      <c r="H634" s="648"/>
      <c r="I634" s="649"/>
      <c r="J634" s="655"/>
      <c r="K634" s="651"/>
      <c r="L634" s="658"/>
    </row>
    <row r="635" spans="1:12" ht="15.75" x14ac:dyDescent="0.25">
      <c r="A635" s="647"/>
      <c r="B635" s="648"/>
      <c r="C635" s="649"/>
      <c r="D635" s="655" t="s">
        <v>960</v>
      </c>
      <c r="E635" s="657">
        <v>0.92708333333333337</v>
      </c>
      <c r="F635" s="656"/>
      <c r="G635" s="647"/>
      <c r="H635" s="648"/>
      <c r="I635" s="649"/>
      <c r="J635" s="650"/>
      <c r="K635" s="651"/>
      <c r="L635" s="658"/>
    </row>
    <row r="636" spans="1:12" ht="15.75" x14ac:dyDescent="0.25">
      <c r="A636" s="647"/>
      <c r="B636" s="648" t="s">
        <v>462</v>
      </c>
      <c r="C636" s="649" t="s">
        <v>459</v>
      </c>
      <c r="D636" s="650"/>
      <c r="E636" s="651"/>
      <c r="F636" s="658"/>
      <c r="G636" s="647"/>
      <c r="H636" s="648"/>
      <c r="I636" s="649"/>
      <c r="J636" s="650"/>
      <c r="K636" s="651"/>
      <c r="L636" s="652"/>
    </row>
    <row r="637" spans="1:12" ht="15.75" x14ac:dyDescent="0.25">
      <c r="A637" s="647"/>
      <c r="B637" s="648"/>
      <c r="C637" s="649"/>
      <c r="D637" s="650"/>
      <c r="E637" s="651"/>
      <c r="F637" s="656"/>
      <c r="G637" s="647"/>
      <c r="H637" s="648"/>
      <c r="I637" s="649"/>
      <c r="J637" s="650"/>
      <c r="K637" s="651"/>
      <c r="L637" s="658"/>
    </row>
    <row r="638" spans="1:12" ht="15.75" x14ac:dyDescent="0.25">
      <c r="A638" s="647"/>
      <c r="B638" s="648"/>
      <c r="C638" s="649"/>
      <c r="D638" s="655"/>
      <c r="E638" s="657"/>
      <c r="F638" s="653"/>
      <c r="G638" s="647"/>
      <c r="H638" s="648"/>
      <c r="I638" s="649"/>
      <c r="J638" s="655"/>
      <c r="K638" s="651"/>
      <c r="L638" s="658"/>
    </row>
    <row r="639" spans="1:12" ht="15.75" x14ac:dyDescent="0.25">
      <c r="A639" s="647"/>
      <c r="B639" s="648"/>
      <c r="C639" s="649"/>
      <c r="D639" s="650"/>
      <c r="E639" s="651"/>
      <c r="F639" s="652"/>
      <c r="G639" s="647"/>
      <c r="H639" s="648"/>
      <c r="I639" s="649"/>
      <c r="J639" s="650"/>
      <c r="K639" s="651"/>
      <c r="L639" s="658"/>
    </row>
    <row r="640" spans="1:12" ht="16.5" thickBot="1" x14ac:dyDescent="0.3">
      <c r="A640" s="659"/>
      <c r="B640" s="660"/>
      <c r="C640" s="661"/>
      <c r="D640" s="662"/>
      <c r="E640" s="663"/>
      <c r="F640" s="664"/>
      <c r="G640" s="665"/>
      <c r="H640" s="666"/>
      <c r="I640" s="667"/>
      <c r="J640" s="668"/>
      <c r="K640" s="663"/>
      <c r="L640" s="669"/>
    </row>
    <row r="641" spans="1:12" ht="21" x14ac:dyDescent="0.35">
      <c r="A641" s="769" t="s">
        <v>945</v>
      </c>
      <c r="B641" s="770"/>
      <c r="C641" s="770"/>
      <c r="D641" s="770"/>
      <c r="E641" s="770"/>
      <c r="F641" s="770"/>
      <c r="G641" s="770"/>
      <c r="H641" s="770"/>
      <c r="I641" s="770"/>
      <c r="J641" s="770"/>
      <c r="K641" s="770"/>
      <c r="L641" s="771"/>
    </row>
    <row r="642" spans="1:12" ht="18.75" x14ac:dyDescent="0.3">
      <c r="A642" s="772" t="s">
        <v>946</v>
      </c>
      <c r="B642" s="773"/>
      <c r="C642" s="773"/>
      <c r="D642" s="773"/>
      <c r="E642" s="773"/>
      <c r="F642" s="773"/>
      <c r="G642" s="773"/>
      <c r="H642" s="773"/>
      <c r="I642" s="773"/>
      <c r="J642" s="773"/>
      <c r="K642" s="773"/>
      <c r="L642" s="774"/>
    </row>
    <row r="643" spans="1:12" ht="24" x14ac:dyDescent="0.4">
      <c r="A643" s="775" t="s">
        <v>947</v>
      </c>
      <c r="B643" s="776"/>
      <c r="C643" s="776"/>
      <c r="D643" s="776"/>
      <c r="E643" s="776"/>
      <c r="F643" s="776"/>
      <c r="G643" s="776"/>
      <c r="H643" s="776"/>
      <c r="I643" s="776"/>
      <c r="J643" s="776"/>
      <c r="K643" s="776"/>
      <c r="L643" s="777"/>
    </row>
    <row r="644" spans="1:12" ht="24" x14ac:dyDescent="0.4">
      <c r="A644" s="670" t="s">
        <v>1279</v>
      </c>
      <c r="B644" s="671"/>
      <c r="C644" s="671"/>
      <c r="D644" s="672" t="s">
        <v>949</v>
      </c>
      <c r="E644" s="778" t="s">
        <v>851</v>
      </c>
      <c r="F644" s="778"/>
      <c r="G644" s="778"/>
      <c r="H644" s="778"/>
      <c r="I644" s="778"/>
      <c r="J644" s="673" t="s">
        <v>1086</v>
      </c>
      <c r="K644" s="778"/>
      <c r="L644" s="779"/>
    </row>
    <row r="645" spans="1:12" ht="15.75" thickBot="1" x14ac:dyDescent="0.3">
      <c r="A645" s="674"/>
      <c r="B645" s="675"/>
      <c r="C645" s="675"/>
      <c r="D645" s="676"/>
      <c r="E645" s="675"/>
      <c r="F645" s="675"/>
      <c r="G645" s="675"/>
      <c r="H645" s="675"/>
      <c r="I645" s="780"/>
      <c r="J645" s="780"/>
      <c r="K645" s="675"/>
      <c r="L645" s="677"/>
    </row>
    <row r="646" spans="1:12" ht="16.5" thickBot="1" x14ac:dyDescent="0.3">
      <c r="A646" s="631" t="s">
        <v>952</v>
      </c>
      <c r="B646" s="632"/>
      <c r="C646" s="633"/>
      <c r="D646" s="634" t="s">
        <v>953</v>
      </c>
      <c r="E646" s="631" t="s">
        <v>954</v>
      </c>
      <c r="F646" s="635" t="s">
        <v>955</v>
      </c>
      <c r="G646" s="631" t="s">
        <v>952</v>
      </c>
      <c r="H646" s="632"/>
      <c r="I646" s="633"/>
      <c r="J646" s="634" t="s">
        <v>953</v>
      </c>
      <c r="K646" s="631" t="s">
        <v>954</v>
      </c>
      <c r="L646" s="631" t="s">
        <v>955</v>
      </c>
    </row>
    <row r="647" spans="1:12" ht="15.75" x14ac:dyDescent="0.25">
      <c r="A647" s="636"/>
      <c r="B647" s="637"/>
      <c r="C647" s="638"/>
      <c r="D647" s="639"/>
      <c r="E647" s="640"/>
      <c r="F647" s="641"/>
      <c r="G647" s="636"/>
      <c r="H647" s="642"/>
      <c r="I647" s="643"/>
      <c r="J647" s="644"/>
      <c r="K647" s="645"/>
      <c r="L647" s="646"/>
    </row>
    <row r="648" spans="1:12" ht="15.75" x14ac:dyDescent="0.25">
      <c r="A648" s="647"/>
      <c r="B648" s="648" t="s">
        <v>459</v>
      </c>
      <c r="C648" s="649">
        <v>17</v>
      </c>
      <c r="D648" s="650" t="s">
        <v>1504</v>
      </c>
      <c r="E648" s="651"/>
      <c r="F648" s="652"/>
      <c r="G648" s="647"/>
      <c r="H648" s="648"/>
      <c r="I648" s="649"/>
      <c r="J648" s="650"/>
      <c r="K648" s="651"/>
      <c r="L648" s="653"/>
    </row>
    <row r="649" spans="1:12" ht="15.75" x14ac:dyDescent="0.25">
      <c r="A649" s="647" t="s">
        <v>958</v>
      </c>
      <c r="B649" s="654"/>
      <c r="C649" s="649"/>
      <c r="D649" s="655" t="s">
        <v>959</v>
      </c>
      <c r="E649" s="651"/>
      <c r="F649" s="656">
        <v>0.4861111111111111</v>
      </c>
      <c r="G649" s="647"/>
      <c r="H649" s="648"/>
      <c r="I649" s="649"/>
      <c r="J649" s="655"/>
      <c r="K649" s="651"/>
      <c r="L649" s="656"/>
    </row>
    <row r="650" spans="1:12" ht="15.75" x14ac:dyDescent="0.25">
      <c r="A650" s="647" t="s">
        <v>961</v>
      </c>
      <c r="B650" s="654"/>
      <c r="C650" s="649"/>
      <c r="D650" s="650" t="s">
        <v>163</v>
      </c>
      <c r="E650" s="651"/>
      <c r="F650" s="653">
        <v>0.51388888888888884</v>
      </c>
      <c r="G650" s="647"/>
      <c r="H650" s="654"/>
      <c r="I650" s="649"/>
      <c r="J650" s="650"/>
      <c r="K650" s="651"/>
      <c r="L650" s="653"/>
    </row>
    <row r="651" spans="1:12" ht="15.75" x14ac:dyDescent="0.25">
      <c r="A651" s="647"/>
      <c r="B651" s="648"/>
      <c r="C651" s="649"/>
      <c r="D651" s="655" t="s">
        <v>164</v>
      </c>
      <c r="E651" s="651"/>
      <c r="F651" s="656">
        <v>0.54166666666666663</v>
      </c>
      <c r="G651" s="647"/>
      <c r="H651" s="648"/>
      <c r="I651" s="649"/>
      <c r="J651" s="655"/>
      <c r="K651" s="651"/>
      <c r="L651" s="656"/>
    </row>
    <row r="652" spans="1:12" ht="15.75" x14ac:dyDescent="0.25">
      <c r="A652" s="647"/>
      <c r="B652" s="648"/>
      <c r="C652" s="649"/>
      <c r="D652" s="655" t="s">
        <v>166</v>
      </c>
      <c r="E652" s="651"/>
      <c r="F652" s="656">
        <v>0.55902777777777779</v>
      </c>
      <c r="G652" s="647"/>
      <c r="H652" s="648"/>
      <c r="I652" s="649"/>
      <c r="J652" s="655"/>
      <c r="K652" s="651"/>
      <c r="L652" s="656"/>
    </row>
    <row r="653" spans="1:12" ht="15.75" x14ac:dyDescent="0.25">
      <c r="A653" s="647" t="s">
        <v>961</v>
      </c>
      <c r="B653" s="648"/>
      <c r="C653" s="649"/>
      <c r="D653" s="650" t="s">
        <v>160</v>
      </c>
      <c r="E653" s="651"/>
      <c r="F653" s="653">
        <v>0.59722222222222221</v>
      </c>
      <c r="G653" s="647"/>
      <c r="H653" s="648"/>
      <c r="I653" s="649"/>
      <c r="J653" s="650"/>
      <c r="K653" s="651"/>
      <c r="L653" s="653"/>
    </row>
    <row r="654" spans="1:12" ht="15.75" x14ac:dyDescent="0.25">
      <c r="A654" s="647"/>
      <c r="B654" s="648"/>
      <c r="C654" s="649"/>
      <c r="D654" s="655" t="s">
        <v>962</v>
      </c>
      <c r="E654" s="651"/>
      <c r="F654" s="656">
        <v>0.60416666666666663</v>
      </c>
      <c r="G654" s="647"/>
      <c r="H654" s="648"/>
      <c r="I654" s="649"/>
      <c r="J654" s="655"/>
      <c r="K654" s="651"/>
      <c r="L654" s="656"/>
    </row>
    <row r="655" spans="1:12" ht="15.75" x14ac:dyDescent="0.25">
      <c r="A655" s="647"/>
      <c r="B655" s="648"/>
      <c r="C655" s="649"/>
      <c r="D655" s="655" t="s">
        <v>960</v>
      </c>
      <c r="E655" s="657">
        <v>0.63888888888888884</v>
      </c>
      <c r="F655" s="656"/>
      <c r="G655" s="647"/>
      <c r="H655" s="648"/>
      <c r="I655" s="649"/>
      <c r="J655" s="655"/>
      <c r="K655" s="657"/>
      <c r="L655" s="656"/>
    </row>
    <row r="656" spans="1:12" ht="15.75" x14ac:dyDescent="0.25">
      <c r="A656" s="647"/>
      <c r="B656" s="648" t="s">
        <v>459</v>
      </c>
      <c r="C656" s="649">
        <v>17</v>
      </c>
      <c r="D656" s="650" t="s">
        <v>1505</v>
      </c>
      <c r="E656" s="651"/>
      <c r="F656" s="658"/>
      <c r="G656" s="647"/>
      <c r="H656" s="648"/>
      <c r="I656" s="649"/>
      <c r="J656" s="650"/>
      <c r="K656" s="651"/>
      <c r="L656" s="658"/>
    </row>
    <row r="657" spans="1:12" ht="15.75" x14ac:dyDescent="0.25">
      <c r="A657" s="647"/>
      <c r="B657" s="648"/>
      <c r="C657" s="649"/>
      <c r="D657" s="650"/>
      <c r="E657" s="651"/>
      <c r="F657" s="656"/>
      <c r="G657" s="647"/>
      <c r="H657" s="648"/>
      <c r="I657" s="649"/>
      <c r="J657" s="650"/>
      <c r="K657" s="651"/>
      <c r="L657" s="656"/>
    </row>
    <row r="658" spans="1:12" ht="15.75" x14ac:dyDescent="0.25">
      <c r="A658" s="647"/>
      <c r="B658" s="648" t="s">
        <v>459</v>
      </c>
      <c r="C658" s="649">
        <v>28</v>
      </c>
      <c r="D658" s="650" t="s">
        <v>1506</v>
      </c>
      <c r="E658" s="651"/>
      <c r="F658" s="653"/>
      <c r="G658" s="647"/>
      <c r="H658" s="648"/>
      <c r="I658" s="649"/>
      <c r="J658" s="650"/>
      <c r="K658" s="651"/>
      <c r="L658" s="653"/>
    </row>
    <row r="659" spans="1:12" ht="15.75" x14ac:dyDescent="0.25">
      <c r="A659" s="647"/>
      <c r="B659" s="648"/>
      <c r="C659" s="649"/>
      <c r="D659" s="655" t="s">
        <v>960</v>
      </c>
      <c r="E659" s="651"/>
      <c r="F659" s="656">
        <v>0.63888888888888884</v>
      </c>
      <c r="G659" s="647"/>
      <c r="H659" s="648"/>
      <c r="I659" s="649"/>
      <c r="J659" s="655"/>
      <c r="K659" s="651"/>
      <c r="L659" s="656"/>
    </row>
    <row r="660" spans="1:12" ht="15.75" x14ac:dyDescent="0.25">
      <c r="A660" s="647" t="s">
        <v>961</v>
      </c>
      <c r="B660" s="654"/>
      <c r="C660" s="649"/>
      <c r="D660" s="650" t="s">
        <v>163</v>
      </c>
      <c r="E660" s="651"/>
      <c r="F660" s="653">
        <v>0.69097222222222221</v>
      </c>
      <c r="G660" s="647"/>
      <c r="H660" s="654"/>
      <c r="I660" s="649"/>
      <c r="J660" s="650"/>
      <c r="K660" s="651"/>
      <c r="L660" s="653"/>
    </row>
    <row r="661" spans="1:12" ht="15.75" x14ac:dyDescent="0.25">
      <c r="A661" s="647"/>
      <c r="B661" s="648"/>
      <c r="C661" s="649"/>
      <c r="D661" s="655" t="s">
        <v>164</v>
      </c>
      <c r="E661" s="651"/>
      <c r="F661" s="656">
        <v>0.71875</v>
      </c>
      <c r="G661" s="647"/>
      <c r="H661" s="648"/>
      <c r="I661" s="649"/>
      <c r="J661" s="655"/>
      <c r="K661" s="651"/>
      <c r="L661" s="656"/>
    </row>
    <row r="662" spans="1:12" ht="15.75" x14ac:dyDescent="0.25">
      <c r="A662" s="647"/>
      <c r="B662" s="648"/>
      <c r="C662" s="649"/>
      <c r="D662" s="655" t="s">
        <v>166</v>
      </c>
      <c r="E662" s="651"/>
      <c r="F662" s="656">
        <v>0.73611111111111116</v>
      </c>
      <c r="G662" s="647"/>
      <c r="H662" s="648"/>
      <c r="I662" s="649"/>
      <c r="J662" s="655"/>
      <c r="K662" s="651"/>
      <c r="L662" s="656"/>
    </row>
    <row r="663" spans="1:12" ht="15.75" x14ac:dyDescent="0.25">
      <c r="A663" s="647" t="s">
        <v>958</v>
      </c>
      <c r="B663" s="648"/>
      <c r="C663" s="649"/>
      <c r="D663" s="650" t="s">
        <v>160</v>
      </c>
      <c r="E663" s="657">
        <v>0.77430555555555558</v>
      </c>
      <c r="F663" s="653"/>
      <c r="G663" s="647"/>
      <c r="H663" s="648"/>
      <c r="I663" s="649"/>
      <c r="J663" s="650"/>
      <c r="K663" s="651"/>
      <c r="L663" s="653"/>
    </row>
    <row r="664" spans="1:12" ht="15.75" x14ac:dyDescent="0.25">
      <c r="A664" s="647"/>
      <c r="B664" s="648"/>
      <c r="C664" s="649"/>
      <c r="D664" s="650" t="s">
        <v>963</v>
      </c>
      <c r="E664" s="657">
        <v>0.80902777777777779</v>
      </c>
      <c r="F664" s="652"/>
      <c r="G664" s="647"/>
      <c r="H664" s="648"/>
      <c r="I664" s="649"/>
      <c r="J664" s="655"/>
      <c r="K664" s="651"/>
      <c r="L664" s="656"/>
    </row>
    <row r="665" spans="1:12" ht="15.75" x14ac:dyDescent="0.25">
      <c r="A665" s="647"/>
      <c r="B665" s="648" t="s">
        <v>459</v>
      </c>
      <c r="C665" s="649">
        <v>28</v>
      </c>
      <c r="D665" s="650" t="s">
        <v>1507</v>
      </c>
      <c r="E665" s="657"/>
      <c r="F665" s="652"/>
      <c r="G665" s="647"/>
      <c r="H665" s="648"/>
      <c r="I665" s="649"/>
      <c r="J665" s="655"/>
      <c r="K665" s="657"/>
      <c r="L665" s="656"/>
    </row>
    <row r="666" spans="1:12" ht="15.75" x14ac:dyDescent="0.25">
      <c r="A666" s="647"/>
      <c r="B666" s="648"/>
      <c r="C666" s="649"/>
      <c r="D666" s="650"/>
      <c r="E666" s="651"/>
      <c r="F666" s="652"/>
      <c r="G666" s="647"/>
      <c r="H666" s="648"/>
      <c r="I666" s="649"/>
      <c r="J666" s="650"/>
      <c r="K666" s="657"/>
      <c r="L666" s="653"/>
    </row>
    <row r="667" spans="1:12" ht="15.75" x14ac:dyDescent="0.25">
      <c r="A667" s="647"/>
      <c r="B667" s="648"/>
      <c r="C667" s="649"/>
      <c r="D667" s="650"/>
      <c r="E667" s="651"/>
      <c r="F667" s="652"/>
      <c r="G667" s="647"/>
      <c r="H667" s="648"/>
      <c r="I667" s="649"/>
      <c r="J667" s="650"/>
      <c r="K667" s="657"/>
      <c r="L667" s="652"/>
    </row>
    <row r="668" spans="1:12" ht="15.75" x14ac:dyDescent="0.25">
      <c r="A668" s="647"/>
      <c r="B668" s="648"/>
      <c r="C668" s="649"/>
      <c r="D668" s="650"/>
      <c r="E668" s="651"/>
      <c r="F668" s="652"/>
      <c r="G668" s="647"/>
      <c r="H668" s="648"/>
      <c r="I668" s="649"/>
      <c r="J668" s="650"/>
      <c r="K668" s="657"/>
      <c r="L668" s="652"/>
    </row>
    <row r="669" spans="1:12" ht="15.75" x14ac:dyDescent="0.25">
      <c r="A669" s="647"/>
      <c r="B669" s="648"/>
      <c r="C669" s="649"/>
      <c r="D669" s="650"/>
      <c r="E669" s="651"/>
      <c r="F669" s="652"/>
      <c r="G669" s="647"/>
      <c r="H669" s="648"/>
      <c r="I669" s="649"/>
      <c r="J669" s="650"/>
      <c r="K669" s="651"/>
      <c r="L669" s="652"/>
    </row>
    <row r="670" spans="1:12" ht="15.75" x14ac:dyDescent="0.25">
      <c r="A670" s="647"/>
      <c r="B670" s="648"/>
      <c r="C670" s="649"/>
      <c r="D670" s="650"/>
      <c r="E670" s="651"/>
      <c r="F670" s="658"/>
      <c r="G670" s="647"/>
      <c r="H670" s="648"/>
      <c r="I670" s="649"/>
      <c r="J670" s="650"/>
      <c r="K670" s="651"/>
      <c r="L670" s="652"/>
    </row>
    <row r="671" spans="1:12" ht="15.75" x14ac:dyDescent="0.25">
      <c r="A671" s="647"/>
      <c r="B671" s="648"/>
      <c r="C671" s="649"/>
      <c r="D671" s="655"/>
      <c r="E671" s="651"/>
      <c r="F671" s="656"/>
      <c r="G671" s="647"/>
      <c r="H671" s="648"/>
      <c r="I671" s="649"/>
      <c r="J671" s="650"/>
      <c r="K671" s="651"/>
      <c r="L671" s="652"/>
    </row>
    <row r="672" spans="1:12" ht="15.75" x14ac:dyDescent="0.25">
      <c r="A672" s="647"/>
      <c r="B672" s="648"/>
      <c r="C672" s="649"/>
      <c r="D672" s="655"/>
      <c r="E672" s="651"/>
      <c r="F672" s="656"/>
      <c r="G672" s="647"/>
      <c r="H672" s="648"/>
      <c r="I672" s="649"/>
      <c r="J672" s="650"/>
      <c r="K672" s="651"/>
      <c r="L672" s="652"/>
    </row>
    <row r="673" spans="1:12" ht="15.75" x14ac:dyDescent="0.25">
      <c r="A673" s="647"/>
      <c r="B673" s="648"/>
      <c r="C673" s="649"/>
      <c r="D673" s="650"/>
      <c r="E673" s="651"/>
      <c r="F673" s="653"/>
      <c r="G673" s="647"/>
      <c r="H673" s="648"/>
      <c r="I673" s="649"/>
      <c r="J673" s="650"/>
      <c r="K673" s="651"/>
      <c r="L673" s="658"/>
    </row>
    <row r="674" spans="1:12" ht="15.75" x14ac:dyDescent="0.25">
      <c r="A674" s="647"/>
      <c r="B674" s="648"/>
      <c r="C674" s="649"/>
      <c r="D674" s="655"/>
      <c r="E674" s="651"/>
      <c r="F674" s="656"/>
      <c r="G674" s="647"/>
      <c r="H674" s="648"/>
      <c r="I674" s="649"/>
      <c r="J674" s="655"/>
      <c r="K674" s="651"/>
      <c r="L674" s="658"/>
    </row>
    <row r="675" spans="1:12" ht="15.75" x14ac:dyDescent="0.25">
      <c r="A675" s="647"/>
      <c r="B675" s="648"/>
      <c r="C675" s="649"/>
      <c r="D675" s="655"/>
      <c r="E675" s="657"/>
      <c r="F675" s="656"/>
      <c r="G675" s="647"/>
      <c r="H675" s="648"/>
      <c r="I675" s="649"/>
      <c r="J675" s="650"/>
      <c r="K675" s="651"/>
      <c r="L675" s="658"/>
    </row>
    <row r="676" spans="1:12" ht="15.75" x14ac:dyDescent="0.25">
      <c r="A676" s="647"/>
      <c r="B676" s="648"/>
      <c r="C676" s="649"/>
      <c r="D676" s="650"/>
      <c r="E676" s="651"/>
      <c r="F676" s="658"/>
      <c r="G676" s="647"/>
      <c r="H676" s="648"/>
      <c r="I676" s="649"/>
      <c r="J676" s="650"/>
      <c r="K676" s="651"/>
      <c r="L676" s="652"/>
    </row>
    <row r="677" spans="1:12" ht="15.75" x14ac:dyDescent="0.25">
      <c r="A677" s="647"/>
      <c r="B677" s="648"/>
      <c r="C677" s="649"/>
      <c r="D677" s="650"/>
      <c r="E677" s="651"/>
      <c r="F677" s="656"/>
      <c r="G677" s="647"/>
      <c r="H677" s="648"/>
      <c r="I677" s="649"/>
      <c r="J677" s="650"/>
      <c r="K677" s="651"/>
      <c r="L677" s="658"/>
    </row>
    <row r="678" spans="1:12" ht="15.75" x14ac:dyDescent="0.25">
      <c r="A678" s="647"/>
      <c r="B678" s="648"/>
      <c r="C678" s="649"/>
      <c r="D678" s="655"/>
      <c r="E678" s="657"/>
      <c r="F678" s="653"/>
      <c r="G678" s="647"/>
      <c r="H678" s="648"/>
      <c r="I678" s="649"/>
      <c r="J678" s="655"/>
      <c r="K678" s="651"/>
      <c r="L678" s="658"/>
    </row>
    <row r="679" spans="1:12" ht="15.75" x14ac:dyDescent="0.25">
      <c r="A679" s="647"/>
      <c r="B679" s="648"/>
      <c r="C679" s="649"/>
      <c r="D679" s="650"/>
      <c r="E679" s="651"/>
      <c r="F679" s="652"/>
      <c r="G679" s="647"/>
      <c r="H679" s="648"/>
      <c r="I679" s="649"/>
      <c r="J679" s="650"/>
      <c r="K679" s="651"/>
      <c r="L679" s="658"/>
    </row>
    <row r="680" spans="1:12" ht="16.5" thickBot="1" x14ac:dyDescent="0.3">
      <c r="A680" s="659"/>
      <c r="B680" s="660"/>
      <c r="C680" s="661"/>
      <c r="D680" s="662"/>
      <c r="E680" s="663"/>
      <c r="F680" s="664"/>
      <c r="G680" s="665"/>
      <c r="H680" s="666"/>
      <c r="I680" s="667"/>
      <c r="J680" s="668"/>
      <c r="K680" s="663"/>
      <c r="L680" s="669"/>
    </row>
    <row r="681" spans="1:12" ht="21" x14ac:dyDescent="0.35">
      <c r="A681" s="769" t="s">
        <v>945</v>
      </c>
      <c r="B681" s="770"/>
      <c r="C681" s="770"/>
      <c r="D681" s="770"/>
      <c r="E681" s="770"/>
      <c r="F681" s="770"/>
      <c r="G681" s="770"/>
      <c r="H681" s="770"/>
      <c r="I681" s="770"/>
      <c r="J681" s="770"/>
      <c r="K681" s="770"/>
      <c r="L681" s="771"/>
    </row>
    <row r="682" spans="1:12" ht="18.75" x14ac:dyDescent="0.3">
      <c r="A682" s="772" t="s">
        <v>946</v>
      </c>
      <c r="B682" s="773"/>
      <c r="C682" s="773"/>
      <c r="D682" s="773"/>
      <c r="E682" s="773"/>
      <c r="F682" s="773"/>
      <c r="G682" s="773"/>
      <c r="H682" s="773"/>
      <c r="I682" s="773"/>
      <c r="J682" s="773"/>
      <c r="K682" s="773"/>
      <c r="L682" s="774"/>
    </row>
    <row r="683" spans="1:12" ht="24" x14ac:dyDescent="0.4">
      <c r="A683" s="775" t="s">
        <v>947</v>
      </c>
      <c r="B683" s="776"/>
      <c r="C683" s="776"/>
      <c r="D683" s="776"/>
      <c r="E683" s="776"/>
      <c r="F683" s="776"/>
      <c r="G683" s="776"/>
      <c r="H683" s="776"/>
      <c r="I683" s="776"/>
      <c r="J683" s="776"/>
      <c r="K683" s="776"/>
      <c r="L683" s="777"/>
    </row>
    <row r="684" spans="1:12" ht="24" x14ac:dyDescent="0.4">
      <c r="A684" s="670" t="s">
        <v>1279</v>
      </c>
      <c r="B684" s="671"/>
      <c r="C684" s="671"/>
      <c r="D684" s="672" t="s">
        <v>949</v>
      </c>
      <c r="E684" s="778" t="s">
        <v>851</v>
      </c>
      <c r="F684" s="778"/>
      <c r="G684" s="778"/>
      <c r="H684" s="778"/>
      <c r="I684" s="778"/>
      <c r="J684" s="673" t="s">
        <v>1093</v>
      </c>
      <c r="K684" s="778"/>
      <c r="L684" s="779"/>
    </row>
    <row r="685" spans="1:12" ht="15.75" thickBot="1" x14ac:dyDescent="0.3">
      <c r="A685" s="674"/>
      <c r="B685" s="675"/>
      <c r="C685" s="675"/>
      <c r="D685" s="676"/>
      <c r="E685" s="675"/>
      <c r="F685" s="675"/>
      <c r="G685" s="675"/>
      <c r="H685" s="675"/>
      <c r="I685" s="780"/>
      <c r="J685" s="780"/>
      <c r="K685" s="675"/>
      <c r="L685" s="677"/>
    </row>
    <row r="686" spans="1:12" ht="16.5" thickBot="1" x14ac:dyDescent="0.3">
      <c r="A686" s="631" t="s">
        <v>952</v>
      </c>
      <c r="B686" s="632"/>
      <c r="C686" s="633"/>
      <c r="D686" s="634" t="s">
        <v>953</v>
      </c>
      <c r="E686" s="631" t="s">
        <v>954</v>
      </c>
      <c r="F686" s="635" t="s">
        <v>955</v>
      </c>
      <c r="G686" s="631" t="s">
        <v>952</v>
      </c>
      <c r="H686" s="632"/>
      <c r="I686" s="633"/>
      <c r="J686" s="634" t="s">
        <v>953</v>
      </c>
      <c r="K686" s="631" t="s">
        <v>954</v>
      </c>
      <c r="L686" s="631" t="s">
        <v>955</v>
      </c>
    </row>
    <row r="687" spans="1:12" ht="15.75" x14ac:dyDescent="0.25">
      <c r="A687" s="636"/>
      <c r="B687" s="637"/>
      <c r="C687" s="638"/>
      <c r="D687" s="639"/>
      <c r="E687" s="640"/>
      <c r="F687" s="641"/>
      <c r="G687" s="636"/>
      <c r="H687" s="642"/>
      <c r="I687" s="643"/>
      <c r="J687" s="644"/>
      <c r="K687" s="645"/>
      <c r="L687" s="646"/>
    </row>
    <row r="688" spans="1:12" ht="15.75" x14ac:dyDescent="0.25">
      <c r="A688" s="647"/>
      <c r="B688" s="648" t="s">
        <v>459</v>
      </c>
      <c r="C688" s="649">
        <v>20</v>
      </c>
      <c r="D688" s="650" t="s">
        <v>1508</v>
      </c>
      <c r="E688" s="651"/>
      <c r="F688" s="652"/>
      <c r="G688" s="647"/>
      <c r="H688" s="648" t="s">
        <v>459</v>
      </c>
      <c r="I688" s="649">
        <v>75</v>
      </c>
      <c r="J688" s="650" t="s">
        <v>1509</v>
      </c>
      <c r="K688" s="651"/>
      <c r="L688" s="653"/>
    </row>
    <row r="689" spans="1:12" ht="15.75" x14ac:dyDescent="0.25">
      <c r="A689" s="647" t="s">
        <v>958</v>
      </c>
      <c r="B689" s="654"/>
      <c r="C689" s="649"/>
      <c r="D689" s="655" t="s">
        <v>959</v>
      </c>
      <c r="E689" s="651"/>
      <c r="F689" s="656">
        <v>0.52777777777777779</v>
      </c>
      <c r="G689" s="647"/>
      <c r="H689" s="648"/>
      <c r="I689" s="649"/>
      <c r="J689" s="655" t="s">
        <v>960</v>
      </c>
      <c r="K689" s="651"/>
      <c r="L689" s="656">
        <v>0.10416666666666667</v>
      </c>
    </row>
    <row r="690" spans="1:12" ht="15.75" x14ac:dyDescent="0.25">
      <c r="A690" s="647" t="s">
        <v>961</v>
      </c>
      <c r="B690" s="654"/>
      <c r="C690" s="649"/>
      <c r="D690" s="650" t="s">
        <v>163</v>
      </c>
      <c r="E690" s="651"/>
      <c r="F690" s="653">
        <v>0.55555555555555558</v>
      </c>
      <c r="G690" s="647" t="s">
        <v>961</v>
      </c>
      <c r="H690" s="654"/>
      <c r="I690" s="649"/>
      <c r="J690" s="650" t="s">
        <v>163</v>
      </c>
      <c r="K690" s="651"/>
      <c r="L690" s="653">
        <v>0.14583333333333334</v>
      </c>
    </row>
    <row r="691" spans="1:12" ht="15.75" x14ac:dyDescent="0.25">
      <c r="A691" s="647"/>
      <c r="B691" s="648"/>
      <c r="C691" s="649"/>
      <c r="D691" s="655" t="s">
        <v>164</v>
      </c>
      <c r="E691" s="651"/>
      <c r="F691" s="656">
        <v>0.58333333333333337</v>
      </c>
      <c r="G691" s="647"/>
      <c r="H691" s="648"/>
      <c r="I691" s="649"/>
      <c r="J691" s="655" t="s">
        <v>164</v>
      </c>
      <c r="K691" s="651"/>
      <c r="L691" s="656">
        <v>0.16666666666666666</v>
      </c>
    </row>
    <row r="692" spans="1:12" ht="15.75" x14ac:dyDescent="0.25">
      <c r="A692" s="647"/>
      <c r="B692" s="648"/>
      <c r="C692" s="649"/>
      <c r="D692" s="655" t="s">
        <v>166</v>
      </c>
      <c r="E692" s="651"/>
      <c r="F692" s="656">
        <v>0.60069444444444442</v>
      </c>
      <c r="G692" s="647"/>
      <c r="H692" s="648"/>
      <c r="I692" s="649"/>
      <c r="J692" s="655" t="s">
        <v>166</v>
      </c>
      <c r="K692" s="651"/>
      <c r="L692" s="656">
        <v>0.1736111111111111</v>
      </c>
    </row>
    <row r="693" spans="1:12" ht="15.75" x14ac:dyDescent="0.25">
      <c r="A693" s="647" t="s">
        <v>961</v>
      </c>
      <c r="B693" s="648"/>
      <c r="C693" s="649"/>
      <c r="D693" s="650" t="s">
        <v>160</v>
      </c>
      <c r="E693" s="651"/>
      <c r="F693" s="653">
        <v>0.63888888888888884</v>
      </c>
      <c r="G693" s="647" t="s">
        <v>961</v>
      </c>
      <c r="H693" s="648"/>
      <c r="I693" s="649"/>
      <c r="J693" s="650" t="s">
        <v>160</v>
      </c>
      <c r="K693" s="651"/>
      <c r="L693" s="653">
        <v>0.2013888888888889</v>
      </c>
    </row>
    <row r="694" spans="1:12" ht="15.75" x14ac:dyDescent="0.25">
      <c r="A694" s="647"/>
      <c r="B694" s="648"/>
      <c r="C694" s="649"/>
      <c r="D694" s="655" t="s">
        <v>962</v>
      </c>
      <c r="E694" s="651"/>
      <c r="F694" s="656">
        <v>0.64583333333333337</v>
      </c>
      <c r="G694" s="647"/>
      <c r="H694" s="648"/>
      <c r="I694" s="649"/>
      <c r="J694" s="655" t="s">
        <v>962</v>
      </c>
      <c r="K694" s="651"/>
      <c r="L694" s="656">
        <v>0.20833333333333334</v>
      </c>
    </row>
    <row r="695" spans="1:12" ht="15.75" x14ac:dyDescent="0.25">
      <c r="A695" s="647"/>
      <c r="B695" s="648"/>
      <c r="C695" s="649"/>
      <c r="D695" s="655" t="s">
        <v>960</v>
      </c>
      <c r="E695" s="657">
        <v>0.68055555555555558</v>
      </c>
      <c r="F695" s="656"/>
      <c r="G695" s="647"/>
      <c r="H695" s="648"/>
      <c r="I695" s="649"/>
      <c r="J695" s="655" t="s">
        <v>960</v>
      </c>
      <c r="K695" s="651"/>
      <c r="L695" s="656">
        <v>0.22569444444444445</v>
      </c>
    </row>
    <row r="696" spans="1:12" ht="15.75" x14ac:dyDescent="0.25">
      <c r="A696" s="647"/>
      <c r="B696" s="648" t="s">
        <v>459</v>
      </c>
      <c r="C696" s="649">
        <v>20</v>
      </c>
      <c r="D696" s="650" t="s">
        <v>1510</v>
      </c>
      <c r="E696" s="651"/>
      <c r="F696" s="658"/>
      <c r="G696" s="647" t="s">
        <v>958</v>
      </c>
      <c r="H696" s="654"/>
      <c r="I696" s="649"/>
      <c r="J696" s="650" t="s">
        <v>163</v>
      </c>
      <c r="K696" s="657">
        <v>0.26527777777777778</v>
      </c>
      <c r="L696" s="653"/>
    </row>
    <row r="697" spans="1:12" ht="15.75" x14ac:dyDescent="0.25">
      <c r="A697" s="647"/>
      <c r="B697" s="648"/>
      <c r="C697" s="649"/>
      <c r="D697" s="650"/>
      <c r="E697" s="651"/>
      <c r="F697" s="656"/>
      <c r="G697" s="647"/>
      <c r="H697" s="648"/>
      <c r="I697" s="649"/>
      <c r="J697" s="650" t="s">
        <v>963</v>
      </c>
      <c r="K697" s="657">
        <v>0.28611111111111109</v>
      </c>
      <c r="L697" s="652"/>
    </row>
    <row r="698" spans="1:12" ht="15.75" x14ac:dyDescent="0.25">
      <c r="A698" s="647"/>
      <c r="B698" s="648" t="s">
        <v>459</v>
      </c>
      <c r="C698" s="649">
        <v>30</v>
      </c>
      <c r="D698" s="650" t="s">
        <v>1511</v>
      </c>
      <c r="E698" s="651"/>
      <c r="F698" s="653"/>
      <c r="G698" s="647"/>
      <c r="H698" s="648" t="s">
        <v>462</v>
      </c>
      <c r="I698" s="649" t="s">
        <v>459</v>
      </c>
      <c r="J698" s="650"/>
      <c r="K698" s="657"/>
      <c r="L698" s="652"/>
    </row>
    <row r="699" spans="1:12" ht="15.75" x14ac:dyDescent="0.25">
      <c r="A699" s="647"/>
      <c r="B699" s="648"/>
      <c r="C699" s="649"/>
      <c r="D699" s="655" t="s">
        <v>960</v>
      </c>
      <c r="E699" s="651"/>
      <c r="F699" s="656">
        <v>0.68055555555555558</v>
      </c>
      <c r="G699" s="647"/>
      <c r="H699" s="648"/>
      <c r="I699" s="649"/>
      <c r="J699" s="655"/>
      <c r="K699" s="651"/>
      <c r="L699" s="656"/>
    </row>
    <row r="700" spans="1:12" ht="15.75" x14ac:dyDescent="0.25">
      <c r="A700" s="647" t="s">
        <v>961</v>
      </c>
      <c r="B700" s="654"/>
      <c r="C700" s="649"/>
      <c r="D700" s="650" t="s">
        <v>163</v>
      </c>
      <c r="E700" s="651"/>
      <c r="F700" s="653">
        <v>0.73263888888888884</v>
      </c>
      <c r="G700" s="647"/>
      <c r="H700" s="648"/>
      <c r="I700" s="649"/>
      <c r="J700" s="655"/>
      <c r="K700" s="657"/>
      <c r="L700" s="656"/>
    </row>
    <row r="701" spans="1:12" ht="15.75" x14ac:dyDescent="0.25">
      <c r="A701" s="647"/>
      <c r="B701" s="648"/>
      <c r="C701" s="649"/>
      <c r="D701" s="655" t="s">
        <v>164</v>
      </c>
      <c r="E701" s="651"/>
      <c r="F701" s="656">
        <v>0.76041666666666663</v>
      </c>
      <c r="G701" s="647"/>
      <c r="H701" s="648"/>
      <c r="I701" s="649"/>
      <c r="J701" s="655"/>
      <c r="K701" s="651"/>
      <c r="L701" s="656"/>
    </row>
    <row r="702" spans="1:12" ht="15.75" x14ac:dyDescent="0.25">
      <c r="A702" s="647"/>
      <c r="B702" s="648"/>
      <c r="C702" s="649"/>
      <c r="D702" s="655" t="s">
        <v>166</v>
      </c>
      <c r="E702" s="651"/>
      <c r="F702" s="656">
        <v>0.77430555555555558</v>
      </c>
      <c r="G702" s="647"/>
      <c r="H702" s="648"/>
      <c r="I702" s="649"/>
      <c r="J702" s="655"/>
      <c r="K702" s="651"/>
      <c r="L702" s="656"/>
    </row>
    <row r="703" spans="1:12" ht="15.75" x14ac:dyDescent="0.25">
      <c r="A703" s="647" t="s">
        <v>958</v>
      </c>
      <c r="B703" s="648"/>
      <c r="C703" s="649"/>
      <c r="D703" s="650" t="s">
        <v>160</v>
      </c>
      <c r="E703" s="657">
        <v>0.80486111111111114</v>
      </c>
      <c r="F703" s="653"/>
      <c r="G703" s="647"/>
      <c r="H703" s="648"/>
      <c r="I703" s="649"/>
      <c r="J703" s="650"/>
      <c r="K703" s="651"/>
      <c r="L703" s="653"/>
    </row>
    <row r="704" spans="1:12" ht="15.75" x14ac:dyDescent="0.25">
      <c r="A704" s="647"/>
      <c r="B704" s="648"/>
      <c r="C704" s="649"/>
      <c r="D704" s="650" t="s">
        <v>963</v>
      </c>
      <c r="E704" s="657">
        <v>0.84305555555555556</v>
      </c>
      <c r="F704" s="652"/>
      <c r="G704" s="647"/>
      <c r="H704" s="648"/>
      <c r="I704" s="649"/>
      <c r="J704" s="655"/>
      <c r="K704" s="651"/>
      <c r="L704" s="656"/>
    </row>
    <row r="705" spans="1:12" ht="15.75" x14ac:dyDescent="0.25">
      <c r="A705" s="647"/>
      <c r="B705" s="648" t="s">
        <v>459</v>
      </c>
      <c r="C705" s="649">
        <v>30</v>
      </c>
      <c r="D705" s="650" t="s">
        <v>1512</v>
      </c>
      <c r="E705" s="657"/>
      <c r="F705" s="652"/>
      <c r="G705" s="647"/>
      <c r="H705" s="648"/>
      <c r="I705" s="649"/>
      <c r="J705" s="655"/>
      <c r="K705" s="657"/>
      <c r="L705" s="656"/>
    </row>
    <row r="706" spans="1:12" ht="15.75" x14ac:dyDescent="0.25">
      <c r="A706" s="647"/>
      <c r="B706" s="648"/>
      <c r="C706" s="649"/>
      <c r="D706" s="650"/>
      <c r="E706" s="651"/>
      <c r="F706" s="652"/>
      <c r="G706" s="647"/>
      <c r="H706" s="648"/>
      <c r="I706" s="649"/>
      <c r="J706" s="650"/>
      <c r="K706" s="657"/>
      <c r="L706" s="653"/>
    </row>
    <row r="707" spans="1:12" ht="15.75" x14ac:dyDescent="0.25">
      <c r="A707" s="647"/>
      <c r="B707" s="648" t="s">
        <v>459</v>
      </c>
      <c r="C707" s="649">
        <v>72</v>
      </c>
      <c r="D707" s="650" t="s">
        <v>1513</v>
      </c>
      <c r="E707" s="651"/>
      <c r="F707" s="652"/>
      <c r="G707" s="647"/>
      <c r="H707" s="648"/>
      <c r="I707" s="649"/>
      <c r="J707" s="650"/>
      <c r="K707" s="657"/>
      <c r="L707" s="652"/>
    </row>
    <row r="708" spans="1:12" ht="15.75" x14ac:dyDescent="0.25">
      <c r="A708" s="647" t="s">
        <v>958</v>
      </c>
      <c r="B708" s="654"/>
      <c r="C708" s="649"/>
      <c r="D708" s="655" t="s">
        <v>959</v>
      </c>
      <c r="E708" s="651"/>
      <c r="F708" s="656">
        <v>0.99305555555555558</v>
      </c>
      <c r="G708" s="647"/>
      <c r="H708" s="648"/>
      <c r="I708" s="649"/>
      <c r="J708" s="650"/>
      <c r="K708" s="657"/>
      <c r="L708" s="652"/>
    </row>
    <row r="709" spans="1:12" ht="15.75" x14ac:dyDescent="0.25">
      <c r="A709" s="647" t="s">
        <v>961</v>
      </c>
      <c r="B709" s="654"/>
      <c r="C709" s="649"/>
      <c r="D709" s="650" t="s">
        <v>163</v>
      </c>
      <c r="E709" s="651"/>
      <c r="F709" s="653">
        <v>2.0833333333333332E-2</v>
      </c>
      <c r="G709" s="647"/>
      <c r="H709" s="648"/>
      <c r="I709" s="649"/>
      <c r="J709" s="650"/>
      <c r="K709" s="651"/>
      <c r="L709" s="652"/>
    </row>
    <row r="710" spans="1:12" ht="15.75" x14ac:dyDescent="0.25">
      <c r="A710" s="647"/>
      <c r="B710" s="648"/>
      <c r="C710" s="649"/>
      <c r="D710" s="655" t="s">
        <v>164</v>
      </c>
      <c r="E710" s="651"/>
      <c r="F710" s="656">
        <v>4.1666666666666664E-2</v>
      </c>
      <c r="G710" s="647"/>
      <c r="H710" s="648"/>
      <c r="I710" s="649"/>
      <c r="J710" s="650"/>
      <c r="K710" s="651"/>
      <c r="L710" s="652"/>
    </row>
    <row r="711" spans="1:12" ht="15.75" x14ac:dyDescent="0.25">
      <c r="A711" s="647"/>
      <c r="B711" s="648"/>
      <c r="C711" s="649"/>
      <c r="D711" s="655" t="s">
        <v>166</v>
      </c>
      <c r="E711" s="651"/>
      <c r="F711" s="656">
        <v>4.8611111111111112E-2</v>
      </c>
      <c r="G711" s="647"/>
      <c r="H711" s="648"/>
      <c r="I711" s="649"/>
      <c r="J711" s="650"/>
      <c r="K711" s="651"/>
      <c r="L711" s="652"/>
    </row>
    <row r="712" spans="1:12" ht="15.75" x14ac:dyDescent="0.25">
      <c r="A712" s="647" t="s">
        <v>961</v>
      </c>
      <c r="B712" s="648"/>
      <c r="C712" s="649"/>
      <c r="D712" s="650" t="s">
        <v>160</v>
      </c>
      <c r="E712" s="651"/>
      <c r="F712" s="653">
        <v>7.6388888888888895E-2</v>
      </c>
      <c r="G712" s="647"/>
      <c r="H712" s="648"/>
      <c r="I712" s="649"/>
      <c r="J712" s="650"/>
      <c r="K712" s="651"/>
      <c r="L712" s="652"/>
    </row>
    <row r="713" spans="1:12" ht="15.75" x14ac:dyDescent="0.25">
      <c r="A713" s="647"/>
      <c r="B713" s="648"/>
      <c r="C713" s="649"/>
      <c r="D713" s="655" t="s">
        <v>962</v>
      </c>
      <c r="E713" s="651"/>
      <c r="F713" s="656">
        <v>8.3333333333333329E-2</v>
      </c>
      <c r="G713" s="647"/>
      <c r="H713" s="648"/>
      <c r="I713" s="649"/>
      <c r="J713" s="650"/>
      <c r="K713" s="651"/>
      <c r="L713" s="658"/>
    </row>
    <row r="714" spans="1:12" ht="15.75" x14ac:dyDescent="0.25">
      <c r="A714" s="647"/>
      <c r="B714" s="648"/>
      <c r="C714" s="649"/>
      <c r="D714" s="655" t="s">
        <v>960</v>
      </c>
      <c r="E714" s="657">
        <v>0.10416666666666667</v>
      </c>
      <c r="F714" s="656"/>
      <c r="G714" s="647"/>
      <c r="H714" s="648"/>
      <c r="I714" s="649"/>
      <c r="J714" s="655"/>
      <c r="K714" s="651"/>
      <c r="L714" s="658"/>
    </row>
    <row r="715" spans="1:12" ht="15.75" x14ac:dyDescent="0.25">
      <c r="A715" s="647"/>
      <c r="B715" s="648" t="s">
        <v>462</v>
      </c>
      <c r="C715" s="649" t="s">
        <v>459</v>
      </c>
      <c r="D715" s="650"/>
      <c r="E715" s="651"/>
      <c r="F715" s="658"/>
      <c r="G715" s="647"/>
      <c r="H715" s="648"/>
      <c r="I715" s="649"/>
      <c r="J715" s="650"/>
      <c r="K715" s="651"/>
      <c r="L715" s="658"/>
    </row>
    <row r="716" spans="1:12" ht="15.75" x14ac:dyDescent="0.25">
      <c r="A716" s="647"/>
      <c r="B716" s="648"/>
      <c r="C716" s="649"/>
      <c r="D716" s="650"/>
      <c r="E716" s="651"/>
      <c r="F716" s="658"/>
      <c r="G716" s="647"/>
      <c r="H716" s="648"/>
      <c r="I716" s="649"/>
      <c r="J716" s="650"/>
      <c r="K716" s="651"/>
      <c r="L716" s="652"/>
    </row>
    <row r="717" spans="1:12" ht="15.75" x14ac:dyDescent="0.25">
      <c r="A717" s="647"/>
      <c r="B717" s="648"/>
      <c r="C717" s="649"/>
      <c r="D717" s="650"/>
      <c r="E717" s="651"/>
      <c r="F717" s="656"/>
      <c r="G717" s="647"/>
      <c r="H717" s="648"/>
      <c r="I717" s="649"/>
      <c r="J717" s="650"/>
      <c r="K717" s="651"/>
      <c r="L717" s="658"/>
    </row>
    <row r="718" spans="1:12" ht="15.75" x14ac:dyDescent="0.25">
      <c r="A718" s="647"/>
      <c r="B718" s="648"/>
      <c r="C718" s="649"/>
      <c r="D718" s="655"/>
      <c r="E718" s="657"/>
      <c r="F718" s="653"/>
      <c r="G718" s="647"/>
      <c r="H718" s="648"/>
      <c r="I718" s="649"/>
      <c r="J718" s="655"/>
      <c r="K718" s="651"/>
      <c r="L718" s="658"/>
    </row>
    <row r="719" spans="1:12" ht="15.75" x14ac:dyDescent="0.25">
      <c r="A719" s="647"/>
      <c r="B719" s="648"/>
      <c r="C719" s="649"/>
      <c r="D719" s="650"/>
      <c r="E719" s="651"/>
      <c r="F719" s="652"/>
      <c r="G719" s="647"/>
      <c r="H719" s="648"/>
      <c r="I719" s="649"/>
      <c r="J719" s="650"/>
      <c r="K719" s="651"/>
      <c r="L719" s="658"/>
    </row>
    <row r="720" spans="1:12" ht="16.5" thickBot="1" x14ac:dyDescent="0.3">
      <c r="A720" s="659"/>
      <c r="B720" s="660"/>
      <c r="C720" s="661"/>
      <c r="D720" s="662"/>
      <c r="E720" s="663"/>
      <c r="F720" s="664"/>
      <c r="G720" s="665"/>
      <c r="H720" s="666"/>
      <c r="I720" s="667"/>
      <c r="J720" s="668"/>
      <c r="K720" s="663"/>
      <c r="L720" s="669"/>
    </row>
  </sheetData>
  <mergeCells count="108">
    <mergeCell ref="A41:L41"/>
    <mergeCell ref="A42:L42"/>
    <mergeCell ref="A43:L43"/>
    <mergeCell ref="E44:I44"/>
    <mergeCell ref="K44:L44"/>
    <mergeCell ref="I45:J45"/>
    <mergeCell ref="A1:L1"/>
    <mergeCell ref="A2:L2"/>
    <mergeCell ref="A3:L3"/>
    <mergeCell ref="E4:I4"/>
    <mergeCell ref="K4:L4"/>
    <mergeCell ref="I5:J5"/>
    <mergeCell ref="A121:L121"/>
    <mergeCell ref="A122:L122"/>
    <mergeCell ref="A123:L123"/>
    <mergeCell ref="E124:I124"/>
    <mergeCell ref="K124:L124"/>
    <mergeCell ref="I125:J125"/>
    <mergeCell ref="A81:L81"/>
    <mergeCell ref="A82:L82"/>
    <mergeCell ref="A83:L83"/>
    <mergeCell ref="E84:I84"/>
    <mergeCell ref="K84:L84"/>
    <mergeCell ref="I85:J85"/>
    <mergeCell ref="A201:L201"/>
    <mergeCell ref="A202:L202"/>
    <mergeCell ref="A203:L203"/>
    <mergeCell ref="E204:I204"/>
    <mergeCell ref="K204:L204"/>
    <mergeCell ref="I205:J205"/>
    <mergeCell ref="A161:L161"/>
    <mergeCell ref="A162:L162"/>
    <mergeCell ref="A163:L163"/>
    <mergeCell ref="E164:I164"/>
    <mergeCell ref="K164:L164"/>
    <mergeCell ref="I165:J165"/>
    <mergeCell ref="A281:L281"/>
    <mergeCell ref="A282:L282"/>
    <mergeCell ref="A283:L283"/>
    <mergeCell ref="E284:I284"/>
    <mergeCell ref="K284:L284"/>
    <mergeCell ref="I285:J285"/>
    <mergeCell ref="A241:L241"/>
    <mergeCell ref="A242:L242"/>
    <mergeCell ref="A243:L243"/>
    <mergeCell ref="E244:I244"/>
    <mergeCell ref="K244:L244"/>
    <mergeCell ref="I245:J245"/>
    <mergeCell ref="A361:L361"/>
    <mergeCell ref="A362:L362"/>
    <mergeCell ref="A363:L363"/>
    <mergeCell ref="E364:I364"/>
    <mergeCell ref="K364:L364"/>
    <mergeCell ref="I365:J365"/>
    <mergeCell ref="A321:L321"/>
    <mergeCell ref="A322:L322"/>
    <mergeCell ref="A323:L323"/>
    <mergeCell ref="E324:I324"/>
    <mergeCell ref="K324:L324"/>
    <mergeCell ref="I325:J325"/>
    <mergeCell ref="A441:L441"/>
    <mergeCell ref="A442:L442"/>
    <mergeCell ref="A443:L443"/>
    <mergeCell ref="E444:I444"/>
    <mergeCell ref="K444:L444"/>
    <mergeCell ref="I445:J445"/>
    <mergeCell ref="A401:L401"/>
    <mergeCell ref="A402:L402"/>
    <mergeCell ref="A403:L403"/>
    <mergeCell ref="E404:I404"/>
    <mergeCell ref="K404:L404"/>
    <mergeCell ref="I405:J405"/>
    <mergeCell ref="A521:L521"/>
    <mergeCell ref="A522:L522"/>
    <mergeCell ref="A523:L523"/>
    <mergeCell ref="E524:I524"/>
    <mergeCell ref="K524:L524"/>
    <mergeCell ref="I525:J525"/>
    <mergeCell ref="A481:L481"/>
    <mergeCell ref="A482:L482"/>
    <mergeCell ref="A483:L483"/>
    <mergeCell ref="E484:I484"/>
    <mergeCell ref="K484:L484"/>
    <mergeCell ref="I485:J485"/>
    <mergeCell ref="A601:L601"/>
    <mergeCell ref="A602:L602"/>
    <mergeCell ref="A603:L603"/>
    <mergeCell ref="E604:I604"/>
    <mergeCell ref="K604:L604"/>
    <mergeCell ref="I605:J605"/>
    <mergeCell ref="A561:L561"/>
    <mergeCell ref="A562:L562"/>
    <mergeCell ref="A563:L563"/>
    <mergeCell ref="E564:I564"/>
    <mergeCell ref="K564:L564"/>
    <mergeCell ref="I565:J565"/>
    <mergeCell ref="A681:L681"/>
    <mergeCell ref="A682:L682"/>
    <mergeCell ref="A683:L683"/>
    <mergeCell ref="E684:I684"/>
    <mergeCell ref="K684:L684"/>
    <mergeCell ref="I685:J685"/>
    <mergeCell ref="A641:L641"/>
    <mergeCell ref="A642:L642"/>
    <mergeCell ref="A643:L643"/>
    <mergeCell ref="E644:I644"/>
    <mergeCell ref="K644:L644"/>
    <mergeCell ref="I645:J6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E1-X1 M-F OCT 2025</vt:lpstr>
      <vt:lpstr>E1 SAT OCT 2025</vt:lpstr>
      <vt:lpstr>E1 SUN OCT 2025</vt:lpstr>
      <vt:lpstr>M-F Boards OCT 2025</vt:lpstr>
      <vt:lpstr>SAT Boards OCT 2025</vt:lpstr>
      <vt:lpstr>SUN Boards OCT 2025</vt:lpstr>
      <vt:lpstr>'E1 SAT OCT 2025'!Print_Area</vt:lpstr>
      <vt:lpstr>'E1 SUN OCT 2025'!Print_Area</vt:lpstr>
      <vt:lpstr>'E1-X1 M-F OCT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O'Donoghue</dc:creator>
  <cp:lastModifiedBy>Damien McDonnell</cp:lastModifiedBy>
  <cp:lastPrinted>2025-10-14T07:20:19Z</cp:lastPrinted>
  <dcterms:created xsi:type="dcterms:W3CDTF">2025-09-30T10:23:24Z</dcterms:created>
  <dcterms:modified xsi:type="dcterms:W3CDTF">2025-10-14T08:37:50Z</dcterms:modified>
</cp:coreProperties>
</file>