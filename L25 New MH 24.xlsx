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ew Bus Bills 2023\"/>
    </mc:Choice>
  </mc:AlternateContent>
  <xr:revisionPtr revIDLastSave="0" documentId="13_ncr:1_{206018A0-583B-4764-BA3B-8F82E947053A}" xr6:coauthVersionLast="47" xr6:coauthVersionMax="47" xr10:uidLastSave="{00000000-0000-0000-0000-000000000000}"/>
  <bookViews>
    <workbookView xWindow="-110" yWindow="-110" windowWidth="38620" windowHeight="21220" firstSheet="3" activeTab="3" xr2:uid="{00000000-000D-0000-FFFF-FFFF00000000}"/>
  </bookViews>
  <sheets>
    <sheet name="L25 M-F Meeting 1" sheetId="1" state="hidden" r:id="rId1"/>
    <sheet name="L25 SAT Meeting 1" sheetId="2" state="hidden" r:id="rId2"/>
    <sheet name="L25 Sunday  Meeting 1" sheetId="3" state="hidden" r:id="rId3"/>
    <sheet name="L25 M-F Meeting 2 V2" sheetId="4" r:id="rId4"/>
    <sheet name="L25 M-F Meeting 2" sheetId="5" state="hidden" r:id="rId5"/>
    <sheet name="L25 SAT Meeting 2" sheetId="6" r:id="rId6"/>
    <sheet name="L25 Sunday  Meeting 2 " sheetId="7" r:id="rId7"/>
    <sheet name="L25 Sunday Meeting 2 Alt" sheetId="8" state="hidden" r:id="rId8"/>
    <sheet name="Bus Out" sheetId="9" state="hidden" r:id="rId9"/>
  </sheets>
  <definedNames>
    <definedName name="_xlnm.Print_Area" localSheetId="0">'L25 M-F Meeting 1'!$A$1:$Q$82</definedName>
    <definedName name="_xlnm.Print_Area" localSheetId="1">'L25 SAT Meeting 1'!$A$1:$Q$78</definedName>
    <definedName name="_xlnm.Print_Area" localSheetId="5">'L25 SAT Meeting 2'!$A$1:$Q$78</definedName>
    <definedName name="_xlnm.Print_Area" localSheetId="2">'L25 Sunday  Meeting 1'!$A$1:$Q$72</definedName>
    <definedName name="_xlnm.Print_Area" localSheetId="6">'L25 Sunday  Meeting 2 '!$A$1:$Q$72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50" i="9" l="1"/>
  <c r="I51" i="9"/>
  <c r="AG50" i="9"/>
  <c r="H51" i="9"/>
  <c r="U50" i="9"/>
  <c r="G51" i="9"/>
  <c r="D51" i="9"/>
  <c r="C51" i="9"/>
  <c r="B51" i="9"/>
  <c r="AQ49" i="9"/>
  <c r="I50" i="9"/>
  <c r="AG49" i="9"/>
  <c r="H50" i="9"/>
  <c r="U49" i="9"/>
  <c r="G50" i="9"/>
  <c r="D50" i="9"/>
  <c r="C50" i="9"/>
  <c r="B50" i="9"/>
  <c r="AQ48" i="9"/>
  <c r="I49" i="9"/>
  <c r="AG48" i="9"/>
  <c r="H49" i="9"/>
  <c r="U48" i="9"/>
  <c r="G49" i="9"/>
  <c r="D49" i="9"/>
  <c r="C49" i="9"/>
  <c r="B49" i="9"/>
  <c r="AQ47" i="9"/>
  <c r="I48" i="9"/>
  <c r="AG47" i="9"/>
  <c r="H48" i="9"/>
  <c r="U47" i="9"/>
  <c r="G48" i="9"/>
  <c r="D48" i="9"/>
  <c r="C48" i="9"/>
  <c r="B48" i="9"/>
  <c r="AQ46" i="9"/>
  <c r="I47" i="9"/>
  <c r="AG46" i="9"/>
  <c r="H47" i="9"/>
  <c r="U46" i="9"/>
  <c r="G47" i="9"/>
  <c r="D47" i="9"/>
  <c r="C47" i="9"/>
  <c r="B47" i="9"/>
  <c r="AQ45" i="9"/>
  <c r="I46" i="9"/>
  <c r="AG45" i="9"/>
  <c r="H46" i="9"/>
  <c r="U45" i="9"/>
  <c r="G46" i="9"/>
  <c r="D46" i="9"/>
  <c r="C46" i="9"/>
  <c r="B46" i="9"/>
  <c r="AQ44" i="9"/>
  <c r="I45" i="9"/>
  <c r="AG44" i="9"/>
  <c r="H45" i="9"/>
  <c r="U44" i="9"/>
  <c r="G45" i="9"/>
  <c r="D45" i="9"/>
  <c r="C45" i="9"/>
  <c r="B45" i="9"/>
  <c r="AQ43" i="9"/>
  <c r="I44" i="9"/>
  <c r="AG43" i="9"/>
  <c r="H44" i="9"/>
  <c r="U43" i="9"/>
  <c r="G44" i="9"/>
  <c r="D44" i="9"/>
  <c r="C44" i="9"/>
  <c r="B44" i="9"/>
  <c r="AQ42" i="9"/>
  <c r="I43" i="9"/>
  <c r="AG42" i="9"/>
  <c r="H43" i="9"/>
  <c r="U42" i="9"/>
  <c r="G43" i="9"/>
  <c r="D43" i="9"/>
  <c r="C43" i="9"/>
  <c r="B43" i="9"/>
  <c r="AQ41" i="9"/>
  <c r="I42" i="9"/>
  <c r="AG41" i="9"/>
  <c r="H42" i="9"/>
  <c r="U41" i="9"/>
  <c r="G42" i="9"/>
  <c r="D42" i="9"/>
  <c r="C42" i="9"/>
  <c r="B42" i="9"/>
  <c r="AQ40" i="9"/>
  <c r="I41" i="9"/>
  <c r="AG40" i="9"/>
  <c r="H41" i="9"/>
  <c r="U40" i="9"/>
  <c r="G41" i="9"/>
  <c r="D41" i="9"/>
  <c r="C41" i="9"/>
  <c r="B41" i="9"/>
  <c r="AQ39" i="9"/>
  <c r="I40" i="9"/>
  <c r="AG39" i="9"/>
  <c r="H40" i="9"/>
  <c r="U39" i="9"/>
  <c r="G40" i="9"/>
  <c r="D40" i="9"/>
  <c r="C40" i="9"/>
  <c r="B40" i="9"/>
  <c r="AQ38" i="9"/>
  <c r="I39" i="9"/>
  <c r="AG38" i="9"/>
  <c r="H39" i="9"/>
  <c r="U38" i="9"/>
  <c r="G39" i="9"/>
  <c r="D39" i="9"/>
  <c r="C39" i="9"/>
  <c r="B39" i="9"/>
  <c r="AQ37" i="9"/>
  <c r="I38" i="9"/>
  <c r="AG37" i="9"/>
  <c r="H38" i="9"/>
  <c r="U37" i="9"/>
  <c r="G38" i="9"/>
  <c r="D38" i="9"/>
  <c r="C38" i="9"/>
  <c r="B38" i="9"/>
  <c r="AQ36" i="9"/>
  <c r="I37" i="9"/>
  <c r="AG36" i="9"/>
  <c r="H37" i="9"/>
  <c r="U36" i="9"/>
  <c r="G37" i="9"/>
  <c r="D37" i="9"/>
  <c r="C37" i="9"/>
  <c r="B37" i="9"/>
  <c r="AQ35" i="9"/>
  <c r="I36" i="9"/>
  <c r="AG35" i="9"/>
  <c r="H36" i="9"/>
  <c r="U35" i="9"/>
  <c r="G36" i="9"/>
  <c r="D36" i="9"/>
  <c r="C36" i="9"/>
  <c r="B36" i="9"/>
  <c r="AQ34" i="9"/>
  <c r="I35" i="9"/>
  <c r="AG34" i="9"/>
  <c r="H35" i="9"/>
  <c r="U34" i="9"/>
  <c r="G35" i="9"/>
  <c r="D35" i="9"/>
  <c r="C35" i="9"/>
  <c r="B35" i="9"/>
  <c r="AQ33" i="9"/>
  <c r="I34" i="9"/>
  <c r="AG33" i="9"/>
  <c r="H34" i="9"/>
  <c r="U33" i="9"/>
  <c r="G34" i="9"/>
  <c r="D34" i="9"/>
  <c r="C34" i="9"/>
  <c r="B34" i="9"/>
  <c r="AQ32" i="9"/>
  <c r="I33" i="9"/>
  <c r="AG32" i="9"/>
  <c r="H33" i="9"/>
  <c r="U32" i="9"/>
  <c r="G33" i="9"/>
  <c r="D33" i="9"/>
  <c r="C33" i="9"/>
  <c r="B33" i="9"/>
  <c r="AQ31" i="9"/>
  <c r="I32" i="9"/>
  <c r="AG31" i="9"/>
  <c r="H32" i="9"/>
  <c r="U31" i="9"/>
  <c r="G32" i="9"/>
  <c r="D32" i="9"/>
  <c r="C32" i="9"/>
  <c r="B32" i="9"/>
  <c r="AQ30" i="9"/>
  <c r="I31" i="9"/>
  <c r="AG30" i="9"/>
  <c r="H31" i="9"/>
  <c r="U30" i="9"/>
  <c r="G31" i="9"/>
  <c r="D31" i="9"/>
  <c r="C31" i="9"/>
  <c r="B31" i="9"/>
  <c r="AQ29" i="9"/>
  <c r="I30" i="9"/>
  <c r="AG29" i="9"/>
  <c r="H30" i="9"/>
  <c r="U29" i="9"/>
  <c r="G30" i="9"/>
  <c r="D30" i="9"/>
  <c r="C30" i="9"/>
  <c r="B30" i="9"/>
  <c r="AQ28" i="9"/>
  <c r="I29" i="9"/>
  <c r="AG28" i="9"/>
  <c r="H29" i="9"/>
  <c r="U28" i="9"/>
  <c r="G29" i="9"/>
  <c r="D29" i="9"/>
  <c r="C29" i="9"/>
  <c r="B29" i="9"/>
  <c r="AQ27" i="9"/>
  <c r="I28" i="9"/>
  <c r="AG27" i="9"/>
  <c r="H28" i="9"/>
  <c r="U27" i="9"/>
  <c r="G28" i="9"/>
  <c r="D28" i="9"/>
  <c r="C28" i="9"/>
  <c r="B28" i="9"/>
  <c r="AQ26" i="9"/>
  <c r="I27" i="9"/>
  <c r="AG26" i="9"/>
  <c r="H27" i="9"/>
  <c r="U26" i="9"/>
  <c r="G27" i="9"/>
  <c r="D27" i="9"/>
  <c r="C27" i="9"/>
  <c r="B27" i="9"/>
  <c r="AQ25" i="9"/>
  <c r="I26" i="9"/>
  <c r="AG25" i="9"/>
  <c r="H26" i="9"/>
  <c r="U25" i="9"/>
  <c r="G26" i="9"/>
  <c r="D26" i="9"/>
  <c r="C26" i="9"/>
  <c r="B26" i="9"/>
  <c r="AQ24" i="9"/>
  <c r="I25" i="9"/>
  <c r="AG24" i="9"/>
  <c r="H25" i="9"/>
  <c r="U24" i="9"/>
  <c r="G25" i="9"/>
  <c r="D25" i="9"/>
  <c r="C25" i="9"/>
  <c r="B25" i="9"/>
  <c r="AQ23" i="9"/>
  <c r="I24" i="9"/>
  <c r="AG23" i="9"/>
  <c r="H24" i="9"/>
  <c r="U23" i="9"/>
  <c r="G24" i="9"/>
  <c r="D24" i="9"/>
  <c r="C24" i="9"/>
  <c r="B24" i="9"/>
  <c r="AQ22" i="9"/>
  <c r="I23" i="9"/>
  <c r="AG22" i="9"/>
  <c r="H23" i="9"/>
  <c r="U22" i="9"/>
  <c r="G23" i="9"/>
  <c r="D23" i="9"/>
  <c r="C23" i="9"/>
  <c r="B23" i="9"/>
  <c r="AQ21" i="9"/>
  <c r="I22" i="9"/>
  <c r="AG21" i="9"/>
  <c r="H22" i="9"/>
  <c r="U21" i="9"/>
  <c r="G22" i="9"/>
  <c r="D22" i="9"/>
  <c r="C22" i="9"/>
  <c r="B22" i="9"/>
  <c r="AQ20" i="9"/>
  <c r="I21" i="9"/>
  <c r="AG20" i="9"/>
  <c r="H21" i="9"/>
  <c r="U20" i="9"/>
  <c r="G21" i="9"/>
  <c r="D21" i="9"/>
  <c r="C21" i="9"/>
  <c r="B21" i="9"/>
  <c r="AQ19" i="9"/>
  <c r="I20" i="9"/>
  <c r="AG19" i="9"/>
  <c r="H20" i="9"/>
  <c r="U19" i="9"/>
  <c r="G20" i="9"/>
  <c r="D20" i="9"/>
  <c r="C20" i="9"/>
  <c r="B20" i="9"/>
  <c r="AQ18" i="9"/>
  <c r="I19" i="9"/>
  <c r="AG18" i="9"/>
  <c r="H19" i="9"/>
  <c r="U18" i="9"/>
  <c r="G19" i="9"/>
  <c r="D19" i="9"/>
  <c r="C19" i="9"/>
  <c r="B19" i="9"/>
  <c r="AQ17" i="9"/>
  <c r="I18" i="9"/>
  <c r="AG17" i="9"/>
  <c r="H18" i="9"/>
  <c r="U17" i="9"/>
  <c r="G18" i="9"/>
  <c r="D18" i="9"/>
  <c r="C18" i="9"/>
  <c r="B18" i="9"/>
  <c r="AQ16" i="9"/>
  <c r="I17" i="9"/>
  <c r="AG16" i="9"/>
  <c r="H17" i="9"/>
  <c r="U16" i="9"/>
  <c r="G17" i="9"/>
  <c r="D17" i="9"/>
  <c r="C17" i="9"/>
  <c r="B17" i="9"/>
  <c r="AQ15" i="9"/>
  <c r="I16" i="9"/>
  <c r="AG15" i="9"/>
  <c r="H16" i="9"/>
  <c r="U15" i="9"/>
  <c r="G16" i="9"/>
  <c r="D16" i="9"/>
  <c r="C16" i="9"/>
  <c r="B16" i="9"/>
  <c r="AQ14" i="9"/>
  <c r="I15" i="9"/>
  <c r="AG14" i="9"/>
  <c r="H15" i="9"/>
  <c r="U14" i="9"/>
  <c r="G15" i="9"/>
  <c r="D15" i="9"/>
  <c r="C15" i="9"/>
  <c r="B15" i="9"/>
  <c r="AQ13" i="9"/>
  <c r="I14" i="9"/>
  <c r="AG13" i="9"/>
  <c r="H14" i="9"/>
  <c r="U13" i="9"/>
  <c r="G14" i="9"/>
  <c r="D14" i="9"/>
  <c r="C14" i="9"/>
  <c r="B14" i="9"/>
  <c r="AQ12" i="9"/>
  <c r="I13" i="9"/>
  <c r="AG12" i="9"/>
  <c r="H13" i="9"/>
  <c r="U12" i="9"/>
  <c r="G13" i="9"/>
  <c r="D13" i="9"/>
  <c r="C13" i="9"/>
  <c r="B13" i="9"/>
  <c r="AQ11" i="9"/>
  <c r="I12" i="9"/>
  <c r="AG11" i="9"/>
  <c r="H12" i="9"/>
  <c r="U11" i="9"/>
  <c r="G12" i="9"/>
  <c r="D12" i="9"/>
  <c r="C12" i="9"/>
  <c r="B12" i="9"/>
  <c r="AQ10" i="9"/>
  <c r="I11" i="9"/>
  <c r="AG10" i="9"/>
  <c r="H11" i="9"/>
  <c r="U10" i="9"/>
  <c r="G11" i="9"/>
  <c r="D11" i="9"/>
  <c r="C11" i="9"/>
  <c r="B11" i="9"/>
  <c r="AQ9" i="9"/>
  <c r="I10" i="9"/>
  <c r="AG9" i="9"/>
  <c r="H10" i="9"/>
  <c r="U9" i="9"/>
  <c r="G10" i="9"/>
  <c r="D10" i="9"/>
  <c r="C10" i="9"/>
  <c r="B10" i="9"/>
  <c r="AQ8" i="9"/>
  <c r="I9" i="9"/>
  <c r="AG8" i="9"/>
  <c r="H9" i="9"/>
  <c r="U8" i="9"/>
  <c r="G9" i="9"/>
  <c r="D9" i="9"/>
  <c r="C9" i="9"/>
  <c r="B9" i="9"/>
  <c r="AQ7" i="9"/>
  <c r="I8" i="9"/>
  <c r="AG7" i="9"/>
  <c r="H8" i="9"/>
  <c r="U7" i="9"/>
  <c r="G8" i="9"/>
  <c r="D8" i="9"/>
  <c r="C8" i="9"/>
  <c r="B8" i="9"/>
  <c r="AQ6" i="9"/>
  <c r="I7" i="9"/>
  <c r="AG6" i="9"/>
  <c r="H7" i="9"/>
  <c r="U6" i="9"/>
  <c r="G7" i="9"/>
  <c r="D7" i="9"/>
  <c r="C7" i="9"/>
  <c r="B7" i="9"/>
  <c r="AQ5" i="9"/>
  <c r="I6" i="9"/>
  <c r="AG5" i="9"/>
  <c r="H6" i="9"/>
  <c r="U5" i="9"/>
  <c r="G6" i="9"/>
  <c r="D6" i="9"/>
  <c r="C6" i="9"/>
  <c r="B6" i="9"/>
  <c r="AQ4" i="9"/>
  <c r="I5" i="9"/>
  <c r="AG4" i="9"/>
  <c r="H5" i="9"/>
  <c r="U4" i="9"/>
  <c r="G5" i="9"/>
  <c r="D5" i="9"/>
  <c r="C5" i="9"/>
  <c r="B5" i="9"/>
  <c r="AQ3" i="9"/>
  <c r="I4" i="9"/>
  <c r="AG3" i="9"/>
  <c r="H4" i="9"/>
  <c r="U3" i="9"/>
  <c r="G4" i="9"/>
  <c r="D4" i="9"/>
  <c r="C4" i="9"/>
  <c r="B4" i="9"/>
  <c r="C70" i="8"/>
  <c r="N70" i="8"/>
  <c r="P70" i="8"/>
  <c r="O70" i="8"/>
  <c r="C71" i="8"/>
  <c r="N71" i="8"/>
  <c r="P71" i="8"/>
  <c r="O71" i="8"/>
  <c r="O72" i="8"/>
  <c r="C59" i="8"/>
  <c r="N59" i="8"/>
  <c r="O59" i="8"/>
  <c r="N60" i="8"/>
  <c r="O60" i="8"/>
  <c r="C61" i="8"/>
  <c r="N61" i="8"/>
  <c r="O61" i="8"/>
  <c r="N62" i="8"/>
  <c r="P62" i="8"/>
  <c r="O62" i="8"/>
  <c r="N63" i="8"/>
  <c r="O63" i="8"/>
  <c r="N64" i="8"/>
  <c r="P64" i="8"/>
  <c r="O64" i="8"/>
  <c r="N65" i="8"/>
  <c r="P65" i="8"/>
  <c r="O65" i="8"/>
  <c r="M66" i="8"/>
  <c r="N66" i="8"/>
  <c r="P66" i="8"/>
  <c r="O66" i="8"/>
  <c r="M67" i="8"/>
  <c r="N67" i="8"/>
  <c r="H67" i="8"/>
  <c r="P67" i="8"/>
  <c r="O67" i="8"/>
  <c r="M68" i="8"/>
  <c r="N68" i="8"/>
  <c r="P68" i="8"/>
  <c r="O68" i="8"/>
  <c r="O69" i="8"/>
  <c r="C60" i="8"/>
  <c r="M69" i="7"/>
  <c r="C69" i="7"/>
  <c r="N69" i="7"/>
  <c r="H69" i="7"/>
  <c r="P69" i="7"/>
  <c r="O69" i="7"/>
  <c r="M70" i="7"/>
  <c r="C70" i="7"/>
  <c r="N70" i="7"/>
  <c r="H70" i="7"/>
  <c r="P70" i="7"/>
  <c r="O70" i="7"/>
  <c r="M71" i="7"/>
  <c r="C71" i="7"/>
  <c r="N71" i="7"/>
  <c r="H71" i="7"/>
  <c r="P71" i="7"/>
  <c r="O71" i="7"/>
  <c r="O72" i="7"/>
  <c r="M59" i="7"/>
  <c r="C59" i="7"/>
  <c r="N59" i="7"/>
  <c r="O59" i="7"/>
  <c r="M60" i="7"/>
  <c r="C60" i="7"/>
  <c r="N60" i="7"/>
  <c r="O60" i="7"/>
  <c r="M61" i="7"/>
  <c r="C61" i="7"/>
  <c r="N61" i="7"/>
  <c r="H61" i="7"/>
  <c r="P61" i="7"/>
  <c r="O61" i="7"/>
  <c r="M62" i="7"/>
  <c r="C62" i="7"/>
  <c r="N62" i="7"/>
  <c r="H62" i="7"/>
  <c r="P62" i="7"/>
  <c r="O62" i="7"/>
  <c r="M63" i="7"/>
  <c r="C63" i="7"/>
  <c r="N63" i="7"/>
  <c r="H63" i="7"/>
  <c r="P63" i="7"/>
  <c r="O63" i="7"/>
  <c r="M64" i="7"/>
  <c r="C64" i="7"/>
  <c r="N64" i="7"/>
  <c r="H64" i="7"/>
  <c r="P64" i="7"/>
  <c r="O64" i="7"/>
  <c r="M65" i="7"/>
  <c r="C65" i="7"/>
  <c r="N65" i="7"/>
  <c r="H65" i="7"/>
  <c r="P65" i="7"/>
  <c r="O65" i="7"/>
  <c r="O68" i="7"/>
  <c r="H67" i="7"/>
  <c r="P67" i="7"/>
  <c r="M67" i="7"/>
  <c r="C67" i="7"/>
  <c r="N67" i="7"/>
  <c r="O67" i="7"/>
  <c r="H66" i="7"/>
  <c r="P66" i="7"/>
  <c r="M66" i="7"/>
  <c r="C66" i="7"/>
  <c r="N66" i="7"/>
  <c r="O66" i="7"/>
  <c r="M74" i="6"/>
  <c r="C74" i="6"/>
  <c r="N74" i="6"/>
  <c r="H74" i="6"/>
  <c r="P74" i="6"/>
  <c r="O74" i="6"/>
  <c r="M75" i="6"/>
  <c r="C75" i="6"/>
  <c r="N75" i="6"/>
  <c r="H75" i="6"/>
  <c r="P75" i="6"/>
  <c r="O75" i="6"/>
  <c r="M76" i="6"/>
  <c r="C76" i="6"/>
  <c r="N76" i="6"/>
  <c r="H76" i="6"/>
  <c r="P76" i="6"/>
  <c r="O76" i="6"/>
  <c r="M77" i="6"/>
  <c r="C77" i="6"/>
  <c r="N77" i="6"/>
  <c r="H77" i="6"/>
  <c r="P77" i="6"/>
  <c r="O77" i="6"/>
  <c r="O78" i="6"/>
  <c r="M61" i="6"/>
  <c r="C61" i="6"/>
  <c r="N61" i="6"/>
  <c r="H61" i="6"/>
  <c r="P61" i="6"/>
  <c r="O61" i="6"/>
  <c r="M62" i="6"/>
  <c r="C62" i="6"/>
  <c r="N62" i="6"/>
  <c r="H62" i="6"/>
  <c r="P62" i="6"/>
  <c r="O62" i="6"/>
  <c r="M63" i="6"/>
  <c r="C63" i="6"/>
  <c r="N63" i="6"/>
  <c r="H63" i="6"/>
  <c r="P63" i="6"/>
  <c r="O63" i="6"/>
  <c r="M64" i="6"/>
  <c r="C64" i="6"/>
  <c r="N64" i="6"/>
  <c r="O64" i="6"/>
  <c r="M65" i="6"/>
  <c r="C65" i="6"/>
  <c r="N65" i="6"/>
  <c r="H65" i="6"/>
  <c r="P65" i="6"/>
  <c r="O65" i="6"/>
  <c r="M66" i="6"/>
  <c r="C66" i="6"/>
  <c r="N66" i="6"/>
  <c r="H66" i="6"/>
  <c r="P66" i="6"/>
  <c r="O66" i="6"/>
  <c r="M67" i="6"/>
  <c r="C67" i="6"/>
  <c r="N67" i="6"/>
  <c r="H67" i="6"/>
  <c r="P67" i="6"/>
  <c r="O67" i="6"/>
  <c r="M68" i="6"/>
  <c r="C68" i="6"/>
  <c r="N68" i="6"/>
  <c r="H68" i="6"/>
  <c r="P68" i="6"/>
  <c r="O68" i="6"/>
  <c r="M69" i="6"/>
  <c r="C69" i="6"/>
  <c r="N69" i="6"/>
  <c r="H69" i="6"/>
  <c r="P69" i="6"/>
  <c r="O69" i="6"/>
  <c r="M70" i="6"/>
  <c r="C70" i="6"/>
  <c r="N70" i="6"/>
  <c r="H70" i="6"/>
  <c r="P70" i="6"/>
  <c r="O70" i="6"/>
  <c r="M71" i="6"/>
  <c r="C71" i="6"/>
  <c r="N71" i="6"/>
  <c r="H71" i="6"/>
  <c r="P71" i="6"/>
  <c r="O71" i="6"/>
  <c r="M72" i="6"/>
  <c r="C72" i="6"/>
  <c r="N72" i="6"/>
  <c r="H72" i="6"/>
  <c r="P72" i="6"/>
  <c r="O72" i="6"/>
  <c r="O73" i="6"/>
  <c r="M77" i="5"/>
  <c r="C77" i="5"/>
  <c r="N77" i="5"/>
  <c r="H77" i="5"/>
  <c r="P77" i="5"/>
  <c r="O77" i="5"/>
  <c r="M78" i="5"/>
  <c r="C78" i="5"/>
  <c r="N78" i="5"/>
  <c r="H78" i="5"/>
  <c r="P78" i="5"/>
  <c r="O78" i="5"/>
  <c r="M79" i="5"/>
  <c r="C79" i="5"/>
  <c r="N79" i="5"/>
  <c r="H79" i="5"/>
  <c r="P79" i="5"/>
  <c r="O79" i="5"/>
  <c r="M80" i="5"/>
  <c r="C80" i="5"/>
  <c r="N80" i="5"/>
  <c r="H80" i="5"/>
  <c r="P80" i="5"/>
  <c r="O80" i="5"/>
  <c r="O81" i="5"/>
  <c r="M61" i="5"/>
  <c r="C61" i="5"/>
  <c r="N61" i="5"/>
  <c r="O61" i="5"/>
  <c r="M62" i="5"/>
  <c r="C62" i="5"/>
  <c r="N62" i="5"/>
  <c r="H62" i="5"/>
  <c r="P62" i="5"/>
  <c r="O62" i="5"/>
  <c r="M63" i="5"/>
  <c r="C63" i="5"/>
  <c r="N63" i="5"/>
  <c r="H63" i="5"/>
  <c r="P63" i="5"/>
  <c r="O63" i="5"/>
  <c r="M64" i="5"/>
  <c r="C64" i="5"/>
  <c r="N64" i="5"/>
  <c r="O64" i="5"/>
  <c r="M65" i="5"/>
  <c r="C65" i="5"/>
  <c r="N65" i="5"/>
  <c r="H65" i="5"/>
  <c r="P65" i="5"/>
  <c r="O65" i="5"/>
  <c r="M66" i="5"/>
  <c r="C66" i="5"/>
  <c r="N66" i="5"/>
  <c r="O66" i="5"/>
  <c r="M67" i="5"/>
  <c r="C67" i="5"/>
  <c r="N67" i="5"/>
  <c r="H67" i="5"/>
  <c r="P67" i="5"/>
  <c r="O67" i="5"/>
  <c r="M68" i="5"/>
  <c r="C68" i="5"/>
  <c r="N68" i="5"/>
  <c r="H68" i="5"/>
  <c r="P68" i="5"/>
  <c r="O68" i="5"/>
  <c r="M69" i="5"/>
  <c r="C69" i="5"/>
  <c r="N69" i="5"/>
  <c r="H69" i="5"/>
  <c r="P69" i="5"/>
  <c r="O69" i="5"/>
  <c r="M70" i="5"/>
  <c r="C70" i="5"/>
  <c r="N70" i="5"/>
  <c r="H70" i="5"/>
  <c r="P70" i="5"/>
  <c r="O70" i="5"/>
  <c r="M71" i="5"/>
  <c r="C71" i="5"/>
  <c r="N71" i="5"/>
  <c r="H71" i="5"/>
  <c r="P71" i="5"/>
  <c r="O71" i="5"/>
  <c r="M72" i="5"/>
  <c r="C72" i="5"/>
  <c r="N72" i="5"/>
  <c r="H72" i="5"/>
  <c r="P72" i="5"/>
  <c r="O72" i="5"/>
  <c r="M73" i="5"/>
  <c r="C73" i="5"/>
  <c r="N73" i="5"/>
  <c r="H73" i="5"/>
  <c r="P73" i="5"/>
  <c r="O73" i="5"/>
  <c r="M74" i="5"/>
  <c r="C74" i="5"/>
  <c r="N74" i="5"/>
  <c r="H74" i="5"/>
  <c r="P74" i="5"/>
  <c r="O74" i="5"/>
  <c r="M75" i="5"/>
  <c r="C75" i="5"/>
  <c r="N75" i="5"/>
  <c r="H75" i="5"/>
  <c r="P75" i="5"/>
  <c r="O75" i="5"/>
  <c r="O76" i="5"/>
  <c r="AI1" i="5"/>
  <c r="M69" i="3"/>
  <c r="C69" i="3"/>
  <c r="N69" i="3"/>
  <c r="H69" i="3"/>
  <c r="P69" i="3"/>
  <c r="O69" i="3"/>
  <c r="M70" i="3"/>
  <c r="C70" i="3"/>
  <c r="N70" i="3"/>
  <c r="H70" i="3"/>
  <c r="P70" i="3"/>
  <c r="O70" i="3"/>
  <c r="M71" i="3"/>
  <c r="C71" i="3"/>
  <c r="N71" i="3"/>
  <c r="H71" i="3"/>
  <c r="P71" i="3"/>
  <c r="O71" i="3"/>
  <c r="O72" i="3"/>
  <c r="S71" i="3"/>
  <c r="R71" i="3"/>
  <c r="S70" i="3"/>
  <c r="R70" i="3"/>
  <c r="S69" i="3"/>
  <c r="R69" i="3"/>
  <c r="M59" i="3"/>
  <c r="C59" i="3"/>
  <c r="N59" i="3"/>
  <c r="O59" i="3"/>
  <c r="M60" i="3"/>
  <c r="C60" i="3"/>
  <c r="N60" i="3"/>
  <c r="O60" i="3"/>
  <c r="M61" i="3"/>
  <c r="C61" i="3"/>
  <c r="N61" i="3"/>
  <c r="H61" i="3"/>
  <c r="P61" i="3"/>
  <c r="O61" i="3"/>
  <c r="M62" i="3"/>
  <c r="C62" i="3"/>
  <c r="N62" i="3"/>
  <c r="H62" i="3"/>
  <c r="P62" i="3"/>
  <c r="O62" i="3"/>
  <c r="M63" i="3"/>
  <c r="C63" i="3"/>
  <c r="N63" i="3"/>
  <c r="H63" i="3"/>
  <c r="P63" i="3"/>
  <c r="O63" i="3"/>
  <c r="M64" i="3"/>
  <c r="C64" i="3"/>
  <c r="N64" i="3"/>
  <c r="H64" i="3"/>
  <c r="P64" i="3"/>
  <c r="O64" i="3"/>
  <c r="M65" i="3"/>
  <c r="C65" i="3"/>
  <c r="N65" i="3"/>
  <c r="H65" i="3"/>
  <c r="P65" i="3"/>
  <c r="O65" i="3"/>
  <c r="O68" i="3"/>
  <c r="S67" i="3"/>
  <c r="R67" i="3"/>
  <c r="H67" i="3"/>
  <c r="P67" i="3"/>
  <c r="M67" i="3"/>
  <c r="C67" i="3"/>
  <c r="N67" i="3"/>
  <c r="O67" i="3"/>
  <c r="S66" i="3"/>
  <c r="R66" i="3"/>
  <c r="H66" i="3"/>
  <c r="P66" i="3"/>
  <c r="M66" i="3"/>
  <c r="C66" i="3"/>
  <c r="N66" i="3"/>
  <c r="O66" i="3"/>
  <c r="S65" i="3"/>
  <c r="R65" i="3"/>
  <c r="S64" i="3"/>
  <c r="R64" i="3"/>
  <c r="S63" i="3"/>
  <c r="R63" i="3"/>
  <c r="S62" i="3"/>
  <c r="R62" i="3"/>
  <c r="S61" i="3"/>
  <c r="R61" i="3"/>
  <c r="R60" i="3"/>
  <c r="R59" i="3"/>
  <c r="I85" i="2"/>
  <c r="I86" i="2"/>
  <c r="M74" i="2"/>
  <c r="C74" i="2"/>
  <c r="N74" i="2"/>
  <c r="H74" i="2"/>
  <c r="P74" i="2"/>
  <c r="O74" i="2"/>
  <c r="M75" i="2"/>
  <c r="C75" i="2"/>
  <c r="N75" i="2"/>
  <c r="H75" i="2"/>
  <c r="P75" i="2"/>
  <c r="O75" i="2"/>
  <c r="M76" i="2"/>
  <c r="C76" i="2"/>
  <c r="N76" i="2"/>
  <c r="H76" i="2"/>
  <c r="P76" i="2"/>
  <c r="O76" i="2"/>
  <c r="M77" i="2"/>
  <c r="C77" i="2"/>
  <c r="N77" i="2"/>
  <c r="H77" i="2"/>
  <c r="P77" i="2"/>
  <c r="O77" i="2"/>
  <c r="O78" i="2"/>
  <c r="M61" i="2"/>
  <c r="C61" i="2"/>
  <c r="N61" i="2"/>
  <c r="H61" i="2"/>
  <c r="P61" i="2"/>
  <c r="O61" i="2"/>
  <c r="M62" i="2"/>
  <c r="C62" i="2"/>
  <c r="N62" i="2"/>
  <c r="H62" i="2"/>
  <c r="P62" i="2"/>
  <c r="O62" i="2"/>
  <c r="M63" i="2"/>
  <c r="C63" i="2"/>
  <c r="N63" i="2"/>
  <c r="H63" i="2"/>
  <c r="P63" i="2"/>
  <c r="O63" i="2"/>
  <c r="M64" i="2"/>
  <c r="C64" i="2"/>
  <c r="N64" i="2"/>
  <c r="O64" i="2"/>
  <c r="M65" i="2"/>
  <c r="C65" i="2"/>
  <c r="N65" i="2"/>
  <c r="H65" i="2"/>
  <c r="P65" i="2"/>
  <c r="O65" i="2"/>
  <c r="M66" i="2"/>
  <c r="C66" i="2"/>
  <c r="N66" i="2"/>
  <c r="H66" i="2"/>
  <c r="P66" i="2"/>
  <c r="O66" i="2"/>
  <c r="M67" i="2"/>
  <c r="C67" i="2"/>
  <c r="N67" i="2"/>
  <c r="H67" i="2"/>
  <c r="P67" i="2"/>
  <c r="O67" i="2"/>
  <c r="M68" i="2"/>
  <c r="C68" i="2"/>
  <c r="N68" i="2"/>
  <c r="H68" i="2"/>
  <c r="P68" i="2"/>
  <c r="O68" i="2"/>
  <c r="M69" i="2"/>
  <c r="C69" i="2"/>
  <c r="N69" i="2"/>
  <c r="H69" i="2"/>
  <c r="P69" i="2"/>
  <c r="O69" i="2"/>
  <c r="M70" i="2"/>
  <c r="C70" i="2"/>
  <c r="N70" i="2"/>
  <c r="H70" i="2"/>
  <c r="P70" i="2"/>
  <c r="O70" i="2"/>
  <c r="M71" i="2"/>
  <c r="C71" i="2"/>
  <c r="N71" i="2"/>
  <c r="H71" i="2"/>
  <c r="P71" i="2"/>
  <c r="O71" i="2"/>
  <c r="M72" i="2"/>
  <c r="C72" i="2"/>
  <c r="N72" i="2"/>
  <c r="H72" i="2"/>
  <c r="P72" i="2"/>
  <c r="O72" i="2"/>
  <c r="O73" i="2"/>
  <c r="L6" i="2"/>
  <c r="J6" i="2"/>
  <c r="G6" i="2"/>
  <c r="F6" i="2"/>
  <c r="M78" i="1"/>
  <c r="C78" i="1"/>
  <c r="N78" i="1"/>
  <c r="H78" i="1"/>
  <c r="P78" i="1"/>
  <c r="O78" i="1"/>
  <c r="M79" i="1"/>
  <c r="C79" i="1"/>
  <c r="N79" i="1"/>
  <c r="H79" i="1"/>
  <c r="P79" i="1"/>
  <c r="O79" i="1"/>
  <c r="M80" i="1"/>
  <c r="C80" i="1"/>
  <c r="N80" i="1"/>
  <c r="H80" i="1"/>
  <c r="P80" i="1"/>
  <c r="O80" i="1"/>
  <c r="M81" i="1"/>
  <c r="C81" i="1"/>
  <c r="N81" i="1"/>
  <c r="H81" i="1"/>
  <c r="P81" i="1"/>
  <c r="O81" i="1"/>
  <c r="O82" i="1"/>
  <c r="M62" i="1"/>
  <c r="C62" i="1"/>
  <c r="N62" i="1"/>
  <c r="O62" i="1"/>
  <c r="M63" i="1"/>
  <c r="C63" i="1"/>
  <c r="N63" i="1"/>
  <c r="H63" i="1"/>
  <c r="P63" i="1"/>
  <c r="O63" i="1"/>
  <c r="M64" i="1"/>
  <c r="C64" i="1"/>
  <c r="N64" i="1"/>
  <c r="P64" i="1"/>
  <c r="O64" i="1"/>
  <c r="M65" i="1"/>
  <c r="C65" i="1"/>
  <c r="N65" i="1"/>
  <c r="O65" i="1"/>
  <c r="M66" i="1"/>
  <c r="C66" i="1"/>
  <c r="N66" i="1"/>
  <c r="H66" i="1"/>
  <c r="P66" i="1"/>
  <c r="O66" i="1"/>
  <c r="M67" i="1"/>
  <c r="C67" i="1"/>
  <c r="N67" i="1"/>
  <c r="H67" i="1"/>
  <c r="P67" i="1"/>
  <c r="O67" i="1"/>
  <c r="M68" i="1"/>
  <c r="C68" i="1"/>
  <c r="N68" i="1"/>
  <c r="H68" i="1"/>
  <c r="P68" i="1"/>
  <c r="O68" i="1"/>
  <c r="M69" i="1"/>
  <c r="C69" i="1"/>
  <c r="N69" i="1"/>
  <c r="H69" i="1"/>
  <c r="P69" i="1"/>
  <c r="O69" i="1"/>
  <c r="M70" i="1"/>
  <c r="C70" i="1"/>
  <c r="N70" i="1"/>
  <c r="H70" i="1"/>
  <c r="P70" i="1"/>
  <c r="O70" i="1"/>
  <c r="M71" i="1"/>
  <c r="C71" i="1"/>
  <c r="N71" i="1"/>
  <c r="H71" i="1"/>
  <c r="P71" i="1"/>
  <c r="O71" i="1"/>
  <c r="M72" i="1"/>
  <c r="C72" i="1"/>
  <c r="N72" i="1"/>
  <c r="H72" i="1"/>
  <c r="P72" i="1"/>
  <c r="O72" i="1"/>
  <c r="M73" i="1"/>
  <c r="C73" i="1"/>
  <c r="N73" i="1"/>
  <c r="H73" i="1"/>
  <c r="P73" i="1"/>
  <c r="O73" i="1"/>
  <c r="M74" i="1"/>
  <c r="C74" i="1"/>
  <c r="N74" i="1"/>
  <c r="H74" i="1"/>
  <c r="P74" i="1"/>
  <c r="O74" i="1"/>
  <c r="M75" i="1"/>
  <c r="C75" i="1"/>
  <c r="N75" i="1"/>
  <c r="H75" i="1"/>
  <c r="P75" i="1"/>
  <c r="O75" i="1"/>
  <c r="M76" i="1"/>
  <c r="C76" i="1"/>
  <c r="N76" i="1"/>
  <c r="H76" i="1"/>
  <c r="P76" i="1"/>
  <c r="O76" i="1"/>
  <c r="O77" i="1"/>
  <c r="AI1" i="1"/>
</calcChain>
</file>

<file path=xl/sharedStrings.xml><?xml version="1.0" encoding="utf-8"?>
<sst xmlns="http://schemas.openxmlformats.org/spreadsheetml/2006/main" count="2657" uniqueCount="528">
  <si>
    <t>L25 Monday to Friday Proposed CTT</t>
  </si>
  <si>
    <t>L25</t>
  </si>
  <si>
    <t>Bus 5</t>
  </si>
  <si>
    <t>Bus 2A</t>
  </si>
  <si>
    <t>Bus 8</t>
  </si>
  <si>
    <t>Bus 6</t>
  </si>
  <si>
    <t>Bus 7</t>
  </si>
  <si>
    <t>Bus 3</t>
  </si>
  <si>
    <t>Bus 1</t>
  </si>
  <si>
    <t>Bus 4</t>
  </si>
  <si>
    <t>Bus No.</t>
  </si>
  <si>
    <t>02925005</t>
  </si>
  <si>
    <t>02925002</t>
  </si>
  <si>
    <t>02925008</t>
  </si>
  <si>
    <t>02925006</t>
  </si>
  <si>
    <t>02925007</t>
  </si>
  <si>
    <t>02925003</t>
  </si>
  <si>
    <t>02925001</t>
  </si>
  <si>
    <t>02925004</t>
  </si>
  <si>
    <t>255-06:20g</t>
  </si>
  <si>
    <t>252-05:10g</t>
  </si>
  <si>
    <t>282-07:50g</t>
  </si>
  <si>
    <t>256-06:20g</t>
  </si>
  <si>
    <t>281-07:05g</t>
  </si>
  <si>
    <t>253-05:40g</t>
  </si>
  <si>
    <t>251-04:50g</t>
  </si>
  <si>
    <t>254-05:50g</t>
  </si>
  <si>
    <t>Garage</t>
  </si>
  <si>
    <t>Dun Laoghaire St</t>
  </si>
  <si>
    <t>Dundrum Luas</t>
  </si>
  <si>
    <r>
      <rPr>
        <b/>
        <sz val="12"/>
        <rFont val="Avenir Next LT Pro"/>
      </rPr>
      <t>283-</t>
    </r>
    <r>
      <rPr>
        <b/>
        <sz val="12"/>
        <color rgb="FFFF0000"/>
        <rFont val="Avenir Next LT Pro"/>
      </rPr>
      <t>08:00</t>
    </r>
  </si>
  <si>
    <r>
      <rPr>
        <b/>
        <sz val="12"/>
        <rFont val="Avenir Next LT Pro"/>
      </rPr>
      <t>284-</t>
    </r>
    <r>
      <rPr>
        <b/>
        <sz val="12"/>
        <color rgb="FFFF0000"/>
        <rFont val="Avenir Next LT Pro"/>
      </rPr>
      <t>08:45</t>
    </r>
  </si>
  <si>
    <r>
      <rPr>
        <b/>
        <sz val="12"/>
        <rFont val="Avenir Next LT Pro"/>
      </rPr>
      <t>253-</t>
    </r>
    <r>
      <rPr>
        <b/>
        <sz val="12"/>
        <color rgb="FFFF0000"/>
        <rFont val="Avenir Next LT Pro"/>
      </rPr>
      <t>09:00</t>
    </r>
  </si>
  <si>
    <r>
      <rPr>
        <b/>
        <sz val="12"/>
        <rFont val="Avenir Next LT Pro"/>
      </rPr>
      <t>255-</t>
    </r>
    <r>
      <rPr>
        <b/>
        <sz val="12"/>
        <color rgb="FFFF0000"/>
        <rFont val="Avenir Next LT Pro"/>
      </rPr>
      <t>09:45</t>
    </r>
  </si>
  <si>
    <r>
      <rPr>
        <b/>
        <sz val="12"/>
        <rFont val="Avenir Next LT Pro"/>
      </rPr>
      <t>252-</t>
    </r>
    <r>
      <rPr>
        <b/>
        <sz val="12"/>
        <color rgb="FFFF0000"/>
        <rFont val="Avenir Next LT Pro"/>
      </rPr>
      <t>10:15</t>
    </r>
  </si>
  <si>
    <t>10:15X</t>
  </si>
  <si>
    <t>10:45g</t>
  </si>
  <si>
    <t>Bus 8B</t>
  </si>
  <si>
    <r>
      <rPr>
        <b/>
        <sz val="12"/>
        <rFont val="Avenir Next LT Pro"/>
      </rPr>
      <t>281-</t>
    </r>
    <r>
      <rPr>
        <b/>
        <sz val="12"/>
        <color rgb="FFFF0000"/>
        <rFont val="Avenir Next LT Pro"/>
      </rPr>
      <t>11:00</t>
    </r>
  </si>
  <si>
    <t>02925009</t>
  </si>
  <si>
    <t>282-12:05g</t>
  </si>
  <si>
    <r>
      <rPr>
        <b/>
        <sz val="12"/>
        <rFont val="Avenir Next LT Pro"/>
      </rPr>
      <t>256-</t>
    </r>
    <r>
      <rPr>
        <b/>
        <sz val="12"/>
        <color rgb="FFFF0000"/>
        <rFont val="Avenir Next LT Pro"/>
      </rPr>
      <t>12:00</t>
    </r>
  </si>
  <si>
    <r>
      <rPr>
        <b/>
        <sz val="12"/>
        <rFont val="Avenir Next LT Pro"/>
      </rPr>
      <t>257-</t>
    </r>
    <r>
      <rPr>
        <b/>
        <sz val="12"/>
        <color rgb="FFFF0000"/>
        <rFont val="Avenir Next LT Pro"/>
      </rPr>
      <t>12:15</t>
    </r>
  </si>
  <si>
    <r>
      <rPr>
        <b/>
        <sz val="12"/>
        <rFont val="Avenir Next LT Pro"/>
      </rPr>
      <t>258-</t>
    </r>
    <r>
      <rPr>
        <b/>
        <sz val="12"/>
        <color rgb="FFFF0000"/>
        <rFont val="Avenir Next LT Pro"/>
      </rPr>
      <t>13:00</t>
    </r>
  </si>
  <si>
    <r>
      <rPr>
        <b/>
        <sz val="12"/>
        <rFont val="Avenir Next LT Pro"/>
      </rPr>
      <t>259-</t>
    </r>
    <r>
      <rPr>
        <b/>
        <sz val="12"/>
        <color rgb="FFFF0000"/>
        <rFont val="Avenir Next LT Pro"/>
      </rPr>
      <t>13:30</t>
    </r>
  </si>
  <si>
    <t>Bus 4B</t>
  </si>
  <si>
    <t>02925010</t>
  </si>
  <si>
    <t>260-14:35g</t>
  </si>
  <si>
    <r>
      <rPr>
        <b/>
        <sz val="12"/>
        <rFont val="Avenir Next LT Pro"/>
      </rPr>
      <t>283-</t>
    </r>
    <r>
      <rPr>
        <b/>
        <sz val="12"/>
        <color rgb="FFFF0000"/>
        <rFont val="Avenir Next LT Pro"/>
      </rPr>
      <t>14:30</t>
    </r>
  </si>
  <si>
    <r>
      <rPr>
        <b/>
        <sz val="12"/>
        <rFont val="Avenir Next LT Pro"/>
      </rPr>
      <t>261-</t>
    </r>
    <r>
      <rPr>
        <b/>
        <sz val="12"/>
        <color rgb="FFFF0000"/>
        <rFont val="Avenir Next LT Pro"/>
      </rPr>
      <t>14:45</t>
    </r>
  </si>
  <si>
    <r>
      <rPr>
        <b/>
        <sz val="12"/>
        <rFont val="Avenir Next LT Pro"/>
      </rPr>
      <t>262-</t>
    </r>
    <r>
      <rPr>
        <b/>
        <sz val="12"/>
        <color rgb="FFFF0000"/>
        <rFont val="Avenir Next LT Pro"/>
      </rPr>
      <t>15:30</t>
    </r>
  </si>
  <si>
    <r>
      <rPr>
        <b/>
        <sz val="12"/>
        <rFont val="Avenir Next LT Pro"/>
      </rPr>
      <t>263-</t>
    </r>
    <r>
      <rPr>
        <b/>
        <sz val="12"/>
        <color rgb="FFFF0000"/>
        <rFont val="Avenir Next LT Pro"/>
      </rPr>
      <t>15:45</t>
    </r>
  </si>
  <si>
    <r>
      <rPr>
        <b/>
        <sz val="12"/>
        <rFont val="Avenir Next LT Pro"/>
      </rPr>
      <t>258-</t>
    </r>
    <r>
      <rPr>
        <b/>
        <sz val="12"/>
        <color rgb="FFFF0000"/>
        <rFont val="Avenir Next LT Pro"/>
      </rPr>
      <t>16:00</t>
    </r>
  </si>
  <si>
    <r>
      <rPr>
        <b/>
        <sz val="12"/>
        <rFont val="Avenir Next LT Pro"/>
      </rPr>
      <t>264-</t>
    </r>
    <r>
      <rPr>
        <b/>
        <sz val="12"/>
        <color rgb="FFFF0000"/>
        <rFont val="Avenir Next LT Pro"/>
      </rPr>
      <t>16:15</t>
    </r>
  </si>
  <si>
    <r>
      <rPr>
        <b/>
        <sz val="12"/>
        <rFont val="Avenir Next LT Pro"/>
      </rPr>
      <t>284-</t>
    </r>
    <r>
      <rPr>
        <b/>
        <sz val="12"/>
        <color rgb="FFFF0000"/>
        <rFont val="Avenir Next LT Pro"/>
      </rPr>
      <t>16:30</t>
    </r>
  </si>
  <si>
    <r>
      <rPr>
        <b/>
        <sz val="12"/>
        <rFont val="Avenir Next LT Pro"/>
      </rPr>
      <t>257-</t>
    </r>
    <r>
      <rPr>
        <b/>
        <sz val="12"/>
        <color rgb="FFFF0000"/>
        <rFont val="Avenir Next LT Pro"/>
      </rPr>
      <t>17:00</t>
    </r>
  </si>
  <si>
    <r>
      <rPr>
        <b/>
        <sz val="12"/>
        <rFont val="Avenir Next LT Pro"/>
      </rPr>
      <t>265-</t>
    </r>
    <r>
      <rPr>
        <b/>
        <sz val="12"/>
        <color rgb="FFFF0000"/>
        <rFont val="Avenir Next LT Pro"/>
      </rPr>
      <t>17:15</t>
    </r>
  </si>
  <si>
    <r>
      <rPr>
        <b/>
        <sz val="12"/>
        <rFont val="Avenir Next LT Pro"/>
      </rPr>
      <t>259-</t>
    </r>
    <r>
      <rPr>
        <b/>
        <sz val="12"/>
        <color rgb="FFFF0000"/>
        <rFont val="Avenir Next LT Pro"/>
      </rPr>
      <t>17:30</t>
    </r>
  </si>
  <si>
    <r>
      <rPr>
        <b/>
        <sz val="12"/>
        <rFont val="Avenir Next LT Pro"/>
      </rPr>
      <t>262</t>
    </r>
    <r>
      <rPr>
        <b/>
        <sz val="12"/>
        <color rgb="FFFF0000"/>
        <rFont val="Avenir Next LT Pro"/>
      </rPr>
      <t>-18:45</t>
    </r>
  </si>
  <si>
    <t>19:10x</t>
  </si>
  <si>
    <t>19:45g</t>
  </si>
  <si>
    <t>19:50g</t>
  </si>
  <si>
    <t>Bus 4C</t>
  </si>
  <si>
    <r>
      <rPr>
        <b/>
        <sz val="12"/>
        <rFont val="Avenir Next LT Pro"/>
      </rPr>
      <t>260-</t>
    </r>
    <r>
      <rPr>
        <b/>
        <sz val="12"/>
        <color rgb="FFFF0000"/>
        <rFont val="Avenir Next LT Pro"/>
      </rPr>
      <t>19:30</t>
    </r>
  </si>
  <si>
    <r>
      <rPr>
        <b/>
        <sz val="12"/>
        <rFont val="Avenir Next LT Pro"/>
      </rPr>
      <t>261-</t>
    </r>
    <r>
      <rPr>
        <b/>
        <sz val="12"/>
        <color rgb="FFFF0000"/>
        <rFont val="Avenir Next LT Pro"/>
      </rPr>
      <t>20:00</t>
    </r>
  </si>
  <si>
    <t>02925011</t>
  </si>
  <si>
    <r>
      <rPr>
        <b/>
        <sz val="12"/>
        <rFont val="Avenir Next LT Pro"/>
      </rPr>
      <t>263-</t>
    </r>
    <r>
      <rPr>
        <b/>
        <sz val="12"/>
        <color rgb="FFFF0000"/>
        <rFont val="Avenir Next LT Pro"/>
      </rPr>
      <t>20:45</t>
    </r>
  </si>
  <si>
    <t>265-20:50g</t>
  </si>
  <si>
    <t>21:15x</t>
  </si>
  <si>
    <t>21:35g</t>
  </si>
  <si>
    <r>
      <rPr>
        <b/>
        <sz val="12"/>
        <rFont val="Avenir Next LT Pro"/>
      </rPr>
      <t>264-</t>
    </r>
    <r>
      <rPr>
        <b/>
        <sz val="12"/>
        <color rgb="FFFF0000"/>
        <rFont val="Avenir Next LT Pro"/>
      </rPr>
      <t>21:15</t>
    </r>
  </si>
  <si>
    <t>23:05x</t>
  </si>
  <si>
    <t>23:35x</t>
  </si>
  <si>
    <t>24:05x</t>
  </si>
  <si>
    <t>23:25g</t>
  </si>
  <si>
    <t>24:35g</t>
  </si>
  <si>
    <t>23:55g</t>
  </si>
  <si>
    <t>24:20g</t>
  </si>
  <si>
    <t>24:05g</t>
  </si>
  <si>
    <t xml:space="preserve">                               L25 Monday to Friday Proposed Duty List </t>
  </si>
  <si>
    <t>Start</t>
  </si>
  <si>
    <t>Break</t>
  </si>
  <si>
    <t>Finish</t>
  </si>
  <si>
    <t>Roster No.</t>
  </si>
  <si>
    <t>Duty No.</t>
  </si>
  <si>
    <t>Report</t>
  </si>
  <si>
    <t>Depart</t>
  </si>
  <si>
    <t>Sign Off</t>
  </si>
  <si>
    <t>Spread</t>
  </si>
  <si>
    <t>Work</t>
  </si>
  <si>
    <t>Relief</t>
  </si>
  <si>
    <t>B-ROTA</t>
  </si>
  <si>
    <t>Workout</t>
  </si>
  <si>
    <t>Dun Laogh St</t>
  </si>
  <si>
    <t>Avg</t>
  </si>
  <si>
    <t>1X</t>
  </si>
  <si>
    <t>2X</t>
  </si>
  <si>
    <t>3X</t>
  </si>
  <si>
    <t>4X</t>
  </si>
  <si>
    <t>L25 Saturday Proposed CTT May 2022</t>
  </si>
  <si>
    <t>Bus 2</t>
  </si>
  <si>
    <t>Bus 3a</t>
  </si>
  <si>
    <t>252-05:35g</t>
  </si>
  <si>
    <t>254-06:00g</t>
  </si>
  <si>
    <t>251-05:25g</t>
  </si>
  <si>
    <t>255-07:55g</t>
  </si>
  <si>
    <t>08:40g</t>
  </si>
  <si>
    <t>Bus 7a</t>
  </si>
  <si>
    <t>282-08:50g</t>
  </si>
  <si>
    <t>Bus 6a</t>
  </si>
  <si>
    <t>281-08:35g</t>
  </si>
  <si>
    <r>
      <rPr>
        <b/>
        <sz val="12"/>
        <rFont val="Avenir Next LT Pro"/>
      </rPr>
      <t>283-</t>
    </r>
    <r>
      <rPr>
        <b/>
        <sz val="12"/>
        <color rgb="FFFF0000"/>
        <rFont val="Avenir Next LT Pro"/>
      </rPr>
      <t>09:30</t>
    </r>
  </si>
  <si>
    <t>Bus 8a</t>
  </si>
  <si>
    <r>
      <rPr>
        <b/>
        <sz val="12"/>
        <rFont val="Avenir Next LT Pro"/>
      </rPr>
      <t>284-</t>
    </r>
    <r>
      <rPr>
        <b/>
        <sz val="12"/>
        <color rgb="FFFF0000"/>
        <rFont val="Avenir Next LT Pro"/>
      </rPr>
      <t>10:15</t>
    </r>
  </si>
  <si>
    <t>253-10:20g</t>
  </si>
  <si>
    <t>10:40x</t>
  </si>
  <si>
    <t>Bus 3b</t>
  </si>
  <si>
    <t>11:00g</t>
  </si>
  <si>
    <t>256-11:40g</t>
  </si>
  <si>
    <r>
      <rPr>
        <b/>
        <sz val="12"/>
        <rFont val="Avenir Next LT Pro"/>
      </rPr>
      <t>252-</t>
    </r>
    <r>
      <rPr>
        <b/>
        <sz val="12"/>
        <color rgb="FFFF0000"/>
        <rFont val="Avenir Next LT Pro"/>
      </rPr>
      <t>10:45</t>
    </r>
  </si>
  <si>
    <r>
      <rPr>
        <b/>
        <sz val="12"/>
        <rFont val="Avenir Next LT Pro"/>
      </rPr>
      <t>251-</t>
    </r>
    <r>
      <rPr>
        <b/>
        <sz val="12"/>
        <color rgb="FFFF0000"/>
        <rFont val="Avenir Next LT Pro"/>
      </rPr>
      <t>11:15</t>
    </r>
  </si>
  <si>
    <t>Bus 7b</t>
  </si>
  <si>
    <r>
      <rPr>
        <b/>
        <sz val="12"/>
        <rFont val="Avenir Next LT Pro"/>
      </rPr>
      <t>257-</t>
    </r>
    <r>
      <rPr>
        <b/>
        <sz val="12"/>
        <color rgb="FFFF0000"/>
        <rFont val="Avenir Next LT Pro"/>
      </rPr>
      <t>12:00</t>
    </r>
  </si>
  <si>
    <r>
      <rPr>
        <b/>
        <sz val="12"/>
        <rFont val="Avenir Next LT Pro"/>
      </rPr>
      <t>281-</t>
    </r>
    <r>
      <rPr>
        <b/>
        <sz val="12"/>
        <color rgb="FFFF0000"/>
        <rFont val="Avenir Next LT Pro"/>
      </rPr>
      <t>12:30</t>
    </r>
  </si>
  <si>
    <r>
      <rPr>
        <b/>
        <sz val="12"/>
        <rFont val="Avenir Next LT Pro"/>
      </rPr>
      <t>255-</t>
    </r>
    <r>
      <rPr>
        <b/>
        <sz val="12"/>
        <color rgb="FFFF0000"/>
        <rFont val="Avenir Next LT Pro"/>
      </rPr>
      <t>13:00</t>
    </r>
  </si>
  <si>
    <r>
      <rPr>
        <b/>
        <sz val="12"/>
        <rFont val="Avenir Next LT Pro"/>
      </rPr>
      <t>258-</t>
    </r>
    <r>
      <rPr>
        <b/>
        <sz val="12"/>
        <color rgb="FFFF0000"/>
        <rFont val="Avenir Next LT Pro"/>
      </rPr>
      <t>13:15</t>
    </r>
  </si>
  <si>
    <r>
      <rPr>
        <b/>
        <sz val="12"/>
        <rFont val="Avenir Next LT Pro"/>
      </rPr>
      <t>259-</t>
    </r>
    <r>
      <rPr>
        <b/>
        <sz val="12"/>
        <color rgb="FFFF0000"/>
        <rFont val="Avenir Next LT Pro"/>
      </rPr>
      <t>14:45</t>
    </r>
  </si>
  <si>
    <t>15:10x</t>
  </si>
  <si>
    <r>
      <rPr>
        <b/>
        <sz val="12"/>
        <rFont val="Avenir Next LT Pro"/>
      </rPr>
      <t>260-</t>
    </r>
    <r>
      <rPr>
        <b/>
        <sz val="12"/>
        <color rgb="FFFF0000"/>
        <rFont val="Avenir Next LT Pro"/>
      </rPr>
      <t>15:30</t>
    </r>
  </si>
  <si>
    <r>
      <rPr>
        <b/>
        <sz val="12"/>
        <rFont val="Avenir Next LT Pro"/>
      </rPr>
      <t>261-</t>
    </r>
    <r>
      <rPr>
        <b/>
        <sz val="12"/>
        <color rgb="FFFF0000"/>
        <rFont val="Avenir Next LT Pro"/>
      </rPr>
      <t>15:45</t>
    </r>
  </si>
  <si>
    <r>
      <rPr>
        <b/>
        <sz val="12"/>
        <rFont val="Avenir Next LT Pro"/>
      </rPr>
      <t>262-</t>
    </r>
    <r>
      <rPr>
        <b/>
        <sz val="12"/>
        <color rgb="FFFF0000"/>
        <rFont val="Avenir Next LT Pro"/>
      </rPr>
      <t>16:00</t>
    </r>
  </si>
  <si>
    <t>15:45g</t>
  </si>
  <si>
    <t>Bus 8b</t>
  </si>
  <si>
    <r>
      <rPr>
        <b/>
        <sz val="12"/>
        <rFont val="Avenir Next LT Pro"/>
      </rPr>
      <t>257-</t>
    </r>
    <r>
      <rPr>
        <b/>
        <sz val="12"/>
        <color rgb="FFFF0000"/>
        <rFont val="Avenir Next LT Pro"/>
      </rPr>
      <t>16:45</t>
    </r>
  </si>
  <si>
    <r>
      <rPr>
        <b/>
        <sz val="12"/>
        <rFont val="Avenir Next LT Pro"/>
      </rPr>
      <t>283-</t>
    </r>
    <r>
      <rPr>
        <b/>
        <sz val="12"/>
        <color rgb="FFFF0000"/>
        <rFont val="Avenir Next LT Pro"/>
      </rPr>
      <t>17:00</t>
    </r>
  </si>
  <si>
    <r>
      <rPr>
        <b/>
        <sz val="12"/>
        <rFont val="Avenir Next LT Pro"/>
      </rPr>
      <t>256-</t>
    </r>
    <r>
      <rPr>
        <b/>
        <sz val="12"/>
        <color rgb="FFFF0000"/>
        <rFont val="Avenir Next LT Pro"/>
      </rPr>
      <t>17:45</t>
    </r>
  </si>
  <si>
    <t>258-16:55g</t>
  </si>
  <si>
    <t>17:15x</t>
  </si>
  <si>
    <r>
      <rPr>
        <b/>
        <sz val="12"/>
        <rFont val="Avenir Next LT Pro"/>
      </rPr>
      <t>259-</t>
    </r>
    <r>
      <rPr>
        <b/>
        <sz val="12"/>
        <color rgb="FFFF0000"/>
        <rFont val="Avenir Next LT Pro"/>
      </rPr>
      <t>18:45</t>
    </r>
  </si>
  <si>
    <r>
      <rPr>
        <b/>
        <sz val="12"/>
        <rFont val="Avenir Next LT Pro"/>
      </rPr>
      <t>262-</t>
    </r>
    <r>
      <rPr>
        <b/>
        <sz val="12"/>
        <color rgb="FFFF0000"/>
        <rFont val="Avenir Next LT Pro"/>
      </rPr>
      <t>19:20</t>
    </r>
  </si>
  <si>
    <t>19:30x</t>
  </si>
  <si>
    <t>20:05g</t>
  </si>
  <si>
    <t>19:05x</t>
  </si>
  <si>
    <t>19:45x</t>
  </si>
  <si>
    <t>19:30g</t>
  </si>
  <si>
    <t>02925012</t>
  </si>
  <si>
    <t>Bus 6b</t>
  </si>
  <si>
    <r>
      <rPr>
        <b/>
        <sz val="12"/>
        <rFont val="Avenir Next LT Pro"/>
      </rPr>
      <t>261-</t>
    </r>
    <r>
      <rPr>
        <b/>
        <sz val="12"/>
        <color rgb="FFFF0000"/>
        <rFont val="Avenir Next LT Pro"/>
      </rPr>
      <t>21:20</t>
    </r>
  </si>
  <si>
    <t>260-21:20g</t>
  </si>
  <si>
    <t>24:25g</t>
  </si>
  <si>
    <t xml:space="preserve">                               L25 Sat Proposed Duty List </t>
  </si>
  <si>
    <t>L25 Sunday Proposed CTT Jul 2023 V1</t>
  </si>
  <si>
    <t>251-06:55g</t>
  </si>
  <si>
    <t>253-7:25g</t>
  </si>
  <si>
    <t>252-07:15g</t>
  </si>
  <si>
    <r>
      <rPr>
        <b/>
        <sz val="12"/>
        <rFont val="Avenir Next LT Pro"/>
      </rPr>
      <t>281-</t>
    </r>
    <r>
      <rPr>
        <b/>
        <sz val="12"/>
        <color rgb="FFFF0000"/>
        <rFont val="Avenir Next LT Pro"/>
      </rPr>
      <t>09:30</t>
    </r>
  </si>
  <si>
    <t>282-09:35g</t>
  </si>
  <si>
    <t>283-10:00g</t>
  </si>
  <si>
    <r>
      <rPr>
        <b/>
        <sz val="12"/>
        <rFont val="Avenir Next LT Pro"/>
      </rPr>
      <t>253-</t>
    </r>
    <r>
      <rPr>
        <b/>
        <sz val="12"/>
        <color rgb="FFFF0000"/>
        <rFont val="Avenir Next LT Pro"/>
      </rPr>
      <t>11:40</t>
    </r>
  </si>
  <si>
    <t>254-12:00g</t>
  </si>
  <si>
    <r>
      <rPr>
        <b/>
        <sz val="12"/>
        <rFont val="Avenir Next LT Pro"/>
      </rPr>
      <t>255</t>
    </r>
    <r>
      <rPr>
        <b/>
        <sz val="12"/>
        <color rgb="FFFF0000"/>
        <rFont val="Avenir Next LT Pro"/>
      </rPr>
      <t>-12:00</t>
    </r>
  </si>
  <si>
    <r>
      <rPr>
        <b/>
        <sz val="12"/>
        <rFont val="Avenir Next LT Pro"/>
      </rPr>
      <t>256-</t>
    </r>
    <r>
      <rPr>
        <b/>
        <sz val="12"/>
        <color rgb="FFFF0000"/>
        <rFont val="Avenir Next LT Pro"/>
      </rPr>
      <t>13:00</t>
    </r>
  </si>
  <si>
    <r>
      <rPr>
        <b/>
        <sz val="12"/>
        <rFont val="Avenir Next LT Pro"/>
      </rPr>
      <t>281-</t>
    </r>
    <r>
      <rPr>
        <b/>
        <sz val="12"/>
        <color rgb="FFFF0000"/>
        <rFont val="Avenir Next LT Pro"/>
      </rPr>
      <t>14:20</t>
    </r>
  </si>
  <si>
    <r>
      <rPr>
        <b/>
        <sz val="12"/>
        <rFont val="Avenir Next LT Pro"/>
      </rPr>
      <t>257-</t>
    </r>
    <r>
      <rPr>
        <b/>
        <sz val="12"/>
        <color rgb="FFFF0000"/>
        <rFont val="Avenir Next LT Pro"/>
      </rPr>
      <t>14:40</t>
    </r>
  </si>
  <si>
    <r>
      <rPr>
        <b/>
        <sz val="12"/>
        <rFont val="Avenir Next LT Pro"/>
      </rPr>
      <t>283-</t>
    </r>
    <r>
      <rPr>
        <b/>
        <sz val="12"/>
        <color rgb="FFFF0000"/>
        <rFont val="Avenir Next LT Pro"/>
      </rPr>
      <t>15:20</t>
    </r>
  </si>
  <si>
    <r>
      <rPr>
        <b/>
        <sz val="12"/>
        <rFont val="Avenir Next LT Pro"/>
      </rPr>
      <t>258-</t>
    </r>
    <r>
      <rPr>
        <b/>
        <sz val="12"/>
        <color rgb="FFFF0000"/>
        <rFont val="Avenir Next LT Pro"/>
      </rPr>
      <t>15:40</t>
    </r>
  </si>
  <si>
    <r>
      <rPr>
        <b/>
        <sz val="12"/>
        <rFont val="Avenir Next LT Pro"/>
      </rPr>
      <t>282-</t>
    </r>
    <r>
      <rPr>
        <b/>
        <sz val="12"/>
        <color rgb="FFFF0000"/>
        <rFont val="Avenir Next LT Pro"/>
      </rPr>
      <t>16:00</t>
    </r>
  </si>
  <si>
    <r>
      <rPr>
        <b/>
        <sz val="12"/>
        <rFont val="Avenir Next LT Pro"/>
      </rPr>
      <t>259-</t>
    </r>
    <r>
      <rPr>
        <b/>
        <sz val="12"/>
        <color rgb="FFFF0000"/>
        <rFont val="Avenir Next LT Pro"/>
      </rPr>
      <t>16:20</t>
    </r>
  </si>
  <si>
    <r>
      <rPr>
        <b/>
        <sz val="12"/>
        <rFont val="Avenir Next LT Pro"/>
      </rPr>
      <t>255-</t>
    </r>
    <r>
      <rPr>
        <b/>
        <sz val="12"/>
        <color rgb="FFFF0000"/>
        <rFont val="Avenir Next LT Pro"/>
      </rPr>
      <t>17:00</t>
    </r>
  </si>
  <si>
    <r>
      <rPr>
        <b/>
        <sz val="12"/>
        <rFont val="Avenir Next LT Pro"/>
      </rPr>
      <t>254-</t>
    </r>
    <r>
      <rPr>
        <b/>
        <sz val="12"/>
        <color rgb="FFFF0000"/>
        <rFont val="Avenir Next LT Pro"/>
      </rPr>
      <t>17:40</t>
    </r>
  </si>
  <si>
    <t>18:35g</t>
  </si>
  <si>
    <r>
      <rPr>
        <b/>
        <sz val="12"/>
        <rFont val="Avenir Next LT Pro"/>
      </rPr>
      <t>256-</t>
    </r>
    <r>
      <rPr>
        <b/>
        <sz val="12"/>
        <color rgb="FFFF0000"/>
        <rFont val="Avenir Next LT Pro"/>
      </rPr>
      <t>18:20</t>
    </r>
  </si>
  <si>
    <t>18:25g</t>
  </si>
  <si>
    <r>
      <rPr>
        <b/>
        <sz val="12"/>
        <rFont val="Avenir Next LT Pro"/>
      </rPr>
      <t>258-</t>
    </r>
    <r>
      <rPr>
        <b/>
        <sz val="12"/>
        <color rgb="FFFF0000"/>
        <rFont val="Avenir Next LT Pro"/>
      </rPr>
      <t>19:30</t>
    </r>
  </si>
  <si>
    <r>
      <rPr>
        <b/>
        <sz val="12"/>
        <rFont val="Avenir Next LT Pro"/>
      </rPr>
      <t>257-</t>
    </r>
    <r>
      <rPr>
        <b/>
        <sz val="12"/>
        <color rgb="FFFF0000"/>
        <rFont val="Avenir Next LT Pro"/>
      </rPr>
      <t>20:30</t>
    </r>
  </si>
  <si>
    <r>
      <rPr>
        <b/>
        <sz val="12"/>
        <rFont val="Avenir Next LT Pro"/>
      </rPr>
      <t>259-</t>
    </r>
    <r>
      <rPr>
        <b/>
        <sz val="12"/>
        <color rgb="FFFF0000"/>
        <rFont val="Avenir Next LT Pro"/>
      </rPr>
      <t>21:30</t>
    </r>
  </si>
  <si>
    <t>24:30g</t>
  </si>
  <si>
    <t xml:space="preserve">                               L25 Sun Proposed Duty List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</si>
  <si>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</si>
  <si>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1x</t>
  </si>
  <si>
    <t>2x</t>
  </si>
  <si>
    <t>3x</t>
  </si>
  <si>
    <t>Version 1</t>
  </si>
  <si>
    <t>Bus 4a</t>
  </si>
  <si>
    <t>256-06:30g</t>
  </si>
  <si>
    <r>
      <rPr>
        <b/>
        <sz val="12"/>
        <rFont val="Avenir Next LT Pro"/>
      </rPr>
      <t>284-</t>
    </r>
    <r>
      <rPr>
        <b/>
        <sz val="12"/>
        <color rgb="FFFF0000"/>
        <rFont val="Avenir Next LT Pro"/>
      </rPr>
      <t>09:45</t>
    </r>
  </si>
  <si>
    <t>10:15x</t>
  </si>
  <si>
    <t>257-12:05g</t>
  </si>
  <si>
    <r>
      <rPr>
        <b/>
        <sz val="12"/>
        <rFont val="Avenir Next LT Pro"/>
      </rPr>
      <t>255-</t>
    </r>
    <r>
      <rPr>
        <b/>
        <sz val="12"/>
        <color rgb="FFFF0000"/>
        <rFont val="Avenir Next LT Pro"/>
      </rPr>
      <t>12:00</t>
    </r>
  </si>
  <si>
    <t>Bus 2B</t>
  </si>
  <si>
    <r>
      <rPr>
        <b/>
        <sz val="12"/>
        <rFont val="Avenir Next LT Pro"/>
      </rPr>
      <t>262-</t>
    </r>
    <r>
      <rPr>
        <b/>
        <sz val="12"/>
        <color rgb="FFFF0000"/>
        <rFont val="Avenir Next LT Pro"/>
      </rPr>
      <t>15:00</t>
    </r>
  </si>
  <si>
    <r>
      <rPr>
        <b/>
        <sz val="12"/>
        <rFont val="Avenir Next LT Pro"/>
      </rPr>
      <t>263-</t>
    </r>
    <r>
      <rPr>
        <b/>
        <sz val="12"/>
        <color rgb="FFFF0000"/>
        <rFont val="Avenir Next LT Pro"/>
      </rPr>
      <t>15:30</t>
    </r>
  </si>
  <si>
    <r>
      <rPr>
        <b/>
        <sz val="12"/>
        <rFont val="Avenir Next LT Pro"/>
      </rPr>
      <t>264-</t>
    </r>
    <r>
      <rPr>
        <b/>
        <sz val="12"/>
        <color rgb="FFFF0000"/>
        <rFont val="Avenir Next LT Pro"/>
      </rPr>
      <t>15:45</t>
    </r>
  </si>
  <si>
    <r>
      <rPr>
        <b/>
        <sz val="12"/>
        <rFont val="Avenir Next LT Pro"/>
      </rPr>
      <t>265-</t>
    </r>
    <r>
      <rPr>
        <b/>
        <sz val="12"/>
        <color rgb="FFFF0000"/>
        <rFont val="Avenir Next LT Pro"/>
      </rPr>
      <t>16:15</t>
    </r>
  </si>
  <si>
    <r>
      <rPr>
        <b/>
        <sz val="12"/>
        <rFont val="Avenir Next LT Pro"/>
      </rPr>
      <t>259-</t>
    </r>
    <r>
      <rPr>
        <b/>
        <sz val="12"/>
        <color rgb="FFFF0000"/>
        <rFont val="Avenir Next LT Pro"/>
      </rPr>
      <t>17:00</t>
    </r>
  </si>
  <si>
    <r>
      <rPr>
        <b/>
        <sz val="12"/>
        <rFont val="Avenir Next LT Pro"/>
      </rPr>
      <t>257-</t>
    </r>
    <r>
      <rPr>
        <b/>
        <sz val="12"/>
        <color rgb="FFFF0000"/>
        <rFont val="Avenir Next LT Pro"/>
      </rPr>
      <t>17:30</t>
    </r>
  </si>
  <si>
    <r>
      <rPr>
        <b/>
        <sz val="12"/>
        <rFont val="Avenir Next LT Pro"/>
      </rPr>
      <t>262-</t>
    </r>
    <r>
      <rPr>
        <b/>
        <sz val="12"/>
        <color rgb="FFFF0000"/>
        <rFont val="Avenir Next LT Pro"/>
      </rPr>
      <t>18:45</t>
    </r>
  </si>
  <si>
    <t>19:25x</t>
  </si>
  <si>
    <t>Bus 2C</t>
  </si>
  <si>
    <r>
      <rPr>
        <b/>
        <sz val="12"/>
        <rFont val="Avenir Next LT Pro"/>
      </rPr>
      <t>263-</t>
    </r>
    <r>
      <rPr>
        <b/>
        <sz val="12"/>
        <color rgb="FFFF0000"/>
        <rFont val="Avenir Next LT Pro"/>
      </rPr>
      <t>19:30</t>
    </r>
  </si>
  <si>
    <r>
      <rPr>
        <b/>
        <sz val="12"/>
        <rFont val="Avenir Next LT Pro"/>
      </rPr>
      <t>264-</t>
    </r>
    <r>
      <rPr>
        <b/>
        <sz val="12"/>
        <color rgb="FFFF0000"/>
        <rFont val="Avenir Next LT Pro"/>
      </rPr>
      <t>20:45</t>
    </r>
  </si>
  <si>
    <t>260-20:50g</t>
  </si>
  <si>
    <r>
      <rPr>
        <b/>
        <sz val="12"/>
        <rFont val="Avenir Next LT Pro"/>
      </rPr>
      <t>265-</t>
    </r>
    <r>
      <rPr>
        <b/>
        <sz val="12"/>
        <color rgb="FFFF0000"/>
        <rFont val="Avenir Next LT Pro"/>
      </rPr>
      <t>21:15</t>
    </r>
  </si>
  <si>
    <t>23:30g</t>
  </si>
  <si>
    <t>24:40g</t>
  </si>
  <si>
    <t>24:00g</t>
  </si>
  <si>
    <t>23:40g</t>
  </si>
  <si>
    <t>24:10g</t>
  </si>
  <si>
    <t xml:space="preserve">L25 Saturday Proposed CTT </t>
  </si>
  <si>
    <t>17:35g</t>
  </si>
  <si>
    <t>21:40x</t>
  </si>
  <si>
    <t>22:00g</t>
  </si>
  <si>
    <t>L25 Sunday Proposed CTT</t>
  </si>
  <si>
    <t xml:space="preserve">L25 Sunday Proposed CTT </t>
  </si>
  <si>
    <t> </t>
  </si>
  <si>
    <t>Bus 2a</t>
  </si>
  <si>
    <t>253-7:30g</t>
  </si>
  <si>
    <t>281-09:35g</t>
  </si>
  <si>
    <t>282-09:50g</t>
  </si>
  <si>
    <r>
      <t>254-</t>
    </r>
    <r>
      <rPr>
        <b/>
        <sz val="12"/>
        <color rgb="FFFF0000"/>
        <rFont val="Avenir Next LT Pro"/>
      </rPr>
      <t>11:40</t>
    </r>
  </si>
  <si>
    <t>255-12:00g</t>
  </si>
  <si>
    <r>
      <t>256</t>
    </r>
    <r>
      <rPr>
        <b/>
        <sz val="12"/>
        <color rgb="FFFF0000"/>
        <rFont val="Avenir Next LT Pro"/>
      </rPr>
      <t>-12:00</t>
    </r>
  </si>
  <si>
    <r>
      <t>257-</t>
    </r>
    <r>
      <rPr>
        <b/>
        <sz val="12"/>
        <color rgb="FFFF0000"/>
        <rFont val="Avenir Next LT Pro"/>
      </rPr>
      <t>12:20</t>
    </r>
  </si>
  <si>
    <r>
      <t>282-</t>
    </r>
    <r>
      <rPr>
        <b/>
        <sz val="12"/>
        <color rgb="FFFF0000"/>
        <rFont val="Avenir Next LT Pro"/>
      </rPr>
      <t>13:00</t>
    </r>
  </si>
  <si>
    <r>
      <t>258-</t>
    </r>
    <r>
      <rPr>
        <b/>
        <sz val="12"/>
        <color rgb="FFFF0000"/>
        <rFont val="Avenir Next LT Pro"/>
      </rPr>
      <t>14:40</t>
    </r>
  </si>
  <si>
    <r>
      <t>259-</t>
    </r>
    <r>
      <rPr>
        <b/>
        <sz val="12"/>
        <color rgb="FFFF0000"/>
        <rFont val="Avenir Next LT Pro"/>
      </rPr>
      <t>15:40</t>
    </r>
  </si>
  <si>
    <r>
      <t>281-</t>
    </r>
    <r>
      <rPr>
        <b/>
        <sz val="12"/>
        <color rgb="FFFF0000"/>
        <rFont val="Avenir Next LT Pro"/>
      </rPr>
      <t>16:00</t>
    </r>
  </si>
  <si>
    <r>
      <t>260-</t>
    </r>
    <r>
      <rPr>
        <b/>
        <sz val="12"/>
        <color rgb="FFFF0000"/>
        <rFont val="Avenir Next LT Pro"/>
      </rPr>
      <t>16:20</t>
    </r>
  </si>
  <si>
    <r>
      <t>256-</t>
    </r>
    <r>
      <rPr>
        <b/>
        <sz val="12"/>
        <color rgb="FFFF0000"/>
        <rFont val="Avenir Next LT Pro"/>
      </rPr>
      <t>17:00</t>
    </r>
  </si>
  <si>
    <r>
      <t>254-</t>
    </r>
    <r>
      <rPr>
        <b/>
        <sz val="12"/>
        <color rgb="FFFF0000"/>
        <rFont val="Avenir Next LT Pro"/>
      </rPr>
      <t>17:20</t>
    </r>
  </si>
  <si>
    <t>18:20x</t>
  </si>
  <si>
    <t>18:45g</t>
  </si>
  <si>
    <t>17:50x</t>
  </si>
  <si>
    <r>
      <t>257-</t>
    </r>
    <r>
      <rPr>
        <b/>
        <sz val="12"/>
        <color rgb="FFFF0000"/>
        <rFont val="Avenir Next LT Pro"/>
      </rPr>
      <t>18:20</t>
    </r>
  </si>
  <si>
    <t>19:40x</t>
  </si>
  <si>
    <t>259-20:00g</t>
  </si>
  <si>
    <r>
      <t>258-</t>
    </r>
    <r>
      <rPr>
        <b/>
        <sz val="12"/>
        <color rgb="FFFF0000"/>
        <rFont val="Avenir Next LT Pro"/>
      </rPr>
      <t>19:30</t>
    </r>
  </si>
  <si>
    <t>20:25x</t>
  </si>
  <si>
    <t>20:55g</t>
  </si>
  <si>
    <r>
      <t>260-</t>
    </r>
    <r>
      <rPr>
        <b/>
        <sz val="12"/>
        <color rgb="FFFF0000"/>
        <rFont val="Avenir Next LT Pro"/>
      </rPr>
      <t>21:30</t>
    </r>
  </si>
  <si>
    <t>23:45x</t>
  </si>
  <si>
    <t>24:15x</t>
  </si>
  <si>
    <t>24:50g</t>
  </si>
  <si>
    <t>PREVIOUS</t>
  </si>
  <si>
    <t>Proposed</t>
  </si>
  <si>
    <t>Proposed Bus Out Monday - Friday</t>
  </si>
  <si>
    <t>Proposed Bus Out Saturday</t>
  </si>
  <si>
    <t>Proposed Bus Out Sunday</t>
  </si>
  <si>
    <t>Bus Out</t>
  </si>
  <si>
    <t>Time Band</t>
  </si>
  <si>
    <t>M-F</t>
  </si>
  <si>
    <t>Sat</t>
  </si>
  <si>
    <t>Sun</t>
  </si>
  <si>
    <t>04.00-04.30</t>
  </si>
  <si>
    <t>04:30-05:00</t>
  </si>
  <si>
    <t>05.00-05.30</t>
  </si>
  <si>
    <t>05.30-06.00</t>
  </si>
  <si>
    <t>06:00-06:30</t>
  </si>
  <si>
    <t>06.00-06.30</t>
  </si>
  <si>
    <t>06.30-07.00</t>
  </si>
  <si>
    <t>07.00-07.30</t>
  </si>
  <si>
    <t>07.30-08.00</t>
  </si>
  <si>
    <t>08.00-08.30</t>
  </si>
  <si>
    <t>08.30-09.00</t>
  </si>
  <si>
    <t>09.00-09.30</t>
  </si>
  <si>
    <t>09.30-10.00</t>
  </si>
  <si>
    <t>10.00-10.30</t>
  </si>
  <si>
    <t>10.30-11.00</t>
  </si>
  <si>
    <t>11.00-11.30</t>
  </si>
  <si>
    <t>11.30-12.00</t>
  </si>
  <si>
    <t>12.00-12.30</t>
  </si>
  <si>
    <t>12.30-13.00</t>
  </si>
  <si>
    <t>13.00-13.30</t>
  </si>
  <si>
    <t>13.30-14.00</t>
  </si>
  <si>
    <t>14.00-14.30</t>
  </si>
  <si>
    <t>14.30-15.00</t>
  </si>
  <si>
    <t>15.00-15.30</t>
  </si>
  <si>
    <t>15.30-16.00</t>
  </si>
  <si>
    <t>16.00-16.30</t>
  </si>
  <si>
    <t>16.30-17.00</t>
  </si>
  <si>
    <t>17.00-17.30</t>
  </si>
  <si>
    <t>17.30-18.00</t>
  </si>
  <si>
    <t>18.00-18.30</t>
  </si>
  <si>
    <t>18.30-19.00</t>
  </si>
  <si>
    <t>19.00-19.30</t>
  </si>
  <si>
    <t>19.30-20.00</t>
  </si>
  <si>
    <t>20.00-20.30</t>
  </si>
  <si>
    <t>20.30-21.00</t>
  </si>
  <si>
    <t>21.00-21.30</t>
  </si>
  <si>
    <t>21.30-22.00</t>
  </si>
  <si>
    <t>22.00-22.30</t>
  </si>
  <si>
    <t>22.30-23.00</t>
  </si>
  <si>
    <t>23.00-23.30</t>
  </si>
  <si>
    <t>23.30-00.00</t>
  </si>
  <si>
    <t>00.00-00.30</t>
  </si>
  <si>
    <t>00.30-01.00</t>
  </si>
  <si>
    <t>01.00-01.30</t>
  </si>
  <si>
    <t>01.30-02.00</t>
  </si>
  <si>
    <t>02.00-02.30</t>
  </si>
  <si>
    <t>02.30-03.00</t>
  </si>
  <si>
    <t>03.00-03.30</t>
  </si>
  <si>
    <t>03.30-04.00</t>
  </si>
  <si>
    <r>
      <rPr>
        <b/>
        <sz val="12"/>
        <rFont val="Avenir Next LT Pro"/>
      </rPr>
      <t>252-</t>
    </r>
    <r>
      <rPr>
        <b/>
        <sz val="12"/>
        <color rgb="FF0070C0"/>
        <rFont val="Avenir Next LT Pro"/>
        <family val="2"/>
      </rPr>
      <t>10:45</t>
    </r>
  </si>
  <si>
    <r>
      <rPr>
        <b/>
        <sz val="12"/>
        <rFont val="Avenir Next LT Pro"/>
      </rPr>
      <t>281-</t>
    </r>
    <r>
      <rPr>
        <b/>
        <sz val="12"/>
        <color rgb="FF0070C0"/>
        <rFont val="Avenir Next LT Pro"/>
        <family val="2"/>
      </rPr>
      <t>12:30</t>
    </r>
  </si>
  <si>
    <r>
      <rPr>
        <b/>
        <sz val="12"/>
        <rFont val="Avenir Next LT Pro"/>
      </rPr>
      <t>283-</t>
    </r>
    <r>
      <rPr>
        <b/>
        <sz val="12"/>
        <color rgb="FF0070C0"/>
        <rFont val="Avenir Next LT Pro"/>
        <family val="2"/>
      </rPr>
      <t>09:30</t>
    </r>
  </si>
  <si>
    <r>
      <rPr>
        <b/>
        <sz val="12"/>
        <rFont val="Avenir Next LT Pro"/>
      </rPr>
      <t>259-</t>
    </r>
    <r>
      <rPr>
        <b/>
        <sz val="12"/>
        <color rgb="FF0070C0"/>
        <rFont val="Avenir Next LT Pro"/>
        <family val="2"/>
      </rPr>
      <t>14:45</t>
    </r>
  </si>
  <si>
    <r>
      <rPr>
        <b/>
        <sz val="12"/>
        <rFont val="Avenir Next LT Pro"/>
      </rPr>
      <t>283-</t>
    </r>
    <r>
      <rPr>
        <b/>
        <sz val="12"/>
        <color rgb="FF0070C0"/>
        <rFont val="Avenir Next LT Pro"/>
        <family val="2"/>
      </rPr>
      <t>16:30</t>
    </r>
  </si>
  <si>
    <r>
      <rPr>
        <b/>
        <sz val="12"/>
        <rFont val="Avenir Next LT Pro"/>
      </rPr>
      <t>251-</t>
    </r>
    <r>
      <rPr>
        <b/>
        <sz val="12"/>
        <color rgb="FF0070C0"/>
        <rFont val="Avenir Next LT Pro"/>
        <family val="2"/>
      </rPr>
      <t>11:15</t>
    </r>
  </si>
  <si>
    <r>
      <rPr>
        <b/>
        <sz val="12"/>
        <rFont val="Avenir Next LT Pro"/>
      </rPr>
      <t>255-</t>
    </r>
    <r>
      <rPr>
        <b/>
        <sz val="12"/>
        <color rgb="FF0070C0"/>
        <rFont val="Avenir Next LT Pro"/>
        <family val="2"/>
      </rPr>
      <t>13:00</t>
    </r>
  </si>
  <si>
    <r>
      <rPr>
        <b/>
        <sz val="12"/>
        <rFont val="Avenir Next LT Pro"/>
      </rPr>
      <t>257-</t>
    </r>
    <r>
      <rPr>
        <b/>
        <sz val="12"/>
        <color rgb="FF0070C0"/>
        <rFont val="Avenir Next LT Pro"/>
        <family val="2"/>
      </rPr>
      <t>16:45</t>
    </r>
  </si>
  <si>
    <r>
      <rPr>
        <b/>
        <sz val="12"/>
        <rFont val="Avenir Next LT Pro"/>
      </rPr>
      <t>261-</t>
    </r>
    <r>
      <rPr>
        <b/>
        <sz val="12"/>
        <color rgb="FF0070C0"/>
        <rFont val="Avenir Next LT Pro"/>
        <family val="2"/>
      </rPr>
      <t>21:20</t>
    </r>
  </si>
  <si>
    <r>
      <rPr>
        <b/>
        <sz val="12"/>
        <rFont val="Avenir Next LT Pro"/>
      </rPr>
      <t>258-</t>
    </r>
    <r>
      <rPr>
        <b/>
        <sz val="12"/>
        <color rgb="FF0070C0"/>
        <rFont val="Avenir Next LT Pro"/>
        <family val="2"/>
      </rPr>
      <t>13:15</t>
    </r>
  </si>
  <si>
    <r>
      <rPr>
        <b/>
        <sz val="12"/>
        <rFont val="Avenir Next LT Pro"/>
      </rPr>
      <t>284-</t>
    </r>
    <r>
      <rPr>
        <b/>
        <sz val="12"/>
        <color rgb="FF0070C0"/>
        <rFont val="Avenir Next LT Pro"/>
        <family val="2"/>
      </rPr>
      <t>17:00</t>
    </r>
  </si>
  <si>
    <r>
      <rPr>
        <b/>
        <sz val="12"/>
        <rFont val="Avenir Next LT Pro"/>
      </rPr>
      <t>259-</t>
    </r>
    <r>
      <rPr>
        <b/>
        <sz val="12"/>
        <color rgb="FF0070C0"/>
        <rFont val="Avenir Next LT Pro"/>
        <family val="2"/>
      </rPr>
      <t>18:45</t>
    </r>
  </si>
  <si>
    <r>
      <rPr>
        <b/>
        <sz val="12"/>
        <rFont val="Avenir Next LT Pro"/>
      </rPr>
      <t>284-</t>
    </r>
    <r>
      <rPr>
        <b/>
        <sz val="12"/>
        <color rgb="FF0070C0"/>
        <rFont val="Avenir Next LT Pro"/>
        <family val="2"/>
      </rPr>
      <t>10:15</t>
    </r>
  </si>
  <si>
    <r>
      <rPr>
        <b/>
        <sz val="12"/>
        <rFont val="Avenir Next LT Pro"/>
      </rPr>
      <t>260-</t>
    </r>
    <r>
      <rPr>
        <b/>
        <sz val="12"/>
        <color rgb="FF0070C0"/>
        <rFont val="Avenir Next LT Pro"/>
        <family val="2"/>
      </rPr>
      <t>15:30</t>
    </r>
  </si>
  <si>
    <r>
      <rPr>
        <b/>
        <sz val="12"/>
        <rFont val="Avenir Next LT Pro"/>
      </rPr>
      <t>257-</t>
    </r>
    <r>
      <rPr>
        <b/>
        <sz val="12"/>
        <color rgb="FF0070C0"/>
        <rFont val="Avenir Next LT Pro"/>
        <family val="2"/>
      </rPr>
      <t>12:00</t>
    </r>
  </si>
  <si>
    <r>
      <rPr>
        <b/>
        <sz val="12"/>
        <rFont val="Avenir Next LT Pro"/>
      </rPr>
      <t>261-</t>
    </r>
    <r>
      <rPr>
        <b/>
        <sz val="12"/>
        <color rgb="FF0070C0"/>
        <rFont val="Avenir Next LT Pro"/>
        <family val="2"/>
      </rPr>
      <t>15:45</t>
    </r>
  </si>
  <si>
    <r>
      <rPr>
        <b/>
        <sz val="12"/>
        <rFont val="Avenir Next LT Pro"/>
      </rPr>
      <t>262-</t>
    </r>
    <r>
      <rPr>
        <b/>
        <sz val="12"/>
        <color rgb="FF0070C0"/>
        <rFont val="Avenir Next LT Pro"/>
        <family val="2"/>
      </rPr>
      <t>19:20</t>
    </r>
  </si>
  <si>
    <r>
      <rPr>
        <b/>
        <sz val="12"/>
        <rFont val="Avenir Next LT Pro"/>
      </rPr>
      <t>262-</t>
    </r>
    <r>
      <rPr>
        <b/>
        <sz val="12"/>
        <color rgb="FF0070C0"/>
        <rFont val="Avenir Next LT Pro"/>
        <family val="2"/>
      </rPr>
      <t>16:00</t>
    </r>
  </si>
  <si>
    <r>
      <rPr>
        <b/>
        <sz val="12"/>
        <rFont val="Avenir Next LT Pro"/>
      </rPr>
      <t>256-</t>
    </r>
    <r>
      <rPr>
        <b/>
        <sz val="12"/>
        <color rgb="FF0070C0"/>
        <rFont val="Avenir Next LT Pro"/>
        <family val="2"/>
      </rPr>
      <t>17:45</t>
    </r>
  </si>
  <si>
    <t>Redone by Mikey Hynes 931810</t>
  </si>
  <si>
    <r>
      <rPr>
        <b/>
        <sz val="12"/>
        <rFont val="Avenir Next LT Pro"/>
      </rPr>
      <t>255</t>
    </r>
    <r>
      <rPr>
        <b/>
        <sz val="12"/>
        <color rgb="FF0070C0"/>
        <rFont val="Avenir Next LT Pro"/>
        <family val="2"/>
      </rPr>
      <t>-12:00</t>
    </r>
  </si>
  <si>
    <r>
      <rPr>
        <b/>
        <sz val="12"/>
        <rFont val="Avenir Next LT Pro"/>
      </rPr>
      <t>282</t>
    </r>
    <r>
      <rPr>
        <b/>
        <sz val="12"/>
        <color rgb="FF0070C0"/>
        <rFont val="Avenir Next LT Pro"/>
        <family val="2"/>
      </rPr>
      <t>-16:00</t>
    </r>
  </si>
  <si>
    <r>
      <rPr>
        <b/>
        <sz val="12"/>
        <rFont val="Avenir Next LT Pro"/>
      </rPr>
      <t>281</t>
    </r>
    <r>
      <rPr>
        <b/>
        <sz val="12"/>
        <color rgb="FF0070C0"/>
        <rFont val="Avenir Next LT Pro"/>
        <family val="2"/>
      </rPr>
      <t>-14:20</t>
    </r>
  </si>
  <si>
    <r>
      <rPr>
        <b/>
        <sz val="12"/>
        <rFont val="Avenir Next LT Pro"/>
      </rPr>
      <t>259</t>
    </r>
    <r>
      <rPr>
        <b/>
        <sz val="12"/>
        <color rgb="FF0070C0"/>
        <rFont val="Avenir Next LT Pro"/>
        <family val="2"/>
      </rPr>
      <t>-16:20</t>
    </r>
  </si>
  <si>
    <r>
      <rPr>
        <b/>
        <sz val="12"/>
        <rFont val="Avenir Next LT Pro"/>
      </rPr>
      <t>258</t>
    </r>
    <r>
      <rPr>
        <b/>
        <sz val="12"/>
        <color rgb="FF0070C0"/>
        <rFont val="Avenir Next LT Pro"/>
        <family val="2"/>
      </rPr>
      <t>-19:30</t>
    </r>
  </si>
  <si>
    <r>
      <rPr>
        <b/>
        <sz val="12"/>
        <rFont val="Avenir Next LT Pro"/>
      </rPr>
      <t>257</t>
    </r>
    <r>
      <rPr>
        <b/>
        <sz val="12"/>
        <color rgb="FF0070C0"/>
        <rFont val="Avenir Next LT Pro"/>
        <family val="2"/>
      </rPr>
      <t>-14:40</t>
    </r>
  </si>
  <si>
    <r>
      <rPr>
        <b/>
        <sz val="12"/>
        <rFont val="Avenir Next LT Pro"/>
      </rPr>
      <t>256</t>
    </r>
    <r>
      <rPr>
        <b/>
        <sz val="12"/>
        <color rgb="FF0070C0"/>
        <rFont val="Avenir Next LT Pro"/>
        <family val="2"/>
      </rPr>
      <t>-18:20</t>
    </r>
  </si>
  <si>
    <r>
      <rPr>
        <b/>
        <sz val="12"/>
        <rFont val="Avenir Next LT Pro"/>
      </rPr>
      <t>259</t>
    </r>
    <r>
      <rPr>
        <b/>
        <sz val="12"/>
        <color rgb="FF0070C0"/>
        <rFont val="Avenir Next LT Pro"/>
        <family val="2"/>
      </rPr>
      <t>-21:30</t>
    </r>
  </si>
  <si>
    <r>
      <rPr>
        <b/>
        <sz val="12"/>
        <rFont val="Avenir Next LT Pro"/>
      </rPr>
      <t>281</t>
    </r>
    <r>
      <rPr>
        <b/>
        <sz val="12"/>
        <color rgb="FF0070C0"/>
        <rFont val="Avenir Next LT Pro"/>
        <family val="2"/>
      </rPr>
      <t>-09:30</t>
    </r>
  </si>
  <si>
    <r>
      <rPr>
        <b/>
        <sz val="12"/>
        <rFont val="Avenir Next LT Pro"/>
      </rPr>
      <t>256</t>
    </r>
    <r>
      <rPr>
        <b/>
        <sz val="12"/>
        <color rgb="FF0070C0"/>
        <rFont val="Avenir Next LT Pro"/>
        <family val="2"/>
      </rPr>
      <t>-13:00</t>
    </r>
  </si>
  <si>
    <r>
      <rPr>
        <b/>
        <sz val="12"/>
        <rFont val="Avenir Next LT Pro"/>
      </rPr>
      <t>255</t>
    </r>
    <r>
      <rPr>
        <b/>
        <sz val="12"/>
        <color rgb="FF0070C0"/>
        <rFont val="Avenir Next LT Pro"/>
        <family val="2"/>
      </rPr>
      <t>-17:00</t>
    </r>
  </si>
  <si>
    <r>
      <rPr>
        <b/>
        <sz val="12"/>
        <rFont val="Avenir Next LT Pro"/>
      </rPr>
      <t>257</t>
    </r>
    <r>
      <rPr>
        <b/>
        <sz val="12"/>
        <color rgb="FF0070C0"/>
        <rFont val="Avenir Next LT Pro"/>
        <family val="2"/>
      </rPr>
      <t>-20:30</t>
    </r>
  </si>
  <si>
    <r>
      <rPr>
        <b/>
        <sz val="12"/>
        <rFont val="Avenir Next LT Pro"/>
      </rPr>
      <t>283</t>
    </r>
    <r>
      <rPr>
        <b/>
        <sz val="12"/>
        <color rgb="FF0070C0"/>
        <rFont val="Avenir Next LT Pro"/>
        <family val="2"/>
      </rPr>
      <t>-15:20</t>
    </r>
  </si>
  <si>
    <r>
      <rPr>
        <b/>
        <sz val="12"/>
        <rFont val="Avenir Next LT Pro"/>
      </rPr>
      <t>253</t>
    </r>
    <r>
      <rPr>
        <b/>
        <sz val="12"/>
        <color rgb="FF0070C0"/>
        <rFont val="Avenir Next LT Pro"/>
        <family val="2"/>
      </rPr>
      <t>-11:40</t>
    </r>
  </si>
  <si>
    <r>
      <rPr>
        <b/>
        <sz val="12"/>
        <rFont val="Avenir Next LT Pro"/>
      </rPr>
      <t>258</t>
    </r>
    <r>
      <rPr>
        <b/>
        <sz val="12"/>
        <color rgb="FF0070C0"/>
        <rFont val="Avenir Next LT Pro"/>
        <family val="2"/>
      </rPr>
      <t>-15:40</t>
    </r>
  </si>
  <si>
    <r>
      <rPr>
        <b/>
        <sz val="12"/>
        <color theme="1"/>
        <rFont val="Avenir Next LT Pro"/>
        <family val="2"/>
      </rPr>
      <t>254</t>
    </r>
    <r>
      <rPr>
        <b/>
        <sz val="12"/>
        <color rgb="FFFF0000"/>
        <rFont val="Avenir Next LT Pro"/>
        <family val="2"/>
      </rPr>
      <t>-17:40</t>
    </r>
  </si>
  <si>
    <t>Redone By Mikey Hynes 931810</t>
  </si>
  <si>
    <t>255-06:10g</t>
  </si>
  <si>
    <t>281-06:41g</t>
  </si>
  <si>
    <t>253-05:45g</t>
  </si>
  <si>
    <t>282-06:55g</t>
  </si>
  <si>
    <t>251-05:00g</t>
  </si>
  <si>
    <t>254-05:55g</t>
  </si>
  <si>
    <t>10:00x</t>
  </si>
  <si>
    <t>10:30g</t>
  </si>
  <si>
    <t>10:20x</t>
  </si>
  <si>
    <t>10:40g</t>
  </si>
  <si>
    <t>19:20x</t>
  </si>
  <si>
    <t>19:40g</t>
  </si>
  <si>
    <t>260-21:10g</t>
  </si>
  <si>
    <t>21:35x</t>
  </si>
  <si>
    <t>21:55g</t>
  </si>
  <si>
    <t>23:10x</t>
  </si>
  <si>
    <t>23:40x</t>
  </si>
  <si>
    <t>23:25x</t>
  </si>
  <si>
    <t>24:10x</t>
  </si>
  <si>
    <t>24:45g</t>
  </si>
  <si>
    <t>23:45g</t>
  </si>
  <si>
    <t>24:15g</t>
  </si>
  <si>
    <t>04:52</t>
  </si>
  <si>
    <t>05:00</t>
  </si>
  <si>
    <t>10:30</t>
  </si>
  <si>
    <t>05:38</t>
  </si>
  <si>
    <t>00:00</t>
  </si>
  <si>
    <t>05:02</t>
  </si>
  <si>
    <t>05:10</t>
  </si>
  <si>
    <t>10:40</t>
  </si>
  <si>
    <t>05:37</t>
  </si>
  <si>
    <t>05:45</t>
  </si>
  <si>
    <t>11:15</t>
  </si>
  <si>
    <t>Dún Laogaire Stn</t>
  </si>
  <si>
    <t>05:47</t>
  </si>
  <si>
    <t>05:55</t>
  </si>
  <si>
    <t>10:15</t>
  </si>
  <si>
    <t>12:45</t>
  </si>
  <si>
    <t>06:58</t>
  </si>
  <si>
    <t>05:58</t>
  </si>
  <si>
    <t>01:00</t>
  </si>
  <si>
    <t>06:02</t>
  </si>
  <si>
    <t>06:10</t>
  </si>
  <si>
    <t>09:00</t>
  </si>
  <si>
    <t>10:00</t>
  </si>
  <si>
    <t>14:45</t>
  </si>
  <si>
    <t>08:43</t>
  </si>
  <si>
    <t>07:43</t>
  </si>
  <si>
    <t>06:22</t>
  </si>
  <si>
    <t>06:30</t>
  </si>
  <si>
    <t>12:00</t>
  </si>
  <si>
    <t>12:02</t>
  </si>
  <si>
    <t>12:05</t>
  </si>
  <si>
    <t>15:00</t>
  </si>
  <si>
    <t>16:00</t>
  </si>
  <si>
    <t>19:45</t>
  </si>
  <si>
    <t>06:43</t>
  </si>
  <si>
    <t>12:12</t>
  </si>
  <si>
    <t>12:15</t>
  </si>
  <si>
    <t>17:30</t>
  </si>
  <si>
    <t>21:55</t>
  </si>
  <si>
    <t>08:13</t>
  </si>
  <si>
    <t>01:30</t>
  </si>
  <si>
    <t>12:42</t>
  </si>
  <si>
    <t>16:30</t>
  </si>
  <si>
    <t>17:45</t>
  </si>
  <si>
    <t>21:00</t>
  </si>
  <si>
    <t>08:18</t>
  </si>
  <si>
    <t>07:03</t>
  </si>
  <si>
    <t>01:15</t>
  </si>
  <si>
    <t>14:32</t>
  </si>
  <si>
    <t>14:35</t>
  </si>
  <si>
    <t>21:07</t>
  </si>
  <si>
    <t>21:10</t>
  </si>
  <si>
    <t>00:15</t>
  </si>
  <si>
    <t>08:21</t>
  </si>
  <si>
    <t>01:22</t>
  </si>
  <si>
    <t>14:42</t>
  </si>
  <si>
    <t>18:45</t>
  </si>
  <si>
    <t>23:40</t>
  </si>
  <si>
    <t>08:58</t>
  </si>
  <si>
    <t>07:58</t>
  </si>
  <si>
    <t>14:57</t>
  </si>
  <si>
    <t>19:00</t>
  </si>
  <si>
    <t>20:00</t>
  </si>
  <si>
    <t>23:55</t>
  </si>
  <si>
    <t>15:42</t>
  </si>
  <si>
    <t>15:45</t>
  </si>
  <si>
    <t>23:45</t>
  </si>
  <si>
    <t>08:03</t>
  </si>
  <si>
    <t>16:12</t>
  </si>
  <si>
    <t>16:15</t>
  </si>
  <si>
    <t>00:45</t>
  </si>
  <si>
    <t>08:33</t>
  </si>
  <si>
    <t>07:33</t>
  </si>
  <si>
    <t>18:57</t>
  </si>
  <si>
    <t>00:25</t>
  </si>
  <si>
    <t>05:28</t>
  </si>
  <si>
    <t>06:50</t>
  </si>
  <si>
    <t>06:33</t>
  </si>
  <si>
    <t>06:41</t>
  </si>
  <si>
    <t>11:00</t>
  </si>
  <si>
    <t>09:12</t>
  </si>
  <si>
    <t>08:12</t>
  </si>
  <si>
    <t>06:47</t>
  </si>
  <si>
    <t>06:55</t>
  </si>
  <si>
    <t>09:28</t>
  </si>
  <si>
    <t>08:28</t>
  </si>
  <si>
    <t>08:57</t>
  </si>
  <si>
    <t>13:30</t>
  </si>
  <si>
    <t>07:18</t>
  </si>
  <si>
    <t>10:12</t>
  </si>
  <si>
    <t>19:40</t>
  </si>
  <si>
    <t>06:28</t>
  </si>
  <si>
    <t>03:00</t>
  </si>
  <si>
    <t>07:36</t>
  </si>
  <si>
    <t>07:15</t>
  </si>
  <si>
    <t>08:00</t>
  </si>
  <si>
    <t>10:45</t>
  </si>
  <si>
    <t>11:30</t>
  </si>
  <si>
    <t>13:15</t>
  </si>
  <si>
    <t>14:00</t>
  </si>
  <si>
    <t>05:30</t>
  </si>
  <si>
    <t>06:00</t>
  </si>
  <si>
    <t>06:15</t>
  </si>
  <si>
    <t>06:45</t>
  </si>
  <si>
    <t>07:00</t>
  </si>
  <si>
    <t>07:21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</si>
  <si>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</si>
  <si>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</si>
  <si>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</si>
  <si>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</si>
  <si>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</si>
  <si>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</si>
  <si>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</si>
  <si>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</si>
  <si>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11:45</t>
  </si>
  <si>
    <t>12:30</t>
  </si>
  <si>
    <t>13:00</t>
  </si>
  <si>
    <t>13:45</t>
  </si>
  <si>
    <t>14:15</t>
  </si>
  <si>
    <t>14:30</t>
  </si>
  <si>
    <t>15:15</t>
  </si>
  <si>
    <t>15:30</t>
  </si>
  <si>
    <t>16:45</t>
  </si>
  <si>
    <t>17:00</t>
  </si>
  <si>
    <t>17:15</t>
  </si>
  <si>
    <t>18:00</t>
  </si>
  <si>
    <t>18:15</t>
  </si>
  <si>
    <t>18:30</t>
  </si>
  <si>
    <t>19:15</t>
  </si>
  <si>
    <t>19:30</t>
  </si>
  <si>
    <t>20:15</t>
  </si>
  <si>
    <t>20:30</t>
  </si>
  <si>
    <t>20:45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</si>
  <si>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</si>
  <si>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</si>
  <si>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</si>
  <si>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</si>
  <si>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</si>
  <si>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</si>
  <si>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</si>
  <si>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</si>
  <si>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23:30</t>
  </si>
  <si>
    <t>Dún Laoghaire Stn</t>
  </si>
  <si>
    <r>
      <rPr>
        <b/>
        <sz val="11"/>
        <color theme="1"/>
        <rFont val="Avenir Next LT Pro"/>
        <family val="2"/>
      </rPr>
      <t>283-</t>
    </r>
    <r>
      <rPr>
        <b/>
        <sz val="11"/>
        <color rgb="FF0070C0"/>
        <rFont val="Avenir Next LT Pro"/>
        <family val="2"/>
      </rPr>
      <t>09:00</t>
    </r>
  </si>
  <si>
    <r>
      <t>255-</t>
    </r>
    <r>
      <rPr>
        <b/>
        <sz val="11"/>
        <color rgb="FF0070C0"/>
        <rFont val="Avenir Next LT Pro"/>
        <family val="2"/>
      </rPr>
      <t>10:00</t>
    </r>
  </si>
  <si>
    <r>
      <t>284-</t>
    </r>
    <r>
      <rPr>
        <b/>
        <sz val="11"/>
        <color rgb="FF0070C0"/>
        <rFont val="Avenir Next LT Pro"/>
        <family val="2"/>
      </rPr>
      <t>10:15</t>
    </r>
  </si>
  <si>
    <r>
      <t>282</t>
    </r>
    <r>
      <rPr>
        <b/>
        <sz val="11"/>
        <color rgb="FF0070C0"/>
        <rFont val="Avenir Next LT Pro"/>
        <family val="2"/>
      </rPr>
      <t>-11:00</t>
    </r>
  </si>
  <si>
    <r>
      <t>254-</t>
    </r>
    <r>
      <rPr>
        <b/>
        <sz val="11"/>
        <color rgb="FF0070C0"/>
        <rFont val="Avenir Next LT Pro"/>
        <family val="2"/>
      </rPr>
      <t>11:15</t>
    </r>
  </si>
  <si>
    <r>
      <t>281-</t>
    </r>
    <r>
      <rPr>
        <b/>
        <sz val="11"/>
        <color rgb="FF0070C0"/>
        <rFont val="Avenir Next LT Pro"/>
        <family val="2"/>
      </rPr>
      <t>12:00</t>
    </r>
  </si>
  <si>
    <r>
      <t>258</t>
    </r>
    <r>
      <rPr>
        <b/>
        <sz val="11"/>
        <color rgb="FFFF0000"/>
        <rFont val="Avenir Next LT Pro"/>
        <family val="2"/>
      </rPr>
      <t>-</t>
    </r>
    <r>
      <rPr>
        <b/>
        <sz val="11"/>
        <color rgb="FF0070C0"/>
        <rFont val="Avenir Next LT Pro"/>
        <family val="2"/>
      </rPr>
      <t>12:15</t>
    </r>
  </si>
  <si>
    <r>
      <t>259-</t>
    </r>
    <r>
      <rPr>
        <b/>
        <sz val="11"/>
        <color rgb="FF0070C0"/>
        <rFont val="Avenir Next LT Pro"/>
        <family val="2"/>
      </rPr>
      <t>12:45</t>
    </r>
  </si>
  <si>
    <r>
      <t>283-</t>
    </r>
    <r>
      <rPr>
        <b/>
        <sz val="11"/>
        <color rgb="FF0070C0"/>
        <rFont val="Avenir Next LT Pro"/>
        <family val="2"/>
      </rPr>
      <t>13:30</t>
    </r>
  </si>
  <si>
    <r>
      <t>261-</t>
    </r>
    <r>
      <rPr>
        <b/>
        <sz val="11"/>
        <color rgb="FF0070C0"/>
        <rFont val="Avenir Next LT Pro"/>
        <family val="2"/>
      </rPr>
      <t>14:45</t>
    </r>
  </si>
  <si>
    <r>
      <t>262-</t>
    </r>
    <r>
      <rPr>
        <b/>
        <sz val="11"/>
        <color rgb="FF0070C0"/>
        <rFont val="Avenir Next LT Pro"/>
        <family val="2"/>
      </rPr>
      <t>15:00</t>
    </r>
  </si>
  <si>
    <r>
      <t>263-</t>
    </r>
    <r>
      <rPr>
        <b/>
        <sz val="11"/>
        <color rgb="FF0070C0"/>
        <rFont val="Avenir Next LT Pro"/>
        <family val="2"/>
      </rPr>
      <t>15:45</t>
    </r>
  </si>
  <si>
    <r>
      <t>257-</t>
    </r>
    <r>
      <rPr>
        <b/>
        <sz val="11"/>
        <color rgb="FF0070C0"/>
        <rFont val="Avenir Next LT Pro"/>
        <family val="2"/>
      </rPr>
      <t>16:00</t>
    </r>
  </si>
  <si>
    <r>
      <t>264-</t>
    </r>
    <r>
      <rPr>
        <b/>
        <sz val="11"/>
        <color rgb="FF0070C0"/>
        <rFont val="Avenir Next LT Pro"/>
        <family val="2"/>
      </rPr>
      <t>16:15</t>
    </r>
  </si>
  <si>
    <r>
      <t>284-</t>
    </r>
    <r>
      <rPr>
        <b/>
        <sz val="11"/>
        <color rgb="FF0070C0"/>
        <rFont val="Avenir Next LT Pro"/>
        <family val="2"/>
      </rPr>
      <t>16:30</t>
    </r>
  </si>
  <si>
    <r>
      <t>258-</t>
    </r>
    <r>
      <rPr>
        <b/>
        <sz val="11"/>
        <color rgb="FF0070C0"/>
        <rFont val="Avenir Next LT Pro"/>
        <family val="2"/>
      </rPr>
      <t>17:30</t>
    </r>
  </si>
  <si>
    <r>
      <t>259-</t>
    </r>
    <r>
      <rPr>
        <b/>
        <sz val="11"/>
        <color rgb="FF0070C0"/>
        <rFont val="Avenir Next LT Pro"/>
        <family val="2"/>
      </rPr>
      <t>17:45</t>
    </r>
  </si>
  <si>
    <r>
      <rPr>
        <b/>
        <sz val="11"/>
        <color theme="1"/>
        <rFont val="Avenir Next LT Pro"/>
        <family val="2"/>
      </rPr>
      <t>263</t>
    </r>
    <r>
      <rPr>
        <b/>
        <sz val="11"/>
        <color rgb="FF0070C0"/>
        <rFont val="Avenir Next LT Pro"/>
        <family val="2"/>
      </rPr>
      <t>-18:45</t>
    </r>
  </si>
  <si>
    <r>
      <rPr>
        <b/>
        <sz val="11"/>
        <color theme="1"/>
        <rFont val="Avenir Next LT Pro"/>
        <family val="2"/>
      </rPr>
      <t>265-</t>
    </r>
    <r>
      <rPr>
        <b/>
        <sz val="11"/>
        <color rgb="FF0070C0"/>
        <rFont val="Avenir Next LT Pro"/>
        <family val="2"/>
      </rPr>
      <t>19:00</t>
    </r>
  </si>
  <si>
    <r>
      <t>261-</t>
    </r>
    <r>
      <rPr>
        <b/>
        <sz val="11"/>
        <color rgb="FF0070C0"/>
        <rFont val="Avenir Next LT Pro"/>
        <family val="2"/>
      </rPr>
      <t>19:45</t>
    </r>
  </si>
  <si>
    <r>
      <t>262-</t>
    </r>
    <r>
      <rPr>
        <b/>
        <sz val="11"/>
        <color rgb="FF0070C0"/>
        <rFont val="Avenir Next LT Pro"/>
        <family val="2"/>
      </rPr>
      <t>20:00</t>
    </r>
  </si>
  <si>
    <r>
      <t>264-</t>
    </r>
    <r>
      <rPr>
        <b/>
        <sz val="11"/>
        <color rgb="FF0070C0"/>
        <rFont val="Avenir Next LT Pro"/>
        <family val="2"/>
      </rPr>
      <t>21:00</t>
    </r>
  </si>
  <si>
    <r>
      <t xml:space="preserve">Monday to Friday Proposed Duty List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vertAlign val="superscript"/>
        <sz val="11"/>
        <rFont val="Avenir Next LT Pro"/>
        <family val="2"/>
      </rPr>
      <t>Version 1</t>
    </r>
  </si>
  <si>
    <r>
      <rPr>
        <b/>
        <sz val="11"/>
        <color rgb="FF9C0005"/>
        <rFont val="Avenir Next LT Pro"/>
        <family val="2"/>
      </rPr>
      <t>09:43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</si>
</sst>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"/>
    <numFmt numFmtId="165" formatCode="00000000"/>
  </numFmts>
  <fonts count="67" x14ac:knownFonts="1">
    <font>
      <sz val="11"/>
      <name val="Calibri"/>
    </font>
    <font>
      <sz val="12"/>
      <color rgb="FF000000"/>
      <name val="Avenir Next LT Pro"/>
    </font>
    <font>
      <b/>
      <sz val="12"/>
      <color rgb="FFFF0000"/>
      <name val="Avenir Next LT Pro"/>
    </font>
    <font>
      <b/>
      <sz val="12"/>
      <name val="Avenir Next LT Pro"/>
    </font>
    <font>
      <b/>
      <sz val="12"/>
      <color rgb="FF000000"/>
      <name val="Avenir Next LT Pro"/>
    </font>
    <font>
      <b/>
      <sz val="12"/>
      <color rgb="FF00B050"/>
      <name val="Avenir Next LT Pro"/>
    </font>
    <font>
      <b/>
      <i/>
      <sz val="12"/>
      <color rgb="FF000000"/>
      <name val="Avenir Next LT Pro"/>
    </font>
    <font>
      <i/>
      <sz val="12"/>
      <color rgb="FF000000"/>
      <name val="Avenir Next LT Pro"/>
    </font>
    <font>
      <sz val="12"/>
      <name val="Avenir Next LT Pro"/>
    </font>
    <font>
      <b/>
      <sz val="12"/>
      <color indexed="10"/>
      <name val="Avenir Next LT Pro"/>
    </font>
    <font>
      <b/>
      <sz val="12"/>
      <color indexed="8"/>
      <name val="Avenir Next LT Pro"/>
    </font>
    <font>
      <sz val="12"/>
      <color rgb="FF000000"/>
      <name val="Avenir Next LT Pro"/>
    </font>
    <font>
      <sz val="12"/>
      <color rgb="FFFF0000"/>
      <name val="Avenir Next LT Pro"/>
    </font>
    <font>
      <b/>
      <sz val="12"/>
      <color rgb="FF000000"/>
      <name val="Avenir Next LT Pro"/>
    </font>
    <font>
      <sz val="12"/>
      <color rgb="FFFFFFFF"/>
      <name val="Avenir Next LT Pro"/>
    </font>
    <font>
      <i/>
      <sz val="12"/>
      <color rgb="FF00B050"/>
      <name val="Avenir Next LT Pro"/>
    </font>
    <font>
      <i/>
      <sz val="12"/>
      <color rgb="FF000000"/>
      <name val="Avenir Next LT Pro"/>
    </font>
    <font>
      <b/>
      <i/>
      <sz val="12"/>
      <name val="Avenir Next LT Pro"/>
    </font>
    <font>
      <b/>
      <sz val="12"/>
      <color rgb="FFFFFFFF"/>
      <name val="Avenir Next LT Pro"/>
    </font>
    <font>
      <i/>
      <sz val="12"/>
      <name val="Avenir Next LT Pro"/>
    </font>
    <font>
      <b/>
      <sz val="12"/>
      <color rgb="FFFFFFFF"/>
      <name val="Avenir Next LT Pro"/>
    </font>
    <font>
      <b/>
      <sz val="14"/>
      <color rgb="FF000000"/>
      <name val="Avenir Next LT Pro"/>
    </font>
    <font>
      <sz val="12"/>
      <color rgb="FFFFFFFF"/>
      <name val="Avenir Next LT Pro"/>
    </font>
    <font>
      <b/>
      <i/>
      <sz val="12"/>
      <color rgb="FF000000"/>
      <name val="Avenir Next LT Pro"/>
    </font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1"/>
      <name val="Calibri"/>
    </font>
    <font>
      <b/>
      <sz val="10"/>
      <color rgb="FF000000"/>
      <name val="Arial"/>
    </font>
    <font>
      <b/>
      <sz val="11"/>
      <name val="Calibri"/>
    </font>
    <font>
      <b/>
      <sz val="10"/>
      <color rgb="FF000000"/>
      <name val="Arial"/>
    </font>
    <font>
      <sz val="12"/>
      <name val="Arial"/>
    </font>
    <font>
      <sz val="11"/>
      <color rgb="FFFFE598"/>
      <name val="Calibri"/>
    </font>
    <font>
      <sz val="11"/>
      <color rgb="FF000000"/>
      <name val="Calibri"/>
    </font>
    <font>
      <sz val="10"/>
      <name val="Arial"/>
    </font>
    <font>
      <b/>
      <sz val="12"/>
      <color rgb="FFFF0000"/>
      <name val="Avenir Next LT Pro"/>
      <family val="2"/>
    </font>
    <font>
      <b/>
      <sz val="12"/>
      <color rgb="FF000000"/>
      <name val="Avenir Next LT Pro"/>
      <family val="2"/>
    </font>
    <font>
      <b/>
      <sz val="12"/>
      <color theme="1"/>
      <name val="Avenir Next LT Pro"/>
      <family val="2"/>
    </font>
    <font>
      <b/>
      <u/>
      <sz val="12"/>
      <color rgb="FF000000"/>
      <name val="Avenir Next LT Pro"/>
      <family val="2"/>
    </font>
    <font>
      <b/>
      <sz val="16"/>
      <color rgb="FF0070C0"/>
      <name val="Avenir Next LT Pro"/>
      <family val="2"/>
    </font>
    <font>
      <b/>
      <sz val="36"/>
      <color rgb="FF0070C0"/>
      <name val="Avenir Next LT Pro"/>
      <family val="2"/>
    </font>
    <font>
      <sz val="36"/>
      <color rgb="FF0070C0"/>
      <name val="Avenir Next LT Pro"/>
      <family val="2"/>
    </font>
    <font>
      <b/>
      <sz val="12"/>
      <color rgb="FF0070C0"/>
      <name val="Avenir Next LT Pro"/>
      <family val="2"/>
    </font>
    <font>
      <sz val="12"/>
      <color rgb="FF0070C0"/>
      <name val="Avenir Next LT Pro"/>
      <family val="2"/>
    </font>
    <font>
      <b/>
      <sz val="16"/>
      <color theme="1"/>
      <name val="Avenir Next LT Pro"/>
      <family val="2"/>
    </font>
    <font>
      <sz val="16"/>
      <color theme="1"/>
      <name val="Avenir Next LT Pro"/>
      <family val="2"/>
    </font>
    <font>
      <sz val="26"/>
      <color rgb="FF0070C0"/>
      <name val="Avenir Next LT Pro"/>
      <family val="2"/>
    </font>
    <font>
      <b/>
      <sz val="26"/>
      <color rgb="FF0070C0"/>
      <name val="Avenir Next LT Pro"/>
      <family val="2"/>
    </font>
    <font>
      <b/>
      <sz val="22"/>
      <color rgb="FF0070C0"/>
      <name val="Avenir Next LT Pro"/>
      <family val="2"/>
    </font>
    <font>
      <sz val="22"/>
      <color rgb="FF0070C0"/>
      <name val="Avenir Next LT Pro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0"/>
      <color rgb="FF000000"/>
      <name val="Times New Roman"/>
      <charset val="204"/>
    </font>
    <font>
      <sz val="8"/>
      <name val="Calibri"/>
    </font>
    <font>
      <sz val="11"/>
      <color rgb="FF000000"/>
      <name val="Avenir Next LT Pro"/>
      <family val="2"/>
    </font>
    <font>
      <b/>
      <sz val="11"/>
      <name val="Avenir Next LT Pro"/>
      <family val="2"/>
    </font>
    <font>
      <b/>
      <sz val="11"/>
      <color rgb="FF000000"/>
      <name val="Avenir Next LT Pro"/>
      <family val="2"/>
    </font>
    <font>
      <b/>
      <sz val="11"/>
      <color rgb="FF0070C0"/>
      <name val="Avenir Next LT Pro"/>
      <family val="2"/>
    </font>
    <font>
      <b/>
      <sz val="11"/>
      <color rgb="FFFF0000"/>
      <name val="Avenir Next LT Pro"/>
      <family val="2"/>
    </font>
    <font>
      <sz val="11"/>
      <color rgb="FF0070C0"/>
      <name val="Avenir Next LT Pro"/>
      <family val="2"/>
    </font>
    <font>
      <b/>
      <sz val="11"/>
      <color theme="1"/>
      <name val="Avenir Next LT Pro"/>
      <family val="2"/>
    </font>
    <font>
      <i/>
      <sz val="11"/>
      <name val="Avenir Next LT Pro"/>
      <family val="2"/>
    </font>
    <font>
      <b/>
      <vertAlign val="superscript"/>
      <sz val="11"/>
      <name val="Avenir Next LT Pro"/>
      <family val="2"/>
    </font>
    <font>
      <b/>
      <sz val="11"/>
      <color rgb="FF9C0005"/>
      <name val="Avenir Next LT Pro"/>
      <family val="2"/>
    </font>
  </fonts>
  <fills count="30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688D7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BEBE"/>
      </patternFill>
    </fill>
    <fill>
      <patternFill patternType="solid">
        <fgColor rgb="FFA6A6A6"/>
      </patternFill>
    </fill>
    <fill>
      <patternFill patternType="solid">
        <fgColor rgb="FFFFC6CE"/>
      </patternFill>
    </fill>
  </fills>
  <borders count="18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>
      <alignment vertical="center"/>
    </xf>
    <xf numFmtId="0" fontId="37" fillId="0" borderId="0">
      <protection locked="0"/>
    </xf>
    <xf numFmtId="0" fontId="55" fillId="0" borderId="0"/>
  </cellStyleXfs>
  <cellXfs count="1666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/>
    <xf numFmtId="0" fontId="4" fillId="2" borderId="10" xfId="0" quotePrefix="1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/>
    <xf numFmtId="20" fontId="3" fillId="0" borderId="0" xfId="0" applyNumberFormat="1" applyFont="1" applyAlignment="1">
      <alignment horizontal="center"/>
    </xf>
    <xf numFmtId="0" fontId="4" fillId="0" borderId="14" xfId="0" applyFont="1" applyBorder="1" applyAlignment="1"/>
    <xf numFmtId="0" fontId="4" fillId="3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7" xfId="0" applyFont="1" applyBorder="1" applyAlignment="1"/>
    <xf numFmtId="20" fontId="1" fillId="0" borderId="0" xfId="0" applyNumberFormat="1" applyFont="1" applyAlignment="1"/>
    <xf numFmtId="20" fontId="4" fillId="4" borderId="16" xfId="0" applyNumberFormat="1" applyFont="1" applyFill="1" applyBorder="1" applyAlignment="1">
      <alignment horizontal="center" vertical="center"/>
    </xf>
    <xf numFmtId="20" fontId="4" fillId="5" borderId="16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0" borderId="17" xfId="0" applyFont="1" applyBorder="1" applyAlignment="1"/>
    <xf numFmtId="46" fontId="1" fillId="0" borderId="0" xfId="0" applyNumberFormat="1" applyFont="1" applyAlignment="1"/>
    <xf numFmtId="0" fontId="1" fillId="0" borderId="14" xfId="0" applyFont="1" applyBorder="1" applyAlignment="1"/>
    <xf numFmtId="0" fontId="1" fillId="4" borderId="16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2" fillId="0" borderId="14" xfId="0" applyFont="1" applyBorder="1" applyAlignment="1"/>
    <xf numFmtId="20" fontId="2" fillId="0" borderId="16" xfId="0" applyNumberFormat="1" applyFont="1" applyBorder="1" applyAlignment="1">
      <alignment horizontal="center" vertical="center"/>
    </xf>
    <xf numFmtId="20" fontId="2" fillId="4" borderId="16" xfId="0" applyNumberFormat="1" applyFont="1" applyFill="1" applyBorder="1" applyAlignment="1">
      <alignment horizontal="center" vertical="center"/>
    </xf>
    <xf numFmtId="0" fontId="2" fillId="0" borderId="17" xfId="0" applyFont="1" applyBorder="1" applyAlignment="1"/>
    <xf numFmtId="0" fontId="5" fillId="0" borderId="14" xfId="0" applyFont="1" applyBorder="1" applyAlignment="1"/>
    <xf numFmtId="20" fontId="5" fillId="4" borderId="16" xfId="0" applyNumberFormat="1" applyFont="1" applyFill="1" applyBorder="1" applyAlignment="1">
      <alignment horizontal="center" vertical="center"/>
    </xf>
    <xf numFmtId="20" fontId="5" fillId="0" borderId="16" xfId="0" applyNumberFormat="1" applyFont="1" applyBorder="1" applyAlignment="1">
      <alignment horizontal="center" vertical="center"/>
    </xf>
    <xf numFmtId="0" fontId="5" fillId="0" borderId="17" xfId="0" applyFont="1" applyBorder="1" applyAlignment="1"/>
    <xf numFmtId="46" fontId="3" fillId="0" borderId="0" xfId="0" applyNumberFormat="1" applyFont="1" applyAlignment="1">
      <alignment horizontal="center"/>
    </xf>
    <xf numFmtId="20" fontId="2" fillId="5" borderId="16" xfId="0" applyNumberFormat="1" applyFont="1" applyFill="1" applyBorder="1" applyAlignment="1">
      <alignment horizontal="center" vertical="center"/>
    </xf>
    <xf numFmtId="20" fontId="2" fillId="3" borderId="16" xfId="0" applyNumberFormat="1" applyFont="1" applyFill="1" applyBorder="1" applyAlignment="1">
      <alignment horizontal="center" vertical="center"/>
    </xf>
    <xf numFmtId="20" fontId="5" fillId="5" borderId="16" xfId="0" applyNumberFormat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20" fontId="6" fillId="4" borderId="16" xfId="0" applyNumberFormat="1" applyFont="1" applyFill="1" applyBorder="1" applyAlignment="1">
      <alignment horizontal="center" vertical="center"/>
    </xf>
    <xf numFmtId="20" fontId="7" fillId="4" borderId="16" xfId="0" applyNumberFormat="1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20" fontId="7" fillId="5" borderId="16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0" fontId="2" fillId="5" borderId="12" xfId="0" applyNumberFormat="1" applyFont="1" applyFill="1" applyBorder="1" applyAlignment="1">
      <alignment horizontal="center" vertical="center"/>
    </xf>
    <xf numFmtId="20" fontId="4" fillId="3" borderId="15" xfId="0" applyNumberFormat="1" applyFont="1" applyFill="1" applyBorder="1" applyAlignment="1">
      <alignment horizontal="center" vertical="center"/>
    </xf>
    <xf numFmtId="20" fontId="2" fillId="0" borderId="18" xfId="0" applyNumberFormat="1" applyFont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20" fontId="5" fillId="6" borderId="16" xfId="0" applyNumberFormat="1" applyFont="1" applyFill="1" applyBorder="1" applyAlignment="1">
      <alignment horizontal="center" vertical="center"/>
    </xf>
    <xf numFmtId="20" fontId="5" fillId="5" borderId="12" xfId="0" applyNumberFormat="1" applyFont="1" applyFill="1" applyBorder="1" applyAlignment="1">
      <alignment horizontal="center" vertical="center"/>
    </xf>
    <xf numFmtId="20" fontId="5" fillId="6" borderId="11" xfId="0" applyNumberFormat="1" applyFont="1" applyFill="1" applyBorder="1" applyAlignment="1">
      <alignment horizontal="center" vertical="center"/>
    </xf>
    <xf numFmtId="20" fontId="2" fillId="6" borderId="16" xfId="0" applyNumberFormat="1" applyFont="1" applyFill="1" applyBorder="1" applyAlignment="1">
      <alignment horizontal="center" vertical="center"/>
    </xf>
    <xf numFmtId="20" fontId="2" fillId="7" borderId="16" xfId="0" applyNumberFormat="1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20" fontId="5" fillId="7" borderId="16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20" fontId="7" fillId="7" borderId="16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4" fillId="0" borderId="20" xfId="0" applyFont="1" applyBorder="1" applyAlignment="1"/>
    <xf numFmtId="0" fontId="4" fillId="7" borderId="2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20" fontId="4" fillId="7" borderId="21" xfId="0" applyNumberFormat="1" applyFont="1" applyFill="1" applyBorder="1" applyAlignment="1">
      <alignment horizontal="center" vertical="center"/>
    </xf>
    <xf numFmtId="46" fontId="4" fillId="7" borderId="21" xfId="0" applyNumberFormat="1" applyFont="1" applyFill="1" applyBorder="1" applyAlignment="1">
      <alignment horizontal="center" vertical="center"/>
    </xf>
    <xf numFmtId="0" fontId="4" fillId="0" borderId="22" xfId="0" applyFont="1" applyBorder="1" applyAlignment="1"/>
    <xf numFmtId="0" fontId="3" fillId="0" borderId="0" xfId="1" applyFont="1" applyProtection="1"/>
    <xf numFmtId="0" fontId="3" fillId="8" borderId="23" xfId="1" applyFont="1" applyFill="1" applyBorder="1" applyProtection="1"/>
    <xf numFmtId="0" fontId="3" fillId="8" borderId="24" xfId="1" applyFont="1" applyFill="1" applyBorder="1" applyProtection="1"/>
    <xf numFmtId="0" fontId="3" fillId="8" borderId="25" xfId="1" applyFont="1" applyFill="1" applyBorder="1" applyProtection="1"/>
    <xf numFmtId="2" fontId="3" fillId="8" borderId="23" xfId="1" applyNumberFormat="1" applyFont="1" applyFill="1" applyBorder="1" applyProtection="1"/>
    <xf numFmtId="2" fontId="3" fillId="8" borderId="24" xfId="1" applyNumberFormat="1" applyFont="1" applyFill="1" applyBorder="1" applyProtection="1"/>
    <xf numFmtId="0" fontId="8" fillId="8" borderId="24" xfId="1" applyFont="1" applyFill="1" applyBorder="1" applyProtection="1"/>
    <xf numFmtId="0" fontId="8" fillId="8" borderId="26" xfId="1" applyFont="1" applyFill="1" applyBorder="1" applyProtection="1"/>
    <xf numFmtId="2" fontId="3" fillId="8" borderId="27" xfId="1" applyNumberFormat="1" applyFont="1" applyFill="1" applyBorder="1" applyAlignment="1" applyProtection="1">
      <alignment horizontal="center"/>
    </xf>
    <xf numFmtId="2" fontId="3" fillId="8" borderId="28" xfId="1" applyNumberFormat="1" applyFont="1" applyFill="1" applyBorder="1" applyAlignment="1" applyProtection="1">
      <alignment horizontal="center"/>
    </xf>
    <xf numFmtId="2" fontId="3" fillId="8" borderId="29" xfId="1" applyNumberFormat="1" applyFont="1" applyFill="1" applyBorder="1" applyAlignment="1" applyProtection="1">
      <alignment horizontal="center"/>
    </xf>
    <xf numFmtId="2" fontId="3" fillId="8" borderId="30" xfId="1" applyNumberFormat="1" applyFont="1" applyFill="1" applyBorder="1" applyAlignment="1" applyProtection="1">
      <alignment horizontal="center"/>
    </xf>
    <xf numFmtId="2" fontId="3" fillId="8" borderId="25" xfId="1" applyNumberFormat="1" applyFont="1" applyFill="1" applyBorder="1" applyAlignment="1" applyProtection="1">
      <alignment horizontal="left"/>
    </xf>
    <xf numFmtId="0" fontId="3" fillId="8" borderId="31" xfId="1" applyFont="1" applyFill="1" applyBorder="1" applyAlignment="1" applyProtection="1">
      <alignment horizontal="center"/>
    </xf>
    <xf numFmtId="2" fontId="3" fillId="8" borderId="29" xfId="1" applyNumberFormat="1" applyFont="1" applyFill="1" applyBorder="1" applyAlignment="1" applyProtection="1">
      <alignment horizontal="left"/>
    </xf>
    <xf numFmtId="2" fontId="3" fillId="8" borderId="32" xfId="1" applyNumberFormat="1" applyFont="1" applyFill="1" applyBorder="1" applyAlignment="1" applyProtection="1">
      <alignment horizontal="left"/>
    </xf>
    <xf numFmtId="2" fontId="3" fillId="8" borderId="31" xfId="1" applyNumberFormat="1" applyFont="1" applyFill="1" applyBorder="1" applyAlignment="1" applyProtection="1">
      <alignment horizontal="center"/>
    </xf>
    <xf numFmtId="2" fontId="9" fillId="8" borderId="33" xfId="1" applyNumberFormat="1" applyFont="1" applyFill="1" applyBorder="1" applyAlignment="1" applyProtection="1">
      <alignment horizontal="center"/>
    </xf>
    <xf numFmtId="2" fontId="3" fillId="8" borderId="32" xfId="1" applyNumberFormat="1" applyFont="1" applyFill="1" applyBorder="1" applyAlignment="1" applyProtection="1">
      <alignment horizontal="center"/>
    </xf>
    <xf numFmtId="0" fontId="3" fillId="8" borderId="27" xfId="1" applyFont="1" applyFill="1" applyBorder="1" applyAlignment="1" applyProtection="1">
      <alignment horizontal="center"/>
    </xf>
    <xf numFmtId="0" fontId="3" fillId="4" borderId="34" xfId="1" applyFont="1" applyFill="1" applyBorder="1" applyAlignment="1" applyProtection="1">
      <alignment horizontal="center"/>
    </xf>
    <xf numFmtId="20" fontId="3" fillId="4" borderId="35" xfId="1" applyNumberFormat="1" applyFont="1" applyFill="1" applyBorder="1" applyAlignment="1" applyProtection="1">
      <alignment horizontal="center"/>
    </xf>
    <xf numFmtId="20" fontId="3" fillId="4" borderId="36" xfId="1" applyNumberFormat="1" applyFont="1" applyFill="1" applyBorder="1" applyAlignment="1" applyProtection="1">
      <alignment horizontal="center"/>
    </xf>
    <xf numFmtId="164" fontId="3" fillId="4" borderId="37" xfId="1" applyNumberFormat="1" applyFont="1" applyFill="1" applyBorder="1" applyAlignment="1" applyProtection="1">
      <alignment horizontal="center"/>
    </xf>
    <xf numFmtId="20" fontId="3" fillId="4" borderId="34" xfId="1" applyNumberFormat="1" applyFont="1" applyFill="1" applyBorder="1" applyAlignment="1" applyProtection="1">
      <alignment horizontal="center"/>
    </xf>
    <xf numFmtId="164" fontId="3" fillId="4" borderId="41" xfId="1" applyNumberFormat="1" applyFont="1" applyFill="1" applyBorder="1" applyAlignment="1" applyProtection="1">
      <alignment horizontal="center"/>
    </xf>
    <xf numFmtId="20" fontId="9" fillId="4" borderId="40" xfId="1" applyNumberFormat="1" applyFont="1" applyFill="1" applyBorder="1" applyAlignment="1" applyProtection="1">
      <alignment horizontal="center"/>
    </xf>
    <xf numFmtId="20" fontId="3" fillId="4" borderId="39" xfId="1" applyNumberFormat="1" applyFont="1" applyFill="1" applyBorder="1" applyAlignment="1" applyProtection="1">
      <alignment horizontal="center"/>
    </xf>
    <xf numFmtId="20" fontId="3" fillId="4" borderId="19" xfId="1" applyNumberFormat="1" applyFont="1" applyFill="1" applyBorder="1" applyAlignment="1" applyProtection="1">
      <alignment horizontal="center"/>
    </xf>
    <xf numFmtId="0" fontId="8" fillId="0" borderId="19" xfId="1" applyFont="1" applyBorder="1" applyProtection="1"/>
    <xf numFmtId="20" fontId="8" fillId="0" borderId="0" xfId="0" applyNumberFormat="1" applyFont="1" applyAlignment="1"/>
    <xf numFmtId="0" fontId="3" fillId="4" borderId="9" xfId="1" applyFont="1" applyFill="1" applyBorder="1" applyAlignment="1" applyProtection="1">
      <alignment horizontal="center"/>
    </xf>
    <xf numFmtId="20" fontId="3" fillId="4" borderId="42" xfId="1" applyNumberFormat="1" applyFont="1" applyFill="1" applyBorder="1" applyAlignment="1" applyProtection="1">
      <alignment horizontal="center"/>
    </xf>
    <xf numFmtId="20" fontId="3" fillId="4" borderId="43" xfId="1" applyNumberFormat="1" applyFont="1" applyFill="1" applyBorder="1" applyAlignment="1" applyProtection="1">
      <alignment horizontal="center"/>
    </xf>
    <xf numFmtId="164" fontId="3" fillId="4" borderId="44" xfId="1" applyNumberFormat="1" applyFont="1" applyFill="1" applyBorder="1" applyAlignment="1" applyProtection="1">
      <alignment horizontal="center"/>
    </xf>
    <xf numFmtId="20" fontId="3" fillId="4" borderId="11" xfId="1" applyNumberFormat="1" applyFont="1" applyFill="1" applyBorder="1" applyAlignment="1" applyProtection="1">
      <alignment horizontal="center"/>
    </xf>
    <xf numFmtId="20" fontId="3" fillId="4" borderId="16" xfId="1" applyNumberFormat="1" applyFont="1" applyFill="1" applyBorder="1" applyAlignment="1" applyProtection="1">
      <alignment horizontal="center"/>
    </xf>
    <xf numFmtId="20" fontId="3" fillId="4" borderId="17" xfId="1" applyNumberFormat="1" applyFont="1" applyFill="1" applyBorder="1" applyAlignment="1" applyProtection="1">
      <alignment horizontal="center"/>
    </xf>
    <xf numFmtId="20" fontId="3" fillId="4" borderId="9" xfId="1" applyNumberFormat="1" applyFont="1" applyFill="1" applyBorder="1" applyAlignment="1" applyProtection="1">
      <alignment horizontal="center"/>
    </xf>
    <xf numFmtId="164" fontId="3" fillId="4" borderId="16" xfId="1" applyNumberFormat="1" applyFont="1" applyFill="1" applyBorder="1" applyAlignment="1" applyProtection="1">
      <alignment horizontal="center"/>
    </xf>
    <xf numFmtId="20" fontId="9" fillId="4" borderId="13" xfId="1" applyNumberFormat="1" applyFont="1" applyFill="1" applyBorder="1" applyAlignment="1" applyProtection="1">
      <alignment horizontal="center"/>
    </xf>
    <xf numFmtId="20" fontId="3" fillId="4" borderId="45" xfId="1" applyNumberFormat="1" applyFont="1" applyFill="1" applyBorder="1" applyAlignment="1" applyProtection="1">
      <alignment horizontal="center"/>
    </xf>
    <xf numFmtId="20" fontId="3" fillId="4" borderId="46" xfId="1" applyNumberFormat="1" applyFont="1" applyFill="1" applyBorder="1" applyAlignment="1" applyProtection="1">
      <alignment horizontal="center"/>
    </xf>
    <xf numFmtId="0" fontId="8" fillId="0" borderId="46" xfId="1" applyFont="1" applyBorder="1" applyProtection="1"/>
    <xf numFmtId="20" fontId="3" fillId="4" borderId="14" xfId="1" applyNumberFormat="1" applyFont="1" applyFill="1" applyBorder="1" applyAlignment="1" applyProtection="1">
      <alignment horizontal="center"/>
    </xf>
    <xf numFmtId="164" fontId="3" fillId="4" borderId="17" xfId="1" applyNumberFormat="1" applyFont="1" applyFill="1" applyBorder="1" applyAlignment="1" applyProtection="1">
      <alignment horizontal="center"/>
    </xf>
    <xf numFmtId="0" fontId="3" fillId="4" borderId="48" xfId="1" applyFont="1" applyFill="1" applyBorder="1" applyAlignment="1" applyProtection="1">
      <alignment horizontal="center"/>
    </xf>
    <xf numFmtId="20" fontId="3" fillId="4" borderId="49" xfId="1" applyNumberFormat="1" applyFont="1" applyFill="1" applyBorder="1" applyAlignment="1" applyProtection="1">
      <alignment horizontal="center"/>
    </xf>
    <xf numFmtId="20" fontId="3" fillId="4" borderId="50" xfId="1" applyNumberFormat="1" applyFont="1" applyFill="1" applyBorder="1" applyAlignment="1" applyProtection="1">
      <alignment horizontal="center"/>
    </xf>
    <xf numFmtId="164" fontId="3" fillId="4" borderId="51" xfId="1" applyNumberFormat="1" applyFont="1" applyFill="1" applyBorder="1" applyAlignment="1" applyProtection="1">
      <alignment horizontal="center"/>
    </xf>
    <xf numFmtId="20" fontId="3" fillId="4" borderId="52" xfId="1" applyNumberFormat="1" applyFont="1" applyFill="1" applyBorder="1" applyAlignment="1" applyProtection="1">
      <alignment horizontal="center"/>
    </xf>
    <xf numFmtId="164" fontId="3" fillId="4" borderId="21" xfId="1" applyNumberFormat="1" applyFont="1" applyFill="1" applyBorder="1" applyAlignment="1" applyProtection="1">
      <alignment horizontal="center"/>
    </xf>
    <xf numFmtId="20" fontId="3" fillId="4" borderId="21" xfId="1" applyNumberFormat="1" applyFont="1" applyFill="1" applyBorder="1" applyAlignment="1" applyProtection="1">
      <alignment horizontal="center"/>
    </xf>
    <xf numFmtId="164" fontId="3" fillId="4" borderId="22" xfId="1" applyNumberFormat="1" applyFont="1" applyFill="1" applyBorder="1" applyAlignment="1" applyProtection="1">
      <alignment horizontal="center"/>
    </xf>
    <xf numFmtId="20" fontId="3" fillId="4" borderId="48" xfId="1" applyNumberFormat="1" applyFont="1" applyFill="1" applyBorder="1" applyAlignment="1" applyProtection="1">
      <alignment horizontal="center"/>
    </xf>
    <xf numFmtId="20" fontId="9" fillId="4" borderId="53" xfId="1" applyNumberFormat="1" applyFont="1" applyFill="1" applyBorder="1" applyAlignment="1" applyProtection="1">
      <alignment horizontal="center"/>
    </xf>
    <xf numFmtId="20" fontId="3" fillId="4" borderId="54" xfId="1" applyNumberFormat="1" applyFont="1" applyFill="1" applyBorder="1" applyAlignment="1" applyProtection="1">
      <alignment horizontal="center"/>
    </xf>
    <xf numFmtId="20" fontId="3" fillId="4" borderId="10" xfId="1" applyNumberFormat="1" applyFont="1" applyFill="1" applyBorder="1" applyAlignment="1" applyProtection="1">
      <alignment horizontal="center"/>
    </xf>
    <xf numFmtId="0" fontId="8" fillId="0" borderId="10" xfId="1" applyFont="1" applyBorder="1" applyProtection="1"/>
    <xf numFmtId="0" fontId="3" fillId="6" borderId="34" xfId="1" applyFont="1" applyFill="1" applyBorder="1" applyAlignment="1" applyProtection="1">
      <alignment horizontal="center"/>
    </xf>
    <xf numFmtId="20" fontId="3" fillId="6" borderId="55" xfId="1" applyNumberFormat="1" applyFont="1" applyFill="1" applyBorder="1" applyAlignment="1" applyProtection="1">
      <alignment horizontal="center"/>
    </xf>
    <xf numFmtId="20" fontId="3" fillId="6" borderId="41" xfId="1" applyNumberFormat="1" applyFont="1" applyFill="1" applyBorder="1" applyAlignment="1" applyProtection="1">
      <alignment horizontal="center"/>
    </xf>
    <xf numFmtId="164" fontId="3" fillId="6" borderId="56" xfId="1" applyNumberFormat="1" applyFont="1" applyFill="1" applyBorder="1" applyAlignment="1" applyProtection="1">
      <alignment horizontal="center"/>
    </xf>
    <xf numFmtId="20" fontId="3" fillId="6" borderId="57" xfId="1" applyNumberFormat="1" applyFont="1" applyFill="1" applyBorder="1" applyAlignment="1" applyProtection="1">
      <alignment horizontal="center"/>
    </xf>
    <xf numFmtId="164" fontId="3" fillId="6" borderId="41" xfId="1" applyNumberFormat="1" applyFont="1" applyFill="1" applyBorder="1" applyAlignment="1" applyProtection="1">
      <alignment horizontal="center"/>
    </xf>
    <xf numFmtId="164" fontId="10" fillId="6" borderId="58" xfId="1" applyNumberFormat="1" applyFont="1" applyFill="1" applyBorder="1" applyAlignment="1" applyProtection="1">
      <alignment horizontal="center"/>
    </xf>
    <xf numFmtId="20" fontId="10" fillId="6" borderId="34" xfId="1" applyNumberFormat="1" applyFont="1" applyFill="1" applyBorder="1" applyAlignment="1" applyProtection="1">
      <alignment horizontal="center"/>
    </xf>
    <xf numFmtId="164" fontId="10" fillId="6" borderId="41" xfId="1" applyNumberFormat="1" applyFont="1" applyFill="1" applyBorder="1" applyAlignment="1" applyProtection="1">
      <alignment horizontal="center"/>
    </xf>
    <xf numFmtId="20" fontId="9" fillId="6" borderId="40" xfId="1" applyNumberFormat="1" applyFont="1" applyFill="1" applyBorder="1" applyAlignment="1" applyProtection="1">
      <alignment horizontal="center"/>
    </xf>
    <xf numFmtId="20" fontId="3" fillId="6" borderId="39" xfId="1" applyNumberFormat="1" applyFont="1" applyFill="1" applyBorder="1" applyAlignment="1" applyProtection="1">
      <alignment horizontal="center"/>
    </xf>
    <xf numFmtId="20" fontId="3" fillId="6" borderId="19" xfId="1" applyNumberFormat="1" applyFont="1" applyFill="1" applyBorder="1" applyAlignment="1" applyProtection="1">
      <alignment horizontal="center"/>
    </xf>
    <xf numFmtId="0" fontId="8" fillId="0" borderId="27" xfId="1" applyFont="1" applyBorder="1" applyProtection="1"/>
    <xf numFmtId="0" fontId="3" fillId="6" borderId="9" xfId="1" applyFont="1" applyFill="1" applyBorder="1" applyAlignment="1" applyProtection="1">
      <alignment horizontal="center"/>
    </xf>
    <xf numFmtId="20" fontId="3" fillId="6" borderId="14" xfId="1" applyNumberFormat="1" applyFont="1" applyFill="1" applyBorder="1" applyAlignment="1" applyProtection="1">
      <alignment horizontal="center"/>
    </xf>
    <xf numFmtId="20" fontId="3" fillId="6" borderId="16" xfId="1" applyNumberFormat="1" applyFont="1" applyFill="1" applyBorder="1" applyAlignment="1" applyProtection="1">
      <alignment horizontal="center"/>
    </xf>
    <xf numFmtId="0" fontId="3" fillId="6" borderId="17" xfId="1" applyFont="1" applyFill="1" applyBorder="1" applyAlignment="1" applyProtection="1">
      <alignment horizontal="center"/>
    </xf>
    <xf numFmtId="20" fontId="3" fillId="6" borderId="11" xfId="1" applyNumberFormat="1" applyFont="1" applyFill="1" applyBorder="1" applyAlignment="1" applyProtection="1">
      <alignment horizontal="center"/>
    </xf>
    <xf numFmtId="0" fontId="3" fillId="6" borderId="16" xfId="1" applyFont="1" applyFill="1" applyBorder="1" applyAlignment="1" applyProtection="1">
      <alignment horizontal="center"/>
    </xf>
    <xf numFmtId="164" fontId="3" fillId="6" borderId="16" xfId="1" applyNumberFormat="1" applyFont="1" applyFill="1" applyBorder="1" applyAlignment="1" applyProtection="1">
      <alignment horizontal="center"/>
    </xf>
    <xf numFmtId="164" fontId="3" fillId="6" borderId="12" xfId="1" applyNumberFormat="1" applyFont="1" applyFill="1" applyBorder="1" applyAlignment="1" applyProtection="1">
      <alignment horizontal="center"/>
    </xf>
    <xf numFmtId="20" fontId="3" fillId="6" borderId="9" xfId="1" applyNumberFormat="1" applyFont="1" applyFill="1" applyBorder="1" applyAlignment="1" applyProtection="1">
      <alignment horizontal="center"/>
    </xf>
    <xf numFmtId="20" fontId="9" fillId="6" borderId="13" xfId="1" applyNumberFormat="1" applyFont="1" applyFill="1" applyBorder="1" applyAlignment="1" applyProtection="1">
      <alignment horizontal="center"/>
    </xf>
    <xf numFmtId="20" fontId="3" fillId="6" borderId="45" xfId="1" applyNumberFormat="1" applyFont="1" applyFill="1" applyBorder="1" applyAlignment="1" applyProtection="1">
      <alignment horizontal="center"/>
    </xf>
    <xf numFmtId="20" fontId="3" fillId="6" borderId="46" xfId="1" applyNumberFormat="1" applyFont="1" applyFill="1" applyBorder="1" applyAlignment="1" applyProtection="1">
      <alignment horizontal="center"/>
    </xf>
    <xf numFmtId="0" fontId="3" fillId="6" borderId="59" xfId="1" applyFont="1" applyFill="1" applyBorder="1" applyAlignment="1" applyProtection="1">
      <alignment horizontal="center"/>
    </xf>
    <xf numFmtId="20" fontId="3" fillId="6" borderId="60" xfId="1" applyNumberFormat="1" applyFont="1" applyFill="1" applyBorder="1" applyAlignment="1" applyProtection="1">
      <alignment horizontal="center"/>
    </xf>
    <xf numFmtId="20" fontId="3" fillId="6" borderId="21" xfId="1" applyNumberFormat="1" applyFont="1" applyFill="1" applyBorder="1" applyAlignment="1" applyProtection="1">
      <alignment horizontal="center"/>
    </xf>
    <xf numFmtId="164" fontId="3" fillId="6" borderId="61" xfId="1" applyNumberFormat="1" applyFont="1" applyFill="1" applyBorder="1" applyAlignment="1" applyProtection="1">
      <alignment horizontal="center"/>
    </xf>
    <xf numFmtId="20" fontId="3" fillId="6" borderId="48" xfId="1" applyNumberFormat="1" applyFont="1" applyFill="1" applyBorder="1" applyAlignment="1" applyProtection="1">
      <alignment horizontal="center"/>
    </xf>
    <xf numFmtId="164" fontId="3" fillId="6" borderId="21" xfId="1" applyNumberFormat="1" applyFont="1" applyFill="1" applyBorder="1" applyAlignment="1" applyProtection="1">
      <alignment horizontal="center"/>
    </xf>
    <xf numFmtId="20" fontId="3" fillId="6" borderId="50" xfId="1" applyNumberFormat="1" applyFont="1" applyFill="1" applyBorder="1" applyAlignment="1" applyProtection="1">
      <alignment horizontal="center"/>
    </xf>
    <xf numFmtId="164" fontId="3" fillId="6" borderId="50" xfId="1" applyNumberFormat="1" applyFont="1" applyFill="1" applyBorder="1" applyAlignment="1" applyProtection="1">
      <alignment horizontal="center"/>
    </xf>
    <xf numFmtId="164" fontId="3" fillId="6" borderId="62" xfId="1" applyNumberFormat="1" applyFont="1" applyFill="1" applyBorder="1" applyAlignment="1" applyProtection="1">
      <alignment horizontal="center"/>
    </xf>
    <xf numFmtId="20" fontId="3" fillId="6" borderId="63" xfId="1" applyNumberFormat="1" applyFont="1" applyFill="1" applyBorder="1" applyAlignment="1" applyProtection="1">
      <alignment horizontal="center"/>
    </xf>
    <xf numFmtId="20" fontId="9" fillId="6" borderId="64" xfId="1" applyNumberFormat="1" applyFont="1" applyFill="1" applyBorder="1" applyAlignment="1" applyProtection="1">
      <alignment horizontal="center"/>
    </xf>
    <xf numFmtId="20" fontId="3" fillId="6" borderId="65" xfId="1" applyNumberFormat="1" applyFont="1" applyFill="1" applyBorder="1" applyAlignment="1" applyProtection="1">
      <alignment horizontal="center"/>
    </xf>
    <xf numFmtId="20" fontId="3" fillId="6" borderId="59" xfId="1" applyNumberFormat="1" applyFont="1" applyFill="1" applyBorder="1" applyAlignment="1" applyProtection="1">
      <alignment horizontal="center"/>
    </xf>
    <xf numFmtId="0" fontId="8" fillId="0" borderId="59" xfId="1" applyFont="1" applyBorder="1" applyProtection="1"/>
    <xf numFmtId="0" fontId="3" fillId="7" borderId="5" xfId="1" applyFont="1" applyFill="1" applyBorder="1" applyAlignment="1" applyProtection="1">
      <alignment horizontal="center"/>
    </xf>
    <xf numFmtId="0" fontId="3" fillId="7" borderId="4" xfId="1" applyFont="1" applyFill="1" applyBorder="1" applyAlignment="1" applyProtection="1">
      <alignment horizontal="center"/>
    </xf>
    <xf numFmtId="20" fontId="3" fillId="7" borderId="55" xfId="1" applyNumberFormat="1" applyFont="1" applyFill="1" applyBorder="1" applyAlignment="1" applyProtection="1">
      <alignment horizontal="center"/>
    </xf>
    <xf numFmtId="164" fontId="3" fillId="7" borderId="41" xfId="1" applyNumberFormat="1" applyFont="1" applyFill="1" applyBorder="1" applyAlignment="1" applyProtection="1">
      <alignment horizontal="center"/>
    </xf>
    <xf numFmtId="20" fontId="3" fillId="7" borderId="56" xfId="1" applyNumberFormat="1" applyFont="1" applyFill="1" applyBorder="1" applyAlignment="1" applyProtection="1">
      <alignment horizontal="center"/>
    </xf>
    <xf numFmtId="20" fontId="10" fillId="7" borderId="66" xfId="1" applyNumberFormat="1" applyFont="1" applyFill="1" applyBorder="1" applyAlignment="1" applyProtection="1">
      <alignment horizontal="center"/>
    </xf>
    <xf numFmtId="20" fontId="3" fillId="7" borderId="15" xfId="1" applyNumberFormat="1" applyFont="1" applyFill="1" applyBorder="1" applyAlignment="1" applyProtection="1">
      <alignment horizontal="center"/>
    </xf>
    <xf numFmtId="164" fontId="3" fillId="7" borderId="15" xfId="1" applyNumberFormat="1" applyFont="1" applyFill="1" applyBorder="1" applyAlignment="1" applyProtection="1">
      <alignment horizontal="center"/>
    </xf>
    <xf numFmtId="164" fontId="10" fillId="7" borderId="7" xfId="1" applyNumberFormat="1" applyFont="1" applyFill="1" applyBorder="1" applyAlignment="1" applyProtection="1">
      <alignment horizontal="center"/>
    </xf>
    <xf numFmtId="20" fontId="3" fillId="7" borderId="66" xfId="1" applyNumberFormat="1" applyFont="1" applyFill="1" applyBorder="1" applyAlignment="1" applyProtection="1">
      <alignment horizontal="center"/>
    </xf>
    <xf numFmtId="20" fontId="9" fillId="7" borderId="67" xfId="1" applyNumberFormat="1" applyFont="1" applyFill="1" applyBorder="1" applyAlignment="1" applyProtection="1">
      <alignment horizontal="center"/>
    </xf>
    <xf numFmtId="20" fontId="3" fillId="7" borderId="68" xfId="1" applyNumberFormat="1" applyFont="1" applyFill="1" applyBorder="1" applyAlignment="1" applyProtection="1">
      <alignment horizontal="center"/>
    </xf>
    <xf numFmtId="20" fontId="3" fillId="7" borderId="5" xfId="1" applyNumberFormat="1" applyFont="1" applyFill="1" applyBorder="1" applyAlignment="1" applyProtection="1">
      <alignment horizontal="center"/>
    </xf>
    <xf numFmtId="164" fontId="8" fillId="0" borderId="5" xfId="1" applyNumberFormat="1" applyFont="1" applyBorder="1" applyProtection="1"/>
    <xf numFmtId="0" fontId="3" fillId="7" borderId="46" xfId="1" applyFont="1" applyFill="1" applyBorder="1" applyAlignment="1" applyProtection="1">
      <alignment horizontal="center"/>
    </xf>
    <xf numFmtId="0" fontId="3" fillId="7" borderId="9" xfId="1" applyFont="1" applyFill="1" applyBorder="1" applyAlignment="1" applyProtection="1">
      <alignment horizontal="center"/>
    </xf>
    <xf numFmtId="20" fontId="3" fillId="7" borderId="14" xfId="1" applyNumberFormat="1" applyFont="1" applyFill="1" applyBorder="1" applyAlignment="1" applyProtection="1">
      <alignment horizontal="center"/>
    </xf>
    <xf numFmtId="164" fontId="3" fillId="7" borderId="16" xfId="1" applyNumberFormat="1" applyFont="1" applyFill="1" applyBorder="1" applyAlignment="1" applyProtection="1">
      <alignment horizontal="center"/>
    </xf>
    <xf numFmtId="164" fontId="3" fillId="7" borderId="17" xfId="1" applyNumberFormat="1" applyFont="1" applyFill="1" applyBorder="1" applyAlignment="1" applyProtection="1">
      <alignment horizontal="center"/>
    </xf>
    <xf numFmtId="20" fontId="3" fillId="7" borderId="16" xfId="1" applyNumberFormat="1" applyFont="1" applyFill="1" applyBorder="1" applyAlignment="1" applyProtection="1">
      <alignment horizontal="center"/>
    </xf>
    <xf numFmtId="164" fontId="10" fillId="7" borderId="12" xfId="1" applyNumberFormat="1" applyFont="1" applyFill="1" applyBorder="1" applyAlignment="1" applyProtection="1">
      <alignment horizontal="center"/>
    </xf>
    <xf numFmtId="20" fontId="10" fillId="7" borderId="14" xfId="1" applyNumberFormat="1" applyFont="1" applyFill="1" applyBorder="1" applyAlignment="1" applyProtection="1">
      <alignment horizontal="center"/>
    </xf>
    <xf numFmtId="20" fontId="9" fillId="7" borderId="17" xfId="1" applyNumberFormat="1" applyFont="1" applyFill="1" applyBorder="1" applyAlignment="1" applyProtection="1">
      <alignment horizontal="center"/>
    </xf>
    <xf numFmtId="20" fontId="3" fillId="7" borderId="45" xfId="1" applyNumberFormat="1" applyFont="1" applyFill="1" applyBorder="1" applyAlignment="1" applyProtection="1">
      <alignment horizontal="center"/>
    </xf>
    <xf numFmtId="20" fontId="3" fillId="7" borderId="46" xfId="1" applyNumberFormat="1" applyFont="1" applyFill="1" applyBorder="1" applyAlignment="1" applyProtection="1">
      <alignment horizontal="center"/>
    </xf>
    <xf numFmtId="164" fontId="10" fillId="7" borderId="16" xfId="1" applyNumberFormat="1" applyFont="1" applyFill="1" applyBorder="1" applyAlignment="1" applyProtection="1">
      <alignment horizontal="center"/>
    </xf>
    <xf numFmtId="164" fontId="8" fillId="0" borderId="46" xfId="1" applyNumberFormat="1" applyFont="1" applyBorder="1" applyProtection="1"/>
    <xf numFmtId="0" fontId="3" fillId="7" borderId="69" xfId="1" applyFont="1" applyFill="1" applyBorder="1" applyAlignment="1" applyProtection="1">
      <alignment horizontal="center"/>
    </xf>
    <xf numFmtId="0" fontId="3" fillId="7" borderId="70" xfId="1" applyFont="1" applyFill="1" applyBorder="1" applyAlignment="1" applyProtection="1">
      <alignment horizontal="center"/>
    </xf>
    <xf numFmtId="164" fontId="3" fillId="7" borderId="18" xfId="1" applyNumberFormat="1" applyFont="1" applyFill="1" applyBorder="1" applyAlignment="1" applyProtection="1">
      <alignment horizontal="center"/>
    </xf>
    <xf numFmtId="164" fontId="3" fillId="7" borderId="71" xfId="1" applyNumberFormat="1" applyFont="1" applyFill="1" applyBorder="1" applyAlignment="1" applyProtection="1">
      <alignment horizontal="center"/>
    </xf>
    <xf numFmtId="20" fontId="10" fillId="7" borderId="72" xfId="1" applyNumberFormat="1" applyFont="1" applyFill="1" applyBorder="1" applyAlignment="1" applyProtection="1">
      <alignment horizontal="center"/>
    </xf>
    <xf numFmtId="20" fontId="3" fillId="7" borderId="18" xfId="1" applyNumberFormat="1" applyFont="1" applyFill="1" applyBorder="1" applyAlignment="1" applyProtection="1">
      <alignment horizontal="center"/>
    </xf>
    <xf numFmtId="164" fontId="10" fillId="7" borderId="73" xfId="1" applyNumberFormat="1" applyFont="1" applyFill="1" applyBorder="1" applyAlignment="1" applyProtection="1">
      <alignment horizontal="center"/>
    </xf>
    <xf numFmtId="20" fontId="3" fillId="7" borderId="74" xfId="1" applyNumberFormat="1" applyFont="1" applyFill="1" applyBorder="1" applyAlignment="1" applyProtection="1">
      <alignment horizontal="center"/>
    </xf>
    <xf numFmtId="20" fontId="3" fillId="7" borderId="69" xfId="1" applyNumberFormat="1" applyFont="1" applyFill="1" applyBorder="1" applyAlignment="1" applyProtection="1">
      <alignment horizontal="center"/>
    </xf>
    <xf numFmtId="164" fontId="8" fillId="0" borderId="69" xfId="1" applyNumberFormat="1" applyFont="1" applyBorder="1" applyProtection="1"/>
    <xf numFmtId="20" fontId="3" fillId="7" borderId="75" xfId="1" applyNumberFormat="1" applyFont="1" applyFill="1" applyBorder="1" applyAlignment="1" applyProtection="1">
      <alignment horizontal="center"/>
    </xf>
    <xf numFmtId="0" fontId="3" fillId="7" borderId="73" xfId="1" applyFont="1" applyFill="1" applyBorder="1" applyAlignment="1" applyProtection="1">
      <alignment horizontal="center"/>
    </xf>
    <xf numFmtId="20" fontId="3" fillId="7" borderId="70" xfId="1" applyNumberFormat="1" applyFont="1" applyFill="1" applyBorder="1" applyAlignment="1" applyProtection="1">
      <alignment horizontal="center"/>
    </xf>
    <xf numFmtId="0" fontId="3" fillId="7" borderId="18" xfId="1" applyFont="1" applyFill="1" applyBorder="1" applyAlignment="1" applyProtection="1">
      <alignment horizontal="center"/>
    </xf>
    <xf numFmtId="20" fontId="9" fillId="7" borderId="76" xfId="1" applyNumberFormat="1" applyFont="1" applyFill="1" applyBorder="1" applyAlignment="1" applyProtection="1">
      <alignment horizontal="center"/>
    </xf>
    <xf numFmtId="20" fontId="3" fillId="7" borderId="76" xfId="1" applyNumberFormat="1" applyFont="1" applyFill="1" applyBorder="1" applyAlignment="1" applyProtection="1">
      <alignment horizontal="center"/>
    </xf>
    <xf numFmtId="0" fontId="3" fillId="0" borderId="76" xfId="1" applyFont="1" applyBorder="1" applyAlignment="1" applyProtection="1">
      <alignment horizontal="center"/>
    </xf>
    <xf numFmtId="0" fontId="3" fillId="7" borderId="10" xfId="1" applyFont="1" applyFill="1" applyBorder="1" applyAlignment="1" applyProtection="1">
      <alignment horizontal="center"/>
    </xf>
    <xf numFmtId="0" fontId="3" fillId="7" borderId="48" xfId="1" applyFont="1" applyFill="1" applyBorder="1" applyAlignment="1" applyProtection="1">
      <alignment horizontal="center"/>
    </xf>
    <xf numFmtId="20" fontId="3" fillId="7" borderId="20" xfId="1" applyNumberFormat="1" applyFont="1" applyFill="1" applyBorder="1" applyAlignment="1" applyProtection="1">
      <alignment horizontal="center"/>
    </xf>
    <xf numFmtId="164" fontId="3" fillId="7" borderId="21" xfId="1" applyNumberFormat="1" applyFont="1" applyFill="1" applyBorder="1" applyAlignment="1" applyProtection="1">
      <alignment horizontal="center"/>
    </xf>
    <xf numFmtId="164" fontId="3" fillId="7" borderId="22" xfId="1" applyNumberFormat="1" applyFont="1" applyFill="1" applyBorder="1" applyAlignment="1" applyProtection="1">
      <alignment horizontal="center"/>
    </xf>
    <xf numFmtId="20" fontId="10" fillId="7" borderId="20" xfId="1" applyNumberFormat="1" applyFont="1" applyFill="1" applyBorder="1" applyAlignment="1" applyProtection="1">
      <alignment horizontal="center"/>
    </xf>
    <xf numFmtId="20" fontId="3" fillId="7" borderId="21" xfId="1" applyNumberFormat="1" applyFont="1" applyFill="1" applyBorder="1" applyAlignment="1" applyProtection="1">
      <alignment horizontal="center"/>
    </xf>
    <xf numFmtId="164" fontId="10" fillId="7" borderId="61" xfId="1" applyNumberFormat="1" applyFont="1" applyFill="1" applyBorder="1" applyAlignment="1" applyProtection="1">
      <alignment horizontal="center"/>
    </xf>
    <xf numFmtId="20" fontId="9" fillId="7" borderId="22" xfId="1" applyNumberFormat="1" applyFont="1" applyFill="1" applyBorder="1" applyAlignment="1" applyProtection="1">
      <alignment horizontal="center"/>
    </xf>
    <xf numFmtId="20" fontId="3" fillId="7" borderId="54" xfId="1" applyNumberFormat="1" applyFont="1" applyFill="1" applyBorder="1" applyAlignment="1" applyProtection="1">
      <alignment horizontal="center"/>
    </xf>
    <xf numFmtId="20" fontId="3" fillId="7" borderId="10" xfId="1" applyNumberFormat="1" applyFont="1" applyFill="1" applyBorder="1" applyAlignment="1" applyProtection="1">
      <alignment horizontal="center"/>
    </xf>
    <xf numFmtId="20" fontId="3" fillId="7" borderId="53" xfId="1" applyNumberFormat="1" applyFont="1" applyFill="1" applyBorder="1" applyAlignment="1" applyProtection="1">
      <alignment horizontal="center"/>
    </xf>
    <xf numFmtId="164" fontId="8" fillId="0" borderId="10" xfId="1" applyNumberFormat="1" applyFont="1" applyBorder="1" applyProtection="1"/>
    <xf numFmtId="0" fontId="3" fillId="8" borderId="77" xfId="1" applyFont="1" applyFill="1" applyBorder="1" applyAlignment="1" applyProtection="1">
      <alignment horizontal="center"/>
    </xf>
    <xf numFmtId="0" fontId="3" fillId="8" borderId="0" xfId="1" applyFont="1" applyFill="1" applyAlignment="1" applyProtection="1">
      <alignment horizontal="center"/>
    </xf>
    <xf numFmtId="20" fontId="3" fillId="8" borderId="0" xfId="1" applyNumberFormat="1" applyFont="1" applyFill="1" applyAlignment="1" applyProtection="1">
      <alignment horizontal="center"/>
    </xf>
    <xf numFmtId="164" fontId="3" fillId="8" borderId="0" xfId="1" applyNumberFormat="1" applyFont="1" applyFill="1" applyAlignment="1" applyProtection="1">
      <alignment horizontal="center"/>
    </xf>
    <xf numFmtId="20" fontId="3" fillId="8" borderId="24" xfId="1" applyNumberFormat="1" applyFont="1" applyFill="1" applyBorder="1" applyAlignment="1" applyProtection="1">
      <alignment horizontal="center"/>
    </xf>
    <xf numFmtId="164" fontId="3" fillId="8" borderId="24" xfId="1" applyNumberFormat="1" applyFont="1" applyFill="1" applyBorder="1" applyAlignment="1" applyProtection="1">
      <alignment horizontal="center"/>
    </xf>
    <xf numFmtId="164" fontId="10" fillId="8" borderId="24" xfId="1" applyNumberFormat="1" applyFont="1" applyFill="1" applyBorder="1" applyAlignment="1" applyProtection="1">
      <alignment horizontal="center"/>
    </xf>
    <xf numFmtId="20" fontId="10" fillId="8" borderId="0" xfId="1" applyNumberFormat="1" applyFont="1" applyFill="1" applyAlignment="1" applyProtection="1">
      <alignment horizontal="center"/>
    </xf>
    <xf numFmtId="164" fontId="10" fillId="8" borderId="0" xfId="1" applyNumberFormat="1" applyFont="1" applyFill="1" applyAlignment="1" applyProtection="1">
      <alignment horizontal="center"/>
    </xf>
    <xf numFmtId="20" fontId="9" fillId="8" borderId="24" xfId="1" quotePrefix="1" applyNumberFormat="1" applyFont="1" applyFill="1" applyBorder="1" applyAlignment="1" applyProtection="1">
      <alignment horizontal="center"/>
    </xf>
    <xf numFmtId="20" fontId="3" fillId="8" borderId="78" xfId="1" applyNumberFormat="1" applyFont="1" applyFill="1" applyBorder="1" applyAlignment="1" applyProtection="1">
      <alignment horizontal="center"/>
    </xf>
    <xf numFmtId="20" fontId="3" fillId="0" borderId="79" xfId="1" applyNumberFormat="1" applyFont="1" applyBorder="1" applyAlignment="1" applyProtection="1">
      <alignment horizontal="center"/>
    </xf>
    <xf numFmtId="0" fontId="3" fillId="5" borderId="80" xfId="1" applyFont="1" applyFill="1" applyBorder="1" applyAlignment="1" applyProtection="1">
      <alignment horizontal="center"/>
    </xf>
    <xf numFmtId="20" fontId="3" fillId="5" borderId="31" xfId="1" applyNumberFormat="1" applyFont="1" applyFill="1" applyBorder="1" applyAlignment="1" applyProtection="1">
      <alignment horizontal="center"/>
    </xf>
    <xf numFmtId="20" fontId="3" fillId="5" borderId="30" xfId="1" applyNumberFormat="1" applyFont="1" applyFill="1" applyBorder="1" applyAlignment="1" applyProtection="1">
      <alignment horizontal="center"/>
    </xf>
    <xf numFmtId="164" fontId="3" fillId="5" borderId="81" xfId="1" applyNumberFormat="1" applyFont="1" applyFill="1" applyBorder="1" applyAlignment="1" applyProtection="1">
      <alignment horizontal="center"/>
    </xf>
    <xf numFmtId="20" fontId="3" fillId="5" borderId="29" xfId="1" applyNumberFormat="1" applyFont="1" applyFill="1" applyBorder="1" applyAlignment="1" applyProtection="1">
      <alignment horizontal="center"/>
    </xf>
    <xf numFmtId="164" fontId="3" fillId="5" borderId="30" xfId="1" applyNumberFormat="1" applyFont="1" applyFill="1" applyBorder="1" applyAlignment="1" applyProtection="1">
      <alignment horizontal="center"/>
    </xf>
    <xf numFmtId="164" fontId="3" fillId="5" borderId="82" xfId="1" applyNumberFormat="1" applyFont="1" applyFill="1" applyBorder="1" applyAlignment="1" applyProtection="1">
      <alignment horizontal="center"/>
    </xf>
    <xf numFmtId="20" fontId="3" fillId="5" borderId="80" xfId="1" applyNumberFormat="1" applyFont="1" applyFill="1" applyBorder="1" applyAlignment="1" applyProtection="1">
      <alignment horizontal="center"/>
    </xf>
    <xf numFmtId="164" fontId="3" fillId="5" borderId="41" xfId="1" applyNumberFormat="1" applyFont="1" applyFill="1" applyBorder="1" applyAlignment="1" applyProtection="1">
      <alignment horizontal="center"/>
    </xf>
    <xf numFmtId="20" fontId="9" fillId="5" borderId="25" xfId="1" applyNumberFormat="1" applyFont="1" applyFill="1" applyBorder="1" applyAlignment="1" applyProtection="1">
      <alignment horizontal="center"/>
    </xf>
    <xf numFmtId="20" fontId="3" fillId="5" borderId="27" xfId="1" applyNumberFormat="1" applyFont="1" applyFill="1" applyBorder="1" applyAlignment="1" applyProtection="1">
      <alignment horizontal="center"/>
    </xf>
    <xf numFmtId="20" fontId="3" fillId="5" borderId="25" xfId="1" applyNumberFormat="1" applyFont="1" applyFill="1" applyBorder="1" applyAlignment="1" applyProtection="1">
      <alignment horizontal="center"/>
    </xf>
    <xf numFmtId="0" fontId="8" fillId="0" borderId="25" xfId="1" applyFont="1" applyBorder="1" applyProtection="1"/>
    <xf numFmtId="0" fontId="3" fillId="5" borderId="9" xfId="1" applyFont="1" applyFill="1" applyBorder="1" applyAlignment="1" applyProtection="1">
      <alignment horizontal="center"/>
    </xf>
    <xf numFmtId="20" fontId="3" fillId="5" borderId="14" xfId="1" applyNumberFormat="1" applyFont="1" applyFill="1" applyBorder="1" applyAlignment="1" applyProtection="1">
      <alignment horizontal="center"/>
    </xf>
    <xf numFmtId="20" fontId="3" fillId="5" borderId="16" xfId="1" applyNumberFormat="1" applyFont="1" applyFill="1" applyBorder="1" applyAlignment="1" applyProtection="1">
      <alignment horizontal="center"/>
    </xf>
    <xf numFmtId="164" fontId="3" fillId="5" borderId="83" xfId="1" applyNumberFormat="1" applyFont="1" applyFill="1" applyBorder="1" applyAlignment="1" applyProtection="1">
      <alignment horizontal="center"/>
    </xf>
    <xf numFmtId="20" fontId="3" fillId="5" borderId="11" xfId="1" applyNumberFormat="1" applyFont="1" applyFill="1" applyBorder="1" applyAlignment="1" applyProtection="1">
      <alignment horizontal="center"/>
    </xf>
    <xf numFmtId="164" fontId="3" fillId="5" borderId="16" xfId="1" applyNumberFormat="1" applyFont="1" applyFill="1" applyBorder="1" applyAlignment="1" applyProtection="1">
      <alignment horizontal="center"/>
    </xf>
    <xf numFmtId="0" fontId="3" fillId="5" borderId="12" xfId="1" applyFont="1" applyFill="1" applyBorder="1" applyAlignment="1" applyProtection="1">
      <alignment horizontal="center"/>
    </xf>
    <xf numFmtId="20" fontId="3" fillId="5" borderId="9" xfId="1" applyNumberFormat="1" applyFont="1" applyFill="1" applyBorder="1" applyAlignment="1" applyProtection="1">
      <alignment horizontal="center"/>
    </xf>
    <xf numFmtId="164" fontId="3" fillId="5" borderId="15" xfId="1" applyNumberFormat="1" applyFont="1" applyFill="1" applyBorder="1" applyAlignment="1" applyProtection="1">
      <alignment horizontal="center"/>
    </xf>
    <xf numFmtId="20" fontId="9" fillId="5" borderId="13" xfId="1" applyNumberFormat="1" applyFont="1" applyFill="1" applyBorder="1" applyAlignment="1" applyProtection="1">
      <alignment horizontal="center"/>
    </xf>
    <xf numFmtId="20" fontId="3" fillId="5" borderId="46" xfId="1" applyNumberFormat="1" applyFont="1" applyFill="1" applyBorder="1" applyAlignment="1" applyProtection="1">
      <alignment horizontal="center"/>
    </xf>
    <xf numFmtId="20" fontId="3" fillId="5" borderId="13" xfId="1" applyNumberFormat="1" applyFont="1" applyFill="1" applyBorder="1" applyAlignment="1" applyProtection="1">
      <alignment horizontal="center"/>
    </xf>
    <xf numFmtId="0" fontId="3" fillId="0" borderId="13" xfId="1" applyFont="1" applyBorder="1" applyAlignment="1" applyProtection="1">
      <alignment horizontal="center"/>
    </xf>
    <xf numFmtId="0" fontId="3" fillId="5" borderId="70" xfId="1" applyFont="1" applyFill="1" applyBorder="1" applyAlignment="1" applyProtection="1">
      <alignment horizontal="center"/>
    </xf>
    <xf numFmtId="20" fontId="3" fillId="5" borderId="72" xfId="1" applyNumberFormat="1" applyFont="1" applyFill="1" applyBorder="1" applyAlignment="1" applyProtection="1">
      <alignment horizontal="center"/>
    </xf>
    <xf numFmtId="20" fontId="3" fillId="5" borderId="18" xfId="1" applyNumberFormat="1" applyFont="1" applyFill="1" applyBorder="1" applyAlignment="1" applyProtection="1">
      <alignment horizontal="center"/>
    </xf>
    <xf numFmtId="164" fontId="3" fillId="5" borderId="71" xfId="1" applyNumberFormat="1" applyFont="1" applyFill="1" applyBorder="1" applyAlignment="1" applyProtection="1">
      <alignment horizontal="center"/>
    </xf>
    <xf numFmtId="20" fontId="3" fillId="5" borderId="75" xfId="1" applyNumberFormat="1" applyFont="1" applyFill="1" applyBorder="1" applyAlignment="1" applyProtection="1">
      <alignment horizontal="center"/>
    </xf>
    <xf numFmtId="164" fontId="3" fillId="5" borderId="18" xfId="1" applyNumberFormat="1" applyFont="1" applyFill="1" applyBorder="1" applyAlignment="1" applyProtection="1">
      <alignment horizontal="center"/>
    </xf>
    <xf numFmtId="0" fontId="3" fillId="5" borderId="73" xfId="1" applyFont="1" applyFill="1" applyBorder="1" applyAlignment="1" applyProtection="1">
      <alignment horizontal="center"/>
    </xf>
    <xf numFmtId="20" fontId="3" fillId="5" borderId="70" xfId="1" applyNumberFormat="1" applyFont="1" applyFill="1" applyBorder="1" applyAlignment="1" applyProtection="1">
      <alignment horizontal="center"/>
    </xf>
    <xf numFmtId="0" fontId="3" fillId="5" borderId="18" xfId="1" applyFont="1" applyFill="1" applyBorder="1" applyAlignment="1" applyProtection="1">
      <alignment horizontal="center"/>
    </xf>
    <xf numFmtId="20" fontId="9" fillId="5" borderId="76" xfId="1" applyNumberFormat="1" applyFont="1" applyFill="1" applyBorder="1" applyAlignment="1" applyProtection="1">
      <alignment horizontal="center"/>
    </xf>
    <xf numFmtId="20" fontId="3" fillId="5" borderId="69" xfId="1" applyNumberFormat="1" applyFont="1" applyFill="1" applyBorder="1" applyAlignment="1" applyProtection="1">
      <alignment horizontal="center"/>
    </xf>
    <xf numFmtId="20" fontId="3" fillId="5" borderId="76" xfId="1" applyNumberFormat="1" applyFont="1" applyFill="1" applyBorder="1" applyAlignment="1" applyProtection="1">
      <alignment horizontal="center"/>
    </xf>
    <xf numFmtId="0" fontId="3" fillId="5" borderId="48" xfId="1" applyFont="1" applyFill="1" applyBorder="1" applyAlignment="1" applyProtection="1">
      <alignment horizontal="center"/>
    </xf>
    <xf numFmtId="20" fontId="3" fillId="5" borderId="20" xfId="1" applyNumberFormat="1" applyFont="1" applyFill="1" applyBorder="1" applyAlignment="1" applyProtection="1">
      <alignment horizontal="center"/>
    </xf>
    <xf numFmtId="20" fontId="3" fillId="5" borderId="21" xfId="1" applyNumberFormat="1" applyFont="1" applyFill="1" applyBorder="1" applyAlignment="1" applyProtection="1">
      <alignment horizontal="center"/>
    </xf>
    <xf numFmtId="164" fontId="3" fillId="5" borderId="22" xfId="1" applyNumberFormat="1" applyFont="1" applyFill="1" applyBorder="1" applyAlignment="1" applyProtection="1">
      <alignment horizontal="center"/>
    </xf>
    <xf numFmtId="20" fontId="3" fillId="5" borderId="52" xfId="1" applyNumberFormat="1" applyFont="1" applyFill="1" applyBorder="1" applyAlignment="1" applyProtection="1">
      <alignment horizontal="center"/>
    </xf>
    <xf numFmtId="164" fontId="3" fillId="5" borderId="21" xfId="1" applyNumberFormat="1" applyFont="1" applyFill="1" applyBorder="1" applyAlignment="1" applyProtection="1">
      <alignment horizontal="center"/>
    </xf>
    <xf numFmtId="20" fontId="3" fillId="5" borderId="61" xfId="1" applyNumberFormat="1" applyFont="1" applyFill="1" applyBorder="1" applyAlignment="1" applyProtection="1">
      <alignment horizontal="center"/>
    </xf>
    <xf numFmtId="20" fontId="9" fillId="5" borderId="53" xfId="1" applyNumberFormat="1" applyFont="1" applyFill="1" applyBorder="1" applyAlignment="1" applyProtection="1">
      <alignment horizontal="center"/>
    </xf>
    <xf numFmtId="20" fontId="3" fillId="5" borderId="48" xfId="1" applyNumberFormat="1" applyFont="1" applyFill="1" applyBorder="1" applyAlignment="1" applyProtection="1">
      <alignment horizontal="center"/>
    </xf>
    <xf numFmtId="20" fontId="3" fillId="5" borderId="10" xfId="1" applyNumberFormat="1" applyFont="1" applyFill="1" applyBorder="1" applyAlignment="1" applyProtection="1">
      <alignment horizontal="center"/>
    </xf>
    <xf numFmtId="0" fontId="3" fillId="8" borderId="84" xfId="1" applyFont="1" applyFill="1" applyBorder="1" applyProtection="1"/>
    <xf numFmtId="0" fontId="3" fillId="8" borderId="65" xfId="1" applyFont="1" applyFill="1" applyBorder="1" applyProtection="1"/>
    <xf numFmtId="0" fontId="3" fillId="8" borderId="65" xfId="1" applyFont="1" applyFill="1" applyBorder="1" applyAlignment="1" applyProtection="1">
      <alignment horizontal="center"/>
    </xf>
    <xf numFmtId="0" fontId="3" fillId="8" borderId="24" xfId="1" applyFont="1" applyFill="1" applyBorder="1" applyAlignment="1" applyProtection="1">
      <alignment horizontal="center"/>
    </xf>
    <xf numFmtId="0" fontId="9" fillId="8" borderId="24" xfId="1" applyFont="1" applyFill="1" applyBorder="1" applyAlignment="1" applyProtection="1">
      <alignment horizontal="center"/>
    </xf>
    <xf numFmtId="0" fontId="3" fillId="8" borderId="85" xfId="1" applyFont="1" applyFill="1" applyBorder="1" applyAlignment="1" applyProtection="1">
      <alignment horizontal="center"/>
    </xf>
    <xf numFmtId="20" fontId="3" fillId="0" borderId="59" xfId="1" applyNumberFormat="1" applyFont="1" applyBorder="1" applyAlignment="1" applyProtection="1">
      <alignment horizontal="center"/>
    </xf>
    <xf numFmtId="0" fontId="1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8" borderId="23" xfId="0" applyFont="1" applyFill="1" applyBorder="1" applyAlignment="1"/>
    <xf numFmtId="0" fontId="4" fillId="8" borderId="24" xfId="0" applyFont="1" applyFill="1" applyBorder="1" applyAlignment="1"/>
    <xf numFmtId="0" fontId="4" fillId="8" borderId="32" xfId="0" applyFont="1" applyFill="1" applyBorder="1" applyAlignment="1"/>
    <xf numFmtId="0" fontId="4" fillId="8" borderId="26" xfId="0" applyFont="1" applyFill="1" applyBorder="1" applyAlignment="1"/>
    <xf numFmtId="20" fontId="5" fillId="0" borderId="14" xfId="0" applyNumberFormat="1" applyFont="1" applyBorder="1" applyAlignment="1">
      <alignment horizontal="center"/>
    </xf>
    <xf numFmtId="20" fontId="5" fillId="0" borderId="16" xfId="0" applyNumberFormat="1" applyFont="1" applyBorder="1" applyAlignment="1">
      <alignment horizontal="center"/>
    </xf>
    <xf numFmtId="20" fontId="5" fillId="0" borderId="12" xfId="0" applyNumberFormat="1" applyFont="1" applyBorder="1" applyAlignment="1">
      <alignment horizontal="center"/>
    </xf>
    <xf numFmtId="0" fontId="4" fillId="8" borderId="27" xfId="0" quotePrefix="1" applyFont="1" applyFill="1" applyBorder="1" applyAlignment="1">
      <alignment horizontal="center"/>
    </xf>
    <xf numFmtId="20" fontId="5" fillId="0" borderId="11" xfId="0" applyNumberFormat="1" applyFont="1" applyBorder="1" applyAlignment="1">
      <alignment horizontal="center"/>
    </xf>
    <xf numFmtId="20" fontId="5" fillId="0" borderId="13" xfId="0" applyNumberFormat="1" applyFont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0" fontId="4" fillId="8" borderId="10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20" fontId="4" fillId="9" borderId="15" xfId="0" applyNumberFormat="1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20" fontId="1" fillId="0" borderId="16" xfId="0" applyNumberFormat="1" applyFont="1" applyBorder="1" applyAlignment="1">
      <alignment horizontal="center"/>
    </xf>
    <xf numFmtId="20" fontId="4" fillId="0" borderId="16" xfId="0" applyNumberFormat="1" applyFont="1" applyBorder="1" applyAlignment="1">
      <alignment horizontal="center"/>
    </xf>
    <xf numFmtId="20" fontId="1" fillId="4" borderId="16" xfId="0" applyNumberFormat="1" applyFont="1" applyFill="1" applyBorder="1" applyAlignment="1">
      <alignment horizontal="center"/>
    </xf>
    <xf numFmtId="20" fontId="11" fillId="0" borderId="16" xfId="0" applyNumberFormat="1" applyFont="1" applyBorder="1" applyAlignment="1">
      <alignment horizontal="center"/>
    </xf>
    <xf numFmtId="0" fontId="5" fillId="0" borderId="0" xfId="0" applyFont="1" applyAlignment="1"/>
    <xf numFmtId="0" fontId="8" fillId="0" borderId="0" xfId="0" applyFont="1" applyAlignment="1"/>
    <xf numFmtId="0" fontId="12" fillId="0" borderId="16" xfId="0" applyFont="1" applyBorder="1" applyAlignment="1"/>
    <xf numFmtId="20" fontId="13" fillId="4" borderId="16" xfId="0" applyNumberFormat="1" applyFont="1" applyFill="1" applyBorder="1" applyAlignment="1">
      <alignment horizontal="center"/>
    </xf>
    <xf numFmtId="20" fontId="12" fillId="0" borderId="16" xfId="0" applyNumberFormat="1" applyFont="1" applyBorder="1" applyAlignment="1"/>
    <xf numFmtId="20" fontId="2" fillId="4" borderId="16" xfId="0" applyNumberFormat="1" applyFont="1" applyFill="1" applyBorder="1" applyAlignment="1">
      <alignment horizontal="center"/>
    </xf>
    <xf numFmtId="20" fontId="13" fillId="0" borderId="16" xfId="0" applyNumberFormat="1" applyFont="1" applyBorder="1" applyAlignment="1">
      <alignment horizontal="center"/>
    </xf>
    <xf numFmtId="0" fontId="2" fillId="0" borderId="0" xfId="0" applyFont="1" applyAlignment="1"/>
    <xf numFmtId="0" fontId="1" fillId="4" borderId="16" xfId="0" applyFont="1" applyFill="1" applyBorder="1" applyAlignment="1">
      <alignment horizontal="center"/>
    </xf>
    <xf numFmtId="20" fontId="14" fillId="4" borderId="16" xfId="0" applyNumberFormat="1" applyFont="1" applyFill="1" applyBorder="1" applyAlignment="1">
      <alignment horizontal="center"/>
    </xf>
    <xf numFmtId="20" fontId="5" fillId="4" borderId="16" xfId="0" applyNumberFormat="1" applyFont="1" applyFill="1" applyBorder="1" applyAlignment="1">
      <alignment horizontal="center"/>
    </xf>
    <xf numFmtId="20" fontId="5" fillId="0" borderId="18" xfId="0" applyNumberFormat="1" applyFont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20" fontId="3" fillId="9" borderId="15" xfId="0" applyNumberFormat="1" applyFont="1" applyFill="1" applyBorder="1" applyAlignment="1">
      <alignment horizontal="center"/>
    </xf>
    <xf numFmtId="20" fontId="11" fillId="0" borderId="18" xfId="0" applyNumberFormat="1" applyFont="1" applyBorder="1" applyAlignment="1">
      <alignment horizontal="center"/>
    </xf>
    <xf numFmtId="20" fontId="15" fillId="4" borderId="16" xfId="0" applyNumberFormat="1" applyFont="1" applyFill="1" applyBorder="1" applyAlignment="1">
      <alignment horizontal="center"/>
    </xf>
    <xf numFmtId="20" fontId="14" fillId="4" borderId="12" xfId="0" applyNumberFormat="1" applyFont="1" applyFill="1" applyBorder="1" applyAlignment="1">
      <alignment horizontal="center"/>
    </xf>
    <xf numFmtId="20" fontId="3" fillId="4" borderId="16" xfId="0" applyNumberFormat="1" applyFont="1" applyFill="1" applyBorder="1" applyAlignment="1">
      <alignment horizontal="center"/>
    </xf>
    <xf numFmtId="20" fontId="11" fillId="0" borderId="18" xfId="0" applyNumberFormat="1" applyFont="1" applyBorder="1" applyAlignment="1"/>
    <xf numFmtId="20" fontId="2" fillId="4" borderId="12" xfId="0" applyNumberFormat="1" applyFont="1" applyFill="1" applyBorder="1" applyAlignment="1">
      <alignment horizontal="center"/>
    </xf>
    <xf numFmtId="0" fontId="8" fillId="0" borderId="16" xfId="0" applyFont="1" applyBorder="1" applyAlignment="1"/>
    <xf numFmtId="20" fontId="2" fillId="0" borderId="16" xfId="0" applyNumberFormat="1" applyFont="1" applyBorder="1" applyAlignment="1">
      <alignment horizontal="center"/>
    </xf>
    <xf numFmtId="20" fontId="1" fillId="0" borderId="11" xfId="0" applyNumberFormat="1" applyFont="1" applyBorder="1" applyAlignment="1">
      <alignment horizontal="center"/>
    </xf>
    <xf numFmtId="20" fontId="14" fillId="0" borderId="16" xfId="0" applyNumberFormat="1" applyFont="1" applyBorder="1" applyAlignment="1">
      <alignment horizontal="center"/>
    </xf>
    <xf numFmtId="0" fontId="5" fillId="0" borderId="9" xfId="0" applyFont="1" applyBorder="1" applyAlignment="1"/>
    <xf numFmtId="20" fontId="5" fillId="5" borderId="16" xfId="0" applyNumberFormat="1" applyFont="1" applyFill="1" applyBorder="1" applyAlignment="1">
      <alignment horizontal="center"/>
    </xf>
    <xf numFmtId="20" fontId="14" fillId="5" borderId="16" xfId="0" applyNumberFormat="1" applyFont="1" applyFill="1" applyBorder="1" applyAlignment="1">
      <alignment horizontal="center"/>
    </xf>
    <xf numFmtId="20" fontId="2" fillId="5" borderId="16" xfId="0" applyNumberFormat="1" applyFont="1" applyFill="1" applyBorder="1" applyAlignment="1">
      <alignment horizontal="center"/>
    </xf>
    <xf numFmtId="20" fontId="2" fillId="9" borderId="16" xfId="0" applyNumberFormat="1" applyFont="1" applyFill="1" applyBorder="1" applyAlignment="1">
      <alignment horizontal="center"/>
    </xf>
    <xf numFmtId="20" fontId="2" fillId="0" borderId="18" xfId="0" applyNumberFormat="1" applyFont="1" applyBorder="1" applyAlignment="1">
      <alignment horizontal="center"/>
    </xf>
    <xf numFmtId="20" fontId="7" fillId="5" borderId="16" xfId="0" applyNumberFormat="1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20" fontId="5" fillId="4" borderId="12" xfId="0" applyNumberFormat="1" applyFont="1" applyFill="1" applyBorder="1" applyAlignment="1">
      <alignment horizontal="center"/>
    </xf>
    <xf numFmtId="0" fontId="5" fillId="0" borderId="13" xfId="0" applyFont="1" applyBorder="1" applyAlignment="1"/>
    <xf numFmtId="20" fontId="14" fillId="10" borderId="16" xfId="0" applyNumberFormat="1" applyFont="1" applyFill="1" applyBorder="1" applyAlignment="1">
      <alignment horizontal="center"/>
    </xf>
    <xf numFmtId="20" fontId="4" fillId="5" borderId="16" xfId="0" applyNumberFormat="1" applyFont="1" applyFill="1" applyBorder="1" applyAlignment="1">
      <alignment horizontal="center"/>
    </xf>
    <xf numFmtId="20" fontId="13" fillId="4" borderId="12" xfId="0" applyNumberFormat="1" applyFont="1" applyFill="1" applyBorder="1" applyAlignment="1">
      <alignment horizontal="center"/>
    </xf>
    <xf numFmtId="20" fontId="13" fillId="5" borderId="11" xfId="0" applyNumberFormat="1" applyFont="1" applyFill="1" applyBorder="1" applyAlignment="1">
      <alignment horizontal="center"/>
    </xf>
    <xf numFmtId="20" fontId="4" fillId="0" borderId="0" xfId="0" applyNumberFormat="1" applyFont="1" applyAlignment="1"/>
    <xf numFmtId="20" fontId="2" fillId="5" borderId="11" xfId="0" applyNumberFormat="1" applyFont="1" applyFill="1" applyBorder="1" applyAlignment="1">
      <alignment horizontal="center"/>
    </xf>
    <xf numFmtId="20" fontId="2" fillId="6" borderId="16" xfId="0" applyNumberFormat="1" applyFont="1" applyFill="1" applyBorder="1" applyAlignment="1">
      <alignment horizontal="center"/>
    </xf>
    <xf numFmtId="20" fontId="2" fillId="0" borderId="0" xfId="0" applyNumberFormat="1" applyFont="1" applyAlignment="1"/>
    <xf numFmtId="20" fontId="14" fillId="6" borderId="16" xfId="0" applyNumberFormat="1" applyFont="1" applyFill="1" applyBorder="1" applyAlignment="1">
      <alignment horizontal="center"/>
    </xf>
    <xf numFmtId="20" fontId="5" fillId="6" borderId="16" xfId="0" applyNumberFormat="1" applyFont="1" applyFill="1" applyBorder="1" applyAlignment="1">
      <alignment horizontal="center"/>
    </xf>
    <xf numFmtId="20" fontId="13" fillId="5" borderId="16" xfId="0" applyNumberFormat="1" applyFont="1" applyFill="1" applyBorder="1" applyAlignment="1">
      <alignment horizontal="center"/>
    </xf>
    <xf numFmtId="20" fontId="13" fillId="6" borderId="16" xfId="0" applyNumberFormat="1" applyFont="1" applyFill="1" applyBorder="1" applyAlignment="1">
      <alignment horizontal="center"/>
    </xf>
    <xf numFmtId="20" fontId="1" fillId="6" borderId="16" xfId="0" applyNumberFormat="1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20" fontId="14" fillId="7" borderId="16" xfId="0" applyNumberFormat="1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20" fontId="1" fillId="0" borderId="18" xfId="0" applyNumberFormat="1" applyFont="1" applyBorder="1" applyAlignment="1">
      <alignment horizontal="center"/>
    </xf>
    <xf numFmtId="20" fontId="5" fillId="7" borderId="16" xfId="0" applyNumberFormat="1" applyFont="1" applyFill="1" applyBorder="1" applyAlignment="1">
      <alignment horizontal="center"/>
    </xf>
    <xf numFmtId="20" fontId="13" fillId="5" borderId="12" xfId="0" applyNumberFormat="1" applyFont="1" applyFill="1" applyBorder="1" applyAlignment="1">
      <alignment horizontal="center"/>
    </xf>
    <xf numFmtId="20" fontId="13" fillId="7" borderId="11" xfId="0" applyNumberFormat="1" applyFont="1" applyFill="1" applyBorder="1" applyAlignment="1">
      <alignment horizontal="center"/>
    </xf>
    <xf numFmtId="20" fontId="13" fillId="7" borderId="16" xfId="0" applyNumberFormat="1" applyFont="1" applyFill="1" applyBorder="1" applyAlignment="1">
      <alignment horizontal="center"/>
    </xf>
    <xf numFmtId="20" fontId="2" fillId="5" borderId="12" xfId="0" applyNumberFormat="1" applyFont="1" applyFill="1" applyBorder="1" applyAlignment="1">
      <alignment horizontal="center"/>
    </xf>
    <xf numFmtId="20" fontId="2" fillId="9" borderId="11" xfId="0" applyNumberFormat="1" applyFont="1" applyFill="1" applyBorder="1" applyAlignment="1">
      <alignment horizontal="center"/>
    </xf>
    <xf numFmtId="20" fontId="2" fillId="7" borderId="16" xfId="0" applyNumberFormat="1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7" fillId="6" borderId="16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20" fontId="14" fillId="6" borderId="11" xfId="0" applyNumberFormat="1" applyFont="1" applyFill="1" applyBorder="1" applyAlignment="1">
      <alignment horizontal="center"/>
    </xf>
    <xf numFmtId="0" fontId="2" fillId="0" borderId="9" xfId="0" applyFont="1" applyBorder="1" applyAlignment="1"/>
    <xf numFmtId="20" fontId="2" fillId="6" borderId="11" xfId="0" applyNumberFormat="1" applyFont="1" applyFill="1" applyBorder="1" applyAlignment="1">
      <alignment horizontal="center"/>
    </xf>
    <xf numFmtId="20" fontId="7" fillId="6" borderId="16" xfId="0" applyNumberFormat="1" applyFont="1" applyFill="1" applyBorder="1" applyAlignment="1">
      <alignment horizontal="center"/>
    </xf>
    <xf numFmtId="20" fontId="4" fillId="6" borderId="16" xfId="0" applyNumberFormat="1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20" fontId="1" fillId="7" borderId="16" xfId="0" applyNumberFormat="1" applyFont="1" applyFill="1" applyBorder="1" applyAlignment="1">
      <alignment horizontal="center"/>
    </xf>
    <xf numFmtId="20" fontId="17" fillId="7" borderId="16" xfId="0" applyNumberFormat="1" applyFont="1" applyFill="1" applyBorder="1" applyAlignment="1">
      <alignment horizontal="center"/>
    </xf>
    <xf numFmtId="20" fontId="17" fillId="0" borderId="16" xfId="0" applyNumberFormat="1" applyFont="1" applyBorder="1" applyAlignment="1">
      <alignment horizontal="center"/>
    </xf>
    <xf numFmtId="0" fontId="8" fillId="7" borderId="16" xfId="0" applyFont="1" applyFill="1" applyBorder="1" applyAlignment="1"/>
    <xf numFmtId="0" fontId="8" fillId="7" borderId="16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6" fillId="0" borderId="21" xfId="0" applyFont="1" applyBorder="1" applyAlignment="1">
      <alignment horizontal="center"/>
    </xf>
    <xf numFmtId="20" fontId="1" fillId="0" borderId="21" xfId="0" applyNumberFormat="1" applyFont="1" applyBorder="1" applyAlignment="1">
      <alignment horizontal="center"/>
    </xf>
    <xf numFmtId="0" fontId="4" fillId="7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46" fontId="8" fillId="0" borderId="21" xfId="0" applyNumberFormat="1" applyFont="1" applyBorder="1" applyAlignment="1">
      <alignment horizontal="center"/>
    </xf>
    <xf numFmtId="4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6" fontId="1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14" fillId="0" borderId="0" xfId="0" applyFont="1" applyAlignment="1"/>
    <xf numFmtId="0" fontId="3" fillId="8" borderId="26" xfId="1" applyFont="1" applyFill="1" applyBorder="1" applyProtection="1"/>
    <xf numFmtId="0" fontId="18" fillId="0" borderId="0" xfId="0" applyFont="1" applyAlignment="1">
      <alignment horizontal="right"/>
    </xf>
    <xf numFmtId="0" fontId="18" fillId="0" borderId="0" xfId="0" applyFont="1" applyAlignment="1"/>
    <xf numFmtId="2" fontId="3" fillId="8" borderId="33" xfId="1" applyNumberFormat="1" applyFont="1" applyFill="1" applyBorder="1" applyAlignment="1" applyProtection="1">
      <alignment horizontal="center"/>
    </xf>
    <xf numFmtId="2" fontId="3" fillId="8" borderId="25" xfId="1" applyNumberFormat="1" applyFont="1" applyFill="1" applyBorder="1" applyAlignment="1" applyProtection="1">
      <alignment horizontal="center"/>
    </xf>
    <xf numFmtId="0" fontId="3" fillId="10" borderId="19" xfId="1" applyFont="1" applyFill="1" applyBorder="1" applyAlignment="1" applyProtection="1">
      <alignment horizontal="center"/>
    </xf>
    <xf numFmtId="20" fontId="3" fillId="10" borderId="55" xfId="1" applyNumberFormat="1" applyFont="1" applyFill="1" applyBorder="1" applyAlignment="1" applyProtection="1">
      <alignment horizontal="center"/>
    </xf>
    <xf numFmtId="20" fontId="3" fillId="10" borderId="41" xfId="1" applyNumberFormat="1" applyFont="1" applyFill="1" applyBorder="1" applyAlignment="1" applyProtection="1">
      <alignment horizontal="center"/>
    </xf>
    <xf numFmtId="164" fontId="3" fillId="10" borderId="56" xfId="1" applyNumberFormat="1" applyFont="1" applyFill="1" applyBorder="1" applyAlignment="1" applyProtection="1">
      <alignment horizontal="center"/>
    </xf>
    <xf numFmtId="20" fontId="3" fillId="10" borderId="56" xfId="1" applyNumberFormat="1" applyFont="1" applyFill="1" applyBorder="1" applyAlignment="1" applyProtection="1">
      <alignment horizontal="center"/>
    </xf>
    <xf numFmtId="20" fontId="3" fillId="10" borderId="39" xfId="1" applyNumberFormat="1" applyFont="1" applyFill="1" applyBorder="1" applyAlignment="1" applyProtection="1">
      <alignment horizontal="center"/>
    </xf>
    <xf numFmtId="20" fontId="3" fillId="10" borderId="19" xfId="1" applyNumberFormat="1" applyFont="1" applyFill="1" applyBorder="1" applyAlignment="1" applyProtection="1">
      <alignment horizontal="center"/>
    </xf>
    <xf numFmtId="20" fontId="3" fillId="10" borderId="57" xfId="1" applyNumberFormat="1" applyFont="1" applyFill="1" applyBorder="1" applyAlignment="1" applyProtection="1">
      <alignment horizontal="center"/>
    </xf>
    <xf numFmtId="0" fontId="8" fillId="10" borderId="25" xfId="1" applyFont="1" applyFill="1" applyBorder="1" applyProtection="1"/>
    <xf numFmtId="20" fontId="3" fillId="0" borderId="0" xfId="0" applyNumberFormat="1" applyFont="1" applyAlignment="1"/>
    <xf numFmtId="0" fontId="3" fillId="10" borderId="46" xfId="1" applyFont="1" applyFill="1" applyBorder="1" applyAlignment="1" applyProtection="1">
      <alignment horizontal="center"/>
    </xf>
    <xf numFmtId="20" fontId="3" fillId="10" borderId="14" xfId="1" applyNumberFormat="1" applyFont="1" applyFill="1" applyBorder="1" applyAlignment="1" applyProtection="1">
      <alignment horizontal="center"/>
    </xf>
    <xf numFmtId="20" fontId="3" fillId="10" borderId="16" xfId="1" applyNumberFormat="1" applyFont="1" applyFill="1" applyBorder="1" applyAlignment="1" applyProtection="1">
      <alignment horizontal="center"/>
    </xf>
    <xf numFmtId="164" fontId="3" fillId="10" borderId="17" xfId="1" applyNumberFormat="1" applyFont="1" applyFill="1" applyBorder="1" applyAlignment="1" applyProtection="1">
      <alignment horizontal="center"/>
    </xf>
    <xf numFmtId="164" fontId="3" fillId="10" borderId="16" xfId="1" applyNumberFormat="1" applyFont="1" applyFill="1" applyBorder="1" applyAlignment="1" applyProtection="1">
      <alignment horizontal="center"/>
    </xf>
    <xf numFmtId="20" fontId="3" fillId="10" borderId="17" xfId="1" applyNumberFormat="1" applyFont="1" applyFill="1" applyBorder="1" applyAlignment="1" applyProtection="1">
      <alignment horizontal="center"/>
    </xf>
    <xf numFmtId="20" fontId="3" fillId="10" borderId="45" xfId="1" applyNumberFormat="1" applyFont="1" applyFill="1" applyBorder="1" applyAlignment="1" applyProtection="1">
      <alignment horizontal="center"/>
    </xf>
    <xf numFmtId="20" fontId="3" fillId="10" borderId="46" xfId="1" applyNumberFormat="1" applyFont="1" applyFill="1" applyBorder="1" applyAlignment="1" applyProtection="1">
      <alignment horizontal="center"/>
    </xf>
    <xf numFmtId="20" fontId="3" fillId="10" borderId="11" xfId="1" applyNumberFormat="1" applyFont="1" applyFill="1" applyBorder="1" applyAlignment="1" applyProtection="1">
      <alignment horizontal="center"/>
    </xf>
    <xf numFmtId="0" fontId="8" fillId="10" borderId="13" xfId="1" applyFont="1" applyFill="1" applyBorder="1" applyProtection="1"/>
    <xf numFmtId="0" fontId="8" fillId="10" borderId="8" xfId="1" applyFont="1" applyFill="1" applyBorder="1" applyProtection="1"/>
    <xf numFmtId="0" fontId="3" fillId="10" borderId="10" xfId="1" applyFont="1" applyFill="1" applyBorder="1" applyAlignment="1" applyProtection="1">
      <alignment horizontal="center"/>
    </xf>
    <xf numFmtId="20" fontId="3" fillId="10" borderId="20" xfId="1" applyNumberFormat="1" applyFont="1" applyFill="1" applyBorder="1" applyAlignment="1" applyProtection="1">
      <alignment horizontal="center"/>
    </xf>
    <xf numFmtId="164" fontId="3" fillId="10" borderId="21" xfId="1" applyNumberFormat="1" applyFont="1" applyFill="1" applyBorder="1" applyAlignment="1" applyProtection="1">
      <alignment horizontal="center"/>
    </xf>
    <xf numFmtId="164" fontId="3" fillId="10" borderId="22" xfId="1" applyNumberFormat="1" applyFont="1" applyFill="1" applyBorder="1" applyAlignment="1" applyProtection="1">
      <alignment horizontal="center"/>
    </xf>
    <xf numFmtId="20" fontId="3" fillId="10" borderId="21" xfId="1" applyNumberFormat="1" applyFont="1" applyFill="1" applyBorder="1" applyAlignment="1" applyProtection="1">
      <alignment horizontal="center"/>
    </xf>
    <xf numFmtId="20" fontId="3" fillId="10" borderId="22" xfId="1" applyNumberFormat="1" applyFont="1" applyFill="1" applyBorder="1" applyAlignment="1" applyProtection="1">
      <alignment horizontal="center"/>
    </xf>
    <xf numFmtId="20" fontId="3" fillId="10" borderId="54" xfId="1" applyNumberFormat="1" applyFont="1" applyFill="1" applyBorder="1" applyAlignment="1" applyProtection="1">
      <alignment horizontal="center"/>
    </xf>
    <xf numFmtId="20" fontId="3" fillId="10" borderId="10" xfId="1" applyNumberFormat="1" applyFont="1" applyFill="1" applyBorder="1" applyAlignment="1" applyProtection="1">
      <alignment horizontal="center"/>
    </xf>
    <xf numFmtId="20" fontId="3" fillId="10" borderId="52" xfId="1" applyNumberFormat="1" applyFont="1" applyFill="1" applyBorder="1" applyAlignment="1" applyProtection="1">
      <alignment horizontal="center"/>
    </xf>
    <xf numFmtId="0" fontId="8" fillId="10" borderId="53" xfId="1" applyFont="1" applyFill="1" applyBorder="1" applyProtection="1"/>
    <xf numFmtId="0" fontId="3" fillId="6" borderId="19" xfId="1" applyFont="1" applyFill="1" applyBorder="1" applyAlignment="1" applyProtection="1">
      <alignment horizontal="center"/>
    </xf>
    <xf numFmtId="20" fontId="3" fillId="6" borderId="56" xfId="1" applyNumberFormat="1" applyFont="1" applyFill="1" applyBorder="1" applyAlignment="1" applyProtection="1">
      <alignment horizontal="center"/>
    </xf>
    <xf numFmtId="0" fontId="8" fillId="6" borderId="40" xfId="1" applyFont="1" applyFill="1" applyBorder="1" applyProtection="1"/>
    <xf numFmtId="0" fontId="3" fillId="6" borderId="46" xfId="1" applyFont="1" applyFill="1" applyBorder="1" applyAlignment="1" applyProtection="1">
      <alignment horizontal="center"/>
    </xf>
    <xf numFmtId="164" fontId="3" fillId="6" borderId="17" xfId="1" applyNumberFormat="1" applyFont="1" applyFill="1" applyBorder="1" applyAlignment="1" applyProtection="1">
      <alignment horizontal="center"/>
    </xf>
    <xf numFmtId="20" fontId="3" fillId="6" borderId="17" xfId="1" applyNumberFormat="1" applyFont="1" applyFill="1" applyBorder="1" applyAlignment="1" applyProtection="1">
      <alignment horizontal="center"/>
    </xf>
    <xf numFmtId="0" fontId="8" fillId="6" borderId="13" xfId="1" applyFont="1" applyFill="1" applyBorder="1" applyProtection="1"/>
    <xf numFmtId="0" fontId="3" fillId="6" borderId="10" xfId="1" applyFont="1" applyFill="1" applyBorder="1" applyAlignment="1" applyProtection="1">
      <alignment horizontal="center"/>
    </xf>
    <xf numFmtId="20" fontId="3" fillId="6" borderId="20" xfId="1" applyNumberFormat="1" applyFont="1" applyFill="1" applyBorder="1" applyAlignment="1" applyProtection="1">
      <alignment horizontal="center"/>
    </xf>
    <xf numFmtId="164" fontId="3" fillId="6" borderId="22" xfId="1" applyNumberFormat="1" applyFont="1" applyFill="1" applyBorder="1" applyAlignment="1" applyProtection="1">
      <alignment horizontal="center"/>
    </xf>
    <xf numFmtId="20" fontId="3" fillId="6" borderId="22" xfId="1" applyNumberFormat="1" applyFont="1" applyFill="1" applyBorder="1" applyAlignment="1" applyProtection="1">
      <alignment horizontal="center"/>
    </xf>
    <xf numFmtId="20" fontId="3" fillId="6" borderId="54" xfId="1" applyNumberFormat="1" applyFont="1" applyFill="1" applyBorder="1" applyAlignment="1" applyProtection="1">
      <alignment horizontal="center"/>
    </xf>
    <xf numFmtId="20" fontId="3" fillId="6" borderId="10" xfId="1" applyNumberFormat="1" applyFont="1" applyFill="1" applyBorder="1" applyAlignment="1" applyProtection="1">
      <alignment horizontal="center"/>
    </xf>
    <xf numFmtId="20" fontId="3" fillId="6" borderId="52" xfId="1" applyNumberFormat="1" applyFont="1" applyFill="1" applyBorder="1" applyAlignment="1" applyProtection="1">
      <alignment horizontal="center"/>
    </xf>
    <xf numFmtId="0" fontId="8" fillId="6" borderId="53" xfId="1" applyFont="1" applyFill="1" applyBorder="1" applyProtection="1"/>
    <xf numFmtId="164" fontId="3" fillId="7" borderId="67" xfId="1" applyNumberFormat="1" applyFont="1" applyFill="1" applyBorder="1" applyAlignment="1" applyProtection="1">
      <alignment horizontal="center"/>
    </xf>
    <xf numFmtId="20" fontId="3" fillId="7" borderId="67" xfId="1" applyNumberFormat="1" applyFont="1" applyFill="1" applyBorder="1" applyAlignment="1" applyProtection="1">
      <alignment horizontal="center"/>
    </xf>
    <xf numFmtId="20" fontId="3" fillId="7" borderId="6" xfId="1" applyNumberFormat="1" applyFont="1" applyFill="1" applyBorder="1" applyAlignment="1" applyProtection="1">
      <alignment horizontal="center"/>
    </xf>
    <xf numFmtId="0" fontId="8" fillId="7" borderId="8" xfId="1" applyFont="1" applyFill="1" applyBorder="1" applyProtection="1"/>
    <xf numFmtId="20" fontId="3" fillId="7" borderId="17" xfId="1" applyNumberFormat="1" applyFont="1" applyFill="1" applyBorder="1" applyAlignment="1" applyProtection="1">
      <alignment horizontal="center"/>
    </xf>
    <xf numFmtId="20" fontId="3" fillId="7" borderId="11" xfId="1" applyNumberFormat="1" applyFont="1" applyFill="1" applyBorder="1" applyAlignment="1" applyProtection="1">
      <alignment horizontal="center"/>
    </xf>
    <xf numFmtId="0" fontId="8" fillId="7" borderId="13" xfId="1" applyFont="1" applyFill="1" applyBorder="1" applyProtection="1"/>
    <xf numFmtId="0" fontId="8" fillId="7" borderId="76" xfId="1" applyFont="1" applyFill="1" applyBorder="1" applyProtection="1"/>
    <xf numFmtId="20" fontId="3" fillId="7" borderId="22" xfId="1" applyNumberFormat="1" applyFont="1" applyFill="1" applyBorder="1" applyAlignment="1" applyProtection="1">
      <alignment horizontal="center"/>
    </xf>
    <xf numFmtId="0" fontId="3" fillId="8" borderId="23" xfId="1" applyFont="1" applyFill="1" applyBorder="1" applyAlignment="1" applyProtection="1">
      <alignment horizontal="center"/>
    </xf>
    <xf numFmtId="20" fontId="10" fillId="8" borderId="24" xfId="1" applyNumberFormat="1" applyFont="1" applyFill="1" applyBorder="1" applyAlignment="1" applyProtection="1">
      <alignment horizontal="center"/>
    </xf>
    <xf numFmtId="20" fontId="9" fillId="8" borderId="24" xfId="1" applyNumberFormat="1" applyFont="1" applyFill="1" applyBorder="1" applyAlignment="1" applyProtection="1">
      <alignment horizontal="center"/>
    </xf>
    <xf numFmtId="20" fontId="3" fillId="8" borderId="26" xfId="1" applyNumberFormat="1" applyFont="1" applyFill="1" applyBorder="1" applyAlignment="1" applyProtection="1">
      <alignment horizontal="center"/>
    </xf>
    <xf numFmtId="20" fontId="3" fillId="0" borderId="28" xfId="1" applyNumberFormat="1" applyFont="1" applyBorder="1" applyAlignment="1" applyProtection="1">
      <alignment horizontal="center"/>
    </xf>
    <xf numFmtId="0" fontId="3" fillId="5" borderId="86" xfId="1" applyFont="1" applyFill="1" applyBorder="1" applyAlignment="1" applyProtection="1">
      <alignment horizontal="center"/>
    </xf>
    <xf numFmtId="0" fontId="3" fillId="5" borderId="87" xfId="1" applyFont="1" applyFill="1" applyBorder="1" applyAlignment="1" applyProtection="1">
      <alignment horizontal="center"/>
    </xf>
    <xf numFmtId="20" fontId="3" fillId="5" borderId="88" xfId="1" applyNumberFormat="1" applyFont="1" applyFill="1" applyBorder="1" applyAlignment="1" applyProtection="1">
      <alignment horizontal="center"/>
    </xf>
    <xf numFmtId="20" fontId="3" fillId="5" borderId="36" xfId="1" applyNumberFormat="1" applyFont="1" applyFill="1" applyBorder="1" applyAlignment="1" applyProtection="1">
      <alignment horizontal="center"/>
    </xf>
    <xf numFmtId="164" fontId="3" fillId="5" borderId="89" xfId="1" applyNumberFormat="1" applyFont="1" applyFill="1" applyBorder="1" applyAlignment="1" applyProtection="1">
      <alignment horizontal="center"/>
    </xf>
    <xf numFmtId="20" fontId="3" fillId="5" borderId="90" xfId="1" applyNumberFormat="1" applyFont="1" applyFill="1" applyBorder="1" applyAlignment="1" applyProtection="1">
      <alignment horizontal="center"/>
    </xf>
    <xf numFmtId="164" fontId="3" fillId="5" borderId="36" xfId="1" applyNumberFormat="1" applyFont="1" applyFill="1" applyBorder="1" applyAlignment="1" applyProtection="1">
      <alignment horizontal="center"/>
    </xf>
    <xf numFmtId="0" fontId="3" fillId="5" borderId="91" xfId="1" applyFont="1" applyFill="1" applyBorder="1" applyAlignment="1" applyProtection="1">
      <alignment horizontal="center"/>
    </xf>
    <xf numFmtId="0" fontId="3" fillId="5" borderId="36" xfId="1" applyFont="1" applyFill="1" applyBorder="1" applyAlignment="1" applyProtection="1">
      <alignment horizontal="center"/>
    </xf>
    <xf numFmtId="20" fontId="3" fillId="5" borderId="92" xfId="1" applyNumberFormat="1" applyFont="1" applyFill="1" applyBorder="1" applyAlignment="1" applyProtection="1">
      <alignment horizontal="center"/>
    </xf>
    <xf numFmtId="20" fontId="3" fillId="5" borderId="93" xfId="1" applyNumberFormat="1" applyFont="1" applyFill="1" applyBorder="1" applyAlignment="1" applyProtection="1">
      <alignment horizontal="center"/>
    </xf>
    <xf numFmtId="20" fontId="3" fillId="5" borderId="94" xfId="1" applyNumberFormat="1" applyFont="1" applyFill="1" applyBorder="1" applyAlignment="1" applyProtection="1">
      <alignment horizontal="center"/>
    </xf>
    <xf numFmtId="20" fontId="3" fillId="5" borderId="95" xfId="1" applyNumberFormat="1" applyFont="1" applyFill="1" applyBorder="1" applyAlignment="1" applyProtection="1">
      <alignment horizontal="center"/>
    </xf>
    <xf numFmtId="0" fontId="3" fillId="5" borderId="96" xfId="1" applyFont="1" applyFill="1" applyBorder="1" applyAlignment="1" applyProtection="1">
      <alignment horizontal="center"/>
    </xf>
    <xf numFmtId="0" fontId="3" fillId="5" borderId="97" xfId="1" applyFont="1" applyFill="1" applyBorder="1" applyAlignment="1" applyProtection="1">
      <alignment horizontal="center"/>
    </xf>
    <xf numFmtId="0" fontId="3" fillId="5" borderId="98" xfId="1" applyFont="1" applyFill="1" applyBorder="1" applyAlignment="1" applyProtection="1">
      <alignment horizontal="center"/>
    </xf>
    <xf numFmtId="20" fontId="3" fillId="5" borderId="99" xfId="1" applyNumberFormat="1" applyFont="1" applyFill="1" applyBorder="1" applyAlignment="1" applyProtection="1">
      <alignment horizontal="center"/>
    </xf>
    <xf numFmtId="20" fontId="3" fillId="5" borderId="43" xfId="1" applyNumberFormat="1" applyFont="1" applyFill="1" applyBorder="1" applyAlignment="1" applyProtection="1">
      <alignment horizontal="center"/>
    </xf>
    <xf numFmtId="164" fontId="3" fillId="5" borderId="100" xfId="1" applyNumberFormat="1" applyFont="1" applyFill="1" applyBorder="1" applyAlignment="1" applyProtection="1">
      <alignment horizontal="center"/>
    </xf>
    <xf numFmtId="20" fontId="3" fillId="5" borderId="101" xfId="1" applyNumberFormat="1" applyFont="1" applyFill="1" applyBorder="1" applyAlignment="1" applyProtection="1">
      <alignment horizontal="center"/>
    </xf>
    <xf numFmtId="164" fontId="3" fillId="5" borderId="43" xfId="1" applyNumberFormat="1" applyFont="1" applyFill="1" applyBorder="1" applyAlignment="1" applyProtection="1">
      <alignment horizontal="center"/>
    </xf>
    <xf numFmtId="0" fontId="3" fillId="5" borderId="102" xfId="1" applyFont="1" applyFill="1" applyBorder="1" applyAlignment="1" applyProtection="1">
      <alignment horizontal="center"/>
    </xf>
    <xf numFmtId="0" fontId="3" fillId="5" borderId="43" xfId="1" applyFont="1" applyFill="1" applyBorder="1" applyAlignment="1" applyProtection="1">
      <alignment horizontal="center"/>
    </xf>
    <xf numFmtId="20" fontId="3" fillId="5" borderId="103" xfId="1" applyNumberFormat="1" applyFont="1" applyFill="1" applyBorder="1" applyAlignment="1" applyProtection="1">
      <alignment horizontal="center"/>
    </xf>
    <xf numFmtId="20" fontId="3" fillId="5" borderId="104" xfId="1" applyNumberFormat="1" applyFont="1" applyFill="1" applyBorder="1" applyAlignment="1" applyProtection="1">
      <alignment horizontal="center"/>
    </xf>
    <xf numFmtId="20" fontId="3" fillId="5" borderId="105" xfId="1" applyNumberFormat="1" applyFont="1" applyFill="1" applyBorder="1" applyAlignment="1" applyProtection="1">
      <alignment horizontal="center"/>
    </xf>
    <xf numFmtId="20" fontId="3" fillId="5" borderId="106" xfId="1" applyNumberFormat="1" applyFont="1" applyFill="1" applyBorder="1" applyAlignment="1" applyProtection="1">
      <alignment horizontal="center"/>
    </xf>
    <xf numFmtId="0" fontId="3" fillId="5" borderId="107" xfId="1" applyFont="1" applyFill="1" applyBorder="1" applyAlignment="1" applyProtection="1">
      <alignment horizontal="center"/>
    </xf>
    <xf numFmtId="0" fontId="3" fillId="5" borderId="108" xfId="1" applyFont="1" applyFill="1" applyBorder="1" applyAlignment="1" applyProtection="1">
      <alignment horizontal="center"/>
    </xf>
    <xf numFmtId="0" fontId="3" fillId="5" borderId="109" xfId="1" applyFont="1" applyFill="1" applyBorder="1" applyAlignment="1" applyProtection="1">
      <alignment horizontal="center"/>
    </xf>
    <xf numFmtId="0" fontId="3" fillId="5" borderId="110" xfId="1" applyFont="1" applyFill="1" applyBorder="1" applyAlignment="1" applyProtection="1">
      <alignment horizontal="center"/>
    </xf>
    <xf numFmtId="20" fontId="3" fillId="5" borderId="111" xfId="1" applyNumberFormat="1" applyFont="1" applyFill="1" applyBorder="1" applyAlignment="1" applyProtection="1">
      <alignment horizontal="center"/>
    </xf>
    <xf numFmtId="164" fontId="3" fillId="5" borderId="112" xfId="1" applyNumberFormat="1" applyFont="1" applyFill="1" applyBorder="1" applyAlignment="1" applyProtection="1">
      <alignment horizontal="center"/>
    </xf>
    <xf numFmtId="20" fontId="3" fillId="5" borderId="113" xfId="1" applyNumberFormat="1" applyFont="1" applyFill="1" applyBorder="1" applyAlignment="1" applyProtection="1">
      <alignment horizontal="center"/>
    </xf>
    <xf numFmtId="164" fontId="3" fillId="5" borderId="111" xfId="1" applyNumberFormat="1" applyFont="1" applyFill="1" applyBorder="1" applyAlignment="1" applyProtection="1">
      <alignment horizontal="center"/>
    </xf>
    <xf numFmtId="0" fontId="3" fillId="5" borderId="114" xfId="1" applyFont="1" applyFill="1" applyBorder="1" applyAlignment="1" applyProtection="1">
      <alignment horizontal="center"/>
    </xf>
    <xf numFmtId="0" fontId="3" fillId="5" borderId="111" xfId="1" applyFont="1" applyFill="1" applyBorder="1" applyAlignment="1" applyProtection="1">
      <alignment horizontal="center"/>
    </xf>
    <xf numFmtId="20" fontId="3" fillId="5" borderId="115" xfId="1" applyNumberFormat="1" applyFont="1" applyFill="1" applyBorder="1" applyAlignment="1" applyProtection="1">
      <alignment horizontal="center"/>
    </xf>
    <xf numFmtId="20" fontId="3" fillId="5" borderId="116" xfId="1" applyNumberFormat="1" applyFont="1" applyFill="1" applyBorder="1" applyAlignment="1" applyProtection="1">
      <alignment horizontal="center"/>
    </xf>
    <xf numFmtId="20" fontId="3" fillId="5" borderId="117" xfId="1" applyNumberFormat="1" applyFont="1" applyFill="1" applyBorder="1" applyAlignment="1" applyProtection="1">
      <alignment horizontal="center"/>
    </xf>
    <xf numFmtId="20" fontId="3" fillId="5" borderId="118" xfId="1" applyNumberFormat="1" applyFont="1" applyFill="1" applyBorder="1" applyAlignment="1" applyProtection="1">
      <alignment horizontal="center"/>
    </xf>
    <xf numFmtId="0" fontId="3" fillId="5" borderId="119" xfId="1" applyFont="1" applyFill="1" applyBorder="1" applyAlignment="1" applyProtection="1">
      <alignment horizontal="center"/>
    </xf>
    <xf numFmtId="0" fontId="9" fillId="8" borderId="65" xfId="1" applyFont="1" applyFill="1" applyBorder="1" applyAlignment="1" applyProtection="1">
      <alignment horizontal="center"/>
    </xf>
    <xf numFmtId="0" fontId="3" fillId="0" borderId="0" xfId="0" applyFont="1" applyAlignment="1"/>
    <xf numFmtId="0" fontId="4" fillId="0" borderId="15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9" borderId="16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/>
    </xf>
    <xf numFmtId="20" fontId="1" fillId="10" borderId="16" xfId="0" applyNumberFormat="1" applyFont="1" applyFill="1" applyBorder="1" applyAlignment="1">
      <alignment horizontal="center"/>
    </xf>
    <xf numFmtId="20" fontId="1" fillId="10" borderId="16" xfId="0" applyNumberFormat="1" applyFont="1" applyFill="1" applyBorder="1" applyAlignment="1"/>
    <xf numFmtId="20" fontId="1" fillId="0" borderId="16" xfId="0" applyNumberFormat="1" applyFont="1" applyBorder="1" applyAlignment="1"/>
    <xf numFmtId="0" fontId="1" fillId="0" borderId="16" xfId="0" applyFont="1" applyBorder="1" applyAlignment="1"/>
    <xf numFmtId="20" fontId="5" fillId="10" borderId="16" xfId="0" applyNumberFormat="1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1" fillId="10" borderId="16" xfId="0" applyFont="1" applyFill="1" applyBorder="1" applyAlignment="1"/>
    <xf numFmtId="20" fontId="2" fillId="10" borderId="16" xfId="0" applyNumberFormat="1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20" fontId="14" fillId="10" borderId="16" xfId="0" applyNumberFormat="1" applyFont="1" applyFill="1" applyBorder="1" applyAlignment="1"/>
    <xf numFmtId="0" fontId="4" fillId="2" borderId="19" xfId="0" applyFont="1" applyFill="1" applyBorder="1" applyAlignment="1">
      <alignment horizontal="center"/>
    </xf>
    <xf numFmtId="0" fontId="4" fillId="10" borderId="16" xfId="0" applyFont="1" applyFill="1" applyBorder="1" applyAlignment="1">
      <alignment horizontal="center"/>
    </xf>
    <xf numFmtId="20" fontId="3" fillId="5" borderId="16" xfId="0" applyNumberFormat="1" applyFont="1" applyFill="1" applyBorder="1" applyAlignment="1">
      <alignment horizontal="center"/>
    </xf>
    <xf numFmtId="20" fontId="2" fillId="9" borderId="16" xfId="0" applyNumberFormat="1" applyFont="1" applyFill="1" applyBorder="1" applyAlignment="1">
      <alignment horizontal="center" vertical="center"/>
    </xf>
    <xf numFmtId="20" fontId="14" fillId="5" borderId="16" xfId="0" applyNumberFormat="1" applyFont="1" applyFill="1" applyBorder="1" applyAlignment="1"/>
    <xf numFmtId="20" fontId="14" fillId="6" borderId="16" xfId="0" applyNumberFormat="1" applyFont="1" applyFill="1" applyBorder="1" applyAlignment="1"/>
    <xf numFmtId="20" fontId="3" fillId="6" borderId="16" xfId="0" applyNumberFormat="1" applyFont="1" applyFill="1" applyBorder="1" applyAlignment="1"/>
    <xf numFmtId="20" fontId="3" fillId="6" borderId="16" xfId="0" applyNumberFormat="1" applyFont="1" applyFill="1" applyBorder="1" applyAlignment="1">
      <alignment horizontal="center"/>
    </xf>
    <xf numFmtId="20" fontId="3" fillId="10" borderId="16" xfId="0" applyNumberFormat="1" applyFont="1" applyFill="1" applyBorder="1" applyAlignment="1">
      <alignment horizontal="center"/>
    </xf>
    <xf numFmtId="20" fontId="14" fillId="7" borderId="16" xfId="0" applyNumberFormat="1" applyFont="1" applyFill="1" applyBorder="1" applyAlignment="1"/>
    <xf numFmtId="20" fontId="3" fillId="7" borderId="16" xfId="0" applyNumberFormat="1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20" fontId="14" fillId="0" borderId="16" xfId="0" applyNumberFormat="1" applyFont="1" applyBorder="1" applyAlignment="1"/>
    <xf numFmtId="20" fontId="1" fillId="6" borderId="16" xfId="0" applyNumberFormat="1" applyFont="1" applyFill="1" applyBorder="1" applyAlignment="1"/>
    <xf numFmtId="0" fontId="4" fillId="7" borderId="16" xfId="0" applyFont="1" applyFill="1" applyBorder="1" applyAlignment="1">
      <alignment horizontal="center"/>
    </xf>
    <xf numFmtId="20" fontId="17" fillId="6" borderId="16" xfId="0" applyNumberFormat="1" applyFont="1" applyFill="1" applyBorder="1" applyAlignment="1">
      <alignment horizontal="center"/>
    </xf>
    <xf numFmtId="0" fontId="1" fillId="7" borderId="16" xfId="0" applyFont="1" applyFill="1" applyBorder="1" applyAlignment="1"/>
    <xf numFmtId="20" fontId="1" fillId="7" borderId="16" xfId="0" applyNumberFormat="1" applyFont="1" applyFill="1" applyBorder="1" applyAlignment="1"/>
    <xf numFmtId="20" fontId="16" fillId="7" borderId="16" xfId="0" applyNumberFormat="1" applyFont="1" applyFill="1" applyBorder="1" applyAlignment="1">
      <alignment horizontal="center"/>
    </xf>
    <xf numFmtId="20" fontId="7" fillId="7" borderId="16" xfId="0" applyNumberFormat="1" applyFont="1" applyFill="1" applyBorder="1" applyAlignment="1">
      <alignment horizontal="center"/>
    </xf>
    <xf numFmtId="20" fontId="19" fillId="7" borderId="16" xfId="0" applyNumberFormat="1" applyFont="1" applyFill="1" applyBorder="1" applyAlignment="1">
      <alignment horizontal="center"/>
    </xf>
    <xf numFmtId="20" fontId="19" fillId="0" borderId="16" xfId="0" applyNumberFormat="1" applyFont="1" applyBorder="1" applyAlignment="1">
      <alignment horizontal="center"/>
    </xf>
    <xf numFmtId="46" fontId="6" fillId="7" borderId="21" xfId="0" applyNumberFormat="1" applyFont="1" applyFill="1" applyBorder="1" applyAlignment="1">
      <alignment horizontal="center"/>
    </xf>
    <xf numFmtId="46" fontId="4" fillId="7" borderId="21" xfId="0" applyNumberFormat="1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8" borderId="28" xfId="1" applyFont="1" applyFill="1" applyBorder="1" applyProtection="1"/>
    <xf numFmtId="0" fontId="8" fillId="0" borderId="0" xfId="1" applyFont="1" applyProtection="1"/>
    <xf numFmtId="2" fontId="3" fillId="8" borderId="120" xfId="1" applyNumberFormat="1" applyFont="1" applyFill="1" applyBorder="1" applyProtection="1"/>
    <xf numFmtId="2" fontId="3" fillId="8" borderId="26" xfId="1" applyNumberFormat="1" applyFont="1" applyFill="1" applyBorder="1" applyProtection="1"/>
    <xf numFmtId="0" fontId="8" fillId="8" borderId="23" xfId="1" applyFont="1" applyFill="1" applyBorder="1" applyProtection="1"/>
    <xf numFmtId="0" fontId="8" fillId="8" borderId="121" xfId="1" applyFont="1" applyFill="1" applyBorder="1" applyProtection="1"/>
    <xf numFmtId="0" fontId="3" fillId="0" borderId="0" xfId="1" applyFont="1" applyAlignment="1" applyProtection="1">
      <alignment horizontal="center"/>
    </xf>
    <xf numFmtId="2" fontId="3" fillId="8" borderId="122" xfId="1" applyNumberFormat="1" applyFont="1" applyFill="1" applyBorder="1" applyAlignment="1" applyProtection="1">
      <alignment horizontal="center"/>
    </xf>
    <xf numFmtId="2" fontId="3" fillId="8" borderId="80" xfId="1" applyNumberFormat="1" applyFont="1" applyFill="1" applyBorder="1" applyAlignment="1" applyProtection="1">
      <alignment horizontal="center"/>
    </xf>
    <xf numFmtId="0" fontId="3" fillId="8" borderId="123" xfId="1" applyFont="1" applyFill="1" applyBorder="1" applyAlignment="1" applyProtection="1">
      <alignment horizontal="center"/>
    </xf>
    <xf numFmtId="0" fontId="3" fillId="4" borderId="86" xfId="1" applyFont="1" applyFill="1" applyBorder="1" applyAlignment="1" applyProtection="1">
      <alignment horizontal="center"/>
    </xf>
    <xf numFmtId="20" fontId="3" fillId="4" borderId="88" xfId="1" applyNumberFormat="1" applyFont="1" applyFill="1" applyBorder="1" applyAlignment="1" applyProtection="1">
      <alignment horizontal="center"/>
    </xf>
    <xf numFmtId="164" fontId="3" fillId="4" borderId="89" xfId="1" applyNumberFormat="1" applyFont="1" applyFill="1" applyBorder="1" applyAlignment="1" applyProtection="1">
      <alignment horizontal="center"/>
    </xf>
    <xf numFmtId="164" fontId="3" fillId="4" borderId="36" xfId="1" applyNumberFormat="1" applyFont="1" applyFill="1" applyBorder="1" applyAlignment="1" applyProtection="1">
      <alignment horizontal="center"/>
    </xf>
    <xf numFmtId="20" fontId="3" fillId="4" borderId="92" xfId="1" applyNumberFormat="1" applyFont="1" applyFill="1" applyBorder="1" applyAlignment="1" applyProtection="1">
      <alignment horizontal="center"/>
    </xf>
    <xf numFmtId="20" fontId="3" fillId="4" borderId="86" xfId="1" applyNumberFormat="1" applyFont="1" applyFill="1" applyBorder="1" applyAlignment="1" applyProtection="1">
      <alignment horizontal="center"/>
    </xf>
    <xf numFmtId="20" fontId="3" fillId="4" borderId="124" xfId="1" applyNumberFormat="1" applyFont="1" applyFill="1" applyBorder="1" applyAlignment="1" applyProtection="1">
      <alignment horizontal="center"/>
    </xf>
    <xf numFmtId="20" fontId="3" fillId="4" borderId="89" xfId="1" applyNumberFormat="1" applyFont="1" applyFill="1" applyBorder="1" applyAlignment="1" applyProtection="1">
      <alignment horizontal="center"/>
    </xf>
    <xf numFmtId="0" fontId="8" fillId="4" borderId="125" xfId="1" applyFont="1" applyFill="1" applyBorder="1" applyProtection="1"/>
    <xf numFmtId="20" fontId="8" fillId="0" borderId="0" xfId="1" applyNumberFormat="1" applyFont="1" applyProtection="1"/>
    <xf numFmtId="20" fontId="20" fillId="0" borderId="0" xfId="1" applyNumberFormat="1" applyFont="1" applyProtection="1"/>
    <xf numFmtId="0" fontId="3" fillId="4" borderId="97" xfId="1" applyFont="1" applyFill="1" applyBorder="1" applyAlignment="1" applyProtection="1">
      <alignment horizontal="center"/>
    </xf>
    <xf numFmtId="20" fontId="3" fillId="4" borderId="99" xfId="1" applyNumberFormat="1" applyFont="1" applyFill="1" applyBorder="1" applyAlignment="1" applyProtection="1">
      <alignment horizontal="center"/>
    </xf>
    <xf numFmtId="164" fontId="3" fillId="4" borderId="100" xfId="1" applyNumberFormat="1" applyFont="1" applyFill="1" applyBorder="1" applyAlignment="1" applyProtection="1">
      <alignment horizontal="center"/>
    </xf>
    <xf numFmtId="164" fontId="3" fillId="4" borderId="43" xfId="1" applyNumberFormat="1" applyFont="1" applyFill="1" applyBorder="1" applyAlignment="1" applyProtection="1">
      <alignment horizontal="center"/>
    </xf>
    <xf numFmtId="20" fontId="3" fillId="4" borderId="103" xfId="1" applyNumberFormat="1" applyFont="1" applyFill="1" applyBorder="1" applyAlignment="1" applyProtection="1">
      <alignment horizontal="center"/>
    </xf>
    <xf numFmtId="20" fontId="3" fillId="4" borderId="97" xfId="1" applyNumberFormat="1" applyFont="1" applyFill="1" applyBorder="1" applyAlignment="1" applyProtection="1">
      <alignment horizontal="center"/>
    </xf>
    <xf numFmtId="20" fontId="3" fillId="4" borderId="129" xfId="1" applyNumberFormat="1" applyFont="1" applyFill="1" applyBorder="1" applyAlignment="1" applyProtection="1">
      <alignment horizontal="center"/>
    </xf>
    <xf numFmtId="20" fontId="3" fillId="4" borderId="100" xfId="1" applyNumberFormat="1" applyFont="1" applyFill="1" applyBorder="1" applyAlignment="1" applyProtection="1">
      <alignment horizontal="center"/>
    </xf>
    <xf numFmtId="0" fontId="8" fillId="4" borderId="130" xfId="1" applyFont="1" applyFill="1" applyBorder="1" applyProtection="1"/>
    <xf numFmtId="2" fontId="3" fillId="0" borderId="0" xfId="1" applyNumberFormat="1" applyFont="1" applyProtection="1"/>
    <xf numFmtId="0" fontId="3" fillId="4" borderId="109" xfId="1" applyFont="1" applyFill="1" applyBorder="1" applyAlignment="1" applyProtection="1">
      <alignment horizontal="center"/>
    </xf>
    <xf numFmtId="20" fontId="3" fillId="4" borderId="131" xfId="1" applyNumberFormat="1" applyFont="1" applyFill="1" applyBorder="1" applyAlignment="1" applyProtection="1">
      <alignment horizontal="center"/>
    </xf>
    <xf numFmtId="20" fontId="3" fillId="4" borderId="111" xfId="1" applyNumberFormat="1" applyFont="1" applyFill="1" applyBorder="1" applyAlignment="1" applyProtection="1">
      <alignment horizontal="center"/>
    </xf>
    <xf numFmtId="164" fontId="3" fillId="4" borderId="112" xfId="1" applyNumberFormat="1" applyFont="1" applyFill="1" applyBorder="1" applyAlignment="1" applyProtection="1">
      <alignment horizontal="center"/>
    </xf>
    <xf numFmtId="164" fontId="3" fillId="4" borderId="111" xfId="1" applyNumberFormat="1" applyFont="1" applyFill="1" applyBorder="1" applyAlignment="1" applyProtection="1">
      <alignment horizontal="center"/>
    </xf>
    <xf numFmtId="20" fontId="3" fillId="4" borderId="115" xfId="1" applyNumberFormat="1" applyFont="1" applyFill="1" applyBorder="1" applyAlignment="1" applyProtection="1">
      <alignment horizontal="center"/>
    </xf>
    <xf numFmtId="20" fontId="3" fillId="4" borderId="109" xfId="1" applyNumberFormat="1" applyFont="1" applyFill="1" applyBorder="1" applyAlignment="1" applyProtection="1">
      <alignment horizontal="center"/>
    </xf>
    <xf numFmtId="20" fontId="3" fillId="4" borderId="132" xfId="1" applyNumberFormat="1" applyFont="1" applyFill="1" applyBorder="1" applyAlignment="1" applyProtection="1">
      <alignment horizontal="center"/>
    </xf>
    <xf numFmtId="20" fontId="3" fillId="4" borderId="112" xfId="1" applyNumberFormat="1" applyFont="1" applyFill="1" applyBorder="1" applyAlignment="1" applyProtection="1">
      <alignment horizontal="center"/>
    </xf>
    <xf numFmtId="0" fontId="8" fillId="4" borderId="133" xfId="1" applyFont="1" applyFill="1" applyBorder="1" applyProtection="1"/>
    <xf numFmtId="2" fontId="3" fillId="0" borderId="0" xfId="1" applyNumberFormat="1" applyFont="1" applyAlignment="1" applyProtection="1">
      <alignment horizontal="center"/>
    </xf>
    <xf numFmtId="0" fontId="3" fillId="6" borderId="86" xfId="1" applyFont="1" applyFill="1" applyBorder="1" applyAlignment="1" applyProtection="1">
      <alignment horizontal="center"/>
    </xf>
    <xf numFmtId="20" fontId="3" fillId="6" borderId="88" xfId="1" applyNumberFormat="1" applyFont="1" applyFill="1" applyBorder="1" applyAlignment="1" applyProtection="1">
      <alignment horizontal="center"/>
    </xf>
    <xf numFmtId="20" fontId="3" fillId="6" borderId="36" xfId="1" applyNumberFormat="1" applyFont="1" applyFill="1" applyBorder="1" applyAlignment="1" applyProtection="1">
      <alignment horizontal="center"/>
    </xf>
    <xf numFmtId="20" fontId="3" fillId="6" borderId="89" xfId="1" applyNumberFormat="1" applyFont="1" applyFill="1" applyBorder="1" applyAlignment="1" applyProtection="1">
      <alignment horizontal="center"/>
    </xf>
    <xf numFmtId="164" fontId="3" fillId="6" borderId="36" xfId="1" applyNumberFormat="1" applyFont="1" applyFill="1" applyBorder="1" applyAlignment="1" applyProtection="1">
      <alignment horizontal="center"/>
    </xf>
    <xf numFmtId="164" fontId="3" fillId="6" borderId="89" xfId="1" applyNumberFormat="1" applyFont="1" applyFill="1" applyBorder="1" applyAlignment="1" applyProtection="1">
      <alignment horizontal="center"/>
    </xf>
    <xf numFmtId="20" fontId="3" fillId="6" borderId="92" xfId="1" applyNumberFormat="1" applyFont="1" applyFill="1" applyBorder="1" applyAlignment="1" applyProtection="1">
      <alignment horizontal="center"/>
    </xf>
    <xf numFmtId="20" fontId="3" fillId="6" borderId="86" xfId="1" applyNumberFormat="1" applyFont="1" applyFill="1" applyBorder="1" applyAlignment="1" applyProtection="1">
      <alignment horizontal="center"/>
    </xf>
    <xf numFmtId="20" fontId="3" fillId="6" borderId="124" xfId="1" applyNumberFormat="1" applyFont="1" applyFill="1" applyBorder="1" applyAlignment="1" applyProtection="1">
      <alignment horizontal="center"/>
    </xf>
    <xf numFmtId="0" fontId="8" fillId="6" borderId="125" xfId="1" applyFont="1" applyFill="1" applyBorder="1" applyProtection="1"/>
    <xf numFmtId="20" fontId="3" fillId="0" borderId="0" xfId="1" applyNumberFormat="1" applyFont="1" applyAlignment="1" applyProtection="1">
      <alignment horizontal="center"/>
    </xf>
    <xf numFmtId="20" fontId="18" fillId="0" borderId="0" xfId="1" applyNumberFormat="1" applyFont="1" applyAlignment="1" applyProtection="1">
      <alignment horizontal="center"/>
    </xf>
    <xf numFmtId="0" fontId="3" fillId="6" borderId="134" xfId="1" applyFont="1" applyFill="1" applyBorder="1" applyAlignment="1" applyProtection="1">
      <alignment horizontal="center"/>
    </xf>
    <xf numFmtId="20" fontId="3" fillId="6" borderId="135" xfId="1" applyNumberFormat="1" applyFont="1" applyFill="1" applyBorder="1" applyAlignment="1" applyProtection="1">
      <alignment horizontal="center"/>
    </xf>
    <xf numFmtId="164" fontId="3" fillId="6" borderId="136" xfId="1" applyNumberFormat="1" applyFont="1" applyFill="1" applyBorder="1" applyAlignment="1" applyProtection="1">
      <alignment horizontal="center"/>
    </xf>
    <xf numFmtId="164" fontId="3" fillId="6" borderId="137" xfId="1" applyNumberFormat="1" applyFont="1" applyFill="1" applyBorder="1" applyAlignment="1" applyProtection="1">
      <alignment horizontal="center"/>
    </xf>
    <xf numFmtId="20" fontId="3" fillId="6" borderId="136" xfId="1" applyNumberFormat="1" applyFont="1" applyFill="1" applyBorder="1" applyAlignment="1" applyProtection="1">
      <alignment horizontal="center"/>
    </xf>
    <xf numFmtId="20" fontId="3" fillId="6" borderId="138" xfId="1" applyNumberFormat="1" applyFont="1" applyFill="1" applyBorder="1" applyAlignment="1" applyProtection="1">
      <alignment horizontal="center"/>
    </xf>
    <xf numFmtId="20" fontId="3" fillId="6" borderId="134" xfId="1" applyNumberFormat="1" applyFont="1" applyFill="1" applyBorder="1" applyAlignment="1" applyProtection="1">
      <alignment horizontal="center"/>
    </xf>
    <xf numFmtId="20" fontId="3" fillId="6" borderId="139" xfId="1" applyNumberFormat="1" applyFont="1" applyFill="1" applyBorder="1" applyAlignment="1" applyProtection="1">
      <alignment horizontal="center"/>
    </xf>
    <xf numFmtId="20" fontId="3" fillId="6" borderId="137" xfId="1" applyNumberFormat="1" applyFont="1" applyFill="1" applyBorder="1" applyAlignment="1" applyProtection="1">
      <alignment horizontal="center"/>
    </xf>
    <xf numFmtId="0" fontId="8" fillId="6" borderId="140" xfId="1" applyFont="1" applyFill="1" applyBorder="1" applyProtection="1"/>
    <xf numFmtId="0" fontId="3" fillId="6" borderId="48" xfId="1" applyFont="1" applyFill="1" applyBorder="1" applyAlignment="1" applyProtection="1">
      <alignment horizontal="center"/>
    </xf>
    <xf numFmtId="20" fontId="3" fillId="6" borderId="141" xfId="1" applyNumberFormat="1" applyFont="1" applyFill="1" applyBorder="1" applyAlignment="1" applyProtection="1">
      <alignment horizontal="center"/>
    </xf>
    <xf numFmtId="20" fontId="3" fillId="6" borderId="142" xfId="1" applyNumberFormat="1" applyFont="1" applyFill="1" applyBorder="1" applyAlignment="1" applyProtection="1">
      <alignment horizontal="center"/>
    </xf>
    <xf numFmtId="164" fontId="3" fillId="6" borderId="119" xfId="1" applyNumberFormat="1" applyFont="1" applyFill="1" applyBorder="1" applyAlignment="1" applyProtection="1">
      <alignment horizontal="center"/>
    </xf>
    <xf numFmtId="164" fontId="3" fillId="6" borderId="143" xfId="1" applyNumberFormat="1" applyFont="1" applyFill="1" applyBorder="1" applyAlignment="1" applyProtection="1">
      <alignment horizontal="center"/>
    </xf>
    <xf numFmtId="0" fontId="3" fillId="6" borderId="119" xfId="1" applyFont="1" applyFill="1" applyBorder="1" applyAlignment="1" applyProtection="1">
      <alignment horizontal="center"/>
    </xf>
    <xf numFmtId="0" fontId="3" fillId="6" borderId="142" xfId="1" applyFont="1" applyFill="1" applyBorder="1" applyAlignment="1" applyProtection="1">
      <alignment horizontal="center"/>
    </xf>
    <xf numFmtId="20" fontId="3" fillId="6" borderId="144" xfId="1" applyNumberFormat="1" applyFont="1" applyFill="1" applyBorder="1" applyAlignment="1" applyProtection="1">
      <alignment horizontal="center"/>
    </xf>
    <xf numFmtId="20" fontId="3" fillId="6" borderId="145" xfId="1" applyNumberFormat="1" applyFont="1" applyFill="1" applyBorder="1" applyAlignment="1" applyProtection="1">
      <alignment horizontal="center"/>
    </xf>
    <xf numFmtId="20" fontId="3" fillId="6" borderId="119" xfId="1" applyNumberFormat="1" applyFont="1" applyFill="1" applyBorder="1" applyAlignment="1" applyProtection="1">
      <alignment horizontal="center"/>
    </xf>
    <xf numFmtId="0" fontId="3" fillId="6" borderId="53" xfId="1" applyFont="1" applyFill="1" applyBorder="1" applyAlignment="1" applyProtection="1">
      <alignment horizontal="center"/>
    </xf>
    <xf numFmtId="0" fontId="3" fillId="7" borderId="146" xfId="1" applyFont="1" applyFill="1" applyBorder="1" applyAlignment="1" applyProtection="1">
      <alignment horizontal="center"/>
    </xf>
    <xf numFmtId="0" fontId="3" fillId="7" borderId="147" xfId="1" applyFont="1" applyFill="1" applyBorder="1" applyAlignment="1" applyProtection="1">
      <alignment horizontal="center"/>
    </xf>
    <xf numFmtId="20" fontId="3" fillId="7" borderId="148" xfId="1" applyNumberFormat="1" applyFont="1" applyFill="1" applyBorder="1" applyAlignment="1" applyProtection="1">
      <alignment horizontal="center"/>
    </xf>
    <xf numFmtId="164" fontId="3" fillId="7" borderId="149" xfId="1" applyNumberFormat="1" applyFont="1" applyFill="1" applyBorder="1" applyAlignment="1" applyProtection="1">
      <alignment horizontal="center"/>
    </xf>
    <xf numFmtId="164" fontId="3" fillId="7" borderId="150" xfId="1" applyNumberFormat="1" applyFont="1" applyFill="1" applyBorder="1" applyAlignment="1" applyProtection="1">
      <alignment horizontal="center"/>
    </xf>
    <xf numFmtId="20" fontId="3" fillId="7" borderId="149" xfId="1" applyNumberFormat="1" applyFont="1" applyFill="1" applyBorder="1" applyAlignment="1" applyProtection="1">
      <alignment horizontal="center"/>
    </xf>
    <xf numFmtId="20" fontId="3" fillId="7" borderId="151" xfId="1" applyNumberFormat="1" applyFont="1" applyFill="1" applyBorder="1" applyAlignment="1" applyProtection="1">
      <alignment horizontal="center"/>
    </xf>
    <xf numFmtId="20" fontId="3" fillId="7" borderId="147" xfId="1" applyNumberFormat="1" applyFont="1" applyFill="1" applyBorder="1" applyAlignment="1" applyProtection="1">
      <alignment horizontal="center"/>
    </xf>
    <xf numFmtId="20" fontId="3" fillId="7" borderId="152" xfId="1" applyNumberFormat="1" applyFont="1" applyFill="1" applyBorder="1" applyAlignment="1" applyProtection="1">
      <alignment horizontal="center"/>
    </xf>
    <xf numFmtId="20" fontId="3" fillId="7" borderId="150" xfId="1" applyNumberFormat="1" applyFont="1" applyFill="1" applyBorder="1" applyAlignment="1" applyProtection="1">
      <alignment horizontal="center"/>
    </xf>
    <xf numFmtId="0" fontId="8" fillId="7" borderId="153" xfId="1" applyFont="1" applyFill="1" applyBorder="1" applyProtection="1"/>
    <xf numFmtId="0" fontId="3" fillId="7" borderId="106" xfId="1" applyFont="1" applyFill="1" applyBorder="1" applyAlignment="1" applyProtection="1">
      <alignment horizontal="center"/>
    </xf>
    <xf numFmtId="0" fontId="3" fillId="7" borderId="97" xfId="1" applyFont="1" applyFill="1" applyBorder="1" applyAlignment="1" applyProtection="1">
      <alignment horizontal="center"/>
    </xf>
    <xf numFmtId="20" fontId="3" fillId="7" borderId="99" xfId="1" applyNumberFormat="1" applyFont="1" applyFill="1" applyBorder="1" applyAlignment="1" applyProtection="1">
      <alignment horizontal="center"/>
    </xf>
    <xf numFmtId="20" fontId="3" fillId="7" borderId="43" xfId="1" applyNumberFormat="1" applyFont="1" applyFill="1" applyBorder="1" applyAlignment="1" applyProtection="1">
      <alignment horizontal="center"/>
    </xf>
    <xf numFmtId="164" fontId="3" fillId="7" borderId="100" xfId="1" applyNumberFormat="1" applyFont="1" applyFill="1" applyBorder="1" applyAlignment="1" applyProtection="1">
      <alignment horizontal="center"/>
    </xf>
    <xf numFmtId="164" fontId="3" fillId="7" borderId="43" xfId="1" applyNumberFormat="1" applyFont="1" applyFill="1" applyBorder="1" applyAlignment="1" applyProtection="1">
      <alignment horizontal="center"/>
    </xf>
    <xf numFmtId="0" fontId="3" fillId="7" borderId="100" xfId="1" applyFont="1" applyFill="1" applyBorder="1" applyAlignment="1" applyProtection="1">
      <alignment horizontal="center"/>
    </xf>
    <xf numFmtId="0" fontId="3" fillId="7" borderId="43" xfId="1" applyFont="1" applyFill="1" applyBorder="1" applyAlignment="1" applyProtection="1">
      <alignment horizontal="center"/>
    </xf>
    <xf numFmtId="20" fontId="3" fillId="7" borderId="103" xfId="1" applyNumberFormat="1" applyFont="1" applyFill="1" applyBorder="1" applyAlignment="1" applyProtection="1">
      <alignment horizontal="center"/>
    </xf>
    <xf numFmtId="20" fontId="3" fillId="7" borderId="97" xfId="1" applyNumberFormat="1" applyFont="1" applyFill="1" applyBorder="1" applyAlignment="1" applyProtection="1">
      <alignment horizontal="center"/>
    </xf>
    <xf numFmtId="20" fontId="3" fillId="7" borderId="129" xfId="1" applyNumberFormat="1" applyFont="1" applyFill="1" applyBorder="1" applyAlignment="1" applyProtection="1">
      <alignment horizontal="center"/>
    </xf>
    <xf numFmtId="20" fontId="3" fillId="7" borderId="100" xfId="1" applyNumberFormat="1" applyFont="1" applyFill="1" applyBorder="1" applyAlignment="1" applyProtection="1">
      <alignment horizontal="center"/>
    </xf>
    <xf numFmtId="0" fontId="3" fillId="7" borderId="130" xfId="1" applyFont="1" applyFill="1" applyBorder="1" applyAlignment="1" applyProtection="1">
      <alignment horizontal="center"/>
    </xf>
    <xf numFmtId="0" fontId="3" fillId="7" borderId="154" xfId="1" applyFont="1" applyFill="1" applyBorder="1" applyAlignment="1" applyProtection="1">
      <alignment horizontal="center"/>
    </xf>
    <xf numFmtId="0" fontId="3" fillId="7" borderId="109" xfId="1" applyFont="1" applyFill="1" applyBorder="1" applyAlignment="1" applyProtection="1">
      <alignment horizontal="center"/>
    </xf>
    <xf numFmtId="20" fontId="3" fillId="7" borderId="131" xfId="1" applyNumberFormat="1" applyFont="1" applyFill="1" applyBorder="1" applyAlignment="1" applyProtection="1">
      <alignment horizontal="center"/>
    </xf>
    <xf numFmtId="164" fontId="3" fillId="7" borderId="111" xfId="1" applyNumberFormat="1" applyFont="1" applyFill="1" applyBorder="1" applyAlignment="1" applyProtection="1">
      <alignment horizontal="center"/>
    </xf>
    <xf numFmtId="164" fontId="3" fillId="7" borderId="112" xfId="1" applyNumberFormat="1" applyFont="1" applyFill="1" applyBorder="1" applyAlignment="1" applyProtection="1">
      <alignment horizontal="center"/>
    </xf>
    <xf numFmtId="20" fontId="3" fillId="7" borderId="111" xfId="1" applyNumberFormat="1" applyFont="1" applyFill="1" applyBorder="1" applyAlignment="1" applyProtection="1">
      <alignment horizontal="center"/>
    </xf>
    <xf numFmtId="20" fontId="3" fillId="7" borderId="115" xfId="1" applyNumberFormat="1" applyFont="1" applyFill="1" applyBorder="1" applyAlignment="1" applyProtection="1">
      <alignment horizontal="center"/>
    </xf>
    <xf numFmtId="20" fontId="3" fillId="7" borderId="109" xfId="1" applyNumberFormat="1" applyFont="1" applyFill="1" applyBorder="1" applyAlignment="1" applyProtection="1">
      <alignment horizontal="center"/>
    </xf>
    <xf numFmtId="20" fontId="3" fillId="7" borderId="132" xfId="1" applyNumberFormat="1" applyFont="1" applyFill="1" applyBorder="1" applyAlignment="1" applyProtection="1">
      <alignment horizontal="center"/>
    </xf>
    <xf numFmtId="20" fontId="3" fillId="7" borderId="137" xfId="1" applyNumberFormat="1" applyFont="1" applyFill="1" applyBorder="1" applyAlignment="1" applyProtection="1">
      <alignment horizontal="center"/>
    </xf>
    <xf numFmtId="0" fontId="8" fillId="7" borderId="140" xfId="1" applyFont="1" applyFill="1" applyBorder="1" applyProtection="1"/>
    <xf numFmtId="20" fontId="9" fillId="8" borderId="0" xfId="1" quotePrefix="1" applyNumberFormat="1" applyFont="1" applyFill="1" applyAlignment="1" applyProtection="1">
      <alignment horizontal="center"/>
    </xf>
    <xf numFmtId="164" fontId="3" fillId="0" borderId="0" xfId="1" applyNumberFormat="1" applyFont="1" applyAlignment="1" applyProtection="1">
      <alignment horizontal="center"/>
    </xf>
    <xf numFmtId="164" fontId="3" fillId="5" borderId="35" xfId="1" applyNumberFormat="1" applyFont="1" applyFill="1" applyBorder="1" applyAlignment="1" applyProtection="1">
      <alignment horizontal="center"/>
    </xf>
    <xf numFmtId="0" fontId="3" fillId="5" borderId="92" xfId="1" applyFont="1" applyFill="1" applyBorder="1" applyAlignment="1" applyProtection="1">
      <alignment horizontal="center"/>
    </xf>
    <xf numFmtId="20" fontId="3" fillId="5" borderId="35" xfId="1" applyNumberFormat="1" applyFont="1" applyFill="1" applyBorder="1" applyAlignment="1" applyProtection="1">
      <alignment horizontal="center"/>
    </xf>
    <xf numFmtId="20" fontId="3" fillId="5" borderId="86" xfId="1" applyNumberFormat="1" applyFont="1" applyFill="1" applyBorder="1" applyAlignment="1" applyProtection="1">
      <alignment horizontal="center"/>
    </xf>
    <xf numFmtId="20" fontId="3" fillId="5" borderId="124" xfId="1" applyNumberFormat="1" applyFont="1" applyFill="1" applyBorder="1" applyAlignment="1" applyProtection="1">
      <alignment horizontal="center"/>
    </xf>
    <xf numFmtId="20" fontId="3" fillId="5" borderId="89" xfId="1" applyNumberFormat="1" applyFont="1" applyFill="1" applyBorder="1" applyAlignment="1" applyProtection="1">
      <alignment horizontal="center"/>
    </xf>
    <xf numFmtId="0" fontId="3" fillId="5" borderId="25" xfId="1" applyFont="1" applyFill="1" applyBorder="1" applyAlignment="1" applyProtection="1">
      <alignment horizontal="center"/>
    </xf>
    <xf numFmtId="164" fontId="3" fillId="5" borderId="42" xfId="1" applyNumberFormat="1" applyFont="1" applyFill="1" applyBorder="1" applyAlignment="1" applyProtection="1">
      <alignment horizontal="center"/>
    </xf>
    <xf numFmtId="0" fontId="3" fillId="5" borderId="103" xfId="1" applyFont="1" applyFill="1" applyBorder="1" applyAlignment="1" applyProtection="1">
      <alignment horizontal="center"/>
    </xf>
    <xf numFmtId="20" fontId="3" fillId="5" borderId="42" xfId="1" applyNumberFormat="1" applyFont="1" applyFill="1" applyBorder="1" applyAlignment="1" applyProtection="1">
      <alignment horizontal="center"/>
    </xf>
    <xf numFmtId="20" fontId="3" fillId="5" borderId="97" xfId="1" applyNumberFormat="1" applyFont="1" applyFill="1" applyBorder="1" applyAlignment="1" applyProtection="1">
      <alignment horizontal="center"/>
    </xf>
    <xf numFmtId="20" fontId="3" fillId="5" borderId="129" xfId="1" applyNumberFormat="1" applyFont="1" applyFill="1" applyBorder="1" applyAlignment="1" applyProtection="1">
      <alignment horizontal="center"/>
    </xf>
    <xf numFmtId="20" fontId="3" fillId="5" borderId="100" xfId="1" applyNumberFormat="1" applyFont="1" applyFill="1" applyBorder="1" applyAlignment="1" applyProtection="1">
      <alignment horizontal="center"/>
    </xf>
    <xf numFmtId="0" fontId="3" fillId="5" borderId="46" xfId="1" applyFont="1" applyFill="1" applyBorder="1" applyAlignment="1" applyProtection="1">
      <alignment horizontal="center"/>
    </xf>
    <xf numFmtId="164" fontId="3" fillId="5" borderId="155" xfId="1" applyNumberFormat="1" applyFont="1" applyFill="1" applyBorder="1" applyAlignment="1" applyProtection="1">
      <alignment horizontal="center"/>
    </xf>
    <xf numFmtId="0" fontId="3" fillId="5" borderId="115" xfId="1" applyFont="1" applyFill="1" applyBorder="1" applyAlignment="1" applyProtection="1">
      <alignment horizontal="center"/>
    </xf>
    <xf numFmtId="20" fontId="3" fillId="5" borderId="155" xfId="1" applyNumberFormat="1" applyFont="1" applyFill="1" applyBorder="1" applyAlignment="1" applyProtection="1">
      <alignment horizontal="center"/>
    </xf>
    <xf numFmtId="20" fontId="3" fillId="5" borderId="109" xfId="1" applyNumberFormat="1" applyFont="1" applyFill="1" applyBorder="1" applyAlignment="1" applyProtection="1">
      <alignment horizontal="center"/>
    </xf>
    <xf numFmtId="20" fontId="3" fillId="5" borderId="132" xfId="1" applyNumberFormat="1" applyFont="1" applyFill="1" applyBorder="1" applyAlignment="1" applyProtection="1">
      <alignment horizontal="center"/>
    </xf>
    <xf numFmtId="20" fontId="3" fillId="5" borderId="112" xfId="1" applyNumberFormat="1" applyFont="1" applyFill="1" applyBorder="1" applyAlignment="1" applyProtection="1">
      <alignment horizontal="center"/>
    </xf>
    <xf numFmtId="0" fontId="3" fillId="5" borderId="53" xfId="1" applyFont="1" applyFill="1" applyBorder="1" applyAlignment="1" applyProtection="1">
      <alignment horizontal="center"/>
    </xf>
    <xf numFmtId="0" fontId="3" fillId="8" borderId="26" xfId="1" applyFont="1" applyFill="1" applyBorder="1" applyAlignment="1" applyProtection="1">
      <alignment horizontal="center"/>
    </xf>
    <xf numFmtId="0" fontId="4" fillId="11" borderId="5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11" borderId="69" xfId="0" quotePrefix="1" applyFont="1" applyFill="1" applyBorder="1" applyAlignment="1">
      <alignment horizontal="center"/>
    </xf>
    <xf numFmtId="0" fontId="4" fillId="11" borderId="76" xfId="0" quotePrefix="1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 vertical="center"/>
    </xf>
    <xf numFmtId="20" fontId="1" fillId="12" borderId="16" xfId="0" applyNumberFormat="1" applyFont="1" applyFill="1" applyBorder="1" applyAlignment="1">
      <alignment horizontal="center" vertical="center"/>
    </xf>
    <xf numFmtId="0" fontId="4" fillId="12" borderId="9" xfId="0" applyFont="1" applyFill="1" applyBorder="1" applyAlignment="1"/>
    <xf numFmtId="0" fontId="4" fillId="0" borderId="55" xfId="0" applyFont="1" applyBorder="1" applyAlignment="1">
      <alignment horizontal="center" vertical="center"/>
    </xf>
    <xf numFmtId="0" fontId="4" fillId="12" borderId="41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20" fontId="2" fillId="12" borderId="16" xfId="0" applyNumberFormat="1" applyFont="1" applyFill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1" fillId="12" borderId="9" xfId="0" applyFont="1" applyFill="1" applyBorder="1" applyAlignment="1"/>
    <xf numFmtId="20" fontId="1" fillId="12" borderId="14" xfId="0" applyNumberFormat="1" applyFont="1" applyFill="1" applyBorder="1" applyAlignment="1">
      <alignment horizontal="center" vertical="center"/>
    </xf>
    <xf numFmtId="20" fontId="1" fillId="12" borderId="17" xfId="0" applyNumberFormat="1" applyFont="1" applyFill="1" applyBorder="1" applyAlignment="1">
      <alignment horizontal="center" vertical="center"/>
    </xf>
    <xf numFmtId="0" fontId="1" fillId="0" borderId="13" xfId="0" applyFont="1" applyBorder="1" applyAlignment="1"/>
    <xf numFmtId="0" fontId="2" fillId="12" borderId="9" xfId="0" applyFont="1" applyFill="1" applyBorder="1" applyAlignment="1"/>
    <xf numFmtId="0" fontId="1" fillId="12" borderId="14" xfId="0" applyFont="1" applyFill="1" applyBorder="1" applyAlignment="1">
      <alignment horizontal="center" vertical="center"/>
    </xf>
    <xf numFmtId="20" fontId="2" fillId="12" borderId="17" xfId="0" applyNumberFormat="1" applyFont="1" applyFill="1" applyBorder="1" applyAlignment="1">
      <alignment horizontal="center" vertical="center"/>
    </xf>
    <xf numFmtId="0" fontId="2" fillId="0" borderId="13" xfId="0" applyFont="1" applyBorder="1" applyAlignment="1"/>
    <xf numFmtId="0" fontId="1" fillId="12" borderId="17" xfId="0" applyFont="1" applyFill="1" applyBorder="1" applyAlignment="1">
      <alignment horizontal="center" vertical="center"/>
    </xf>
    <xf numFmtId="0" fontId="5" fillId="12" borderId="9" xfId="0" applyFont="1" applyFill="1" applyBorder="1" applyAlignment="1"/>
    <xf numFmtId="20" fontId="5" fillId="12" borderId="16" xfId="0" applyNumberFormat="1" applyFont="1" applyFill="1" applyBorder="1" applyAlignment="1">
      <alignment horizontal="center" vertical="center"/>
    </xf>
    <xf numFmtId="20" fontId="5" fillId="12" borderId="17" xfId="0" applyNumberFormat="1" applyFont="1" applyFill="1" applyBorder="1" applyAlignment="1">
      <alignment horizontal="center" vertical="center"/>
    </xf>
    <xf numFmtId="20" fontId="2" fillId="12" borderId="14" xfId="0" applyNumberFormat="1" applyFont="1" applyFill="1" applyBorder="1" applyAlignment="1">
      <alignment horizontal="center" vertical="center"/>
    </xf>
    <xf numFmtId="20" fontId="5" fillId="12" borderId="14" xfId="0" applyNumberFormat="1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20" fontId="6" fillId="12" borderId="17" xfId="0" applyNumberFormat="1" applyFont="1" applyFill="1" applyBorder="1" applyAlignment="1">
      <alignment horizontal="center" vertical="center"/>
    </xf>
    <xf numFmtId="20" fontId="7" fillId="12" borderId="17" xfId="0" applyNumberFormat="1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20" fontId="7" fillId="12" borderId="16" xfId="0" applyNumberFormat="1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20" fontId="2" fillId="12" borderId="12" xfId="0" applyNumberFormat="1" applyFont="1" applyFill="1" applyBorder="1" applyAlignment="1">
      <alignment horizontal="center" vertical="center"/>
    </xf>
    <xf numFmtId="0" fontId="4" fillId="11" borderId="10" xfId="0" quotePrefix="1" applyFont="1" applyFill="1" applyBorder="1" applyAlignment="1">
      <alignment horizontal="center"/>
    </xf>
    <xf numFmtId="20" fontId="4" fillId="12" borderId="15" xfId="0" applyNumberFormat="1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/>
    </xf>
    <xf numFmtId="20" fontId="2" fillId="12" borderId="18" xfId="0" applyNumberFormat="1" applyFont="1" applyFill="1" applyBorder="1" applyAlignment="1">
      <alignment horizontal="center" vertical="center"/>
    </xf>
    <xf numFmtId="20" fontId="5" fillId="12" borderId="12" xfId="0" applyNumberFormat="1" applyFont="1" applyFill="1" applyBorder="1" applyAlignment="1">
      <alignment horizontal="center" vertical="center"/>
    </xf>
    <xf numFmtId="20" fontId="5" fillId="12" borderId="11" xfId="0" applyNumberFormat="1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7" fillId="12" borderId="14" xfId="0" applyFont="1" applyFill="1" applyBorder="1" applyAlignment="1">
      <alignment horizontal="center" vertical="center"/>
    </xf>
    <xf numFmtId="0" fontId="4" fillId="0" borderId="48" xfId="0" applyFont="1" applyBorder="1" applyAlignment="1"/>
    <xf numFmtId="0" fontId="4" fillId="12" borderId="20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center" vertical="center"/>
    </xf>
    <xf numFmtId="20" fontId="4" fillId="12" borderId="21" xfId="0" applyNumberFormat="1" applyFont="1" applyFill="1" applyBorder="1" applyAlignment="1">
      <alignment horizontal="center" vertical="center"/>
    </xf>
    <xf numFmtId="46" fontId="4" fillId="12" borderId="21" xfId="0" applyNumberFormat="1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4" fillId="0" borderId="53" xfId="0" applyFont="1" applyBorder="1" applyAlignment="1"/>
    <xf numFmtId="0" fontId="4" fillId="0" borderId="34" xfId="0" applyFont="1" applyBorder="1" applyAlignment="1">
      <alignment horizontal="center"/>
    </xf>
    <xf numFmtId="0" fontId="4" fillId="11" borderId="19" xfId="0" applyFont="1" applyFill="1" applyBorder="1" applyAlignment="1">
      <alignment horizontal="center"/>
    </xf>
    <xf numFmtId="0" fontId="3" fillId="8" borderId="23" xfId="1" applyFont="1" applyFill="1" applyBorder="1" applyAlignment="1" applyProtection="1">
      <alignment horizontal="left"/>
    </xf>
    <xf numFmtId="0" fontId="3" fillId="8" borderId="24" xfId="1" applyFont="1" applyFill="1" applyBorder="1" applyAlignment="1" applyProtection="1">
      <alignment horizontal="left"/>
    </xf>
    <xf numFmtId="0" fontId="3" fillId="12" borderId="19" xfId="1" applyFont="1" applyFill="1" applyBorder="1" applyAlignment="1" applyProtection="1">
      <alignment horizontal="center"/>
    </xf>
    <xf numFmtId="0" fontId="3" fillId="12" borderId="39" xfId="1" applyFont="1" applyFill="1" applyBorder="1" applyAlignment="1" applyProtection="1">
      <alignment horizontal="center"/>
    </xf>
    <xf numFmtId="20" fontId="3" fillId="12" borderId="55" xfId="1" applyNumberFormat="1" applyFont="1" applyFill="1" applyBorder="1" applyAlignment="1" applyProtection="1">
      <alignment horizontal="center"/>
    </xf>
    <xf numFmtId="20" fontId="3" fillId="12" borderId="41" xfId="1" applyNumberFormat="1" applyFont="1" applyFill="1" applyBorder="1" applyAlignment="1" applyProtection="1">
      <alignment horizontal="center"/>
    </xf>
    <xf numFmtId="164" fontId="3" fillId="12" borderId="56" xfId="1" applyNumberFormat="1" applyFont="1" applyFill="1" applyBorder="1" applyAlignment="1" applyProtection="1">
      <alignment horizontal="center"/>
    </xf>
    <xf numFmtId="164" fontId="3" fillId="12" borderId="41" xfId="1" applyNumberFormat="1" applyFont="1" applyFill="1" applyBorder="1" applyAlignment="1" applyProtection="1">
      <alignment horizontal="center"/>
    </xf>
    <xf numFmtId="20" fontId="3" fillId="12" borderId="56" xfId="1" applyNumberFormat="1" applyFont="1" applyFill="1" applyBorder="1" applyAlignment="1" applyProtection="1">
      <alignment horizontal="center"/>
    </xf>
    <xf numFmtId="20" fontId="3" fillId="12" borderId="39" xfId="1" applyNumberFormat="1" applyFont="1" applyFill="1" applyBorder="1" applyAlignment="1" applyProtection="1">
      <alignment horizontal="center"/>
    </xf>
    <xf numFmtId="20" fontId="3" fillId="12" borderId="19" xfId="1" applyNumberFormat="1" applyFont="1" applyFill="1" applyBorder="1" applyAlignment="1" applyProtection="1">
      <alignment horizontal="center"/>
    </xf>
    <xf numFmtId="20" fontId="3" fillId="12" borderId="40" xfId="1" applyNumberFormat="1" applyFont="1" applyFill="1" applyBorder="1" applyAlignment="1" applyProtection="1">
      <alignment horizontal="center"/>
    </xf>
    <xf numFmtId="0" fontId="8" fillId="0" borderId="40" xfId="1" applyFont="1" applyBorder="1" applyProtection="1"/>
    <xf numFmtId="0" fontId="3" fillId="12" borderId="46" xfId="1" applyFont="1" applyFill="1" applyBorder="1" applyAlignment="1" applyProtection="1">
      <alignment horizontal="center"/>
    </xf>
    <xf numFmtId="0" fontId="3" fillId="12" borderId="45" xfId="1" applyFont="1" applyFill="1" applyBorder="1" applyAlignment="1" applyProtection="1">
      <alignment horizontal="center"/>
    </xf>
    <xf numFmtId="20" fontId="3" fillId="12" borderId="14" xfId="1" applyNumberFormat="1" applyFont="1" applyFill="1" applyBorder="1" applyAlignment="1" applyProtection="1">
      <alignment horizontal="center"/>
    </xf>
    <xf numFmtId="20" fontId="3" fillId="12" borderId="16" xfId="1" applyNumberFormat="1" applyFont="1" applyFill="1" applyBorder="1" applyAlignment="1" applyProtection="1">
      <alignment horizontal="center"/>
    </xf>
    <xf numFmtId="164" fontId="3" fillId="12" borderId="17" xfId="1" applyNumberFormat="1" applyFont="1" applyFill="1" applyBorder="1" applyAlignment="1" applyProtection="1">
      <alignment horizontal="center"/>
    </xf>
    <xf numFmtId="20" fontId="3" fillId="12" borderId="11" xfId="1" applyNumberFormat="1" applyFont="1" applyFill="1" applyBorder="1" applyAlignment="1" applyProtection="1">
      <alignment horizontal="center"/>
    </xf>
    <xf numFmtId="20" fontId="3" fillId="12" borderId="12" xfId="1" applyNumberFormat="1" applyFont="1" applyFill="1" applyBorder="1" applyAlignment="1" applyProtection="1">
      <alignment horizontal="center"/>
    </xf>
    <xf numFmtId="164" fontId="3" fillId="12" borderId="16" xfId="1" applyNumberFormat="1" applyFont="1" applyFill="1" applyBorder="1" applyAlignment="1" applyProtection="1">
      <alignment horizontal="center"/>
    </xf>
    <xf numFmtId="20" fontId="3" fillId="12" borderId="17" xfId="1" applyNumberFormat="1" applyFont="1" applyFill="1" applyBorder="1" applyAlignment="1" applyProtection="1">
      <alignment horizontal="center"/>
    </xf>
    <xf numFmtId="20" fontId="3" fillId="12" borderId="45" xfId="1" applyNumberFormat="1" applyFont="1" applyFill="1" applyBorder="1" applyAlignment="1" applyProtection="1">
      <alignment horizontal="center"/>
    </xf>
    <xf numFmtId="20" fontId="3" fillId="12" borderId="46" xfId="1" applyNumberFormat="1" applyFont="1" applyFill="1" applyBorder="1" applyAlignment="1" applyProtection="1">
      <alignment horizontal="center"/>
    </xf>
    <xf numFmtId="20" fontId="3" fillId="12" borderId="13" xfId="1" applyNumberFormat="1" applyFont="1" applyFill="1" applyBorder="1" applyAlignment="1" applyProtection="1">
      <alignment horizontal="center"/>
    </xf>
    <xf numFmtId="0" fontId="8" fillId="0" borderId="13" xfId="1" applyFont="1" applyBorder="1" applyProtection="1"/>
    <xf numFmtId="164" fontId="3" fillId="12" borderId="12" xfId="1" applyNumberFormat="1" applyFont="1" applyFill="1" applyBorder="1" applyAlignment="1" applyProtection="1">
      <alignment horizontal="center"/>
    </xf>
    <xf numFmtId="0" fontId="8" fillId="0" borderId="76" xfId="1" applyFont="1" applyBorder="1" applyProtection="1"/>
    <xf numFmtId="0" fontId="3" fillId="12" borderId="10" xfId="1" applyFont="1" applyFill="1" applyBorder="1" applyAlignment="1" applyProtection="1">
      <alignment horizontal="center"/>
    </xf>
    <xf numFmtId="0" fontId="3" fillId="12" borderId="54" xfId="1" applyFont="1" applyFill="1" applyBorder="1" applyAlignment="1" applyProtection="1">
      <alignment horizontal="center"/>
    </xf>
    <xf numFmtId="20" fontId="3" fillId="12" borderId="20" xfId="1" applyNumberFormat="1" applyFont="1" applyFill="1" applyBorder="1" applyAlignment="1" applyProtection="1">
      <alignment horizontal="center"/>
    </xf>
    <xf numFmtId="20" fontId="3" fillId="12" borderId="21" xfId="1" applyNumberFormat="1" applyFont="1" applyFill="1" applyBorder="1" applyAlignment="1" applyProtection="1">
      <alignment horizontal="center"/>
    </xf>
    <xf numFmtId="164" fontId="3" fillId="12" borderId="22" xfId="1" applyNumberFormat="1" applyFont="1" applyFill="1" applyBorder="1" applyAlignment="1" applyProtection="1">
      <alignment horizontal="center"/>
    </xf>
    <xf numFmtId="164" fontId="3" fillId="12" borderId="21" xfId="1" applyNumberFormat="1" applyFont="1" applyFill="1" applyBorder="1" applyAlignment="1" applyProtection="1">
      <alignment horizontal="center"/>
    </xf>
    <xf numFmtId="20" fontId="3" fillId="12" borderId="22" xfId="1" applyNumberFormat="1" applyFont="1" applyFill="1" applyBorder="1" applyAlignment="1" applyProtection="1">
      <alignment horizontal="center"/>
    </xf>
    <xf numFmtId="20" fontId="3" fillId="12" borderId="54" xfId="1" applyNumberFormat="1" applyFont="1" applyFill="1" applyBorder="1" applyAlignment="1" applyProtection="1">
      <alignment horizontal="center"/>
    </xf>
    <xf numFmtId="20" fontId="3" fillId="12" borderId="10" xfId="1" applyNumberFormat="1" applyFont="1" applyFill="1" applyBorder="1" applyAlignment="1" applyProtection="1">
      <alignment horizontal="center"/>
    </xf>
    <xf numFmtId="20" fontId="3" fillId="12" borderId="53" xfId="1" applyNumberFormat="1" applyFont="1" applyFill="1" applyBorder="1" applyAlignment="1" applyProtection="1">
      <alignment horizontal="center"/>
    </xf>
    <xf numFmtId="0" fontId="3" fillId="12" borderId="4" xfId="1" applyFont="1" applyFill="1" applyBorder="1" applyAlignment="1" applyProtection="1">
      <alignment horizontal="center"/>
    </xf>
    <xf numFmtId="20" fontId="3" fillId="12" borderId="66" xfId="1" applyNumberFormat="1" applyFont="1" applyFill="1" applyBorder="1" applyAlignment="1" applyProtection="1">
      <alignment horizontal="center"/>
    </xf>
    <xf numFmtId="20" fontId="3" fillId="12" borderId="15" xfId="1" applyNumberFormat="1" applyFont="1" applyFill="1" applyBorder="1" applyAlignment="1" applyProtection="1">
      <alignment horizontal="center"/>
    </xf>
    <xf numFmtId="164" fontId="3" fillId="12" borderId="7" xfId="1" applyNumberFormat="1" applyFont="1" applyFill="1" applyBorder="1" applyAlignment="1" applyProtection="1">
      <alignment horizontal="center"/>
    </xf>
    <xf numFmtId="164" fontId="3" fillId="12" borderId="15" xfId="1" applyNumberFormat="1" applyFont="1" applyFill="1" applyBorder="1" applyAlignment="1" applyProtection="1">
      <alignment horizontal="center"/>
    </xf>
    <xf numFmtId="164" fontId="3" fillId="12" borderId="67" xfId="1" applyNumberFormat="1" applyFont="1" applyFill="1" applyBorder="1" applyAlignment="1" applyProtection="1">
      <alignment horizontal="center"/>
    </xf>
    <xf numFmtId="20" fontId="3" fillId="12" borderId="67" xfId="1" applyNumberFormat="1" applyFont="1" applyFill="1" applyBorder="1" applyAlignment="1" applyProtection="1">
      <alignment horizontal="center"/>
    </xf>
    <xf numFmtId="20" fontId="3" fillId="12" borderId="5" xfId="1" applyNumberFormat="1" applyFont="1" applyFill="1" applyBorder="1" applyAlignment="1" applyProtection="1">
      <alignment horizontal="center"/>
    </xf>
    <xf numFmtId="20" fontId="3" fillId="12" borderId="4" xfId="1" applyNumberFormat="1" applyFont="1" applyFill="1" applyBorder="1" applyAlignment="1" applyProtection="1">
      <alignment horizontal="center"/>
    </xf>
    <xf numFmtId="0" fontId="3" fillId="12" borderId="9" xfId="1" applyFont="1" applyFill="1" applyBorder="1" applyAlignment="1" applyProtection="1">
      <alignment horizontal="center"/>
    </xf>
    <xf numFmtId="0" fontId="3" fillId="12" borderId="12" xfId="1" applyFont="1" applyFill="1" applyBorder="1" applyAlignment="1" applyProtection="1">
      <alignment horizontal="center"/>
    </xf>
    <xf numFmtId="0" fontId="3" fillId="12" borderId="16" xfId="1" applyFont="1" applyFill="1" applyBorder="1" applyAlignment="1" applyProtection="1">
      <alignment horizontal="center"/>
    </xf>
    <xf numFmtId="20" fontId="3" fillId="12" borderId="9" xfId="1" applyNumberFormat="1" applyFont="1" applyFill="1" applyBorder="1" applyAlignment="1" applyProtection="1">
      <alignment horizontal="center"/>
    </xf>
    <xf numFmtId="0" fontId="3" fillId="12" borderId="79" xfId="1" applyFont="1" applyFill="1" applyBorder="1" applyAlignment="1" applyProtection="1">
      <alignment horizontal="center"/>
    </xf>
    <xf numFmtId="20" fontId="3" fillId="12" borderId="156" xfId="1" applyNumberFormat="1" applyFont="1" applyFill="1" applyBorder="1" applyAlignment="1" applyProtection="1">
      <alignment horizontal="center"/>
    </xf>
    <xf numFmtId="20" fontId="3" fillId="12" borderId="18" xfId="1" applyNumberFormat="1" applyFont="1" applyFill="1" applyBorder="1" applyAlignment="1" applyProtection="1">
      <alignment horizontal="center"/>
    </xf>
    <xf numFmtId="164" fontId="3" fillId="12" borderId="73" xfId="1" applyNumberFormat="1" applyFont="1" applyFill="1" applyBorder="1" applyAlignment="1" applyProtection="1">
      <alignment horizontal="center"/>
    </xf>
    <xf numFmtId="20" fontId="3" fillId="12" borderId="70" xfId="1" applyNumberFormat="1" applyFont="1" applyFill="1" applyBorder="1" applyAlignment="1" applyProtection="1">
      <alignment horizontal="center"/>
    </xf>
    <xf numFmtId="164" fontId="3" fillId="12" borderId="18" xfId="1" applyNumberFormat="1" applyFont="1" applyFill="1" applyBorder="1" applyAlignment="1" applyProtection="1">
      <alignment horizontal="center"/>
    </xf>
    <xf numFmtId="20" fontId="3" fillId="12" borderId="157" xfId="1" applyNumberFormat="1" applyFont="1" applyFill="1" applyBorder="1" applyAlignment="1" applyProtection="1">
      <alignment horizontal="center"/>
    </xf>
    <xf numFmtId="164" fontId="10" fillId="12" borderId="71" xfId="1" applyNumberFormat="1" applyFont="1" applyFill="1" applyBorder="1" applyAlignment="1" applyProtection="1">
      <alignment horizontal="center"/>
    </xf>
    <xf numFmtId="20" fontId="10" fillId="12" borderId="72" xfId="1" applyNumberFormat="1" applyFont="1" applyFill="1" applyBorder="1" applyAlignment="1" applyProtection="1">
      <alignment horizontal="center"/>
    </xf>
    <xf numFmtId="164" fontId="10" fillId="12" borderId="18" xfId="1" applyNumberFormat="1" applyFont="1" applyFill="1" applyBorder="1" applyAlignment="1" applyProtection="1">
      <alignment horizontal="center"/>
    </xf>
    <xf numFmtId="20" fontId="3" fillId="12" borderId="71" xfId="1" applyNumberFormat="1" applyFont="1" applyFill="1" applyBorder="1" applyAlignment="1" applyProtection="1">
      <alignment horizontal="center"/>
    </xf>
    <xf numFmtId="20" fontId="3" fillId="12" borderId="69" xfId="1" applyNumberFormat="1" applyFont="1" applyFill="1" applyBorder="1" applyAlignment="1" applyProtection="1">
      <alignment horizontal="center"/>
    </xf>
    <xf numFmtId="0" fontId="8" fillId="0" borderId="53" xfId="1" applyFont="1" applyBorder="1" applyProtection="1"/>
    <xf numFmtId="20" fontId="10" fillId="12" borderId="57" xfId="1" applyNumberFormat="1" applyFont="1" applyFill="1" applyBorder="1" applyAlignment="1" applyProtection="1">
      <alignment horizontal="center"/>
    </xf>
    <xf numFmtId="164" fontId="10" fillId="12" borderId="58" xfId="1" applyNumberFormat="1" applyFont="1" applyFill="1" applyBorder="1" applyAlignment="1" applyProtection="1">
      <alignment horizontal="center"/>
    </xf>
    <xf numFmtId="164" fontId="8" fillId="0" borderId="53" xfId="1" applyNumberFormat="1" applyFont="1" applyBorder="1" applyProtection="1"/>
    <xf numFmtId="164" fontId="10" fillId="12" borderId="12" xfId="1" applyNumberFormat="1" applyFont="1" applyFill="1" applyBorder="1" applyAlignment="1" applyProtection="1">
      <alignment horizontal="center"/>
    </xf>
    <xf numFmtId="20" fontId="10" fillId="12" borderId="14" xfId="1" applyNumberFormat="1" applyFont="1" applyFill="1" applyBorder="1" applyAlignment="1" applyProtection="1">
      <alignment horizontal="center"/>
    </xf>
    <xf numFmtId="20" fontId="10" fillId="12" borderId="11" xfId="1" applyNumberFormat="1" applyFont="1" applyFill="1" applyBorder="1" applyAlignment="1" applyProtection="1">
      <alignment horizontal="center"/>
    </xf>
    <xf numFmtId="164" fontId="8" fillId="0" borderId="8" xfId="1" applyNumberFormat="1" applyFont="1" applyBorder="1" applyProtection="1"/>
    <xf numFmtId="164" fontId="10" fillId="12" borderId="16" xfId="1" applyNumberFormat="1" applyFont="1" applyFill="1" applyBorder="1" applyAlignment="1" applyProtection="1">
      <alignment horizontal="center"/>
    </xf>
    <xf numFmtId="164" fontId="8" fillId="0" borderId="13" xfId="1" applyNumberFormat="1" applyFont="1" applyBorder="1" applyProtection="1"/>
    <xf numFmtId="164" fontId="8" fillId="0" borderId="76" xfId="1" applyNumberFormat="1" applyFont="1" applyBorder="1" applyProtection="1"/>
    <xf numFmtId="20" fontId="3" fillId="12" borderId="52" xfId="1" applyNumberFormat="1" applyFont="1" applyFill="1" applyBorder="1" applyAlignment="1" applyProtection="1">
      <alignment horizontal="center"/>
    </xf>
    <xf numFmtId="0" fontId="3" fillId="12" borderId="61" xfId="1" applyFont="1" applyFill="1" applyBorder="1" applyAlignment="1" applyProtection="1">
      <alignment horizontal="center"/>
    </xf>
    <xf numFmtId="0" fontId="3" fillId="12" borderId="21" xfId="1" applyFont="1" applyFill="1" applyBorder="1" applyAlignment="1" applyProtection="1">
      <alignment horizontal="center"/>
    </xf>
    <xf numFmtId="20" fontId="3" fillId="8" borderId="65" xfId="1" applyNumberFormat="1" applyFont="1" applyFill="1" applyBorder="1" applyAlignment="1" applyProtection="1">
      <alignment horizontal="center"/>
    </xf>
    <xf numFmtId="164" fontId="3" fillId="8" borderId="65" xfId="1" applyNumberFormat="1" applyFont="1" applyFill="1" applyBorder="1" applyAlignment="1" applyProtection="1">
      <alignment horizontal="center"/>
    </xf>
    <xf numFmtId="164" fontId="10" fillId="8" borderId="65" xfId="1" applyNumberFormat="1" applyFont="1" applyFill="1" applyBorder="1" applyAlignment="1" applyProtection="1">
      <alignment horizontal="center"/>
    </xf>
    <xf numFmtId="20" fontId="3" fillId="8" borderId="65" xfId="1" quotePrefix="1" applyNumberFormat="1" applyFont="1" applyFill="1" applyBorder="1" applyAlignment="1" applyProtection="1">
      <alignment horizontal="center"/>
    </xf>
    <xf numFmtId="0" fontId="3" fillId="12" borderId="80" xfId="1" applyFont="1" applyFill="1" applyBorder="1" applyAlignment="1" applyProtection="1">
      <alignment horizontal="center"/>
    </xf>
    <xf numFmtId="20" fontId="3" fillId="12" borderId="31" xfId="1" applyNumberFormat="1" applyFont="1" applyFill="1" applyBorder="1" applyAlignment="1" applyProtection="1">
      <alignment horizontal="center"/>
    </xf>
    <xf numFmtId="20" fontId="3" fillId="12" borderId="30" xfId="1" applyNumberFormat="1" applyFont="1" applyFill="1" applyBorder="1" applyAlignment="1" applyProtection="1">
      <alignment horizontal="center"/>
    </xf>
    <xf numFmtId="164" fontId="3" fillId="12" borderId="81" xfId="1" applyNumberFormat="1" applyFont="1" applyFill="1" applyBorder="1" applyAlignment="1" applyProtection="1">
      <alignment horizontal="center"/>
    </xf>
    <xf numFmtId="20" fontId="3" fillId="12" borderId="29" xfId="1" applyNumberFormat="1" applyFont="1" applyFill="1" applyBorder="1" applyAlignment="1" applyProtection="1">
      <alignment horizontal="center"/>
    </xf>
    <xf numFmtId="164" fontId="3" fillId="12" borderId="30" xfId="1" applyNumberFormat="1" applyFont="1" applyFill="1" applyBorder="1" applyAlignment="1" applyProtection="1">
      <alignment horizontal="center"/>
    </xf>
    <xf numFmtId="164" fontId="3" fillId="12" borderId="82" xfId="1" applyNumberFormat="1" applyFont="1" applyFill="1" applyBorder="1" applyAlignment="1" applyProtection="1">
      <alignment horizontal="center"/>
    </xf>
    <xf numFmtId="20" fontId="3" fillId="12" borderId="80" xfId="1" applyNumberFormat="1" applyFont="1" applyFill="1" applyBorder="1" applyAlignment="1" applyProtection="1">
      <alignment horizontal="center"/>
    </xf>
    <xf numFmtId="20" fontId="3" fillId="12" borderId="25" xfId="1" applyNumberFormat="1" applyFont="1" applyFill="1" applyBorder="1" applyAlignment="1" applyProtection="1">
      <alignment horizontal="center"/>
    </xf>
    <xf numFmtId="20" fontId="3" fillId="12" borderId="27" xfId="1" applyNumberFormat="1" applyFont="1" applyFill="1" applyBorder="1" applyAlignment="1" applyProtection="1">
      <alignment horizontal="center"/>
    </xf>
    <xf numFmtId="164" fontId="3" fillId="12" borderId="83" xfId="1" applyNumberFormat="1" applyFont="1" applyFill="1" applyBorder="1" applyAlignment="1" applyProtection="1">
      <alignment horizontal="center"/>
    </xf>
    <xf numFmtId="0" fontId="3" fillId="12" borderId="70" xfId="1" applyFont="1" applyFill="1" applyBorder="1" applyAlignment="1" applyProtection="1">
      <alignment horizontal="center"/>
    </xf>
    <xf numFmtId="20" fontId="3" fillId="12" borderId="72" xfId="1" applyNumberFormat="1" applyFont="1" applyFill="1" applyBorder="1" applyAlignment="1" applyProtection="1">
      <alignment horizontal="center"/>
    </xf>
    <xf numFmtId="164" fontId="3" fillId="12" borderId="71" xfId="1" applyNumberFormat="1" applyFont="1" applyFill="1" applyBorder="1" applyAlignment="1" applyProtection="1">
      <alignment horizontal="center"/>
    </xf>
    <xf numFmtId="20" fontId="3" fillId="12" borderId="75" xfId="1" applyNumberFormat="1" applyFont="1" applyFill="1" applyBorder="1" applyAlignment="1" applyProtection="1">
      <alignment horizontal="center"/>
    </xf>
    <xf numFmtId="0" fontId="3" fillId="12" borderId="73" xfId="1" applyFont="1" applyFill="1" applyBorder="1" applyAlignment="1" applyProtection="1">
      <alignment horizontal="center"/>
    </xf>
    <xf numFmtId="0" fontId="3" fillId="12" borderId="18" xfId="1" applyFont="1" applyFill="1" applyBorder="1" applyAlignment="1" applyProtection="1">
      <alignment horizontal="center"/>
    </xf>
    <xf numFmtId="20" fontId="3" fillId="12" borderId="76" xfId="1" applyNumberFormat="1" applyFont="1" applyFill="1" applyBorder="1" applyAlignment="1" applyProtection="1">
      <alignment horizontal="center"/>
    </xf>
    <xf numFmtId="0" fontId="3" fillId="12" borderId="48" xfId="1" applyFont="1" applyFill="1" applyBorder="1" applyAlignment="1" applyProtection="1">
      <alignment horizontal="center"/>
    </xf>
    <xf numFmtId="20" fontId="3" fillId="12" borderId="61" xfId="1" applyNumberFormat="1" applyFont="1" applyFill="1" applyBorder="1" applyAlignment="1" applyProtection="1">
      <alignment horizontal="center"/>
    </xf>
    <xf numFmtId="20" fontId="3" fillId="12" borderId="48" xfId="1" applyNumberFormat="1" applyFont="1" applyFill="1" applyBorder="1" applyAlignment="1" applyProtection="1">
      <alignment horizontal="center"/>
    </xf>
    <xf numFmtId="0" fontId="13" fillId="0" borderId="0" xfId="0" applyFont="1" applyAlignment="1"/>
    <xf numFmtId="0" fontId="13" fillId="0" borderId="0" xfId="0" applyFont="1" applyAlignment="1">
      <alignment horizontal="right"/>
    </xf>
    <xf numFmtId="0" fontId="21" fillId="8" borderId="80" xfId="0" applyFont="1" applyFill="1" applyBorder="1" applyAlignment="1"/>
    <xf numFmtId="0" fontId="13" fillId="0" borderId="0" xfId="0" applyFont="1" applyAlignment="1">
      <alignment horizontal="center"/>
    </xf>
    <xf numFmtId="20" fontId="5" fillId="0" borderId="34" xfId="0" applyNumberFormat="1" applyFont="1" applyBorder="1" applyAlignment="1">
      <alignment horizontal="center"/>
    </xf>
    <xf numFmtId="20" fontId="5" fillId="0" borderId="55" xfId="0" applyNumberFormat="1" applyFont="1" applyBorder="1" applyAlignment="1">
      <alignment horizontal="center"/>
    </xf>
    <xf numFmtId="20" fontId="5" fillId="0" borderId="41" xfId="0" applyNumberFormat="1" applyFont="1" applyBorder="1" applyAlignment="1">
      <alignment horizontal="center"/>
    </xf>
    <xf numFmtId="0" fontId="4" fillId="11" borderId="41" xfId="0" quotePrefix="1" applyFont="1" applyFill="1" applyBorder="1" applyAlignment="1">
      <alignment horizontal="center"/>
    </xf>
    <xf numFmtId="0" fontId="1" fillId="0" borderId="41" xfId="0" applyFont="1" applyBorder="1" applyAlignment="1"/>
    <xf numFmtId="0" fontId="4" fillId="11" borderId="56" xfId="0" quotePrefix="1" applyFont="1" applyFill="1" applyBorder="1" applyAlignment="1">
      <alignment horizontal="center"/>
    </xf>
    <xf numFmtId="20" fontId="13" fillId="0" borderId="0" xfId="0" applyNumberFormat="1" applyFont="1" applyAlignment="1">
      <alignment horizontal="center"/>
    </xf>
    <xf numFmtId="0" fontId="1" fillId="0" borderId="14" xfId="0" applyFont="1" applyBorder="1" applyAlignment="1">
      <alignment horizontal="center"/>
    </xf>
    <xf numFmtId="20" fontId="4" fillId="11" borderId="16" xfId="0" applyNumberFormat="1" applyFont="1" applyFill="1" applyBorder="1" applyAlignment="1">
      <alignment horizontal="center"/>
    </xf>
    <xf numFmtId="20" fontId="4" fillId="11" borderId="17" xfId="0" applyNumberFormat="1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20" fontId="5" fillId="12" borderId="16" xfId="0" applyNumberFormat="1" applyFont="1" applyFill="1" applyBorder="1" applyAlignment="1">
      <alignment horizontal="center"/>
    </xf>
    <xf numFmtId="20" fontId="1" fillId="12" borderId="16" xfId="0" applyNumberFormat="1" applyFont="1" applyFill="1" applyBorder="1" applyAlignment="1">
      <alignment horizontal="center"/>
    </xf>
    <xf numFmtId="20" fontId="4" fillId="12" borderId="16" xfId="0" applyNumberFormat="1" applyFont="1" applyFill="1" applyBorder="1" applyAlignment="1">
      <alignment horizontal="center"/>
    </xf>
    <xf numFmtId="20" fontId="11" fillId="12" borderId="16" xfId="0" applyNumberFormat="1" applyFont="1" applyFill="1" applyBorder="1" applyAlignment="1">
      <alignment horizontal="center"/>
    </xf>
    <xf numFmtId="0" fontId="12" fillId="12" borderId="14" xfId="0" applyFont="1" applyFill="1" applyBorder="1" applyAlignment="1"/>
    <xf numFmtId="0" fontId="12" fillId="12" borderId="16" xfId="0" applyFont="1" applyFill="1" applyBorder="1" applyAlignment="1"/>
    <xf numFmtId="20" fontId="13" fillId="12" borderId="16" xfId="0" applyNumberFormat="1" applyFont="1" applyFill="1" applyBorder="1" applyAlignment="1">
      <alignment horizontal="center"/>
    </xf>
    <xf numFmtId="20" fontId="2" fillId="12" borderId="16" xfId="0" applyNumberFormat="1" applyFont="1" applyFill="1" applyBorder="1" applyAlignment="1">
      <alignment horizontal="center"/>
    </xf>
    <xf numFmtId="20" fontId="2" fillId="12" borderId="17" xfId="0" applyNumberFormat="1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20" fontId="14" fillId="12" borderId="16" xfId="0" applyNumberFormat="1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20" fontId="5" fillId="12" borderId="17" xfId="0" applyNumberFormat="1" applyFont="1" applyFill="1" applyBorder="1" applyAlignment="1">
      <alignment horizontal="center"/>
    </xf>
    <xf numFmtId="0" fontId="4" fillId="11" borderId="16" xfId="0" quotePrefix="1" applyFont="1" applyFill="1" applyBorder="1" applyAlignment="1">
      <alignment horizontal="center"/>
    </xf>
    <xf numFmtId="20" fontId="14" fillId="12" borderId="17" xfId="0" applyNumberFormat="1" applyFont="1" applyFill="1" applyBorder="1" applyAlignment="1">
      <alignment horizontal="center"/>
    </xf>
    <xf numFmtId="0" fontId="4" fillId="11" borderId="16" xfId="0" applyFont="1" applyFill="1" applyBorder="1" applyAlignment="1">
      <alignment horizontal="center"/>
    </xf>
    <xf numFmtId="20" fontId="1" fillId="12" borderId="14" xfId="0" applyNumberFormat="1" applyFont="1" applyFill="1" applyBorder="1" applyAlignment="1">
      <alignment horizontal="center"/>
    </xf>
    <xf numFmtId="20" fontId="11" fillId="12" borderId="14" xfId="0" applyNumberFormat="1" applyFont="1" applyFill="1" applyBorder="1" applyAlignment="1"/>
    <xf numFmtId="0" fontId="8" fillId="12" borderId="16" xfId="0" applyFont="1" applyFill="1" applyBorder="1" applyAlignment="1"/>
    <xf numFmtId="0" fontId="4" fillId="11" borderId="14" xfId="0" quotePrefix="1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20" fontId="11" fillId="12" borderId="17" xfId="0" applyNumberFormat="1" applyFont="1" applyFill="1" applyBorder="1" applyAlignment="1">
      <alignment horizontal="center"/>
    </xf>
    <xf numFmtId="0" fontId="4" fillId="11" borderId="17" xfId="0" quotePrefix="1" applyFont="1" applyFill="1" applyBorder="1" applyAlignment="1">
      <alignment horizontal="center"/>
    </xf>
    <xf numFmtId="20" fontId="13" fillId="0" borderId="0" xfId="0" applyNumberFormat="1" applyFont="1" applyAlignment="1"/>
    <xf numFmtId="0" fontId="16" fillId="12" borderId="16" xfId="0" applyFont="1" applyFill="1" applyBorder="1" applyAlignment="1">
      <alignment horizontal="center"/>
    </xf>
    <xf numFmtId="0" fontId="6" fillId="12" borderId="16" xfId="0" applyFont="1" applyFill="1" applyBorder="1" applyAlignment="1">
      <alignment horizontal="center"/>
    </xf>
    <xf numFmtId="0" fontId="12" fillId="12" borderId="17" xfId="0" applyFont="1" applyFill="1" applyBorder="1" applyAlignment="1"/>
    <xf numFmtId="20" fontId="17" fillId="12" borderId="16" xfId="0" applyNumberFormat="1" applyFont="1" applyFill="1" applyBorder="1" applyAlignment="1">
      <alignment horizontal="center"/>
    </xf>
    <xf numFmtId="0" fontId="8" fillId="12" borderId="17" xfId="0" applyFont="1" applyFill="1" applyBorder="1" applyAlignment="1"/>
    <xf numFmtId="0" fontId="4" fillId="0" borderId="4" xfId="0" applyFont="1" applyBorder="1" applyAlignment="1"/>
    <xf numFmtId="0" fontId="6" fillId="12" borderId="21" xfId="0" applyFont="1" applyFill="1" applyBorder="1" applyAlignment="1">
      <alignment horizontal="center"/>
    </xf>
    <xf numFmtId="20" fontId="1" fillId="12" borderId="21" xfId="0" applyNumberFormat="1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46" fontId="8" fillId="12" borderId="22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20" fontId="11" fillId="0" borderId="0" xfId="0" applyNumberFormat="1" applyFont="1" applyAlignment="1"/>
    <xf numFmtId="0" fontId="4" fillId="8" borderId="26" xfId="0" applyFont="1" applyFill="1" applyBorder="1" applyAlignment="1">
      <alignment horizontal="center"/>
    </xf>
    <xf numFmtId="0" fontId="13" fillId="0" borderId="4" xfId="0" applyFont="1" applyBorder="1" applyAlignment="1"/>
    <xf numFmtId="0" fontId="13" fillId="0" borderId="55" xfId="0" applyFont="1" applyBorder="1" applyAlignment="1">
      <alignment horizontal="center"/>
    </xf>
    <xf numFmtId="0" fontId="13" fillId="16" borderId="19" xfId="0" applyFont="1" applyFill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11" fillId="0" borderId="66" xfId="0" applyFont="1" applyBorder="1" applyAlignment="1">
      <alignment horizontal="center"/>
    </xf>
    <xf numFmtId="0" fontId="13" fillId="16" borderId="59" xfId="0" applyFont="1" applyFill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17" borderId="11" xfId="0" applyFont="1" applyFill="1" applyBorder="1" applyAlignment="1">
      <alignment horizontal="center"/>
    </xf>
    <xf numFmtId="0" fontId="13" fillId="17" borderId="13" xfId="0" applyFont="1" applyFill="1" applyBorder="1" applyAlignment="1">
      <alignment horizontal="center"/>
    </xf>
    <xf numFmtId="0" fontId="5" fillId="0" borderId="4" xfId="0" applyFont="1" applyBorder="1" applyAlignment="1"/>
    <xf numFmtId="0" fontId="11" fillId="17" borderId="6" xfId="0" applyFont="1" applyFill="1" applyBorder="1" applyAlignment="1">
      <alignment horizontal="center"/>
    </xf>
    <xf numFmtId="0" fontId="11" fillId="17" borderId="8" xfId="0" applyFont="1" applyFill="1" applyBorder="1" applyAlignment="1">
      <alignment horizontal="center"/>
    </xf>
    <xf numFmtId="0" fontId="5" fillId="0" borderId="8" xfId="0" applyFont="1" applyBorder="1" applyAlignment="1"/>
    <xf numFmtId="0" fontId="11" fillId="12" borderId="66" xfId="0" applyFont="1" applyFill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20" fontId="5" fillId="17" borderId="8" xfId="0" applyNumberFormat="1" applyFont="1" applyFill="1" applyBorder="1" applyAlignment="1">
      <alignment horizontal="center"/>
    </xf>
    <xf numFmtId="0" fontId="2" fillId="0" borderId="4" xfId="0" applyFont="1" applyBorder="1" applyAlignment="1"/>
    <xf numFmtId="0" fontId="2" fillId="12" borderId="66" xfId="0" applyFont="1" applyFill="1" applyBorder="1" applyAlignment="1">
      <alignment horizontal="center"/>
    </xf>
    <xf numFmtId="20" fontId="2" fillId="17" borderId="6" xfId="0" applyNumberFormat="1" applyFont="1" applyFill="1" applyBorder="1" applyAlignment="1">
      <alignment horizontal="center"/>
    </xf>
    <xf numFmtId="20" fontId="2" fillId="17" borderId="8" xfId="0" applyNumberFormat="1" applyFont="1" applyFill="1" applyBorder="1" applyAlignment="1">
      <alignment horizontal="center"/>
    </xf>
    <xf numFmtId="0" fontId="2" fillId="0" borderId="8" xfId="0" applyFont="1" applyBorder="1" applyAlignment="1"/>
    <xf numFmtId="0" fontId="13" fillId="12" borderId="66" xfId="0" applyFont="1" applyFill="1" applyBorder="1" applyAlignment="1">
      <alignment horizontal="center"/>
    </xf>
    <xf numFmtId="0" fontId="22" fillId="17" borderId="6" xfId="0" applyFont="1" applyFill="1" applyBorder="1" applyAlignment="1">
      <alignment horizontal="center"/>
    </xf>
    <xf numFmtId="0" fontId="22" fillId="17" borderId="8" xfId="0" applyFont="1" applyFill="1" applyBorder="1" applyAlignment="1">
      <alignment horizontal="center"/>
    </xf>
    <xf numFmtId="20" fontId="5" fillId="17" borderId="6" xfId="0" applyNumberFormat="1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13" fillId="17" borderId="8" xfId="0" applyFont="1" applyFill="1" applyBorder="1" applyAlignment="1">
      <alignment horizontal="center"/>
    </xf>
    <xf numFmtId="20" fontId="2" fillId="17" borderId="15" xfId="0" applyNumberFormat="1" applyFont="1" applyFill="1" applyBorder="1" applyAlignment="1">
      <alignment horizontal="center"/>
    </xf>
    <xf numFmtId="0" fontId="22" fillId="17" borderId="15" xfId="0" applyFont="1" applyFill="1" applyBorder="1" applyAlignment="1">
      <alignment horizontal="center"/>
    </xf>
    <xf numFmtId="0" fontId="13" fillId="12" borderId="11" xfId="0" applyFont="1" applyFill="1" applyBorder="1" applyAlignment="1">
      <alignment horizontal="center"/>
    </xf>
    <xf numFmtId="0" fontId="2" fillId="17" borderId="6" xfId="0" applyFont="1" applyFill="1" applyBorder="1" applyAlignment="1">
      <alignment horizontal="center"/>
    </xf>
    <xf numFmtId="20" fontId="5" fillId="17" borderId="15" xfId="0" applyNumberFormat="1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13" fillId="12" borderId="14" xfId="0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3" fillId="17" borderId="6" xfId="0" applyFont="1" applyFill="1" applyBorder="1" applyAlignment="1">
      <alignment horizontal="center"/>
    </xf>
    <xf numFmtId="0" fontId="13" fillId="17" borderId="67" xfId="0" applyFont="1" applyFill="1" applyBorder="1" applyAlignment="1">
      <alignment horizontal="center"/>
    </xf>
    <xf numFmtId="20" fontId="2" fillId="17" borderId="66" xfId="0" applyNumberFormat="1" applyFont="1" applyFill="1" applyBorder="1" applyAlignment="1">
      <alignment horizontal="center"/>
    </xf>
    <xf numFmtId="0" fontId="3" fillId="12" borderId="67" xfId="0" applyFont="1" applyFill="1" applyBorder="1" applyAlignment="1">
      <alignment horizontal="center"/>
    </xf>
    <xf numFmtId="0" fontId="13" fillId="17" borderId="66" xfId="0" applyFont="1" applyFill="1" applyBorder="1" applyAlignment="1">
      <alignment horizontal="center"/>
    </xf>
    <xf numFmtId="20" fontId="5" fillId="17" borderId="66" xfId="0" applyNumberFormat="1" applyFont="1" applyFill="1" applyBorder="1" applyAlignment="1">
      <alignment horizontal="center"/>
    </xf>
    <xf numFmtId="0" fontId="22" fillId="17" borderId="66" xfId="0" applyFont="1" applyFill="1" applyBorder="1" applyAlignment="1">
      <alignment horizontal="center"/>
    </xf>
    <xf numFmtId="0" fontId="3" fillId="12" borderId="66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7" borderId="66" xfId="0" applyFont="1" applyFill="1" applyBorder="1" applyAlignment="1">
      <alignment horizontal="center"/>
    </xf>
    <xf numFmtId="0" fontId="3" fillId="17" borderId="8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16" fillId="17" borderId="8" xfId="0" applyFont="1" applyFill="1" applyBorder="1" applyAlignment="1">
      <alignment horizontal="center"/>
    </xf>
    <xf numFmtId="0" fontId="16" fillId="17" borderId="66" xfId="0" applyFont="1" applyFill="1" applyBorder="1" applyAlignment="1">
      <alignment horizontal="center"/>
    </xf>
    <xf numFmtId="0" fontId="2" fillId="12" borderId="78" xfId="0" applyFont="1" applyFill="1" applyBorder="1" applyAlignment="1">
      <alignment horizontal="center"/>
    </xf>
    <xf numFmtId="0" fontId="16" fillId="17" borderId="6" xfId="0" applyFont="1" applyFill="1" applyBorder="1" applyAlignment="1">
      <alignment horizontal="center"/>
    </xf>
    <xf numFmtId="0" fontId="13" fillId="17" borderId="6" xfId="0" applyFont="1" applyFill="1" applyBorder="1" applyAlignment="1">
      <alignment horizontal="center"/>
    </xf>
    <xf numFmtId="0" fontId="3" fillId="17" borderId="13" xfId="0" applyFont="1" applyFill="1" applyBorder="1" applyAlignment="1">
      <alignment horizontal="center"/>
    </xf>
    <xf numFmtId="0" fontId="22" fillId="12" borderId="6" xfId="0" applyFont="1" applyFill="1" applyBorder="1" applyAlignment="1">
      <alignment horizontal="center"/>
    </xf>
    <xf numFmtId="0" fontId="17" fillId="17" borderId="6" xfId="0" applyFont="1" applyFill="1" applyBorder="1" applyAlignment="1">
      <alignment horizontal="center"/>
    </xf>
    <xf numFmtId="0" fontId="2" fillId="17" borderId="8" xfId="0" applyFont="1" applyFill="1" applyBorder="1" applyAlignment="1">
      <alignment horizontal="center"/>
    </xf>
    <xf numFmtId="0" fontId="19" fillId="17" borderId="8" xfId="0" applyFont="1" applyFill="1" applyBorder="1" applyAlignment="1">
      <alignment horizontal="center"/>
    </xf>
    <xf numFmtId="0" fontId="5" fillId="12" borderId="66" xfId="0" applyFont="1" applyFill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3" fillId="0" borderId="84" xfId="0" applyFont="1" applyBorder="1" applyAlignment="1"/>
    <xf numFmtId="0" fontId="11" fillId="12" borderId="63" xfId="0" applyFont="1" applyFill="1" applyBorder="1" applyAlignment="1">
      <alignment horizontal="center"/>
    </xf>
    <xf numFmtId="0" fontId="23" fillId="17" borderId="60" xfId="0" applyFont="1" applyFill="1" applyBorder="1" applyAlignment="1">
      <alignment horizontal="center"/>
    </xf>
    <xf numFmtId="0" fontId="13" fillId="17" borderId="60" xfId="0" applyFont="1" applyFill="1" applyBorder="1" applyAlignment="1">
      <alignment horizontal="center"/>
    </xf>
    <xf numFmtId="0" fontId="13" fillId="12" borderId="60" xfId="0" applyFont="1" applyFill="1" applyBorder="1" applyAlignment="1">
      <alignment horizontal="center"/>
    </xf>
    <xf numFmtId="0" fontId="13" fillId="17" borderId="85" xfId="0" applyFont="1" applyFill="1" applyBorder="1" applyAlignment="1">
      <alignment horizontal="center"/>
    </xf>
    <xf numFmtId="0" fontId="13" fillId="0" borderId="85" xfId="0" applyFont="1" applyBorder="1" applyAlignment="1"/>
    <xf numFmtId="0" fontId="22" fillId="0" borderId="0" xfId="0" applyFont="1" applyAlignment="1"/>
    <xf numFmtId="0" fontId="3" fillId="15" borderId="26" xfId="0" applyFont="1" applyFill="1" applyBorder="1" applyAlignment="1"/>
    <xf numFmtId="0" fontId="3" fillId="15" borderId="163" xfId="0" applyFont="1" applyFill="1" applyBorder="1" applyAlignment="1"/>
    <xf numFmtId="0" fontId="3" fillId="15" borderId="65" xfId="0" applyFont="1" applyFill="1" applyBorder="1" applyAlignment="1"/>
    <xf numFmtId="0" fontId="3" fillId="15" borderId="84" xfId="0" applyFont="1" applyFill="1" applyBorder="1" applyAlignment="1"/>
    <xf numFmtId="0" fontId="8" fillId="15" borderId="65" xfId="0" applyFont="1" applyFill="1" applyBorder="1" applyAlignment="1"/>
    <xf numFmtId="0" fontId="8" fillId="15" borderId="85" xfId="0" applyFont="1" applyFill="1" applyBorder="1" applyAlignment="1"/>
    <xf numFmtId="0" fontId="3" fillId="15" borderId="85" xfId="0" applyFont="1" applyFill="1" applyBorder="1" applyAlignment="1"/>
    <xf numFmtId="0" fontId="8" fillId="15" borderId="164" xfId="0" applyFont="1" applyFill="1" applyBorder="1" applyAlignment="1"/>
    <xf numFmtId="0" fontId="3" fillId="15" borderId="165" xfId="0" applyFont="1" applyFill="1" applyBorder="1" applyAlignment="1"/>
    <xf numFmtId="0" fontId="3" fillId="15" borderId="77" xfId="0" applyFont="1" applyFill="1" applyBorder="1" applyAlignment="1"/>
    <xf numFmtId="0" fontId="3" fillId="15" borderId="166" xfId="0" applyFont="1" applyFill="1" applyBorder="1" applyAlignment="1"/>
    <xf numFmtId="0" fontId="3" fillId="15" borderId="156" xfId="0" applyFont="1" applyFill="1" applyBorder="1" applyAlignment="1"/>
    <xf numFmtId="0" fontId="3" fillId="15" borderId="78" xfId="0" applyFont="1" applyFill="1" applyBorder="1" applyAlignment="1"/>
    <xf numFmtId="0" fontId="3" fillId="15" borderId="0" xfId="0" applyFont="1" applyFill="1" applyAlignment="1"/>
    <xf numFmtId="0" fontId="3" fillId="15" borderId="167" xfId="0" applyFont="1" applyFill="1" applyBorder="1" applyAlignment="1"/>
    <xf numFmtId="0" fontId="3" fillId="17" borderId="19" xfId="0" applyFont="1" applyFill="1" applyBorder="1" applyAlignment="1">
      <alignment horizontal="center" vertical="center"/>
    </xf>
    <xf numFmtId="0" fontId="3" fillId="17" borderId="39" xfId="0" applyFont="1" applyFill="1" applyBorder="1" applyAlignment="1">
      <alignment horizontal="center" vertical="center"/>
    </xf>
    <xf numFmtId="20" fontId="3" fillId="17" borderId="55" xfId="0" applyNumberFormat="1" applyFont="1" applyFill="1" applyBorder="1" applyAlignment="1">
      <alignment horizontal="center" vertical="center"/>
    </xf>
    <xf numFmtId="20" fontId="3" fillId="17" borderId="57" xfId="0" applyNumberFormat="1" applyFont="1" applyFill="1" applyBorder="1" applyAlignment="1">
      <alignment horizontal="center" vertical="center"/>
    </xf>
    <xf numFmtId="0" fontId="3" fillId="17" borderId="40" xfId="0" applyFont="1" applyFill="1" applyBorder="1" applyAlignment="1">
      <alignment horizontal="center" vertical="center"/>
    </xf>
    <xf numFmtId="0" fontId="3" fillId="17" borderId="57" xfId="0" applyFont="1" applyFill="1" applyBorder="1" applyAlignment="1">
      <alignment horizontal="center" vertical="center"/>
    </xf>
    <xf numFmtId="20" fontId="3" fillId="17" borderId="39" xfId="0" applyNumberFormat="1" applyFont="1" applyFill="1" applyBorder="1" applyAlignment="1">
      <alignment horizontal="center" vertical="center"/>
    </xf>
    <xf numFmtId="20" fontId="3" fillId="17" borderId="41" xfId="0" applyNumberFormat="1" applyFont="1" applyFill="1" applyBorder="1" applyAlignment="1">
      <alignment horizontal="center" vertical="center"/>
    </xf>
    <xf numFmtId="20" fontId="3" fillId="0" borderId="56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20" fillId="0" borderId="0" xfId="0" applyFont="1" applyAlignment="1"/>
    <xf numFmtId="0" fontId="3" fillId="17" borderId="5" xfId="0" applyFont="1" applyFill="1" applyBorder="1" applyAlignment="1">
      <alignment horizontal="center" vertical="center"/>
    </xf>
    <xf numFmtId="0" fontId="3" fillId="17" borderId="68" xfId="0" applyFont="1" applyFill="1" applyBorder="1" applyAlignment="1">
      <alignment horizontal="center" vertical="center"/>
    </xf>
    <xf numFmtId="20" fontId="3" fillId="17" borderId="11" xfId="0" applyNumberFormat="1" applyFont="1" applyFill="1" applyBorder="1" applyAlignment="1">
      <alignment horizontal="center" vertical="center"/>
    </xf>
    <xf numFmtId="0" fontId="3" fillId="17" borderId="13" xfId="0" applyFont="1" applyFill="1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20" fontId="3" fillId="17" borderId="45" xfId="0" applyNumberFormat="1" applyFont="1" applyFill="1" applyBorder="1" applyAlignment="1">
      <alignment horizontal="center" vertical="center"/>
    </xf>
    <xf numFmtId="20" fontId="3" fillId="17" borderId="14" xfId="0" applyNumberFormat="1" applyFont="1" applyFill="1" applyBorder="1" applyAlignment="1">
      <alignment horizontal="center" vertical="center"/>
    </xf>
    <xf numFmtId="20" fontId="3" fillId="17" borderId="16" xfId="0" applyNumberFormat="1" applyFont="1" applyFill="1" applyBorder="1" applyAlignment="1">
      <alignment horizontal="center" vertical="center"/>
    </xf>
    <xf numFmtId="20" fontId="3" fillId="0" borderId="1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17" borderId="59" xfId="0" applyFont="1" applyFill="1" applyBorder="1" applyAlignment="1">
      <alignment horizontal="center" vertical="center"/>
    </xf>
    <xf numFmtId="0" fontId="3" fillId="17" borderId="65" xfId="0" applyFont="1" applyFill="1" applyBorder="1" applyAlignment="1">
      <alignment horizontal="center" vertical="center"/>
    </xf>
    <xf numFmtId="20" fontId="3" fillId="17" borderId="60" xfId="0" applyNumberFormat="1" applyFont="1" applyFill="1" applyBorder="1" applyAlignment="1">
      <alignment horizontal="center" vertical="center"/>
    </xf>
    <xf numFmtId="0" fontId="3" fillId="17" borderId="85" xfId="0" applyFont="1" applyFill="1" applyBorder="1" applyAlignment="1">
      <alignment horizontal="center" vertical="center"/>
    </xf>
    <xf numFmtId="20" fontId="3" fillId="17" borderId="63" xfId="0" applyNumberFormat="1" applyFont="1" applyFill="1" applyBorder="1" applyAlignment="1">
      <alignment horizontal="center" vertical="center"/>
    </xf>
    <xf numFmtId="0" fontId="3" fillId="17" borderId="60" xfId="0" applyFont="1" applyFill="1" applyBorder="1" applyAlignment="1">
      <alignment horizontal="center" vertical="center"/>
    </xf>
    <xf numFmtId="20" fontId="3" fillId="17" borderId="65" xfId="0" applyNumberFormat="1" applyFont="1" applyFill="1" applyBorder="1" applyAlignment="1">
      <alignment horizontal="center" vertical="center"/>
    </xf>
    <xf numFmtId="20" fontId="3" fillId="17" borderId="20" xfId="0" applyNumberFormat="1" applyFont="1" applyFill="1" applyBorder="1" applyAlignment="1">
      <alignment horizontal="center" vertical="center"/>
    </xf>
    <xf numFmtId="20" fontId="3" fillId="17" borderId="21" xfId="0" applyNumberFormat="1" applyFont="1" applyFill="1" applyBorder="1" applyAlignment="1">
      <alignment horizontal="center" vertical="center"/>
    </xf>
    <xf numFmtId="20" fontId="3" fillId="0" borderId="22" xfId="0" applyNumberFormat="1" applyFont="1" applyBorder="1" applyAlignment="1">
      <alignment horizontal="center" vertical="center"/>
    </xf>
    <xf numFmtId="0" fontId="8" fillId="0" borderId="85" xfId="0" applyFont="1" applyBorder="1" applyAlignment="1">
      <alignment horizontal="center" vertical="center"/>
    </xf>
    <xf numFmtId="0" fontId="3" fillId="17" borderId="79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20" fontId="3" fillId="17" borderId="166" xfId="0" applyNumberFormat="1" applyFont="1" applyFill="1" applyBorder="1" applyAlignment="1">
      <alignment horizontal="center" vertical="center"/>
    </xf>
    <xf numFmtId="20" fontId="3" fillId="17" borderId="157" xfId="0" applyNumberFormat="1" applyFont="1" applyFill="1" applyBorder="1" applyAlignment="1">
      <alignment horizontal="center" vertical="center"/>
    </xf>
    <xf numFmtId="0" fontId="3" fillId="17" borderId="78" xfId="0" applyFont="1" applyFill="1" applyBorder="1" applyAlignment="1">
      <alignment horizontal="center" vertical="center"/>
    </xf>
    <xf numFmtId="20" fontId="3" fillId="17" borderId="156" xfId="0" applyNumberFormat="1" applyFont="1" applyFill="1" applyBorder="1" applyAlignment="1">
      <alignment horizontal="center" vertical="center"/>
    </xf>
    <xf numFmtId="0" fontId="3" fillId="17" borderId="156" xfId="0" applyFont="1" applyFill="1" applyBorder="1" applyAlignment="1">
      <alignment horizontal="center" vertical="center"/>
    </xf>
    <xf numFmtId="20" fontId="3" fillId="17" borderId="31" xfId="0" applyNumberFormat="1" applyFont="1" applyFill="1" applyBorder="1" applyAlignment="1">
      <alignment horizontal="center" vertical="center"/>
    </xf>
    <xf numFmtId="0" fontId="3" fillId="17" borderId="30" xfId="0" applyFont="1" applyFill="1" applyBorder="1" applyAlignment="1">
      <alignment horizontal="center" vertical="center"/>
    </xf>
    <xf numFmtId="20" fontId="3" fillId="17" borderId="32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17" borderId="46" xfId="0" applyFont="1" applyFill="1" applyBorder="1" applyAlignment="1">
      <alignment horizontal="center" vertical="center"/>
    </xf>
    <xf numFmtId="0" fontId="3" fillId="17" borderId="45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20" fontId="3" fillId="17" borderId="66" xfId="0" applyNumberFormat="1" applyFont="1" applyFill="1" applyBorder="1" applyAlignment="1">
      <alignment horizontal="center" vertical="center"/>
    </xf>
    <xf numFmtId="20" fontId="3" fillId="17" borderId="6" xfId="0" applyNumberFormat="1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/>
    </xf>
    <xf numFmtId="20" fontId="3" fillId="17" borderId="68" xfId="0" applyNumberFormat="1" applyFont="1" applyFill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20" fontId="3" fillId="17" borderId="15" xfId="0" applyNumberFormat="1" applyFont="1" applyFill="1" applyBorder="1" applyAlignment="1">
      <alignment horizontal="center" vertical="center"/>
    </xf>
    <xf numFmtId="20" fontId="3" fillId="0" borderId="6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3" fillId="17" borderId="61" xfId="0" applyNumberFormat="1" applyFont="1" applyFill="1" applyBorder="1" applyAlignment="1">
      <alignment horizontal="center" vertical="center"/>
    </xf>
    <xf numFmtId="0" fontId="3" fillId="15" borderId="77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3" fillId="15" borderId="78" xfId="0" applyFont="1" applyFill="1" applyBorder="1" applyAlignment="1">
      <alignment horizontal="center" vertical="center"/>
    </xf>
    <xf numFmtId="20" fontId="3" fillId="0" borderId="78" xfId="0" applyNumberFormat="1" applyFont="1" applyBorder="1" applyAlignment="1">
      <alignment horizontal="center" vertical="center"/>
    </xf>
    <xf numFmtId="0" fontId="3" fillId="17" borderId="41" xfId="0" applyFont="1" applyFill="1" applyBorder="1" applyAlignment="1">
      <alignment horizontal="center" vertical="center"/>
    </xf>
    <xf numFmtId="0" fontId="3" fillId="17" borderId="58" xfId="0" applyFont="1" applyFill="1" applyBorder="1" applyAlignment="1">
      <alignment horizontal="center" vertical="center"/>
    </xf>
    <xf numFmtId="20" fontId="3" fillId="17" borderId="40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17" borderId="53" xfId="0" applyFont="1" applyFill="1" applyBorder="1" applyAlignment="1">
      <alignment horizontal="center" vertical="center"/>
    </xf>
    <xf numFmtId="0" fontId="3" fillId="17" borderId="75" xfId="0" applyFont="1" applyFill="1" applyBorder="1" applyAlignment="1">
      <alignment horizontal="center" vertical="center"/>
    </xf>
    <xf numFmtId="20" fontId="3" fillId="17" borderId="75" xfId="0" applyNumberFormat="1" applyFont="1" applyFill="1" applyBorder="1" applyAlignment="1">
      <alignment horizontal="center" vertical="center"/>
    </xf>
    <xf numFmtId="0" fontId="3" fillId="17" borderId="18" xfId="0" applyFont="1" applyFill="1" applyBorder="1" applyAlignment="1">
      <alignment horizontal="center" vertical="center"/>
    </xf>
    <xf numFmtId="20" fontId="3" fillId="17" borderId="76" xfId="0" applyNumberFormat="1" applyFont="1" applyFill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center"/>
    </xf>
    <xf numFmtId="0" fontId="3" fillId="15" borderId="24" xfId="0" applyFont="1" applyFill="1" applyBorder="1" applyAlignment="1">
      <alignment horizontal="center" vertical="center"/>
    </xf>
    <xf numFmtId="0" fontId="3" fillId="15" borderId="65" xfId="0" applyFont="1" applyFill="1" applyBorder="1" applyAlignment="1">
      <alignment horizontal="center" vertical="center"/>
    </xf>
    <xf numFmtId="0" fontId="2" fillId="15" borderId="24" xfId="0" applyFont="1" applyFill="1" applyBorder="1" applyAlignment="1">
      <alignment horizontal="center" vertical="center"/>
    </xf>
    <xf numFmtId="0" fontId="3" fillId="15" borderId="26" xfId="0" applyFont="1" applyFill="1" applyBorder="1" applyAlignment="1">
      <alignment horizontal="center" vertical="center"/>
    </xf>
    <xf numFmtId="20" fontId="3" fillId="0" borderId="2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7" fillId="0" borderId="0" xfId="0" applyFont="1" applyAlignment="1"/>
    <xf numFmtId="0" fontId="30" fillId="19" borderId="84" xfId="0" applyFont="1" applyFill="1" applyBorder="1" applyAlignment="1">
      <alignment horizontal="center" vertical="center"/>
    </xf>
    <xf numFmtId="0" fontId="31" fillId="8" borderId="172" xfId="0" applyFont="1" applyFill="1" applyBorder="1" applyAlignment="1">
      <alignment horizontal="center"/>
    </xf>
    <xf numFmtId="0" fontId="31" fillId="8" borderId="173" xfId="0" applyFont="1" applyFill="1" applyBorder="1" applyAlignment="1">
      <alignment horizontal="center"/>
    </xf>
    <xf numFmtId="0" fontId="30" fillId="19" borderId="78" xfId="0" applyFont="1" applyFill="1" applyBorder="1" applyAlignment="1">
      <alignment horizontal="center" vertical="center"/>
    </xf>
    <xf numFmtId="0" fontId="32" fillId="20" borderId="59" xfId="0" applyFont="1" applyFill="1" applyBorder="1" applyAlignment="1"/>
    <xf numFmtId="0" fontId="33" fillId="15" borderId="85" xfId="0" applyFont="1" applyFill="1" applyBorder="1" applyAlignment="1">
      <alignment horizontal="center"/>
    </xf>
    <xf numFmtId="0" fontId="32" fillId="20" borderId="85" xfId="0" applyFont="1" applyFill="1" applyBorder="1" applyAlignment="1"/>
    <xf numFmtId="0" fontId="30" fillId="21" borderId="23" xfId="0" applyFont="1" applyFill="1" applyBorder="1" applyAlignment="1">
      <alignment horizontal="center"/>
    </xf>
    <xf numFmtId="0" fontId="30" fillId="21" borderId="28" xfId="0" applyFont="1" applyFill="1" applyBorder="1" applyAlignment="1">
      <alignment horizontal="center"/>
    </xf>
    <xf numFmtId="0" fontId="30" fillId="21" borderId="26" xfId="0" applyFont="1" applyFill="1" applyBorder="1" applyAlignment="1">
      <alignment horizontal="center"/>
    </xf>
    <xf numFmtId="0" fontId="30" fillId="21" borderId="120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1" borderId="159" xfId="0" applyFont="1" applyFill="1" applyBorder="1" applyAlignment="1">
      <alignment horizontal="center"/>
    </xf>
    <xf numFmtId="16" fontId="30" fillId="0" borderId="4" xfId="0" applyNumberFormat="1" applyFont="1" applyBorder="1" applyAlignment="1">
      <alignment horizontal="center" vertical="center"/>
    </xf>
    <xf numFmtId="0" fontId="24" fillId="0" borderId="174" xfId="0" applyFont="1" applyBorder="1" applyAlignment="1">
      <alignment horizontal="center"/>
    </xf>
    <xf numFmtId="0" fontId="24" fillId="0" borderId="175" xfId="0" applyFont="1" applyBorder="1" applyAlignment="1">
      <alignment horizontal="center"/>
    </xf>
    <xf numFmtId="0" fontId="24" fillId="0" borderId="176" xfId="0" applyFont="1" applyBorder="1" applyAlignment="1">
      <alignment horizontal="center"/>
    </xf>
    <xf numFmtId="16" fontId="30" fillId="0" borderId="177" xfId="0" applyNumberFormat="1" applyFont="1" applyBorder="1" applyAlignment="1">
      <alignment horizontal="center" vertical="center"/>
    </xf>
    <xf numFmtId="0" fontId="32" fillId="0" borderId="5" xfId="0" applyFont="1" applyBorder="1" applyAlignment="1"/>
    <xf numFmtId="0" fontId="34" fillId="0" borderId="5" xfId="0" applyFont="1" applyBorder="1" applyAlignment="1">
      <alignment horizontal="center"/>
    </xf>
    <xf numFmtId="16" fontId="30" fillId="0" borderId="38" xfId="0" applyNumberFormat="1" applyFont="1" applyBorder="1" applyAlignment="1">
      <alignment horizontal="center" vertical="center"/>
    </xf>
    <xf numFmtId="0" fontId="24" fillId="12" borderId="178" xfId="0" applyFont="1" applyFill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24" fillId="0" borderId="179" xfId="0" applyFont="1" applyBorder="1" applyAlignment="1">
      <alignment horizontal="center"/>
    </xf>
    <xf numFmtId="0" fontId="30" fillId="0" borderId="9" xfId="0" applyFont="1" applyBorder="1" applyAlignment="1">
      <alignment horizontal="center" vertical="center"/>
    </xf>
    <xf numFmtId="0" fontId="35" fillId="4" borderId="165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168" xfId="0" applyFont="1" applyBorder="1" applyAlignment="1">
      <alignment horizontal="center"/>
    </xf>
    <xf numFmtId="0" fontId="30" fillId="0" borderId="44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24" fillId="12" borderId="104" xfId="0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44" xfId="0" applyFont="1" applyBorder="1" applyAlignment="1">
      <alignment horizontal="center"/>
    </xf>
    <xf numFmtId="0" fontId="35" fillId="4" borderId="0" xfId="0" applyFont="1" applyFill="1" applyAlignment="1">
      <alignment horizontal="center"/>
    </xf>
    <xf numFmtId="20" fontId="30" fillId="0" borderId="9" xfId="0" applyNumberFormat="1" applyFont="1" applyBorder="1" applyAlignment="1">
      <alignment horizontal="center" vertical="center"/>
    </xf>
    <xf numFmtId="20" fontId="30" fillId="0" borderId="44" xfId="0" applyNumberFormat="1" applyFont="1" applyBorder="1" applyAlignment="1">
      <alignment horizontal="center" vertical="center"/>
    </xf>
    <xf numFmtId="20" fontId="30" fillId="0" borderId="47" xfId="0" applyNumberFormat="1" applyFont="1" applyBorder="1" applyAlignment="1">
      <alignment horizontal="center" vertical="center"/>
    </xf>
    <xf numFmtId="0" fontId="35" fillId="4" borderId="168" xfId="0" applyFont="1" applyFill="1" applyBorder="1" applyAlignment="1">
      <alignment horizontal="center"/>
    </xf>
    <xf numFmtId="0" fontId="36" fillId="4" borderId="165" xfId="0" applyFont="1" applyFill="1" applyBorder="1" applyAlignment="1">
      <alignment horizontal="center"/>
    </xf>
    <xf numFmtId="0" fontId="36" fillId="4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35" fillId="0" borderId="165" xfId="0" applyFont="1" applyBorder="1" applyAlignment="1">
      <alignment horizontal="center"/>
    </xf>
    <xf numFmtId="0" fontId="24" fillId="0" borderId="165" xfId="0" applyFont="1" applyBorder="1" applyAlignment="1">
      <alignment horizontal="center"/>
    </xf>
    <xf numFmtId="0" fontId="24" fillId="0" borderId="168" xfId="0" applyFont="1" applyBorder="1" applyAlignment="1">
      <alignment horizontal="center"/>
    </xf>
    <xf numFmtId="0" fontId="30" fillId="0" borderId="48" xfId="0" applyFont="1" applyBorder="1" applyAlignment="1">
      <alignment horizontal="center" vertical="center"/>
    </xf>
    <xf numFmtId="0" fontId="24" fillId="0" borderId="180" xfId="0" applyFont="1" applyBorder="1" applyAlignment="1">
      <alignment horizontal="center"/>
    </xf>
    <xf numFmtId="0" fontId="24" fillId="0" borderId="181" xfId="0" applyFont="1" applyBorder="1" applyAlignment="1">
      <alignment horizontal="center"/>
    </xf>
    <xf numFmtId="0" fontId="24" fillId="0" borderId="182" xfId="0" applyFont="1" applyBorder="1" applyAlignment="1">
      <alignment horizontal="center"/>
    </xf>
    <xf numFmtId="0" fontId="30" fillId="0" borderId="183" xfId="0" applyFont="1" applyBorder="1" applyAlignment="1">
      <alignment horizontal="center" vertical="center"/>
    </xf>
    <xf numFmtId="0" fontId="32" fillId="0" borderId="59" xfId="0" applyFont="1" applyBorder="1" applyAlignment="1"/>
    <xf numFmtId="0" fontId="27" fillId="0" borderId="65" xfId="0" applyFont="1" applyBorder="1" applyAlignment="1"/>
    <xf numFmtId="0" fontId="30" fillId="0" borderId="184" xfId="0" applyFont="1" applyBorder="1" applyAlignment="1">
      <alignment horizontal="center" vertical="center"/>
    </xf>
    <xf numFmtId="0" fontId="24" fillId="12" borderId="185" xfId="0" applyFont="1" applyFill="1" applyBorder="1" applyAlignment="1">
      <alignment horizontal="center"/>
    </xf>
    <xf numFmtId="0" fontId="24" fillId="0" borderId="183" xfId="0" applyFont="1" applyBorder="1" applyAlignment="1">
      <alignment horizontal="center"/>
    </xf>
    <xf numFmtId="0" fontId="38" fillId="12" borderId="9" xfId="0" applyFont="1" applyFill="1" applyBorder="1" applyAlignment="1"/>
    <xf numFmtId="0" fontId="38" fillId="0" borderId="13" xfId="0" applyFont="1" applyBorder="1" applyAlignment="1"/>
    <xf numFmtId="20" fontId="38" fillId="22" borderId="16" xfId="0" applyNumberFormat="1" applyFont="1" applyFill="1" applyBorder="1" applyAlignment="1">
      <alignment horizontal="center" vertical="center"/>
    </xf>
    <xf numFmtId="0" fontId="4" fillId="22" borderId="16" xfId="0" applyFont="1" applyFill="1" applyBorder="1" applyAlignment="1">
      <alignment horizontal="center" vertical="center"/>
    </xf>
    <xf numFmtId="0" fontId="42" fillId="13" borderId="23" xfId="1" applyFont="1" applyFill="1" applyBorder="1" applyProtection="1"/>
    <xf numFmtId="0" fontId="42" fillId="13" borderId="24" xfId="1" applyFont="1" applyFill="1" applyBorder="1" applyProtection="1"/>
    <xf numFmtId="20" fontId="43" fillId="0" borderId="0" xfId="0" applyNumberFormat="1" applyFont="1" applyAlignment="1"/>
    <xf numFmtId="0" fontId="44" fillId="0" borderId="0" xfId="0" applyFont="1" applyAlignment="1"/>
    <xf numFmtId="0" fontId="43" fillId="0" borderId="0" xfId="0" applyFont="1" applyAlignment="1">
      <alignment horizontal="right"/>
    </xf>
    <xf numFmtId="0" fontId="45" fillId="0" borderId="0" xfId="0" applyFont="1" applyAlignment="1"/>
    <xf numFmtId="0" fontId="46" fillId="0" borderId="0" xfId="0" applyFont="1" applyAlignment="1"/>
    <xf numFmtId="0" fontId="45" fillId="0" borderId="0" xfId="0" applyFont="1" applyAlignment="1">
      <alignment horizontal="right"/>
    </xf>
    <xf numFmtId="0" fontId="45" fillId="12" borderId="9" xfId="0" applyFont="1" applyFill="1" applyBorder="1" applyAlignment="1"/>
    <xf numFmtId="0" fontId="45" fillId="0" borderId="13" xfId="0" applyFont="1" applyBorder="1" applyAlignment="1"/>
    <xf numFmtId="2" fontId="47" fillId="8" borderId="23" xfId="1" applyNumberFormat="1" applyFont="1" applyFill="1" applyBorder="1" applyProtection="1"/>
    <xf numFmtId="2" fontId="47" fillId="8" borderId="24" xfId="1" applyNumberFormat="1" applyFont="1" applyFill="1" applyBorder="1" applyProtection="1"/>
    <xf numFmtId="0" fontId="48" fillId="8" borderId="24" xfId="1" applyFont="1" applyFill="1" applyBorder="1" applyProtection="1"/>
    <xf numFmtId="0" fontId="48" fillId="8" borderId="26" xfId="1" applyFont="1" applyFill="1" applyBorder="1" applyProtection="1"/>
    <xf numFmtId="2" fontId="47" fillId="8" borderId="27" xfId="1" applyNumberFormat="1" applyFont="1" applyFill="1" applyBorder="1" applyAlignment="1" applyProtection="1">
      <alignment horizontal="center" wrapText="1"/>
    </xf>
    <xf numFmtId="2" fontId="47" fillId="8" borderId="31" xfId="1" applyNumberFormat="1" applyFont="1" applyFill="1" applyBorder="1" applyAlignment="1" applyProtection="1">
      <alignment horizontal="center"/>
    </xf>
    <xf numFmtId="2" fontId="47" fillId="8" borderId="30" xfId="1" applyNumberFormat="1" applyFont="1" applyFill="1" applyBorder="1" applyAlignment="1" applyProtection="1">
      <alignment horizontal="center"/>
    </xf>
    <xf numFmtId="2" fontId="47" fillId="8" borderId="25" xfId="1" applyNumberFormat="1" applyFont="1" applyFill="1" applyBorder="1" applyAlignment="1" applyProtection="1">
      <alignment horizontal="left"/>
    </xf>
    <xf numFmtId="0" fontId="47" fillId="8" borderId="31" xfId="1" applyFont="1" applyFill="1" applyBorder="1" applyAlignment="1" applyProtection="1">
      <alignment horizontal="center"/>
    </xf>
    <xf numFmtId="2" fontId="47" fillId="8" borderId="29" xfId="1" applyNumberFormat="1" applyFont="1" applyFill="1" applyBorder="1" applyAlignment="1" applyProtection="1">
      <alignment horizontal="left"/>
    </xf>
    <xf numFmtId="2" fontId="47" fillId="8" borderId="29" xfId="1" applyNumberFormat="1" applyFont="1" applyFill="1" applyBorder="1" applyAlignment="1" applyProtection="1">
      <alignment horizontal="center"/>
    </xf>
    <xf numFmtId="2" fontId="47" fillId="8" borderId="33" xfId="1" applyNumberFormat="1" applyFont="1" applyFill="1" applyBorder="1" applyAlignment="1" applyProtection="1">
      <alignment horizontal="center"/>
    </xf>
    <xf numFmtId="2" fontId="47" fillId="8" borderId="32" xfId="1" applyNumberFormat="1" applyFont="1" applyFill="1" applyBorder="1" applyAlignment="1" applyProtection="1">
      <alignment horizontal="center"/>
    </xf>
    <xf numFmtId="2" fontId="47" fillId="8" borderId="27" xfId="1" applyNumberFormat="1" applyFont="1" applyFill="1" applyBorder="1" applyAlignment="1" applyProtection="1">
      <alignment horizontal="center"/>
    </xf>
    <xf numFmtId="2" fontId="47" fillId="8" borderId="25" xfId="1" applyNumberFormat="1" applyFont="1" applyFill="1" applyBorder="1" applyAlignment="1" applyProtection="1">
      <alignment horizontal="center"/>
    </xf>
    <xf numFmtId="0" fontId="47" fillId="8" borderId="27" xfId="1" applyFont="1" applyFill="1" applyBorder="1" applyAlignment="1" applyProtection="1">
      <alignment horizontal="center"/>
    </xf>
    <xf numFmtId="0" fontId="47" fillId="12" borderId="19" xfId="1" applyFont="1" applyFill="1" applyBorder="1" applyAlignment="1" applyProtection="1">
      <alignment horizontal="center"/>
    </xf>
    <xf numFmtId="20" fontId="47" fillId="12" borderId="55" xfId="1" applyNumberFormat="1" applyFont="1" applyFill="1" applyBorder="1" applyAlignment="1" applyProtection="1">
      <alignment horizontal="center"/>
    </xf>
    <xf numFmtId="20" fontId="47" fillId="12" borderId="41" xfId="1" applyNumberFormat="1" applyFont="1" applyFill="1" applyBorder="1" applyAlignment="1" applyProtection="1">
      <alignment horizontal="center"/>
    </xf>
    <xf numFmtId="164" fontId="47" fillId="12" borderId="56" xfId="1" applyNumberFormat="1" applyFont="1" applyFill="1" applyBorder="1" applyAlignment="1" applyProtection="1">
      <alignment horizontal="center"/>
    </xf>
    <xf numFmtId="20" fontId="47" fillId="12" borderId="41" xfId="1" applyNumberFormat="1" applyFont="1" applyFill="1" applyBorder="1" applyAlignment="1" applyProtection="1">
      <alignment horizontal="center" wrapText="1"/>
    </xf>
    <xf numFmtId="20" fontId="47" fillId="12" borderId="56" xfId="1" applyNumberFormat="1" applyFont="1" applyFill="1" applyBorder="1" applyAlignment="1" applyProtection="1">
      <alignment horizontal="center" wrapText="1"/>
    </xf>
    <xf numFmtId="20" fontId="47" fillId="12" borderId="56" xfId="1" applyNumberFormat="1" applyFont="1" applyFill="1" applyBorder="1" applyAlignment="1" applyProtection="1">
      <alignment horizontal="center"/>
    </xf>
    <xf numFmtId="20" fontId="47" fillId="12" borderId="34" xfId="1" applyNumberFormat="1" applyFont="1" applyFill="1" applyBorder="1" applyAlignment="1" applyProtection="1">
      <alignment horizontal="center"/>
    </xf>
    <xf numFmtId="20" fontId="47" fillId="12" borderId="19" xfId="1" applyNumberFormat="1" applyFont="1" applyFill="1" applyBorder="1" applyAlignment="1" applyProtection="1">
      <alignment horizontal="center"/>
    </xf>
    <xf numFmtId="0" fontId="48" fillId="12" borderId="25" xfId="1" applyFont="1" applyFill="1" applyBorder="1" applyProtection="1"/>
    <xf numFmtId="0" fontId="47" fillId="12" borderId="46" xfId="1" applyFont="1" applyFill="1" applyBorder="1" applyAlignment="1" applyProtection="1">
      <alignment horizontal="center"/>
    </xf>
    <xf numFmtId="20" fontId="47" fillId="12" borderId="14" xfId="1" applyNumberFormat="1" applyFont="1" applyFill="1" applyBorder="1" applyAlignment="1" applyProtection="1">
      <alignment horizontal="center"/>
    </xf>
    <xf numFmtId="20" fontId="47" fillId="12" borderId="16" xfId="1" applyNumberFormat="1" applyFont="1" applyFill="1" applyBorder="1" applyAlignment="1" applyProtection="1">
      <alignment horizontal="center"/>
    </xf>
    <xf numFmtId="164" fontId="47" fillId="12" borderId="17" xfId="1" applyNumberFormat="1" applyFont="1" applyFill="1" applyBorder="1" applyAlignment="1" applyProtection="1">
      <alignment horizontal="center"/>
    </xf>
    <xf numFmtId="20" fontId="47" fillId="12" borderId="16" xfId="1" applyNumberFormat="1" applyFont="1" applyFill="1" applyBorder="1" applyAlignment="1" applyProtection="1">
      <alignment horizontal="center" wrapText="1"/>
    </xf>
    <xf numFmtId="164" fontId="47" fillId="12" borderId="16" xfId="1" applyNumberFormat="1" applyFont="1" applyFill="1" applyBorder="1" applyAlignment="1" applyProtection="1">
      <alignment horizontal="center"/>
    </xf>
    <xf numFmtId="20" fontId="47" fillId="12" borderId="17" xfId="1" applyNumberFormat="1" applyFont="1" applyFill="1" applyBorder="1" applyAlignment="1" applyProtection="1">
      <alignment horizontal="center" wrapText="1"/>
    </xf>
    <xf numFmtId="20" fontId="47" fillId="12" borderId="17" xfId="1" applyNumberFormat="1" applyFont="1" applyFill="1" applyBorder="1" applyAlignment="1" applyProtection="1">
      <alignment horizontal="center"/>
    </xf>
    <xf numFmtId="20" fontId="47" fillId="12" borderId="9" xfId="1" applyNumberFormat="1" applyFont="1" applyFill="1" applyBorder="1" applyAlignment="1" applyProtection="1">
      <alignment horizontal="center"/>
    </xf>
    <xf numFmtId="20" fontId="47" fillId="12" borderId="46" xfId="1" applyNumberFormat="1" applyFont="1" applyFill="1" applyBorder="1" applyAlignment="1" applyProtection="1">
      <alignment horizontal="center"/>
    </xf>
    <xf numFmtId="0" fontId="48" fillId="12" borderId="13" xfId="1" applyFont="1" applyFill="1" applyBorder="1" applyProtection="1"/>
    <xf numFmtId="0" fontId="48" fillId="12" borderId="8" xfId="1" applyFont="1" applyFill="1" applyBorder="1" applyProtection="1"/>
    <xf numFmtId="20" fontId="47" fillId="12" borderId="13" xfId="1" applyNumberFormat="1" applyFont="1" applyFill="1" applyBorder="1" applyAlignment="1" applyProtection="1">
      <alignment horizontal="center"/>
    </xf>
    <xf numFmtId="164" fontId="47" fillId="12" borderId="16" xfId="1" applyNumberFormat="1" applyFont="1" applyFill="1" applyBorder="1" applyAlignment="1" applyProtection="1">
      <alignment horizontal="center" wrapText="1"/>
    </xf>
    <xf numFmtId="0" fontId="47" fillId="12" borderId="10" xfId="1" applyFont="1" applyFill="1" applyBorder="1" applyAlignment="1" applyProtection="1">
      <alignment horizontal="center"/>
    </xf>
    <xf numFmtId="20" fontId="47" fillId="12" borderId="20" xfId="1" applyNumberFormat="1" applyFont="1" applyFill="1" applyBorder="1" applyAlignment="1" applyProtection="1">
      <alignment horizontal="center"/>
    </xf>
    <xf numFmtId="164" fontId="47" fillId="12" borderId="21" xfId="1" applyNumberFormat="1" applyFont="1" applyFill="1" applyBorder="1" applyAlignment="1" applyProtection="1">
      <alignment horizontal="center"/>
    </xf>
    <xf numFmtId="164" fontId="47" fillId="12" borderId="22" xfId="1" applyNumberFormat="1" applyFont="1" applyFill="1" applyBorder="1" applyAlignment="1" applyProtection="1">
      <alignment horizontal="center"/>
    </xf>
    <xf numFmtId="20" fontId="47" fillId="12" borderId="21" xfId="1" applyNumberFormat="1" applyFont="1" applyFill="1" applyBorder="1" applyAlignment="1" applyProtection="1">
      <alignment horizontal="center" wrapText="1"/>
    </xf>
    <xf numFmtId="20" fontId="47" fillId="12" borderId="21" xfId="1" applyNumberFormat="1" applyFont="1" applyFill="1" applyBorder="1" applyAlignment="1" applyProtection="1">
      <alignment horizontal="center"/>
    </xf>
    <xf numFmtId="164" fontId="47" fillId="12" borderId="22" xfId="1" applyNumberFormat="1" applyFont="1" applyFill="1" applyBorder="1" applyAlignment="1" applyProtection="1">
      <alignment horizontal="center" wrapText="1"/>
    </xf>
    <xf numFmtId="164" fontId="47" fillId="12" borderId="21" xfId="1" applyNumberFormat="1" applyFont="1" applyFill="1" applyBorder="1" applyAlignment="1" applyProtection="1">
      <alignment horizontal="center" wrapText="1"/>
    </xf>
    <xf numFmtId="20" fontId="47" fillId="12" borderId="22" xfId="1" applyNumberFormat="1" applyFont="1" applyFill="1" applyBorder="1" applyAlignment="1" applyProtection="1">
      <alignment horizontal="center"/>
    </xf>
    <xf numFmtId="20" fontId="47" fillId="12" borderId="48" xfId="1" applyNumberFormat="1" applyFont="1" applyFill="1" applyBorder="1" applyAlignment="1" applyProtection="1">
      <alignment horizontal="center"/>
    </xf>
    <xf numFmtId="20" fontId="47" fillId="12" borderId="10" xfId="1" applyNumberFormat="1" applyFont="1" applyFill="1" applyBorder="1" applyAlignment="1" applyProtection="1">
      <alignment horizontal="center"/>
    </xf>
    <xf numFmtId="0" fontId="48" fillId="12" borderId="53" xfId="1" applyFont="1" applyFill="1" applyBorder="1" applyProtection="1"/>
    <xf numFmtId="164" fontId="47" fillId="12" borderId="41" xfId="1" applyNumberFormat="1" applyFont="1" applyFill="1" applyBorder="1" applyAlignment="1" applyProtection="1">
      <alignment horizontal="center"/>
    </xf>
    <xf numFmtId="164" fontId="47" fillId="12" borderId="56" xfId="1" applyNumberFormat="1" applyFont="1" applyFill="1" applyBorder="1" applyAlignment="1" applyProtection="1">
      <alignment horizontal="center" wrapText="1"/>
    </xf>
    <xf numFmtId="164" fontId="47" fillId="12" borderId="41" xfId="1" applyNumberFormat="1" applyFont="1" applyFill="1" applyBorder="1" applyAlignment="1" applyProtection="1">
      <alignment horizontal="center" wrapText="1"/>
    </xf>
    <xf numFmtId="0" fontId="48" fillId="12" borderId="40" xfId="1" applyFont="1" applyFill="1" applyBorder="1" applyProtection="1"/>
    <xf numFmtId="164" fontId="47" fillId="12" borderId="17" xfId="1" applyNumberFormat="1" applyFont="1" applyFill="1" applyBorder="1" applyAlignment="1" applyProtection="1">
      <alignment horizontal="center" wrapText="1"/>
    </xf>
    <xf numFmtId="0" fontId="47" fillId="12" borderId="13" xfId="1" applyFont="1" applyFill="1" applyBorder="1" applyAlignment="1" applyProtection="1">
      <alignment horizontal="center"/>
    </xf>
    <xf numFmtId="20" fontId="47" fillId="12" borderId="72" xfId="1" applyNumberFormat="1" applyFont="1" applyFill="1" applyBorder="1" applyAlignment="1" applyProtection="1">
      <alignment horizontal="center"/>
    </xf>
    <xf numFmtId="164" fontId="47" fillId="12" borderId="18" xfId="1" applyNumberFormat="1" applyFont="1" applyFill="1" applyBorder="1" applyAlignment="1" applyProtection="1">
      <alignment horizontal="center" wrapText="1"/>
    </xf>
    <xf numFmtId="20" fontId="47" fillId="12" borderId="71" xfId="1" applyNumberFormat="1" applyFont="1" applyFill="1" applyBorder="1" applyAlignment="1" applyProtection="1">
      <alignment horizontal="center"/>
    </xf>
    <xf numFmtId="0" fontId="47" fillId="12" borderId="53" xfId="1" applyFont="1" applyFill="1" applyBorder="1" applyAlignment="1" applyProtection="1">
      <alignment horizontal="center"/>
    </xf>
    <xf numFmtId="0" fontId="47" fillId="12" borderId="4" xfId="1" applyFont="1" applyFill="1" applyBorder="1" applyAlignment="1" applyProtection="1">
      <alignment horizontal="center"/>
    </xf>
    <xf numFmtId="0" fontId="47" fillId="12" borderId="9" xfId="1" applyFont="1" applyFill="1" applyBorder="1" applyAlignment="1" applyProtection="1">
      <alignment horizontal="center"/>
    </xf>
    <xf numFmtId="0" fontId="48" fillId="12" borderId="46" xfId="1" applyFont="1" applyFill="1" applyBorder="1" applyProtection="1"/>
    <xf numFmtId="0" fontId="48" fillId="12" borderId="10" xfId="1" applyFont="1" applyFill="1" applyBorder="1" applyProtection="1"/>
    <xf numFmtId="0" fontId="47" fillId="8" borderId="80" xfId="1" applyFont="1" applyFill="1" applyBorder="1" applyAlignment="1" applyProtection="1">
      <alignment horizontal="center"/>
    </xf>
    <xf numFmtId="0" fontId="47" fillId="8" borderId="32" xfId="1" applyFont="1" applyFill="1" applyBorder="1" applyAlignment="1" applyProtection="1">
      <alignment horizontal="center"/>
    </xf>
    <xf numFmtId="20" fontId="47" fillId="8" borderId="0" xfId="1" applyNumberFormat="1" applyFont="1" applyFill="1" applyAlignment="1" applyProtection="1">
      <alignment horizontal="center"/>
    </xf>
    <xf numFmtId="164" fontId="47" fillId="8" borderId="0" xfId="1" applyNumberFormat="1" applyFont="1" applyFill="1" applyAlignment="1" applyProtection="1">
      <alignment horizontal="center"/>
    </xf>
    <xf numFmtId="20" fontId="47" fillId="8" borderId="78" xfId="1" applyNumberFormat="1" applyFont="1" applyFill="1" applyBorder="1" applyAlignment="1" applyProtection="1">
      <alignment horizontal="center"/>
    </xf>
    <xf numFmtId="20" fontId="47" fillId="0" borderId="59" xfId="1" applyNumberFormat="1" applyFont="1" applyBorder="1" applyAlignment="1" applyProtection="1">
      <alignment horizontal="center"/>
    </xf>
    <xf numFmtId="0" fontId="47" fillId="12" borderId="39" xfId="1" applyFont="1" applyFill="1" applyBorder="1" applyAlignment="1" applyProtection="1">
      <alignment horizontal="center"/>
    </xf>
    <xf numFmtId="20" fontId="47" fillId="12" borderId="57" xfId="1" applyNumberFormat="1" applyFont="1" applyFill="1" applyBorder="1" applyAlignment="1" applyProtection="1">
      <alignment horizontal="center"/>
    </xf>
    <xf numFmtId="0" fontId="47" fillId="12" borderId="58" xfId="1" applyFont="1" applyFill="1" applyBorder="1" applyAlignment="1" applyProtection="1">
      <alignment horizontal="center" wrapText="1"/>
    </xf>
    <xf numFmtId="0" fontId="47" fillId="12" borderId="41" xfId="1" applyFont="1" applyFill="1" applyBorder="1" applyAlignment="1" applyProtection="1">
      <alignment horizontal="center" wrapText="1"/>
    </xf>
    <xf numFmtId="20" fontId="47" fillId="12" borderId="40" xfId="1" applyNumberFormat="1" applyFont="1" applyFill="1" applyBorder="1" applyAlignment="1" applyProtection="1">
      <alignment horizontal="center"/>
    </xf>
    <xf numFmtId="20" fontId="47" fillId="12" borderId="94" xfId="1" applyNumberFormat="1" applyFont="1" applyFill="1" applyBorder="1" applyAlignment="1" applyProtection="1">
      <alignment horizontal="center"/>
    </xf>
    <xf numFmtId="20" fontId="47" fillId="12" borderId="95" xfId="1" applyNumberFormat="1" applyFont="1" applyFill="1" applyBorder="1" applyAlignment="1" applyProtection="1">
      <alignment horizontal="center"/>
    </xf>
    <xf numFmtId="0" fontId="47" fillId="0" borderId="27" xfId="1" applyFont="1" applyBorder="1" applyAlignment="1" applyProtection="1">
      <alignment horizontal="center"/>
    </xf>
    <xf numFmtId="0" fontId="47" fillId="12" borderId="45" xfId="1" applyFont="1" applyFill="1" applyBorder="1" applyAlignment="1" applyProtection="1">
      <alignment horizontal="center"/>
    </xf>
    <xf numFmtId="20" fontId="47" fillId="12" borderId="11" xfId="1" applyNumberFormat="1" applyFont="1" applyFill="1" applyBorder="1" applyAlignment="1" applyProtection="1">
      <alignment horizontal="center"/>
    </xf>
    <xf numFmtId="0" fontId="47" fillId="12" borderId="12" xfId="1" applyFont="1" applyFill="1" applyBorder="1" applyAlignment="1" applyProtection="1">
      <alignment horizontal="center" wrapText="1"/>
    </xf>
    <xf numFmtId="0" fontId="47" fillId="12" borderId="16" xfId="1" applyFont="1" applyFill="1" applyBorder="1" applyAlignment="1" applyProtection="1">
      <alignment horizontal="center" wrapText="1"/>
    </xf>
    <xf numFmtId="20" fontId="47" fillId="12" borderId="105" xfId="1" applyNumberFormat="1" applyFont="1" applyFill="1" applyBorder="1" applyAlignment="1" applyProtection="1">
      <alignment horizontal="center"/>
    </xf>
    <xf numFmtId="20" fontId="47" fillId="12" borderId="106" xfId="1" applyNumberFormat="1" applyFont="1" applyFill="1" applyBorder="1" applyAlignment="1" applyProtection="1">
      <alignment horizontal="center"/>
    </xf>
    <xf numFmtId="0" fontId="47" fillId="0" borderId="158" xfId="1" applyFont="1" applyBorder="1" applyAlignment="1" applyProtection="1">
      <alignment horizontal="center"/>
    </xf>
    <xf numFmtId="0" fontId="47" fillId="0" borderId="46" xfId="1" applyFont="1" applyBorder="1" applyAlignment="1" applyProtection="1">
      <alignment horizontal="center"/>
    </xf>
    <xf numFmtId="0" fontId="47" fillId="12" borderId="54" xfId="1" applyFont="1" applyFill="1" applyBorder="1" applyAlignment="1" applyProtection="1">
      <alignment horizontal="center"/>
    </xf>
    <xf numFmtId="20" fontId="47" fillId="12" borderId="52" xfId="1" applyNumberFormat="1" applyFont="1" applyFill="1" applyBorder="1" applyAlignment="1" applyProtection="1">
      <alignment horizontal="center"/>
    </xf>
    <xf numFmtId="0" fontId="47" fillId="12" borderId="61" xfId="1" applyFont="1" applyFill="1" applyBorder="1" applyAlignment="1" applyProtection="1">
      <alignment horizontal="center" wrapText="1"/>
    </xf>
    <xf numFmtId="0" fontId="47" fillId="12" borderId="21" xfId="1" applyFont="1" applyFill="1" applyBorder="1" applyAlignment="1" applyProtection="1">
      <alignment horizontal="center" wrapText="1"/>
    </xf>
    <xf numFmtId="20" fontId="47" fillId="12" borderId="53" xfId="1" applyNumberFormat="1" applyFont="1" applyFill="1" applyBorder="1" applyAlignment="1" applyProtection="1">
      <alignment horizontal="center"/>
    </xf>
    <xf numFmtId="20" fontId="47" fillId="12" borderId="117" xfId="1" applyNumberFormat="1" applyFont="1" applyFill="1" applyBorder="1" applyAlignment="1" applyProtection="1">
      <alignment horizontal="center"/>
    </xf>
    <xf numFmtId="20" fontId="47" fillId="12" borderId="118" xfId="1" applyNumberFormat="1" applyFont="1" applyFill="1" applyBorder="1" applyAlignment="1" applyProtection="1">
      <alignment horizontal="center"/>
    </xf>
    <xf numFmtId="0" fontId="47" fillId="0" borderId="10" xfId="1" applyFont="1" applyBorder="1" applyAlignment="1" applyProtection="1">
      <alignment horizontal="center"/>
    </xf>
    <xf numFmtId="0" fontId="47" fillId="8" borderId="84" xfId="1" applyFont="1" applyFill="1" applyBorder="1" applyProtection="1"/>
    <xf numFmtId="0" fontId="47" fillId="8" borderId="65" xfId="1" applyFont="1" applyFill="1" applyBorder="1" applyProtection="1"/>
    <xf numFmtId="0" fontId="47" fillId="8" borderId="65" xfId="1" applyFont="1" applyFill="1" applyBorder="1" applyAlignment="1" applyProtection="1">
      <alignment horizontal="center"/>
    </xf>
    <xf numFmtId="0" fontId="47" fillId="8" borderId="85" xfId="1" applyFont="1" applyFill="1" applyBorder="1" applyAlignment="1" applyProtection="1">
      <alignment horizontal="center"/>
    </xf>
    <xf numFmtId="0" fontId="47" fillId="22" borderId="10" xfId="1" applyFont="1" applyFill="1" applyBorder="1" applyAlignment="1" applyProtection="1">
      <alignment horizontal="center"/>
    </xf>
    <xf numFmtId="0" fontId="47" fillId="22" borderId="19" xfId="1" applyFont="1" applyFill="1" applyBorder="1" applyAlignment="1" applyProtection="1">
      <alignment horizontal="center"/>
    </xf>
    <xf numFmtId="0" fontId="47" fillId="22" borderId="46" xfId="1" applyFont="1" applyFill="1" applyBorder="1" applyAlignment="1" applyProtection="1">
      <alignment horizontal="center"/>
    </xf>
    <xf numFmtId="0" fontId="47" fillId="23" borderId="19" xfId="1" applyFont="1" applyFill="1" applyBorder="1" applyAlignment="1" applyProtection="1">
      <alignment horizontal="center"/>
    </xf>
    <xf numFmtId="0" fontId="47" fillId="23" borderId="46" xfId="1" applyFont="1" applyFill="1" applyBorder="1" applyAlignment="1" applyProtection="1">
      <alignment horizontal="center"/>
    </xf>
    <xf numFmtId="0" fontId="47" fillId="23" borderId="10" xfId="1" applyFont="1" applyFill="1" applyBorder="1" applyAlignment="1" applyProtection="1">
      <alignment horizontal="center"/>
    </xf>
    <xf numFmtId="0" fontId="47" fillId="25" borderId="5" xfId="1" applyFont="1" applyFill="1" applyBorder="1" applyAlignment="1" applyProtection="1">
      <alignment horizontal="center"/>
    </xf>
    <xf numFmtId="0" fontId="47" fillId="25" borderId="46" xfId="1" applyFont="1" applyFill="1" applyBorder="1" applyAlignment="1" applyProtection="1">
      <alignment horizontal="center"/>
    </xf>
    <xf numFmtId="0" fontId="47" fillId="24" borderId="19" xfId="1" applyFont="1" applyFill="1" applyBorder="1" applyAlignment="1" applyProtection="1">
      <alignment horizontal="center"/>
    </xf>
    <xf numFmtId="0" fontId="47" fillId="24" borderId="46" xfId="1" applyFont="1" applyFill="1" applyBorder="1" applyAlignment="1" applyProtection="1">
      <alignment horizontal="center"/>
    </xf>
    <xf numFmtId="0" fontId="47" fillId="24" borderId="10" xfId="1" applyFont="1" applyFill="1" applyBorder="1" applyAlignment="1" applyProtection="1">
      <alignment horizontal="center"/>
    </xf>
    <xf numFmtId="0" fontId="4" fillId="22" borderId="16" xfId="0" applyFont="1" applyFill="1" applyBorder="1" applyAlignment="1">
      <alignment horizontal="center"/>
    </xf>
    <xf numFmtId="20" fontId="1" fillId="22" borderId="16" xfId="0" applyNumberFormat="1" applyFont="1" applyFill="1" applyBorder="1" applyAlignment="1">
      <alignment horizontal="center"/>
    </xf>
    <xf numFmtId="20" fontId="12" fillId="22" borderId="16" xfId="0" applyNumberFormat="1" applyFont="1" applyFill="1" applyBorder="1" applyAlignment="1"/>
    <xf numFmtId="20" fontId="14" fillId="22" borderId="16" xfId="0" applyNumberFormat="1" applyFont="1" applyFill="1" applyBorder="1" applyAlignment="1">
      <alignment horizontal="center"/>
    </xf>
    <xf numFmtId="20" fontId="38" fillId="22" borderId="16" xfId="0" applyNumberFormat="1" applyFont="1" applyFill="1" applyBorder="1" applyAlignment="1">
      <alignment horizontal="center"/>
    </xf>
    <xf numFmtId="20" fontId="45" fillId="22" borderId="16" xfId="0" applyNumberFormat="1" applyFont="1" applyFill="1" applyBorder="1" applyAlignment="1">
      <alignment horizontal="center"/>
    </xf>
    <xf numFmtId="20" fontId="13" fillId="22" borderId="16" xfId="0" applyNumberFormat="1" applyFont="1" applyFill="1" applyBorder="1" applyAlignment="1">
      <alignment horizontal="center"/>
    </xf>
    <xf numFmtId="0" fontId="1" fillId="22" borderId="16" xfId="0" applyFont="1" applyFill="1" applyBorder="1" applyAlignment="1">
      <alignment horizontal="center"/>
    </xf>
    <xf numFmtId="20" fontId="3" fillId="22" borderId="16" xfId="0" applyNumberFormat="1" applyFont="1" applyFill="1" applyBorder="1" applyAlignment="1">
      <alignment horizontal="center"/>
    </xf>
    <xf numFmtId="0" fontId="4" fillId="22" borderId="17" xfId="0" applyFont="1" applyFill="1" applyBorder="1" applyAlignment="1">
      <alignment horizontal="center"/>
    </xf>
    <xf numFmtId="20" fontId="1" fillId="22" borderId="17" xfId="0" applyNumberFormat="1" applyFont="1" applyFill="1" applyBorder="1" applyAlignment="1">
      <alignment horizontal="center"/>
    </xf>
    <xf numFmtId="20" fontId="45" fillId="22" borderId="17" xfId="0" applyNumberFormat="1" applyFont="1" applyFill="1" applyBorder="1" applyAlignment="1">
      <alignment horizontal="center"/>
    </xf>
    <xf numFmtId="0" fontId="1" fillId="22" borderId="17" xfId="0" applyFont="1" applyFill="1" applyBorder="1" applyAlignment="1">
      <alignment horizontal="center"/>
    </xf>
    <xf numFmtId="20" fontId="38" fillId="22" borderId="17" xfId="0" applyNumberFormat="1" applyFont="1" applyFill="1" applyBorder="1" applyAlignment="1">
      <alignment horizontal="center"/>
    </xf>
    <xf numFmtId="20" fontId="14" fillId="22" borderId="17" xfId="0" applyNumberFormat="1" applyFont="1" applyFill="1" applyBorder="1" applyAlignment="1">
      <alignment horizontal="center"/>
    </xf>
    <xf numFmtId="20" fontId="15" fillId="22" borderId="17" xfId="0" applyNumberFormat="1" applyFont="1" applyFill="1" applyBorder="1" applyAlignment="1">
      <alignment horizontal="center"/>
    </xf>
    <xf numFmtId="20" fontId="3" fillId="22" borderId="17" xfId="0" applyNumberFormat="1" applyFont="1" applyFill="1" applyBorder="1" applyAlignment="1">
      <alignment horizontal="center"/>
    </xf>
    <xf numFmtId="20" fontId="38" fillId="22" borderId="14" xfId="0" applyNumberFormat="1" applyFont="1" applyFill="1" applyBorder="1" applyAlignment="1">
      <alignment horizontal="center"/>
    </xf>
    <xf numFmtId="20" fontId="14" fillId="22" borderId="14" xfId="0" applyNumberFormat="1" applyFont="1" applyFill="1" applyBorder="1" applyAlignment="1">
      <alignment horizontal="center"/>
    </xf>
    <xf numFmtId="20" fontId="13" fillId="22" borderId="14" xfId="0" applyNumberFormat="1" applyFont="1" applyFill="1" applyBorder="1" applyAlignment="1">
      <alignment horizontal="center"/>
    </xf>
    <xf numFmtId="20" fontId="4" fillId="22" borderId="16" xfId="0" applyNumberFormat="1" applyFont="1" applyFill="1" applyBorder="1" applyAlignment="1">
      <alignment horizontal="center"/>
    </xf>
    <xf numFmtId="20" fontId="38" fillId="23" borderId="16" xfId="0" applyNumberFormat="1" applyFont="1" applyFill="1" applyBorder="1" applyAlignment="1">
      <alignment horizontal="center"/>
    </xf>
    <xf numFmtId="20" fontId="14" fillId="23" borderId="16" xfId="0" applyNumberFormat="1" applyFont="1" applyFill="1" applyBorder="1" applyAlignment="1">
      <alignment horizontal="center"/>
    </xf>
    <xf numFmtId="20" fontId="1" fillId="23" borderId="16" xfId="0" applyNumberFormat="1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6" fillId="23" borderId="16" xfId="0" applyFont="1" applyFill="1" applyBorder="1" applyAlignment="1">
      <alignment horizontal="center"/>
    </xf>
    <xf numFmtId="20" fontId="13" fillId="23" borderId="16" xfId="0" applyNumberFormat="1" applyFont="1" applyFill="1" applyBorder="1" applyAlignment="1">
      <alignment horizontal="center"/>
    </xf>
    <xf numFmtId="20" fontId="45" fillId="23" borderId="16" xfId="0" applyNumberFormat="1" applyFont="1" applyFill="1" applyBorder="1" applyAlignment="1">
      <alignment horizontal="center"/>
    </xf>
    <xf numFmtId="20" fontId="4" fillId="23" borderId="17" xfId="0" applyNumberFormat="1" applyFont="1" applyFill="1" applyBorder="1" applyAlignment="1">
      <alignment horizontal="center"/>
    </xf>
    <xf numFmtId="20" fontId="45" fillId="23" borderId="17" xfId="0" applyNumberFormat="1" applyFont="1" applyFill="1" applyBorder="1" applyAlignment="1">
      <alignment horizontal="center"/>
    </xf>
    <xf numFmtId="20" fontId="14" fillId="23" borderId="17" xfId="0" applyNumberFormat="1" applyFont="1" applyFill="1" applyBorder="1" applyAlignment="1">
      <alignment horizontal="center"/>
    </xf>
    <xf numFmtId="20" fontId="38" fillId="23" borderId="17" xfId="0" applyNumberFormat="1" applyFont="1" applyFill="1" applyBorder="1" applyAlignment="1">
      <alignment horizontal="center"/>
    </xf>
    <xf numFmtId="20" fontId="13" fillId="23" borderId="17" xfId="0" applyNumberFormat="1" applyFont="1" applyFill="1" applyBorder="1" applyAlignment="1">
      <alignment horizontal="center"/>
    </xf>
    <xf numFmtId="20" fontId="4" fillId="23" borderId="16" xfId="0" applyNumberFormat="1" applyFont="1" applyFill="1" applyBorder="1" applyAlignment="1">
      <alignment horizontal="center"/>
    </xf>
    <xf numFmtId="20" fontId="7" fillId="23" borderId="16" xfId="0" applyNumberFormat="1" applyFont="1" applyFill="1" applyBorder="1" applyAlignment="1">
      <alignment horizontal="center"/>
    </xf>
    <xf numFmtId="20" fontId="4" fillId="24" borderId="14" xfId="0" applyNumberFormat="1" applyFont="1" applyFill="1" applyBorder="1" applyAlignment="1">
      <alignment horizontal="center"/>
    </xf>
    <xf numFmtId="20" fontId="45" fillId="24" borderId="14" xfId="0" applyNumberFormat="1" applyFont="1" applyFill="1" applyBorder="1" applyAlignment="1">
      <alignment horizontal="center"/>
    </xf>
    <xf numFmtId="20" fontId="14" fillId="24" borderId="14" xfId="0" applyNumberFormat="1" applyFont="1" applyFill="1" applyBorder="1" applyAlignment="1">
      <alignment horizontal="center"/>
    </xf>
    <xf numFmtId="20" fontId="38" fillId="24" borderId="14" xfId="0" applyNumberFormat="1" applyFont="1" applyFill="1" applyBorder="1" applyAlignment="1">
      <alignment horizontal="center"/>
    </xf>
    <xf numFmtId="20" fontId="38" fillId="24" borderId="16" xfId="0" applyNumberFormat="1" applyFont="1" applyFill="1" applyBorder="1" applyAlignment="1">
      <alignment horizontal="center"/>
    </xf>
    <xf numFmtId="20" fontId="14" fillId="24" borderId="16" xfId="0" applyNumberFormat="1" applyFont="1" applyFill="1" applyBorder="1" applyAlignment="1">
      <alignment horizontal="center"/>
    </xf>
    <xf numFmtId="20" fontId="45" fillId="24" borderId="16" xfId="0" applyNumberFormat="1" applyFont="1" applyFill="1" applyBorder="1" applyAlignment="1">
      <alignment horizontal="center"/>
    </xf>
    <xf numFmtId="20" fontId="13" fillId="24" borderId="16" xfId="0" applyNumberFormat="1" applyFont="1" applyFill="1" applyBorder="1" applyAlignment="1">
      <alignment horizontal="center"/>
    </xf>
    <xf numFmtId="0" fontId="7" fillId="24" borderId="16" xfId="0" applyFont="1" applyFill="1" applyBorder="1" applyAlignment="1">
      <alignment horizontal="center"/>
    </xf>
    <xf numFmtId="0" fontId="6" fillId="24" borderId="16" xfId="0" applyFont="1" applyFill="1" applyBorder="1" applyAlignment="1">
      <alignment horizontal="center"/>
    </xf>
    <xf numFmtId="20" fontId="13" fillId="24" borderId="14" xfId="0" applyNumberFormat="1" applyFont="1" applyFill="1" applyBorder="1" applyAlignment="1">
      <alignment horizontal="center"/>
    </xf>
    <xf numFmtId="20" fontId="7" fillId="24" borderId="14" xfId="0" applyNumberFormat="1" applyFont="1" applyFill="1" applyBorder="1" applyAlignment="1">
      <alignment horizontal="center"/>
    </xf>
    <xf numFmtId="0" fontId="4" fillId="24" borderId="16" xfId="0" applyFont="1" applyFill="1" applyBorder="1" applyAlignment="1">
      <alignment horizontal="center"/>
    </xf>
    <xf numFmtId="20" fontId="7" fillId="24" borderId="16" xfId="0" applyNumberFormat="1" applyFont="1" applyFill="1" applyBorder="1" applyAlignment="1">
      <alignment horizontal="center"/>
    </xf>
    <xf numFmtId="20" fontId="4" fillId="24" borderId="16" xfId="0" applyNumberFormat="1" applyFont="1" applyFill="1" applyBorder="1" applyAlignment="1">
      <alignment horizontal="center"/>
    </xf>
    <xf numFmtId="20" fontId="38" fillId="25" borderId="16" xfId="0" applyNumberFormat="1" applyFont="1" applyFill="1" applyBorder="1" applyAlignment="1">
      <alignment horizontal="center"/>
    </xf>
    <xf numFmtId="20" fontId="14" fillId="25" borderId="16" xfId="0" applyNumberFormat="1" applyFont="1" applyFill="1" applyBorder="1" applyAlignment="1">
      <alignment horizontal="center"/>
    </xf>
    <xf numFmtId="20" fontId="13" fillId="25" borderId="16" xfId="0" applyNumberFormat="1" applyFont="1" applyFill="1" applyBorder="1" applyAlignment="1">
      <alignment horizontal="center"/>
    </xf>
    <xf numFmtId="20" fontId="3" fillId="25" borderId="14" xfId="0" applyNumberFormat="1" applyFont="1" applyFill="1" applyBorder="1" applyAlignment="1">
      <alignment horizontal="center"/>
    </xf>
    <xf numFmtId="20" fontId="38" fillId="25" borderId="14" xfId="0" applyNumberFormat="1" applyFont="1" applyFill="1" applyBorder="1" applyAlignment="1">
      <alignment horizontal="center"/>
    </xf>
    <xf numFmtId="20" fontId="14" fillId="25" borderId="14" xfId="0" applyNumberFormat="1" applyFont="1" applyFill="1" applyBorder="1" applyAlignment="1">
      <alignment horizontal="center"/>
    </xf>
    <xf numFmtId="20" fontId="45" fillId="25" borderId="14" xfId="0" applyNumberFormat="1" applyFont="1" applyFill="1" applyBorder="1" applyAlignment="1">
      <alignment horizontal="center"/>
    </xf>
    <xf numFmtId="20" fontId="1" fillId="25" borderId="14" xfId="0" applyNumberFormat="1" applyFont="1" applyFill="1" applyBorder="1" applyAlignment="1">
      <alignment horizontal="center"/>
    </xf>
    <xf numFmtId="20" fontId="19" fillId="25" borderId="14" xfId="0" applyNumberFormat="1" applyFont="1" applyFill="1" applyBorder="1" applyAlignment="1">
      <alignment horizontal="center"/>
    </xf>
    <xf numFmtId="0" fontId="1" fillId="25" borderId="14" xfId="0" applyFont="1" applyFill="1" applyBorder="1" applyAlignment="1">
      <alignment horizontal="center"/>
    </xf>
    <xf numFmtId="0" fontId="6" fillId="25" borderId="20" xfId="0" applyFont="1" applyFill="1" applyBorder="1" applyAlignment="1">
      <alignment horizontal="center"/>
    </xf>
    <xf numFmtId="20" fontId="45" fillId="25" borderId="16" xfId="0" applyNumberFormat="1" applyFont="1" applyFill="1" applyBorder="1" applyAlignment="1">
      <alignment horizontal="center"/>
    </xf>
    <xf numFmtId="0" fontId="1" fillId="25" borderId="16" xfId="0" applyFont="1" applyFill="1" applyBorder="1" applyAlignment="1">
      <alignment horizontal="center"/>
    </xf>
    <xf numFmtId="20" fontId="1" fillId="25" borderId="16" xfId="0" applyNumberFormat="1" applyFont="1" applyFill="1" applyBorder="1" applyAlignment="1">
      <alignment horizontal="center"/>
    </xf>
    <xf numFmtId="20" fontId="19" fillId="25" borderId="16" xfId="0" applyNumberFormat="1" applyFont="1" applyFill="1" applyBorder="1" applyAlignment="1">
      <alignment horizontal="center"/>
    </xf>
    <xf numFmtId="0" fontId="6" fillId="25" borderId="21" xfId="0" applyFont="1" applyFill="1" applyBorder="1" applyAlignment="1">
      <alignment horizontal="center"/>
    </xf>
    <xf numFmtId="0" fontId="14" fillId="23" borderId="16" xfId="0" applyFont="1" applyFill="1" applyBorder="1" applyAlignment="1">
      <alignment horizontal="center"/>
    </xf>
    <xf numFmtId="0" fontId="7" fillId="25" borderId="16" xfId="0" applyFont="1" applyFill="1" applyBorder="1" applyAlignment="1">
      <alignment horizontal="center"/>
    </xf>
    <xf numFmtId="0" fontId="8" fillId="25" borderId="16" xfId="0" applyFont="1" applyFill="1" applyBorder="1" applyAlignment="1"/>
    <xf numFmtId="0" fontId="4" fillId="25" borderId="21" xfId="0" applyFont="1" applyFill="1" applyBorder="1" applyAlignment="1">
      <alignment horizontal="center"/>
    </xf>
    <xf numFmtId="0" fontId="6" fillId="25" borderId="16" xfId="0" applyFont="1" applyFill="1" applyBorder="1" applyAlignment="1">
      <alignment horizontal="center"/>
    </xf>
    <xf numFmtId="0" fontId="8" fillId="25" borderId="16" xfId="0" applyFont="1" applyFill="1" applyBorder="1" applyAlignment="1">
      <alignment horizontal="center"/>
    </xf>
    <xf numFmtId="20" fontId="38" fillId="25" borderId="17" xfId="0" applyNumberFormat="1" applyFont="1" applyFill="1" applyBorder="1" applyAlignment="1">
      <alignment horizontal="center"/>
    </xf>
    <xf numFmtId="20" fontId="14" fillId="25" borderId="17" xfId="0" applyNumberFormat="1" applyFont="1" applyFill="1" applyBorder="1" applyAlignment="1">
      <alignment horizontal="center"/>
    </xf>
    <xf numFmtId="0" fontId="1" fillId="23" borderId="17" xfId="0" applyFont="1" applyFill="1" applyBorder="1" applyAlignment="1">
      <alignment horizontal="center"/>
    </xf>
    <xf numFmtId="0" fontId="19" fillId="23" borderId="17" xfId="0" applyFont="1" applyFill="1" applyBorder="1" applyAlignment="1">
      <alignment horizontal="center"/>
    </xf>
    <xf numFmtId="0" fontId="4" fillId="23" borderId="17" xfId="0" applyFont="1" applyFill="1" applyBorder="1" applyAlignment="1">
      <alignment horizontal="center"/>
    </xf>
    <xf numFmtId="0" fontId="39" fillId="0" borderId="0" xfId="0" applyFont="1" applyAlignment="1"/>
    <xf numFmtId="0" fontId="41" fillId="0" borderId="0" xfId="0" applyFont="1" applyAlignment="1"/>
    <xf numFmtId="0" fontId="49" fillId="0" borderId="0" xfId="1" applyFont="1" applyProtection="1"/>
    <xf numFmtId="0" fontId="49" fillId="0" borderId="0" xfId="0" applyFont="1" applyAlignment="1"/>
    <xf numFmtId="0" fontId="50" fillId="0" borderId="0" xfId="0" applyFont="1" applyAlignment="1"/>
    <xf numFmtId="0" fontId="51" fillId="0" borderId="0" xfId="1" applyFont="1" applyAlignment="1" applyProtection="1">
      <alignment horizontal="center"/>
    </xf>
    <xf numFmtId="0" fontId="52" fillId="0" borderId="0" xfId="0" applyFont="1" applyAlignment="1"/>
    <xf numFmtId="0" fontId="51" fillId="0" borderId="0" xfId="0" applyFont="1" applyAlignment="1"/>
    <xf numFmtId="0" fontId="52" fillId="0" borderId="0" xfId="1" applyFont="1" applyProtection="1"/>
    <xf numFmtId="0" fontId="51" fillId="0" borderId="0" xfId="1" applyFont="1" applyProtection="1"/>
    <xf numFmtId="20" fontId="51" fillId="0" borderId="0" xfId="1" applyNumberFormat="1" applyFont="1" applyProtection="1"/>
    <xf numFmtId="2" fontId="51" fillId="0" borderId="0" xfId="1" applyNumberFormat="1" applyFont="1" applyProtection="1"/>
    <xf numFmtId="2" fontId="51" fillId="0" borderId="0" xfId="1" applyNumberFormat="1" applyFont="1" applyAlignment="1" applyProtection="1">
      <alignment horizontal="center"/>
    </xf>
    <xf numFmtId="20" fontId="51" fillId="0" borderId="0" xfId="1" applyNumberFormat="1" applyFont="1" applyAlignment="1" applyProtection="1">
      <alignment horizontal="center"/>
    </xf>
    <xf numFmtId="164" fontId="51" fillId="0" borderId="0" xfId="1" applyNumberFormat="1" applyFont="1" applyAlignment="1" applyProtection="1">
      <alignment horizontal="center"/>
    </xf>
    <xf numFmtId="0" fontId="45" fillId="0" borderId="14" xfId="0" applyFont="1" applyBorder="1" applyAlignment="1"/>
    <xf numFmtId="0" fontId="45" fillId="0" borderId="17" xfId="0" applyFont="1" applyBorder="1" applyAlignment="1"/>
    <xf numFmtId="0" fontId="38" fillId="0" borderId="14" xfId="0" applyFont="1" applyBorder="1" applyAlignment="1"/>
    <xf numFmtId="0" fontId="38" fillId="0" borderId="17" xfId="0" applyFont="1" applyBorder="1" applyAlignment="1"/>
    <xf numFmtId="0" fontId="53" fillId="14" borderId="23" xfId="1" applyFont="1" applyFill="1" applyBorder="1" applyProtection="1"/>
    <xf numFmtId="0" fontId="53" fillId="14" borderId="24" xfId="1" applyFont="1" applyFill="1" applyBorder="1" applyProtection="1"/>
    <xf numFmtId="2" fontId="53" fillId="8" borderId="120" xfId="1" applyNumberFormat="1" applyFont="1" applyFill="1" applyBorder="1" applyProtection="1"/>
    <xf numFmtId="2" fontId="53" fillId="8" borderId="24" xfId="1" applyNumberFormat="1" applyFont="1" applyFill="1" applyBorder="1" applyProtection="1"/>
    <xf numFmtId="0" fontId="53" fillId="8" borderId="23" xfId="1" applyFont="1" applyFill="1" applyBorder="1" applyProtection="1"/>
    <xf numFmtId="0" fontId="54" fillId="8" borderId="24" xfId="1" applyFont="1" applyFill="1" applyBorder="1" applyProtection="1"/>
    <xf numFmtId="0" fontId="54" fillId="8" borderId="26" xfId="1" applyFont="1" applyFill="1" applyBorder="1" applyProtection="1"/>
    <xf numFmtId="2" fontId="53" fillId="8" borderId="23" xfId="1" applyNumberFormat="1" applyFont="1" applyFill="1" applyBorder="1" applyProtection="1"/>
    <xf numFmtId="2" fontId="53" fillId="8" borderId="26" xfId="1" applyNumberFormat="1" applyFont="1" applyFill="1" applyBorder="1" applyProtection="1"/>
    <xf numFmtId="0" fontId="54" fillId="8" borderId="23" xfId="1" applyFont="1" applyFill="1" applyBorder="1" applyProtection="1"/>
    <xf numFmtId="0" fontId="54" fillId="8" borderId="121" xfId="1" applyFont="1" applyFill="1" applyBorder="1" applyProtection="1"/>
    <xf numFmtId="2" fontId="53" fillId="8" borderId="122" xfId="1" applyNumberFormat="1" applyFont="1" applyFill="1" applyBorder="1" applyAlignment="1" applyProtection="1">
      <alignment horizontal="center"/>
    </xf>
    <xf numFmtId="2" fontId="53" fillId="8" borderId="80" xfId="1" applyNumberFormat="1" applyFont="1" applyFill="1" applyBorder="1" applyAlignment="1" applyProtection="1">
      <alignment horizontal="center"/>
    </xf>
    <xf numFmtId="2" fontId="53" fillId="8" borderId="31" xfId="1" applyNumberFormat="1" applyFont="1" applyFill="1" applyBorder="1" applyAlignment="1" applyProtection="1">
      <alignment horizontal="center"/>
    </xf>
    <xf numFmtId="2" fontId="53" fillId="8" borderId="30" xfId="1" applyNumberFormat="1" applyFont="1" applyFill="1" applyBorder="1" applyAlignment="1" applyProtection="1">
      <alignment horizontal="center"/>
    </xf>
    <xf numFmtId="2" fontId="53" fillId="8" borderId="25" xfId="1" applyNumberFormat="1" applyFont="1" applyFill="1" applyBorder="1" applyAlignment="1" applyProtection="1">
      <alignment horizontal="left"/>
    </xf>
    <xf numFmtId="0" fontId="53" fillId="8" borderId="31" xfId="1" applyFont="1" applyFill="1" applyBorder="1" applyAlignment="1" applyProtection="1">
      <alignment horizontal="center"/>
    </xf>
    <xf numFmtId="2" fontId="53" fillId="8" borderId="29" xfId="1" applyNumberFormat="1" applyFont="1" applyFill="1" applyBorder="1" applyAlignment="1" applyProtection="1">
      <alignment horizontal="left"/>
    </xf>
    <xf numFmtId="2" fontId="53" fillId="8" borderId="29" xfId="1" applyNumberFormat="1" applyFont="1" applyFill="1" applyBorder="1" applyAlignment="1" applyProtection="1">
      <alignment horizontal="center"/>
    </xf>
    <xf numFmtId="2" fontId="53" fillId="8" borderId="32" xfId="1" applyNumberFormat="1" applyFont="1" applyFill="1" applyBorder="1" applyAlignment="1" applyProtection="1">
      <alignment horizontal="center"/>
    </xf>
    <xf numFmtId="2" fontId="53" fillId="8" borderId="25" xfId="1" applyNumberFormat="1" applyFont="1" applyFill="1" applyBorder="1" applyAlignment="1" applyProtection="1">
      <alignment horizontal="center"/>
    </xf>
    <xf numFmtId="0" fontId="53" fillId="8" borderId="123" xfId="1" applyFont="1" applyFill="1" applyBorder="1" applyAlignment="1" applyProtection="1">
      <alignment horizontal="center"/>
    </xf>
    <xf numFmtId="0" fontId="53" fillId="0" borderId="86" xfId="1" applyFont="1" applyBorder="1" applyAlignment="1" applyProtection="1">
      <alignment horizontal="center"/>
    </xf>
    <xf numFmtId="20" fontId="53" fillId="0" borderId="88" xfId="1" applyNumberFormat="1" applyFont="1" applyBorder="1" applyAlignment="1" applyProtection="1">
      <alignment horizontal="center"/>
    </xf>
    <xf numFmtId="20" fontId="53" fillId="0" borderId="36" xfId="1" applyNumberFormat="1" applyFont="1" applyBorder="1" applyAlignment="1" applyProtection="1">
      <alignment horizontal="center"/>
    </xf>
    <xf numFmtId="164" fontId="53" fillId="0" borderId="89" xfId="1" applyNumberFormat="1" applyFont="1" applyBorder="1" applyAlignment="1" applyProtection="1">
      <alignment horizontal="center"/>
    </xf>
    <xf numFmtId="164" fontId="53" fillId="0" borderId="36" xfId="1" applyNumberFormat="1" applyFont="1" applyBorder="1" applyAlignment="1" applyProtection="1">
      <alignment horizontal="center" wrapText="1"/>
    </xf>
    <xf numFmtId="20" fontId="53" fillId="0" borderId="92" xfId="1" applyNumberFormat="1" applyFont="1" applyBorder="1" applyAlignment="1" applyProtection="1">
      <alignment horizontal="center"/>
    </xf>
    <xf numFmtId="20" fontId="53" fillId="0" borderId="86" xfId="1" applyNumberFormat="1" applyFont="1" applyBorder="1" applyAlignment="1" applyProtection="1">
      <alignment horizontal="center"/>
    </xf>
    <xf numFmtId="20" fontId="53" fillId="0" borderId="124" xfId="1" applyNumberFormat="1" applyFont="1" applyBorder="1" applyAlignment="1" applyProtection="1">
      <alignment horizontal="center"/>
    </xf>
    <xf numFmtId="20" fontId="53" fillId="0" borderId="89" xfId="1" applyNumberFormat="1" applyFont="1" applyBorder="1" applyAlignment="1" applyProtection="1">
      <alignment horizontal="center"/>
    </xf>
    <xf numFmtId="0" fontId="54" fillId="0" borderId="125" xfId="1" applyFont="1" applyBorder="1" applyProtection="1"/>
    <xf numFmtId="0" fontId="53" fillId="0" borderId="97" xfId="1" applyFont="1" applyBorder="1" applyAlignment="1" applyProtection="1">
      <alignment horizontal="center"/>
    </xf>
    <xf numFmtId="20" fontId="53" fillId="0" borderId="99" xfId="1" applyNumberFormat="1" applyFont="1" applyBorder="1" applyAlignment="1" applyProtection="1">
      <alignment horizontal="center"/>
    </xf>
    <xf numFmtId="20" fontId="53" fillId="0" borderId="43" xfId="1" applyNumberFormat="1" applyFont="1" applyBorder="1" applyAlignment="1" applyProtection="1">
      <alignment horizontal="center"/>
    </xf>
    <xf numFmtId="164" fontId="53" fillId="0" borderId="100" xfId="1" applyNumberFormat="1" applyFont="1" applyBorder="1" applyAlignment="1" applyProtection="1">
      <alignment horizontal="center"/>
    </xf>
    <xf numFmtId="164" fontId="53" fillId="0" borderId="43" xfId="1" applyNumberFormat="1" applyFont="1" applyBorder="1" applyAlignment="1" applyProtection="1">
      <alignment horizontal="center" wrapText="1"/>
    </xf>
    <xf numFmtId="20" fontId="53" fillId="0" borderId="103" xfId="1" applyNumberFormat="1" applyFont="1" applyBorder="1" applyAlignment="1" applyProtection="1">
      <alignment horizontal="center"/>
    </xf>
    <xf numFmtId="20" fontId="53" fillId="0" borderId="97" xfId="1" applyNumberFormat="1" applyFont="1" applyBorder="1" applyAlignment="1" applyProtection="1">
      <alignment horizontal="center"/>
    </xf>
    <xf numFmtId="20" fontId="53" fillId="0" borderId="129" xfId="1" applyNumberFormat="1" applyFont="1" applyBorder="1" applyAlignment="1" applyProtection="1">
      <alignment horizontal="center"/>
    </xf>
    <xf numFmtId="20" fontId="53" fillId="0" borderId="100" xfId="1" applyNumberFormat="1" applyFont="1" applyBorder="1" applyAlignment="1" applyProtection="1">
      <alignment horizontal="center"/>
    </xf>
    <xf numFmtId="0" fontId="54" fillId="0" borderId="130" xfId="1" applyFont="1" applyBorder="1" applyProtection="1"/>
    <xf numFmtId="0" fontId="53" fillId="0" borderId="109" xfId="1" applyFont="1" applyBorder="1" applyAlignment="1" applyProtection="1">
      <alignment horizontal="center"/>
    </xf>
    <xf numFmtId="20" fontId="53" fillId="0" borderId="131" xfId="1" applyNumberFormat="1" applyFont="1" applyBorder="1" applyAlignment="1" applyProtection="1">
      <alignment horizontal="center"/>
    </xf>
    <xf numFmtId="20" fontId="53" fillId="0" borderId="111" xfId="1" applyNumberFormat="1" applyFont="1" applyBorder="1" applyAlignment="1" applyProtection="1">
      <alignment horizontal="center"/>
    </xf>
    <xf numFmtId="164" fontId="53" fillId="0" borderId="112" xfId="1" applyNumberFormat="1" applyFont="1" applyBorder="1" applyAlignment="1" applyProtection="1">
      <alignment horizontal="center"/>
    </xf>
    <xf numFmtId="164" fontId="53" fillId="0" borderId="111" xfId="1" applyNumberFormat="1" applyFont="1" applyBorder="1" applyAlignment="1" applyProtection="1">
      <alignment horizontal="center" wrapText="1"/>
    </xf>
    <xf numFmtId="164" fontId="53" fillId="0" borderId="111" xfId="1" applyNumberFormat="1" applyFont="1" applyBorder="1" applyAlignment="1" applyProtection="1">
      <alignment horizontal="center"/>
    </xf>
    <xf numFmtId="20" fontId="53" fillId="0" borderId="115" xfId="1" applyNumberFormat="1" applyFont="1" applyBorder="1" applyAlignment="1" applyProtection="1">
      <alignment horizontal="center"/>
    </xf>
    <xf numFmtId="20" fontId="53" fillId="0" borderId="109" xfId="1" applyNumberFormat="1" applyFont="1" applyBorder="1" applyAlignment="1" applyProtection="1">
      <alignment horizontal="center"/>
    </xf>
    <xf numFmtId="20" fontId="53" fillId="0" borderId="132" xfId="1" applyNumberFormat="1" applyFont="1" applyBorder="1" applyAlignment="1" applyProtection="1">
      <alignment horizontal="center"/>
    </xf>
    <xf numFmtId="20" fontId="53" fillId="0" borderId="112" xfId="1" applyNumberFormat="1" applyFont="1" applyBorder="1" applyAlignment="1" applyProtection="1">
      <alignment horizontal="center"/>
    </xf>
    <xf numFmtId="0" fontId="54" fillId="0" borderId="133" xfId="1" applyFont="1" applyBorder="1" applyProtection="1"/>
    <xf numFmtId="20" fontId="53" fillId="0" borderId="36" xfId="1" applyNumberFormat="1" applyFont="1" applyBorder="1" applyAlignment="1" applyProtection="1">
      <alignment horizontal="center" wrapText="1"/>
    </xf>
    <xf numFmtId="164" fontId="53" fillId="0" borderId="36" xfId="1" applyNumberFormat="1" applyFont="1" applyBorder="1" applyAlignment="1" applyProtection="1">
      <alignment horizontal="center"/>
    </xf>
    <xf numFmtId="0" fontId="53" fillId="0" borderId="134" xfId="1" applyFont="1" applyBorder="1" applyAlignment="1" applyProtection="1">
      <alignment horizontal="center"/>
    </xf>
    <xf numFmtId="20" fontId="53" fillId="0" borderId="135" xfId="1" applyNumberFormat="1" applyFont="1" applyBorder="1" applyAlignment="1" applyProtection="1">
      <alignment horizontal="center"/>
    </xf>
    <xf numFmtId="164" fontId="53" fillId="0" borderId="136" xfId="1" applyNumberFormat="1" applyFont="1" applyBorder="1" applyAlignment="1" applyProtection="1">
      <alignment horizontal="center"/>
    </xf>
    <xf numFmtId="164" fontId="53" fillId="0" borderId="137" xfId="1" applyNumberFormat="1" applyFont="1" applyBorder="1" applyAlignment="1" applyProtection="1">
      <alignment horizontal="center" wrapText="1"/>
    </xf>
    <xf numFmtId="20" fontId="53" fillId="0" borderId="136" xfId="1" applyNumberFormat="1" applyFont="1" applyBorder="1" applyAlignment="1" applyProtection="1">
      <alignment horizontal="center" wrapText="1"/>
    </xf>
    <xf numFmtId="20" fontId="53" fillId="0" borderId="136" xfId="1" applyNumberFormat="1" applyFont="1" applyBorder="1" applyAlignment="1" applyProtection="1">
      <alignment horizontal="center"/>
    </xf>
    <xf numFmtId="164" fontId="53" fillId="0" borderId="136" xfId="1" applyNumberFormat="1" applyFont="1" applyBorder="1" applyAlignment="1" applyProtection="1">
      <alignment horizontal="center" wrapText="1"/>
    </xf>
    <xf numFmtId="20" fontId="53" fillId="0" borderId="138" xfId="1" applyNumberFormat="1" applyFont="1" applyBorder="1" applyAlignment="1" applyProtection="1">
      <alignment horizontal="center"/>
    </xf>
    <xf numFmtId="20" fontId="53" fillId="0" borderId="134" xfId="1" applyNumberFormat="1" applyFont="1" applyBorder="1" applyAlignment="1" applyProtection="1">
      <alignment horizontal="center"/>
    </xf>
    <xf numFmtId="20" fontId="53" fillId="0" borderId="139" xfId="1" applyNumberFormat="1" applyFont="1" applyBorder="1" applyAlignment="1" applyProtection="1">
      <alignment horizontal="center"/>
    </xf>
    <xf numFmtId="20" fontId="53" fillId="0" borderId="137" xfId="1" applyNumberFormat="1" applyFont="1" applyBorder="1" applyAlignment="1" applyProtection="1">
      <alignment horizontal="center"/>
    </xf>
    <xf numFmtId="0" fontId="53" fillId="0" borderId="140" xfId="1" applyFont="1" applyBorder="1" applyAlignment="1" applyProtection="1">
      <alignment horizontal="center"/>
    </xf>
    <xf numFmtId="0" fontId="53" fillId="0" borderId="48" xfId="1" applyFont="1" applyBorder="1" applyAlignment="1" applyProtection="1">
      <alignment horizontal="center"/>
    </xf>
    <xf numFmtId="20" fontId="53" fillId="0" borderId="141" xfId="1" applyNumberFormat="1" applyFont="1" applyBorder="1" applyAlignment="1" applyProtection="1">
      <alignment horizontal="center"/>
    </xf>
    <xf numFmtId="20" fontId="53" fillId="0" borderId="142" xfId="1" applyNumberFormat="1" applyFont="1" applyBorder="1" applyAlignment="1" applyProtection="1">
      <alignment horizontal="center"/>
    </xf>
    <xf numFmtId="164" fontId="53" fillId="0" borderId="119" xfId="1" applyNumberFormat="1" applyFont="1" applyBorder="1" applyAlignment="1" applyProtection="1">
      <alignment horizontal="center" wrapText="1"/>
    </xf>
    <xf numFmtId="20" fontId="53" fillId="0" borderId="48" xfId="1" applyNumberFormat="1" applyFont="1" applyBorder="1" applyAlignment="1" applyProtection="1">
      <alignment horizontal="center"/>
    </xf>
    <xf numFmtId="164" fontId="53" fillId="0" borderId="143" xfId="1" applyNumberFormat="1" applyFont="1" applyBorder="1" applyAlignment="1" applyProtection="1">
      <alignment horizontal="center" wrapText="1"/>
    </xf>
    <xf numFmtId="0" fontId="53" fillId="0" borderId="119" xfId="1" applyFont="1" applyBorder="1" applyAlignment="1" applyProtection="1">
      <alignment horizontal="center" wrapText="1"/>
    </xf>
    <xf numFmtId="0" fontId="53" fillId="0" borderId="142" xfId="1" applyFont="1" applyBorder="1" applyAlignment="1" applyProtection="1">
      <alignment horizontal="center" wrapText="1"/>
    </xf>
    <xf numFmtId="20" fontId="53" fillId="0" borderId="144" xfId="1" applyNumberFormat="1" applyFont="1" applyBorder="1" applyAlignment="1" applyProtection="1">
      <alignment horizontal="center"/>
    </xf>
    <xf numFmtId="20" fontId="53" fillId="0" borderId="145" xfId="1" applyNumberFormat="1" applyFont="1" applyBorder="1" applyAlignment="1" applyProtection="1">
      <alignment horizontal="center"/>
    </xf>
    <xf numFmtId="20" fontId="53" fillId="0" borderId="119" xfId="1" applyNumberFormat="1" applyFont="1" applyBorder="1" applyAlignment="1" applyProtection="1">
      <alignment horizontal="center"/>
    </xf>
    <xf numFmtId="0" fontId="53" fillId="0" borderId="53" xfId="1" applyFont="1" applyBorder="1" applyAlignment="1" applyProtection="1">
      <alignment horizontal="center"/>
    </xf>
    <xf numFmtId="0" fontId="53" fillId="0" borderId="147" xfId="1" applyFont="1" applyBorder="1" applyAlignment="1" applyProtection="1">
      <alignment horizontal="center"/>
    </xf>
    <xf numFmtId="20" fontId="53" fillId="0" borderId="148" xfId="1" applyNumberFormat="1" applyFont="1" applyBorder="1" applyAlignment="1" applyProtection="1">
      <alignment horizontal="center"/>
    </xf>
    <xf numFmtId="164" fontId="53" fillId="0" borderId="149" xfId="1" applyNumberFormat="1" applyFont="1" applyBorder="1" applyAlignment="1" applyProtection="1">
      <alignment horizontal="center"/>
    </xf>
    <xf numFmtId="164" fontId="53" fillId="0" borderId="150" xfId="1" applyNumberFormat="1" applyFont="1" applyBorder="1" applyAlignment="1" applyProtection="1">
      <alignment horizontal="center" wrapText="1"/>
    </xf>
    <xf numFmtId="20" fontId="53" fillId="0" borderId="149" xfId="1" applyNumberFormat="1" applyFont="1" applyBorder="1" applyAlignment="1" applyProtection="1">
      <alignment horizontal="center" wrapText="1"/>
    </xf>
    <xf numFmtId="20" fontId="53" fillId="0" borderId="149" xfId="1" applyNumberFormat="1" applyFont="1" applyBorder="1" applyAlignment="1" applyProtection="1">
      <alignment horizontal="center"/>
    </xf>
    <xf numFmtId="20" fontId="53" fillId="0" borderId="151" xfId="1" applyNumberFormat="1" applyFont="1" applyBorder="1" applyAlignment="1" applyProtection="1">
      <alignment horizontal="center"/>
    </xf>
    <xf numFmtId="20" fontId="53" fillId="0" borderId="147" xfId="1" applyNumberFormat="1" applyFont="1" applyBorder="1" applyAlignment="1" applyProtection="1">
      <alignment horizontal="center"/>
    </xf>
    <xf numFmtId="20" fontId="53" fillId="0" borderId="152" xfId="1" applyNumberFormat="1" applyFont="1" applyBorder="1" applyAlignment="1" applyProtection="1">
      <alignment horizontal="center"/>
    </xf>
    <xf numFmtId="20" fontId="53" fillId="0" borderId="150" xfId="1" applyNumberFormat="1" applyFont="1" applyBorder="1" applyAlignment="1" applyProtection="1">
      <alignment horizontal="center"/>
    </xf>
    <xf numFmtId="0" fontId="53" fillId="0" borderId="153" xfId="1" applyFont="1" applyBorder="1" applyAlignment="1" applyProtection="1">
      <alignment horizontal="center"/>
    </xf>
    <xf numFmtId="164" fontId="53" fillId="0" borderId="100" xfId="1" applyNumberFormat="1" applyFont="1" applyBorder="1" applyAlignment="1" applyProtection="1">
      <alignment horizontal="center" wrapText="1"/>
    </xf>
    <xf numFmtId="0" fontId="53" fillId="0" borderId="100" xfId="1" applyFont="1" applyBorder="1" applyAlignment="1" applyProtection="1">
      <alignment horizontal="center" wrapText="1"/>
    </xf>
    <xf numFmtId="0" fontId="53" fillId="0" borderId="43" xfId="1" applyFont="1" applyBorder="1" applyAlignment="1" applyProtection="1">
      <alignment horizontal="center"/>
    </xf>
    <xf numFmtId="0" fontId="53" fillId="0" borderId="130" xfId="1" applyFont="1" applyBorder="1" applyAlignment="1" applyProtection="1">
      <alignment horizontal="center"/>
    </xf>
    <xf numFmtId="164" fontId="53" fillId="0" borderId="112" xfId="1" applyNumberFormat="1" applyFont="1" applyBorder="1" applyAlignment="1" applyProtection="1">
      <alignment horizontal="center" wrapText="1"/>
    </xf>
    <xf numFmtId="20" fontId="53" fillId="0" borderId="111" xfId="1" applyNumberFormat="1" applyFont="1" applyBorder="1" applyAlignment="1" applyProtection="1">
      <alignment horizontal="center" wrapText="1"/>
    </xf>
    <xf numFmtId="0" fontId="54" fillId="0" borderId="140" xfId="1" applyFont="1" applyBorder="1" applyProtection="1"/>
    <xf numFmtId="0" fontId="53" fillId="8" borderId="77" xfId="1" applyFont="1" applyFill="1" applyBorder="1" applyAlignment="1" applyProtection="1">
      <alignment horizontal="center"/>
    </xf>
    <xf numFmtId="0" fontId="53" fillId="8" borderId="0" xfId="1" applyFont="1" applyFill="1" applyAlignment="1" applyProtection="1">
      <alignment horizontal="center"/>
    </xf>
    <xf numFmtId="20" fontId="53" fillId="8" borderId="0" xfId="1" applyNumberFormat="1" applyFont="1" applyFill="1" applyAlignment="1" applyProtection="1">
      <alignment horizontal="center"/>
    </xf>
    <xf numFmtId="164" fontId="53" fillId="8" borderId="0" xfId="1" applyNumberFormat="1" applyFont="1" applyFill="1" applyAlignment="1" applyProtection="1">
      <alignment horizontal="center"/>
    </xf>
    <xf numFmtId="20" fontId="53" fillId="8" borderId="24" xfId="1" applyNumberFormat="1" applyFont="1" applyFill="1" applyBorder="1" applyAlignment="1" applyProtection="1">
      <alignment horizontal="center"/>
    </xf>
    <xf numFmtId="20" fontId="53" fillId="8" borderId="0" xfId="1" quotePrefix="1" applyNumberFormat="1" applyFont="1" applyFill="1" applyAlignment="1" applyProtection="1">
      <alignment horizontal="center"/>
    </xf>
    <xf numFmtId="20" fontId="53" fillId="8" borderId="26" xfId="1" applyNumberFormat="1" applyFont="1" applyFill="1" applyBorder="1" applyAlignment="1" applyProtection="1">
      <alignment horizontal="center"/>
    </xf>
    <xf numFmtId="20" fontId="53" fillId="0" borderId="79" xfId="1" applyNumberFormat="1" applyFont="1" applyBorder="1" applyAlignment="1" applyProtection="1">
      <alignment horizontal="center"/>
    </xf>
    <xf numFmtId="0" fontId="53" fillId="0" borderId="87" xfId="1" applyFont="1" applyBorder="1" applyAlignment="1" applyProtection="1">
      <alignment horizontal="center"/>
    </xf>
    <xf numFmtId="20" fontId="53" fillId="0" borderId="90" xfId="1" applyNumberFormat="1" applyFont="1" applyBorder="1" applyAlignment="1" applyProtection="1">
      <alignment horizontal="center"/>
    </xf>
    <xf numFmtId="164" fontId="53" fillId="0" borderId="35" xfId="1" applyNumberFormat="1" applyFont="1" applyBorder="1" applyAlignment="1" applyProtection="1">
      <alignment horizontal="center" wrapText="1"/>
    </xf>
    <xf numFmtId="0" fontId="53" fillId="0" borderId="92" xfId="1" applyFont="1" applyBorder="1" applyAlignment="1" applyProtection="1">
      <alignment horizontal="center" wrapText="1"/>
    </xf>
    <xf numFmtId="20" fontId="53" fillId="0" borderId="35" xfId="1" applyNumberFormat="1" applyFont="1" applyBorder="1" applyAlignment="1" applyProtection="1">
      <alignment horizontal="center"/>
    </xf>
    <xf numFmtId="0" fontId="53" fillId="0" borderId="36" xfId="1" applyFont="1" applyBorder="1" applyAlignment="1" applyProtection="1">
      <alignment horizontal="center" wrapText="1"/>
    </xf>
    <xf numFmtId="0" fontId="53" fillId="0" borderId="25" xfId="1" applyFont="1" applyBorder="1" applyAlignment="1" applyProtection="1">
      <alignment horizontal="center"/>
    </xf>
    <xf numFmtId="0" fontId="53" fillId="0" borderId="98" xfId="1" applyFont="1" applyBorder="1" applyAlignment="1" applyProtection="1">
      <alignment horizontal="center"/>
    </xf>
    <xf numFmtId="20" fontId="53" fillId="0" borderId="101" xfId="1" applyNumberFormat="1" applyFont="1" applyBorder="1" applyAlignment="1" applyProtection="1">
      <alignment horizontal="center"/>
    </xf>
    <xf numFmtId="164" fontId="53" fillId="0" borderId="43" xfId="1" applyNumberFormat="1" applyFont="1" applyBorder="1" applyAlignment="1" applyProtection="1">
      <alignment horizontal="center"/>
    </xf>
    <xf numFmtId="164" fontId="53" fillId="0" borderId="42" xfId="1" applyNumberFormat="1" applyFont="1" applyBorder="1" applyAlignment="1" applyProtection="1">
      <alignment horizontal="center" wrapText="1"/>
    </xf>
    <xf numFmtId="0" fontId="53" fillId="0" borderId="103" xfId="1" applyFont="1" applyBorder="1" applyAlignment="1" applyProtection="1">
      <alignment horizontal="center" wrapText="1"/>
    </xf>
    <xf numFmtId="20" fontId="53" fillId="0" borderId="42" xfId="1" applyNumberFormat="1" applyFont="1" applyBorder="1" applyAlignment="1" applyProtection="1">
      <alignment horizontal="center"/>
    </xf>
    <xf numFmtId="0" fontId="53" fillId="0" borderId="46" xfId="1" applyFont="1" applyBorder="1" applyAlignment="1" applyProtection="1">
      <alignment horizontal="center"/>
    </xf>
    <xf numFmtId="0" fontId="53" fillId="0" borderId="110" xfId="1" applyFont="1" applyBorder="1" applyAlignment="1" applyProtection="1">
      <alignment horizontal="center"/>
    </xf>
    <xf numFmtId="20" fontId="53" fillId="0" borderId="113" xfId="1" applyNumberFormat="1" applyFont="1" applyBorder="1" applyAlignment="1" applyProtection="1">
      <alignment horizontal="center"/>
    </xf>
    <xf numFmtId="164" fontId="53" fillId="0" borderId="155" xfId="1" applyNumberFormat="1" applyFont="1" applyBorder="1" applyAlignment="1" applyProtection="1">
      <alignment horizontal="center" wrapText="1"/>
    </xf>
    <xf numFmtId="0" fontId="53" fillId="0" borderId="115" xfId="1" applyFont="1" applyBorder="1" applyAlignment="1" applyProtection="1">
      <alignment horizontal="center" wrapText="1"/>
    </xf>
    <xf numFmtId="20" fontId="53" fillId="0" borderId="155" xfId="1" applyNumberFormat="1" applyFont="1" applyBorder="1" applyAlignment="1" applyProtection="1">
      <alignment horizontal="center"/>
    </xf>
    <xf numFmtId="0" fontId="53" fillId="0" borderId="111" xfId="1" applyFont="1" applyBorder="1" applyAlignment="1" applyProtection="1">
      <alignment horizontal="center"/>
    </xf>
    <xf numFmtId="0" fontId="53" fillId="8" borderId="84" xfId="1" applyFont="1" applyFill="1" applyBorder="1" applyProtection="1"/>
    <xf numFmtId="0" fontId="53" fillId="8" borderId="65" xfId="1" applyFont="1" applyFill="1" applyBorder="1" applyProtection="1"/>
    <xf numFmtId="0" fontId="53" fillId="8" borderId="65" xfId="1" applyFont="1" applyFill="1" applyBorder="1" applyAlignment="1" applyProtection="1">
      <alignment horizontal="center"/>
    </xf>
    <xf numFmtId="0" fontId="53" fillId="8" borderId="26" xfId="1" applyFont="1" applyFill="1" applyBorder="1" applyAlignment="1" applyProtection="1">
      <alignment horizontal="center"/>
    </xf>
    <xf numFmtId="20" fontId="53" fillId="0" borderId="59" xfId="1" applyNumberFormat="1" applyFont="1" applyBorder="1" applyAlignment="1" applyProtection="1">
      <alignment horizontal="center"/>
    </xf>
    <xf numFmtId="0" fontId="53" fillId="22" borderId="86" xfId="1" applyFont="1" applyFill="1" applyBorder="1" applyAlignment="1" applyProtection="1">
      <alignment horizontal="center"/>
    </xf>
    <xf numFmtId="0" fontId="53" fillId="22" borderId="97" xfId="1" applyFont="1" applyFill="1" applyBorder="1" applyAlignment="1" applyProtection="1">
      <alignment horizontal="center"/>
    </xf>
    <xf numFmtId="0" fontId="53" fillId="22" borderId="109" xfId="1" applyFont="1" applyFill="1" applyBorder="1" applyAlignment="1" applyProtection="1">
      <alignment horizontal="center"/>
    </xf>
    <xf numFmtId="0" fontId="53" fillId="23" borderId="86" xfId="1" applyFont="1" applyFill="1" applyBorder="1" applyAlignment="1" applyProtection="1">
      <alignment horizontal="center"/>
    </xf>
    <xf numFmtId="0" fontId="53" fillId="23" borderId="134" xfId="1" applyFont="1" applyFill="1" applyBorder="1" applyAlignment="1" applyProtection="1">
      <alignment horizontal="center"/>
    </xf>
    <xf numFmtId="0" fontId="53" fillId="23" borderId="48" xfId="1" applyFont="1" applyFill="1" applyBorder="1" applyAlignment="1" applyProtection="1">
      <alignment horizontal="center"/>
    </xf>
    <xf numFmtId="0" fontId="53" fillId="25" borderId="146" xfId="1" applyFont="1" applyFill="1" applyBorder="1" applyAlignment="1" applyProtection="1">
      <alignment horizontal="center"/>
    </xf>
    <xf numFmtId="0" fontId="53" fillId="25" borderId="106" xfId="1" applyFont="1" applyFill="1" applyBorder="1" applyAlignment="1" applyProtection="1">
      <alignment horizontal="center"/>
    </xf>
    <xf numFmtId="0" fontId="53" fillId="25" borderId="154" xfId="1" applyFont="1" applyFill="1" applyBorder="1" applyAlignment="1" applyProtection="1">
      <alignment horizontal="center"/>
    </xf>
    <xf numFmtId="0" fontId="53" fillId="24" borderId="86" xfId="1" applyFont="1" applyFill="1" applyBorder="1" applyAlignment="1" applyProtection="1">
      <alignment horizontal="center"/>
    </xf>
    <xf numFmtId="0" fontId="53" fillId="24" borderId="97" xfId="1" applyFont="1" applyFill="1" applyBorder="1" applyAlignment="1" applyProtection="1">
      <alignment horizontal="center"/>
    </xf>
    <xf numFmtId="0" fontId="53" fillId="24" borderId="109" xfId="1" applyFont="1" applyFill="1" applyBorder="1" applyAlignment="1" applyProtection="1">
      <alignment horizontal="center"/>
    </xf>
    <xf numFmtId="20" fontId="4" fillId="22" borderId="15" xfId="0" applyNumberFormat="1" applyFont="1" applyFill="1" applyBorder="1" applyAlignment="1">
      <alignment horizontal="center"/>
    </xf>
    <xf numFmtId="20" fontId="14" fillId="22" borderId="16" xfId="0" applyNumberFormat="1" applyFont="1" applyFill="1" applyBorder="1" applyAlignment="1"/>
    <xf numFmtId="0" fontId="1" fillId="22" borderId="16" xfId="0" applyFont="1" applyFill="1" applyBorder="1" applyAlignment="1"/>
    <xf numFmtId="20" fontId="2" fillId="22" borderId="16" xfId="0" applyNumberFormat="1" applyFont="1" applyFill="1" applyBorder="1" applyAlignment="1">
      <alignment horizontal="center"/>
    </xf>
    <xf numFmtId="20" fontId="14" fillId="23" borderId="16" xfId="0" applyNumberFormat="1" applyFont="1" applyFill="1" applyBorder="1" applyAlignment="1"/>
    <xf numFmtId="20" fontId="3" fillId="23" borderId="16" xfId="0" applyNumberFormat="1" applyFont="1" applyFill="1" applyBorder="1" applyAlignment="1"/>
    <xf numFmtId="20" fontId="3" fillId="23" borderId="16" xfId="0" applyNumberFormat="1" applyFont="1" applyFill="1" applyBorder="1" applyAlignment="1">
      <alignment horizontal="center"/>
    </xf>
    <xf numFmtId="20" fontId="17" fillId="23" borderId="16" xfId="0" applyNumberFormat="1" applyFont="1" applyFill="1" applyBorder="1" applyAlignment="1">
      <alignment horizontal="center"/>
    </xf>
    <xf numFmtId="0" fontId="4" fillId="23" borderId="16" xfId="0" applyFont="1" applyFill="1" applyBorder="1" applyAlignment="1">
      <alignment horizontal="center"/>
    </xf>
    <xf numFmtId="20" fontId="1" fillId="23" borderId="16" xfId="0" applyNumberFormat="1" applyFont="1" applyFill="1" applyBorder="1" applyAlignment="1"/>
    <xf numFmtId="20" fontId="14" fillId="25" borderId="16" xfId="0" applyNumberFormat="1" applyFont="1" applyFill="1" applyBorder="1" applyAlignment="1"/>
    <xf numFmtId="20" fontId="3" fillId="25" borderId="16" xfId="0" applyNumberFormat="1" applyFont="1" applyFill="1" applyBorder="1" applyAlignment="1">
      <alignment horizontal="center"/>
    </xf>
    <xf numFmtId="0" fontId="4" fillId="25" borderId="16" xfId="0" applyFont="1" applyFill="1" applyBorder="1" applyAlignment="1">
      <alignment horizontal="center"/>
    </xf>
    <xf numFmtId="0" fontId="1" fillId="25" borderId="16" xfId="0" applyFont="1" applyFill="1" applyBorder="1" applyAlignment="1"/>
    <xf numFmtId="20" fontId="1" fillId="25" borderId="16" xfId="0" applyNumberFormat="1" applyFont="1" applyFill="1" applyBorder="1" applyAlignment="1"/>
    <xf numFmtId="20" fontId="7" fillId="25" borderId="16" xfId="0" applyNumberFormat="1" applyFont="1" applyFill="1" applyBorder="1" applyAlignment="1">
      <alignment horizontal="center"/>
    </xf>
    <xf numFmtId="20" fontId="5" fillId="25" borderId="16" xfId="0" applyNumberFormat="1" applyFont="1" applyFill="1" applyBorder="1" applyAlignment="1">
      <alignment horizontal="center"/>
    </xf>
    <xf numFmtId="46" fontId="6" fillId="25" borderId="21" xfId="0" applyNumberFormat="1" applyFont="1" applyFill="1" applyBorder="1" applyAlignment="1">
      <alignment horizontal="center"/>
    </xf>
    <xf numFmtId="46" fontId="4" fillId="25" borderId="21" xfId="0" applyNumberFormat="1" applyFont="1" applyFill="1" applyBorder="1" applyAlignment="1">
      <alignment horizontal="center"/>
    </xf>
    <xf numFmtId="20" fontId="16" fillId="25" borderId="16" xfId="0" applyNumberFormat="1" applyFont="1" applyFill="1" applyBorder="1" applyAlignment="1">
      <alignment horizontal="center"/>
    </xf>
    <xf numFmtId="20" fontId="2" fillId="25" borderId="16" xfId="0" applyNumberFormat="1" applyFont="1" applyFill="1" applyBorder="1" applyAlignment="1">
      <alignment horizontal="center"/>
    </xf>
    <xf numFmtId="20" fontId="14" fillId="24" borderId="16" xfId="0" applyNumberFormat="1" applyFont="1" applyFill="1" applyBorder="1" applyAlignment="1"/>
    <xf numFmtId="20" fontId="3" fillId="24" borderId="16" xfId="0" applyNumberFormat="1" applyFont="1" applyFill="1" applyBorder="1" applyAlignment="1">
      <alignment horizontal="center"/>
    </xf>
    <xf numFmtId="20" fontId="5" fillId="24" borderId="16" xfId="0" applyNumberFormat="1" applyFont="1" applyFill="1" applyBorder="1" applyAlignment="1">
      <alignment horizontal="center"/>
    </xf>
    <xf numFmtId="20" fontId="2" fillId="24" borderId="16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right"/>
    </xf>
    <xf numFmtId="0" fontId="57" fillId="0" borderId="0" xfId="0" applyFont="1" applyAlignment="1">
      <alignment horizontal="center" wrapText="1"/>
    </xf>
    <xf numFmtId="0" fontId="57" fillId="27" borderId="105" xfId="0" applyFont="1" applyFill="1" applyBorder="1" applyAlignment="1">
      <alignment horizontal="center" wrapText="1"/>
    </xf>
    <xf numFmtId="0" fontId="58" fillId="27" borderId="101" xfId="0" applyFont="1" applyFill="1" applyBorder="1" applyAlignment="1">
      <alignment horizontal="center" vertical="top" wrapText="1"/>
    </xf>
    <xf numFmtId="0" fontId="57" fillId="0" borderId="0" xfId="0" applyFont="1" applyAlignment="1">
      <alignment horizontal="center" vertical="top"/>
    </xf>
    <xf numFmtId="0" fontId="57" fillId="0" borderId="43" xfId="0" applyFont="1" applyBorder="1" applyAlignment="1">
      <alignment horizontal="center" wrapText="1"/>
    </xf>
    <xf numFmtId="0" fontId="58" fillId="28" borderId="43" xfId="0" applyFont="1" applyFill="1" applyBorder="1" applyAlignment="1">
      <alignment horizontal="center" vertical="top" wrapText="1"/>
    </xf>
    <xf numFmtId="0" fontId="58" fillId="0" borderId="43" xfId="0" applyFont="1" applyBorder="1" applyAlignment="1">
      <alignment horizontal="center" vertical="top" wrapText="1"/>
    </xf>
    <xf numFmtId="165" fontId="59" fillId="28" borderId="43" xfId="0" applyNumberFormat="1" applyFont="1" applyFill="1" applyBorder="1" applyAlignment="1">
      <alignment horizontal="center" vertical="top" shrinkToFit="1"/>
    </xf>
    <xf numFmtId="0" fontId="58" fillId="22" borderId="43" xfId="0" applyFont="1" applyFill="1" applyBorder="1" applyAlignment="1">
      <alignment horizontal="center" vertical="top" wrapText="1"/>
    </xf>
    <xf numFmtId="0" fontId="58" fillId="24" borderId="43" xfId="0" applyFont="1" applyFill="1" applyBorder="1" applyAlignment="1">
      <alignment horizontal="center" vertical="top" wrapText="1"/>
    </xf>
    <xf numFmtId="0" fontId="57" fillId="22" borderId="43" xfId="0" applyFont="1" applyFill="1" applyBorder="1" applyAlignment="1">
      <alignment horizontal="center" wrapText="1"/>
    </xf>
    <xf numFmtId="0" fontId="57" fillId="24" borderId="43" xfId="0" applyFont="1" applyFill="1" applyBorder="1" applyAlignment="1">
      <alignment horizontal="center" wrapText="1"/>
    </xf>
    <xf numFmtId="0" fontId="60" fillId="0" borderId="43" xfId="0" applyFont="1" applyBorder="1" applyAlignment="1">
      <alignment horizontal="center" vertical="top" wrapText="1"/>
    </xf>
    <xf numFmtId="0" fontId="60" fillId="22" borderId="43" xfId="0" applyFont="1" applyFill="1" applyBorder="1" applyAlignment="1">
      <alignment horizontal="center" vertical="top" wrapText="1"/>
    </xf>
    <xf numFmtId="0" fontId="61" fillId="0" borderId="43" xfId="0" applyFont="1" applyBorder="1" applyAlignment="1">
      <alignment horizontal="center" vertical="top" wrapText="1"/>
    </xf>
    <xf numFmtId="0" fontId="61" fillId="22" borderId="43" xfId="0" applyFont="1" applyFill="1" applyBorder="1" applyAlignment="1">
      <alignment horizontal="center" vertical="top" wrapText="1"/>
    </xf>
    <xf numFmtId="0" fontId="62" fillId="22" borderId="43" xfId="0" applyFont="1" applyFill="1" applyBorder="1" applyAlignment="1">
      <alignment horizontal="center" wrapText="1"/>
    </xf>
    <xf numFmtId="0" fontId="60" fillId="24" borderId="43" xfId="0" applyFont="1" applyFill="1" applyBorder="1" applyAlignment="1">
      <alignment horizontal="center" vertical="top" wrapText="1"/>
    </xf>
    <xf numFmtId="0" fontId="61" fillId="24" borderId="43" xfId="0" applyFont="1" applyFill="1" applyBorder="1" applyAlignment="1">
      <alignment horizontal="center" vertical="top" wrapText="1"/>
    </xf>
    <xf numFmtId="0" fontId="64" fillId="22" borderId="43" xfId="0" applyFont="1" applyFill="1" applyBorder="1" applyAlignment="1">
      <alignment horizontal="center" vertical="top" wrapText="1"/>
    </xf>
    <xf numFmtId="0" fontId="58" fillId="23" borderId="43" xfId="0" applyFont="1" applyFill="1" applyBorder="1" applyAlignment="1">
      <alignment horizontal="center" vertical="top" wrapText="1"/>
    </xf>
    <xf numFmtId="0" fontId="61" fillId="23" borderId="43" xfId="0" applyFont="1" applyFill="1" applyBorder="1" applyAlignment="1">
      <alignment horizontal="center" vertical="top" wrapText="1"/>
    </xf>
    <xf numFmtId="0" fontId="57" fillId="23" borderId="43" xfId="0" applyFont="1" applyFill="1" applyBorder="1" applyAlignment="1">
      <alignment horizontal="center" wrapText="1"/>
    </xf>
    <xf numFmtId="0" fontId="60" fillId="23" borderId="43" xfId="0" applyFont="1" applyFill="1" applyBorder="1" applyAlignment="1">
      <alignment horizontal="center" vertical="top" wrapText="1"/>
    </xf>
    <xf numFmtId="0" fontId="58" fillId="25" borderId="43" xfId="0" applyFont="1" applyFill="1" applyBorder="1" applyAlignment="1">
      <alignment horizontal="center" vertical="top" wrapText="1"/>
    </xf>
    <xf numFmtId="0" fontId="60" fillId="25" borderId="43" xfId="0" applyFont="1" applyFill="1" applyBorder="1" applyAlignment="1">
      <alignment horizontal="center" vertical="top" wrapText="1"/>
    </xf>
    <xf numFmtId="0" fontId="57" fillId="25" borderId="43" xfId="0" applyFont="1" applyFill="1" applyBorder="1" applyAlignment="1">
      <alignment horizontal="center" wrapText="1"/>
    </xf>
    <xf numFmtId="0" fontId="61" fillId="25" borderId="43" xfId="0" applyFont="1" applyFill="1" applyBorder="1" applyAlignment="1">
      <alignment horizontal="center" vertical="top" wrapText="1"/>
    </xf>
    <xf numFmtId="0" fontId="64" fillId="25" borderId="43" xfId="0" applyFont="1" applyFill="1" applyBorder="1" applyAlignment="1">
      <alignment horizontal="center" vertical="top" wrapText="1"/>
    </xf>
    <xf numFmtId="0" fontId="64" fillId="24" borderId="43" xfId="0" applyFont="1" applyFill="1" applyBorder="1" applyAlignment="1">
      <alignment horizontal="center" vertical="top" wrapText="1"/>
    </xf>
    <xf numFmtId="0" fontId="64" fillId="23" borderId="43" xfId="0" applyFont="1" applyFill="1" applyBorder="1" applyAlignment="1">
      <alignment horizontal="center" vertical="top" wrapText="1"/>
    </xf>
    <xf numFmtId="20" fontId="60" fillId="25" borderId="43" xfId="0" applyNumberFormat="1" applyFont="1" applyFill="1" applyBorder="1" applyAlignment="1">
      <alignment horizontal="center" vertical="top" wrapText="1"/>
    </xf>
    <xf numFmtId="0" fontId="58" fillId="27" borderId="43" xfId="0" applyFont="1" applyFill="1" applyBorder="1" applyAlignment="1">
      <alignment horizontal="center" vertical="top" wrapText="1"/>
    </xf>
    <xf numFmtId="0" fontId="57" fillId="27" borderId="43" xfId="0" applyFont="1" applyFill="1" applyBorder="1" applyAlignment="1">
      <alignment horizontal="center" wrapText="1"/>
    </xf>
    <xf numFmtId="1" fontId="59" fillId="22" borderId="43" xfId="0" applyNumberFormat="1" applyFont="1" applyFill="1" applyBorder="1" applyAlignment="1">
      <alignment horizontal="center" vertical="top" shrinkToFit="1"/>
    </xf>
    <xf numFmtId="1" fontId="59" fillId="0" borderId="43" xfId="0" applyNumberFormat="1" applyFont="1" applyBorder="1" applyAlignment="1">
      <alignment horizontal="center" vertical="top" shrinkToFit="1"/>
    </xf>
    <xf numFmtId="1" fontId="59" fillId="23" borderId="43" xfId="0" applyNumberFormat="1" applyFont="1" applyFill="1" applyBorder="1" applyAlignment="1">
      <alignment horizontal="center" vertical="top" shrinkToFit="1"/>
    </xf>
    <xf numFmtId="0" fontId="58" fillId="29" borderId="43" xfId="0" applyFont="1" applyFill="1" applyBorder="1" applyAlignment="1">
      <alignment horizontal="center" vertical="top" wrapText="1"/>
    </xf>
    <xf numFmtId="1" fontId="59" fillId="25" borderId="43" xfId="0" applyNumberFormat="1" applyFont="1" applyFill="1" applyBorder="1" applyAlignment="1">
      <alignment horizontal="center" vertical="top" shrinkToFi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0" fontId="3" fillId="8" borderId="23" xfId="1" applyNumberFormat="1" applyFont="1" applyFill="1" applyBorder="1" applyAlignment="1" applyProtection="1">
      <alignment horizontal="center"/>
    </xf>
    <xf numFmtId="20" fontId="3" fillId="8" borderId="26" xfId="1" applyNumberFormat="1" applyFont="1" applyFill="1" applyBorder="1" applyAlignment="1" applyProtection="1">
      <alignment horizontal="center"/>
    </xf>
    <xf numFmtId="0" fontId="3" fillId="8" borderId="23" xfId="1" applyFont="1" applyFill="1" applyBorder="1" applyAlignment="1" applyProtection="1">
      <alignment horizontal="center"/>
    </xf>
    <xf numFmtId="0" fontId="3" fillId="8" borderId="26" xfId="1" applyFont="1" applyFill="1" applyBorder="1" applyAlignment="1" applyProtection="1">
      <alignment horizontal="center"/>
    </xf>
    <xf numFmtId="0" fontId="3" fillId="8" borderId="24" xfId="1" applyFont="1" applyFill="1" applyBorder="1" applyAlignment="1" applyProtection="1">
      <alignment horizontal="center"/>
    </xf>
    <xf numFmtId="2" fontId="3" fillId="8" borderId="23" xfId="1" applyNumberFormat="1" applyFont="1" applyFill="1" applyBorder="1" applyAlignment="1" applyProtection="1">
      <alignment horizontal="center"/>
    </xf>
    <xf numFmtId="2" fontId="3" fillId="8" borderId="24" xfId="1" applyNumberFormat="1" applyFont="1" applyFill="1" applyBorder="1" applyAlignment="1" applyProtection="1">
      <alignment horizontal="center"/>
    </xf>
    <xf numFmtId="2" fontId="3" fillId="8" borderId="26" xfId="1" applyNumberFormat="1" applyFont="1" applyFill="1" applyBorder="1" applyAlignment="1" applyProtection="1">
      <alignment horizontal="center"/>
    </xf>
    <xf numFmtId="20" fontId="3" fillId="4" borderId="38" xfId="1" applyNumberFormat="1" applyFont="1" applyFill="1" applyBorder="1" applyAlignment="1" applyProtection="1">
      <alignment horizontal="center"/>
    </xf>
    <xf numFmtId="20" fontId="3" fillId="4" borderId="39" xfId="1" applyNumberFormat="1" applyFont="1" applyFill="1" applyBorder="1" applyAlignment="1" applyProtection="1">
      <alignment horizontal="center"/>
    </xf>
    <xf numFmtId="20" fontId="3" fillId="4" borderId="40" xfId="1" applyNumberFormat="1" applyFont="1" applyFill="1" applyBorder="1" applyAlignment="1" applyProtection="1">
      <alignment horizontal="center"/>
    </xf>
    <xf numFmtId="20" fontId="3" fillId="4" borderId="47" xfId="1" applyNumberFormat="1" applyFont="1" applyFill="1" applyBorder="1" applyAlignment="1" applyProtection="1">
      <alignment horizontal="center"/>
    </xf>
    <xf numFmtId="20" fontId="3" fillId="4" borderId="45" xfId="1" applyNumberFormat="1" applyFont="1" applyFill="1" applyBorder="1" applyAlignment="1" applyProtection="1">
      <alignment horizontal="center"/>
    </xf>
    <xf numFmtId="20" fontId="3" fillId="4" borderId="13" xfId="1" applyNumberFormat="1" applyFont="1" applyFill="1" applyBorder="1" applyAlignment="1" applyProtection="1">
      <alignment horizontal="center"/>
    </xf>
    <xf numFmtId="0" fontId="3" fillId="8" borderId="84" xfId="1" applyFont="1" applyFill="1" applyBorder="1" applyAlignment="1" applyProtection="1">
      <alignment horizontal="center"/>
    </xf>
    <xf numFmtId="0" fontId="3" fillId="8" borderId="85" xfId="1" applyFont="1" applyFill="1" applyBorder="1" applyAlignment="1" applyProtection="1">
      <alignment horizontal="center"/>
    </xf>
    <xf numFmtId="20" fontId="3" fillId="10" borderId="9" xfId="1" applyNumberFormat="1" applyFont="1" applyFill="1" applyBorder="1" applyAlignment="1" applyProtection="1">
      <alignment horizontal="center"/>
    </xf>
    <xf numFmtId="20" fontId="3" fillId="10" borderId="45" xfId="1" applyNumberFormat="1" applyFont="1" applyFill="1" applyBorder="1" applyAlignment="1" applyProtection="1">
      <alignment horizontal="center"/>
    </xf>
    <xf numFmtId="20" fontId="3" fillId="10" borderId="13" xfId="1" applyNumberFormat="1" applyFont="1" applyFill="1" applyBorder="1" applyAlignment="1" applyProtection="1">
      <alignment horizontal="center"/>
    </xf>
    <xf numFmtId="0" fontId="4" fillId="8" borderId="23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20" fontId="3" fillId="4" borderId="80" xfId="1" applyNumberFormat="1" applyFont="1" applyFill="1" applyBorder="1" applyAlignment="1" applyProtection="1">
      <alignment horizontal="center"/>
    </xf>
    <xf numFmtId="20" fontId="3" fillId="4" borderId="32" xfId="1" applyNumberFormat="1" applyFont="1" applyFill="1" applyBorder="1" applyAlignment="1" applyProtection="1">
      <alignment horizontal="center"/>
    </xf>
    <xf numFmtId="20" fontId="3" fillId="4" borderId="25" xfId="1" applyNumberFormat="1" applyFont="1" applyFill="1" applyBorder="1" applyAlignment="1" applyProtection="1">
      <alignment horizontal="center"/>
    </xf>
    <xf numFmtId="20" fontId="3" fillId="4" borderId="126" xfId="1" applyNumberFormat="1" applyFont="1" applyFill="1" applyBorder="1" applyAlignment="1" applyProtection="1">
      <alignment horizontal="center"/>
    </xf>
    <xf numFmtId="20" fontId="3" fillId="4" borderId="127" xfId="1" applyNumberFormat="1" applyFont="1" applyFill="1" applyBorder="1" applyAlignment="1" applyProtection="1">
      <alignment horizontal="center"/>
    </xf>
    <xf numFmtId="20" fontId="3" fillId="4" borderId="128" xfId="1" applyNumberFormat="1" applyFont="1" applyFill="1" applyBorder="1" applyAlignment="1" applyProtection="1">
      <alignment horizontal="center"/>
    </xf>
    <xf numFmtId="0" fontId="58" fillId="0" borderId="103" xfId="0" applyFont="1" applyBorder="1" applyAlignment="1">
      <alignment horizontal="center" vertical="top" wrapText="1"/>
    </xf>
    <xf numFmtId="0" fontId="58" fillId="0" borderId="105" xfId="0" applyFont="1" applyBorder="1" applyAlignment="1">
      <alignment horizontal="center" vertical="top" wrapText="1"/>
    </xf>
    <xf numFmtId="0" fontId="58" fillId="0" borderId="101" xfId="0" applyFont="1" applyBorder="1" applyAlignment="1">
      <alignment horizontal="center" vertical="top" wrapText="1"/>
    </xf>
    <xf numFmtId="0" fontId="57" fillId="27" borderId="103" xfId="0" applyFont="1" applyFill="1" applyBorder="1" applyAlignment="1">
      <alignment horizontal="center" wrapText="1"/>
    </xf>
    <xf numFmtId="0" fontId="57" fillId="27" borderId="101" xfId="0" applyFont="1" applyFill="1" applyBorder="1" applyAlignment="1">
      <alignment horizontal="center" wrapText="1"/>
    </xf>
    <xf numFmtId="0" fontId="58" fillId="27" borderId="103" xfId="0" applyFont="1" applyFill="1" applyBorder="1" applyAlignment="1">
      <alignment horizontal="center" vertical="top" wrapText="1"/>
    </xf>
    <xf numFmtId="0" fontId="58" fillId="27" borderId="105" xfId="0" applyFont="1" applyFill="1" applyBorder="1" applyAlignment="1">
      <alignment horizontal="center" vertical="top" wrapText="1"/>
    </xf>
    <xf numFmtId="0" fontId="58" fillId="27" borderId="101" xfId="0" applyFont="1" applyFill="1" applyBorder="1" applyAlignment="1">
      <alignment horizontal="center" vertical="top" wrapText="1"/>
    </xf>
    <xf numFmtId="0" fontId="21" fillId="2" borderId="31" xfId="0" applyFont="1" applyFill="1" applyBorder="1" applyAlignment="1">
      <alignment horizontal="left"/>
    </xf>
    <xf numFmtId="0" fontId="21" fillId="2" borderId="30" xfId="0" applyFont="1" applyFill="1" applyBorder="1" applyAlignment="1">
      <alignment horizontal="left"/>
    </xf>
    <xf numFmtId="0" fontId="21" fillId="2" borderId="2" xfId="0" applyFont="1" applyFill="1" applyBorder="1" applyAlignment="1">
      <alignment horizontal="left"/>
    </xf>
    <xf numFmtId="0" fontId="21" fillId="2" borderId="3" xfId="0" applyFont="1" applyFill="1" applyBorder="1" applyAlignment="1">
      <alignment horizontal="left"/>
    </xf>
    <xf numFmtId="20" fontId="3" fillId="8" borderId="84" xfId="1" applyNumberFormat="1" applyFont="1" applyFill="1" applyBorder="1" applyAlignment="1" applyProtection="1">
      <alignment horizontal="center"/>
    </xf>
    <xf numFmtId="20" fontId="3" fillId="12" borderId="52" xfId="1" applyNumberFormat="1" applyFont="1" applyFill="1" applyBorder="1" applyAlignment="1" applyProtection="1">
      <alignment horizontal="center"/>
    </xf>
    <xf numFmtId="20" fontId="3" fillId="12" borderId="21" xfId="1" applyNumberFormat="1" applyFont="1" applyFill="1" applyBorder="1" applyAlignment="1" applyProtection="1">
      <alignment horizontal="center"/>
    </xf>
    <xf numFmtId="20" fontId="3" fillId="12" borderId="61" xfId="1" applyNumberFormat="1" applyFont="1" applyFill="1" applyBorder="1" applyAlignment="1" applyProtection="1">
      <alignment horizontal="center"/>
    </xf>
    <xf numFmtId="20" fontId="3" fillId="12" borderId="57" xfId="1" applyNumberFormat="1" applyFont="1" applyFill="1" applyBorder="1" applyAlignment="1" applyProtection="1">
      <alignment horizontal="center"/>
    </xf>
    <xf numFmtId="20" fontId="3" fillId="12" borderId="41" xfId="1" applyNumberFormat="1" applyFont="1" applyFill="1" applyBorder="1" applyAlignment="1" applyProtection="1">
      <alignment horizontal="center"/>
    </xf>
    <xf numFmtId="20" fontId="3" fillId="12" borderId="58" xfId="1" applyNumberFormat="1" applyFont="1" applyFill="1" applyBorder="1" applyAlignment="1" applyProtection="1">
      <alignment horizontal="center"/>
    </xf>
    <xf numFmtId="20" fontId="3" fillId="12" borderId="11" xfId="1" applyNumberFormat="1" applyFont="1" applyFill="1" applyBorder="1" applyAlignment="1" applyProtection="1">
      <alignment horizontal="center"/>
    </xf>
    <xf numFmtId="20" fontId="3" fillId="12" borderId="16" xfId="1" applyNumberFormat="1" applyFont="1" applyFill="1" applyBorder="1" applyAlignment="1" applyProtection="1">
      <alignment horizontal="center"/>
    </xf>
    <xf numFmtId="20" fontId="3" fillId="12" borderId="12" xfId="1" applyNumberFormat="1" applyFont="1" applyFill="1" applyBorder="1" applyAlignment="1" applyProtection="1">
      <alignment horizontal="center"/>
    </xf>
    <xf numFmtId="2" fontId="47" fillId="8" borderId="23" xfId="1" applyNumberFormat="1" applyFont="1" applyFill="1" applyBorder="1" applyAlignment="1" applyProtection="1">
      <alignment horizontal="center"/>
    </xf>
    <xf numFmtId="2" fontId="47" fillId="8" borderId="24" xfId="1" applyNumberFormat="1" applyFont="1" applyFill="1" applyBorder="1" applyAlignment="1" applyProtection="1">
      <alignment horizontal="center"/>
    </xf>
    <xf numFmtId="2" fontId="47" fillId="8" borderId="26" xfId="1" applyNumberFormat="1" applyFont="1" applyFill="1" applyBorder="1" applyAlignment="1" applyProtection="1">
      <alignment horizontal="center"/>
    </xf>
    <xf numFmtId="0" fontId="42" fillId="13" borderId="24" xfId="1" applyFont="1" applyFill="1" applyBorder="1" applyAlignment="1" applyProtection="1">
      <alignment horizontal="center"/>
    </xf>
    <xf numFmtId="0" fontId="42" fillId="13" borderId="26" xfId="1" applyFont="1" applyFill="1" applyBorder="1" applyAlignment="1" applyProtection="1">
      <alignment horizontal="center"/>
    </xf>
    <xf numFmtId="0" fontId="47" fillId="8" borderId="84" xfId="1" applyFont="1" applyFill="1" applyBorder="1" applyAlignment="1" applyProtection="1">
      <alignment horizontal="center"/>
    </xf>
    <xf numFmtId="0" fontId="47" fillId="8" borderId="85" xfId="1" applyFont="1" applyFill="1" applyBorder="1" applyAlignment="1" applyProtection="1">
      <alignment horizontal="center"/>
    </xf>
    <xf numFmtId="0" fontId="47" fillId="8" borderId="23" xfId="1" applyFont="1" applyFill="1" applyBorder="1" applyAlignment="1" applyProtection="1">
      <alignment horizontal="center"/>
    </xf>
    <xf numFmtId="0" fontId="47" fillId="8" borderId="24" xfId="1" applyFont="1" applyFill="1" applyBorder="1" applyAlignment="1" applyProtection="1">
      <alignment horizontal="center"/>
    </xf>
    <xf numFmtId="0" fontId="47" fillId="8" borderId="26" xfId="1" applyFont="1" applyFill="1" applyBorder="1" applyAlignment="1" applyProtection="1">
      <alignment horizontal="center"/>
    </xf>
    <xf numFmtId="20" fontId="47" fillId="12" borderId="9" xfId="1" applyNumberFormat="1" applyFont="1" applyFill="1" applyBorder="1" applyAlignment="1" applyProtection="1">
      <alignment horizontal="center"/>
    </xf>
    <xf numFmtId="20" fontId="47" fillId="12" borderId="45" xfId="1" applyNumberFormat="1" applyFont="1" applyFill="1" applyBorder="1" applyAlignment="1" applyProtection="1">
      <alignment horizontal="center"/>
    </xf>
    <xf numFmtId="20" fontId="47" fillId="12" borderId="13" xfId="1" applyNumberFormat="1" applyFont="1" applyFill="1" applyBorder="1" applyAlignment="1" applyProtection="1">
      <alignment horizontal="center"/>
    </xf>
    <xf numFmtId="20" fontId="47" fillId="8" borderId="84" xfId="1" applyNumberFormat="1" applyFont="1" applyFill="1" applyBorder="1" applyAlignment="1" applyProtection="1">
      <alignment horizontal="center"/>
    </xf>
    <xf numFmtId="20" fontId="47" fillId="8" borderId="85" xfId="1" applyNumberFormat="1" applyFont="1" applyFill="1" applyBorder="1" applyAlignment="1" applyProtection="1">
      <alignment horizontal="center"/>
    </xf>
    <xf numFmtId="20" fontId="53" fillId="26" borderId="80" xfId="1" applyNumberFormat="1" applyFont="1" applyFill="1" applyBorder="1" applyAlignment="1" applyProtection="1">
      <alignment horizontal="center"/>
    </xf>
    <xf numFmtId="20" fontId="53" fillId="26" borderId="32" xfId="1" applyNumberFormat="1" applyFont="1" applyFill="1" applyBorder="1" applyAlignment="1" applyProtection="1">
      <alignment horizontal="center"/>
    </xf>
    <xf numFmtId="20" fontId="53" fillId="26" borderId="25" xfId="1" applyNumberFormat="1" applyFont="1" applyFill="1" applyBorder="1" applyAlignment="1" applyProtection="1">
      <alignment horizontal="center"/>
    </xf>
    <xf numFmtId="20" fontId="53" fillId="8" borderId="23" xfId="1" applyNumberFormat="1" applyFont="1" applyFill="1" applyBorder="1" applyAlignment="1" applyProtection="1">
      <alignment horizontal="center"/>
    </xf>
    <xf numFmtId="20" fontId="53" fillId="8" borderId="26" xfId="1" applyNumberFormat="1" applyFont="1" applyFill="1" applyBorder="1" applyAlignment="1" applyProtection="1">
      <alignment horizontal="center"/>
    </xf>
    <xf numFmtId="0" fontId="53" fillId="8" borderId="23" xfId="1" applyFont="1" applyFill="1" applyBorder="1" applyAlignment="1" applyProtection="1">
      <alignment horizontal="center"/>
    </xf>
    <xf numFmtId="0" fontId="53" fillId="8" borderId="26" xfId="1" applyFont="1" applyFill="1" applyBorder="1" applyAlignment="1" applyProtection="1">
      <alignment horizontal="center"/>
    </xf>
    <xf numFmtId="20" fontId="53" fillId="26" borderId="126" xfId="1" applyNumberFormat="1" applyFont="1" applyFill="1" applyBorder="1" applyAlignment="1" applyProtection="1">
      <alignment horizontal="center"/>
    </xf>
    <xf numFmtId="20" fontId="53" fillId="26" borderId="127" xfId="1" applyNumberFormat="1" applyFont="1" applyFill="1" applyBorder="1" applyAlignment="1" applyProtection="1">
      <alignment horizontal="center"/>
    </xf>
    <xf numFmtId="20" fontId="53" fillId="26" borderId="128" xfId="1" applyNumberFormat="1" applyFont="1" applyFill="1" applyBorder="1" applyAlignment="1" applyProtection="1">
      <alignment horizontal="center"/>
    </xf>
    <xf numFmtId="0" fontId="53" fillId="14" borderId="24" xfId="1" applyFont="1" applyFill="1" applyBorder="1" applyAlignment="1" applyProtection="1">
      <alignment horizontal="center"/>
    </xf>
    <xf numFmtId="0" fontId="53" fillId="14" borderId="26" xfId="1" applyFont="1" applyFill="1" applyBorder="1" applyAlignment="1" applyProtection="1">
      <alignment horizontal="center"/>
    </xf>
    <xf numFmtId="0" fontId="13" fillId="15" borderId="23" xfId="0" applyFont="1" applyFill="1" applyBorder="1" applyAlignment="1"/>
    <xf numFmtId="0" fontId="13" fillId="15" borderId="32" xfId="0" applyFont="1" applyFill="1" applyBorder="1" applyAlignment="1"/>
    <xf numFmtId="0" fontId="13" fillId="15" borderId="159" xfId="0" applyFont="1" applyFill="1" applyBorder="1" applyAlignment="1"/>
    <xf numFmtId="0" fontId="3" fillId="15" borderId="24" xfId="0" applyFont="1" applyFill="1" applyBorder="1" applyAlignment="1">
      <alignment horizontal="center" vertical="center"/>
    </xf>
    <xf numFmtId="0" fontId="3" fillId="15" borderId="159" xfId="0" applyFont="1" applyFill="1" applyBorder="1" applyAlignment="1">
      <alignment horizontal="center" vertical="center"/>
    </xf>
    <xf numFmtId="0" fontId="3" fillId="15" borderId="160" xfId="0" applyFont="1" applyFill="1" applyBorder="1" applyAlignment="1">
      <alignment horizontal="center"/>
    </xf>
    <xf numFmtId="0" fontId="3" fillId="15" borderId="161" xfId="0" applyFont="1" applyFill="1" applyBorder="1" applyAlignment="1">
      <alignment horizontal="center"/>
    </xf>
    <xf numFmtId="0" fontId="3" fillId="15" borderId="162" xfId="0" applyFont="1" applyFill="1" applyBorder="1" applyAlignment="1">
      <alignment horizontal="center"/>
    </xf>
    <xf numFmtId="0" fontId="3" fillId="17" borderId="32" xfId="0" applyFont="1" applyFill="1" applyBorder="1" applyAlignment="1">
      <alignment horizontal="center" vertical="center"/>
    </xf>
    <xf numFmtId="0" fontId="3" fillId="17" borderId="29" xfId="0" applyFont="1" applyFill="1" applyBorder="1" applyAlignment="1">
      <alignment horizontal="center" vertical="center"/>
    </xf>
    <xf numFmtId="0" fontId="3" fillId="17" borderId="45" xfId="0" applyFont="1" applyFill="1" applyBorder="1" applyAlignment="1">
      <alignment horizontal="center" vertical="center"/>
    </xf>
    <xf numFmtId="0" fontId="3" fillId="17" borderId="44" xfId="0" applyFont="1" applyFill="1" applyBorder="1" applyAlignment="1">
      <alignment horizontal="center" vertical="center"/>
    </xf>
    <xf numFmtId="0" fontId="3" fillId="17" borderId="54" xfId="0" applyFont="1" applyFill="1" applyBorder="1" applyAlignment="1">
      <alignment horizontal="center" vertical="center"/>
    </xf>
    <xf numFmtId="0" fontId="3" fillId="17" borderId="52" xfId="0" applyFont="1" applyFill="1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168" xfId="0" applyFont="1" applyFill="1" applyBorder="1" applyAlignment="1">
      <alignment horizontal="center" vertical="center"/>
    </xf>
    <xf numFmtId="0" fontId="28" fillId="15" borderId="160" xfId="0" applyFont="1" applyFill="1" applyBorder="1" applyAlignment="1">
      <alignment horizontal="center"/>
    </xf>
    <xf numFmtId="0" fontId="28" fillId="15" borderId="161" xfId="0" applyFont="1" applyFill="1" applyBorder="1" applyAlignment="1">
      <alignment horizontal="center"/>
    </xf>
    <xf numFmtId="0" fontId="28" fillId="15" borderId="162" xfId="0" applyFont="1" applyFill="1" applyBorder="1" applyAlignment="1">
      <alignment horizontal="center"/>
    </xf>
    <xf numFmtId="0" fontId="28" fillId="18" borderId="23" xfId="0" applyFont="1" applyFill="1" applyBorder="1" applyAlignment="1">
      <alignment horizontal="center"/>
    </xf>
    <xf numFmtId="0" fontId="28" fillId="18" borderId="24" xfId="0" applyFont="1" applyFill="1" applyBorder="1" applyAlignment="1">
      <alignment horizontal="center"/>
    </xf>
    <xf numFmtId="0" fontId="26" fillId="8" borderId="23" xfId="0" applyFont="1" applyFill="1" applyBorder="1" applyAlignment="1">
      <alignment horizontal="center"/>
    </xf>
    <xf numFmtId="0" fontId="26" fillId="8" borderId="32" xfId="0" applyFont="1" applyFill="1" applyBorder="1" applyAlignment="1">
      <alignment horizontal="center"/>
    </xf>
    <xf numFmtId="0" fontId="26" fillId="8" borderId="26" xfId="0" applyFont="1" applyFill="1" applyBorder="1" applyAlignment="1">
      <alignment horizontal="center"/>
    </xf>
    <xf numFmtId="0" fontId="29" fillId="15" borderId="23" xfId="0" applyFont="1" applyFill="1" applyBorder="1" applyAlignment="1">
      <alignment horizontal="center"/>
    </xf>
    <xf numFmtId="0" fontId="29" fillId="15" borderId="24" xfId="0" applyFont="1" applyFill="1" applyBorder="1" applyAlignment="1">
      <alignment horizontal="center"/>
    </xf>
    <xf numFmtId="0" fontId="29" fillId="15" borderId="26" xfId="0" applyFont="1" applyFill="1" applyBorder="1" applyAlignment="1">
      <alignment horizontal="center"/>
    </xf>
    <xf numFmtId="0" fontId="29" fillId="15" borderId="120" xfId="0" applyFont="1" applyFill="1" applyBorder="1" applyAlignment="1">
      <alignment horizontal="center"/>
    </xf>
    <xf numFmtId="0" fontId="29" fillId="15" borderId="159" xfId="0" applyFont="1" applyFill="1" applyBorder="1" applyAlignment="1">
      <alignment horizontal="center"/>
    </xf>
    <xf numFmtId="0" fontId="25" fillId="0" borderId="65" xfId="0" applyFont="1" applyBorder="1" applyAlignment="1">
      <alignment horizontal="center"/>
    </xf>
    <xf numFmtId="0" fontId="25" fillId="0" borderId="169" xfId="0" applyFont="1" applyBorder="1" applyAlignment="1">
      <alignment horizontal="center"/>
    </xf>
    <xf numFmtId="0" fontId="25" fillId="0" borderId="170" xfId="0" applyFont="1" applyBorder="1" applyAlignment="1">
      <alignment horizontal="center"/>
    </xf>
    <xf numFmtId="0" fontId="25" fillId="0" borderId="17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59DDE063-E89D-4BB7-A0DC-3BF648150FD5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604385</xdr:colOff>
      <xdr:row>61</xdr:row>
      <xdr:rowOff>0</xdr:rowOff>
    </xdr:from>
    <xdr:to>
      <xdr:col>3</xdr:col>
      <xdr:colOff>563715</xdr:colOff>
      <xdr:row>68</xdr:row>
      <xdr:rowOff>136301</xdr:rowOff>
    </xdr:to>
    <xdr:sp macro="" textlink="">
      <xdr:nvSpPr>
        <xdr:cNvPr id="2" name="rect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9672510">
          <a:off x="60485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599169</xdr:colOff>
      <xdr:row>61</xdr:row>
      <xdr:rowOff>0</xdr:rowOff>
    </xdr:from>
    <xdr:to>
      <xdr:col>6</xdr:col>
      <xdr:colOff>222767</xdr:colOff>
      <xdr:row>68</xdr:row>
      <xdr:rowOff>136301</xdr:rowOff>
    </xdr:to>
    <xdr:sp macro="" textlink="">
      <xdr:nvSpPr>
        <xdr:cNvPr id="3" name="rect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19672510">
          <a:off x="310485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478626</xdr:colOff>
      <xdr:row>61</xdr:row>
      <xdr:rowOff>0</xdr:rowOff>
    </xdr:from>
    <xdr:to>
      <xdr:col>6</xdr:col>
      <xdr:colOff>103648</xdr:colOff>
      <xdr:row>68</xdr:row>
      <xdr:rowOff>136301</xdr:rowOff>
    </xdr:to>
    <xdr:sp macro="" textlink="">
      <xdr:nvSpPr>
        <xdr:cNvPr id="4" name="rect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9672510">
          <a:off x="29848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61</xdr:row>
      <xdr:rowOff>0</xdr:rowOff>
    </xdr:from>
    <xdr:to>
      <xdr:col>8</xdr:col>
      <xdr:colOff>106361</xdr:colOff>
      <xdr:row>68</xdr:row>
      <xdr:rowOff>136301</xdr:rowOff>
    </xdr:to>
    <xdr:sp macro="" textlink="">
      <xdr:nvSpPr>
        <xdr:cNvPr id="5" name="rect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9672510">
          <a:off x="48898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479530</xdr:colOff>
      <xdr:row>61</xdr:row>
      <xdr:rowOff>0</xdr:rowOff>
    </xdr:from>
    <xdr:to>
      <xdr:col>3</xdr:col>
      <xdr:colOff>440809</xdr:colOff>
      <xdr:row>68</xdr:row>
      <xdr:rowOff>136301</xdr:rowOff>
    </xdr:to>
    <xdr:sp macro="" textlink="">
      <xdr:nvSpPr>
        <xdr:cNvPr id="6" name="rect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19672510">
          <a:off x="47976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478626</xdr:colOff>
      <xdr:row>61</xdr:row>
      <xdr:rowOff>0</xdr:rowOff>
    </xdr:from>
    <xdr:to>
      <xdr:col>6</xdr:col>
      <xdr:colOff>103648</xdr:colOff>
      <xdr:row>68</xdr:row>
      <xdr:rowOff>136301</xdr:rowOff>
    </xdr:to>
    <xdr:sp macro="" textlink="">
      <xdr:nvSpPr>
        <xdr:cNvPr id="7" name="rect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9672510">
          <a:off x="29848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604385</xdr:colOff>
      <xdr:row>61</xdr:row>
      <xdr:rowOff>0</xdr:rowOff>
    </xdr:from>
    <xdr:to>
      <xdr:col>3</xdr:col>
      <xdr:colOff>563715</xdr:colOff>
      <xdr:row>68</xdr:row>
      <xdr:rowOff>136301</xdr:rowOff>
    </xdr:to>
    <xdr:sp macro="" textlink="">
      <xdr:nvSpPr>
        <xdr:cNvPr id="8" name="rect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19672510">
          <a:off x="60485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599169</xdr:colOff>
      <xdr:row>61</xdr:row>
      <xdr:rowOff>0</xdr:rowOff>
    </xdr:from>
    <xdr:to>
      <xdr:col>6</xdr:col>
      <xdr:colOff>222767</xdr:colOff>
      <xdr:row>68</xdr:row>
      <xdr:rowOff>136301</xdr:rowOff>
    </xdr:to>
    <xdr:sp macro="" textlink="">
      <xdr:nvSpPr>
        <xdr:cNvPr id="9" name="rect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19672510">
          <a:off x="310485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478626</xdr:colOff>
      <xdr:row>61</xdr:row>
      <xdr:rowOff>0</xdr:rowOff>
    </xdr:from>
    <xdr:to>
      <xdr:col>6</xdr:col>
      <xdr:colOff>103648</xdr:colOff>
      <xdr:row>68</xdr:row>
      <xdr:rowOff>136301</xdr:rowOff>
    </xdr:to>
    <xdr:sp macro="" textlink="">
      <xdr:nvSpPr>
        <xdr:cNvPr id="10" name="rect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19672510">
          <a:off x="29848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61</xdr:row>
      <xdr:rowOff>0</xdr:rowOff>
    </xdr:from>
    <xdr:to>
      <xdr:col>8</xdr:col>
      <xdr:colOff>106361</xdr:colOff>
      <xdr:row>68</xdr:row>
      <xdr:rowOff>136301</xdr:rowOff>
    </xdr:to>
    <xdr:sp macro="" textlink="">
      <xdr:nvSpPr>
        <xdr:cNvPr id="11" name="rect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 rot="19672510">
          <a:off x="48898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479530</xdr:colOff>
      <xdr:row>61</xdr:row>
      <xdr:rowOff>0</xdr:rowOff>
    </xdr:from>
    <xdr:to>
      <xdr:col>3</xdr:col>
      <xdr:colOff>440809</xdr:colOff>
      <xdr:row>68</xdr:row>
      <xdr:rowOff>136301</xdr:rowOff>
    </xdr:to>
    <xdr:sp macro="" textlink="">
      <xdr:nvSpPr>
        <xdr:cNvPr id="12" name="rect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rot="19672510">
          <a:off x="47976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478626</xdr:colOff>
      <xdr:row>61</xdr:row>
      <xdr:rowOff>0</xdr:rowOff>
    </xdr:from>
    <xdr:to>
      <xdr:col>6</xdr:col>
      <xdr:colOff>103648</xdr:colOff>
      <xdr:row>68</xdr:row>
      <xdr:rowOff>136301</xdr:rowOff>
    </xdr:to>
    <xdr:sp macro="" textlink="">
      <xdr:nvSpPr>
        <xdr:cNvPr id="13" name="rect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rot="19672510">
          <a:off x="29848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451907</xdr:colOff>
      <xdr:row>62</xdr:row>
      <xdr:rowOff>0</xdr:rowOff>
    </xdr:from>
    <xdr:to>
      <xdr:col>3</xdr:col>
      <xdr:colOff>413627</xdr:colOff>
      <xdr:row>69</xdr:row>
      <xdr:rowOff>121443</xdr:rowOff>
    </xdr:to>
    <xdr:sp macro="" textlink="">
      <xdr:nvSpPr>
        <xdr:cNvPr id="14" name="rect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rot="19672510">
          <a:off x="45245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395900</xdr:colOff>
      <xdr:row>62</xdr:row>
      <xdr:rowOff>0</xdr:rowOff>
    </xdr:from>
    <xdr:to>
      <xdr:col>6</xdr:col>
      <xdr:colOff>23204</xdr:colOff>
      <xdr:row>69</xdr:row>
      <xdr:rowOff>121443</xdr:rowOff>
    </xdr:to>
    <xdr:sp macro="" textlink="">
      <xdr:nvSpPr>
        <xdr:cNvPr id="15" name="rect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19672510">
          <a:off x="290165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62</xdr:row>
      <xdr:rowOff>0</xdr:rowOff>
    </xdr:from>
    <xdr:to>
      <xdr:col>5</xdr:col>
      <xdr:colOff>1152249</xdr:colOff>
      <xdr:row>69</xdr:row>
      <xdr:rowOff>121443</xdr:rowOff>
    </xdr:to>
    <xdr:sp macro="" textlink="">
      <xdr:nvSpPr>
        <xdr:cNvPr id="16" name="rect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 rot="19672510">
          <a:off x="28197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62</xdr:row>
      <xdr:rowOff>0</xdr:rowOff>
    </xdr:from>
    <xdr:to>
      <xdr:col>7</xdr:col>
      <xdr:colOff>1152249</xdr:colOff>
      <xdr:row>69</xdr:row>
      <xdr:rowOff>121443</xdr:rowOff>
    </xdr:to>
    <xdr:sp macro="" textlink="">
      <xdr:nvSpPr>
        <xdr:cNvPr id="17" name="rect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9672510">
          <a:off x="47247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313794</xdr:colOff>
      <xdr:row>62</xdr:row>
      <xdr:rowOff>0</xdr:rowOff>
    </xdr:from>
    <xdr:to>
      <xdr:col>3</xdr:col>
      <xdr:colOff>276539</xdr:colOff>
      <xdr:row>69</xdr:row>
      <xdr:rowOff>121443</xdr:rowOff>
    </xdr:to>
    <xdr:sp macro="" textlink="">
      <xdr:nvSpPr>
        <xdr:cNvPr id="18" name="rect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 rot="19672510">
          <a:off x="3146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62</xdr:row>
      <xdr:rowOff>0</xdr:rowOff>
    </xdr:from>
    <xdr:to>
      <xdr:col>5</xdr:col>
      <xdr:colOff>1152249</xdr:colOff>
      <xdr:row>69</xdr:row>
      <xdr:rowOff>121443</xdr:rowOff>
    </xdr:to>
    <xdr:sp macro="" textlink="">
      <xdr:nvSpPr>
        <xdr:cNvPr id="19" name="rect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rot="19672510">
          <a:off x="28197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451907</xdr:colOff>
      <xdr:row>62</xdr:row>
      <xdr:rowOff>0</xdr:rowOff>
    </xdr:from>
    <xdr:to>
      <xdr:col>3</xdr:col>
      <xdr:colOff>413627</xdr:colOff>
      <xdr:row>69</xdr:row>
      <xdr:rowOff>121443</xdr:rowOff>
    </xdr:to>
    <xdr:sp macro="" textlink="">
      <xdr:nvSpPr>
        <xdr:cNvPr id="20" name="rect" hidden="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rot="19672510">
          <a:off x="45245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395900</xdr:colOff>
      <xdr:row>62</xdr:row>
      <xdr:rowOff>0</xdr:rowOff>
    </xdr:from>
    <xdr:to>
      <xdr:col>6</xdr:col>
      <xdr:colOff>23204</xdr:colOff>
      <xdr:row>69</xdr:row>
      <xdr:rowOff>121443</xdr:rowOff>
    </xdr:to>
    <xdr:sp macro="" textlink="">
      <xdr:nvSpPr>
        <xdr:cNvPr id="21" name="rect" hidden="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9672510">
          <a:off x="290165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62</xdr:row>
      <xdr:rowOff>0</xdr:rowOff>
    </xdr:from>
    <xdr:to>
      <xdr:col>5</xdr:col>
      <xdr:colOff>1152249</xdr:colOff>
      <xdr:row>69</xdr:row>
      <xdr:rowOff>121443</xdr:rowOff>
    </xdr:to>
    <xdr:sp macro="" textlink="">
      <xdr:nvSpPr>
        <xdr:cNvPr id="22" name="rect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rot="19672510">
          <a:off x="28197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301357</xdr:colOff>
      <xdr:row>62</xdr:row>
      <xdr:rowOff>0</xdr:rowOff>
    </xdr:from>
    <xdr:to>
      <xdr:col>7</xdr:col>
      <xdr:colOff>1139249</xdr:colOff>
      <xdr:row>69</xdr:row>
      <xdr:rowOff>121443</xdr:rowOff>
    </xdr:to>
    <xdr:sp macro="" textlink="">
      <xdr:nvSpPr>
        <xdr:cNvPr id="23" name="rect" hidden="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9672510">
          <a:off x="47120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313794</xdr:colOff>
      <xdr:row>62</xdr:row>
      <xdr:rowOff>0</xdr:rowOff>
    </xdr:from>
    <xdr:to>
      <xdr:col>3</xdr:col>
      <xdr:colOff>276539</xdr:colOff>
      <xdr:row>69</xdr:row>
      <xdr:rowOff>121443</xdr:rowOff>
    </xdr:to>
    <xdr:sp macro="" textlink="">
      <xdr:nvSpPr>
        <xdr:cNvPr id="24" name="rect" hidden="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 rot="19672510">
          <a:off x="3146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62</xdr:row>
      <xdr:rowOff>0</xdr:rowOff>
    </xdr:from>
    <xdr:to>
      <xdr:col>5</xdr:col>
      <xdr:colOff>1152249</xdr:colOff>
      <xdr:row>69</xdr:row>
      <xdr:rowOff>121443</xdr:rowOff>
    </xdr:to>
    <xdr:sp macro="" textlink="">
      <xdr:nvSpPr>
        <xdr:cNvPr id="25" name="rect" hidden="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9672510">
          <a:off x="28197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451907</xdr:colOff>
      <xdr:row>61</xdr:row>
      <xdr:rowOff>0</xdr:rowOff>
    </xdr:from>
    <xdr:to>
      <xdr:col>3</xdr:col>
      <xdr:colOff>413627</xdr:colOff>
      <xdr:row>68</xdr:row>
      <xdr:rowOff>136301</xdr:rowOff>
    </xdr:to>
    <xdr:sp macro="" textlink="">
      <xdr:nvSpPr>
        <xdr:cNvPr id="26" name="rect" hidden="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 rot="19672510">
          <a:off x="45245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395900</xdr:colOff>
      <xdr:row>61</xdr:row>
      <xdr:rowOff>0</xdr:rowOff>
    </xdr:from>
    <xdr:to>
      <xdr:col>6</xdr:col>
      <xdr:colOff>23204</xdr:colOff>
      <xdr:row>68</xdr:row>
      <xdr:rowOff>136301</xdr:rowOff>
    </xdr:to>
    <xdr:sp macro="" textlink="">
      <xdr:nvSpPr>
        <xdr:cNvPr id="27" name="rect" hidden="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 rot="19672510">
          <a:off x="290165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61</xdr:row>
      <xdr:rowOff>0</xdr:rowOff>
    </xdr:from>
    <xdr:to>
      <xdr:col>5</xdr:col>
      <xdr:colOff>1152249</xdr:colOff>
      <xdr:row>68</xdr:row>
      <xdr:rowOff>136301</xdr:rowOff>
    </xdr:to>
    <xdr:sp macro="" textlink="">
      <xdr:nvSpPr>
        <xdr:cNvPr id="28" name="rect" hidden="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9672510">
          <a:off x="28197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301357</xdr:colOff>
      <xdr:row>61</xdr:row>
      <xdr:rowOff>0</xdr:rowOff>
    </xdr:from>
    <xdr:to>
      <xdr:col>7</xdr:col>
      <xdr:colOff>1139249</xdr:colOff>
      <xdr:row>68</xdr:row>
      <xdr:rowOff>136301</xdr:rowOff>
    </xdr:to>
    <xdr:sp macro="" textlink="">
      <xdr:nvSpPr>
        <xdr:cNvPr id="29" name="rect" hidden="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 rot="19672510">
          <a:off x="47120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313794</xdr:colOff>
      <xdr:row>61</xdr:row>
      <xdr:rowOff>0</xdr:rowOff>
    </xdr:from>
    <xdr:to>
      <xdr:col>3</xdr:col>
      <xdr:colOff>276539</xdr:colOff>
      <xdr:row>68</xdr:row>
      <xdr:rowOff>136301</xdr:rowOff>
    </xdr:to>
    <xdr:sp macro="" textlink="">
      <xdr:nvSpPr>
        <xdr:cNvPr id="30" name="rect" hidden="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 rot="19672510">
          <a:off x="31466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61</xdr:row>
      <xdr:rowOff>0</xdr:rowOff>
    </xdr:from>
    <xdr:to>
      <xdr:col>5</xdr:col>
      <xdr:colOff>1152249</xdr:colOff>
      <xdr:row>68</xdr:row>
      <xdr:rowOff>136301</xdr:rowOff>
    </xdr:to>
    <xdr:sp macro="" textlink="">
      <xdr:nvSpPr>
        <xdr:cNvPr id="31" name="rect" hidden="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rot="19672510">
          <a:off x="28197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32" name="rect" hidden="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33" name="rect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34" name="rect" hidden="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35" name="rect" hidden="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36" name="rect" hidden="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37" name="rect" hidden="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38" name="rect" hidden="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39" name="rect" hidden="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0" name="rect" hidden="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1" name="rect" hidden="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2" name="rect" hidden="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3" name="rect" hidden="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44" name="rect" hidden="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45" name="rect" hidden="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46" name="rect" hidden="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47" name="rect" hidden="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48" name="rect" hidden="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49" name="rect" hidden="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50" name="rect" hidden="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51" name="rect" hidden="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52" name="rect" hidden="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53" name="rect" hidden="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54" name="rect" hidden="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21</xdr:col>
      <xdr:colOff>460893</xdr:colOff>
      <xdr:row>13</xdr:row>
      <xdr:rowOff>145553</xdr:rowOff>
    </xdr:to>
    <xdr:sp macro="" textlink="">
      <xdr:nvSpPr>
        <xdr:cNvPr id="55" name="rect" hidden="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 rot="19672510">
          <a:off x="16954500" y="13335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6" name="rect" hidden="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7" name="rect" hidden="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8" name="rect" hidden="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9" name="rect" hidden="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60" name="rect" hidden="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61" name="rect" hidden="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 rot="19672510">
          <a:off x="16954500" y="11430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603328</xdr:colOff>
      <xdr:row>62</xdr:row>
      <xdr:rowOff>0</xdr:rowOff>
    </xdr:from>
    <xdr:to>
      <xdr:col>6</xdr:col>
      <xdr:colOff>1426331</xdr:colOff>
      <xdr:row>69</xdr:row>
      <xdr:rowOff>121443</xdr:rowOff>
    </xdr:to>
    <xdr:sp macro="" textlink="">
      <xdr:nvSpPr>
        <xdr:cNvPr id="62" name="rect" hidden="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 rot="19672510">
          <a:off x="406243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599169</xdr:colOff>
      <xdr:row>62</xdr:row>
      <xdr:rowOff>0</xdr:rowOff>
    </xdr:from>
    <xdr:to>
      <xdr:col>8</xdr:col>
      <xdr:colOff>226904</xdr:colOff>
      <xdr:row>69</xdr:row>
      <xdr:rowOff>121443</xdr:rowOff>
    </xdr:to>
    <xdr:sp macro="" textlink="">
      <xdr:nvSpPr>
        <xdr:cNvPr id="63" name="rect" hidden="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rot="19672510">
          <a:off x="500985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62</xdr:row>
      <xdr:rowOff>0</xdr:rowOff>
    </xdr:from>
    <xdr:to>
      <xdr:col>8</xdr:col>
      <xdr:colOff>106361</xdr:colOff>
      <xdr:row>69</xdr:row>
      <xdr:rowOff>121443</xdr:rowOff>
    </xdr:to>
    <xdr:sp macro="" textlink="">
      <xdr:nvSpPr>
        <xdr:cNvPr id="64" name="rect" hidden="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 rot="19672510">
          <a:off x="48898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479569</xdr:colOff>
      <xdr:row>62</xdr:row>
      <xdr:rowOff>0</xdr:rowOff>
    </xdr:from>
    <xdr:to>
      <xdr:col>9</xdr:col>
      <xdr:colOff>114477</xdr:colOff>
      <xdr:row>69</xdr:row>
      <xdr:rowOff>121443</xdr:rowOff>
    </xdr:to>
    <xdr:sp macro="" textlink="">
      <xdr:nvSpPr>
        <xdr:cNvPr id="65" name="rect" hidden="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 rot="19672510">
          <a:off x="58423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479569</xdr:colOff>
      <xdr:row>62</xdr:row>
      <xdr:rowOff>0</xdr:rowOff>
    </xdr:from>
    <xdr:to>
      <xdr:col>6</xdr:col>
      <xdr:colOff>1302571</xdr:colOff>
      <xdr:row>69</xdr:row>
      <xdr:rowOff>121443</xdr:rowOff>
    </xdr:to>
    <xdr:sp macro="" textlink="">
      <xdr:nvSpPr>
        <xdr:cNvPr id="66" name="rect" hidden="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 rot="19672510">
          <a:off x="39373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62</xdr:row>
      <xdr:rowOff>0</xdr:rowOff>
    </xdr:from>
    <xdr:to>
      <xdr:col>8</xdr:col>
      <xdr:colOff>106361</xdr:colOff>
      <xdr:row>69</xdr:row>
      <xdr:rowOff>121443</xdr:rowOff>
    </xdr:to>
    <xdr:sp macro="" textlink="">
      <xdr:nvSpPr>
        <xdr:cNvPr id="67" name="rect" hidden="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 rot="19672510">
          <a:off x="48898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603328</xdr:colOff>
      <xdr:row>62</xdr:row>
      <xdr:rowOff>0</xdr:rowOff>
    </xdr:from>
    <xdr:to>
      <xdr:col>6</xdr:col>
      <xdr:colOff>1426331</xdr:colOff>
      <xdr:row>69</xdr:row>
      <xdr:rowOff>121443</xdr:rowOff>
    </xdr:to>
    <xdr:sp macro="" textlink="">
      <xdr:nvSpPr>
        <xdr:cNvPr id="68" name="rect" hidden="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 rot="19672510">
          <a:off x="406243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599169</xdr:colOff>
      <xdr:row>62</xdr:row>
      <xdr:rowOff>0</xdr:rowOff>
    </xdr:from>
    <xdr:to>
      <xdr:col>8</xdr:col>
      <xdr:colOff>226904</xdr:colOff>
      <xdr:row>69</xdr:row>
      <xdr:rowOff>121443</xdr:rowOff>
    </xdr:to>
    <xdr:sp macro="" textlink="">
      <xdr:nvSpPr>
        <xdr:cNvPr id="69" name="rect" hidden="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 rot="19672510">
          <a:off x="500985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62</xdr:row>
      <xdr:rowOff>0</xdr:rowOff>
    </xdr:from>
    <xdr:to>
      <xdr:col>8</xdr:col>
      <xdr:colOff>106361</xdr:colOff>
      <xdr:row>69</xdr:row>
      <xdr:rowOff>121443</xdr:rowOff>
    </xdr:to>
    <xdr:sp macro="" textlink="">
      <xdr:nvSpPr>
        <xdr:cNvPr id="70" name="rect" hidden="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 rot="19672510">
          <a:off x="48898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479569</xdr:colOff>
      <xdr:row>62</xdr:row>
      <xdr:rowOff>0</xdr:rowOff>
    </xdr:from>
    <xdr:to>
      <xdr:col>9</xdr:col>
      <xdr:colOff>114477</xdr:colOff>
      <xdr:row>69</xdr:row>
      <xdr:rowOff>121443</xdr:rowOff>
    </xdr:to>
    <xdr:sp macro="" textlink="">
      <xdr:nvSpPr>
        <xdr:cNvPr id="71" name="rect" hidden="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 rot="19672510">
          <a:off x="58423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479569</xdr:colOff>
      <xdr:row>62</xdr:row>
      <xdr:rowOff>0</xdr:rowOff>
    </xdr:from>
    <xdr:to>
      <xdr:col>6</xdr:col>
      <xdr:colOff>1302571</xdr:colOff>
      <xdr:row>69</xdr:row>
      <xdr:rowOff>121443</xdr:rowOff>
    </xdr:to>
    <xdr:sp macro="" textlink="">
      <xdr:nvSpPr>
        <xdr:cNvPr id="72" name="rect" hidden="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 rot="19672510">
          <a:off x="39373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62</xdr:row>
      <xdr:rowOff>0</xdr:rowOff>
    </xdr:from>
    <xdr:to>
      <xdr:col>8</xdr:col>
      <xdr:colOff>106361</xdr:colOff>
      <xdr:row>69</xdr:row>
      <xdr:rowOff>121443</xdr:rowOff>
    </xdr:to>
    <xdr:sp macro="" textlink="">
      <xdr:nvSpPr>
        <xdr:cNvPr id="73" name="rect" hidden="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 rot="19672510">
          <a:off x="48898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451723</xdr:colOff>
      <xdr:row>63</xdr:row>
      <xdr:rowOff>0</xdr:rowOff>
    </xdr:from>
    <xdr:to>
      <xdr:col>6</xdr:col>
      <xdr:colOff>1274725</xdr:colOff>
      <xdr:row>70</xdr:row>
      <xdr:rowOff>112399</xdr:rowOff>
    </xdr:to>
    <xdr:sp macro="" textlink="">
      <xdr:nvSpPr>
        <xdr:cNvPr id="74" name="rect" hidden="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 rot="19672510">
          <a:off x="391003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395900</xdr:colOff>
      <xdr:row>63</xdr:row>
      <xdr:rowOff>0</xdr:rowOff>
    </xdr:from>
    <xdr:to>
      <xdr:col>8</xdr:col>
      <xdr:colOff>23635</xdr:colOff>
      <xdr:row>70</xdr:row>
      <xdr:rowOff>112399</xdr:rowOff>
    </xdr:to>
    <xdr:sp macro="" textlink="">
      <xdr:nvSpPr>
        <xdr:cNvPr id="75" name="rect" hidden="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 rot="19672510">
          <a:off x="480665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63</xdr:row>
      <xdr:rowOff>0</xdr:rowOff>
    </xdr:from>
    <xdr:to>
      <xdr:col>7</xdr:col>
      <xdr:colOff>1152249</xdr:colOff>
      <xdr:row>70</xdr:row>
      <xdr:rowOff>112399</xdr:rowOff>
    </xdr:to>
    <xdr:sp macro="" textlink="">
      <xdr:nvSpPr>
        <xdr:cNvPr id="76" name="rect" hidden="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 rot="19672510">
          <a:off x="47247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314040</xdr:colOff>
      <xdr:row>63</xdr:row>
      <xdr:rowOff>0</xdr:rowOff>
    </xdr:from>
    <xdr:to>
      <xdr:col>8</xdr:col>
      <xdr:colOff>1158158</xdr:colOff>
      <xdr:row>70</xdr:row>
      <xdr:rowOff>112399</xdr:rowOff>
    </xdr:to>
    <xdr:sp macro="" textlink="">
      <xdr:nvSpPr>
        <xdr:cNvPr id="77" name="rect" hidden="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 rot="19672510">
          <a:off x="56772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314040</xdr:colOff>
      <xdr:row>63</xdr:row>
      <xdr:rowOff>0</xdr:rowOff>
    </xdr:from>
    <xdr:to>
      <xdr:col>6</xdr:col>
      <xdr:colOff>1137042</xdr:colOff>
      <xdr:row>70</xdr:row>
      <xdr:rowOff>112399</xdr:rowOff>
    </xdr:to>
    <xdr:sp macro="" textlink="">
      <xdr:nvSpPr>
        <xdr:cNvPr id="78" name="rect" hidden="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 rot="19672510">
          <a:off x="37722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63</xdr:row>
      <xdr:rowOff>0</xdr:rowOff>
    </xdr:from>
    <xdr:to>
      <xdr:col>7</xdr:col>
      <xdr:colOff>1152249</xdr:colOff>
      <xdr:row>70</xdr:row>
      <xdr:rowOff>112399</xdr:rowOff>
    </xdr:to>
    <xdr:sp macro="" textlink="">
      <xdr:nvSpPr>
        <xdr:cNvPr id="79" name="rect" hidden="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 rot="19672510">
          <a:off x="47247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451723</xdr:colOff>
      <xdr:row>63</xdr:row>
      <xdr:rowOff>0</xdr:rowOff>
    </xdr:from>
    <xdr:to>
      <xdr:col>6</xdr:col>
      <xdr:colOff>1274725</xdr:colOff>
      <xdr:row>70</xdr:row>
      <xdr:rowOff>112399</xdr:rowOff>
    </xdr:to>
    <xdr:sp macro="" textlink="">
      <xdr:nvSpPr>
        <xdr:cNvPr id="80" name="rect" hidden="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 rot="19672510">
          <a:off x="391003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395900</xdr:colOff>
      <xdr:row>63</xdr:row>
      <xdr:rowOff>0</xdr:rowOff>
    </xdr:from>
    <xdr:to>
      <xdr:col>8</xdr:col>
      <xdr:colOff>23635</xdr:colOff>
      <xdr:row>70</xdr:row>
      <xdr:rowOff>112399</xdr:rowOff>
    </xdr:to>
    <xdr:sp macro="" textlink="">
      <xdr:nvSpPr>
        <xdr:cNvPr id="81" name="rect" hidden="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 rot="19672510">
          <a:off x="480665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63</xdr:row>
      <xdr:rowOff>0</xdr:rowOff>
    </xdr:from>
    <xdr:to>
      <xdr:col>7</xdr:col>
      <xdr:colOff>1152249</xdr:colOff>
      <xdr:row>70</xdr:row>
      <xdr:rowOff>112399</xdr:rowOff>
    </xdr:to>
    <xdr:sp macro="" textlink="">
      <xdr:nvSpPr>
        <xdr:cNvPr id="82" name="rect" hidden="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 rot="19672510">
          <a:off x="47247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301664</xdr:colOff>
      <xdr:row>63</xdr:row>
      <xdr:rowOff>0</xdr:rowOff>
    </xdr:from>
    <xdr:to>
      <xdr:col>8</xdr:col>
      <xdr:colOff>1145158</xdr:colOff>
      <xdr:row>70</xdr:row>
      <xdr:rowOff>112399</xdr:rowOff>
    </xdr:to>
    <xdr:sp macro="" textlink="">
      <xdr:nvSpPr>
        <xdr:cNvPr id="83" name="rect" hidden="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 rot="19672510">
          <a:off x="56645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314040</xdr:colOff>
      <xdr:row>63</xdr:row>
      <xdr:rowOff>0</xdr:rowOff>
    </xdr:from>
    <xdr:to>
      <xdr:col>6</xdr:col>
      <xdr:colOff>1137042</xdr:colOff>
      <xdr:row>70</xdr:row>
      <xdr:rowOff>112399</xdr:rowOff>
    </xdr:to>
    <xdr:sp macro="" textlink="">
      <xdr:nvSpPr>
        <xdr:cNvPr id="84" name="rect" hidden="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 rot="19672510">
          <a:off x="37722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63</xdr:row>
      <xdr:rowOff>0</xdr:rowOff>
    </xdr:from>
    <xdr:to>
      <xdr:col>7</xdr:col>
      <xdr:colOff>1152249</xdr:colOff>
      <xdr:row>70</xdr:row>
      <xdr:rowOff>112399</xdr:rowOff>
    </xdr:to>
    <xdr:sp macro="" textlink="">
      <xdr:nvSpPr>
        <xdr:cNvPr id="85" name="rect" hidden="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 rot="19672510">
          <a:off x="47247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451723</xdr:colOff>
      <xdr:row>62</xdr:row>
      <xdr:rowOff>0</xdr:rowOff>
    </xdr:from>
    <xdr:to>
      <xdr:col>6</xdr:col>
      <xdr:colOff>1274725</xdr:colOff>
      <xdr:row>69</xdr:row>
      <xdr:rowOff>121443</xdr:rowOff>
    </xdr:to>
    <xdr:sp macro="" textlink="">
      <xdr:nvSpPr>
        <xdr:cNvPr id="86" name="rect" hidden="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 rot="19672510">
          <a:off x="391003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395900</xdr:colOff>
      <xdr:row>62</xdr:row>
      <xdr:rowOff>0</xdr:rowOff>
    </xdr:from>
    <xdr:to>
      <xdr:col>8</xdr:col>
      <xdr:colOff>23635</xdr:colOff>
      <xdr:row>69</xdr:row>
      <xdr:rowOff>121443</xdr:rowOff>
    </xdr:to>
    <xdr:sp macro="" textlink="">
      <xdr:nvSpPr>
        <xdr:cNvPr id="87" name="rect" hidden="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 rot="19672510">
          <a:off x="480665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62</xdr:row>
      <xdr:rowOff>0</xdr:rowOff>
    </xdr:from>
    <xdr:to>
      <xdr:col>7</xdr:col>
      <xdr:colOff>1152249</xdr:colOff>
      <xdr:row>69</xdr:row>
      <xdr:rowOff>121443</xdr:rowOff>
    </xdr:to>
    <xdr:sp macro="" textlink="">
      <xdr:nvSpPr>
        <xdr:cNvPr id="88" name="rect" hidden="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 rot="19672510">
          <a:off x="47247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301664</xdr:colOff>
      <xdr:row>62</xdr:row>
      <xdr:rowOff>0</xdr:rowOff>
    </xdr:from>
    <xdr:to>
      <xdr:col>8</xdr:col>
      <xdr:colOff>1145158</xdr:colOff>
      <xdr:row>69</xdr:row>
      <xdr:rowOff>121443</xdr:rowOff>
    </xdr:to>
    <xdr:sp macro="" textlink="">
      <xdr:nvSpPr>
        <xdr:cNvPr id="89" name="rect" hidden="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 rot="19672510">
          <a:off x="56645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314040</xdr:colOff>
      <xdr:row>62</xdr:row>
      <xdr:rowOff>0</xdr:rowOff>
    </xdr:from>
    <xdr:to>
      <xdr:col>6</xdr:col>
      <xdr:colOff>1137042</xdr:colOff>
      <xdr:row>69</xdr:row>
      <xdr:rowOff>121443</xdr:rowOff>
    </xdr:to>
    <xdr:sp macro="" textlink="">
      <xdr:nvSpPr>
        <xdr:cNvPr id="90" name="rect" hidden="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 rot="19672510">
          <a:off x="37722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62</xdr:row>
      <xdr:rowOff>0</xdr:rowOff>
    </xdr:from>
    <xdr:to>
      <xdr:col>7</xdr:col>
      <xdr:colOff>1152249</xdr:colOff>
      <xdr:row>69</xdr:row>
      <xdr:rowOff>121443</xdr:rowOff>
    </xdr:to>
    <xdr:sp macro="" textlink="">
      <xdr:nvSpPr>
        <xdr:cNvPr id="91" name="rect" hidden="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 rot="19672510">
          <a:off x="47247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603853</xdr:colOff>
      <xdr:row>57</xdr:row>
      <xdr:rowOff>0</xdr:rowOff>
    </xdr:from>
    <xdr:to>
      <xdr:col>4</xdr:col>
      <xdr:colOff>1223435</xdr:colOff>
      <xdr:row>64</xdr:row>
      <xdr:rowOff>118913</xdr:rowOff>
    </xdr:to>
    <xdr:sp macro="" textlink="">
      <xdr:nvSpPr>
        <xdr:cNvPr id="2" name="rect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19672510">
          <a:off x="23384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599413</xdr:colOff>
      <xdr:row>57</xdr:row>
      <xdr:rowOff>0</xdr:rowOff>
    </xdr:from>
    <xdr:to>
      <xdr:col>6</xdr:col>
      <xdr:colOff>334808</xdr:colOff>
      <xdr:row>64</xdr:row>
      <xdr:rowOff>118913</xdr:rowOff>
    </xdr:to>
    <xdr:sp macro="" textlink="">
      <xdr:nvSpPr>
        <xdr:cNvPr id="3" name="rect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9672510">
          <a:off x="36192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4" name="rect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479556</xdr:colOff>
      <xdr:row>57</xdr:row>
      <xdr:rowOff>0</xdr:rowOff>
    </xdr:from>
    <xdr:to>
      <xdr:col>7</xdr:col>
      <xdr:colOff>447008</xdr:colOff>
      <xdr:row>64</xdr:row>
      <xdr:rowOff>118913</xdr:rowOff>
    </xdr:to>
    <xdr:sp macro="" textlink="">
      <xdr:nvSpPr>
        <xdr:cNvPr id="5" name="rect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19672510">
          <a:off x="47850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479530</xdr:colOff>
      <xdr:row>57</xdr:row>
      <xdr:rowOff>0</xdr:rowOff>
    </xdr:from>
    <xdr:to>
      <xdr:col>4</xdr:col>
      <xdr:colOff>1098826</xdr:colOff>
      <xdr:row>64</xdr:row>
      <xdr:rowOff>118913</xdr:rowOff>
    </xdr:to>
    <xdr:sp macro="" textlink="">
      <xdr:nvSpPr>
        <xdr:cNvPr id="6" name="rect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rot="19672510">
          <a:off x="22133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7" name="rect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603853</xdr:colOff>
      <xdr:row>57</xdr:row>
      <xdr:rowOff>0</xdr:rowOff>
    </xdr:from>
    <xdr:to>
      <xdr:col>4</xdr:col>
      <xdr:colOff>1223435</xdr:colOff>
      <xdr:row>64</xdr:row>
      <xdr:rowOff>118913</xdr:rowOff>
    </xdr:to>
    <xdr:sp macro="" textlink="">
      <xdr:nvSpPr>
        <xdr:cNvPr id="8" name="rect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 rot="19672510">
          <a:off x="23384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599413</xdr:colOff>
      <xdr:row>57</xdr:row>
      <xdr:rowOff>0</xdr:rowOff>
    </xdr:from>
    <xdr:to>
      <xdr:col>6</xdr:col>
      <xdr:colOff>334808</xdr:colOff>
      <xdr:row>64</xdr:row>
      <xdr:rowOff>118913</xdr:rowOff>
    </xdr:to>
    <xdr:sp macro="" textlink="">
      <xdr:nvSpPr>
        <xdr:cNvPr id="9" name="rect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rot="19672510">
          <a:off x="36192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10" name="rect" hidden="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479556</xdr:colOff>
      <xdr:row>57</xdr:row>
      <xdr:rowOff>0</xdr:rowOff>
    </xdr:from>
    <xdr:to>
      <xdr:col>7</xdr:col>
      <xdr:colOff>447008</xdr:colOff>
      <xdr:row>64</xdr:row>
      <xdr:rowOff>118913</xdr:rowOff>
    </xdr:to>
    <xdr:sp macro="" textlink="">
      <xdr:nvSpPr>
        <xdr:cNvPr id="11" name="rect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9672510">
          <a:off x="47850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479530</xdr:colOff>
      <xdr:row>57</xdr:row>
      <xdr:rowOff>0</xdr:rowOff>
    </xdr:from>
    <xdr:to>
      <xdr:col>4</xdr:col>
      <xdr:colOff>1098826</xdr:colOff>
      <xdr:row>64</xdr:row>
      <xdr:rowOff>118913</xdr:rowOff>
    </xdr:to>
    <xdr:sp macro="" textlink="">
      <xdr:nvSpPr>
        <xdr:cNvPr id="12" name="rect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 rot="19672510">
          <a:off x="22133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13" name="rect" hidden="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14" name="rect" hidden="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15" name="rect" hidden="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16" name="rect" hidden="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313411</xdr:colOff>
      <xdr:row>57</xdr:row>
      <xdr:rowOff>0</xdr:rowOff>
    </xdr:from>
    <xdr:to>
      <xdr:col>7</xdr:col>
      <xdr:colOff>280475</xdr:colOff>
      <xdr:row>64</xdr:row>
      <xdr:rowOff>118913</xdr:rowOff>
    </xdr:to>
    <xdr:sp macro="" textlink="">
      <xdr:nvSpPr>
        <xdr:cNvPr id="17" name="rect" hidden="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 rot="19672510">
          <a:off x="46199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18" name="rect" hidden="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19" name="rect" hidden="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20" name="rect" hidden="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21" name="rect" hidden="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22" name="rect" hidden="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300824</xdr:colOff>
      <xdr:row>57</xdr:row>
      <xdr:rowOff>0</xdr:rowOff>
    </xdr:from>
    <xdr:to>
      <xdr:col>7</xdr:col>
      <xdr:colOff>267328</xdr:colOff>
      <xdr:row>64</xdr:row>
      <xdr:rowOff>118913</xdr:rowOff>
    </xdr:to>
    <xdr:sp macro="" textlink="">
      <xdr:nvSpPr>
        <xdr:cNvPr id="23" name="rect" hidden="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 rot="19672510">
          <a:off x="46072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24" name="rect" hidden="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25" name="rect" hidden="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26" name="rect" hidden="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27" name="rect" hidden="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28" name="rect" hidden="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300824</xdr:colOff>
      <xdr:row>57</xdr:row>
      <xdr:rowOff>0</xdr:rowOff>
    </xdr:from>
    <xdr:to>
      <xdr:col>7</xdr:col>
      <xdr:colOff>267328</xdr:colOff>
      <xdr:row>64</xdr:row>
      <xdr:rowOff>118913</xdr:rowOff>
    </xdr:to>
    <xdr:sp macro="" textlink="">
      <xdr:nvSpPr>
        <xdr:cNvPr id="29" name="rect" hidden="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 rot="19672510">
          <a:off x="46072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30" name="rect" hidden="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31" name="rect" hidden="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603853</xdr:colOff>
      <xdr:row>57</xdr:row>
      <xdr:rowOff>0</xdr:rowOff>
    </xdr:from>
    <xdr:to>
      <xdr:col>4</xdr:col>
      <xdr:colOff>1223435</xdr:colOff>
      <xdr:row>64</xdr:row>
      <xdr:rowOff>118913</xdr:rowOff>
    </xdr:to>
    <xdr:sp macro="" textlink="">
      <xdr:nvSpPr>
        <xdr:cNvPr id="32" name="rect" hidden="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 rot="19672510">
          <a:off x="23384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599413</xdr:colOff>
      <xdr:row>57</xdr:row>
      <xdr:rowOff>0</xdr:rowOff>
    </xdr:from>
    <xdr:to>
      <xdr:col>6</xdr:col>
      <xdr:colOff>334808</xdr:colOff>
      <xdr:row>64</xdr:row>
      <xdr:rowOff>118913</xdr:rowOff>
    </xdr:to>
    <xdr:sp macro="" textlink="">
      <xdr:nvSpPr>
        <xdr:cNvPr id="33" name="rect" hidden="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 rot="19672510">
          <a:off x="36192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34" name="rect" hidden="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479556</xdr:colOff>
      <xdr:row>57</xdr:row>
      <xdr:rowOff>0</xdr:rowOff>
    </xdr:from>
    <xdr:to>
      <xdr:col>7</xdr:col>
      <xdr:colOff>447008</xdr:colOff>
      <xdr:row>64</xdr:row>
      <xdr:rowOff>118913</xdr:rowOff>
    </xdr:to>
    <xdr:sp macro="" textlink="">
      <xdr:nvSpPr>
        <xdr:cNvPr id="35" name="rect" hidden="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 rot="19672510">
          <a:off x="47850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479530</xdr:colOff>
      <xdr:row>57</xdr:row>
      <xdr:rowOff>0</xdr:rowOff>
    </xdr:from>
    <xdr:to>
      <xdr:col>4</xdr:col>
      <xdr:colOff>1098826</xdr:colOff>
      <xdr:row>64</xdr:row>
      <xdr:rowOff>118913</xdr:rowOff>
    </xdr:to>
    <xdr:sp macro="" textlink="">
      <xdr:nvSpPr>
        <xdr:cNvPr id="36" name="rect" hidden="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 rot="19672510">
          <a:off x="22133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37" name="rect" hidden="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603853</xdr:colOff>
      <xdr:row>57</xdr:row>
      <xdr:rowOff>0</xdr:rowOff>
    </xdr:from>
    <xdr:to>
      <xdr:col>4</xdr:col>
      <xdr:colOff>1223435</xdr:colOff>
      <xdr:row>64</xdr:row>
      <xdr:rowOff>118913</xdr:rowOff>
    </xdr:to>
    <xdr:sp macro="" textlink="">
      <xdr:nvSpPr>
        <xdr:cNvPr id="38" name="rect" hidden="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 rot="19672510">
          <a:off x="23384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599413</xdr:colOff>
      <xdr:row>57</xdr:row>
      <xdr:rowOff>0</xdr:rowOff>
    </xdr:from>
    <xdr:to>
      <xdr:col>6</xdr:col>
      <xdr:colOff>334808</xdr:colOff>
      <xdr:row>64</xdr:row>
      <xdr:rowOff>118913</xdr:rowOff>
    </xdr:to>
    <xdr:sp macro="" textlink="">
      <xdr:nvSpPr>
        <xdr:cNvPr id="39" name="rect" hidden="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 rot="19672510">
          <a:off x="36192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40" name="rect" hidden="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479556</xdr:colOff>
      <xdr:row>57</xdr:row>
      <xdr:rowOff>0</xdr:rowOff>
    </xdr:from>
    <xdr:to>
      <xdr:col>7</xdr:col>
      <xdr:colOff>447008</xdr:colOff>
      <xdr:row>64</xdr:row>
      <xdr:rowOff>118913</xdr:rowOff>
    </xdr:to>
    <xdr:sp macro="" textlink="">
      <xdr:nvSpPr>
        <xdr:cNvPr id="41" name="rect" hidden="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 rot="19672510">
          <a:off x="47850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479530</xdr:colOff>
      <xdr:row>57</xdr:row>
      <xdr:rowOff>0</xdr:rowOff>
    </xdr:from>
    <xdr:to>
      <xdr:col>4</xdr:col>
      <xdr:colOff>1098826</xdr:colOff>
      <xdr:row>64</xdr:row>
      <xdr:rowOff>118913</xdr:rowOff>
    </xdr:to>
    <xdr:sp macro="" textlink="">
      <xdr:nvSpPr>
        <xdr:cNvPr id="42" name="rect" hidden="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 rot="19672510">
          <a:off x="22133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43" name="rect" hidden="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44" name="rect" hidden="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45" name="rect" hidden="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46" name="rect" hidden="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313411</xdr:colOff>
      <xdr:row>57</xdr:row>
      <xdr:rowOff>0</xdr:rowOff>
    </xdr:from>
    <xdr:to>
      <xdr:col>7</xdr:col>
      <xdr:colOff>280475</xdr:colOff>
      <xdr:row>64</xdr:row>
      <xdr:rowOff>118913</xdr:rowOff>
    </xdr:to>
    <xdr:sp macro="" textlink="">
      <xdr:nvSpPr>
        <xdr:cNvPr id="47" name="rect" hidden="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 rot="19672510">
          <a:off x="46199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48" name="rect" hidden="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49" name="rect" hidden="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50" name="rect" hidden="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51" name="rect" hidden="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52" name="rect" hidden="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300824</xdr:colOff>
      <xdr:row>57</xdr:row>
      <xdr:rowOff>0</xdr:rowOff>
    </xdr:from>
    <xdr:to>
      <xdr:col>7</xdr:col>
      <xdr:colOff>267328</xdr:colOff>
      <xdr:row>64</xdr:row>
      <xdr:rowOff>118913</xdr:rowOff>
    </xdr:to>
    <xdr:sp macro="" textlink="">
      <xdr:nvSpPr>
        <xdr:cNvPr id="53" name="rect" hidden="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 rot="19672510">
          <a:off x="46072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54" name="rect" hidden="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55" name="rect" hidden="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56" name="rect" hidden="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57" name="rect" hidden="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58" name="rect" hidden="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300824</xdr:colOff>
      <xdr:row>57</xdr:row>
      <xdr:rowOff>0</xdr:rowOff>
    </xdr:from>
    <xdr:to>
      <xdr:col>7</xdr:col>
      <xdr:colOff>267328</xdr:colOff>
      <xdr:row>64</xdr:row>
      <xdr:rowOff>118913</xdr:rowOff>
    </xdr:to>
    <xdr:sp macro="" textlink="">
      <xdr:nvSpPr>
        <xdr:cNvPr id="59" name="rect" hidden="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 rot="19672510">
          <a:off x="46072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60" name="rect" hidden="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61" name="rect" hidden="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603853</xdr:colOff>
      <xdr:row>57</xdr:row>
      <xdr:rowOff>0</xdr:rowOff>
    </xdr:from>
    <xdr:to>
      <xdr:col>4</xdr:col>
      <xdr:colOff>1223435</xdr:colOff>
      <xdr:row>64</xdr:row>
      <xdr:rowOff>118913</xdr:rowOff>
    </xdr:to>
    <xdr:sp macro="" textlink="">
      <xdr:nvSpPr>
        <xdr:cNvPr id="62" name="rect" hidden="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 rot="19672510">
          <a:off x="23384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599413</xdr:colOff>
      <xdr:row>57</xdr:row>
      <xdr:rowOff>0</xdr:rowOff>
    </xdr:from>
    <xdr:to>
      <xdr:col>6</xdr:col>
      <xdr:colOff>334808</xdr:colOff>
      <xdr:row>64</xdr:row>
      <xdr:rowOff>118913</xdr:rowOff>
    </xdr:to>
    <xdr:sp macro="" textlink="">
      <xdr:nvSpPr>
        <xdr:cNvPr id="63" name="rect" hidden="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 rot="19672510">
          <a:off x="36192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64" name="rect" hidden="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479556</xdr:colOff>
      <xdr:row>57</xdr:row>
      <xdr:rowOff>0</xdr:rowOff>
    </xdr:from>
    <xdr:to>
      <xdr:col>7</xdr:col>
      <xdr:colOff>447008</xdr:colOff>
      <xdr:row>64</xdr:row>
      <xdr:rowOff>118913</xdr:rowOff>
    </xdr:to>
    <xdr:sp macro="" textlink="">
      <xdr:nvSpPr>
        <xdr:cNvPr id="65" name="rect" hidden="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 rot="19672510">
          <a:off x="47850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479530</xdr:colOff>
      <xdr:row>57</xdr:row>
      <xdr:rowOff>0</xdr:rowOff>
    </xdr:from>
    <xdr:to>
      <xdr:col>4</xdr:col>
      <xdr:colOff>1098826</xdr:colOff>
      <xdr:row>64</xdr:row>
      <xdr:rowOff>118913</xdr:rowOff>
    </xdr:to>
    <xdr:sp macro="" textlink="">
      <xdr:nvSpPr>
        <xdr:cNvPr id="66" name="rect" hidden="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 rot="19672510">
          <a:off x="22133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67" name="rect" hidden="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603853</xdr:colOff>
      <xdr:row>57</xdr:row>
      <xdr:rowOff>0</xdr:rowOff>
    </xdr:from>
    <xdr:to>
      <xdr:col>4</xdr:col>
      <xdr:colOff>1223435</xdr:colOff>
      <xdr:row>64</xdr:row>
      <xdr:rowOff>118913</xdr:rowOff>
    </xdr:to>
    <xdr:sp macro="" textlink="">
      <xdr:nvSpPr>
        <xdr:cNvPr id="68" name="rect" hidden="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 rot="19672510">
          <a:off x="23384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599413</xdr:colOff>
      <xdr:row>57</xdr:row>
      <xdr:rowOff>0</xdr:rowOff>
    </xdr:from>
    <xdr:to>
      <xdr:col>6</xdr:col>
      <xdr:colOff>334808</xdr:colOff>
      <xdr:row>64</xdr:row>
      <xdr:rowOff>118913</xdr:rowOff>
    </xdr:to>
    <xdr:sp macro="" textlink="">
      <xdr:nvSpPr>
        <xdr:cNvPr id="69" name="rect" hidden="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 rot="19672510">
          <a:off x="36192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70" name="rect" hidden="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479556</xdr:colOff>
      <xdr:row>57</xdr:row>
      <xdr:rowOff>0</xdr:rowOff>
    </xdr:from>
    <xdr:to>
      <xdr:col>7</xdr:col>
      <xdr:colOff>447008</xdr:colOff>
      <xdr:row>64</xdr:row>
      <xdr:rowOff>118913</xdr:rowOff>
    </xdr:to>
    <xdr:sp macro="" textlink="">
      <xdr:nvSpPr>
        <xdr:cNvPr id="71" name="rect" hidden="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 rot="19672510">
          <a:off x="47850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479530</xdr:colOff>
      <xdr:row>57</xdr:row>
      <xdr:rowOff>0</xdr:rowOff>
    </xdr:from>
    <xdr:to>
      <xdr:col>4</xdr:col>
      <xdr:colOff>1098826</xdr:colOff>
      <xdr:row>64</xdr:row>
      <xdr:rowOff>118913</xdr:rowOff>
    </xdr:to>
    <xdr:sp macro="" textlink="">
      <xdr:nvSpPr>
        <xdr:cNvPr id="72" name="rect" hidden="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 rot="19672510">
          <a:off x="22133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73" name="rect" hidden="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74" name="rect" hidden="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75" name="rect" hidden="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76" name="rect" hidden="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313411</xdr:colOff>
      <xdr:row>57</xdr:row>
      <xdr:rowOff>0</xdr:rowOff>
    </xdr:from>
    <xdr:to>
      <xdr:col>7</xdr:col>
      <xdr:colOff>280475</xdr:colOff>
      <xdr:row>64</xdr:row>
      <xdr:rowOff>118913</xdr:rowOff>
    </xdr:to>
    <xdr:sp macro="" textlink="">
      <xdr:nvSpPr>
        <xdr:cNvPr id="77" name="rect" hidden="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 rot="19672510">
          <a:off x="46199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78" name="rect" hidden="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79" name="rect" hidden="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80" name="rect" hidden="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81" name="rect" hidden="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82" name="rect" hidden="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300824</xdr:colOff>
      <xdr:row>57</xdr:row>
      <xdr:rowOff>0</xdr:rowOff>
    </xdr:from>
    <xdr:to>
      <xdr:col>7</xdr:col>
      <xdr:colOff>267328</xdr:colOff>
      <xdr:row>64</xdr:row>
      <xdr:rowOff>118913</xdr:rowOff>
    </xdr:to>
    <xdr:sp macro="" textlink="">
      <xdr:nvSpPr>
        <xdr:cNvPr id="83" name="rect" hidden="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 rot="19672510">
          <a:off x="46072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84" name="rect" hidden="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85" name="rect" hidden="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86" name="rect" hidden="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87" name="rect" hidden="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88" name="rect" hidden="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300824</xdr:colOff>
      <xdr:row>57</xdr:row>
      <xdr:rowOff>0</xdr:rowOff>
    </xdr:from>
    <xdr:to>
      <xdr:col>7</xdr:col>
      <xdr:colOff>267328</xdr:colOff>
      <xdr:row>64</xdr:row>
      <xdr:rowOff>118913</xdr:rowOff>
    </xdr:to>
    <xdr:sp macro="" textlink="">
      <xdr:nvSpPr>
        <xdr:cNvPr id="89" name="rect" hidden="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 rot="19672510">
          <a:off x="46072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90" name="rect" hidden="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91" name="rect" hidden="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603853</xdr:colOff>
      <xdr:row>57</xdr:row>
      <xdr:rowOff>0</xdr:rowOff>
    </xdr:from>
    <xdr:to>
      <xdr:col>4</xdr:col>
      <xdr:colOff>1223435</xdr:colOff>
      <xdr:row>64</xdr:row>
      <xdr:rowOff>118913</xdr:rowOff>
    </xdr:to>
    <xdr:sp macro="" textlink="">
      <xdr:nvSpPr>
        <xdr:cNvPr id="92" name="rect" hidden="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 rot="19672510">
          <a:off x="23384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599413</xdr:colOff>
      <xdr:row>57</xdr:row>
      <xdr:rowOff>0</xdr:rowOff>
    </xdr:from>
    <xdr:to>
      <xdr:col>6</xdr:col>
      <xdr:colOff>334808</xdr:colOff>
      <xdr:row>64</xdr:row>
      <xdr:rowOff>118913</xdr:rowOff>
    </xdr:to>
    <xdr:sp macro="" textlink="">
      <xdr:nvSpPr>
        <xdr:cNvPr id="93" name="rect" hidden="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 rot="19672510">
          <a:off x="36192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94" name="rect" hidden="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479556</xdr:colOff>
      <xdr:row>57</xdr:row>
      <xdr:rowOff>0</xdr:rowOff>
    </xdr:from>
    <xdr:to>
      <xdr:col>7</xdr:col>
      <xdr:colOff>447008</xdr:colOff>
      <xdr:row>64</xdr:row>
      <xdr:rowOff>118913</xdr:rowOff>
    </xdr:to>
    <xdr:sp macro="" textlink="">
      <xdr:nvSpPr>
        <xdr:cNvPr id="95" name="rect" hidden="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 rot="19672510">
          <a:off x="47850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479530</xdr:colOff>
      <xdr:row>57</xdr:row>
      <xdr:rowOff>0</xdr:rowOff>
    </xdr:from>
    <xdr:to>
      <xdr:col>4</xdr:col>
      <xdr:colOff>1098826</xdr:colOff>
      <xdr:row>64</xdr:row>
      <xdr:rowOff>118913</xdr:rowOff>
    </xdr:to>
    <xdr:sp macro="" textlink="">
      <xdr:nvSpPr>
        <xdr:cNvPr id="96" name="rect" hidden="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 rot="19672510">
          <a:off x="22133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97" name="rect" hidden="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603853</xdr:colOff>
      <xdr:row>57</xdr:row>
      <xdr:rowOff>0</xdr:rowOff>
    </xdr:from>
    <xdr:to>
      <xdr:col>4</xdr:col>
      <xdr:colOff>1223435</xdr:colOff>
      <xdr:row>64</xdr:row>
      <xdr:rowOff>118913</xdr:rowOff>
    </xdr:to>
    <xdr:sp macro="" textlink="">
      <xdr:nvSpPr>
        <xdr:cNvPr id="98" name="rect" hidden="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 rot="19672510">
          <a:off x="23384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599413</xdr:colOff>
      <xdr:row>57</xdr:row>
      <xdr:rowOff>0</xdr:rowOff>
    </xdr:from>
    <xdr:to>
      <xdr:col>6</xdr:col>
      <xdr:colOff>334808</xdr:colOff>
      <xdr:row>64</xdr:row>
      <xdr:rowOff>118913</xdr:rowOff>
    </xdr:to>
    <xdr:sp macro="" textlink="">
      <xdr:nvSpPr>
        <xdr:cNvPr id="99" name="rect" hidden="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 rot="19672510">
          <a:off x="36192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100" name="rect" hidden="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479556</xdr:colOff>
      <xdr:row>57</xdr:row>
      <xdr:rowOff>0</xdr:rowOff>
    </xdr:from>
    <xdr:to>
      <xdr:col>7</xdr:col>
      <xdr:colOff>447008</xdr:colOff>
      <xdr:row>64</xdr:row>
      <xdr:rowOff>118913</xdr:rowOff>
    </xdr:to>
    <xdr:sp macro="" textlink="">
      <xdr:nvSpPr>
        <xdr:cNvPr id="101" name="rect" hidden="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 rot="19672510">
          <a:off x="47850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479530</xdr:colOff>
      <xdr:row>57</xdr:row>
      <xdr:rowOff>0</xdr:rowOff>
    </xdr:from>
    <xdr:to>
      <xdr:col>4</xdr:col>
      <xdr:colOff>1098826</xdr:colOff>
      <xdr:row>64</xdr:row>
      <xdr:rowOff>118913</xdr:rowOff>
    </xdr:to>
    <xdr:sp macro="" textlink="">
      <xdr:nvSpPr>
        <xdr:cNvPr id="102" name="rect" hidden="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 rot="19672510">
          <a:off x="22133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479530</xdr:colOff>
      <xdr:row>57</xdr:row>
      <xdr:rowOff>0</xdr:rowOff>
    </xdr:from>
    <xdr:to>
      <xdr:col>6</xdr:col>
      <xdr:colOff>213975</xdr:colOff>
      <xdr:row>64</xdr:row>
      <xdr:rowOff>118913</xdr:rowOff>
    </xdr:to>
    <xdr:sp macro="" textlink="">
      <xdr:nvSpPr>
        <xdr:cNvPr id="103" name="rect" hidden="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 rot="19672510">
          <a:off x="34991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104" name="rect" hidden="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105" name="rect" hidden="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106" name="rect" hidden="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313411</xdr:colOff>
      <xdr:row>57</xdr:row>
      <xdr:rowOff>0</xdr:rowOff>
    </xdr:from>
    <xdr:to>
      <xdr:col>7</xdr:col>
      <xdr:colOff>280475</xdr:colOff>
      <xdr:row>64</xdr:row>
      <xdr:rowOff>118913</xdr:rowOff>
    </xdr:to>
    <xdr:sp macro="" textlink="">
      <xdr:nvSpPr>
        <xdr:cNvPr id="107" name="rect" hidden="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 rot="19672510">
          <a:off x="46199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108" name="rect" hidden="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109" name="rect" hidden="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110" name="rect" hidden="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111" name="rect" hidden="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112" name="rect" hidden="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300824</xdr:colOff>
      <xdr:row>57</xdr:row>
      <xdr:rowOff>0</xdr:rowOff>
    </xdr:from>
    <xdr:to>
      <xdr:col>7</xdr:col>
      <xdr:colOff>267328</xdr:colOff>
      <xdr:row>64</xdr:row>
      <xdr:rowOff>118913</xdr:rowOff>
    </xdr:to>
    <xdr:sp macro="" textlink="">
      <xdr:nvSpPr>
        <xdr:cNvPr id="113" name="rect" hidden="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 rot="19672510">
          <a:off x="46072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114" name="rect" hidden="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115" name="rect" hidden="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451410</xdr:colOff>
      <xdr:row>57</xdr:row>
      <xdr:rowOff>0</xdr:rowOff>
    </xdr:from>
    <xdr:to>
      <xdr:col>4</xdr:col>
      <xdr:colOff>1071135</xdr:colOff>
      <xdr:row>64</xdr:row>
      <xdr:rowOff>118913</xdr:rowOff>
    </xdr:to>
    <xdr:sp macro="" textlink="">
      <xdr:nvSpPr>
        <xdr:cNvPr id="116" name="rect" hidden="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 rot="19672510">
          <a:off x="218600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395168</xdr:colOff>
      <xdr:row>57</xdr:row>
      <xdr:rowOff>0</xdr:rowOff>
    </xdr:from>
    <xdr:to>
      <xdr:col>6</xdr:col>
      <xdr:colOff>128385</xdr:colOff>
      <xdr:row>64</xdr:row>
      <xdr:rowOff>118913</xdr:rowOff>
    </xdr:to>
    <xdr:sp macro="" textlink="">
      <xdr:nvSpPr>
        <xdr:cNvPr id="117" name="rect" hidden="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 rot="19672510">
          <a:off x="341600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118" name="rect" hidden="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300824</xdr:colOff>
      <xdr:row>57</xdr:row>
      <xdr:rowOff>0</xdr:rowOff>
    </xdr:from>
    <xdr:to>
      <xdr:col>7</xdr:col>
      <xdr:colOff>267328</xdr:colOff>
      <xdr:row>64</xdr:row>
      <xdr:rowOff>118913</xdr:rowOff>
    </xdr:to>
    <xdr:sp macro="" textlink="">
      <xdr:nvSpPr>
        <xdr:cNvPr id="119" name="rect" hidden="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 rot="19672510">
          <a:off x="460726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313767</xdr:colOff>
      <xdr:row>57</xdr:row>
      <xdr:rowOff>0</xdr:rowOff>
    </xdr:from>
    <xdr:to>
      <xdr:col>4</xdr:col>
      <xdr:colOff>932680</xdr:colOff>
      <xdr:row>64</xdr:row>
      <xdr:rowOff>118913</xdr:rowOff>
    </xdr:to>
    <xdr:sp macro="" textlink="">
      <xdr:nvSpPr>
        <xdr:cNvPr id="120" name="rect" hidden="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 rot="19672510">
          <a:off x="2048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313767</xdr:colOff>
      <xdr:row>57</xdr:row>
      <xdr:rowOff>0</xdr:rowOff>
    </xdr:from>
    <xdr:to>
      <xdr:col>6</xdr:col>
      <xdr:colOff>46571</xdr:colOff>
      <xdr:row>64</xdr:row>
      <xdr:rowOff>118913</xdr:rowOff>
    </xdr:to>
    <xdr:sp macro="" textlink="">
      <xdr:nvSpPr>
        <xdr:cNvPr id="121" name="rect" hidden="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 rot="19672510">
          <a:off x="333408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604449</xdr:colOff>
      <xdr:row>61</xdr:row>
      <xdr:rowOff>0</xdr:rowOff>
    </xdr:from>
    <xdr:to>
      <xdr:col>8</xdr:col>
      <xdr:colOff>315568</xdr:colOff>
      <xdr:row>69</xdr:row>
      <xdr:rowOff>75649</xdr:rowOff>
    </xdr:to>
    <xdr:sp macro="" textlink="">
      <xdr:nvSpPr>
        <xdr:cNvPr id="2" name="rect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rot="19672510">
          <a:off x="573883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3" name="rect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4" name="rect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478262</xdr:colOff>
      <xdr:row>61</xdr:row>
      <xdr:rowOff>0</xdr:rowOff>
    </xdr:from>
    <xdr:to>
      <xdr:col>10</xdr:col>
      <xdr:colOff>440187</xdr:colOff>
      <xdr:row>69</xdr:row>
      <xdr:rowOff>75649</xdr:rowOff>
    </xdr:to>
    <xdr:sp macro="" textlink="">
      <xdr:nvSpPr>
        <xdr:cNvPr id="5" name="rect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9672510">
          <a:off x="754731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479703</xdr:colOff>
      <xdr:row>61</xdr:row>
      <xdr:rowOff>0</xdr:rowOff>
    </xdr:from>
    <xdr:to>
      <xdr:col>8</xdr:col>
      <xdr:colOff>194951</xdr:colOff>
      <xdr:row>69</xdr:row>
      <xdr:rowOff>75649</xdr:rowOff>
    </xdr:to>
    <xdr:sp macro="" textlink="">
      <xdr:nvSpPr>
        <xdr:cNvPr id="6" name="rect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9672510">
          <a:off x="5613737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7" name="rec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604449</xdr:colOff>
      <xdr:row>61</xdr:row>
      <xdr:rowOff>0</xdr:rowOff>
    </xdr:from>
    <xdr:to>
      <xdr:col>8</xdr:col>
      <xdr:colOff>315568</xdr:colOff>
      <xdr:row>69</xdr:row>
      <xdr:rowOff>75649</xdr:rowOff>
    </xdr:to>
    <xdr:sp macro="" textlink="">
      <xdr:nvSpPr>
        <xdr:cNvPr id="8" name="rect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 rot="19672510">
          <a:off x="573883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9" name="rect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10" name="rect" hidden="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478262</xdr:colOff>
      <xdr:row>61</xdr:row>
      <xdr:rowOff>0</xdr:rowOff>
    </xdr:from>
    <xdr:to>
      <xdr:col>10</xdr:col>
      <xdr:colOff>440187</xdr:colOff>
      <xdr:row>69</xdr:row>
      <xdr:rowOff>75649</xdr:rowOff>
    </xdr:to>
    <xdr:sp macro="" textlink="">
      <xdr:nvSpPr>
        <xdr:cNvPr id="11" name="rect" hidden="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 rot="19672510">
          <a:off x="754731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479703</xdr:colOff>
      <xdr:row>61</xdr:row>
      <xdr:rowOff>0</xdr:rowOff>
    </xdr:from>
    <xdr:to>
      <xdr:col>8</xdr:col>
      <xdr:colOff>194951</xdr:colOff>
      <xdr:row>69</xdr:row>
      <xdr:rowOff>75649</xdr:rowOff>
    </xdr:to>
    <xdr:sp macro="" textlink="">
      <xdr:nvSpPr>
        <xdr:cNvPr id="12" name="rect" hidden="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 rot="19672510">
          <a:off x="5613737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13" name="rect" hidden="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451352</xdr:colOff>
      <xdr:row>62</xdr:row>
      <xdr:rowOff>0</xdr:rowOff>
    </xdr:from>
    <xdr:to>
      <xdr:col>8</xdr:col>
      <xdr:colOff>167602</xdr:colOff>
      <xdr:row>70</xdr:row>
      <xdr:rowOff>75649</xdr:rowOff>
    </xdr:to>
    <xdr:sp macro="" textlink="">
      <xdr:nvSpPr>
        <xdr:cNvPr id="14" name="rect" hidden="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 rot="19672510">
          <a:off x="558643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15" name="rect" hidden="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16" name="rect" hidden="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314382</xdr:colOff>
      <xdr:row>62</xdr:row>
      <xdr:rowOff>0</xdr:rowOff>
    </xdr:from>
    <xdr:to>
      <xdr:col>10</xdr:col>
      <xdr:colOff>277848</xdr:colOff>
      <xdr:row>70</xdr:row>
      <xdr:rowOff>75649</xdr:rowOff>
    </xdr:to>
    <xdr:sp macro="" textlink="">
      <xdr:nvSpPr>
        <xdr:cNvPr id="17" name="rect" hidden="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 rot="19672510">
          <a:off x="7382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314132</xdr:colOff>
      <xdr:row>62</xdr:row>
      <xdr:rowOff>0</xdr:rowOff>
    </xdr:from>
    <xdr:to>
      <xdr:col>8</xdr:col>
      <xdr:colOff>35063</xdr:colOff>
      <xdr:row>70</xdr:row>
      <xdr:rowOff>75649</xdr:rowOff>
    </xdr:to>
    <xdr:sp macro="" textlink="">
      <xdr:nvSpPr>
        <xdr:cNvPr id="18" name="rect" hidden="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rot="19672510">
          <a:off x="544863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19" name="rect" hidden="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451352</xdr:colOff>
      <xdr:row>62</xdr:row>
      <xdr:rowOff>0</xdr:rowOff>
    </xdr:from>
    <xdr:to>
      <xdr:col>8</xdr:col>
      <xdr:colOff>167602</xdr:colOff>
      <xdr:row>70</xdr:row>
      <xdr:rowOff>75649</xdr:rowOff>
    </xdr:to>
    <xdr:sp macro="" textlink="">
      <xdr:nvSpPr>
        <xdr:cNvPr id="20" name="rect" hidden="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 rot="19672510">
          <a:off x="558643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21" name="rect" hidden="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22" name="rect" hidden="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301004</xdr:colOff>
      <xdr:row>62</xdr:row>
      <xdr:rowOff>0</xdr:rowOff>
    </xdr:from>
    <xdr:to>
      <xdr:col>10</xdr:col>
      <xdr:colOff>264736</xdr:colOff>
      <xdr:row>70</xdr:row>
      <xdr:rowOff>75649</xdr:rowOff>
    </xdr:to>
    <xdr:sp macro="" textlink="">
      <xdr:nvSpPr>
        <xdr:cNvPr id="23" name="rect" hidden="1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 rot="19672510">
          <a:off x="73695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314132</xdr:colOff>
      <xdr:row>62</xdr:row>
      <xdr:rowOff>0</xdr:rowOff>
    </xdr:from>
    <xdr:to>
      <xdr:col>8</xdr:col>
      <xdr:colOff>35063</xdr:colOff>
      <xdr:row>70</xdr:row>
      <xdr:rowOff>75649</xdr:rowOff>
    </xdr:to>
    <xdr:sp macro="" textlink="">
      <xdr:nvSpPr>
        <xdr:cNvPr id="24" name="rect" hidden="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 rot="19672510">
          <a:off x="544863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25" name="rect" hidden="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451352</xdr:colOff>
      <xdr:row>61</xdr:row>
      <xdr:rowOff>0</xdr:rowOff>
    </xdr:from>
    <xdr:to>
      <xdr:col>8</xdr:col>
      <xdr:colOff>167602</xdr:colOff>
      <xdr:row>69</xdr:row>
      <xdr:rowOff>75649</xdr:rowOff>
    </xdr:to>
    <xdr:sp macro="" textlink="">
      <xdr:nvSpPr>
        <xdr:cNvPr id="26" name="rect" hidden="1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 rot="19672510">
          <a:off x="558643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27" name="rect" hidden="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28" name="rect" hidden="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301004</xdr:colOff>
      <xdr:row>61</xdr:row>
      <xdr:rowOff>0</xdr:rowOff>
    </xdr:from>
    <xdr:to>
      <xdr:col>10</xdr:col>
      <xdr:colOff>264736</xdr:colOff>
      <xdr:row>69</xdr:row>
      <xdr:rowOff>75649</xdr:rowOff>
    </xdr:to>
    <xdr:sp macro="" textlink="">
      <xdr:nvSpPr>
        <xdr:cNvPr id="29" name="rect" hidden="1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 rot="19672510">
          <a:off x="736951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314132</xdr:colOff>
      <xdr:row>61</xdr:row>
      <xdr:rowOff>0</xdr:rowOff>
    </xdr:from>
    <xdr:to>
      <xdr:col>8</xdr:col>
      <xdr:colOff>35063</xdr:colOff>
      <xdr:row>69</xdr:row>
      <xdr:rowOff>75649</xdr:rowOff>
    </xdr:to>
    <xdr:sp macro="" textlink="">
      <xdr:nvSpPr>
        <xdr:cNvPr id="30" name="rect" hidden="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 rot="19672510">
          <a:off x="5448637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31" name="rect" hidden="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32" name="rect" hidden="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33" name="rect" hidden="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34" name="rect" hidden="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35" name="rect" hidden="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36" name="rect" hidden="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37" name="rect" hidden="1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38" name="rect" hidden="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39" name="rect" hidden="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40" name="rect" hidden="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41" name="rect" hidden="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42" name="rect" hidden="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43" name="rect" hidden="1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44" name="rect" hidden="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45" name="rect" hidden="1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46" name="rect" hidden="1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47" name="rect" hidden="1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48" name="rect" hidden="1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49" name="rect" hidden="1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50" name="rect" hidden="1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51" name="rect" hidden="1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52" name="rect" hidden="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53" name="rect" hidden="1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54" name="rect" hidden="1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55" name="rect" hidden="1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56" name="rect" hidden="1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57" name="rect" hidden="1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58" name="rect" hidden="1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59" name="rect" hidden="1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0" name="rect" hidden="1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1" name="rect" hidden="1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2" name="rect" hidden="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3" name="rect" hidden="1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4" name="rect" hidden="1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5" name="rect" hidden="1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6" name="rect" hidden="1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7" name="rect" hidden="1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8" name="rect" hidden="1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69" name="rect" hidden="1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70" name="rect" hidden="1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71" name="rect" hidden="1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72" name="rect" hidden="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73" name="rect" hidden="1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74" name="rect" hidden="1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75" name="rect" hidden="1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76" name="rect" hidden="1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77" name="rect" hidden="1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78" name="rect" hidden="1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79" name="rect" hidden="1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80" name="rect" hidden="1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81" name="rect" hidden="1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82" name="rect" hidden="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83" name="rect" hidden="1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84" name="rect" hidden="1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85" name="rect" hidden="1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86" name="rect" hidden="1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87" name="rect" hidden="1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88" name="rect" hidden="1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89" name="rect" hidden="1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90" name="rect" hidden="1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91" name="rect" hidden="1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604449</xdr:colOff>
      <xdr:row>61</xdr:row>
      <xdr:rowOff>0</xdr:rowOff>
    </xdr:from>
    <xdr:to>
      <xdr:col>8</xdr:col>
      <xdr:colOff>315568</xdr:colOff>
      <xdr:row>69</xdr:row>
      <xdr:rowOff>75649</xdr:rowOff>
    </xdr:to>
    <xdr:sp macro="" textlink="">
      <xdr:nvSpPr>
        <xdr:cNvPr id="92" name="rect" hidden="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 rot="19672510">
          <a:off x="573883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93" name="rect" hidden="1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94" name="rect" hidden="1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478262</xdr:colOff>
      <xdr:row>61</xdr:row>
      <xdr:rowOff>0</xdr:rowOff>
    </xdr:from>
    <xdr:to>
      <xdr:col>10</xdr:col>
      <xdr:colOff>440187</xdr:colOff>
      <xdr:row>69</xdr:row>
      <xdr:rowOff>75649</xdr:rowOff>
    </xdr:to>
    <xdr:sp macro="" textlink="">
      <xdr:nvSpPr>
        <xdr:cNvPr id="95" name="rect" hidden="1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 rot="19672510">
          <a:off x="754731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479703</xdr:colOff>
      <xdr:row>61</xdr:row>
      <xdr:rowOff>0</xdr:rowOff>
    </xdr:from>
    <xdr:to>
      <xdr:col>8</xdr:col>
      <xdr:colOff>194951</xdr:colOff>
      <xdr:row>69</xdr:row>
      <xdr:rowOff>75649</xdr:rowOff>
    </xdr:to>
    <xdr:sp macro="" textlink="">
      <xdr:nvSpPr>
        <xdr:cNvPr id="96" name="rect" hidden="1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 rot="19672510">
          <a:off x="5613737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97" name="rect" hidden="1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604449</xdr:colOff>
      <xdr:row>61</xdr:row>
      <xdr:rowOff>0</xdr:rowOff>
    </xdr:from>
    <xdr:to>
      <xdr:col>8</xdr:col>
      <xdr:colOff>315568</xdr:colOff>
      <xdr:row>69</xdr:row>
      <xdr:rowOff>75649</xdr:rowOff>
    </xdr:to>
    <xdr:sp macro="" textlink="">
      <xdr:nvSpPr>
        <xdr:cNvPr id="98" name="rect" hidden="1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 rot="19672510">
          <a:off x="573883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99" name="rect" hidden="1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100" name="rect" hidden="1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478262</xdr:colOff>
      <xdr:row>61</xdr:row>
      <xdr:rowOff>0</xdr:rowOff>
    </xdr:from>
    <xdr:to>
      <xdr:col>10</xdr:col>
      <xdr:colOff>440187</xdr:colOff>
      <xdr:row>69</xdr:row>
      <xdr:rowOff>75649</xdr:rowOff>
    </xdr:to>
    <xdr:sp macro="" textlink="">
      <xdr:nvSpPr>
        <xdr:cNvPr id="101" name="rect" hidden="1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 rot="19672510">
          <a:off x="754731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479703</xdr:colOff>
      <xdr:row>61</xdr:row>
      <xdr:rowOff>0</xdr:rowOff>
    </xdr:from>
    <xdr:to>
      <xdr:col>8</xdr:col>
      <xdr:colOff>194951</xdr:colOff>
      <xdr:row>69</xdr:row>
      <xdr:rowOff>75649</xdr:rowOff>
    </xdr:to>
    <xdr:sp macro="" textlink="">
      <xdr:nvSpPr>
        <xdr:cNvPr id="102" name="rect" hidden="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 rot="19672510">
          <a:off x="5613737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103" name="rect" hidden="1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451352</xdr:colOff>
      <xdr:row>62</xdr:row>
      <xdr:rowOff>0</xdr:rowOff>
    </xdr:from>
    <xdr:to>
      <xdr:col>8</xdr:col>
      <xdr:colOff>167602</xdr:colOff>
      <xdr:row>70</xdr:row>
      <xdr:rowOff>75649</xdr:rowOff>
    </xdr:to>
    <xdr:sp macro="" textlink="">
      <xdr:nvSpPr>
        <xdr:cNvPr id="104" name="rect" hidden="1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 rot="19672510">
          <a:off x="558643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105" name="rect" hidden="1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106" name="rect" hidden="1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314382</xdr:colOff>
      <xdr:row>62</xdr:row>
      <xdr:rowOff>0</xdr:rowOff>
    </xdr:from>
    <xdr:to>
      <xdr:col>10</xdr:col>
      <xdr:colOff>277848</xdr:colOff>
      <xdr:row>70</xdr:row>
      <xdr:rowOff>75649</xdr:rowOff>
    </xdr:to>
    <xdr:sp macro="" textlink="">
      <xdr:nvSpPr>
        <xdr:cNvPr id="107" name="rect" hidden="1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 rot="19672510">
          <a:off x="73822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314132</xdr:colOff>
      <xdr:row>62</xdr:row>
      <xdr:rowOff>0</xdr:rowOff>
    </xdr:from>
    <xdr:to>
      <xdr:col>8</xdr:col>
      <xdr:colOff>35063</xdr:colOff>
      <xdr:row>70</xdr:row>
      <xdr:rowOff>75649</xdr:rowOff>
    </xdr:to>
    <xdr:sp macro="" textlink="">
      <xdr:nvSpPr>
        <xdr:cNvPr id="108" name="rect" hidden="1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 rot="19672510">
          <a:off x="544863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109" name="rect" hidden="1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451352</xdr:colOff>
      <xdr:row>62</xdr:row>
      <xdr:rowOff>0</xdr:rowOff>
    </xdr:from>
    <xdr:to>
      <xdr:col>8</xdr:col>
      <xdr:colOff>167602</xdr:colOff>
      <xdr:row>70</xdr:row>
      <xdr:rowOff>75649</xdr:rowOff>
    </xdr:to>
    <xdr:sp macro="" textlink="">
      <xdr:nvSpPr>
        <xdr:cNvPr id="110" name="rect" hidden="1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 rot="19672510">
          <a:off x="558643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111" name="rect" hidden="1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112" name="rect" hidden="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301004</xdr:colOff>
      <xdr:row>62</xdr:row>
      <xdr:rowOff>0</xdr:rowOff>
    </xdr:from>
    <xdr:to>
      <xdr:col>10</xdr:col>
      <xdr:colOff>264736</xdr:colOff>
      <xdr:row>70</xdr:row>
      <xdr:rowOff>75649</xdr:rowOff>
    </xdr:to>
    <xdr:sp macro="" textlink="">
      <xdr:nvSpPr>
        <xdr:cNvPr id="113" name="rect" hidden="1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 rot="19672510">
          <a:off x="7369512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314132</xdr:colOff>
      <xdr:row>62</xdr:row>
      <xdr:rowOff>0</xdr:rowOff>
    </xdr:from>
    <xdr:to>
      <xdr:col>8</xdr:col>
      <xdr:colOff>35063</xdr:colOff>
      <xdr:row>70</xdr:row>
      <xdr:rowOff>75649</xdr:rowOff>
    </xdr:to>
    <xdr:sp macro="" textlink="">
      <xdr:nvSpPr>
        <xdr:cNvPr id="114" name="rect" hidden="1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 rot="19672510">
          <a:off x="5448637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1235739</xdr:colOff>
      <xdr:row>70</xdr:row>
      <xdr:rowOff>75649</xdr:rowOff>
    </xdr:to>
    <xdr:sp macro="" textlink="">
      <xdr:nvSpPr>
        <xdr:cNvPr id="115" name="rect" hidden="1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 rot="19672510">
          <a:off x="7067550" y="12315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451352</xdr:colOff>
      <xdr:row>61</xdr:row>
      <xdr:rowOff>0</xdr:rowOff>
    </xdr:from>
    <xdr:to>
      <xdr:col>8</xdr:col>
      <xdr:colOff>167602</xdr:colOff>
      <xdr:row>69</xdr:row>
      <xdr:rowOff>75649</xdr:rowOff>
    </xdr:to>
    <xdr:sp macro="" textlink="">
      <xdr:nvSpPr>
        <xdr:cNvPr id="116" name="rect" hidden="1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 rot="19672510">
          <a:off x="558643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117" name="rect" hidden="1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118" name="rect" hidden="1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301004</xdr:colOff>
      <xdr:row>61</xdr:row>
      <xdr:rowOff>0</xdr:rowOff>
    </xdr:from>
    <xdr:to>
      <xdr:col>10</xdr:col>
      <xdr:colOff>264736</xdr:colOff>
      <xdr:row>69</xdr:row>
      <xdr:rowOff>75649</xdr:rowOff>
    </xdr:to>
    <xdr:sp macro="" textlink="">
      <xdr:nvSpPr>
        <xdr:cNvPr id="119" name="rect" hidden="1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 rot="19672510">
          <a:off x="7369512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314132</xdr:colOff>
      <xdr:row>61</xdr:row>
      <xdr:rowOff>0</xdr:rowOff>
    </xdr:from>
    <xdr:to>
      <xdr:col>8</xdr:col>
      <xdr:colOff>35063</xdr:colOff>
      <xdr:row>69</xdr:row>
      <xdr:rowOff>75649</xdr:rowOff>
    </xdr:to>
    <xdr:sp macro="" textlink="">
      <xdr:nvSpPr>
        <xdr:cNvPr id="120" name="rect" hidden="1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 rot="19672510">
          <a:off x="5448637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1235739</xdr:colOff>
      <xdr:row>69</xdr:row>
      <xdr:rowOff>75649</xdr:rowOff>
    </xdr:to>
    <xdr:sp macro="" textlink="">
      <xdr:nvSpPr>
        <xdr:cNvPr id="121" name="rect" hidden="1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 rot="19672510">
          <a:off x="7067550" y="121253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22" name="rect" hidden="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23" name="rect" hidden="1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24" name="rect" hidden="1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25" name="rect" hidden="1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26" name="rect" hidden="1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27" name="rect" hidden="1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28" name="rect" hidden="1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29" name="rect" hidden="1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30" name="rect" hidden="1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31" name="rect" hidden="1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32" name="rect" hidden="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33" name="rect" hidden="1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34" name="rect" hidden="1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35" name="rect" hidden="1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36" name="rect" hidden="1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37" name="rect" hidden="1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38" name="rect" hidden="1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39" name="rect" hidden="1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40" name="rect" hidden="1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41" name="rect" hidden="1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42" name="rect" hidden="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43" name="rect" hidden="1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44" name="rect" hidden="1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45" name="rect" hidden="1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 rot="19672510">
          <a:off x="9639300" y="15621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46" name="rect" hidden="1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47" name="rect" hidden="1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48" name="rect" hidden="1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49" name="rect" hidden="1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0" name="rect" hidden="1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1" name="rect" hidden="1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 rot="19672510">
          <a:off x="9639300" y="13716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2" name="rect" hidden="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3" name="rect" hidden="1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4" name="rect" hidden="1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5" name="rect" hidden="1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6" name="rect" hidden="1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7" name="rect" hidden="1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8" name="rect" hidden="1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59" name="rect" hidden="1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60" name="rect" hidden="1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61" name="rect" hidden="1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62" name="rect" hidden="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63" name="rect" hidden="1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64" name="rect" hidden="1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65" name="rect" hidden="1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66" name="rect" hidden="1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67" name="rect" hidden="1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68" name="rect" hidden="1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69" name="rect" hidden="1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70" name="rect" hidden="1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71" name="rect" hidden="1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72" name="rect" hidden="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73" name="rect" hidden="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74" name="rect" hidden="1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12</xdr:col>
      <xdr:colOff>526757</xdr:colOff>
      <xdr:row>14</xdr:row>
      <xdr:rowOff>118869</xdr:rowOff>
    </xdr:to>
    <xdr:sp macro="" textlink="">
      <xdr:nvSpPr>
        <xdr:cNvPr id="175" name="rect" hidden="1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 rot="19672510">
          <a:off x="16678275" y="15621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76" name="rect" hidden="1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77" name="rect" hidden="1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78" name="rect" hidden="1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79" name="rect" hidden="1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80" name="rect" hidden="1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12</xdr:col>
      <xdr:colOff>526757</xdr:colOff>
      <xdr:row>13</xdr:row>
      <xdr:rowOff>128190</xdr:rowOff>
    </xdr:to>
    <xdr:sp macro="" textlink="">
      <xdr:nvSpPr>
        <xdr:cNvPr id="181" name="rect" hidden="1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 rot="19672510">
          <a:off x="16678275" y="1371600"/>
          <a:ext cx="3574377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604385</xdr:colOff>
      <xdr:row>0</xdr:row>
      <xdr:rowOff>0</xdr:rowOff>
    </xdr:from>
    <xdr:to>
      <xdr:col>3</xdr:col>
      <xdr:colOff>872921</xdr:colOff>
      <xdr:row>8</xdr:row>
      <xdr:rowOff>125474</xdr:rowOff>
    </xdr:to>
    <xdr:sp macro="" textlink="">
      <xdr:nvSpPr>
        <xdr:cNvPr id="2" name="rect" hidden="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rot="19672510">
          <a:off x="604857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599131</xdr:colOff>
      <xdr:row>0</xdr:row>
      <xdr:rowOff>0</xdr:rowOff>
    </xdr:from>
    <xdr:to>
      <xdr:col>6</xdr:col>
      <xdr:colOff>478132</xdr:colOff>
      <xdr:row>8</xdr:row>
      <xdr:rowOff>125474</xdr:rowOff>
    </xdr:to>
    <xdr:sp macro="" textlink="">
      <xdr:nvSpPr>
        <xdr:cNvPr id="3" name="rect" hidden="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19672510">
          <a:off x="3790652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479556</xdr:colOff>
      <xdr:row>0</xdr:row>
      <xdr:rowOff>0</xdr:rowOff>
    </xdr:from>
    <xdr:to>
      <xdr:col>6</xdr:col>
      <xdr:colOff>410066</xdr:colOff>
      <xdr:row>8</xdr:row>
      <xdr:rowOff>125474</xdr:rowOff>
    </xdr:to>
    <xdr:sp macro="" textlink="">
      <xdr:nvSpPr>
        <xdr:cNvPr id="4" name="rect" hidden="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 rot="19672510">
          <a:off x="3670637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479556</xdr:colOff>
      <xdr:row>0</xdr:row>
      <xdr:rowOff>0</xdr:rowOff>
    </xdr:from>
    <xdr:to>
      <xdr:col>8</xdr:col>
      <xdr:colOff>412180</xdr:colOff>
      <xdr:row>8</xdr:row>
      <xdr:rowOff>125474</xdr:rowOff>
    </xdr:to>
    <xdr:sp macro="" textlink="">
      <xdr:nvSpPr>
        <xdr:cNvPr id="5" name="rect" hidden="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 rot="19672510">
          <a:off x="6042362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479530</xdr:colOff>
      <xdr:row>0</xdr:row>
      <xdr:rowOff>0</xdr:rowOff>
    </xdr:from>
    <xdr:to>
      <xdr:col>3</xdr:col>
      <xdr:colOff>783437</xdr:colOff>
      <xdr:row>8</xdr:row>
      <xdr:rowOff>125474</xdr:rowOff>
    </xdr:to>
    <xdr:sp macro="" textlink="">
      <xdr:nvSpPr>
        <xdr:cNvPr id="6" name="rect" hidden="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 rot="19672510">
          <a:off x="479762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479556</xdr:colOff>
      <xdr:row>0</xdr:row>
      <xdr:rowOff>0</xdr:rowOff>
    </xdr:from>
    <xdr:to>
      <xdr:col>6</xdr:col>
      <xdr:colOff>410066</xdr:colOff>
      <xdr:row>8</xdr:row>
      <xdr:rowOff>125474</xdr:rowOff>
    </xdr:to>
    <xdr:sp macro="" textlink="">
      <xdr:nvSpPr>
        <xdr:cNvPr id="7" name="rect" hidden="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rot="19672510">
          <a:off x="3670637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604385</xdr:colOff>
      <xdr:row>0</xdr:row>
      <xdr:rowOff>0</xdr:rowOff>
    </xdr:from>
    <xdr:to>
      <xdr:col>3</xdr:col>
      <xdr:colOff>872921</xdr:colOff>
      <xdr:row>8</xdr:row>
      <xdr:rowOff>125474</xdr:rowOff>
    </xdr:to>
    <xdr:sp macro="" textlink="">
      <xdr:nvSpPr>
        <xdr:cNvPr id="8" name="rect" hidden="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 rot="19672510">
          <a:off x="604857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599131</xdr:colOff>
      <xdr:row>0</xdr:row>
      <xdr:rowOff>0</xdr:rowOff>
    </xdr:from>
    <xdr:to>
      <xdr:col>6</xdr:col>
      <xdr:colOff>478132</xdr:colOff>
      <xdr:row>8</xdr:row>
      <xdr:rowOff>125474</xdr:rowOff>
    </xdr:to>
    <xdr:sp macro="" textlink="">
      <xdr:nvSpPr>
        <xdr:cNvPr id="9" name="rect" hidden="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 rot="19672510">
          <a:off x="3790652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479556</xdr:colOff>
      <xdr:row>0</xdr:row>
      <xdr:rowOff>0</xdr:rowOff>
    </xdr:from>
    <xdr:to>
      <xdr:col>6</xdr:col>
      <xdr:colOff>410066</xdr:colOff>
      <xdr:row>8</xdr:row>
      <xdr:rowOff>125474</xdr:rowOff>
    </xdr:to>
    <xdr:sp macro="" textlink="">
      <xdr:nvSpPr>
        <xdr:cNvPr id="10" name="rect" hidden="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rot="19672510">
          <a:off x="3670637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479556</xdr:colOff>
      <xdr:row>0</xdr:row>
      <xdr:rowOff>0</xdr:rowOff>
    </xdr:from>
    <xdr:to>
      <xdr:col>8</xdr:col>
      <xdr:colOff>412180</xdr:colOff>
      <xdr:row>8</xdr:row>
      <xdr:rowOff>125474</xdr:rowOff>
    </xdr:to>
    <xdr:sp macro="" textlink="">
      <xdr:nvSpPr>
        <xdr:cNvPr id="11" name="rect" hidden="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 rot="19672510">
          <a:off x="6042362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479530</xdr:colOff>
      <xdr:row>0</xdr:row>
      <xdr:rowOff>0</xdr:rowOff>
    </xdr:from>
    <xdr:to>
      <xdr:col>3</xdr:col>
      <xdr:colOff>783437</xdr:colOff>
      <xdr:row>8</xdr:row>
      <xdr:rowOff>125474</xdr:rowOff>
    </xdr:to>
    <xdr:sp macro="" textlink="">
      <xdr:nvSpPr>
        <xdr:cNvPr id="12" name="rect" hidden="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 rot="19672510">
          <a:off x="479762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479556</xdr:colOff>
      <xdr:row>0</xdr:row>
      <xdr:rowOff>0</xdr:rowOff>
    </xdr:from>
    <xdr:to>
      <xdr:col>6</xdr:col>
      <xdr:colOff>410066</xdr:colOff>
      <xdr:row>8</xdr:row>
      <xdr:rowOff>125474</xdr:rowOff>
    </xdr:to>
    <xdr:sp macro="" textlink="">
      <xdr:nvSpPr>
        <xdr:cNvPr id="13" name="rect" hidden="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 rot="19672510">
          <a:off x="3670637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451907</xdr:colOff>
      <xdr:row>0</xdr:row>
      <xdr:rowOff>0</xdr:rowOff>
    </xdr:from>
    <xdr:to>
      <xdr:col>3</xdr:col>
      <xdr:colOff>755746</xdr:colOff>
      <xdr:row>8</xdr:row>
      <xdr:rowOff>125474</xdr:rowOff>
    </xdr:to>
    <xdr:sp macro="" textlink="">
      <xdr:nvSpPr>
        <xdr:cNvPr id="14" name="rect" hidden="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 rot="19672510">
          <a:off x="45245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396483</xdr:colOff>
      <xdr:row>0</xdr:row>
      <xdr:rowOff>0</xdr:rowOff>
    </xdr:from>
    <xdr:to>
      <xdr:col>6</xdr:col>
      <xdr:colOff>409543</xdr:colOff>
      <xdr:row>8</xdr:row>
      <xdr:rowOff>125474</xdr:rowOff>
    </xdr:to>
    <xdr:sp macro="" textlink="">
      <xdr:nvSpPr>
        <xdr:cNvPr id="15" name="rect" hidden="1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rot="19672510">
          <a:off x="358745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313411</xdr:colOff>
      <xdr:row>0</xdr:row>
      <xdr:rowOff>0</xdr:rowOff>
    </xdr:from>
    <xdr:to>
      <xdr:col>6</xdr:col>
      <xdr:colOff>339171</xdr:colOff>
      <xdr:row>8</xdr:row>
      <xdr:rowOff>125474</xdr:rowOff>
    </xdr:to>
    <xdr:sp macro="" textlink="">
      <xdr:nvSpPr>
        <xdr:cNvPr id="16" name="rect" hidden="1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 rot="19672510">
          <a:off x="350553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313411</xdr:colOff>
      <xdr:row>0</xdr:row>
      <xdr:rowOff>0</xdr:rowOff>
    </xdr:from>
    <xdr:to>
      <xdr:col>8</xdr:col>
      <xdr:colOff>341285</xdr:colOff>
      <xdr:row>8</xdr:row>
      <xdr:rowOff>125474</xdr:rowOff>
    </xdr:to>
    <xdr:sp macro="" textlink="">
      <xdr:nvSpPr>
        <xdr:cNvPr id="17" name="rect" hidden="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 rot="19672510">
          <a:off x="58772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313794</xdr:colOff>
      <xdr:row>0</xdr:row>
      <xdr:rowOff>0</xdr:rowOff>
    </xdr:from>
    <xdr:to>
      <xdr:col>3</xdr:col>
      <xdr:colOff>619809</xdr:colOff>
      <xdr:row>8</xdr:row>
      <xdr:rowOff>125474</xdr:rowOff>
    </xdr:to>
    <xdr:sp macro="" textlink="">
      <xdr:nvSpPr>
        <xdr:cNvPr id="18" name="rect" hidden="1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 rot="19672510">
          <a:off x="3146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313411</xdr:colOff>
      <xdr:row>0</xdr:row>
      <xdr:rowOff>0</xdr:rowOff>
    </xdr:from>
    <xdr:to>
      <xdr:col>6</xdr:col>
      <xdr:colOff>339171</xdr:colOff>
      <xdr:row>8</xdr:row>
      <xdr:rowOff>125474</xdr:rowOff>
    </xdr:to>
    <xdr:sp macro="" textlink="">
      <xdr:nvSpPr>
        <xdr:cNvPr id="19" name="rect" hidden="1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 rot="19672510">
          <a:off x="350553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451907</xdr:colOff>
      <xdr:row>0</xdr:row>
      <xdr:rowOff>0</xdr:rowOff>
    </xdr:from>
    <xdr:to>
      <xdr:col>3</xdr:col>
      <xdr:colOff>755746</xdr:colOff>
      <xdr:row>8</xdr:row>
      <xdr:rowOff>125474</xdr:rowOff>
    </xdr:to>
    <xdr:sp macro="" textlink="">
      <xdr:nvSpPr>
        <xdr:cNvPr id="20" name="rect" hidden="1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 rot="19672510">
          <a:off x="45245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396483</xdr:colOff>
      <xdr:row>0</xdr:row>
      <xdr:rowOff>0</xdr:rowOff>
    </xdr:from>
    <xdr:to>
      <xdr:col>6</xdr:col>
      <xdr:colOff>409543</xdr:colOff>
      <xdr:row>8</xdr:row>
      <xdr:rowOff>125474</xdr:rowOff>
    </xdr:to>
    <xdr:sp macro="" textlink="">
      <xdr:nvSpPr>
        <xdr:cNvPr id="21" name="rect" hidden="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 rot="19672510">
          <a:off x="358745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313411</xdr:colOff>
      <xdr:row>0</xdr:row>
      <xdr:rowOff>0</xdr:rowOff>
    </xdr:from>
    <xdr:to>
      <xdr:col>6</xdr:col>
      <xdr:colOff>339171</xdr:colOff>
      <xdr:row>8</xdr:row>
      <xdr:rowOff>125474</xdr:rowOff>
    </xdr:to>
    <xdr:sp macro="" textlink="">
      <xdr:nvSpPr>
        <xdr:cNvPr id="22" name="rect" hidden="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 rot="19672510">
          <a:off x="350553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300824</xdr:colOff>
      <xdr:row>0</xdr:row>
      <xdr:rowOff>0</xdr:rowOff>
    </xdr:from>
    <xdr:to>
      <xdr:col>8</xdr:col>
      <xdr:colOff>328698</xdr:colOff>
      <xdr:row>8</xdr:row>
      <xdr:rowOff>125474</xdr:rowOff>
    </xdr:to>
    <xdr:sp macro="" textlink="">
      <xdr:nvSpPr>
        <xdr:cNvPr id="23" name="rect" hidden="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 rot="19672510">
          <a:off x="58645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313794</xdr:colOff>
      <xdr:row>0</xdr:row>
      <xdr:rowOff>0</xdr:rowOff>
    </xdr:from>
    <xdr:to>
      <xdr:col>3</xdr:col>
      <xdr:colOff>619809</xdr:colOff>
      <xdr:row>8</xdr:row>
      <xdr:rowOff>125474</xdr:rowOff>
    </xdr:to>
    <xdr:sp macro="" textlink="">
      <xdr:nvSpPr>
        <xdr:cNvPr id="24" name="rect" hidden="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 rot="19672510">
          <a:off x="3146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313411</xdr:colOff>
      <xdr:row>0</xdr:row>
      <xdr:rowOff>0</xdr:rowOff>
    </xdr:from>
    <xdr:to>
      <xdr:col>6</xdr:col>
      <xdr:colOff>339171</xdr:colOff>
      <xdr:row>8</xdr:row>
      <xdr:rowOff>125474</xdr:rowOff>
    </xdr:to>
    <xdr:sp macro="" textlink="">
      <xdr:nvSpPr>
        <xdr:cNvPr id="25" name="rect" hidden="1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 rot="19672510">
          <a:off x="350553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451907</xdr:colOff>
      <xdr:row>0</xdr:row>
      <xdr:rowOff>0</xdr:rowOff>
    </xdr:from>
    <xdr:to>
      <xdr:col>3</xdr:col>
      <xdr:colOff>755746</xdr:colOff>
      <xdr:row>8</xdr:row>
      <xdr:rowOff>125474</xdr:rowOff>
    </xdr:to>
    <xdr:sp macro="" textlink="">
      <xdr:nvSpPr>
        <xdr:cNvPr id="26" name="rect" hidden="1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 rot="19672510">
          <a:off x="452457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396483</xdr:colOff>
      <xdr:row>0</xdr:row>
      <xdr:rowOff>0</xdr:rowOff>
    </xdr:from>
    <xdr:to>
      <xdr:col>6</xdr:col>
      <xdr:colOff>409543</xdr:colOff>
      <xdr:row>8</xdr:row>
      <xdr:rowOff>125474</xdr:rowOff>
    </xdr:to>
    <xdr:sp macro="" textlink="">
      <xdr:nvSpPr>
        <xdr:cNvPr id="27" name="rect" hidden="1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 rot="19672510">
          <a:off x="3587452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313411</xdr:colOff>
      <xdr:row>0</xdr:row>
      <xdr:rowOff>0</xdr:rowOff>
    </xdr:from>
    <xdr:to>
      <xdr:col>6</xdr:col>
      <xdr:colOff>339171</xdr:colOff>
      <xdr:row>8</xdr:row>
      <xdr:rowOff>125474</xdr:rowOff>
    </xdr:to>
    <xdr:sp macro="" textlink="">
      <xdr:nvSpPr>
        <xdr:cNvPr id="28" name="rect" hidden="1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 rot="19672510">
          <a:off x="3505537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300824</xdr:colOff>
      <xdr:row>0</xdr:row>
      <xdr:rowOff>0</xdr:rowOff>
    </xdr:from>
    <xdr:to>
      <xdr:col>8</xdr:col>
      <xdr:colOff>328698</xdr:colOff>
      <xdr:row>8</xdr:row>
      <xdr:rowOff>125474</xdr:rowOff>
    </xdr:to>
    <xdr:sp macro="" textlink="">
      <xdr:nvSpPr>
        <xdr:cNvPr id="29" name="rect" hidden="1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 rot="19672510">
          <a:off x="5864562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313794</xdr:colOff>
      <xdr:row>0</xdr:row>
      <xdr:rowOff>0</xdr:rowOff>
    </xdr:from>
    <xdr:to>
      <xdr:col>3</xdr:col>
      <xdr:colOff>619809</xdr:colOff>
      <xdr:row>8</xdr:row>
      <xdr:rowOff>125474</xdr:rowOff>
    </xdr:to>
    <xdr:sp macro="" textlink="">
      <xdr:nvSpPr>
        <xdr:cNvPr id="30" name="rect" hidden="1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 rot="19672510">
          <a:off x="314662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313411</xdr:colOff>
      <xdr:row>0</xdr:row>
      <xdr:rowOff>0</xdr:rowOff>
    </xdr:from>
    <xdr:to>
      <xdr:col>6</xdr:col>
      <xdr:colOff>339171</xdr:colOff>
      <xdr:row>8</xdr:row>
      <xdr:rowOff>125474</xdr:rowOff>
    </xdr:to>
    <xdr:sp macro="" textlink="">
      <xdr:nvSpPr>
        <xdr:cNvPr id="31" name="rect" hidden="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 rot="19672510">
          <a:off x="3505537" y="121634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32" name="rect" hidden="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33" name="rect" hidden="1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34" name="rect" hidden="1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35" name="rect" hidden="1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36" name="rect" hidden="1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37" name="rect" hidden="1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38" name="rect" hidden="1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39" name="rect" hidden="1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40" name="rect" hidden="1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41" name="rect" hidden="1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42" name="rect" hidden="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43" name="rect" hidden="1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44" name="rect" hidden="1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45" name="rect" hidden="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46" name="rect" hidden="1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47" name="rect" hidden="1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48" name="rect" hidden="1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49" name="rect" hidden="1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50" name="rect" hidden="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51" name="rect" hidden="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52" name="rect" hidden="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53" name="rect" hidden="1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54" name="rect" hidden="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50304</xdr:rowOff>
    </xdr:to>
    <xdr:sp macro="" textlink="">
      <xdr:nvSpPr>
        <xdr:cNvPr id="55" name="rect" hidden="1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 rot="19672510">
          <a:off x="20754976" y="10572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56" name="rect" hidden="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57" name="rect" hidden="1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58" name="rect" hidden="1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59" name="rect" hidden="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60" name="rect" hidden="1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20</xdr:col>
      <xdr:colOff>1256760</xdr:colOff>
      <xdr:row>8</xdr:row>
      <xdr:rowOff>50303</xdr:rowOff>
    </xdr:to>
    <xdr:sp macro="" textlink="">
      <xdr:nvSpPr>
        <xdr:cNvPr id="61" name="rect" hidden="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 rot="19672510">
          <a:off x="20754976" y="8572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603328</xdr:colOff>
      <xdr:row>0</xdr:row>
      <xdr:rowOff>0</xdr:rowOff>
    </xdr:from>
    <xdr:to>
      <xdr:col>7</xdr:col>
      <xdr:colOff>231381</xdr:colOff>
      <xdr:row>8</xdr:row>
      <xdr:rowOff>125474</xdr:rowOff>
    </xdr:to>
    <xdr:sp macro="" textlink="">
      <xdr:nvSpPr>
        <xdr:cNvPr id="62" name="rect" hidden="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 rot="19672510">
          <a:off x="482443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599131</xdr:colOff>
      <xdr:row>0</xdr:row>
      <xdr:rowOff>0</xdr:rowOff>
    </xdr:from>
    <xdr:to>
      <xdr:col>8</xdr:col>
      <xdr:colOff>481118</xdr:colOff>
      <xdr:row>8</xdr:row>
      <xdr:rowOff>125474</xdr:rowOff>
    </xdr:to>
    <xdr:sp macro="" textlink="">
      <xdr:nvSpPr>
        <xdr:cNvPr id="63" name="rect" hidden="1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 rot="19672510">
          <a:off x="616237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479556</xdr:colOff>
      <xdr:row>0</xdr:row>
      <xdr:rowOff>0</xdr:rowOff>
    </xdr:from>
    <xdr:to>
      <xdr:col>8</xdr:col>
      <xdr:colOff>412180</xdr:colOff>
      <xdr:row>8</xdr:row>
      <xdr:rowOff>125474</xdr:rowOff>
    </xdr:to>
    <xdr:sp macro="" textlink="">
      <xdr:nvSpPr>
        <xdr:cNvPr id="64" name="rect" hidden="1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 rot="19672510">
          <a:off x="60423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479569</xdr:colOff>
      <xdr:row>0</xdr:row>
      <xdr:rowOff>0</xdr:rowOff>
    </xdr:from>
    <xdr:to>
      <xdr:col>9</xdr:col>
      <xdr:colOff>404060</xdr:colOff>
      <xdr:row>8</xdr:row>
      <xdr:rowOff>125474</xdr:rowOff>
    </xdr:to>
    <xdr:sp macro="" textlink="">
      <xdr:nvSpPr>
        <xdr:cNvPr id="65" name="rect" hidden="1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 rot="19672510">
          <a:off x="70710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479569</xdr:colOff>
      <xdr:row>0</xdr:row>
      <xdr:rowOff>0</xdr:rowOff>
    </xdr:from>
    <xdr:to>
      <xdr:col>7</xdr:col>
      <xdr:colOff>141488</xdr:colOff>
      <xdr:row>8</xdr:row>
      <xdr:rowOff>125474</xdr:rowOff>
    </xdr:to>
    <xdr:sp macro="" textlink="">
      <xdr:nvSpPr>
        <xdr:cNvPr id="66" name="rect" hidden="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 rot="19672510">
          <a:off x="469933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479556</xdr:colOff>
      <xdr:row>0</xdr:row>
      <xdr:rowOff>0</xdr:rowOff>
    </xdr:from>
    <xdr:to>
      <xdr:col>8</xdr:col>
      <xdr:colOff>412180</xdr:colOff>
      <xdr:row>8</xdr:row>
      <xdr:rowOff>125474</xdr:rowOff>
    </xdr:to>
    <xdr:sp macro="" textlink="">
      <xdr:nvSpPr>
        <xdr:cNvPr id="67" name="rect" hidden="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 rot="19672510">
          <a:off x="60423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603328</xdr:colOff>
      <xdr:row>0</xdr:row>
      <xdr:rowOff>0</xdr:rowOff>
    </xdr:from>
    <xdr:to>
      <xdr:col>7</xdr:col>
      <xdr:colOff>231381</xdr:colOff>
      <xdr:row>8</xdr:row>
      <xdr:rowOff>125474</xdr:rowOff>
    </xdr:to>
    <xdr:sp macro="" textlink="">
      <xdr:nvSpPr>
        <xdr:cNvPr id="68" name="rect" hidden="1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 rot="19672510">
          <a:off x="482443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599131</xdr:colOff>
      <xdr:row>0</xdr:row>
      <xdr:rowOff>0</xdr:rowOff>
    </xdr:from>
    <xdr:to>
      <xdr:col>8</xdr:col>
      <xdr:colOff>481118</xdr:colOff>
      <xdr:row>8</xdr:row>
      <xdr:rowOff>125474</xdr:rowOff>
    </xdr:to>
    <xdr:sp macro="" textlink="">
      <xdr:nvSpPr>
        <xdr:cNvPr id="69" name="rect" hidden="1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 rot="19672510">
          <a:off x="616237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479556</xdr:colOff>
      <xdr:row>0</xdr:row>
      <xdr:rowOff>0</xdr:rowOff>
    </xdr:from>
    <xdr:to>
      <xdr:col>8</xdr:col>
      <xdr:colOff>412180</xdr:colOff>
      <xdr:row>8</xdr:row>
      <xdr:rowOff>125474</xdr:rowOff>
    </xdr:to>
    <xdr:sp macro="" textlink="">
      <xdr:nvSpPr>
        <xdr:cNvPr id="70" name="rect" hidden="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 rot="19672510">
          <a:off x="60423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479569</xdr:colOff>
      <xdr:row>0</xdr:row>
      <xdr:rowOff>0</xdr:rowOff>
    </xdr:from>
    <xdr:to>
      <xdr:col>9</xdr:col>
      <xdr:colOff>404060</xdr:colOff>
      <xdr:row>8</xdr:row>
      <xdr:rowOff>125474</xdr:rowOff>
    </xdr:to>
    <xdr:sp macro="" textlink="">
      <xdr:nvSpPr>
        <xdr:cNvPr id="71" name="rect" hidden="1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 rot="19672510">
          <a:off x="70710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479569</xdr:colOff>
      <xdr:row>0</xdr:row>
      <xdr:rowOff>0</xdr:rowOff>
    </xdr:from>
    <xdr:to>
      <xdr:col>7</xdr:col>
      <xdr:colOff>141488</xdr:colOff>
      <xdr:row>8</xdr:row>
      <xdr:rowOff>125474</xdr:rowOff>
    </xdr:to>
    <xdr:sp macro="" textlink="">
      <xdr:nvSpPr>
        <xdr:cNvPr id="72" name="rect" hidden="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 rot="19672510">
          <a:off x="469933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479556</xdr:colOff>
      <xdr:row>0</xdr:row>
      <xdr:rowOff>0</xdr:rowOff>
    </xdr:from>
    <xdr:to>
      <xdr:col>8</xdr:col>
      <xdr:colOff>412180</xdr:colOff>
      <xdr:row>8</xdr:row>
      <xdr:rowOff>125474</xdr:rowOff>
    </xdr:to>
    <xdr:sp macro="" textlink="">
      <xdr:nvSpPr>
        <xdr:cNvPr id="73" name="rect" hidden="1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 rot="19672510">
          <a:off x="60423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451723</xdr:colOff>
      <xdr:row>0</xdr:row>
      <xdr:rowOff>0</xdr:rowOff>
    </xdr:from>
    <xdr:to>
      <xdr:col>7</xdr:col>
      <xdr:colOff>113642</xdr:colOff>
      <xdr:row>8</xdr:row>
      <xdr:rowOff>125474</xdr:rowOff>
    </xdr:to>
    <xdr:sp macro="" textlink="">
      <xdr:nvSpPr>
        <xdr:cNvPr id="74" name="rect" hidden="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 rot="19672510">
          <a:off x="4672032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396483</xdr:colOff>
      <xdr:row>0</xdr:row>
      <xdr:rowOff>0</xdr:rowOff>
    </xdr:from>
    <xdr:to>
      <xdr:col>8</xdr:col>
      <xdr:colOff>411657</xdr:colOff>
      <xdr:row>8</xdr:row>
      <xdr:rowOff>125474</xdr:rowOff>
    </xdr:to>
    <xdr:sp macro="" textlink="">
      <xdr:nvSpPr>
        <xdr:cNvPr id="75" name="rect" hidden="1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 rot="19672510">
          <a:off x="5959177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313411</xdr:colOff>
      <xdr:row>0</xdr:row>
      <xdr:rowOff>0</xdr:rowOff>
    </xdr:from>
    <xdr:to>
      <xdr:col>8</xdr:col>
      <xdr:colOff>341285</xdr:colOff>
      <xdr:row>8</xdr:row>
      <xdr:rowOff>125474</xdr:rowOff>
    </xdr:to>
    <xdr:sp macro="" textlink="">
      <xdr:nvSpPr>
        <xdr:cNvPr id="76" name="rect" hidden="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 rot="19672510">
          <a:off x="5877262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314040</xdr:colOff>
      <xdr:row>0</xdr:row>
      <xdr:rowOff>0</xdr:rowOff>
    </xdr:from>
    <xdr:to>
      <xdr:col>9</xdr:col>
      <xdr:colOff>343347</xdr:colOff>
      <xdr:row>8</xdr:row>
      <xdr:rowOff>125474</xdr:rowOff>
    </xdr:to>
    <xdr:sp macro="" textlink="">
      <xdr:nvSpPr>
        <xdr:cNvPr id="77" name="rect" hidden="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 rot="19672510">
          <a:off x="6905962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314040</xdr:colOff>
      <xdr:row>0</xdr:row>
      <xdr:rowOff>0</xdr:rowOff>
    </xdr:from>
    <xdr:to>
      <xdr:col>6</xdr:col>
      <xdr:colOff>1245960</xdr:colOff>
      <xdr:row>8</xdr:row>
      <xdr:rowOff>125474</xdr:rowOff>
    </xdr:to>
    <xdr:sp macro="" textlink="">
      <xdr:nvSpPr>
        <xdr:cNvPr id="78" name="rect" hidden="1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 rot="19672510">
          <a:off x="4534237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313411</xdr:colOff>
      <xdr:row>0</xdr:row>
      <xdr:rowOff>0</xdr:rowOff>
    </xdr:from>
    <xdr:to>
      <xdr:col>8</xdr:col>
      <xdr:colOff>341285</xdr:colOff>
      <xdr:row>8</xdr:row>
      <xdr:rowOff>125474</xdr:rowOff>
    </xdr:to>
    <xdr:sp macro="" textlink="">
      <xdr:nvSpPr>
        <xdr:cNvPr id="79" name="rect" hidden="1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 rot="19672510">
          <a:off x="5877262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451723</xdr:colOff>
      <xdr:row>0</xdr:row>
      <xdr:rowOff>0</xdr:rowOff>
    </xdr:from>
    <xdr:to>
      <xdr:col>7</xdr:col>
      <xdr:colOff>113642</xdr:colOff>
      <xdr:row>8</xdr:row>
      <xdr:rowOff>125474</xdr:rowOff>
    </xdr:to>
    <xdr:sp macro="" textlink="">
      <xdr:nvSpPr>
        <xdr:cNvPr id="80" name="rect" hidden="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 rot="19672510">
          <a:off x="4672032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396483</xdr:colOff>
      <xdr:row>0</xdr:row>
      <xdr:rowOff>0</xdr:rowOff>
    </xdr:from>
    <xdr:to>
      <xdr:col>8</xdr:col>
      <xdr:colOff>411657</xdr:colOff>
      <xdr:row>8</xdr:row>
      <xdr:rowOff>125474</xdr:rowOff>
    </xdr:to>
    <xdr:sp macro="" textlink="">
      <xdr:nvSpPr>
        <xdr:cNvPr id="81" name="rect" hidden="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 rot="19672510">
          <a:off x="5959177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313411</xdr:colOff>
      <xdr:row>0</xdr:row>
      <xdr:rowOff>0</xdr:rowOff>
    </xdr:from>
    <xdr:to>
      <xdr:col>8</xdr:col>
      <xdr:colOff>341285</xdr:colOff>
      <xdr:row>8</xdr:row>
      <xdr:rowOff>125474</xdr:rowOff>
    </xdr:to>
    <xdr:sp macro="" textlink="">
      <xdr:nvSpPr>
        <xdr:cNvPr id="82" name="rect" hidden="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 rot="19672510">
          <a:off x="5877262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301664</xdr:colOff>
      <xdr:row>0</xdr:row>
      <xdr:rowOff>0</xdr:rowOff>
    </xdr:from>
    <xdr:to>
      <xdr:col>9</xdr:col>
      <xdr:colOff>330760</xdr:colOff>
      <xdr:row>8</xdr:row>
      <xdr:rowOff>125474</xdr:rowOff>
    </xdr:to>
    <xdr:sp macro="" textlink="">
      <xdr:nvSpPr>
        <xdr:cNvPr id="83" name="rect" hidden="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 rot="19672510">
          <a:off x="6893262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314040</xdr:colOff>
      <xdr:row>0</xdr:row>
      <xdr:rowOff>0</xdr:rowOff>
    </xdr:from>
    <xdr:to>
      <xdr:col>6</xdr:col>
      <xdr:colOff>1245960</xdr:colOff>
      <xdr:row>8</xdr:row>
      <xdr:rowOff>125474</xdr:rowOff>
    </xdr:to>
    <xdr:sp macro="" textlink="">
      <xdr:nvSpPr>
        <xdr:cNvPr id="84" name="rect" hidden="1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 rot="19672510">
          <a:off x="4534237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313411</xdr:colOff>
      <xdr:row>0</xdr:row>
      <xdr:rowOff>0</xdr:rowOff>
    </xdr:from>
    <xdr:to>
      <xdr:col>8</xdr:col>
      <xdr:colOff>341285</xdr:colOff>
      <xdr:row>8</xdr:row>
      <xdr:rowOff>125474</xdr:rowOff>
    </xdr:to>
    <xdr:sp macro="" textlink="">
      <xdr:nvSpPr>
        <xdr:cNvPr id="85" name="rect" hidden="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 rot="19672510">
          <a:off x="5877262" y="125634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451723</xdr:colOff>
      <xdr:row>0</xdr:row>
      <xdr:rowOff>0</xdr:rowOff>
    </xdr:from>
    <xdr:to>
      <xdr:col>7</xdr:col>
      <xdr:colOff>113642</xdr:colOff>
      <xdr:row>8</xdr:row>
      <xdr:rowOff>125474</xdr:rowOff>
    </xdr:to>
    <xdr:sp macro="" textlink="">
      <xdr:nvSpPr>
        <xdr:cNvPr id="86" name="rect" hidden="1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 rot="19672510">
          <a:off x="467203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396483</xdr:colOff>
      <xdr:row>0</xdr:row>
      <xdr:rowOff>0</xdr:rowOff>
    </xdr:from>
    <xdr:to>
      <xdr:col>8</xdr:col>
      <xdr:colOff>411657</xdr:colOff>
      <xdr:row>8</xdr:row>
      <xdr:rowOff>125474</xdr:rowOff>
    </xdr:to>
    <xdr:sp macro="" textlink="">
      <xdr:nvSpPr>
        <xdr:cNvPr id="87" name="rect" hidden="1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>
        <a:xfrm rot="19672510">
          <a:off x="595917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313411</xdr:colOff>
      <xdr:row>0</xdr:row>
      <xdr:rowOff>0</xdr:rowOff>
    </xdr:from>
    <xdr:to>
      <xdr:col>8</xdr:col>
      <xdr:colOff>341285</xdr:colOff>
      <xdr:row>8</xdr:row>
      <xdr:rowOff>125474</xdr:rowOff>
    </xdr:to>
    <xdr:sp macro="" textlink="">
      <xdr:nvSpPr>
        <xdr:cNvPr id="88" name="rect" hidden="1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 rot="19672510">
          <a:off x="58772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301664</xdr:colOff>
      <xdr:row>0</xdr:row>
      <xdr:rowOff>0</xdr:rowOff>
    </xdr:from>
    <xdr:to>
      <xdr:col>9</xdr:col>
      <xdr:colOff>330760</xdr:colOff>
      <xdr:row>8</xdr:row>
      <xdr:rowOff>125474</xdr:rowOff>
    </xdr:to>
    <xdr:sp macro="" textlink="">
      <xdr:nvSpPr>
        <xdr:cNvPr id="89" name="rect" hidden="1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 rot="19672510">
          <a:off x="68932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314040</xdr:colOff>
      <xdr:row>0</xdr:row>
      <xdr:rowOff>0</xdr:rowOff>
    </xdr:from>
    <xdr:to>
      <xdr:col>6</xdr:col>
      <xdr:colOff>1245960</xdr:colOff>
      <xdr:row>8</xdr:row>
      <xdr:rowOff>125474</xdr:rowOff>
    </xdr:to>
    <xdr:sp macro="" textlink="">
      <xdr:nvSpPr>
        <xdr:cNvPr id="90" name="rect" hidden="1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/>
      </xdr:nvSpPr>
      <xdr:spPr>
        <a:xfrm rot="19672510">
          <a:off x="4534237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313411</xdr:colOff>
      <xdr:row>0</xdr:row>
      <xdr:rowOff>0</xdr:rowOff>
    </xdr:from>
    <xdr:to>
      <xdr:col>8</xdr:col>
      <xdr:colOff>341285</xdr:colOff>
      <xdr:row>8</xdr:row>
      <xdr:rowOff>125474</xdr:rowOff>
    </xdr:to>
    <xdr:sp macro="" textlink="">
      <xdr:nvSpPr>
        <xdr:cNvPr id="91" name="rect" hidden="1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 rot="19672510">
          <a:off x="5877262" y="123634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604385</xdr:colOff>
      <xdr:row>60</xdr:row>
      <xdr:rowOff>0</xdr:rowOff>
    </xdr:from>
    <xdr:to>
      <xdr:col>3</xdr:col>
      <xdr:colOff>563715</xdr:colOff>
      <xdr:row>67</xdr:row>
      <xdr:rowOff>136301</xdr:rowOff>
    </xdr:to>
    <xdr:sp macro="" textlink="">
      <xdr:nvSpPr>
        <xdr:cNvPr id="2" name="rect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rot="19672510">
          <a:off x="60485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599169</xdr:colOff>
      <xdr:row>60</xdr:row>
      <xdr:rowOff>0</xdr:rowOff>
    </xdr:from>
    <xdr:to>
      <xdr:col>6</xdr:col>
      <xdr:colOff>222767</xdr:colOff>
      <xdr:row>67</xdr:row>
      <xdr:rowOff>136301</xdr:rowOff>
    </xdr:to>
    <xdr:sp macro="" textlink="">
      <xdr:nvSpPr>
        <xdr:cNvPr id="3" name="rect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19672510">
          <a:off x="379065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478626</xdr:colOff>
      <xdr:row>60</xdr:row>
      <xdr:rowOff>0</xdr:rowOff>
    </xdr:from>
    <xdr:to>
      <xdr:col>6</xdr:col>
      <xdr:colOff>103648</xdr:colOff>
      <xdr:row>67</xdr:row>
      <xdr:rowOff>136301</xdr:rowOff>
    </xdr:to>
    <xdr:sp macro="" textlink="">
      <xdr:nvSpPr>
        <xdr:cNvPr id="4" name="rect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 rot="19672510">
          <a:off x="36706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60</xdr:row>
      <xdr:rowOff>0</xdr:rowOff>
    </xdr:from>
    <xdr:to>
      <xdr:col>8</xdr:col>
      <xdr:colOff>106361</xdr:colOff>
      <xdr:row>67</xdr:row>
      <xdr:rowOff>136301</xdr:rowOff>
    </xdr:to>
    <xdr:sp macro="" textlink="">
      <xdr:nvSpPr>
        <xdr:cNvPr id="5" name="rect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 rot="19672510">
          <a:off x="604236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479530</xdr:colOff>
      <xdr:row>60</xdr:row>
      <xdr:rowOff>0</xdr:rowOff>
    </xdr:from>
    <xdr:to>
      <xdr:col>3</xdr:col>
      <xdr:colOff>440809</xdr:colOff>
      <xdr:row>67</xdr:row>
      <xdr:rowOff>136301</xdr:rowOff>
    </xdr:to>
    <xdr:sp macro="" textlink="">
      <xdr:nvSpPr>
        <xdr:cNvPr id="6" name="rect" hidden="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 rot="19672510">
          <a:off x="47976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478626</xdr:colOff>
      <xdr:row>60</xdr:row>
      <xdr:rowOff>0</xdr:rowOff>
    </xdr:from>
    <xdr:to>
      <xdr:col>6</xdr:col>
      <xdr:colOff>103648</xdr:colOff>
      <xdr:row>67</xdr:row>
      <xdr:rowOff>136301</xdr:rowOff>
    </xdr:to>
    <xdr:sp macro="" textlink="">
      <xdr:nvSpPr>
        <xdr:cNvPr id="7" name="rect" hidden="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 rot="19672510">
          <a:off x="36706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604385</xdr:colOff>
      <xdr:row>60</xdr:row>
      <xdr:rowOff>0</xdr:rowOff>
    </xdr:from>
    <xdr:to>
      <xdr:col>3</xdr:col>
      <xdr:colOff>563715</xdr:colOff>
      <xdr:row>67</xdr:row>
      <xdr:rowOff>136301</xdr:rowOff>
    </xdr:to>
    <xdr:sp macro="" textlink="">
      <xdr:nvSpPr>
        <xdr:cNvPr id="8" name="rect" hidden="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 rot="19672510">
          <a:off x="60485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599169</xdr:colOff>
      <xdr:row>60</xdr:row>
      <xdr:rowOff>0</xdr:rowOff>
    </xdr:from>
    <xdr:to>
      <xdr:col>6</xdr:col>
      <xdr:colOff>222767</xdr:colOff>
      <xdr:row>67</xdr:row>
      <xdr:rowOff>136301</xdr:rowOff>
    </xdr:to>
    <xdr:sp macro="" textlink="">
      <xdr:nvSpPr>
        <xdr:cNvPr id="9" name="rect" hidden="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 rot="19672510">
          <a:off x="379065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478626</xdr:colOff>
      <xdr:row>60</xdr:row>
      <xdr:rowOff>0</xdr:rowOff>
    </xdr:from>
    <xdr:to>
      <xdr:col>6</xdr:col>
      <xdr:colOff>103648</xdr:colOff>
      <xdr:row>67</xdr:row>
      <xdr:rowOff>136301</xdr:rowOff>
    </xdr:to>
    <xdr:sp macro="" textlink="">
      <xdr:nvSpPr>
        <xdr:cNvPr id="10" name="rect" hidden="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 rot="19672510">
          <a:off x="36706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60</xdr:row>
      <xdr:rowOff>0</xdr:rowOff>
    </xdr:from>
    <xdr:to>
      <xdr:col>8</xdr:col>
      <xdr:colOff>106361</xdr:colOff>
      <xdr:row>67</xdr:row>
      <xdr:rowOff>136301</xdr:rowOff>
    </xdr:to>
    <xdr:sp macro="" textlink="">
      <xdr:nvSpPr>
        <xdr:cNvPr id="11" name="rect" hidden="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 rot="19672510">
          <a:off x="604236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479530</xdr:colOff>
      <xdr:row>60</xdr:row>
      <xdr:rowOff>0</xdr:rowOff>
    </xdr:from>
    <xdr:to>
      <xdr:col>3</xdr:col>
      <xdr:colOff>440809</xdr:colOff>
      <xdr:row>67</xdr:row>
      <xdr:rowOff>136301</xdr:rowOff>
    </xdr:to>
    <xdr:sp macro="" textlink="">
      <xdr:nvSpPr>
        <xdr:cNvPr id="12" name="rect" hidden="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 rot="19672510">
          <a:off x="47976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478626</xdr:colOff>
      <xdr:row>60</xdr:row>
      <xdr:rowOff>0</xdr:rowOff>
    </xdr:from>
    <xdr:to>
      <xdr:col>6</xdr:col>
      <xdr:colOff>103648</xdr:colOff>
      <xdr:row>67</xdr:row>
      <xdr:rowOff>136301</xdr:rowOff>
    </xdr:to>
    <xdr:sp macro="" textlink="">
      <xdr:nvSpPr>
        <xdr:cNvPr id="13" name="rect" hidden="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 rot="19672510">
          <a:off x="36706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451907</xdr:colOff>
      <xdr:row>61</xdr:row>
      <xdr:rowOff>0</xdr:rowOff>
    </xdr:from>
    <xdr:to>
      <xdr:col>3</xdr:col>
      <xdr:colOff>413627</xdr:colOff>
      <xdr:row>68</xdr:row>
      <xdr:rowOff>121443</xdr:rowOff>
    </xdr:to>
    <xdr:sp macro="" textlink="">
      <xdr:nvSpPr>
        <xdr:cNvPr id="14" name="rect" hidden="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 rot="19672510">
          <a:off x="45245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395900</xdr:colOff>
      <xdr:row>61</xdr:row>
      <xdr:rowOff>0</xdr:rowOff>
    </xdr:from>
    <xdr:to>
      <xdr:col>6</xdr:col>
      <xdr:colOff>23204</xdr:colOff>
      <xdr:row>68</xdr:row>
      <xdr:rowOff>121443</xdr:rowOff>
    </xdr:to>
    <xdr:sp macro="" textlink="">
      <xdr:nvSpPr>
        <xdr:cNvPr id="15" name="rect" hidden="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 rot="19672510">
          <a:off x="358745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61</xdr:row>
      <xdr:rowOff>0</xdr:rowOff>
    </xdr:from>
    <xdr:to>
      <xdr:col>5</xdr:col>
      <xdr:colOff>1152249</xdr:colOff>
      <xdr:row>68</xdr:row>
      <xdr:rowOff>121443</xdr:rowOff>
    </xdr:to>
    <xdr:sp macro="" textlink="">
      <xdr:nvSpPr>
        <xdr:cNvPr id="16" name="rect" hidden="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 rot="19672510">
          <a:off x="35055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61</xdr:row>
      <xdr:rowOff>0</xdr:rowOff>
    </xdr:from>
    <xdr:to>
      <xdr:col>7</xdr:col>
      <xdr:colOff>1152249</xdr:colOff>
      <xdr:row>68</xdr:row>
      <xdr:rowOff>121443</xdr:rowOff>
    </xdr:to>
    <xdr:sp macro="" textlink="">
      <xdr:nvSpPr>
        <xdr:cNvPr id="17" name="rect" hidden="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 rot="19672510">
          <a:off x="58772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313794</xdr:colOff>
      <xdr:row>61</xdr:row>
      <xdr:rowOff>0</xdr:rowOff>
    </xdr:from>
    <xdr:to>
      <xdr:col>3</xdr:col>
      <xdr:colOff>276539</xdr:colOff>
      <xdr:row>68</xdr:row>
      <xdr:rowOff>121443</xdr:rowOff>
    </xdr:to>
    <xdr:sp macro="" textlink="">
      <xdr:nvSpPr>
        <xdr:cNvPr id="18" name="rect" hidden="1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19672510">
          <a:off x="3146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61</xdr:row>
      <xdr:rowOff>0</xdr:rowOff>
    </xdr:from>
    <xdr:to>
      <xdr:col>5</xdr:col>
      <xdr:colOff>1152249</xdr:colOff>
      <xdr:row>68</xdr:row>
      <xdr:rowOff>121443</xdr:rowOff>
    </xdr:to>
    <xdr:sp macro="" textlink="">
      <xdr:nvSpPr>
        <xdr:cNvPr id="19" name="rect" hidden="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rot="19672510">
          <a:off x="35055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451907</xdr:colOff>
      <xdr:row>61</xdr:row>
      <xdr:rowOff>0</xdr:rowOff>
    </xdr:from>
    <xdr:to>
      <xdr:col>3</xdr:col>
      <xdr:colOff>413627</xdr:colOff>
      <xdr:row>68</xdr:row>
      <xdr:rowOff>121443</xdr:rowOff>
    </xdr:to>
    <xdr:sp macro="" textlink="">
      <xdr:nvSpPr>
        <xdr:cNvPr id="20" name="rect" hidden="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19672510">
          <a:off x="45245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395900</xdr:colOff>
      <xdr:row>61</xdr:row>
      <xdr:rowOff>0</xdr:rowOff>
    </xdr:from>
    <xdr:to>
      <xdr:col>6</xdr:col>
      <xdr:colOff>23204</xdr:colOff>
      <xdr:row>68</xdr:row>
      <xdr:rowOff>121443</xdr:rowOff>
    </xdr:to>
    <xdr:sp macro="" textlink="">
      <xdr:nvSpPr>
        <xdr:cNvPr id="21" name="rect" hidden="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 rot="19672510">
          <a:off x="358745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61</xdr:row>
      <xdr:rowOff>0</xdr:rowOff>
    </xdr:from>
    <xdr:to>
      <xdr:col>5</xdr:col>
      <xdr:colOff>1152249</xdr:colOff>
      <xdr:row>68</xdr:row>
      <xdr:rowOff>121443</xdr:rowOff>
    </xdr:to>
    <xdr:sp macro="" textlink="">
      <xdr:nvSpPr>
        <xdr:cNvPr id="22" name="rect" hidden="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rot="19672510">
          <a:off x="35055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301357</xdr:colOff>
      <xdr:row>61</xdr:row>
      <xdr:rowOff>0</xdr:rowOff>
    </xdr:from>
    <xdr:to>
      <xdr:col>7</xdr:col>
      <xdr:colOff>1139249</xdr:colOff>
      <xdr:row>68</xdr:row>
      <xdr:rowOff>121443</xdr:rowOff>
    </xdr:to>
    <xdr:sp macro="" textlink="">
      <xdr:nvSpPr>
        <xdr:cNvPr id="23" name="rect" hidden="1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rot="19672510">
          <a:off x="58645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313794</xdr:colOff>
      <xdr:row>61</xdr:row>
      <xdr:rowOff>0</xdr:rowOff>
    </xdr:from>
    <xdr:to>
      <xdr:col>3</xdr:col>
      <xdr:colOff>276539</xdr:colOff>
      <xdr:row>68</xdr:row>
      <xdr:rowOff>121443</xdr:rowOff>
    </xdr:to>
    <xdr:sp macro="" textlink="">
      <xdr:nvSpPr>
        <xdr:cNvPr id="24" name="rect" hidden="1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rot="19672510">
          <a:off x="3146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61</xdr:row>
      <xdr:rowOff>0</xdr:rowOff>
    </xdr:from>
    <xdr:to>
      <xdr:col>5</xdr:col>
      <xdr:colOff>1152249</xdr:colOff>
      <xdr:row>68</xdr:row>
      <xdr:rowOff>121443</xdr:rowOff>
    </xdr:to>
    <xdr:sp macro="" textlink="">
      <xdr:nvSpPr>
        <xdr:cNvPr id="25" name="rect" hidden="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 rot="19672510">
          <a:off x="35055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451907</xdr:colOff>
      <xdr:row>60</xdr:row>
      <xdr:rowOff>0</xdr:rowOff>
    </xdr:from>
    <xdr:to>
      <xdr:col>3</xdr:col>
      <xdr:colOff>413627</xdr:colOff>
      <xdr:row>67</xdr:row>
      <xdr:rowOff>136301</xdr:rowOff>
    </xdr:to>
    <xdr:sp macro="" textlink="">
      <xdr:nvSpPr>
        <xdr:cNvPr id="26" name="rect" hidden="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 rot="19672510">
          <a:off x="45245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395900</xdr:colOff>
      <xdr:row>60</xdr:row>
      <xdr:rowOff>0</xdr:rowOff>
    </xdr:from>
    <xdr:to>
      <xdr:col>6</xdr:col>
      <xdr:colOff>23204</xdr:colOff>
      <xdr:row>67</xdr:row>
      <xdr:rowOff>136301</xdr:rowOff>
    </xdr:to>
    <xdr:sp macro="" textlink="">
      <xdr:nvSpPr>
        <xdr:cNvPr id="27" name="rect" hidden="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 rot="19672510">
          <a:off x="358745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60</xdr:row>
      <xdr:rowOff>0</xdr:rowOff>
    </xdr:from>
    <xdr:to>
      <xdr:col>5</xdr:col>
      <xdr:colOff>1152249</xdr:colOff>
      <xdr:row>67</xdr:row>
      <xdr:rowOff>136301</xdr:rowOff>
    </xdr:to>
    <xdr:sp macro="" textlink="">
      <xdr:nvSpPr>
        <xdr:cNvPr id="28" name="rect" hidden="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 rot="19672510">
          <a:off x="35055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301357</xdr:colOff>
      <xdr:row>60</xdr:row>
      <xdr:rowOff>0</xdr:rowOff>
    </xdr:from>
    <xdr:to>
      <xdr:col>7</xdr:col>
      <xdr:colOff>1139249</xdr:colOff>
      <xdr:row>67</xdr:row>
      <xdr:rowOff>136301</xdr:rowOff>
    </xdr:to>
    <xdr:sp macro="" textlink="">
      <xdr:nvSpPr>
        <xdr:cNvPr id="29" name="rect" hidden="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 rot="19672510">
          <a:off x="586456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0</xdr:col>
      <xdr:colOff>313794</xdr:colOff>
      <xdr:row>60</xdr:row>
      <xdr:rowOff>0</xdr:rowOff>
    </xdr:from>
    <xdr:to>
      <xdr:col>3</xdr:col>
      <xdr:colOff>276539</xdr:colOff>
      <xdr:row>67</xdr:row>
      <xdr:rowOff>136301</xdr:rowOff>
    </xdr:to>
    <xdr:sp macro="" textlink="">
      <xdr:nvSpPr>
        <xdr:cNvPr id="30" name="rect" hidden="1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 rot="19672510">
          <a:off x="314662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314357</xdr:colOff>
      <xdr:row>60</xdr:row>
      <xdr:rowOff>0</xdr:rowOff>
    </xdr:from>
    <xdr:to>
      <xdr:col>5</xdr:col>
      <xdr:colOff>1152249</xdr:colOff>
      <xdr:row>67</xdr:row>
      <xdr:rowOff>136301</xdr:rowOff>
    </xdr:to>
    <xdr:sp macro="" textlink="">
      <xdr:nvSpPr>
        <xdr:cNvPr id="31" name="rect" hidden="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 rot="19672510">
          <a:off x="3505537" y="1232535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32" name="rect" hidden="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33" name="rect" hidden="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34" name="rect" hidden="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35" name="rect" hidden="1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36" name="rect" hidden="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37" name="rect" hidden="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38" name="rect" hidden="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39" name="rect" hidden="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40" name="rect" hidden="1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41" name="rect" hidden="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42" name="rect" hidden="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43" name="rect" hidden="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4" name="rect" hidden="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5" name="rect" hidden="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6" name="rect" hidden="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7" name="rect" hidden="1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8" name="rect" hidden="1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49" name="rect" hidden="1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0" name="rect" hidden="1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1" name="rect" hidden="1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2" name="rect" hidden="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3" name="rect" hidden="1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4" name="rect" hidden="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21</xdr:col>
      <xdr:colOff>460893</xdr:colOff>
      <xdr:row>12</xdr:row>
      <xdr:rowOff>145553</xdr:rowOff>
    </xdr:to>
    <xdr:sp macro="" textlink="">
      <xdr:nvSpPr>
        <xdr:cNvPr id="55" name="rect" hidden="1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 rot="19672510">
          <a:off x="20535900" y="1219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56" name="rect" hidden="1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57" name="rect" hidden="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58" name="rect" hidden="1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59" name="rect" hidden="1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60" name="rect" hidden="1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19</xdr:col>
      <xdr:colOff>0</xdr:colOff>
      <xdr:row>4</xdr:row>
      <xdr:rowOff>0</xdr:rowOff>
    </xdr:from>
    <xdr:to>
      <xdr:col>21</xdr:col>
      <xdr:colOff>460893</xdr:colOff>
      <xdr:row>11</xdr:row>
      <xdr:rowOff>145553</xdr:rowOff>
    </xdr:to>
    <xdr:sp macro="" textlink="">
      <xdr:nvSpPr>
        <xdr:cNvPr id="61" name="rect" hidden="1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 rot="19672510">
          <a:off x="20535900" y="10191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603328</xdr:colOff>
      <xdr:row>61</xdr:row>
      <xdr:rowOff>0</xdr:rowOff>
    </xdr:from>
    <xdr:to>
      <xdr:col>6</xdr:col>
      <xdr:colOff>1426331</xdr:colOff>
      <xdr:row>68</xdr:row>
      <xdr:rowOff>121443</xdr:rowOff>
    </xdr:to>
    <xdr:sp macro="" textlink="">
      <xdr:nvSpPr>
        <xdr:cNvPr id="62" name="rect" hidden="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 rot="19672510">
          <a:off x="482443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599169</xdr:colOff>
      <xdr:row>61</xdr:row>
      <xdr:rowOff>0</xdr:rowOff>
    </xdr:from>
    <xdr:to>
      <xdr:col>8</xdr:col>
      <xdr:colOff>226904</xdr:colOff>
      <xdr:row>68</xdr:row>
      <xdr:rowOff>121443</xdr:rowOff>
    </xdr:to>
    <xdr:sp macro="" textlink="">
      <xdr:nvSpPr>
        <xdr:cNvPr id="63" name="rect" hidden="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 rot="19672510">
          <a:off x="616237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61</xdr:row>
      <xdr:rowOff>0</xdr:rowOff>
    </xdr:from>
    <xdr:to>
      <xdr:col>8</xdr:col>
      <xdr:colOff>106361</xdr:colOff>
      <xdr:row>68</xdr:row>
      <xdr:rowOff>121443</xdr:rowOff>
    </xdr:to>
    <xdr:sp macro="" textlink="">
      <xdr:nvSpPr>
        <xdr:cNvPr id="64" name="rect" hidden="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 rot="19672510">
          <a:off x="60423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479569</xdr:colOff>
      <xdr:row>61</xdr:row>
      <xdr:rowOff>0</xdr:rowOff>
    </xdr:from>
    <xdr:to>
      <xdr:col>9</xdr:col>
      <xdr:colOff>114477</xdr:colOff>
      <xdr:row>68</xdr:row>
      <xdr:rowOff>121443</xdr:rowOff>
    </xdr:to>
    <xdr:sp macro="" textlink="">
      <xdr:nvSpPr>
        <xdr:cNvPr id="65" name="rect" hidden="1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 rot="19672510">
          <a:off x="70710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479569</xdr:colOff>
      <xdr:row>61</xdr:row>
      <xdr:rowOff>0</xdr:rowOff>
    </xdr:from>
    <xdr:to>
      <xdr:col>6</xdr:col>
      <xdr:colOff>1302571</xdr:colOff>
      <xdr:row>68</xdr:row>
      <xdr:rowOff>121443</xdr:rowOff>
    </xdr:to>
    <xdr:sp macro="" textlink="">
      <xdr:nvSpPr>
        <xdr:cNvPr id="66" name="rect" hidden="1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 rot="19672510">
          <a:off x="46993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61</xdr:row>
      <xdr:rowOff>0</xdr:rowOff>
    </xdr:from>
    <xdr:to>
      <xdr:col>8</xdr:col>
      <xdr:colOff>106361</xdr:colOff>
      <xdr:row>68</xdr:row>
      <xdr:rowOff>121443</xdr:rowOff>
    </xdr:to>
    <xdr:sp macro="" textlink="">
      <xdr:nvSpPr>
        <xdr:cNvPr id="67" name="rect" hidden="1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 rot="19672510">
          <a:off x="60423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603328</xdr:colOff>
      <xdr:row>61</xdr:row>
      <xdr:rowOff>0</xdr:rowOff>
    </xdr:from>
    <xdr:to>
      <xdr:col>6</xdr:col>
      <xdr:colOff>1426331</xdr:colOff>
      <xdr:row>68</xdr:row>
      <xdr:rowOff>121443</xdr:rowOff>
    </xdr:to>
    <xdr:sp macro="" textlink="">
      <xdr:nvSpPr>
        <xdr:cNvPr id="68" name="rect" hidden="1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 rot="19672510">
          <a:off x="482443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599169</xdr:colOff>
      <xdr:row>61</xdr:row>
      <xdr:rowOff>0</xdr:rowOff>
    </xdr:from>
    <xdr:to>
      <xdr:col>8</xdr:col>
      <xdr:colOff>226904</xdr:colOff>
      <xdr:row>68</xdr:row>
      <xdr:rowOff>121443</xdr:rowOff>
    </xdr:to>
    <xdr:sp macro="" textlink="">
      <xdr:nvSpPr>
        <xdr:cNvPr id="69" name="rect" hidden="1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 rot="19672510">
          <a:off x="616237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61</xdr:row>
      <xdr:rowOff>0</xdr:rowOff>
    </xdr:from>
    <xdr:to>
      <xdr:col>8</xdr:col>
      <xdr:colOff>106361</xdr:colOff>
      <xdr:row>68</xdr:row>
      <xdr:rowOff>121443</xdr:rowOff>
    </xdr:to>
    <xdr:sp macro="" textlink="">
      <xdr:nvSpPr>
        <xdr:cNvPr id="70" name="rect" hidden="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 rot="19672510">
          <a:off x="60423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479569</xdr:colOff>
      <xdr:row>61</xdr:row>
      <xdr:rowOff>0</xdr:rowOff>
    </xdr:from>
    <xdr:to>
      <xdr:col>9</xdr:col>
      <xdr:colOff>114477</xdr:colOff>
      <xdr:row>68</xdr:row>
      <xdr:rowOff>121443</xdr:rowOff>
    </xdr:to>
    <xdr:sp macro="" textlink="">
      <xdr:nvSpPr>
        <xdr:cNvPr id="71" name="rect" hidden="1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 rot="19672510">
          <a:off x="70710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479569</xdr:colOff>
      <xdr:row>61</xdr:row>
      <xdr:rowOff>0</xdr:rowOff>
    </xdr:from>
    <xdr:to>
      <xdr:col>6</xdr:col>
      <xdr:colOff>1302571</xdr:colOff>
      <xdr:row>68</xdr:row>
      <xdr:rowOff>121443</xdr:rowOff>
    </xdr:to>
    <xdr:sp macro="" textlink="">
      <xdr:nvSpPr>
        <xdr:cNvPr id="72" name="rect" hidden="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 rot="19672510">
          <a:off x="46993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478626</xdr:colOff>
      <xdr:row>61</xdr:row>
      <xdr:rowOff>0</xdr:rowOff>
    </xdr:from>
    <xdr:to>
      <xdr:col>8</xdr:col>
      <xdr:colOff>106361</xdr:colOff>
      <xdr:row>68</xdr:row>
      <xdr:rowOff>121443</xdr:rowOff>
    </xdr:to>
    <xdr:sp macro="" textlink="">
      <xdr:nvSpPr>
        <xdr:cNvPr id="73" name="rect" hidden="1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 rot="19672510">
          <a:off x="60423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451723</xdr:colOff>
      <xdr:row>62</xdr:row>
      <xdr:rowOff>0</xdr:rowOff>
    </xdr:from>
    <xdr:to>
      <xdr:col>6</xdr:col>
      <xdr:colOff>1274725</xdr:colOff>
      <xdr:row>69</xdr:row>
      <xdr:rowOff>113010</xdr:rowOff>
    </xdr:to>
    <xdr:sp macro="" textlink="">
      <xdr:nvSpPr>
        <xdr:cNvPr id="74" name="rect" hidden="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 rot="19672510">
          <a:off x="467203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395900</xdr:colOff>
      <xdr:row>62</xdr:row>
      <xdr:rowOff>0</xdr:rowOff>
    </xdr:from>
    <xdr:to>
      <xdr:col>8</xdr:col>
      <xdr:colOff>23635</xdr:colOff>
      <xdr:row>69</xdr:row>
      <xdr:rowOff>113010</xdr:rowOff>
    </xdr:to>
    <xdr:sp macro="" textlink="">
      <xdr:nvSpPr>
        <xdr:cNvPr id="75" name="rect" hidden="1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 rot="19672510">
          <a:off x="595917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62</xdr:row>
      <xdr:rowOff>0</xdr:rowOff>
    </xdr:from>
    <xdr:to>
      <xdr:col>7</xdr:col>
      <xdr:colOff>1152249</xdr:colOff>
      <xdr:row>69</xdr:row>
      <xdr:rowOff>113010</xdr:rowOff>
    </xdr:to>
    <xdr:sp macro="" textlink="">
      <xdr:nvSpPr>
        <xdr:cNvPr id="76" name="rect" hidden="1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 rot="19672510">
          <a:off x="587726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314040</xdr:colOff>
      <xdr:row>62</xdr:row>
      <xdr:rowOff>0</xdr:rowOff>
    </xdr:from>
    <xdr:to>
      <xdr:col>8</xdr:col>
      <xdr:colOff>1158158</xdr:colOff>
      <xdr:row>69</xdr:row>
      <xdr:rowOff>113010</xdr:rowOff>
    </xdr:to>
    <xdr:sp macro="" textlink="">
      <xdr:nvSpPr>
        <xdr:cNvPr id="77" name="rect" hidden="1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 rot="19672510">
          <a:off x="690596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314040</xdr:colOff>
      <xdr:row>62</xdr:row>
      <xdr:rowOff>0</xdr:rowOff>
    </xdr:from>
    <xdr:to>
      <xdr:col>6</xdr:col>
      <xdr:colOff>1137042</xdr:colOff>
      <xdr:row>69</xdr:row>
      <xdr:rowOff>113010</xdr:rowOff>
    </xdr:to>
    <xdr:sp macro="" textlink="">
      <xdr:nvSpPr>
        <xdr:cNvPr id="78" name="rect" hidden="1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 rot="19672510">
          <a:off x="45342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62</xdr:row>
      <xdr:rowOff>0</xdr:rowOff>
    </xdr:from>
    <xdr:to>
      <xdr:col>7</xdr:col>
      <xdr:colOff>1152249</xdr:colOff>
      <xdr:row>69</xdr:row>
      <xdr:rowOff>113010</xdr:rowOff>
    </xdr:to>
    <xdr:sp macro="" textlink="">
      <xdr:nvSpPr>
        <xdr:cNvPr id="79" name="rect" hidden="1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 rot="19672510">
          <a:off x="587726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451723</xdr:colOff>
      <xdr:row>62</xdr:row>
      <xdr:rowOff>0</xdr:rowOff>
    </xdr:from>
    <xdr:to>
      <xdr:col>6</xdr:col>
      <xdr:colOff>1274725</xdr:colOff>
      <xdr:row>69</xdr:row>
      <xdr:rowOff>113010</xdr:rowOff>
    </xdr:to>
    <xdr:sp macro="" textlink="">
      <xdr:nvSpPr>
        <xdr:cNvPr id="80" name="rect" hidden="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 rot="19672510">
          <a:off x="467203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395900</xdr:colOff>
      <xdr:row>62</xdr:row>
      <xdr:rowOff>0</xdr:rowOff>
    </xdr:from>
    <xdr:to>
      <xdr:col>8</xdr:col>
      <xdr:colOff>23635</xdr:colOff>
      <xdr:row>69</xdr:row>
      <xdr:rowOff>113010</xdr:rowOff>
    </xdr:to>
    <xdr:sp macro="" textlink="">
      <xdr:nvSpPr>
        <xdr:cNvPr id="81" name="rect" hidden="1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 rot="19672510">
          <a:off x="595917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62</xdr:row>
      <xdr:rowOff>0</xdr:rowOff>
    </xdr:from>
    <xdr:to>
      <xdr:col>7</xdr:col>
      <xdr:colOff>1152249</xdr:colOff>
      <xdr:row>69</xdr:row>
      <xdr:rowOff>113010</xdr:rowOff>
    </xdr:to>
    <xdr:sp macro="" textlink="">
      <xdr:nvSpPr>
        <xdr:cNvPr id="82" name="rect" hidden="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 rot="19672510">
          <a:off x="587726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301664</xdr:colOff>
      <xdr:row>62</xdr:row>
      <xdr:rowOff>0</xdr:rowOff>
    </xdr:from>
    <xdr:to>
      <xdr:col>8</xdr:col>
      <xdr:colOff>1145158</xdr:colOff>
      <xdr:row>69</xdr:row>
      <xdr:rowOff>113010</xdr:rowOff>
    </xdr:to>
    <xdr:sp macro="" textlink="">
      <xdr:nvSpPr>
        <xdr:cNvPr id="83" name="rect" hidden="1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 rot="19672510">
          <a:off x="689326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314040</xdr:colOff>
      <xdr:row>62</xdr:row>
      <xdr:rowOff>0</xdr:rowOff>
    </xdr:from>
    <xdr:to>
      <xdr:col>6</xdr:col>
      <xdr:colOff>1137042</xdr:colOff>
      <xdr:row>69</xdr:row>
      <xdr:rowOff>113010</xdr:rowOff>
    </xdr:to>
    <xdr:sp macro="" textlink="">
      <xdr:nvSpPr>
        <xdr:cNvPr id="84" name="rect" hidden="1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 rot="19672510">
          <a:off x="4534237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62</xdr:row>
      <xdr:rowOff>0</xdr:rowOff>
    </xdr:from>
    <xdr:to>
      <xdr:col>7</xdr:col>
      <xdr:colOff>1152249</xdr:colOff>
      <xdr:row>69</xdr:row>
      <xdr:rowOff>113010</xdr:rowOff>
    </xdr:to>
    <xdr:sp macro="" textlink="">
      <xdr:nvSpPr>
        <xdr:cNvPr id="85" name="rect" hidden="1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 rot="19672510">
          <a:off x="5877262" y="127254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451723</xdr:colOff>
      <xdr:row>61</xdr:row>
      <xdr:rowOff>0</xdr:rowOff>
    </xdr:from>
    <xdr:to>
      <xdr:col>6</xdr:col>
      <xdr:colOff>1274725</xdr:colOff>
      <xdr:row>68</xdr:row>
      <xdr:rowOff>121443</xdr:rowOff>
    </xdr:to>
    <xdr:sp macro="" textlink="">
      <xdr:nvSpPr>
        <xdr:cNvPr id="86" name="rect" hidden="1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 rot="19672510">
          <a:off x="467203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395900</xdr:colOff>
      <xdr:row>61</xdr:row>
      <xdr:rowOff>0</xdr:rowOff>
    </xdr:from>
    <xdr:to>
      <xdr:col>8</xdr:col>
      <xdr:colOff>23635</xdr:colOff>
      <xdr:row>68</xdr:row>
      <xdr:rowOff>121443</xdr:rowOff>
    </xdr:to>
    <xdr:sp macro="" textlink="">
      <xdr:nvSpPr>
        <xdr:cNvPr id="87" name="rect" hidden="1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 rot="19672510">
          <a:off x="595917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61</xdr:row>
      <xdr:rowOff>0</xdr:rowOff>
    </xdr:from>
    <xdr:to>
      <xdr:col>7</xdr:col>
      <xdr:colOff>1152249</xdr:colOff>
      <xdr:row>68</xdr:row>
      <xdr:rowOff>121443</xdr:rowOff>
    </xdr:to>
    <xdr:sp macro="" textlink="">
      <xdr:nvSpPr>
        <xdr:cNvPr id="88" name="rect" hidden="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 rot="19672510">
          <a:off x="58772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6</xdr:col>
      <xdr:colOff>301664</xdr:colOff>
      <xdr:row>61</xdr:row>
      <xdr:rowOff>0</xdr:rowOff>
    </xdr:from>
    <xdr:to>
      <xdr:col>8</xdr:col>
      <xdr:colOff>1145158</xdr:colOff>
      <xdr:row>68</xdr:row>
      <xdr:rowOff>121443</xdr:rowOff>
    </xdr:to>
    <xdr:sp macro="" textlink="">
      <xdr:nvSpPr>
        <xdr:cNvPr id="89" name="rect" hidden="1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 rot="19672510">
          <a:off x="68932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314040</xdr:colOff>
      <xdr:row>61</xdr:row>
      <xdr:rowOff>0</xdr:rowOff>
    </xdr:from>
    <xdr:to>
      <xdr:col>6</xdr:col>
      <xdr:colOff>1137042</xdr:colOff>
      <xdr:row>68</xdr:row>
      <xdr:rowOff>121443</xdr:rowOff>
    </xdr:to>
    <xdr:sp macro="" textlink="">
      <xdr:nvSpPr>
        <xdr:cNvPr id="90" name="rect" hidden="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 rot="19672510">
          <a:off x="4534237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314357</xdr:colOff>
      <xdr:row>61</xdr:row>
      <xdr:rowOff>0</xdr:rowOff>
    </xdr:from>
    <xdr:to>
      <xdr:col>7</xdr:col>
      <xdr:colOff>1152249</xdr:colOff>
      <xdr:row>68</xdr:row>
      <xdr:rowOff>121443</xdr:rowOff>
    </xdr:to>
    <xdr:sp macro="" textlink="">
      <xdr:nvSpPr>
        <xdr:cNvPr id="91" name="rect" hidden="1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 rot="19672510">
          <a:off x="5877262" y="125253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604641</xdr:colOff>
      <xdr:row>57</xdr:row>
      <xdr:rowOff>0</xdr:rowOff>
    </xdr:from>
    <xdr:to>
      <xdr:col>4</xdr:col>
      <xdr:colOff>1124308</xdr:colOff>
      <xdr:row>59</xdr:row>
      <xdr:rowOff>334644</xdr:rowOff>
    </xdr:to>
    <xdr:sp macro="" textlink="">
      <xdr:nvSpPr>
        <xdr:cNvPr id="2" name="rect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9672510">
          <a:off x="23384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598711</xdr:colOff>
      <xdr:row>57</xdr:row>
      <xdr:rowOff>0</xdr:rowOff>
    </xdr:from>
    <xdr:to>
      <xdr:col>6</xdr:col>
      <xdr:colOff>83612</xdr:colOff>
      <xdr:row>59</xdr:row>
      <xdr:rowOff>334644</xdr:rowOff>
    </xdr:to>
    <xdr:sp macro="" textlink="">
      <xdr:nvSpPr>
        <xdr:cNvPr id="3" name="rect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9672510">
          <a:off x="36192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4" name="rect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478819</xdr:colOff>
      <xdr:row>57</xdr:row>
      <xdr:rowOff>0</xdr:rowOff>
    </xdr:from>
    <xdr:to>
      <xdr:col>7</xdr:col>
      <xdr:colOff>40364</xdr:colOff>
      <xdr:row>59</xdr:row>
      <xdr:rowOff>334644</xdr:rowOff>
    </xdr:to>
    <xdr:sp macro="" textlink="">
      <xdr:nvSpPr>
        <xdr:cNvPr id="5" name="rect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rot="19672510">
          <a:off x="47850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478608</xdr:colOff>
      <xdr:row>57</xdr:row>
      <xdr:rowOff>0</xdr:rowOff>
    </xdr:from>
    <xdr:to>
      <xdr:col>4</xdr:col>
      <xdr:colOff>1000013</xdr:colOff>
      <xdr:row>59</xdr:row>
      <xdr:rowOff>334644</xdr:rowOff>
    </xdr:to>
    <xdr:sp macro="" textlink="">
      <xdr:nvSpPr>
        <xdr:cNvPr id="6" name="rect" hidden="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9672510">
          <a:off x="22133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7" name="rect" hidden="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604641</xdr:colOff>
      <xdr:row>57</xdr:row>
      <xdr:rowOff>0</xdr:rowOff>
    </xdr:from>
    <xdr:to>
      <xdr:col>4</xdr:col>
      <xdr:colOff>1124308</xdr:colOff>
      <xdr:row>59</xdr:row>
      <xdr:rowOff>334644</xdr:rowOff>
    </xdr:to>
    <xdr:sp macro="" textlink="">
      <xdr:nvSpPr>
        <xdr:cNvPr id="8" name="rect" hidden="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 rot="19672510">
          <a:off x="23384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598711</xdr:colOff>
      <xdr:row>57</xdr:row>
      <xdr:rowOff>0</xdr:rowOff>
    </xdr:from>
    <xdr:to>
      <xdr:col>6</xdr:col>
      <xdr:colOff>83612</xdr:colOff>
      <xdr:row>59</xdr:row>
      <xdr:rowOff>334644</xdr:rowOff>
    </xdr:to>
    <xdr:sp macro="" textlink="">
      <xdr:nvSpPr>
        <xdr:cNvPr id="9" name="rect" hidden="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 rot="19672510">
          <a:off x="36192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10" name="rect" hidden="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478819</xdr:colOff>
      <xdr:row>57</xdr:row>
      <xdr:rowOff>0</xdr:rowOff>
    </xdr:from>
    <xdr:to>
      <xdr:col>7</xdr:col>
      <xdr:colOff>40364</xdr:colOff>
      <xdr:row>59</xdr:row>
      <xdr:rowOff>334644</xdr:rowOff>
    </xdr:to>
    <xdr:sp macro="" textlink="">
      <xdr:nvSpPr>
        <xdr:cNvPr id="11" name="rect" hidden="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 rot="19672510">
          <a:off x="47850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478608</xdr:colOff>
      <xdr:row>57</xdr:row>
      <xdr:rowOff>0</xdr:rowOff>
    </xdr:from>
    <xdr:to>
      <xdr:col>4</xdr:col>
      <xdr:colOff>1000013</xdr:colOff>
      <xdr:row>59</xdr:row>
      <xdr:rowOff>334644</xdr:rowOff>
    </xdr:to>
    <xdr:sp macro="" textlink="">
      <xdr:nvSpPr>
        <xdr:cNvPr id="12" name="rect" hidden="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 rot="19672510">
          <a:off x="22133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13" name="rect" hidden="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14" name="rect" hidden="1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15" name="rect" hidden="1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16" name="rect" hidden="1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313563</xdr:colOff>
      <xdr:row>57</xdr:row>
      <xdr:rowOff>0</xdr:rowOff>
    </xdr:from>
    <xdr:to>
      <xdr:col>7</xdr:col>
      <xdr:colOff>4943</xdr:colOff>
      <xdr:row>59</xdr:row>
      <xdr:rowOff>334644</xdr:rowOff>
    </xdr:to>
    <xdr:sp macro="" textlink="">
      <xdr:nvSpPr>
        <xdr:cNvPr id="17" name="rect" hidden="1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 rot="19672510">
          <a:off x="46199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18" name="rect" hidden="1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19" name="rect" hidden="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20" name="rect" hidden="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21" name="rect" hidden="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22" name="rect" hidden="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300851</xdr:colOff>
      <xdr:row>57</xdr:row>
      <xdr:rowOff>0</xdr:rowOff>
    </xdr:from>
    <xdr:to>
      <xdr:col>7</xdr:col>
      <xdr:colOff>4668</xdr:colOff>
      <xdr:row>59</xdr:row>
      <xdr:rowOff>334644</xdr:rowOff>
    </xdr:to>
    <xdr:sp macro="" textlink="">
      <xdr:nvSpPr>
        <xdr:cNvPr id="23" name="rect" hidden="1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 rot="19672510">
          <a:off x="46072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24" name="rect" hidden="1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25" name="rect" hidden="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26" name="rect" hidden="1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27" name="rect" hidden="1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28" name="rect" hidden="1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300851</xdr:colOff>
      <xdr:row>57</xdr:row>
      <xdr:rowOff>0</xdr:rowOff>
    </xdr:from>
    <xdr:to>
      <xdr:col>7</xdr:col>
      <xdr:colOff>4668</xdr:colOff>
      <xdr:row>59</xdr:row>
      <xdr:rowOff>334644</xdr:rowOff>
    </xdr:to>
    <xdr:sp macro="" textlink="">
      <xdr:nvSpPr>
        <xdr:cNvPr id="29" name="rect" hidden="1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 rot="19672510">
          <a:off x="46072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30" name="rect" hidden="1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31" name="rect" hidden="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604641</xdr:colOff>
      <xdr:row>57</xdr:row>
      <xdr:rowOff>0</xdr:rowOff>
    </xdr:from>
    <xdr:to>
      <xdr:col>4</xdr:col>
      <xdr:colOff>1124308</xdr:colOff>
      <xdr:row>59</xdr:row>
      <xdr:rowOff>334644</xdr:rowOff>
    </xdr:to>
    <xdr:sp macro="" textlink="">
      <xdr:nvSpPr>
        <xdr:cNvPr id="32" name="rect" hidden="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 rot="19672510">
          <a:off x="23384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598711</xdr:colOff>
      <xdr:row>57</xdr:row>
      <xdr:rowOff>0</xdr:rowOff>
    </xdr:from>
    <xdr:to>
      <xdr:col>6</xdr:col>
      <xdr:colOff>83612</xdr:colOff>
      <xdr:row>59</xdr:row>
      <xdr:rowOff>334644</xdr:rowOff>
    </xdr:to>
    <xdr:sp macro="" textlink="">
      <xdr:nvSpPr>
        <xdr:cNvPr id="33" name="rect" hidden="1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 rot="19672510">
          <a:off x="36192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34" name="rect" hidden="1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478819</xdr:colOff>
      <xdr:row>57</xdr:row>
      <xdr:rowOff>0</xdr:rowOff>
    </xdr:from>
    <xdr:to>
      <xdr:col>7</xdr:col>
      <xdr:colOff>40364</xdr:colOff>
      <xdr:row>59</xdr:row>
      <xdr:rowOff>334644</xdr:rowOff>
    </xdr:to>
    <xdr:sp macro="" textlink="">
      <xdr:nvSpPr>
        <xdr:cNvPr id="35" name="rect" hidden="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 rot="19672510">
          <a:off x="47850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478608</xdr:colOff>
      <xdr:row>57</xdr:row>
      <xdr:rowOff>0</xdr:rowOff>
    </xdr:from>
    <xdr:to>
      <xdr:col>4</xdr:col>
      <xdr:colOff>1000013</xdr:colOff>
      <xdr:row>59</xdr:row>
      <xdr:rowOff>334644</xdr:rowOff>
    </xdr:to>
    <xdr:sp macro="" textlink="">
      <xdr:nvSpPr>
        <xdr:cNvPr id="36" name="rect" hidden="1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 rot="19672510">
          <a:off x="22133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37" name="rect" hidden="1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604641</xdr:colOff>
      <xdr:row>57</xdr:row>
      <xdr:rowOff>0</xdr:rowOff>
    </xdr:from>
    <xdr:to>
      <xdr:col>4</xdr:col>
      <xdr:colOff>1124308</xdr:colOff>
      <xdr:row>59</xdr:row>
      <xdr:rowOff>334644</xdr:rowOff>
    </xdr:to>
    <xdr:sp macro="" textlink="">
      <xdr:nvSpPr>
        <xdr:cNvPr id="38" name="rect" hidden="1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 rot="19672510">
          <a:off x="23384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598711</xdr:colOff>
      <xdr:row>57</xdr:row>
      <xdr:rowOff>0</xdr:rowOff>
    </xdr:from>
    <xdr:to>
      <xdr:col>6</xdr:col>
      <xdr:colOff>83612</xdr:colOff>
      <xdr:row>59</xdr:row>
      <xdr:rowOff>334644</xdr:rowOff>
    </xdr:to>
    <xdr:sp macro="" textlink="">
      <xdr:nvSpPr>
        <xdr:cNvPr id="39" name="rect" hidden="1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 rot="19672510">
          <a:off x="36192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40" name="rect" hidden="1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478819</xdr:colOff>
      <xdr:row>57</xdr:row>
      <xdr:rowOff>0</xdr:rowOff>
    </xdr:from>
    <xdr:to>
      <xdr:col>7</xdr:col>
      <xdr:colOff>40364</xdr:colOff>
      <xdr:row>59</xdr:row>
      <xdr:rowOff>334644</xdr:rowOff>
    </xdr:to>
    <xdr:sp macro="" textlink="">
      <xdr:nvSpPr>
        <xdr:cNvPr id="41" name="rect" hidden="1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 rot="19672510">
          <a:off x="47850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478608</xdr:colOff>
      <xdr:row>57</xdr:row>
      <xdr:rowOff>0</xdr:rowOff>
    </xdr:from>
    <xdr:to>
      <xdr:col>4</xdr:col>
      <xdr:colOff>1000013</xdr:colOff>
      <xdr:row>59</xdr:row>
      <xdr:rowOff>334644</xdr:rowOff>
    </xdr:to>
    <xdr:sp macro="" textlink="">
      <xdr:nvSpPr>
        <xdr:cNvPr id="42" name="rect" hidden="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 rot="19672510">
          <a:off x="22133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43" name="rect" hidden="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44" name="rect" hidden="1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45" name="rect" hidden="1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46" name="rect" hidden="1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313563</xdr:colOff>
      <xdr:row>57</xdr:row>
      <xdr:rowOff>0</xdr:rowOff>
    </xdr:from>
    <xdr:to>
      <xdr:col>7</xdr:col>
      <xdr:colOff>4943</xdr:colOff>
      <xdr:row>59</xdr:row>
      <xdr:rowOff>334644</xdr:rowOff>
    </xdr:to>
    <xdr:sp macro="" textlink="">
      <xdr:nvSpPr>
        <xdr:cNvPr id="47" name="rect" hidden="1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 rot="19672510">
          <a:off x="46199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48" name="rect" hidden="1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49" name="rect" hidden="1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50" name="rect" hidden="1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51" name="rect" hidden="1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52" name="rect" hidden="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300851</xdr:colOff>
      <xdr:row>57</xdr:row>
      <xdr:rowOff>0</xdr:rowOff>
    </xdr:from>
    <xdr:to>
      <xdr:col>7</xdr:col>
      <xdr:colOff>4668</xdr:colOff>
      <xdr:row>59</xdr:row>
      <xdr:rowOff>334644</xdr:rowOff>
    </xdr:to>
    <xdr:sp macro="" textlink="">
      <xdr:nvSpPr>
        <xdr:cNvPr id="53" name="rect" hidden="1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 rot="19672510">
          <a:off x="46072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54" name="rect" hidden="1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55" name="rect" hidden="1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56" name="rect" hidden="1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57" name="rect" hidden="1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58" name="rect" hidden="1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300851</xdr:colOff>
      <xdr:row>57</xdr:row>
      <xdr:rowOff>0</xdr:rowOff>
    </xdr:from>
    <xdr:to>
      <xdr:col>7</xdr:col>
      <xdr:colOff>4668</xdr:colOff>
      <xdr:row>59</xdr:row>
      <xdr:rowOff>334644</xdr:rowOff>
    </xdr:to>
    <xdr:sp macro="" textlink="">
      <xdr:nvSpPr>
        <xdr:cNvPr id="59" name="rect" hidden="1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/>
      </xdr:nvSpPr>
      <xdr:spPr>
        <a:xfrm rot="19672510">
          <a:off x="46072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60" name="rect" hidden="1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61" name="rect" hidden="1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604641</xdr:colOff>
      <xdr:row>57</xdr:row>
      <xdr:rowOff>0</xdr:rowOff>
    </xdr:from>
    <xdr:to>
      <xdr:col>4</xdr:col>
      <xdr:colOff>1124308</xdr:colOff>
      <xdr:row>59</xdr:row>
      <xdr:rowOff>334644</xdr:rowOff>
    </xdr:to>
    <xdr:sp macro="" textlink="">
      <xdr:nvSpPr>
        <xdr:cNvPr id="62" name="rect" hidden="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/>
      </xdr:nvSpPr>
      <xdr:spPr>
        <a:xfrm rot="19672510">
          <a:off x="23384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598711</xdr:colOff>
      <xdr:row>57</xdr:row>
      <xdr:rowOff>0</xdr:rowOff>
    </xdr:from>
    <xdr:to>
      <xdr:col>6</xdr:col>
      <xdr:colOff>83612</xdr:colOff>
      <xdr:row>59</xdr:row>
      <xdr:rowOff>334644</xdr:rowOff>
    </xdr:to>
    <xdr:sp macro="" textlink="">
      <xdr:nvSpPr>
        <xdr:cNvPr id="63" name="rect" hidden="1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/>
      </xdr:nvSpPr>
      <xdr:spPr>
        <a:xfrm rot="19672510">
          <a:off x="36192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64" name="rect" hidden="1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478819</xdr:colOff>
      <xdr:row>57</xdr:row>
      <xdr:rowOff>0</xdr:rowOff>
    </xdr:from>
    <xdr:to>
      <xdr:col>7</xdr:col>
      <xdr:colOff>40364</xdr:colOff>
      <xdr:row>59</xdr:row>
      <xdr:rowOff>334644</xdr:rowOff>
    </xdr:to>
    <xdr:sp macro="" textlink="">
      <xdr:nvSpPr>
        <xdr:cNvPr id="65" name="rect" hidden="1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/>
      </xdr:nvSpPr>
      <xdr:spPr>
        <a:xfrm rot="19672510">
          <a:off x="47850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478608</xdr:colOff>
      <xdr:row>57</xdr:row>
      <xdr:rowOff>0</xdr:rowOff>
    </xdr:from>
    <xdr:to>
      <xdr:col>4</xdr:col>
      <xdr:colOff>1000013</xdr:colOff>
      <xdr:row>59</xdr:row>
      <xdr:rowOff>334644</xdr:rowOff>
    </xdr:to>
    <xdr:sp macro="" textlink="">
      <xdr:nvSpPr>
        <xdr:cNvPr id="66" name="rect" hidden="1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/>
      </xdr:nvSpPr>
      <xdr:spPr>
        <a:xfrm rot="19672510">
          <a:off x="22133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67" name="rect" hidden="1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604641</xdr:colOff>
      <xdr:row>57</xdr:row>
      <xdr:rowOff>0</xdr:rowOff>
    </xdr:from>
    <xdr:to>
      <xdr:col>4</xdr:col>
      <xdr:colOff>1124308</xdr:colOff>
      <xdr:row>59</xdr:row>
      <xdr:rowOff>334644</xdr:rowOff>
    </xdr:to>
    <xdr:sp macro="" textlink="">
      <xdr:nvSpPr>
        <xdr:cNvPr id="68" name="rect" hidden="1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/>
      </xdr:nvSpPr>
      <xdr:spPr>
        <a:xfrm rot="19672510">
          <a:off x="23384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598711</xdr:colOff>
      <xdr:row>57</xdr:row>
      <xdr:rowOff>0</xdr:rowOff>
    </xdr:from>
    <xdr:to>
      <xdr:col>6</xdr:col>
      <xdr:colOff>83612</xdr:colOff>
      <xdr:row>59</xdr:row>
      <xdr:rowOff>334644</xdr:rowOff>
    </xdr:to>
    <xdr:sp macro="" textlink="">
      <xdr:nvSpPr>
        <xdr:cNvPr id="69" name="rect" hidden="1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/>
      </xdr:nvSpPr>
      <xdr:spPr>
        <a:xfrm rot="19672510">
          <a:off x="36192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70" name="rect" hidden="1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478819</xdr:colOff>
      <xdr:row>57</xdr:row>
      <xdr:rowOff>0</xdr:rowOff>
    </xdr:from>
    <xdr:to>
      <xdr:col>7</xdr:col>
      <xdr:colOff>40364</xdr:colOff>
      <xdr:row>59</xdr:row>
      <xdr:rowOff>334644</xdr:rowOff>
    </xdr:to>
    <xdr:sp macro="" textlink="">
      <xdr:nvSpPr>
        <xdr:cNvPr id="71" name="rect" hidden="1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 rot="19672510">
          <a:off x="47850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478608</xdr:colOff>
      <xdr:row>57</xdr:row>
      <xdr:rowOff>0</xdr:rowOff>
    </xdr:from>
    <xdr:to>
      <xdr:col>4</xdr:col>
      <xdr:colOff>1000013</xdr:colOff>
      <xdr:row>59</xdr:row>
      <xdr:rowOff>334644</xdr:rowOff>
    </xdr:to>
    <xdr:sp macro="" textlink="">
      <xdr:nvSpPr>
        <xdr:cNvPr id="72" name="rect" hidden="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 rot="19672510">
          <a:off x="22133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73" name="rect" hidden="1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74" name="rect" hidden="1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75" name="rect" hidden="1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76" name="rect" hidden="1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313563</xdr:colOff>
      <xdr:row>57</xdr:row>
      <xdr:rowOff>0</xdr:rowOff>
    </xdr:from>
    <xdr:to>
      <xdr:col>7</xdr:col>
      <xdr:colOff>4943</xdr:colOff>
      <xdr:row>59</xdr:row>
      <xdr:rowOff>334644</xdr:rowOff>
    </xdr:to>
    <xdr:sp macro="" textlink="">
      <xdr:nvSpPr>
        <xdr:cNvPr id="77" name="rect" hidden="1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/>
      </xdr:nvSpPr>
      <xdr:spPr>
        <a:xfrm rot="19672510">
          <a:off x="46199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78" name="rect" hidden="1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79" name="rect" hidden="1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80" name="rect" hidden="1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81" name="rect" hidden="1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82" name="rect" hidden="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300851</xdr:colOff>
      <xdr:row>57</xdr:row>
      <xdr:rowOff>0</xdr:rowOff>
    </xdr:from>
    <xdr:to>
      <xdr:col>7</xdr:col>
      <xdr:colOff>4668</xdr:colOff>
      <xdr:row>59</xdr:row>
      <xdr:rowOff>334644</xdr:rowOff>
    </xdr:to>
    <xdr:sp macro="" textlink="">
      <xdr:nvSpPr>
        <xdr:cNvPr id="83" name="rect" hidden="1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/>
      </xdr:nvSpPr>
      <xdr:spPr>
        <a:xfrm rot="19672510">
          <a:off x="46072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84" name="rect" hidden="1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85" name="rect" hidden="1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86" name="rect" hidden="1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87" name="rect" hidden="1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88" name="rect" hidden="1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300851</xdr:colOff>
      <xdr:row>57</xdr:row>
      <xdr:rowOff>0</xdr:rowOff>
    </xdr:from>
    <xdr:to>
      <xdr:col>7</xdr:col>
      <xdr:colOff>4668</xdr:colOff>
      <xdr:row>59</xdr:row>
      <xdr:rowOff>334644</xdr:rowOff>
    </xdr:to>
    <xdr:sp macro="" textlink="">
      <xdr:nvSpPr>
        <xdr:cNvPr id="89" name="rect" hidden="1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/>
      </xdr:nvSpPr>
      <xdr:spPr>
        <a:xfrm rot="19672510">
          <a:off x="46072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90" name="rect" hidden="1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91" name="rect" hidden="1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604641</xdr:colOff>
      <xdr:row>57</xdr:row>
      <xdr:rowOff>0</xdr:rowOff>
    </xdr:from>
    <xdr:to>
      <xdr:col>4</xdr:col>
      <xdr:colOff>1124308</xdr:colOff>
      <xdr:row>59</xdr:row>
      <xdr:rowOff>334644</xdr:rowOff>
    </xdr:to>
    <xdr:sp macro="" textlink="">
      <xdr:nvSpPr>
        <xdr:cNvPr id="92" name="rect" hidden="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/>
      </xdr:nvSpPr>
      <xdr:spPr>
        <a:xfrm rot="19672510">
          <a:off x="23384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598711</xdr:colOff>
      <xdr:row>57</xdr:row>
      <xdr:rowOff>0</xdr:rowOff>
    </xdr:from>
    <xdr:to>
      <xdr:col>6</xdr:col>
      <xdr:colOff>83612</xdr:colOff>
      <xdr:row>59</xdr:row>
      <xdr:rowOff>334644</xdr:rowOff>
    </xdr:to>
    <xdr:sp macro="" textlink="">
      <xdr:nvSpPr>
        <xdr:cNvPr id="93" name="rect" hidden="1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/>
      </xdr:nvSpPr>
      <xdr:spPr>
        <a:xfrm rot="19672510">
          <a:off x="36192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94" name="rect" hidden="1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478819</xdr:colOff>
      <xdr:row>57</xdr:row>
      <xdr:rowOff>0</xdr:rowOff>
    </xdr:from>
    <xdr:to>
      <xdr:col>7</xdr:col>
      <xdr:colOff>40364</xdr:colOff>
      <xdr:row>59</xdr:row>
      <xdr:rowOff>334644</xdr:rowOff>
    </xdr:to>
    <xdr:sp macro="" textlink="">
      <xdr:nvSpPr>
        <xdr:cNvPr id="95" name="rect" hidden="1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/>
      </xdr:nvSpPr>
      <xdr:spPr>
        <a:xfrm rot="19672510">
          <a:off x="47850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478608</xdr:colOff>
      <xdr:row>57</xdr:row>
      <xdr:rowOff>0</xdr:rowOff>
    </xdr:from>
    <xdr:to>
      <xdr:col>4</xdr:col>
      <xdr:colOff>1000013</xdr:colOff>
      <xdr:row>59</xdr:row>
      <xdr:rowOff>334644</xdr:rowOff>
    </xdr:to>
    <xdr:sp macro="" textlink="">
      <xdr:nvSpPr>
        <xdr:cNvPr id="96" name="rect" hidden="1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/>
      </xdr:nvSpPr>
      <xdr:spPr>
        <a:xfrm rot="19672510">
          <a:off x="22133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97" name="rect" hidden="1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604641</xdr:colOff>
      <xdr:row>57</xdr:row>
      <xdr:rowOff>0</xdr:rowOff>
    </xdr:from>
    <xdr:to>
      <xdr:col>4</xdr:col>
      <xdr:colOff>1124308</xdr:colOff>
      <xdr:row>59</xdr:row>
      <xdr:rowOff>334644</xdr:rowOff>
    </xdr:to>
    <xdr:sp macro="" textlink="">
      <xdr:nvSpPr>
        <xdr:cNvPr id="98" name="rect" hidden="1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/>
      </xdr:nvSpPr>
      <xdr:spPr>
        <a:xfrm rot="19672510">
          <a:off x="23384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598711</xdr:colOff>
      <xdr:row>57</xdr:row>
      <xdr:rowOff>0</xdr:rowOff>
    </xdr:from>
    <xdr:to>
      <xdr:col>6</xdr:col>
      <xdr:colOff>83612</xdr:colOff>
      <xdr:row>59</xdr:row>
      <xdr:rowOff>334644</xdr:rowOff>
    </xdr:to>
    <xdr:sp macro="" textlink="">
      <xdr:nvSpPr>
        <xdr:cNvPr id="99" name="rect" hidden="1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/>
      </xdr:nvSpPr>
      <xdr:spPr>
        <a:xfrm rot="19672510">
          <a:off x="36192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100" name="rect" hidden="1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478819</xdr:colOff>
      <xdr:row>57</xdr:row>
      <xdr:rowOff>0</xdr:rowOff>
    </xdr:from>
    <xdr:to>
      <xdr:col>7</xdr:col>
      <xdr:colOff>40364</xdr:colOff>
      <xdr:row>59</xdr:row>
      <xdr:rowOff>334644</xdr:rowOff>
    </xdr:to>
    <xdr:sp macro="" textlink="">
      <xdr:nvSpPr>
        <xdr:cNvPr id="101" name="rect" hidden="1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/>
      </xdr:nvSpPr>
      <xdr:spPr>
        <a:xfrm rot="19672510">
          <a:off x="47850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478608</xdr:colOff>
      <xdr:row>57</xdr:row>
      <xdr:rowOff>0</xdr:rowOff>
    </xdr:from>
    <xdr:to>
      <xdr:col>4</xdr:col>
      <xdr:colOff>1000013</xdr:colOff>
      <xdr:row>59</xdr:row>
      <xdr:rowOff>334644</xdr:rowOff>
    </xdr:to>
    <xdr:sp macro="" textlink="">
      <xdr:nvSpPr>
        <xdr:cNvPr id="102" name="rect" hidden="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/>
      </xdr:nvSpPr>
      <xdr:spPr>
        <a:xfrm rot="19672510">
          <a:off x="22133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479565</xdr:colOff>
      <xdr:row>57</xdr:row>
      <xdr:rowOff>0</xdr:rowOff>
    </xdr:from>
    <xdr:to>
      <xdr:col>6</xdr:col>
      <xdr:colOff>385</xdr:colOff>
      <xdr:row>59</xdr:row>
      <xdr:rowOff>334644</xdr:rowOff>
    </xdr:to>
    <xdr:sp macro="" textlink="">
      <xdr:nvSpPr>
        <xdr:cNvPr id="103" name="rect" hidden="1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/>
      </xdr:nvSpPr>
      <xdr:spPr>
        <a:xfrm rot="19672510">
          <a:off x="34991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104" name="rect" hidden="1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105" name="rect" hidden="1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106" name="rect" hidden="1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313563</xdr:colOff>
      <xdr:row>57</xdr:row>
      <xdr:rowOff>0</xdr:rowOff>
    </xdr:from>
    <xdr:to>
      <xdr:col>7</xdr:col>
      <xdr:colOff>4943</xdr:colOff>
      <xdr:row>59</xdr:row>
      <xdr:rowOff>334644</xdr:rowOff>
    </xdr:to>
    <xdr:sp macro="" textlink="">
      <xdr:nvSpPr>
        <xdr:cNvPr id="107" name="rect" hidden="1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/>
      </xdr:nvSpPr>
      <xdr:spPr>
        <a:xfrm rot="19672510">
          <a:off x="46199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108" name="rect" hidden="1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109" name="rect" hidden="1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110" name="rect" hidden="1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111" name="rect" hidden="1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112" name="rect" hidden="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300851</xdr:colOff>
      <xdr:row>57</xdr:row>
      <xdr:rowOff>0</xdr:rowOff>
    </xdr:from>
    <xdr:to>
      <xdr:col>7</xdr:col>
      <xdr:colOff>4668</xdr:colOff>
      <xdr:row>59</xdr:row>
      <xdr:rowOff>334644</xdr:rowOff>
    </xdr:to>
    <xdr:sp macro="" textlink="">
      <xdr:nvSpPr>
        <xdr:cNvPr id="113" name="rect" hidden="1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/>
      </xdr:nvSpPr>
      <xdr:spPr>
        <a:xfrm rot="19672510">
          <a:off x="46072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114" name="rect" hidden="1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115" name="rect" hidden="1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451486</xdr:colOff>
      <xdr:row>57</xdr:row>
      <xdr:rowOff>0</xdr:rowOff>
    </xdr:from>
    <xdr:to>
      <xdr:col>4</xdr:col>
      <xdr:colOff>973176</xdr:colOff>
      <xdr:row>59</xdr:row>
      <xdr:rowOff>334644</xdr:rowOff>
    </xdr:to>
    <xdr:sp macro="" textlink="">
      <xdr:nvSpPr>
        <xdr:cNvPr id="116" name="rect" hidden="1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/>
      </xdr:nvSpPr>
      <xdr:spPr>
        <a:xfrm rot="19672510">
          <a:off x="218600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396162</xdr:colOff>
      <xdr:row>57</xdr:row>
      <xdr:rowOff>0</xdr:rowOff>
    </xdr:from>
    <xdr:to>
      <xdr:col>5</xdr:col>
      <xdr:colOff>1039070</xdr:colOff>
      <xdr:row>59</xdr:row>
      <xdr:rowOff>334644</xdr:rowOff>
    </xdr:to>
    <xdr:sp macro="" textlink="">
      <xdr:nvSpPr>
        <xdr:cNvPr id="117" name="rect" hidden="1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/>
      </xdr:nvSpPr>
      <xdr:spPr>
        <a:xfrm rot="19672510">
          <a:off x="341600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118" name="rect" hidden="1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4</xdr:col>
      <xdr:colOff>300851</xdr:colOff>
      <xdr:row>57</xdr:row>
      <xdr:rowOff>0</xdr:rowOff>
    </xdr:from>
    <xdr:to>
      <xdr:col>7</xdr:col>
      <xdr:colOff>4668</xdr:colOff>
      <xdr:row>59</xdr:row>
      <xdr:rowOff>334644</xdr:rowOff>
    </xdr:to>
    <xdr:sp macro="" textlink="">
      <xdr:nvSpPr>
        <xdr:cNvPr id="119" name="rect" hidden="1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/>
      </xdr:nvSpPr>
      <xdr:spPr>
        <a:xfrm rot="19672510">
          <a:off x="460726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2</xdr:col>
      <xdr:colOff>314286</xdr:colOff>
      <xdr:row>57</xdr:row>
      <xdr:rowOff>0</xdr:rowOff>
    </xdr:from>
    <xdr:to>
      <xdr:col>4</xdr:col>
      <xdr:colOff>837581</xdr:colOff>
      <xdr:row>59</xdr:row>
      <xdr:rowOff>334644</xdr:rowOff>
    </xdr:to>
    <xdr:sp macro="" textlink="">
      <xdr:nvSpPr>
        <xdr:cNvPr id="120" name="rect" hidden="1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/>
      </xdr:nvSpPr>
      <xdr:spPr>
        <a:xfrm rot="19672510">
          <a:off x="2048212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3</xdr:col>
      <xdr:colOff>314249</xdr:colOff>
      <xdr:row>57</xdr:row>
      <xdr:rowOff>0</xdr:rowOff>
    </xdr:from>
    <xdr:to>
      <xdr:col>5</xdr:col>
      <xdr:colOff>983741</xdr:colOff>
      <xdr:row>59</xdr:row>
      <xdr:rowOff>334644</xdr:rowOff>
    </xdr:to>
    <xdr:sp macro="" textlink="">
      <xdr:nvSpPr>
        <xdr:cNvPr id="121" name="rect" hidden="1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/>
      </xdr:nvSpPr>
      <xdr:spPr>
        <a:xfrm rot="19672510">
          <a:off x="3334087" y="1155382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604564</xdr:colOff>
      <xdr:row>62</xdr:row>
      <xdr:rowOff>0</xdr:rowOff>
    </xdr:from>
    <xdr:to>
      <xdr:col>8</xdr:col>
      <xdr:colOff>1620</xdr:colOff>
      <xdr:row>66</xdr:row>
      <xdr:rowOff>280846</xdr:rowOff>
    </xdr:to>
    <xdr:sp macro="" textlink="">
      <xdr:nvSpPr>
        <xdr:cNvPr id="2" name="rect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 rot="19672510">
          <a:off x="66722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3" name="rect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4" name="rect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479240</xdr:colOff>
      <xdr:row>62</xdr:row>
      <xdr:rowOff>0</xdr:rowOff>
    </xdr:from>
    <xdr:to>
      <xdr:col>9</xdr:col>
      <xdr:colOff>932286</xdr:colOff>
      <xdr:row>66</xdr:row>
      <xdr:rowOff>280846</xdr:rowOff>
    </xdr:to>
    <xdr:sp macro="" textlink="">
      <xdr:nvSpPr>
        <xdr:cNvPr id="5" name="rect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 rot="19672510">
          <a:off x="8833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479011</xdr:colOff>
      <xdr:row>62</xdr:row>
      <xdr:rowOff>0</xdr:rowOff>
    </xdr:from>
    <xdr:to>
      <xdr:col>7</xdr:col>
      <xdr:colOff>1501620</xdr:colOff>
      <xdr:row>66</xdr:row>
      <xdr:rowOff>280846</xdr:rowOff>
    </xdr:to>
    <xdr:sp macro="" textlink="">
      <xdr:nvSpPr>
        <xdr:cNvPr id="6" name="rect" hidden="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 rot="19672510">
          <a:off x="6547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7" name="rect" hidden="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604564</xdr:colOff>
      <xdr:row>62</xdr:row>
      <xdr:rowOff>0</xdr:rowOff>
    </xdr:from>
    <xdr:to>
      <xdr:col>8</xdr:col>
      <xdr:colOff>1620</xdr:colOff>
      <xdr:row>66</xdr:row>
      <xdr:rowOff>280846</xdr:rowOff>
    </xdr:to>
    <xdr:sp macro="" textlink="">
      <xdr:nvSpPr>
        <xdr:cNvPr id="8" name="rect" hidden="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 rot="19672510">
          <a:off x="66722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9" name="rect" hidden="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0" name="rect" hidden="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479240</xdr:colOff>
      <xdr:row>62</xdr:row>
      <xdr:rowOff>0</xdr:rowOff>
    </xdr:from>
    <xdr:to>
      <xdr:col>9</xdr:col>
      <xdr:colOff>932286</xdr:colOff>
      <xdr:row>66</xdr:row>
      <xdr:rowOff>280846</xdr:rowOff>
    </xdr:to>
    <xdr:sp macro="" textlink="">
      <xdr:nvSpPr>
        <xdr:cNvPr id="11" name="rect" hidden="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19672510">
          <a:off x="8833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479011</xdr:colOff>
      <xdr:row>62</xdr:row>
      <xdr:rowOff>0</xdr:rowOff>
    </xdr:from>
    <xdr:to>
      <xdr:col>7</xdr:col>
      <xdr:colOff>1501620</xdr:colOff>
      <xdr:row>66</xdr:row>
      <xdr:rowOff>280846</xdr:rowOff>
    </xdr:to>
    <xdr:sp macro="" textlink="">
      <xdr:nvSpPr>
        <xdr:cNvPr id="12" name="rect" hidden="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19672510">
          <a:off x="6547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3" name="rect" hidden="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63</xdr:row>
      <xdr:rowOff>0</xdr:rowOff>
    </xdr:from>
    <xdr:to>
      <xdr:col>7</xdr:col>
      <xdr:colOff>1474715</xdr:colOff>
      <xdr:row>67</xdr:row>
      <xdr:rowOff>280846</xdr:rowOff>
    </xdr:to>
    <xdr:sp macro="" textlink="">
      <xdr:nvSpPr>
        <xdr:cNvPr id="14" name="rect" hidden="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19672510">
          <a:off x="6519882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15" name="rect" hidden="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16" name="rect" hidden="1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314449</xdr:colOff>
      <xdr:row>63</xdr:row>
      <xdr:rowOff>0</xdr:rowOff>
    </xdr:from>
    <xdr:to>
      <xdr:col>9</xdr:col>
      <xdr:colOff>767854</xdr:colOff>
      <xdr:row>67</xdr:row>
      <xdr:rowOff>280846</xdr:rowOff>
    </xdr:to>
    <xdr:sp macro="" textlink="">
      <xdr:nvSpPr>
        <xdr:cNvPr id="17" name="rect" hidden="1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 rot="19672510">
          <a:off x="8668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63</xdr:row>
      <xdr:rowOff>0</xdr:rowOff>
    </xdr:from>
    <xdr:to>
      <xdr:col>7</xdr:col>
      <xdr:colOff>1336829</xdr:colOff>
      <xdr:row>67</xdr:row>
      <xdr:rowOff>280846</xdr:rowOff>
    </xdr:to>
    <xdr:sp macro="" textlink="">
      <xdr:nvSpPr>
        <xdr:cNvPr id="18" name="rect" hidden="1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 rot="19672510">
          <a:off x="6382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19" name="rect" hidden="1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63</xdr:row>
      <xdr:rowOff>0</xdr:rowOff>
    </xdr:from>
    <xdr:to>
      <xdr:col>7</xdr:col>
      <xdr:colOff>1474715</xdr:colOff>
      <xdr:row>67</xdr:row>
      <xdr:rowOff>280846</xdr:rowOff>
    </xdr:to>
    <xdr:sp macro="" textlink="">
      <xdr:nvSpPr>
        <xdr:cNvPr id="20" name="rect" hidden="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 rot="19672510">
          <a:off x="6519882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21" name="rect" hidden="1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22" name="rect" hidden="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300996</xdr:colOff>
      <xdr:row>63</xdr:row>
      <xdr:rowOff>0</xdr:rowOff>
    </xdr:from>
    <xdr:to>
      <xdr:col>9</xdr:col>
      <xdr:colOff>754277</xdr:colOff>
      <xdr:row>67</xdr:row>
      <xdr:rowOff>280846</xdr:rowOff>
    </xdr:to>
    <xdr:sp macro="" textlink="">
      <xdr:nvSpPr>
        <xdr:cNvPr id="23" name="rect" hidden="1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 rot="19672510">
          <a:off x="86553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63</xdr:row>
      <xdr:rowOff>0</xdr:rowOff>
    </xdr:from>
    <xdr:to>
      <xdr:col>7</xdr:col>
      <xdr:colOff>1336829</xdr:colOff>
      <xdr:row>67</xdr:row>
      <xdr:rowOff>280846</xdr:rowOff>
    </xdr:to>
    <xdr:sp macro="" textlink="">
      <xdr:nvSpPr>
        <xdr:cNvPr id="24" name="rect" hidden="1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 rot="19672510">
          <a:off x="6382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25" name="rect" hidden="1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62</xdr:row>
      <xdr:rowOff>0</xdr:rowOff>
    </xdr:from>
    <xdr:to>
      <xdr:col>7</xdr:col>
      <xdr:colOff>1474715</xdr:colOff>
      <xdr:row>66</xdr:row>
      <xdr:rowOff>280846</xdr:rowOff>
    </xdr:to>
    <xdr:sp macro="" textlink="">
      <xdr:nvSpPr>
        <xdr:cNvPr id="26" name="rect" hidden="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 rot="19672510">
          <a:off x="65198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7" name="rect" hidden="1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8" name="rect" hidden="1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300996</xdr:colOff>
      <xdr:row>62</xdr:row>
      <xdr:rowOff>0</xdr:rowOff>
    </xdr:from>
    <xdr:to>
      <xdr:col>9</xdr:col>
      <xdr:colOff>754277</xdr:colOff>
      <xdr:row>66</xdr:row>
      <xdr:rowOff>280846</xdr:rowOff>
    </xdr:to>
    <xdr:sp macro="" textlink="">
      <xdr:nvSpPr>
        <xdr:cNvPr id="29" name="rect" hidden="1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 rot="19672510">
          <a:off x="86553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62</xdr:row>
      <xdr:rowOff>0</xdr:rowOff>
    </xdr:from>
    <xdr:to>
      <xdr:col>7</xdr:col>
      <xdr:colOff>1336829</xdr:colOff>
      <xdr:row>66</xdr:row>
      <xdr:rowOff>280846</xdr:rowOff>
    </xdr:to>
    <xdr:sp macro="" textlink="">
      <xdr:nvSpPr>
        <xdr:cNvPr id="30" name="rect" hidden="1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 rot="19672510">
          <a:off x="63820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31" name="rect" hidden="1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2" name="rect" hidden="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" name="rect" hidden="1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4" name="rect" hidden="1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5" name="rect" hidden="1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6" name="rect" hidden="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7" name="rect" hidden="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8" name="rect" hidden="1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9" name="rect" hidden="1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40" name="rect" hidden="1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41" name="rect" hidden="1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42" name="rect" hidden="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43" name="rect" hidden="1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44" name="rect" hidden="1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45" name="rect" hidden="1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46" name="rect" hidden="1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47" name="rect" hidden="1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48" name="rect" hidden="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49" name="rect" hidden="1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50" name="rect" hidden="1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51" name="rect" hidden="1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52" name="rect" hidden="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53" name="rect" hidden="1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54" name="rect" hidden="1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55" name="rect" hidden="1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56" name="rect" hidden="1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57" name="rect" hidden="1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58" name="rect" hidden="1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59" name="rect" hidden="1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0" name="rect" hidden="1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1" name="rect" hidden="1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2" name="rect" hidden="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3" name="rect" hidden="1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4" name="rect" hidden="1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5" name="rect" hidden="1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6" name="rect" hidden="1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7" name="rect" hidden="1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8" name="rect" hidden="1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69" name="rect" hidden="1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70" name="rect" hidden="1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71" name="rect" hidden="1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72" name="rect" hidden="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73" name="rect" hidden="1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74" name="rect" hidden="1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75" name="rect" hidden="1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76" name="rect" hidden="1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77" name="rect" hidden="1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78" name="rect" hidden="1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79" name="rect" hidden="1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80" name="rect" hidden="1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81" name="rect" hidden="1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82" name="rect" hidden="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83" name="rect" hidden="1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84" name="rect" hidden="1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85" name="rect" hidden="1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86" name="rect" hidden="1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87" name="rect" hidden="1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88" name="rect" hidden="1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89" name="rect" hidden="1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90" name="rect" hidden="1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91" name="rect" hidden="1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604564</xdr:colOff>
      <xdr:row>62</xdr:row>
      <xdr:rowOff>0</xdr:rowOff>
    </xdr:from>
    <xdr:to>
      <xdr:col>8</xdr:col>
      <xdr:colOff>1620</xdr:colOff>
      <xdr:row>66</xdr:row>
      <xdr:rowOff>280846</xdr:rowOff>
    </xdr:to>
    <xdr:sp macro="" textlink="">
      <xdr:nvSpPr>
        <xdr:cNvPr id="92" name="rect" hidden="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 rot="19672510">
          <a:off x="66722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93" name="rect" hidden="1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94" name="rect" hidden="1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479240</xdr:colOff>
      <xdr:row>62</xdr:row>
      <xdr:rowOff>0</xdr:rowOff>
    </xdr:from>
    <xdr:to>
      <xdr:col>9</xdr:col>
      <xdr:colOff>932286</xdr:colOff>
      <xdr:row>66</xdr:row>
      <xdr:rowOff>280846</xdr:rowOff>
    </xdr:to>
    <xdr:sp macro="" textlink="">
      <xdr:nvSpPr>
        <xdr:cNvPr id="95" name="rect" hidden="1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 rot="19672510">
          <a:off x="8833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479011</xdr:colOff>
      <xdr:row>62</xdr:row>
      <xdr:rowOff>0</xdr:rowOff>
    </xdr:from>
    <xdr:to>
      <xdr:col>7</xdr:col>
      <xdr:colOff>1501620</xdr:colOff>
      <xdr:row>66</xdr:row>
      <xdr:rowOff>280846</xdr:rowOff>
    </xdr:to>
    <xdr:sp macro="" textlink="">
      <xdr:nvSpPr>
        <xdr:cNvPr id="96" name="rect" hidden="1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 rot="19672510">
          <a:off x="6547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97" name="rect" hidden="1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604564</xdr:colOff>
      <xdr:row>62</xdr:row>
      <xdr:rowOff>0</xdr:rowOff>
    </xdr:from>
    <xdr:to>
      <xdr:col>8</xdr:col>
      <xdr:colOff>1620</xdr:colOff>
      <xdr:row>66</xdr:row>
      <xdr:rowOff>280846</xdr:rowOff>
    </xdr:to>
    <xdr:sp macro="" textlink="">
      <xdr:nvSpPr>
        <xdr:cNvPr id="98" name="rect" hidden="1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 rot="19672510">
          <a:off x="66722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99" name="rect" hidden="1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00" name="rect" hidden="1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479240</xdr:colOff>
      <xdr:row>62</xdr:row>
      <xdr:rowOff>0</xdr:rowOff>
    </xdr:from>
    <xdr:to>
      <xdr:col>9</xdr:col>
      <xdr:colOff>932286</xdr:colOff>
      <xdr:row>66</xdr:row>
      <xdr:rowOff>280846</xdr:rowOff>
    </xdr:to>
    <xdr:sp macro="" textlink="">
      <xdr:nvSpPr>
        <xdr:cNvPr id="101" name="rect" hidden="1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/>
      </xdr:nvSpPr>
      <xdr:spPr>
        <a:xfrm rot="19672510">
          <a:off x="8833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479011</xdr:colOff>
      <xdr:row>62</xdr:row>
      <xdr:rowOff>0</xdr:rowOff>
    </xdr:from>
    <xdr:to>
      <xdr:col>7</xdr:col>
      <xdr:colOff>1501620</xdr:colOff>
      <xdr:row>66</xdr:row>
      <xdr:rowOff>280846</xdr:rowOff>
    </xdr:to>
    <xdr:sp macro="" textlink="">
      <xdr:nvSpPr>
        <xdr:cNvPr id="102" name="rect" hidden="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/>
      </xdr:nvSpPr>
      <xdr:spPr>
        <a:xfrm rot="19672510">
          <a:off x="6547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03" name="rect" hidden="1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63</xdr:row>
      <xdr:rowOff>0</xdr:rowOff>
    </xdr:from>
    <xdr:to>
      <xdr:col>7</xdr:col>
      <xdr:colOff>1474715</xdr:colOff>
      <xdr:row>67</xdr:row>
      <xdr:rowOff>280846</xdr:rowOff>
    </xdr:to>
    <xdr:sp macro="" textlink="">
      <xdr:nvSpPr>
        <xdr:cNvPr id="104" name="rect" hidden="1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/>
      </xdr:nvSpPr>
      <xdr:spPr>
        <a:xfrm rot="19672510">
          <a:off x="6519882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105" name="rect" hidden="1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106" name="rect" hidden="1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314449</xdr:colOff>
      <xdr:row>63</xdr:row>
      <xdr:rowOff>0</xdr:rowOff>
    </xdr:from>
    <xdr:to>
      <xdr:col>9</xdr:col>
      <xdr:colOff>767854</xdr:colOff>
      <xdr:row>67</xdr:row>
      <xdr:rowOff>280846</xdr:rowOff>
    </xdr:to>
    <xdr:sp macro="" textlink="">
      <xdr:nvSpPr>
        <xdr:cNvPr id="107" name="rect" hidden="1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/>
      </xdr:nvSpPr>
      <xdr:spPr>
        <a:xfrm rot="19672510">
          <a:off x="8668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63</xdr:row>
      <xdr:rowOff>0</xdr:rowOff>
    </xdr:from>
    <xdr:to>
      <xdr:col>7</xdr:col>
      <xdr:colOff>1336829</xdr:colOff>
      <xdr:row>67</xdr:row>
      <xdr:rowOff>280846</xdr:rowOff>
    </xdr:to>
    <xdr:sp macro="" textlink="">
      <xdr:nvSpPr>
        <xdr:cNvPr id="108" name="rect" hidden="1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/>
      </xdr:nvSpPr>
      <xdr:spPr>
        <a:xfrm rot="19672510">
          <a:off x="6382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109" name="rect" hidden="1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63</xdr:row>
      <xdr:rowOff>0</xdr:rowOff>
    </xdr:from>
    <xdr:to>
      <xdr:col>7</xdr:col>
      <xdr:colOff>1474715</xdr:colOff>
      <xdr:row>67</xdr:row>
      <xdr:rowOff>280846</xdr:rowOff>
    </xdr:to>
    <xdr:sp macro="" textlink="">
      <xdr:nvSpPr>
        <xdr:cNvPr id="110" name="rect" hidden="1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/>
      </xdr:nvSpPr>
      <xdr:spPr>
        <a:xfrm rot="19672510">
          <a:off x="6519882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111" name="rect" hidden="1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112" name="rect" hidden="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300996</xdr:colOff>
      <xdr:row>63</xdr:row>
      <xdr:rowOff>0</xdr:rowOff>
    </xdr:from>
    <xdr:to>
      <xdr:col>9</xdr:col>
      <xdr:colOff>754277</xdr:colOff>
      <xdr:row>67</xdr:row>
      <xdr:rowOff>280846</xdr:rowOff>
    </xdr:to>
    <xdr:sp macro="" textlink="">
      <xdr:nvSpPr>
        <xdr:cNvPr id="113" name="rect" hidden="1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/>
      </xdr:nvSpPr>
      <xdr:spPr>
        <a:xfrm rot="19672510">
          <a:off x="86553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63</xdr:row>
      <xdr:rowOff>0</xdr:rowOff>
    </xdr:from>
    <xdr:to>
      <xdr:col>7</xdr:col>
      <xdr:colOff>1336829</xdr:colOff>
      <xdr:row>67</xdr:row>
      <xdr:rowOff>280846</xdr:rowOff>
    </xdr:to>
    <xdr:sp macro="" textlink="">
      <xdr:nvSpPr>
        <xdr:cNvPr id="114" name="rect" hidden="1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/>
      </xdr:nvSpPr>
      <xdr:spPr>
        <a:xfrm rot="19672510">
          <a:off x="6382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63</xdr:row>
      <xdr:rowOff>0</xdr:rowOff>
    </xdr:from>
    <xdr:to>
      <xdr:col>9</xdr:col>
      <xdr:colOff>454074</xdr:colOff>
      <xdr:row>67</xdr:row>
      <xdr:rowOff>280846</xdr:rowOff>
    </xdr:to>
    <xdr:sp macro="" textlink="">
      <xdr:nvSpPr>
        <xdr:cNvPr id="115" name="rect" hidden="1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62</xdr:row>
      <xdr:rowOff>0</xdr:rowOff>
    </xdr:from>
    <xdr:to>
      <xdr:col>7</xdr:col>
      <xdr:colOff>1474715</xdr:colOff>
      <xdr:row>66</xdr:row>
      <xdr:rowOff>280846</xdr:rowOff>
    </xdr:to>
    <xdr:sp macro="" textlink="">
      <xdr:nvSpPr>
        <xdr:cNvPr id="116" name="rect" hidden="1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/>
      </xdr:nvSpPr>
      <xdr:spPr>
        <a:xfrm rot="19672510">
          <a:off x="65198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17" name="rect" hidden="1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18" name="rect" hidden="1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300996</xdr:colOff>
      <xdr:row>62</xdr:row>
      <xdr:rowOff>0</xdr:rowOff>
    </xdr:from>
    <xdr:to>
      <xdr:col>9</xdr:col>
      <xdr:colOff>754277</xdr:colOff>
      <xdr:row>66</xdr:row>
      <xdr:rowOff>280846</xdr:rowOff>
    </xdr:to>
    <xdr:sp macro="" textlink="">
      <xdr:nvSpPr>
        <xdr:cNvPr id="119" name="rect" hidden="1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/>
      </xdr:nvSpPr>
      <xdr:spPr>
        <a:xfrm rot="19672510">
          <a:off x="86553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62</xdr:row>
      <xdr:rowOff>0</xdr:rowOff>
    </xdr:from>
    <xdr:to>
      <xdr:col>7</xdr:col>
      <xdr:colOff>1336829</xdr:colOff>
      <xdr:row>66</xdr:row>
      <xdr:rowOff>280846</xdr:rowOff>
    </xdr:to>
    <xdr:sp macro="" textlink="">
      <xdr:nvSpPr>
        <xdr:cNvPr id="120" name="rect" hidden="1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/>
      </xdr:nvSpPr>
      <xdr:spPr>
        <a:xfrm rot="19672510">
          <a:off x="63820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21" name="rect" hidden="1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22" name="rect" hidden="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23" name="rect" hidden="1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24" name="rect" hidden="1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25" name="rect" hidden="1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26" name="rect" hidden="1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27" name="rect" hidden="1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28" name="rect" hidden="1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29" name="rect" hidden="1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30" name="rect" hidden="1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31" name="rect" hidden="1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32" name="rect" hidden="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33" name="rect" hidden="1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34" name="rect" hidden="1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35" name="rect" hidden="1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36" name="rect" hidden="1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37" name="rect" hidden="1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38" name="rect" hidden="1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39" name="rect" hidden="1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40" name="rect" hidden="1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41" name="rect" hidden="1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42" name="rect" hidden="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43" name="rect" hidden="1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44" name="rect" hidden="1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45" name="rect" hidden="1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46" name="rect" hidden="1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47" name="rect" hidden="1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48" name="rect" hidden="1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49" name="rect" hidden="1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0" name="rect" hidden="1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1" name="rect" hidden="1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2" name="rect" hidden="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3" name="rect" hidden="1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4" name="rect" hidden="1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5" name="rect" hidden="1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6" name="rect" hidden="1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7" name="rect" hidden="1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8" name="rect" hidden="1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59" name="rect" hidden="1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60" name="rect" hidden="1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61" name="rect" hidden="1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62" name="rect" hidden="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63" name="rect" hidden="1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64" name="rect" hidden="1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65" name="rect" hidden="1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66" name="rect" hidden="1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67" name="rect" hidden="1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68" name="rect" hidden="1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69" name="rect" hidden="1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70" name="rect" hidden="1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71" name="rect" hidden="1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72" name="rect" hidden="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73" name="rect" hidden="1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74" name="rect" hidden="1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175" name="rect" hidden="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76" name="rect" hidden="1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77" name="rect" hidden="1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78" name="rect" hidden="1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79" name="rect" hidden="1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80" name="rect" hidden="1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181" name="rect" hidden="1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604564</xdr:colOff>
      <xdr:row>61</xdr:row>
      <xdr:rowOff>0</xdr:rowOff>
    </xdr:from>
    <xdr:to>
      <xdr:col>8</xdr:col>
      <xdr:colOff>1620</xdr:colOff>
      <xdr:row>65</xdr:row>
      <xdr:rowOff>280846</xdr:rowOff>
    </xdr:to>
    <xdr:sp macro="" textlink="">
      <xdr:nvSpPr>
        <xdr:cNvPr id="182" name="rect" hidden="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/>
      </xdr:nvSpPr>
      <xdr:spPr>
        <a:xfrm rot="19672510">
          <a:off x="66722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183" name="rect" hidden="1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184" name="rect" hidden="1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479240</xdr:colOff>
      <xdr:row>61</xdr:row>
      <xdr:rowOff>0</xdr:rowOff>
    </xdr:from>
    <xdr:to>
      <xdr:col>9</xdr:col>
      <xdr:colOff>932286</xdr:colOff>
      <xdr:row>65</xdr:row>
      <xdr:rowOff>280846</xdr:rowOff>
    </xdr:to>
    <xdr:sp macro="" textlink="">
      <xdr:nvSpPr>
        <xdr:cNvPr id="185" name="rect" hidden="1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/>
      </xdr:nvSpPr>
      <xdr:spPr>
        <a:xfrm rot="19672510">
          <a:off x="8833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479011</xdr:colOff>
      <xdr:row>61</xdr:row>
      <xdr:rowOff>0</xdr:rowOff>
    </xdr:from>
    <xdr:to>
      <xdr:col>7</xdr:col>
      <xdr:colOff>1501620</xdr:colOff>
      <xdr:row>65</xdr:row>
      <xdr:rowOff>280846</xdr:rowOff>
    </xdr:to>
    <xdr:sp macro="" textlink="">
      <xdr:nvSpPr>
        <xdr:cNvPr id="186" name="rect" hidden="1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/>
      </xdr:nvSpPr>
      <xdr:spPr>
        <a:xfrm rot="19672510">
          <a:off x="6547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187" name="rect" hidden="1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604564</xdr:colOff>
      <xdr:row>61</xdr:row>
      <xdr:rowOff>0</xdr:rowOff>
    </xdr:from>
    <xdr:to>
      <xdr:col>8</xdr:col>
      <xdr:colOff>1620</xdr:colOff>
      <xdr:row>65</xdr:row>
      <xdr:rowOff>280846</xdr:rowOff>
    </xdr:to>
    <xdr:sp macro="" textlink="">
      <xdr:nvSpPr>
        <xdr:cNvPr id="188" name="rect" hidden="1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/>
      </xdr:nvSpPr>
      <xdr:spPr>
        <a:xfrm rot="19672510">
          <a:off x="66722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189" name="rect" hidden="1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190" name="rect" hidden="1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479240</xdr:colOff>
      <xdr:row>61</xdr:row>
      <xdr:rowOff>0</xdr:rowOff>
    </xdr:from>
    <xdr:to>
      <xdr:col>9</xdr:col>
      <xdr:colOff>932286</xdr:colOff>
      <xdr:row>65</xdr:row>
      <xdr:rowOff>280846</xdr:rowOff>
    </xdr:to>
    <xdr:sp macro="" textlink="">
      <xdr:nvSpPr>
        <xdr:cNvPr id="191" name="rect" hidden="1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/>
      </xdr:nvSpPr>
      <xdr:spPr>
        <a:xfrm rot="19672510">
          <a:off x="8833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479011</xdr:colOff>
      <xdr:row>61</xdr:row>
      <xdr:rowOff>0</xdr:rowOff>
    </xdr:from>
    <xdr:to>
      <xdr:col>7</xdr:col>
      <xdr:colOff>1501620</xdr:colOff>
      <xdr:row>65</xdr:row>
      <xdr:rowOff>280846</xdr:rowOff>
    </xdr:to>
    <xdr:sp macro="" textlink="">
      <xdr:nvSpPr>
        <xdr:cNvPr id="192" name="rect" hidden="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/>
      </xdr:nvSpPr>
      <xdr:spPr>
        <a:xfrm rot="19672510">
          <a:off x="6547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193" name="rect" hidden="1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62</xdr:row>
      <xdr:rowOff>0</xdr:rowOff>
    </xdr:from>
    <xdr:to>
      <xdr:col>7</xdr:col>
      <xdr:colOff>1474715</xdr:colOff>
      <xdr:row>66</xdr:row>
      <xdr:rowOff>280846</xdr:rowOff>
    </xdr:to>
    <xdr:sp macro="" textlink="">
      <xdr:nvSpPr>
        <xdr:cNvPr id="194" name="rect" hidden="1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/>
      </xdr:nvSpPr>
      <xdr:spPr>
        <a:xfrm rot="19672510">
          <a:off x="6519882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95" name="rect" hidden="1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96" name="rect" hidden="1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314449</xdr:colOff>
      <xdr:row>62</xdr:row>
      <xdr:rowOff>0</xdr:rowOff>
    </xdr:from>
    <xdr:to>
      <xdr:col>9</xdr:col>
      <xdr:colOff>767854</xdr:colOff>
      <xdr:row>66</xdr:row>
      <xdr:rowOff>280846</xdr:rowOff>
    </xdr:to>
    <xdr:sp macro="" textlink="">
      <xdr:nvSpPr>
        <xdr:cNvPr id="197" name="rect" hidden="1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 rot="19672510">
          <a:off x="8668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62</xdr:row>
      <xdr:rowOff>0</xdr:rowOff>
    </xdr:from>
    <xdr:to>
      <xdr:col>7</xdr:col>
      <xdr:colOff>1336829</xdr:colOff>
      <xdr:row>66</xdr:row>
      <xdr:rowOff>280846</xdr:rowOff>
    </xdr:to>
    <xdr:sp macro="" textlink="">
      <xdr:nvSpPr>
        <xdr:cNvPr id="198" name="rect" hidden="1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 rot="19672510">
          <a:off x="6382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199" name="rect" hidden="1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62</xdr:row>
      <xdr:rowOff>0</xdr:rowOff>
    </xdr:from>
    <xdr:to>
      <xdr:col>7</xdr:col>
      <xdr:colOff>1474715</xdr:colOff>
      <xdr:row>66</xdr:row>
      <xdr:rowOff>280846</xdr:rowOff>
    </xdr:to>
    <xdr:sp macro="" textlink="">
      <xdr:nvSpPr>
        <xdr:cNvPr id="200" name="rect" hidden="1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/>
      </xdr:nvSpPr>
      <xdr:spPr>
        <a:xfrm rot="19672510">
          <a:off x="6519882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01" name="rect" hidden="1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02" name="rect" hidden="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300996</xdr:colOff>
      <xdr:row>62</xdr:row>
      <xdr:rowOff>0</xdr:rowOff>
    </xdr:from>
    <xdr:to>
      <xdr:col>9</xdr:col>
      <xdr:colOff>754277</xdr:colOff>
      <xdr:row>66</xdr:row>
      <xdr:rowOff>280846</xdr:rowOff>
    </xdr:to>
    <xdr:sp macro="" textlink="">
      <xdr:nvSpPr>
        <xdr:cNvPr id="203" name="rect" hidden="1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/>
      </xdr:nvSpPr>
      <xdr:spPr>
        <a:xfrm rot="19672510">
          <a:off x="86553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62</xdr:row>
      <xdr:rowOff>0</xdr:rowOff>
    </xdr:from>
    <xdr:to>
      <xdr:col>7</xdr:col>
      <xdr:colOff>1336829</xdr:colOff>
      <xdr:row>66</xdr:row>
      <xdr:rowOff>280846</xdr:rowOff>
    </xdr:to>
    <xdr:sp macro="" textlink="">
      <xdr:nvSpPr>
        <xdr:cNvPr id="204" name="rect" hidden="1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/>
      </xdr:nvSpPr>
      <xdr:spPr>
        <a:xfrm rot="19672510">
          <a:off x="6382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05" name="rect" hidden="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61</xdr:row>
      <xdr:rowOff>0</xdr:rowOff>
    </xdr:from>
    <xdr:to>
      <xdr:col>7</xdr:col>
      <xdr:colOff>1474715</xdr:colOff>
      <xdr:row>65</xdr:row>
      <xdr:rowOff>280846</xdr:rowOff>
    </xdr:to>
    <xdr:sp macro="" textlink="">
      <xdr:nvSpPr>
        <xdr:cNvPr id="206" name="rect" hidden="1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/>
      </xdr:nvSpPr>
      <xdr:spPr>
        <a:xfrm rot="19672510">
          <a:off x="65198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07" name="rect" hidden="1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08" name="rect" hidden="1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300996</xdr:colOff>
      <xdr:row>61</xdr:row>
      <xdr:rowOff>0</xdr:rowOff>
    </xdr:from>
    <xdr:to>
      <xdr:col>9</xdr:col>
      <xdr:colOff>754277</xdr:colOff>
      <xdr:row>65</xdr:row>
      <xdr:rowOff>280846</xdr:rowOff>
    </xdr:to>
    <xdr:sp macro="" textlink="">
      <xdr:nvSpPr>
        <xdr:cNvPr id="209" name="rect" hidden="1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/>
      </xdr:nvSpPr>
      <xdr:spPr>
        <a:xfrm rot="19672510">
          <a:off x="86553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61</xdr:row>
      <xdr:rowOff>0</xdr:rowOff>
    </xdr:from>
    <xdr:to>
      <xdr:col>7</xdr:col>
      <xdr:colOff>1336829</xdr:colOff>
      <xdr:row>65</xdr:row>
      <xdr:rowOff>280846</xdr:rowOff>
    </xdr:to>
    <xdr:sp macro="" textlink="">
      <xdr:nvSpPr>
        <xdr:cNvPr id="210" name="rect" hidden="1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/>
      </xdr:nvSpPr>
      <xdr:spPr>
        <a:xfrm rot="19672510">
          <a:off x="63820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11" name="rect" hidden="1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12" name="rect" hidden="1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13" name="rect" hidden="1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14" name="rect" hidden="1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15" name="rect" hidden="1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16" name="rect" hidden="1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17" name="rect" hidden="1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18" name="rect" hidden="1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19" name="rect" hidden="1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20" name="rect" hidden="1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21" name="rect" hidden="1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22" name="rect" hidden="1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23" name="rect" hidden="1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24" name="rect" hidden="1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25" name="rect" hidden="1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26" name="rect" hidden="1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27" name="rect" hidden="1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28" name="rect" hidden="1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29" name="rect" hidden="1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30" name="rect" hidden="1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31" name="rect" hidden="1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32" name="rect" hidden="1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33" name="rect" hidden="1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34" name="rect" hidden="1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35" name="rect" hidden="1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36" name="rect" hidden="1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37" name="rect" hidden="1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38" name="rect" hidden="1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39" name="rect" hidden="1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0" name="rect" hidden="1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1" name="rect" hidden="1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2" name="rect" hidden="1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3" name="rect" hidden="1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4" name="rect" hidden="1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5" name="rect" hidden="1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6" name="rect" hidden="1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7" name="rect" hidden="1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8" name="rect" hidden="1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49" name="rect" hidden="1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50" name="rect" hidden="1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51" name="rect" hidden="1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52" name="rect" hidden="1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53" name="rect" hidden="1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54" name="rect" hidden="1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55" name="rect" hidden="1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56" name="rect" hidden="1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57" name="rect" hidden="1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58" name="rect" hidden="1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59" name="rect" hidden="1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60" name="rect" hidden="1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61" name="rect" hidden="1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62" name="rect" hidden="1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63" name="rect" hidden="1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64" name="rect" hidden="1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265" name="rect" hidden="1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66" name="rect" hidden="1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67" name="rect" hidden="1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68" name="rect" hidden="1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69" name="rect" hidden="1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70" name="rect" hidden="1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271" name="rect" hidden="1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604564</xdr:colOff>
      <xdr:row>61</xdr:row>
      <xdr:rowOff>0</xdr:rowOff>
    </xdr:from>
    <xdr:to>
      <xdr:col>8</xdr:col>
      <xdr:colOff>1620</xdr:colOff>
      <xdr:row>65</xdr:row>
      <xdr:rowOff>280846</xdr:rowOff>
    </xdr:to>
    <xdr:sp macro="" textlink="">
      <xdr:nvSpPr>
        <xdr:cNvPr id="272" name="rect" hidden="1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/>
      </xdr:nvSpPr>
      <xdr:spPr>
        <a:xfrm rot="19672510">
          <a:off x="66722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73" name="rect" hidden="1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74" name="rect" hidden="1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479240</xdr:colOff>
      <xdr:row>61</xdr:row>
      <xdr:rowOff>0</xdr:rowOff>
    </xdr:from>
    <xdr:to>
      <xdr:col>9</xdr:col>
      <xdr:colOff>932286</xdr:colOff>
      <xdr:row>65</xdr:row>
      <xdr:rowOff>280846</xdr:rowOff>
    </xdr:to>
    <xdr:sp macro="" textlink="">
      <xdr:nvSpPr>
        <xdr:cNvPr id="275" name="rect" hidden="1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/>
      </xdr:nvSpPr>
      <xdr:spPr>
        <a:xfrm rot="19672510">
          <a:off x="8833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479011</xdr:colOff>
      <xdr:row>61</xdr:row>
      <xdr:rowOff>0</xdr:rowOff>
    </xdr:from>
    <xdr:to>
      <xdr:col>7</xdr:col>
      <xdr:colOff>1501620</xdr:colOff>
      <xdr:row>65</xdr:row>
      <xdr:rowOff>280846</xdr:rowOff>
    </xdr:to>
    <xdr:sp macro="" textlink="">
      <xdr:nvSpPr>
        <xdr:cNvPr id="276" name="rect" hidden="1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/>
      </xdr:nvSpPr>
      <xdr:spPr>
        <a:xfrm rot="19672510">
          <a:off x="6547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77" name="rect" hidden="1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604564</xdr:colOff>
      <xdr:row>61</xdr:row>
      <xdr:rowOff>0</xdr:rowOff>
    </xdr:from>
    <xdr:to>
      <xdr:col>8</xdr:col>
      <xdr:colOff>1620</xdr:colOff>
      <xdr:row>65</xdr:row>
      <xdr:rowOff>280846</xdr:rowOff>
    </xdr:to>
    <xdr:sp macro="" textlink="">
      <xdr:nvSpPr>
        <xdr:cNvPr id="278" name="rect" hidden="1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/>
      </xdr:nvSpPr>
      <xdr:spPr>
        <a:xfrm rot="19672510">
          <a:off x="66722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79" name="rect" hidden="1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80" name="rect" hidden="1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479240</xdr:colOff>
      <xdr:row>61</xdr:row>
      <xdr:rowOff>0</xdr:rowOff>
    </xdr:from>
    <xdr:to>
      <xdr:col>9</xdr:col>
      <xdr:colOff>932286</xdr:colOff>
      <xdr:row>65</xdr:row>
      <xdr:rowOff>280846</xdr:rowOff>
    </xdr:to>
    <xdr:sp macro="" textlink="">
      <xdr:nvSpPr>
        <xdr:cNvPr id="281" name="rect" hidden="1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/>
      </xdr:nvSpPr>
      <xdr:spPr>
        <a:xfrm rot="19672510">
          <a:off x="8833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479011</xdr:colOff>
      <xdr:row>61</xdr:row>
      <xdr:rowOff>0</xdr:rowOff>
    </xdr:from>
    <xdr:to>
      <xdr:col>7</xdr:col>
      <xdr:colOff>1501620</xdr:colOff>
      <xdr:row>65</xdr:row>
      <xdr:rowOff>280846</xdr:rowOff>
    </xdr:to>
    <xdr:sp macro="" textlink="">
      <xdr:nvSpPr>
        <xdr:cNvPr id="282" name="rect" hidden="1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/>
      </xdr:nvSpPr>
      <xdr:spPr>
        <a:xfrm rot="19672510">
          <a:off x="65471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83" name="rect" hidden="1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62</xdr:row>
      <xdr:rowOff>0</xdr:rowOff>
    </xdr:from>
    <xdr:to>
      <xdr:col>7</xdr:col>
      <xdr:colOff>1474715</xdr:colOff>
      <xdr:row>66</xdr:row>
      <xdr:rowOff>280846</xdr:rowOff>
    </xdr:to>
    <xdr:sp macro="" textlink="">
      <xdr:nvSpPr>
        <xdr:cNvPr id="284" name="rect" hidden="1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/>
      </xdr:nvSpPr>
      <xdr:spPr>
        <a:xfrm rot="19672510">
          <a:off x="6519882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85" name="rect" hidden="1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86" name="rect" hidden="1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314449</xdr:colOff>
      <xdr:row>62</xdr:row>
      <xdr:rowOff>0</xdr:rowOff>
    </xdr:from>
    <xdr:to>
      <xdr:col>9</xdr:col>
      <xdr:colOff>767854</xdr:colOff>
      <xdr:row>66</xdr:row>
      <xdr:rowOff>280846</xdr:rowOff>
    </xdr:to>
    <xdr:sp macro="" textlink="">
      <xdr:nvSpPr>
        <xdr:cNvPr id="287" name="rect" hidden="1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/>
      </xdr:nvSpPr>
      <xdr:spPr>
        <a:xfrm rot="19672510">
          <a:off x="8668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62</xdr:row>
      <xdr:rowOff>0</xdr:rowOff>
    </xdr:from>
    <xdr:to>
      <xdr:col>7</xdr:col>
      <xdr:colOff>1336829</xdr:colOff>
      <xdr:row>66</xdr:row>
      <xdr:rowOff>280846</xdr:rowOff>
    </xdr:to>
    <xdr:sp macro="" textlink="">
      <xdr:nvSpPr>
        <xdr:cNvPr id="288" name="rect" hidden="1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/>
      </xdr:nvSpPr>
      <xdr:spPr>
        <a:xfrm rot="19672510">
          <a:off x="6382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89" name="rect" hidden="1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62</xdr:row>
      <xdr:rowOff>0</xdr:rowOff>
    </xdr:from>
    <xdr:to>
      <xdr:col>7</xdr:col>
      <xdr:colOff>1474715</xdr:colOff>
      <xdr:row>66</xdr:row>
      <xdr:rowOff>280846</xdr:rowOff>
    </xdr:to>
    <xdr:sp macro="" textlink="">
      <xdr:nvSpPr>
        <xdr:cNvPr id="290" name="rect" hidden="1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/>
      </xdr:nvSpPr>
      <xdr:spPr>
        <a:xfrm rot="19672510">
          <a:off x="6519882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91" name="rect" hidden="1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92" name="rect" hidden="1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300996</xdr:colOff>
      <xdr:row>62</xdr:row>
      <xdr:rowOff>0</xdr:rowOff>
    </xdr:from>
    <xdr:to>
      <xdr:col>9</xdr:col>
      <xdr:colOff>754277</xdr:colOff>
      <xdr:row>66</xdr:row>
      <xdr:rowOff>280846</xdr:rowOff>
    </xdr:to>
    <xdr:sp macro="" textlink="">
      <xdr:nvSpPr>
        <xdr:cNvPr id="293" name="rect" hidden="1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/>
      </xdr:nvSpPr>
      <xdr:spPr>
        <a:xfrm rot="19672510">
          <a:off x="86553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62</xdr:row>
      <xdr:rowOff>0</xdr:rowOff>
    </xdr:from>
    <xdr:to>
      <xdr:col>7</xdr:col>
      <xdr:colOff>1336829</xdr:colOff>
      <xdr:row>66</xdr:row>
      <xdr:rowOff>280846</xdr:rowOff>
    </xdr:to>
    <xdr:sp macro="" textlink="">
      <xdr:nvSpPr>
        <xdr:cNvPr id="294" name="rect" hidden="1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/>
      </xdr:nvSpPr>
      <xdr:spPr>
        <a:xfrm rot="19672510">
          <a:off x="6382087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9</xdr:col>
      <xdr:colOff>454074</xdr:colOff>
      <xdr:row>66</xdr:row>
      <xdr:rowOff>280846</xdr:rowOff>
    </xdr:to>
    <xdr:sp macro="" textlink="">
      <xdr:nvSpPr>
        <xdr:cNvPr id="295" name="rect" hidden="1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/>
      </xdr:nvSpPr>
      <xdr:spPr>
        <a:xfrm rot="19672510">
          <a:off x="8353425" y="124587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451717</xdr:colOff>
      <xdr:row>61</xdr:row>
      <xdr:rowOff>0</xdr:rowOff>
    </xdr:from>
    <xdr:to>
      <xdr:col>7</xdr:col>
      <xdr:colOff>1474715</xdr:colOff>
      <xdr:row>65</xdr:row>
      <xdr:rowOff>280846</xdr:rowOff>
    </xdr:to>
    <xdr:sp macro="" textlink="">
      <xdr:nvSpPr>
        <xdr:cNvPr id="296" name="rect" hidden="1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/>
      </xdr:nvSpPr>
      <xdr:spPr>
        <a:xfrm rot="19672510">
          <a:off x="6519882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97" name="rect" hidden="1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298" name="rect" hidden="1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300996</xdr:colOff>
      <xdr:row>61</xdr:row>
      <xdr:rowOff>0</xdr:rowOff>
    </xdr:from>
    <xdr:to>
      <xdr:col>9</xdr:col>
      <xdr:colOff>754277</xdr:colOff>
      <xdr:row>65</xdr:row>
      <xdr:rowOff>280846</xdr:rowOff>
    </xdr:to>
    <xdr:sp macro="" textlink="">
      <xdr:nvSpPr>
        <xdr:cNvPr id="299" name="rect" hidden="1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/>
      </xdr:nvSpPr>
      <xdr:spPr>
        <a:xfrm rot="19672510">
          <a:off x="86553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5</xdr:col>
      <xdr:colOff>313882</xdr:colOff>
      <xdr:row>61</xdr:row>
      <xdr:rowOff>0</xdr:rowOff>
    </xdr:from>
    <xdr:to>
      <xdr:col>7</xdr:col>
      <xdr:colOff>1336829</xdr:colOff>
      <xdr:row>65</xdr:row>
      <xdr:rowOff>280846</xdr:rowOff>
    </xdr:to>
    <xdr:sp macro="" textlink="">
      <xdr:nvSpPr>
        <xdr:cNvPr id="300" name="rect" hidden="1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/>
      </xdr:nvSpPr>
      <xdr:spPr>
        <a:xfrm rot="19672510">
          <a:off x="6382087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7</xdr:col>
      <xdr:colOff>0</xdr:colOff>
      <xdr:row>61</xdr:row>
      <xdr:rowOff>0</xdr:rowOff>
    </xdr:from>
    <xdr:to>
      <xdr:col>9</xdr:col>
      <xdr:colOff>454074</xdr:colOff>
      <xdr:row>65</xdr:row>
      <xdr:rowOff>280846</xdr:rowOff>
    </xdr:to>
    <xdr:sp macro="" textlink="">
      <xdr:nvSpPr>
        <xdr:cNvPr id="301" name="rect" hidden="1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/>
      </xdr:nvSpPr>
      <xdr:spPr>
        <a:xfrm rot="19672510">
          <a:off x="8353425" y="122682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02" name="rect" hidden="1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03" name="rect" hidden="1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04" name="rect" hidden="1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05" name="rect" hidden="1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06" name="rect" hidden="1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07" name="rect" hidden="1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08" name="rect" hidden="1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09" name="rect" hidden="1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10" name="rect" hidden="1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11" name="rect" hidden="1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12" name="rect" hidden="1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13" name="rect" hidden="1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14" name="rect" hidden="1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15" name="rect" hidden="1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16" name="rect" hidden="1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17" name="rect" hidden="1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18" name="rect" hidden="1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19" name="rect" hidden="1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20" name="rect" hidden="1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21" name="rect" hidden="1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22" name="rect" hidden="1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23" name="rect" hidden="1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24" name="rect" hidden="1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25" name="rect" hidden="1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26" name="rect" hidden="1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27" name="rect" hidden="1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28" name="rect" hidden="1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29" name="rect" hidden="1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0" name="rect" hidden="1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1" name="rect" hidden="1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2" name="rect" hidden="1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3" name="rect" hidden="1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4" name="rect" hidden="1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5" name="rect" hidden="1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6" name="rect" hidden="1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7" name="rect" hidden="1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8" name="rect" hidden="1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39" name="rect" hidden="1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40" name="rect" hidden="1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41" name="rect" hidden="1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42" name="rect" hidden="1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43" name="rect" hidden="1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44" name="rect" hidden="1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45" name="rect" hidden="1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46" name="rect" hidden="1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47" name="rect" hidden="1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48" name="rect" hidden="1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49" name="rect" hidden="1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50" name="rect" hidden="1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51" name="rect" hidden="1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52" name="rect" hidden="1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53" name="rect" hidden="1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54" name="rect" hidden="1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7</xdr:row>
      <xdr:rowOff>0</xdr:rowOff>
    </xdr:from>
    <xdr:to>
      <xdr:col>11</xdr:col>
      <xdr:colOff>1053064</xdr:colOff>
      <xdr:row>14</xdr:row>
      <xdr:rowOff>118869</xdr:rowOff>
    </xdr:to>
    <xdr:sp macro="" textlink="">
      <xdr:nvSpPr>
        <xdr:cNvPr id="355" name="rect" hidden="1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/>
      </xdr:nvSpPr>
      <xdr:spPr>
        <a:xfrm rot="19672510">
          <a:off x="11106150" y="1447800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56" name="rect" hidden="1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57" name="rect" hidden="1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58" name="rect" hidden="1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59" name="rect" hidden="1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60" name="rect" hidden="1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11</xdr:col>
      <xdr:colOff>1053064</xdr:colOff>
      <xdr:row>13</xdr:row>
      <xdr:rowOff>128190</xdr:rowOff>
    </xdr:to>
    <xdr:sp macro="" textlink="">
      <xdr:nvSpPr>
        <xdr:cNvPr id="361" name="rect" hidden="1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/>
      </xdr:nvSpPr>
      <xdr:spPr>
        <a:xfrm rot="19672510">
          <a:off x="11106150" y="1247775"/>
          <a:ext cx="3574376" cy="15951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9600" b="1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DRAFT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pageSetUpPr fitToPage="1"/>
  </sheetPr>
  <dimension ref="A1:AW92"/>
  <sheetViews>
    <sheetView zoomScale="60" workbookViewId="0">
      <selection activeCell="A62" sqref="A62"/>
    </sheetView>
  </sheetViews>
  <sheetFormatPr defaultColWidth="9.1796875" defaultRowHeight="15.5" x14ac:dyDescent="0.35"/>
  <cols>
    <col min="1" max="1" width="14.36328125" style="1" customWidth="1"/>
    <col min="2" max="2" width="11.7265625" style="1" bestFit="1" customWidth="1"/>
    <col min="3" max="3" width="21.81640625" style="1" bestFit="1" customWidth="1"/>
    <col min="4" max="4" width="15.36328125" style="1" bestFit="1" customWidth="1"/>
    <col min="5" max="5" width="20.1796875" style="1" bestFit="1" customWidth="1"/>
    <col min="6" max="6" width="15.36328125" style="1" bestFit="1" customWidth="1"/>
    <col min="7" max="7" width="20.1796875" style="1" bestFit="1" customWidth="1"/>
    <col min="8" max="9" width="15.36328125" style="1" bestFit="1" customWidth="1"/>
    <col min="10" max="10" width="20.1796875" style="1" bestFit="1" customWidth="1"/>
    <col min="11" max="11" width="15.36328125" style="1" bestFit="1" customWidth="1"/>
    <col min="12" max="12" width="20.1796875" style="1" bestFit="1" customWidth="1"/>
    <col min="13" max="13" width="15.36328125" style="1" bestFit="1" customWidth="1"/>
    <col min="14" max="14" width="25.453125" style="2" bestFit="1" customWidth="1"/>
    <col min="15" max="15" width="13.81640625" style="1" customWidth="1"/>
    <col min="16" max="16" width="14.6328125" style="1" customWidth="1"/>
    <col min="17" max="17" width="10.36328125" style="3" bestFit="1" customWidth="1"/>
    <col min="18" max="18" width="13.54296875" style="3" customWidth="1"/>
    <col min="19" max="19" width="9.1796875" style="3" customWidth="1"/>
    <col min="20" max="20" width="22.90625" style="1" customWidth="1"/>
    <col min="21" max="21" width="18.54296875" style="1" customWidth="1"/>
    <col min="22" max="22" width="14.6328125" style="1" customWidth="1"/>
    <col min="23" max="23" width="13.26953125" style="1" customWidth="1"/>
    <col min="24" max="24" width="8.6328125" style="1" bestFit="1" customWidth="1"/>
    <col min="25" max="25" width="9.1796875" style="1"/>
    <col min="26" max="26" width="13.81640625" style="1" customWidth="1"/>
    <col min="27" max="27" width="16.26953125" style="1" customWidth="1"/>
    <col min="28" max="28" width="13.1796875" style="1" customWidth="1"/>
    <col min="29" max="29" width="13" style="1" customWidth="1"/>
    <col min="30" max="32" width="9.1796875" style="1"/>
    <col min="33" max="33" width="18.453125" style="1" customWidth="1"/>
    <col min="34" max="34" width="12" style="1" customWidth="1"/>
    <col min="35" max="16384" width="9.1796875" style="1"/>
  </cols>
  <sheetData>
    <row r="1" spans="3:49" x14ac:dyDescent="0.35">
      <c r="C1" s="1552" t="s">
        <v>0</v>
      </c>
      <c r="D1" s="1553"/>
      <c r="E1" s="1553"/>
      <c r="F1" s="1553"/>
      <c r="G1" s="1553"/>
      <c r="H1" s="1553"/>
      <c r="I1" s="1553"/>
      <c r="J1" s="1553"/>
      <c r="K1" s="1553"/>
      <c r="L1" s="1553"/>
      <c r="M1" s="1553"/>
      <c r="N1" s="1554"/>
      <c r="U1" s="2"/>
      <c r="X1" s="3"/>
      <c r="Y1" s="3"/>
      <c r="AA1" s="4"/>
      <c r="AD1" s="5"/>
      <c r="AH1" s="5" t="s">
        <v>1</v>
      </c>
      <c r="AI1" s="5" t="str">
        <f>+AH1</f>
        <v>L25</v>
      </c>
    </row>
    <row r="2" spans="3:49" ht="15.75" customHeight="1" x14ac:dyDescent="0.35">
      <c r="C2" s="6"/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8"/>
      <c r="K2" s="9"/>
      <c r="L2" s="7" t="s">
        <v>8</v>
      </c>
      <c r="M2" s="7" t="s">
        <v>9</v>
      </c>
      <c r="N2" s="10"/>
    </row>
    <row r="3" spans="3:49" x14ac:dyDescent="0.35">
      <c r="C3" s="11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15</v>
      </c>
      <c r="I3" s="12" t="s">
        <v>16</v>
      </c>
      <c r="J3" s="13"/>
      <c r="K3" s="14"/>
      <c r="L3" s="12" t="s">
        <v>17</v>
      </c>
      <c r="M3" s="12" t="s">
        <v>18</v>
      </c>
      <c r="N3" s="15" t="s">
        <v>10</v>
      </c>
      <c r="S3" s="16"/>
    </row>
    <row r="4" spans="3:49" x14ac:dyDescent="0.35">
      <c r="C4" s="17"/>
      <c r="D4" s="18" t="s">
        <v>19</v>
      </c>
      <c r="E4" s="18" t="s">
        <v>20</v>
      </c>
      <c r="F4" s="18" t="s">
        <v>21</v>
      </c>
      <c r="G4" s="18" t="s">
        <v>22</v>
      </c>
      <c r="H4" s="18" t="s">
        <v>23</v>
      </c>
      <c r="I4" s="18" t="s">
        <v>24</v>
      </c>
      <c r="J4" s="19"/>
      <c r="K4" s="20"/>
      <c r="L4" s="18" t="s">
        <v>25</v>
      </c>
      <c r="M4" s="18" t="s">
        <v>26</v>
      </c>
      <c r="N4" s="21"/>
      <c r="O4" s="22"/>
      <c r="S4" s="16"/>
    </row>
    <row r="5" spans="3:49" x14ac:dyDescent="0.35">
      <c r="C5" s="17" t="s">
        <v>27</v>
      </c>
      <c r="D5" s="23"/>
      <c r="E5" s="23"/>
      <c r="F5" s="24"/>
      <c r="G5" s="25"/>
      <c r="H5" s="24"/>
      <c r="I5" s="23"/>
      <c r="J5" s="19"/>
      <c r="K5" s="19"/>
      <c r="L5" s="23"/>
      <c r="M5" s="25"/>
      <c r="N5" s="26" t="s">
        <v>27</v>
      </c>
      <c r="O5" s="27"/>
      <c r="P5" s="27"/>
      <c r="S5" s="16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</row>
    <row r="6" spans="3:49" x14ac:dyDescent="0.35">
      <c r="C6" s="28"/>
      <c r="D6" s="29"/>
      <c r="E6" s="29"/>
      <c r="F6" s="30"/>
      <c r="G6" s="29"/>
      <c r="H6" s="30"/>
      <c r="I6" s="29"/>
      <c r="J6" s="19"/>
      <c r="K6" s="19"/>
      <c r="L6" s="29"/>
      <c r="M6" s="29"/>
      <c r="N6" s="21"/>
      <c r="O6" s="27"/>
      <c r="S6" s="16"/>
    </row>
    <row r="7" spans="3:49" x14ac:dyDescent="0.35">
      <c r="C7" s="31" t="s">
        <v>28</v>
      </c>
      <c r="D7" s="29"/>
      <c r="E7" s="29"/>
      <c r="F7" s="30"/>
      <c r="G7" s="29"/>
      <c r="H7" s="30"/>
      <c r="I7" s="29"/>
      <c r="J7" s="32"/>
      <c r="K7" s="32"/>
      <c r="L7" s="33">
        <v>0.22916666666666666</v>
      </c>
      <c r="M7" s="33"/>
      <c r="N7" s="34" t="s">
        <v>28</v>
      </c>
      <c r="O7" s="22"/>
      <c r="S7" s="16"/>
    </row>
    <row r="8" spans="3:49" x14ac:dyDescent="0.35">
      <c r="C8" s="17"/>
      <c r="D8" s="29"/>
      <c r="E8" s="29"/>
      <c r="F8" s="30"/>
      <c r="G8" s="29"/>
      <c r="H8" s="30"/>
      <c r="I8" s="29"/>
      <c r="J8" s="19"/>
      <c r="K8" s="19"/>
      <c r="L8" s="29"/>
      <c r="M8" s="29"/>
      <c r="N8" s="26"/>
      <c r="O8" s="22"/>
      <c r="P8" s="22"/>
      <c r="Q8" s="16"/>
      <c r="R8" s="16"/>
      <c r="S8" s="16"/>
    </row>
    <row r="9" spans="3:49" x14ac:dyDescent="0.35">
      <c r="C9" s="35" t="s">
        <v>29</v>
      </c>
      <c r="D9" s="29"/>
      <c r="E9" s="36">
        <v>0.22916666666666666</v>
      </c>
      <c r="F9" s="30"/>
      <c r="G9" s="29"/>
      <c r="H9" s="30"/>
      <c r="I9" s="36"/>
      <c r="J9" s="37"/>
      <c r="K9" s="37"/>
      <c r="L9" s="36">
        <v>0.25</v>
      </c>
      <c r="M9" s="36">
        <v>0.26041666666666669</v>
      </c>
      <c r="N9" s="38" t="s">
        <v>29</v>
      </c>
      <c r="O9" s="22"/>
      <c r="S9" s="16"/>
    </row>
    <row r="10" spans="3:49" x14ac:dyDescent="0.35">
      <c r="C10" s="17"/>
      <c r="D10" s="29"/>
      <c r="E10" s="29"/>
      <c r="F10" s="30"/>
      <c r="G10" s="29"/>
      <c r="H10" s="30"/>
      <c r="I10" s="29"/>
      <c r="J10" s="19"/>
      <c r="K10" s="19"/>
      <c r="L10" s="29"/>
      <c r="M10" s="29"/>
      <c r="N10" s="26"/>
      <c r="O10" s="22"/>
      <c r="S10" s="16"/>
    </row>
    <row r="11" spans="3:49" x14ac:dyDescent="0.35">
      <c r="C11" s="31" t="s">
        <v>28</v>
      </c>
      <c r="D11" s="29"/>
      <c r="E11" s="33">
        <v>0.25</v>
      </c>
      <c r="F11" s="30"/>
      <c r="G11" s="29"/>
      <c r="H11" s="30"/>
      <c r="I11" s="33">
        <v>0.26041666666666669</v>
      </c>
      <c r="J11" s="32"/>
      <c r="K11" s="32"/>
      <c r="L11" s="33">
        <v>0.27083333333333331</v>
      </c>
      <c r="M11" s="33">
        <v>0.28125</v>
      </c>
      <c r="N11" s="34" t="s">
        <v>28</v>
      </c>
      <c r="O11" s="22"/>
      <c r="S11" s="16"/>
    </row>
    <row r="12" spans="3:49" x14ac:dyDescent="0.35">
      <c r="C12" s="17"/>
      <c r="D12" s="29"/>
      <c r="E12" s="29"/>
      <c r="F12" s="30"/>
      <c r="G12" s="29"/>
      <c r="H12" s="30"/>
      <c r="I12" s="29"/>
      <c r="J12" s="19"/>
      <c r="K12" s="19"/>
      <c r="L12" s="29"/>
      <c r="M12" s="29"/>
      <c r="N12" s="26"/>
      <c r="O12" s="22"/>
      <c r="P12" s="22"/>
      <c r="Q12" s="39"/>
      <c r="R12" s="39"/>
      <c r="S12" s="16"/>
    </row>
    <row r="13" spans="3:49" x14ac:dyDescent="0.35">
      <c r="C13" s="35" t="s">
        <v>29</v>
      </c>
      <c r="D13" s="29"/>
      <c r="E13" s="36">
        <v>0.27083333333333331</v>
      </c>
      <c r="F13" s="30"/>
      <c r="G13" s="36">
        <v>0.28125000000000006</v>
      </c>
      <c r="H13" s="30"/>
      <c r="I13" s="36">
        <v>0.29166666666666674</v>
      </c>
      <c r="J13" s="37"/>
      <c r="K13" s="37"/>
      <c r="L13" s="36">
        <v>0.30208333333333343</v>
      </c>
      <c r="M13" s="36">
        <v>0.31250000000000011</v>
      </c>
      <c r="N13" s="38" t="s">
        <v>29</v>
      </c>
      <c r="O13" s="22"/>
      <c r="P13" s="27"/>
      <c r="S13" s="16"/>
    </row>
    <row r="14" spans="3:49" x14ac:dyDescent="0.35">
      <c r="C14" s="17"/>
      <c r="D14" s="29"/>
      <c r="E14" s="29"/>
      <c r="F14" s="30"/>
      <c r="G14" s="29"/>
      <c r="H14" s="30"/>
      <c r="I14" s="29"/>
      <c r="J14" s="19"/>
      <c r="K14" s="19"/>
      <c r="L14" s="29"/>
      <c r="M14" s="29"/>
      <c r="N14" s="26"/>
      <c r="O14" s="22"/>
      <c r="P14" s="16"/>
      <c r="S14" s="16"/>
    </row>
    <row r="15" spans="3:49" x14ac:dyDescent="0.35">
      <c r="C15" s="31" t="s">
        <v>28</v>
      </c>
      <c r="D15" s="33">
        <v>0.29166666666666669</v>
      </c>
      <c r="E15" s="33">
        <v>0.30208333333333331</v>
      </c>
      <c r="F15" s="30"/>
      <c r="G15" s="33">
        <v>0.3125</v>
      </c>
      <c r="H15" s="40">
        <v>0.32291666666666669</v>
      </c>
      <c r="I15" s="41" t="s">
        <v>30</v>
      </c>
      <c r="J15" s="19"/>
      <c r="K15" s="19"/>
      <c r="L15" s="33">
        <v>0.34375</v>
      </c>
      <c r="M15" s="33">
        <v>0.35416666666666669</v>
      </c>
      <c r="N15" s="34" t="s">
        <v>28</v>
      </c>
      <c r="P15" s="22"/>
      <c r="S15" s="16"/>
    </row>
    <row r="16" spans="3:49" x14ac:dyDescent="0.35">
      <c r="C16" s="17"/>
      <c r="D16" s="29"/>
      <c r="E16" s="29"/>
      <c r="F16" s="30"/>
      <c r="G16" s="36"/>
      <c r="H16" s="30"/>
      <c r="I16" s="30"/>
      <c r="J16" s="19"/>
      <c r="K16" s="19"/>
      <c r="L16" s="29"/>
      <c r="M16" s="29"/>
      <c r="N16" s="26"/>
      <c r="S16" s="16"/>
    </row>
    <row r="17" spans="3:19" x14ac:dyDescent="0.35">
      <c r="C17" s="35" t="s">
        <v>29</v>
      </c>
      <c r="D17" s="36">
        <v>0.3229166666666668</v>
      </c>
      <c r="E17" s="36">
        <v>0.33333333333333348</v>
      </c>
      <c r="F17" s="42">
        <v>0.34375000000000017</v>
      </c>
      <c r="G17" s="36">
        <v>0.35416666666666685</v>
      </c>
      <c r="H17" s="42">
        <v>0.36458333333333354</v>
      </c>
      <c r="I17" s="42">
        <v>0.37500000000000022</v>
      </c>
      <c r="J17" s="19"/>
      <c r="K17" s="19"/>
      <c r="L17" s="36">
        <v>0.38541666666666691</v>
      </c>
      <c r="M17" s="36">
        <v>0.39583333333333331</v>
      </c>
      <c r="N17" s="38" t="s">
        <v>29</v>
      </c>
      <c r="P17" s="22"/>
      <c r="S17" s="16"/>
    </row>
    <row r="18" spans="3:19" x14ac:dyDescent="0.35">
      <c r="C18" s="17"/>
      <c r="D18" s="25"/>
      <c r="E18" s="25"/>
      <c r="F18" s="30"/>
      <c r="G18" s="29"/>
      <c r="H18" s="43"/>
      <c r="I18" s="43"/>
      <c r="J18" s="19"/>
      <c r="K18" s="19"/>
      <c r="L18" s="25"/>
      <c r="M18" s="44"/>
      <c r="N18" s="26"/>
      <c r="P18" s="22"/>
      <c r="S18" s="16"/>
    </row>
    <row r="19" spans="3:19" x14ac:dyDescent="0.35">
      <c r="C19" s="31" t="s">
        <v>28</v>
      </c>
      <c r="D19" s="41" t="s">
        <v>31</v>
      </c>
      <c r="E19" s="41" t="s">
        <v>32</v>
      </c>
      <c r="F19" s="40">
        <v>0.38541666666666669</v>
      </c>
      <c r="G19" s="33">
        <v>0.39583333333333331</v>
      </c>
      <c r="H19" s="41" t="s">
        <v>33</v>
      </c>
      <c r="I19" s="40">
        <v>0.41666666666666669</v>
      </c>
      <c r="J19" s="19"/>
      <c r="K19" s="19"/>
      <c r="L19" s="41" t="s">
        <v>34</v>
      </c>
      <c r="M19" s="45" t="s">
        <v>35</v>
      </c>
      <c r="N19" s="34" t="s">
        <v>28</v>
      </c>
      <c r="P19" s="22"/>
      <c r="Q19" s="16"/>
      <c r="S19" s="16"/>
    </row>
    <row r="20" spans="3:19" x14ac:dyDescent="0.35">
      <c r="C20" s="17"/>
      <c r="D20" s="30"/>
      <c r="E20" s="29"/>
      <c r="F20" s="30"/>
      <c r="G20" s="29"/>
      <c r="H20" s="29"/>
      <c r="I20" s="30"/>
      <c r="J20" s="19"/>
      <c r="K20" s="19"/>
      <c r="L20" s="46"/>
      <c r="M20" s="20" t="s">
        <v>36</v>
      </c>
      <c r="N20" s="26"/>
      <c r="S20" s="16"/>
    </row>
    <row r="21" spans="3:19" x14ac:dyDescent="0.35">
      <c r="C21" s="35" t="s">
        <v>29</v>
      </c>
      <c r="D21" s="42">
        <v>0.40625000000000028</v>
      </c>
      <c r="E21" s="36">
        <v>0.41666666666666696</v>
      </c>
      <c r="F21" s="47" t="s">
        <v>35</v>
      </c>
      <c r="G21" s="36">
        <v>0.42708333333333331</v>
      </c>
      <c r="H21" s="36">
        <v>0.43750000000000033</v>
      </c>
      <c r="I21" s="42">
        <v>0.44791666666666702</v>
      </c>
      <c r="J21" s="48"/>
      <c r="K21" s="19"/>
      <c r="L21" s="36">
        <v>0.4583333333333337</v>
      </c>
      <c r="M21" s="19"/>
      <c r="N21" s="38" t="s">
        <v>29</v>
      </c>
      <c r="S21" s="16"/>
    </row>
    <row r="22" spans="3:19" x14ac:dyDescent="0.35">
      <c r="C22" s="17"/>
      <c r="D22" s="30"/>
      <c r="E22" s="29"/>
      <c r="F22" s="43" t="s">
        <v>36</v>
      </c>
      <c r="G22" s="25"/>
      <c r="H22" s="29"/>
      <c r="I22" s="49"/>
      <c r="J22" s="50" t="s">
        <v>37</v>
      </c>
      <c r="K22" s="51"/>
      <c r="L22" s="29"/>
      <c r="M22" s="19"/>
      <c r="N22" s="26"/>
      <c r="S22" s="16"/>
    </row>
    <row r="23" spans="3:19" x14ac:dyDescent="0.35">
      <c r="C23" s="31" t="s">
        <v>28</v>
      </c>
      <c r="D23" s="40">
        <v>0.4375</v>
      </c>
      <c r="E23" s="33">
        <v>0.44791666666666669</v>
      </c>
      <c r="F23" s="19"/>
      <c r="G23" s="41" t="s">
        <v>38</v>
      </c>
      <c r="H23" s="33">
        <v>0.46875</v>
      </c>
      <c r="I23" s="52">
        <v>0.47916666666666669</v>
      </c>
      <c r="J23" s="12" t="s">
        <v>39</v>
      </c>
      <c r="K23" s="51"/>
      <c r="L23" s="33">
        <v>0.48958333333333331</v>
      </c>
      <c r="M23" s="19"/>
      <c r="N23" s="34" t="s">
        <v>28</v>
      </c>
      <c r="S23" s="16"/>
    </row>
    <row r="24" spans="3:19" x14ac:dyDescent="0.35">
      <c r="C24" s="17"/>
      <c r="D24" s="30"/>
      <c r="E24" s="29"/>
      <c r="F24" s="19"/>
      <c r="G24" s="30"/>
      <c r="H24" s="29"/>
      <c r="I24" s="30"/>
      <c r="J24" s="53" t="s">
        <v>40</v>
      </c>
      <c r="K24" s="19"/>
      <c r="L24" s="29"/>
      <c r="M24" s="19"/>
      <c r="N24" s="26"/>
      <c r="S24" s="16"/>
    </row>
    <row r="25" spans="3:19" x14ac:dyDescent="0.35">
      <c r="C25" s="35" t="s">
        <v>29</v>
      </c>
      <c r="D25" s="42">
        <v>0.46875000000000039</v>
      </c>
      <c r="E25" s="36">
        <v>0.47916666666666707</v>
      </c>
      <c r="F25" s="19"/>
      <c r="G25" s="42">
        <v>0.48958333333333376</v>
      </c>
      <c r="H25" s="36">
        <v>0.50000000000000044</v>
      </c>
      <c r="I25" s="42">
        <v>0.51041666666666707</v>
      </c>
      <c r="J25" s="42">
        <v>0.52083333333333337</v>
      </c>
      <c r="K25" s="37"/>
      <c r="L25" s="36">
        <v>0.53125</v>
      </c>
      <c r="M25" s="19"/>
      <c r="N25" s="38" t="s">
        <v>29</v>
      </c>
      <c r="S25" s="16"/>
    </row>
    <row r="26" spans="3:19" x14ac:dyDescent="0.35">
      <c r="C26" s="17"/>
      <c r="D26" s="43"/>
      <c r="E26" s="25"/>
      <c r="F26" s="19"/>
      <c r="G26" s="43"/>
      <c r="H26" s="29"/>
      <c r="I26" s="43"/>
      <c r="J26" s="30"/>
      <c r="K26" s="19"/>
      <c r="L26" s="25"/>
      <c r="M26" s="19"/>
      <c r="N26" s="26"/>
      <c r="S26" s="16"/>
    </row>
    <row r="27" spans="3:19" x14ac:dyDescent="0.35">
      <c r="C27" s="31" t="s">
        <v>28</v>
      </c>
      <c r="D27" s="41" t="s">
        <v>41</v>
      </c>
      <c r="E27" s="41" t="s">
        <v>42</v>
      </c>
      <c r="F27" s="19"/>
      <c r="G27" s="40">
        <v>0.52083333333333337</v>
      </c>
      <c r="H27" s="33">
        <v>0.53125</v>
      </c>
      <c r="I27" s="41" t="s">
        <v>43</v>
      </c>
      <c r="J27" s="40">
        <v>0.55208333333333337</v>
      </c>
      <c r="K27" s="54"/>
      <c r="L27" s="41" t="s">
        <v>44</v>
      </c>
      <c r="M27" s="19"/>
      <c r="N27" s="34" t="s">
        <v>28</v>
      </c>
      <c r="S27" s="16"/>
    </row>
    <row r="28" spans="3:19" x14ac:dyDescent="0.35">
      <c r="C28" s="17"/>
      <c r="D28" s="29"/>
      <c r="E28" s="55"/>
      <c r="F28" s="19"/>
      <c r="G28" s="30"/>
      <c r="H28" s="29"/>
      <c r="I28" s="55"/>
      <c r="J28" s="49"/>
      <c r="K28" s="50" t="s">
        <v>45</v>
      </c>
      <c r="L28" s="56"/>
      <c r="M28" s="19"/>
      <c r="N28" s="26"/>
      <c r="S28" s="16"/>
    </row>
    <row r="29" spans="3:19" x14ac:dyDescent="0.35">
      <c r="C29" s="35" t="s">
        <v>29</v>
      </c>
      <c r="D29" s="36">
        <v>0.54166666666666696</v>
      </c>
      <c r="E29" s="57">
        <v>0.55208333333333359</v>
      </c>
      <c r="F29" s="19"/>
      <c r="G29" s="42">
        <v>0.56250000000000022</v>
      </c>
      <c r="H29" s="36">
        <v>0.57291666666666685</v>
      </c>
      <c r="I29" s="57">
        <v>0.58333333333333348</v>
      </c>
      <c r="J29" s="58">
        <v>0.59375</v>
      </c>
      <c r="K29" s="12" t="s">
        <v>46</v>
      </c>
      <c r="L29" s="59">
        <v>0.60416666666666674</v>
      </c>
      <c r="M29" s="19"/>
      <c r="N29" s="38" t="s">
        <v>29</v>
      </c>
      <c r="S29" s="16"/>
    </row>
    <row r="30" spans="3:19" x14ac:dyDescent="0.35">
      <c r="C30" s="17"/>
      <c r="D30" s="29"/>
      <c r="E30" s="55"/>
      <c r="F30" s="19"/>
      <c r="G30" s="30"/>
      <c r="H30" s="25"/>
      <c r="I30" s="55"/>
      <c r="J30" s="43"/>
      <c r="K30" s="18" t="s">
        <v>47</v>
      </c>
      <c r="L30" s="55"/>
      <c r="M30" s="19"/>
      <c r="N30" s="26"/>
      <c r="S30" s="16"/>
    </row>
    <row r="31" spans="3:19" x14ac:dyDescent="0.35">
      <c r="C31" s="31" t="s">
        <v>28</v>
      </c>
      <c r="D31" s="33">
        <v>0.57291666666666663</v>
      </c>
      <c r="E31" s="60">
        <v>0.58333333333333337</v>
      </c>
      <c r="F31" s="19"/>
      <c r="G31" s="40">
        <v>0.59375</v>
      </c>
      <c r="H31" s="41" t="s">
        <v>48</v>
      </c>
      <c r="I31" s="41" t="s">
        <v>49</v>
      </c>
      <c r="J31" s="40">
        <v>0.625</v>
      </c>
      <c r="K31" s="61">
        <v>0.63541666666666663</v>
      </c>
      <c r="L31" s="41" t="s">
        <v>50</v>
      </c>
      <c r="M31" s="19"/>
      <c r="N31" s="34" t="s">
        <v>28</v>
      </c>
      <c r="S31" s="16"/>
    </row>
    <row r="32" spans="3:19" x14ac:dyDescent="0.35">
      <c r="C32" s="17"/>
      <c r="D32" s="29"/>
      <c r="E32" s="55"/>
      <c r="F32" s="19"/>
      <c r="G32" s="30"/>
      <c r="H32" s="30"/>
      <c r="I32" s="62"/>
      <c r="J32" s="30"/>
      <c r="K32" s="62"/>
      <c r="L32" s="62"/>
      <c r="M32" s="19"/>
      <c r="N32" s="26"/>
      <c r="S32" s="16"/>
    </row>
    <row r="33" spans="3:19" x14ac:dyDescent="0.35">
      <c r="C33" s="35" t="s">
        <v>29</v>
      </c>
      <c r="D33" s="36">
        <v>0.61458333333333337</v>
      </c>
      <c r="E33" s="57">
        <v>0.625</v>
      </c>
      <c r="F33" s="19"/>
      <c r="G33" s="42">
        <v>0.63541666666666663</v>
      </c>
      <c r="H33" s="42">
        <v>0.64583333333333326</v>
      </c>
      <c r="I33" s="63">
        <v>0.65624999999999989</v>
      </c>
      <c r="J33" s="42">
        <v>0.66666666666666652</v>
      </c>
      <c r="K33" s="63">
        <v>0.67708333333333315</v>
      </c>
      <c r="L33" s="63">
        <v>0.68749999999999978</v>
      </c>
      <c r="M33" s="19"/>
      <c r="N33" s="38" t="s">
        <v>29</v>
      </c>
      <c r="S33" s="16"/>
    </row>
    <row r="34" spans="3:19" x14ac:dyDescent="0.35">
      <c r="C34" s="17"/>
      <c r="D34" s="25"/>
      <c r="E34" s="64"/>
      <c r="F34" s="19"/>
      <c r="G34" s="43"/>
      <c r="H34" s="30"/>
      <c r="I34" s="65"/>
      <c r="J34" s="30"/>
      <c r="K34" s="62"/>
      <c r="L34" s="65"/>
      <c r="M34" s="19"/>
      <c r="N34" s="26"/>
      <c r="S34" s="16"/>
    </row>
    <row r="35" spans="3:19" x14ac:dyDescent="0.35">
      <c r="C35" s="31" t="s">
        <v>28</v>
      </c>
      <c r="D35" s="41" t="s">
        <v>51</v>
      </c>
      <c r="E35" s="41" t="s">
        <v>52</v>
      </c>
      <c r="F35" s="19"/>
      <c r="G35" s="41" t="s">
        <v>53</v>
      </c>
      <c r="H35" s="41" t="s">
        <v>54</v>
      </c>
      <c r="I35" s="61">
        <v>0.69791666666666663</v>
      </c>
      <c r="J35" s="41" t="s">
        <v>55</v>
      </c>
      <c r="K35" s="41" t="s">
        <v>56</v>
      </c>
      <c r="L35" s="41" t="s">
        <v>57</v>
      </c>
      <c r="M35" s="19"/>
      <c r="N35" s="34" t="s">
        <v>28</v>
      </c>
      <c r="S35" s="16"/>
    </row>
    <row r="36" spans="3:19" x14ac:dyDescent="0.35">
      <c r="C36" s="17"/>
      <c r="D36" s="62"/>
      <c r="E36" s="55"/>
      <c r="F36" s="19"/>
      <c r="G36" s="62"/>
      <c r="H36" s="30"/>
      <c r="I36" s="62"/>
      <c r="J36" s="55"/>
      <c r="K36" s="62"/>
      <c r="L36" s="55"/>
      <c r="M36" s="19"/>
      <c r="N36" s="26"/>
      <c r="S36" s="16"/>
    </row>
    <row r="37" spans="3:19" x14ac:dyDescent="0.35">
      <c r="C37" s="35" t="s">
        <v>29</v>
      </c>
      <c r="D37" s="63">
        <v>0.69791666666666641</v>
      </c>
      <c r="E37" s="57">
        <v>0.70833333333333304</v>
      </c>
      <c r="F37" s="19"/>
      <c r="G37" s="63">
        <v>0.71874999999999967</v>
      </c>
      <c r="H37" s="42">
        <v>0.72916666666666663</v>
      </c>
      <c r="I37" s="63">
        <v>0.73958333333333293</v>
      </c>
      <c r="J37" s="57">
        <v>0.74999999999999956</v>
      </c>
      <c r="K37" s="63">
        <v>0.76041666666666619</v>
      </c>
      <c r="L37" s="57">
        <v>0.77083333333333282</v>
      </c>
      <c r="M37" s="19"/>
      <c r="N37" s="38" t="s">
        <v>29</v>
      </c>
      <c r="S37" s="16"/>
    </row>
    <row r="38" spans="3:19" x14ac:dyDescent="0.35">
      <c r="C38" s="17"/>
      <c r="D38" s="62"/>
      <c r="E38" s="55"/>
      <c r="F38" s="19"/>
      <c r="G38" s="65"/>
      <c r="H38" s="30"/>
      <c r="I38" s="62"/>
      <c r="J38" s="55"/>
      <c r="K38" s="62"/>
      <c r="L38" s="55"/>
      <c r="M38" s="19"/>
      <c r="N38" s="26"/>
      <c r="S38" s="16"/>
    </row>
    <row r="39" spans="3:19" x14ac:dyDescent="0.35">
      <c r="C39" s="31" t="s">
        <v>28</v>
      </c>
      <c r="D39" s="61">
        <v>0.73958333333333337</v>
      </c>
      <c r="E39" s="60">
        <v>0.75</v>
      </c>
      <c r="F39" s="19"/>
      <c r="G39" s="61">
        <v>0.76041666666666663</v>
      </c>
      <c r="H39" s="40">
        <v>0.77083333333333337</v>
      </c>
      <c r="I39" s="41" t="s">
        <v>58</v>
      </c>
      <c r="J39" s="60">
        <v>0.79166666666666663</v>
      </c>
      <c r="K39" s="66" t="s">
        <v>59</v>
      </c>
      <c r="L39" s="60">
        <v>0.80208333333333337</v>
      </c>
      <c r="M39" s="19"/>
      <c r="N39" s="34" t="s">
        <v>28</v>
      </c>
      <c r="S39" s="16"/>
    </row>
    <row r="40" spans="3:19" x14ac:dyDescent="0.35">
      <c r="C40" s="17"/>
      <c r="D40" s="62"/>
      <c r="E40" s="55"/>
      <c r="F40" s="19"/>
      <c r="G40" s="62"/>
      <c r="H40" s="30"/>
      <c r="I40" s="62"/>
      <c r="J40" s="55"/>
      <c r="K40" s="65" t="s">
        <v>60</v>
      </c>
      <c r="L40" s="55"/>
      <c r="M40" s="19"/>
      <c r="N40" s="26"/>
      <c r="S40" s="16"/>
    </row>
    <row r="41" spans="3:19" x14ac:dyDescent="0.35">
      <c r="C41" s="35" t="s">
        <v>29</v>
      </c>
      <c r="D41" s="63">
        <v>0.78124999999999944</v>
      </c>
      <c r="E41" s="57">
        <v>0.79166666666666607</v>
      </c>
      <c r="F41" s="19"/>
      <c r="G41" s="63">
        <v>0.8020833333333327</v>
      </c>
      <c r="H41" s="47">
        <v>0.80902777777777779</v>
      </c>
      <c r="I41" s="63">
        <v>0.81249999999999933</v>
      </c>
      <c r="J41" s="57">
        <v>0.82291666666666596</v>
      </c>
      <c r="K41" s="19"/>
      <c r="L41" s="57">
        <v>0.83333333333333259</v>
      </c>
      <c r="M41" s="19"/>
      <c r="N41" s="38" t="s">
        <v>29</v>
      </c>
      <c r="S41" s="16"/>
    </row>
    <row r="42" spans="3:19" x14ac:dyDescent="0.35">
      <c r="C42" s="17"/>
      <c r="D42" s="65"/>
      <c r="E42" s="64"/>
      <c r="F42" s="19"/>
      <c r="G42" s="62"/>
      <c r="H42" s="43" t="s">
        <v>61</v>
      </c>
      <c r="I42" s="62"/>
      <c r="J42" s="64"/>
      <c r="K42" s="50" t="s">
        <v>62</v>
      </c>
      <c r="L42" s="64"/>
      <c r="M42" s="19"/>
      <c r="N42" s="26"/>
      <c r="S42" s="16"/>
    </row>
    <row r="43" spans="3:19" x14ac:dyDescent="0.35">
      <c r="C43" s="31" t="s">
        <v>28</v>
      </c>
      <c r="D43" s="41" t="s">
        <v>63</v>
      </c>
      <c r="E43" s="60">
        <v>0.82291666666666663</v>
      </c>
      <c r="F43" s="19"/>
      <c r="G43" s="41" t="s">
        <v>64</v>
      </c>
      <c r="H43" s="19"/>
      <c r="I43" s="61">
        <v>0.84375</v>
      </c>
      <c r="J43" s="60">
        <v>0.85416666666666663</v>
      </c>
      <c r="K43" s="12" t="s">
        <v>65</v>
      </c>
      <c r="L43" s="41" t="s">
        <v>66</v>
      </c>
      <c r="M43" s="19"/>
      <c r="N43" s="34" t="s">
        <v>28</v>
      </c>
      <c r="S43" s="16"/>
    </row>
    <row r="44" spans="3:19" x14ac:dyDescent="0.35">
      <c r="C44" s="17"/>
      <c r="D44" s="62"/>
      <c r="E44" s="55"/>
      <c r="F44" s="19"/>
      <c r="G44" s="62"/>
      <c r="H44" s="19"/>
      <c r="I44" s="62"/>
      <c r="J44" s="55"/>
      <c r="K44" s="67" t="s">
        <v>67</v>
      </c>
      <c r="L44" s="62"/>
      <c r="M44" s="19"/>
      <c r="N44" s="26"/>
      <c r="S44" s="16"/>
    </row>
    <row r="45" spans="3:19" x14ac:dyDescent="0.35">
      <c r="C45" s="35" t="s">
        <v>29</v>
      </c>
      <c r="D45" s="63">
        <v>0.84374999999999922</v>
      </c>
      <c r="E45" s="57">
        <v>0.85416666666666585</v>
      </c>
      <c r="F45" s="19"/>
      <c r="G45" s="63">
        <v>0.86458333333333248</v>
      </c>
      <c r="H45" s="19"/>
      <c r="I45" s="63">
        <v>0.87499999999999911</v>
      </c>
      <c r="J45" s="55" t="s">
        <v>68</v>
      </c>
      <c r="K45" s="63">
        <v>0.88541666666666574</v>
      </c>
      <c r="L45" s="63">
        <v>0.89583333333333237</v>
      </c>
      <c r="M45" s="19"/>
      <c r="N45" s="38" t="s">
        <v>29</v>
      </c>
      <c r="S45" s="16"/>
    </row>
    <row r="46" spans="3:19" x14ac:dyDescent="0.35">
      <c r="C46" s="17"/>
      <c r="D46" s="62"/>
      <c r="E46" s="55"/>
      <c r="F46" s="19"/>
      <c r="G46" s="65"/>
      <c r="H46" s="19"/>
      <c r="I46" s="65"/>
      <c r="J46" s="64" t="s">
        <v>69</v>
      </c>
      <c r="K46" s="62"/>
      <c r="L46" s="62"/>
      <c r="M46" s="19"/>
      <c r="N46" s="26"/>
      <c r="S46" s="16"/>
    </row>
    <row r="47" spans="3:19" x14ac:dyDescent="0.35">
      <c r="C47" s="31" t="s">
        <v>28</v>
      </c>
      <c r="D47" s="61">
        <v>0.875</v>
      </c>
      <c r="E47" s="41" t="s">
        <v>70</v>
      </c>
      <c r="F47" s="19"/>
      <c r="G47" s="61">
        <v>0.89583333333333337</v>
      </c>
      <c r="H47" s="19"/>
      <c r="I47" s="61">
        <v>0.90625</v>
      </c>
      <c r="J47" s="19"/>
      <c r="K47" s="61">
        <v>0.91666666666666663</v>
      </c>
      <c r="L47" s="61">
        <v>0.92708333333333337</v>
      </c>
      <c r="M47" s="19"/>
      <c r="N47" s="34" t="s">
        <v>28</v>
      </c>
      <c r="S47" s="16"/>
    </row>
    <row r="48" spans="3:19" x14ac:dyDescent="0.35">
      <c r="C48" s="17"/>
      <c r="D48" s="62"/>
      <c r="E48" s="62"/>
      <c r="F48" s="19"/>
      <c r="G48" s="62"/>
      <c r="H48" s="19"/>
      <c r="I48" s="62"/>
      <c r="J48" s="19"/>
      <c r="K48" s="62"/>
      <c r="L48" s="62"/>
      <c r="M48" s="19"/>
      <c r="N48" s="26"/>
      <c r="S48" s="16"/>
    </row>
    <row r="49" spans="1:19" x14ac:dyDescent="0.35">
      <c r="C49" s="35" t="s">
        <v>29</v>
      </c>
      <c r="D49" s="63">
        <v>0.906249999999999</v>
      </c>
      <c r="E49" s="63">
        <v>0.91666666666666563</v>
      </c>
      <c r="F49" s="19"/>
      <c r="G49" s="63">
        <v>0.92708333333333226</v>
      </c>
      <c r="H49" s="19"/>
      <c r="I49" s="63">
        <v>0.93749999999999889</v>
      </c>
      <c r="J49" s="19"/>
      <c r="K49" s="63">
        <v>0.94791666666666552</v>
      </c>
      <c r="L49" s="63">
        <v>0.95833333333333215</v>
      </c>
      <c r="M49" s="19"/>
      <c r="N49" s="38" t="s">
        <v>29</v>
      </c>
      <c r="S49" s="16"/>
    </row>
    <row r="50" spans="1:19" x14ac:dyDescent="0.35">
      <c r="C50" s="17"/>
      <c r="D50" s="62"/>
      <c r="E50" s="62"/>
      <c r="F50" s="19"/>
      <c r="G50" s="62"/>
      <c r="H50" s="19"/>
      <c r="I50" s="62"/>
      <c r="J50" s="19"/>
      <c r="K50" s="62"/>
      <c r="L50" s="62"/>
      <c r="M50" s="19"/>
      <c r="N50" s="26"/>
      <c r="S50" s="16"/>
    </row>
    <row r="51" spans="1:19" x14ac:dyDescent="0.35">
      <c r="C51" s="31" t="s">
        <v>28</v>
      </c>
      <c r="D51" s="61">
        <v>0.9375</v>
      </c>
      <c r="E51" s="61">
        <v>0.94791666666666663</v>
      </c>
      <c r="F51" s="19"/>
      <c r="G51" s="61">
        <v>0.95833333333333337</v>
      </c>
      <c r="H51" s="19"/>
      <c r="I51" s="66" t="s">
        <v>71</v>
      </c>
      <c r="J51" s="19"/>
      <c r="K51" s="61">
        <v>0.97916666666666663</v>
      </c>
      <c r="L51" s="66" t="s">
        <v>72</v>
      </c>
      <c r="M51" s="19"/>
      <c r="N51" s="34" t="s">
        <v>28</v>
      </c>
      <c r="S51" s="16"/>
    </row>
    <row r="52" spans="1:19" x14ac:dyDescent="0.35">
      <c r="C52" s="17"/>
      <c r="D52" s="62"/>
      <c r="E52" s="62"/>
      <c r="F52" s="19"/>
      <c r="G52" s="62"/>
      <c r="H52" s="19"/>
      <c r="I52" s="62"/>
      <c r="J52" s="19"/>
      <c r="K52" s="62"/>
      <c r="L52" s="62"/>
      <c r="M52" s="19"/>
      <c r="N52" s="26"/>
      <c r="S52" s="16"/>
    </row>
    <row r="53" spans="1:19" x14ac:dyDescent="0.35">
      <c r="C53" s="35" t="s">
        <v>29</v>
      </c>
      <c r="D53" s="68" t="s">
        <v>71</v>
      </c>
      <c r="E53" s="63">
        <v>0.97916666666666663</v>
      </c>
      <c r="F53" s="19"/>
      <c r="G53" s="68" t="s">
        <v>72</v>
      </c>
      <c r="H53" s="19"/>
      <c r="I53" s="62"/>
      <c r="J53" s="19"/>
      <c r="K53" s="66" t="s">
        <v>73</v>
      </c>
      <c r="L53" s="62"/>
      <c r="M53" s="19"/>
      <c r="N53" s="38" t="s">
        <v>29</v>
      </c>
      <c r="S53" s="16"/>
    </row>
    <row r="54" spans="1:19" x14ac:dyDescent="0.35">
      <c r="C54" s="17"/>
      <c r="D54" s="62"/>
      <c r="E54" s="62"/>
      <c r="F54" s="19"/>
      <c r="G54" s="62"/>
      <c r="H54" s="19"/>
      <c r="I54" s="62"/>
      <c r="J54" s="19"/>
      <c r="K54" s="62"/>
      <c r="L54" s="62"/>
      <c r="M54" s="19"/>
      <c r="N54" s="26"/>
      <c r="S54" s="16"/>
    </row>
    <row r="55" spans="1:19" x14ac:dyDescent="0.35">
      <c r="C55" s="31" t="s">
        <v>28</v>
      </c>
      <c r="D55" s="62"/>
      <c r="E55" s="66">
        <v>1.0034722222222221</v>
      </c>
      <c r="F55" s="19"/>
      <c r="G55" s="62"/>
      <c r="H55" s="19"/>
      <c r="I55" s="62"/>
      <c r="J55" s="19"/>
      <c r="K55" s="62"/>
      <c r="L55" s="62"/>
      <c r="M55" s="19"/>
      <c r="N55" s="34" t="s">
        <v>28</v>
      </c>
      <c r="S55" s="16"/>
    </row>
    <row r="56" spans="1:19" x14ac:dyDescent="0.35">
      <c r="C56" s="17"/>
      <c r="D56" s="62"/>
      <c r="E56" s="62"/>
      <c r="F56" s="19"/>
      <c r="G56" s="62"/>
      <c r="H56" s="19"/>
      <c r="I56" s="62"/>
      <c r="J56" s="19"/>
      <c r="K56" s="62"/>
      <c r="L56" s="62"/>
      <c r="M56" s="19"/>
      <c r="N56" s="26"/>
      <c r="S56" s="16"/>
    </row>
    <row r="57" spans="1:19" x14ac:dyDescent="0.35">
      <c r="C57" s="69" t="s">
        <v>27</v>
      </c>
      <c r="D57" s="70" t="s">
        <v>74</v>
      </c>
      <c r="E57" s="70" t="s">
        <v>75</v>
      </c>
      <c r="F57" s="71"/>
      <c r="G57" s="70" t="s">
        <v>76</v>
      </c>
      <c r="H57" s="71"/>
      <c r="I57" s="72">
        <v>0.98263888888888884</v>
      </c>
      <c r="J57" s="71"/>
      <c r="K57" s="70" t="s">
        <v>77</v>
      </c>
      <c r="L57" s="73" t="s">
        <v>78</v>
      </c>
      <c r="M57" s="71"/>
      <c r="N57" s="74" t="s">
        <v>27</v>
      </c>
      <c r="S57" s="16"/>
    </row>
    <row r="58" spans="1:19" x14ac:dyDescent="0.35">
      <c r="M58" s="75"/>
      <c r="S58" s="16"/>
    </row>
    <row r="59" spans="1:19" x14ac:dyDescent="0.35">
      <c r="A59" s="76" t="s">
        <v>79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8"/>
      <c r="R59" s="1"/>
      <c r="S59" s="16"/>
    </row>
    <row r="60" spans="1:19" x14ac:dyDescent="0.35">
      <c r="A60" s="79"/>
      <c r="B60" s="80"/>
      <c r="C60" s="1557" t="s">
        <v>80</v>
      </c>
      <c r="D60" s="1559"/>
      <c r="E60" s="1558"/>
      <c r="F60" s="1560" t="s">
        <v>81</v>
      </c>
      <c r="G60" s="1561"/>
      <c r="H60" s="1561"/>
      <c r="I60" s="1561"/>
      <c r="J60" s="1562"/>
      <c r="K60" s="1560" t="s">
        <v>82</v>
      </c>
      <c r="L60" s="1561"/>
      <c r="M60" s="1561"/>
      <c r="N60" s="1561"/>
      <c r="O60" s="81"/>
      <c r="P60" s="81"/>
      <c r="Q60" s="82"/>
      <c r="R60" s="1"/>
      <c r="S60" s="16"/>
    </row>
    <row r="61" spans="1:19" x14ac:dyDescent="0.35">
      <c r="A61" s="83" t="s">
        <v>83</v>
      </c>
      <c r="B61" s="84" t="s">
        <v>84</v>
      </c>
      <c r="C61" s="85" t="s">
        <v>85</v>
      </c>
      <c r="D61" s="86" t="s">
        <v>86</v>
      </c>
      <c r="E61" s="87"/>
      <c r="F61" s="88" t="s">
        <v>80</v>
      </c>
      <c r="G61" s="89"/>
      <c r="H61" s="86" t="s">
        <v>82</v>
      </c>
      <c r="I61" s="85" t="s">
        <v>86</v>
      </c>
      <c r="J61" s="90"/>
      <c r="K61" s="91" t="s">
        <v>82</v>
      </c>
      <c r="L61" s="89"/>
      <c r="M61" s="92" t="s">
        <v>87</v>
      </c>
      <c r="N61" s="93" t="s">
        <v>88</v>
      </c>
      <c r="O61" s="83" t="s">
        <v>89</v>
      </c>
      <c r="P61" s="83" t="s">
        <v>90</v>
      </c>
      <c r="Q61" s="94" t="s">
        <v>91</v>
      </c>
      <c r="R61" s="1"/>
      <c r="S61" s="16"/>
    </row>
    <row r="62" spans="1:19" x14ac:dyDescent="0.35">
      <c r="A62" s="95">
        <v>1</v>
      </c>
      <c r="B62" s="95">
        <v>251</v>
      </c>
      <c r="C62" s="96">
        <f>SUM(D62-TIME( ,8, ))</f>
        <v>0.1958333333333333</v>
      </c>
      <c r="D62" s="97">
        <v>0.20138888888888887</v>
      </c>
      <c r="E62" s="98" t="s">
        <v>27</v>
      </c>
      <c r="F62" s="1563" t="s">
        <v>92</v>
      </c>
      <c r="G62" s="1564"/>
      <c r="H62" s="1564"/>
      <c r="I62" s="1564"/>
      <c r="J62" s="1565"/>
      <c r="K62" s="99">
        <v>0.42708333333333331</v>
      </c>
      <c r="L62" s="100" t="s">
        <v>93</v>
      </c>
      <c r="M62" s="101">
        <f>SUM(K62+TIME( ,0, ))</f>
        <v>0.42708333333333331</v>
      </c>
      <c r="N62" s="102">
        <f>(M62-C62)</f>
        <v>0.23125000000000001</v>
      </c>
      <c r="O62" s="103">
        <f t="shared" ref="O62:O74" si="0">SUM(N62-P62)</f>
        <v>0.23125000000000001</v>
      </c>
      <c r="P62" s="102">
        <v>0</v>
      </c>
      <c r="Q62" s="104"/>
      <c r="R62" s="105"/>
      <c r="S62" s="16"/>
    </row>
    <row r="63" spans="1:19" x14ac:dyDescent="0.35">
      <c r="A63" s="106">
        <v>2</v>
      </c>
      <c r="B63" s="106">
        <v>252</v>
      </c>
      <c r="C63" s="107">
        <f t="shared" ref="C63:C66" si="1">SUM(D63-TIME( ,8, ))</f>
        <v>0.20972222222222223</v>
      </c>
      <c r="D63" s="108">
        <v>0.21527777777777779</v>
      </c>
      <c r="E63" s="109" t="s">
        <v>27</v>
      </c>
      <c r="F63" s="110">
        <v>0.375</v>
      </c>
      <c r="G63" s="111" t="s">
        <v>93</v>
      </c>
      <c r="H63" s="111">
        <f>I63</f>
        <v>0.42708333333333331</v>
      </c>
      <c r="I63" s="111">
        <v>0.42708333333333331</v>
      </c>
      <c r="J63" s="112" t="s">
        <v>93</v>
      </c>
      <c r="K63" s="113">
        <v>0.5625</v>
      </c>
      <c r="L63" s="114" t="s">
        <v>93</v>
      </c>
      <c r="M63" s="115">
        <f t="shared" ref="M63:M74" si="2">SUM(K63+TIME( ,0, ))</f>
        <v>0.5625</v>
      </c>
      <c r="N63" s="116">
        <f t="shared" ref="N63:N73" si="3">(M63-C63)</f>
        <v>0.35277777777777775</v>
      </c>
      <c r="O63" s="117">
        <f t="shared" si="0"/>
        <v>0.30069444444444443</v>
      </c>
      <c r="P63" s="116">
        <f t="shared" ref="P63:P74" si="4">SUM(H63-F63)</f>
        <v>5.2083333333333315E-2</v>
      </c>
      <c r="Q63" s="118"/>
      <c r="R63" s="105"/>
      <c r="S63" s="16"/>
    </row>
    <row r="64" spans="1:19" x14ac:dyDescent="0.35">
      <c r="A64" s="106">
        <v>3</v>
      </c>
      <c r="B64" s="106">
        <v>253</v>
      </c>
      <c r="C64" s="107">
        <f t="shared" si="1"/>
        <v>0.23055555555555557</v>
      </c>
      <c r="D64" s="108">
        <v>0.23611111111111113</v>
      </c>
      <c r="E64" s="109" t="s">
        <v>27</v>
      </c>
      <c r="F64" s="110">
        <v>0.33333333333333331</v>
      </c>
      <c r="G64" s="111" t="s">
        <v>93</v>
      </c>
      <c r="H64" s="111">
        <v>0.375</v>
      </c>
      <c r="I64" s="111">
        <v>0.375</v>
      </c>
      <c r="J64" s="112" t="s">
        <v>93</v>
      </c>
      <c r="K64" s="113">
        <v>0.51041666666666663</v>
      </c>
      <c r="L64" s="114" t="s">
        <v>93</v>
      </c>
      <c r="M64" s="115">
        <f>SUM(K64+TIME( ,0, ))</f>
        <v>0.51041666666666663</v>
      </c>
      <c r="N64" s="116">
        <f t="shared" si="3"/>
        <v>0.27986111111111106</v>
      </c>
      <c r="O64" s="117">
        <f t="shared" si="0"/>
        <v>0.23819444444444438</v>
      </c>
      <c r="P64" s="116">
        <f t="shared" si="4"/>
        <v>4.1666666666666685E-2</v>
      </c>
      <c r="Q64" s="118"/>
      <c r="R64" s="105"/>
      <c r="S64" s="16"/>
    </row>
    <row r="65" spans="1:31" x14ac:dyDescent="0.35">
      <c r="A65" s="106">
        <v>4</v>
      </c>
      <c r="B65" s="106">
        <v>254</v>
      </c>
      <c r="C65" s="107">
        <f t="shared" si="1"/>
        <v>0.23749999999999999</v>
      </c>
      <c r="D65" s="108">
        <v>0.24305555555555555</v>
      </c>
      <c r="E65" s="109" t="s">
        <v>27</v>
      </c>
      <c r="F65" s="1566" t="s">
        <v>92</v>
      </c>
      <c r="G65" s="1567"/>
      <c r="H65" s="1567"/>
      <c r="I65" s="1567"/>
      <c r="J65" s="1568"/>
      <c r="K65" s="119">
        <v>0.44791666666666669</v>
      </c>
      <c r="L65" s="114" t="s">
        <v>27</v>
      </c>
      <c r="M65" s="115">
        <f t="shared" si="2"/>
        <v>0.44791666666666669</v>
      </c>
      <c r="N65" s="116">
        <f t="shared" si="3"/>
        <v>0.2104166666666667</v>
      </c>
      <c r="O65" s="117">
        <f t="shared" si="0"/>
        <v>0.2104166666666667</v>
      </c>
      <c r="P65" s="116">
        <v>0</v>
      </c>
      <c r="Q65" s="118"/>
      <c r="R65" s="105"/>
      <c r="S65" s="16"/>
    </row>
    <row r="66" spans="1:31" x14ac:dyDescent="0.35">
      <c r="A66" s="106">
        <v>5</v>
      </c>
      <c r="B66" s="106">
        <v>255</v>
      </c>
      <c r="C66" s="107">
        <f t="shared" si="1"/>
        <v>0.25833333333333336</v>
      </c>
      <c r="D66" s="108">
        <v>0.2638888888888889</v>
      </c>
      <c r="E66" s="109" t="s">
        <v>27</v>
      </c>
      <c r="F66" s="110">
        <v>0.36458333333333331</v>
      </c>
      <c r="G66" s="114" t="s">
        <v>93</v>
      </c>
      <c r="H66" s="111">
        <f t="shared" ref="H66:H74" si="5">SUM(I66-TIME( ,0, ))</f>
        <v>0.40625</v>
      </c>
      <c r="I66" s="114">
        <v>0.40625</v>
      </c>
      <c r="J66" s="120" t="s">
        <v>93</v>
      </c>
      <c r="K66" s="113">
        <v>0.60416666666666663</v>
      </c>
      <c r="L66" s="114" t="s">
        <v>93</v>
      </c>
      <c r="M66" s="115">
        <f t="shared" si="2"/>
        <v>0.60416666666666663</v>
      </c>
      <c r="N66" s="116">
        <f t="shared" si="3"/>
        <v>0.34583333333333327</v>
      </c>
      <c r="O66" s="117">
        <f t="shared" si="0"/>
        <v>0.30416666666666659</v>
      </c>
      <c r="P66" s="116">
        <f t="shared" si="4"/>
        <v>4.1666666666666685E-2</v>
      </c>
      <c r="Q66" s="118"/>
      <c r="R66" s="105"/>
      <c r="S66" s="16"/>
    </row>
    <row r="67" spans="1:31" x14ac:dyDescent="0.35">
      <c r="A67" s="121">
        <v>6</v>
      </c>
      <c r="B67" s="121">
        <v>256</v>
      </c>
      <c r="C67" s="122">
        <f>SUM(D67-TIME( ,8, ))</f>
        <v>0.25833333333333336</v>
      </c>
      <c r="D67" s="123">
        <v>0.2638888888888889</v>
      </c>
      <c r="E67" s="124" t="s">
        <v>27</v>
      </c>
      <c r="F67" s="125">
        <v>0.45833333333333331</v>
      </c>
      <c r="G67" s="126" t="s">
        <v>93</v>
      </c>
      <c r="H67" s="127">
        <f t="shared" si="5"/>
        <v>0.5</v>
      </c>
      <c r="I67" s="126">
        <v>0.5</v>
      </c>
      <c r="J67" s="128" t="s">
        <v>93</v>
      </c>
      <c r="K67" s="129">
        <v>0.65625</v>
      </c>
      <c r="L67" s="126" t="s">
        <v>93</v>
      </c>
      <c r="M67" s="130">
        <f t="shared" si="2"/>
        <v>0.65625</v>
      </c>
      <c r="N67" s="131">
        <f t="shared" si="3"/>
        <v>0.39791666666666664</v>
      </c>
      <c r="O67" s="132">
        <f t="shared" si="0"/>
        <v>0.35624999999999996</v>
      </c>
      <c r="P67" s="131">
        <f t="shared" si="4"/>
        <v>4.1666666666666685E-2</v>
      </c>
      <c r="Q67" s="133"/>
      <c r="R67" s="105"/>
      <c r="S67" s="16"/>
    </row>
    <row r="68" spans="1:31" x14ac:dyDescent="0.35">
      <c r="A68" s="134">
        <v>7</v>
      </c>
      <c r="B68" s="134">
        <v>257</v>
      </c>
      <c r="C68" s="135">
        <f t="shared" ref="C68:C76" si="6">SUM(D68-TIME( ,3, ))</f>
        <v>0.5083333333333333</v>
      </c>
      <c r="D68" s="136">
        <v>0.51041666666666663</v>
      </c>
      <c r="E68" s="137" t="s">
        <v>93</v>
      </c>
      <c r="F68" s="138">
        <v>0.66666666666666663</v>
      </c>
      <c r="G68" s="139" t="s">
        <v>93</v>
      </c>
      <c r="H68" s="136">
        <f t="shared" si="5"/>
        <v>0.70833333333333337</v>
      </c>
      <c r="I68" s="139">
        <v>0.70833333333333337</v>
      </c>
      <c r="J68" s="140" t="s">
        <v>93</v>
      </c>
      <c r="K68" s="141">
        <v>0.89930555555555547</v>
      </c>
      <c r="L68" s="142" t="s">
        <v>27</v>
      </c>
      <c r="M68" s="143">
        <f t="shared" si="2"/>
        <v>0.89930555555555547</v>
      </c>
      <c r="N68" s="144">
        <f t="shared" si="3"/>
        <v>0.39097222222222217</v>
      </c>
      <c r="O68" s="145">
        <f t="shared" si="0"/>
        <v>0.34930555555555542</v>
      </c>
      <c r="P68" s="144">
        <f t="shared" si="4"/>
        <v>4.1666666666666741E-2</v>
      </c>
      <c r="Q68" s="146"/>
      <c r="R68" s="105"/>
      <c r="S68" s="16"/>
    </row>
    <row r="69" spans="1:31" ht="17.5" customHeight="1" x14ac:dyDescent="0.35">
      <c r="A69" s="147">
        <v>8</v>
      </c>
      <c r="B69" s="147">
        <v>258</v>
      </c>
      <c r="C69" s="148">
        <f t="shared" si="6"/>
        <v>0.5395833333333333</v>
      </c>
      <c r="D69" s="149">
        <v>0.54166666666666663</v>
      </c>
      <c r="E69" s="150" t="s">
        <v>93</v>
      </c>
      <c r="F69" s="151">
        <v>0.61458333333333337</v>
      </c>
      <c r="G69" s="152" t="s">
        <v>93</v>
      </c>
      <c r="H69" s="149">
        <f>SUM(I69-TIME( ,0, ))</f>
        <v>0.66666666666666663</v>
      </c>
      <c r="I69" s="153">
        <v>0.66666666666666663</v>
      </c>
      <c r="J69" s="154" t="s">
        <v>93</v>
      </c>
      <c r="K69" s="155">
        <v>0.88541666666666663</v>
      </c>
      <c r="L69" s="153" t="s">
        <v>93</v>
      </c>
      <c r="M69" s="156">
        <f>SUM(K69+TIME( ,0, ))</f>
        <v>0.88541666666666663</v>
      </c>
      <c r="N69" s="157">
        <f t="shared" si="3"/>
        <v>0.34583333333333333</v>
      </c>
      <c r="O69" s="158">
        <f>SUM(N69-P69)</f>
        <v>0.29375000000000007</v>
      </c>
      <c r="P69" s="157">
        <f>SUM(H69-F69)</f>
        <v>5.2083333333333259E-2</v>
      </c>
      <c r="Q69" s="118"/>
      <c r="R69" s="105"/>
      <c r="S69" s="16"/>
    </row>
    <row r="70" spans="1:31" x14ac:dyDescent="0.35">
      <c r="A70" s="159">
        <v>9</v>
      </c>
      <c r="B70" s="159">
        <v>259</v>
      </c>
      <c r="C70" s="160">
        <f t="shared" si="6"/>
        <v>0.56041666666666667</v>
      </c>
      <c r="D70" s="161">
        <v>0.5625</v>
      </c>
      <c r="E70" s="162" t="s">
        <v>93</v>
      </c>
      <c r="F70" s="163">
        <v>0.64583333333333337</v>
      </c>
      <c r="G70" s="164" t="s">
        <v>93</v>
      </c>
      <c r="H70" s="165">
        <f>SUM(I70-TIME( ,0, ))</f>
        <v>0.72916666666666663</v>
      </c>
      <c r="I70" s="166">
        <v>0.72916666666666663</v>
      </c>
      <c r="J70" s="167" t="s">
        <v>93</v>
      </c>
      <c r="K70" s="168">
        <v>0.86458333333333337</v>
      </c>
      <c r="L70" s="166" t="s">
        <v>93</v>
      </c>
      <c r="M70" s="169">
        <f>SUM(K70+TIME( ,0, ))</f>
        <v>0.86458333333333337</v>
      </c>
      <c r="N70" s="170">
        <f t="shared" si="3"/>
        <v>0.3041666666666667</v>
      </c>
      <c r="O70" s="171">
        <f>SUM(N70-P70)</f>
        <v>0.22083333333333344</v>
      </c>
      <c r="P70" s="170">
        <f>SUM(H70-F70)</f>
        <v>8.3333333333333259E-2</v>
      </c>
      <c r="Q70" s="172"/>
      <c r="R70" s="105"/>
      <c r="S70" s="16"/>
    </row>
    <row r="71" spans="1:31" x14ac:dyDescent="0.35">
      <c r="A71" s="173">
        <v>10</v>
      </c>
      <c r="B71" s="174">
        <v>260</v>
      </c>
      <c r="C71" s="175">
        <f t="shared" si="6"/>
        <v>0.60555555555555562</v>
      </c>
      <c r="D71" s="176">
        <v>0.60763888888888895</v>
      </c>
      <c r="E71" s="177" t="s">
        <v>27</v>
      </c>
      <c r="F71" s="178">
        <v>0.71875</v>
      </c>
      <c r="G71" s="179" t="s">
        <v>93</v>
      </c>
      <c r="H71" s="179">
        <f>I71</f>
        <v>0.8125</v>
      </c>
      <c r="I71" s="180">
        <v>0.8125</v>
      </c>
      <c r="J71" s="181" t="s">
        <v>93</v>
      </c>
      <c r="K71" s="182">
        <v>0.97569444444444453</v>
      </c>
      <c r="L71" s="180" t="s">
        <v>27</v>
      </c>
      <c r="M71" s="183">
        <f t="shared" si="2"/>
        <v>0.97569444444444453</v>
      </c>
      <c r="N71" s="184">
        <f t="shared" si="3"/>
        <v>0.37013888888888891</v>
      </c>
      <c r="O71" s="185">
        <f t="shared" si="0"/>
        <v>0.27638888888888891</v>
      </c>
      <c r="P71" s="184">
        <f t="shared" si="4"/>
        <v>9.375E-2</v>
      </c>
      <c r="Q71" s="186"/>
      <c r="R71" s="105"/>
      <c r="S71" s="16"/>
    </row>
    <row r="72" spans="1:31" x14ac:dyDescent="0.35">
      <c r="A72" s="187">
        <v>11</v>
      </c>
      <c r="B72" s="188">
        <v>261</v>
      </c>
      <c r="C72" s="189">
        <f t="shared" si="6"/>
        <v>0.61250000000000004</v>
      </c>
      <c r="D72" s="190">
        <v>0.61458333333333337</v>
      </c>
      <c r="E72" s="191" t="s">
        <v>93</v>
      </c>
      <c r="F72" s="189">
        <v>0.78125</v>
      </c>
      <c r="G72" s="192" t="s">
        <v>93</v>
      </c>
      <c r="H72" s="192">
        <f t="shared" si="5"/>
        <v>0.83333333333333337</v>
      </c>
      <c r="I72" s="190">
        <v>0.83333333333333337</v>
      </c>
      <c r="J72" s="193" t="s">
        <v>93</v>
      </c>
      <c r="K72" s="194">
        <v>0.99652777777777779</v>
      </c>
      <c r="L72" s="190" t="s">
        <v>27</v>
      </c>
      <c r="M72" s="195">
        <f t="shared" si="2"/>
        <v>0.99652777777777779</v>
      </c>
      <c r="N72" s="196">
        <f t="shared" si="3"/>
        <v>0.38402777777777775</v>
      </c>
      <c r="O72" s="197">
        <f t="shared" si="0"/>
        <v>0.33194444444444438</v>
      </c>
      <c r="P72" s="196">
        <f t="shared" si="4"/>
        <v>5.208333333333337E-2</v>
      </c>
      <c r="Q72" s="118"/>
      <c r="R72" s="105"/>
      <c r="S72" s="16"/>
      <c r="U72" s="2"/>
      <c r="X72" s="3"/>
      <c r="Y72" s="16"/>
      <c r="AD72" s="5"/>
    </row>
    <row r="73" spans="1:31" x14ac:dyDescent="0.35">
      <c r="A73" s="187">
        <v>12</v>
      </c>
      <c r="B73" s="188">
        <v>262</v>
      </c>
      <c r="C73" s="189">
        <f t="shared" si="6"/>
        <v>0.64375000000000004</v>
      </c>
      <c r="D73" s="190">
        <v>0.64583333333333337</v>
      </c>
      <c r="E73" s="191" t="s">
        <v>93</v>
      </c>
      <c r="F73" s="194">
        <v>0.72916666666666663</v>
      </c>
      <c r="G73" s="198" t="s">
        <v>93</v>
      </c>
      <c r="H73" s="192">
        <f t="shared" si="5"/>
        <v>0.78125</v>
      </c>
      <c r="I73" s="190">
        <v>0.78125</v>
      </c>
      <c r="J73" s="193" t="s">
        <v>93</v>
      </c>
      <c r="K73" s="189">
        <v>1.0034722222222221</v>
      </c>
      <c r="L73" s="190" t="s">
        <v>27</v>
      </c>
      <c r="M73" s="195">
        <f t="shared" si="2"/>
        <v>1.0034722222222221</v>
      </c>
      <c r="N73" s="196">
        <f t="shared" si="3"/>
        <v>0.35972222222222205</v>
      </c>
      <c r="O73" s="197">
        <f t="shared" si="0"/>
        <v>0.30763888888888868</v>
      </c>
      <c r="P73" s="196">
        <f t="shared" si="4"/>
        <v>5.208333333333337E-2</v>
      </c>
      <c r="Q73" s="199"/>
      <c r="R73" s="105"/>
      <c r="S73" s="16"/>
      <c r="T73" s="16"/>
      <c r="V73" s="2"/>
      <c r="Y73" s="3"/>
      <c r="Z73" s="16"/>
      <c r="AE73" s="5"/>
    </row>
    <row r="74" spans="1:31" x14ac:dyDescent="0.35">
      <c r="A74" s="200">
        <v>13</v>
      </c>
      <c r="B74" s="201">
        <v>263</v>
      </c>
      <c r="C74" s="189">
        <f t="shared" si="6"/>
        <v>0.65416666666666667</v>
      </c>
      <c r="D74" s="202">
        <v>0.65625</v>
      </c>
      <c r="E74" s="203" t="s">
        <v>93</v>
      </c>
      <c r="F74" s="204">
        <v>0.8125</v>
      </c>
      <c r="G74" s="205" t="s">
        <v>93</v>
      </c>
      <c r="H74" s="205">
        <f t="shared" si="5"/>
        <v>0.86458333333333337</v>
      </c>
      <c r="I74" s="202">
        <v>0.86458333333333337</v>
      </c>
      <c r="J74" s="206" t="s">
        <v>93</v>
      </c>
      <c r="K74" s="189">
        <v>1.0034722222222221</v>
      </c>
      <c r="L74" s="190" t="s">
        <v>27</v>
      </c>
      <c r="M74" s="195">
        <f t="shared" si="2"/>
        <v>1.0034722222222221</v>
      </c>
      <c r="N74" s="207">
        <f>(M74-C74)</f>
        <v>0.34930555555555542</v>
      </c>
      <c r="O74" s="208">
        <f t="shared" si="0"/>
        <v>0.29722222222222205</v>
      </c>
      <c r="P74" s="207">
        <f t="shared" si="4"/>
        <v>5.208333333333337E-2</v>
      </c>
      <c r="Q74" s="209"/>
      <c r="R74" s="105"/>
      <c r="S74" s="16"/>
      <c r="T74" s="16"/>
      <c r="Z74" s="16"/>
    </row>
    <row r="75" spans="1:31" x14ac:dyDescent="0.35">
      <c r="A75" s="201">
        <v>14</v>
      </c>
      <c r="B75" s="201">
        <v>264</v>
      </c>
      <c r="C75" s="189">
        <f t="shared" si="6"/>
        <v>0.67500000000000004</v>
      </c>
      <c r="D75" s="205">
        <v>0.67708333333333337</v>
      </c>
      <c r="E75" s="203" t="s">
        <v>93</v>
      </c>
      <c r="F75" s="210">
        <v>0.83333333333333337</v>
      </c>
      <c r="G75" s="202" t="s">
        <v>93</v>
      </c>
      <c r="H75" s="205">
        <f>SUM(I75-TIME( ,0, ))</f>
        <v>0.88541666666666663</v>
      </c>
      <c r="I75" s="205">
        <v>0.88541666666666663</v>
      </c>
      <c r="J75" s="211" t="s">
        <v>93</v>
      </c>
      <c r="K75" s="212">
        <v>1.0243055555555556</v>
      </c>
      <c r="L75" s="213" t="s">
        <v>27</v>
      </c>
      <c r="M75" s="214">
        <f>SUM(K75+TIME( ,0, ))</f>
        <v>1.0243055555555556</v>
      </c>
      <c r="N75" s="212">
        <f>(M75-C75)</f>
        <v>0.34930555555555554</v>
      </c>
      <c r="O75" s="208">
        <f>SUM(N75-P75)</f>
        <v>0.29722222222222228</v>
      </c>
      <c r="P75" s="215">
        <f>SUM(H75-F75)</f>
        <v>5.2083333333333259E-2</v>
      </c>
      <c r="Q75" s="216"/>
      <c r="R75" s="105"/>
      <c r="S75" s="16"/>
      <c r="T75" s="16"/>
      <c r="Z75" s="16"/>
    </row>
    <row r="76" spans="1:31" x14ac:dyDescent="0.35">
      <c r="A76" s="217">
        <v>15</v>
      </c>
      <c r="B76" s="218">
        <v>265</v>
      </c>
      <c r="C76" s="219">
        <f t="shared" si="6"/>
        <v>0.71666666666666667</v>
      </c>
      <c r="D76" s="220">
        <v>0.71875</v>
      </c>
      <c r="E76" s="221" t="s">
        <v>93</v>
      </c>
      <c r="F76" s="222">
        <v>0.82291666666666663</v>
      </c>
      <c r="G76" s="223" t="s">
        <v>27</v>
      </c>
      <c r="H76" s="223">
        <f>I76-TIME( ,3, )</f>
        <v>0.86597222222222214</v>
      </c>
      <c r="I76" s="220">
        <v>0.86805555555555547</v>
      </c>
      <c r="J76" s="224" t="s">
        <v>27</v>
      </c>
      <c r="K76" s="219">
        <v>1.0138888888888888</v>
      </c>
      <c r="L76" s="220" t="s">
        <v>27</v>
      </c>
      <c r="M76" s="225">
        <f>SUM(K76+TIME( ,0, ))</f>
        <v>1.0138888888888888</v>
      </c>
      <c r="N76" s="226">
        <f>(M76-C76)</f>
        <v>0.29722222222222217</v>
      </c>
      <c r="O76" s="227">
        <f>SUM(N76-P76)</f>
        <v>0.25416666666666665</v>
      </c>
      <c r="P76" s="228">
        <f>SUM(H76-F76)</f>
        <v>4.3055555555555514E-2</v>
      </c>
      <c r="Q76" s="229"/>
      <c r="R76" s="105"/>
      <c r="S76" s="16"/>
      <c r="T76" s="16"/>
      <c r="Z76" s="16"/>
    </row>
    <row r="77" spans="1:31" x14ac:dyDescent="0.35">
      <c r="A77" s="230"/>
      <c r="B77" s="231"/>
      <c r="C77" s="232"/>
      <c r="D77" s="232"/>
      <c r="E77" s="233"/>
      <c r="F77" s="234"/>
      <c r="G77" s="235"/>
      <c r="H77" s="235"/>
      <c r="I77" s="235"/>
      <c r="J77" s="236"/>
      <c r="K77" s="237"/>
      <c r="L77" s="238"/>
      <c r="M77" s="239"/>
      <c r="N77" s="240" t="s">
        <v>94</v>
      </c>
      <c r="O77" s="241">
        <f>AVERAGE(O62:O76)</f>
        <v>0.28462962962962962</v>
      </c>
      <c r="P77" s="1555"/>
      <c r="Q77" s="1556"/>
      <c r="R77" s="105"/>
      <c r="S77" s="16"/>
      <c r="T77" s="16"/>
      <c r="Z77" s="16"/>
    </row>
    <row r="78" spans="1:31" x14ac:dyDescent="0.35">
      <c r="A78" s="242" t="s">
        <v>95</v>
      </c>
      <c r="B78" s="242">
        <v>281</v>
      </c>
      <c r="C78" s="243">
        <f>SUM(D78-TIME( ,8, ))</f>
        <v>0.28958333333333336</v>
      </c>
      <c r="D78" s="244">
        <v>0.2951388888888889</v>
      </c>
      <c r="E78" s="245" t="s">
        <v>27</v>
      </c>
      <c r="F78" s="246">
        <v>0.40625</v>
      </c>
      <c r="G78" s="247" t="s">
        <v>93</v>
      </c>
      <c r="H78" s="244">
        <f>SUM(I78-TIME( ,0, ))</f>
        <v>0.45833333333333331</v>
      </c>
      <c r="I78" s="247">
        <v>0.45833333333333331</v>
      </c>
      <c r="J78" s="248" t="s">
        <v>93</v>
      </c>
      <c r="K78" s="249">
        <v>0.67708333333333337</v>
      </c>
      <c r="L78" s="250" t="s">
        <v>93</v>
      </c>
      <c r="M78" s="251">
        <f>SUM(K78+TIME( ,0, ))</f>
        <v>0.67708333333333337</v>
      </c>
      <c r="N78" s="249">
        <f>(M78-C78)</f>
        <v>0.38750000000000001</v>
      </c>
      <c r="O78" s="252">
        <f>SUM(N78-P78)</f>
        <v>0.3354166666666667</v>
      </c>
      <c r="P78" s="253">
        <f>SUM(H78-F78)</f>
        <v>5.2083333333333315E-2</v>
      </c>
      <c r="Q78" s="254"/>
      <c r="R78" s="105"/>
      <c r="S78" s="16"/>
      <c r="T78" s="16"/>
      <c r="Z78" s="16"/>
    </row>
    <row r="79" spans="1:31" x14ac:dyDescent="0.35">
      <c r="A79" s="255" t="s">
        <v>96</v>
      </c>
      <c r="B79" s="255">
        <v>282</v>
      </c>
      <c r="C79" s="256">
        <f>SUM(D79-TIME( ,8, ))</f>
        <v>0.32083333333333336</v>
      </c>
      <c r="D79" s="257">
        <v>0.3263888888888889</v>
      </c>
      <c r="E79" s="258" t="s">
        <v>27</v>
      </c>
      <c r="F79" s="259">
        <v>0.44791666666666669</v>
      </c>
      <c r="G79" s="260" t="s">
        <v>27</v>
      </c>
      <c r="H79" s="257">
        <f>SUM(I79-TIME( ,3, ))</f>
        <v>0.50138888888888888</v>
      </c>
      <c r="I79" s="257">
        <v>0.50347222222222221</v>
      </c>
      <c r="J79" s="261" t="s">
        <v>27</v>
      </c>
      <c r="K79" s="262">
        <v>0.70833333333333337</v>
      </c>
      <c r="L79" s="263" t="s">
        <v>93</v>
      </c>
      <c r="M79" s="264">
        <f>SUM(K79+TIME( ,0, ))</f>
        <v>0.70833333333333337</v>
      </c>
      <c r="N79" s="262">
        <f>(M79-C79)</f>
        <v>0.38750000000000001</v>
      </c>
      <c r="O79" s="265">
        <f>SUM(N79-P79)</f>
        <v>0.33402777777777781</v>
      </c>
      <c r="P79" s="266">
        <f>SUM(H79-F79)</f>
        <v>5.3472222222222199E-2</v>
      </c>
      <c r="Q79" s="267"/>
      <c r="R79" s="105"/>
      <c r="S79" s="16"/>
      <c r="T79" s="16"/>
      <c r="Z79" s="16"/>
    </row>
    <row r="80" spans="1:31" x14ac:dyDescent="0.35">
      <c r="A80" s="268" t="s">
        <v>97</v>
      </c>
      <c r="B80" s="268">
        <v>283</v>
      </c>
      <c r="C80" s="269">
        <f>SUM(D80-TIME( ,3, ))</f>
        <v>0.33124999999999999</v>
      </c>
      <c r="D80" s="270">
        <v>0.33333333333333331</v>
      </c>
      <c r="E80" s="271" t="s">
        <v>93</v>
      </c>
      <c r="F80" s="272">
        <v>0.54166666666666663</v>
      </c>
      <c r="G80" s="273" t="s">
        <v>93</v>
      </c>
      <c r="H80" s="270">
        <f>SUM(I80-TIME( ,0, ))</f>
        <v>0.60416666666666663</v>
      </c>
      <c r="I80" s="270">
        <v>0.60416666666666663</v>
      </c>
      <c r="J80" s="274" t="s">
        <v>93</v>
      </c>
      <c r="K80" s="275">
        <v>0.6875</v>
      </c>
      <c r="L80" s="276" t="s">
        <v>93</v>
      </c>
      <c r="M80" s="277">
        <f t="shared" ref="M80" si="7">SUM(K80+TIME( ,0, ))</f>
        <v>0.6875</v>
      </c>
      <c r="N80" s="275">
        <f>(M80-C80)</f>
        <v>0.35625000000000001</v>
      </c>
      <c r="O80" s="278">
        <f>SUM(N80-P80)</f>
        <v>0.29375000000000001</v>
      </c>
      <c r="P80" s="279">
        <f>SUM(H80-F80)</f>
        <v>6.25E-2</v>
      </c>
      <c r="Q80" s="216"/>
      <c r="R80" s="105"/>
      <c r="S80" s="16"/>
      <c r="T80" s="16"/>
      <c r="Z80" s="16"/>
    </row>
    <row r="81" spans="1:26" x14ac:dyDescent="0.35">
      <c r="A81" s="280" t="s">
        <v>98</v>
      </c>
      <c r="B81" s="280">
        <v>284</v>
      </c>
      <c r="C81" s="281">
        <f>SUM(D81-TIME( ,3, ))</f>
        <v>0.36249999999999999</v>
      </c>
      <c r="D81" s="282">
        <v>0.36458333333333331</v>
      </c>
      <c r="E81" s="283" t="s">
        <v>93</v>
      </c>
      <c r="F81" s="284">
        <v>0.5</v>
      </c>
      <c r="G81" s="285" t="s">
        <v>93</v>
      </c>
      <c r="H81" s="282">
        <f>SUM(I81-TIME( ,0, ))</f>
        <v>0.6875</v>
      </c>
      <c r="I81" s="282">
        <v>0.6875</v>
      </c>
      <c r="J81" s="286" t="s">
        <v>93</v>
      </c>
      <c r="K81" s="281">
        <v>0.82638888888888884</v>
      </c>
      <c r="L81" s="282" t="s">
        <v>27</v>
      </c>
      <c r="M81" s="287">
        <f>SUM(K81+TIME( ,0, ))</f>
        <v>0.82638888888888884</v>
      </c>
      <c r="N81" s="288">
        <f>(M81-C81)</f>
        <v>0.46388888888888885</v>
      </c>
      <c r="O81" s="289">
        <f>SUM(N81-P81)</f>
        <v>0.27638888888888885</v>
      </c>
      <c r="P81" s="279">
        <f>SUM(H81-F81)</f>
        <v>0.1875</v>
      </c>
      <c r="Q81" s="216"/>
      <c r="R81" s="105"/>
      <c r="S81" s="16"/>
      <c r="T81" s="16"/>
      <c r="Z81" s="16"/>
    </row>
    <row r="82" spans="1:26" x14ac:dyDescent="0.35">
      <c r="A82" s="290"/>
      <c r="B82" s="291"/>
      <c r="C82" s="292"/>
      <c r="D82" s="292"/>
      <c r="E82" s="292"/>
      <c r="F82" s="293"/>
      <c r="G82" s="293"/>
      <c r="H82" s="293"/>
      <c r="I82" s="293"/>
      <c r="J82" s="293"/>
      <c r="K82" s="292"/>
      <c r="L82" s="292"/>
      <c r="M82" s="294"/>
      <c r="N82" s="295" t="s">
        <v>94</v>
      </c>
      <c r="O82" s="296">
        <f>AVERAGE(O78:O81)</f>
        <v>0.30989583333333331</v>
      </c>
      <c r="P82" s="1557"/>
      <c r="Q82" s="1558"/>
      <c r="R82" s="297"/>
      <c r="S82" s="297"/>
      <c r="T82" s="3"/>
    </row>
    <row r="83" spans="1:26" x14ac:dyDescent="0.35">
      <c r="N83" s="1"/>
      <c r="P83" s="2"/>
      <c r="Q83" s="1"/>
      <c r="R83" s="1"/>
      <c r="S83" s="1"/>
    </row>
    <row r="84" spans="1:26" x14ac:dyDescent="0.35">
      <c r="B84" s="2"/>
      <c r="E84" s="3"/>
      <c r="F84" s="3"/>
      <c r="N84" s="1"/>
      <c r="Q84" s="1"/>
      <c r="R84" s="1"/>
      <c r="S84" s="1"/>
    </row>
    <row r="85" spans="1:26" x14ac:dyDescent="0.35">
      <c r="B85" s="2"/>
      <c r="E85" s="3"/>
      <c r="F85" s="3"/>
      <c r="H85" s="298"/>
      <c r="I85" s="298"/>
      <c r="J85" s="298"/>
      <c r="K85" s="298"/>
      <c r="N85" s="1"/>
      <c r="Q85" s="1"/>
      <c r="R85" s="1"/>
      <c r="S85" s="1"/>
    </row>
    <row r="86" spans="1:26" x14ac:dyDescent="0.35">
      <c r="B86" s="2"/>
      <c r="E86" s="3"/>
      <c r="F86" s="3"/>
      <c r="N86" s="1"/>
      <c r="Q86" s="1"/>
      <c r="R86" s="1"/>
      <c r="S86" s="1"/>
    </row>
    <row r="87" spans="1:26" x14ac:dyDescent="0.35">
      <c r="B87" s="2"/>
      <c r="E87" s="3"/>
      <c r="F87" s="3"/>
      <c r="H87" s="298"/>
      <c r="I87" s="298"/>
      <c r="J87" s="298"/>
      <c r="K87" s="298"/>
      <c r="N87" s="1"/>
      <c r="Q87" s="1"/>
      <c r="R87" s="1"/>
      <c r="S87" s="1"/>
    </row>
    <row r="88" spans="1:26" x14ac:dyDescent="0.35">
      <c r="B88" s="2"/>
      <c r="E88" s="3"/>
      <c r="F88" s="3"/>
      <c r="N88" s="1"/>
      <c r="Q88" s="1"/>
      <c r="R88" s="1"/>
      <c r="S88" s="1"/>
    </row>
    <row r="89" spans="1:26" x14ac:dyDescent="0.35">
      <c r="B89" s="2"/>
      <c r="E89" s="3"/>
      <c r="F89" s="3"/>
      <c r="N89" s="1"/>
      <c r="Q89" s="1"/>
      <c r="R89" s="1"/>
      <c r="S89" s="1"/>
    </row>
    <row r="90" spans="1:26" x14ac:dyDescent="0.35">
      <c r="B90" s="2"/>
      <c r="E90" s="3"/>
      <c r="F90" s="3"/>
      <c r="N90" s="1"/>
      <c r="Q90" s="1"/>
      <c r="R90" s="1"/>
      <c r="S90" s="1"/>
    </row>
    <row r="91" spans="1:26" x14ac:dyDescent="0.35">
      <c r="B91" s="2"/>
      <c r="E91" s="3"/>
      <c r="F91" s="3"/>
      <c r="N91" s="1"/>
      <c r="Q91" s="1"/>
      <c r="R91" s="1"/>
      <c r="S91" s="1"/>
    </row>
    <row r="92" spans="1:26" x14ac:dyDescent="0.35">
      <c r="B92" s="2"/>
      <c r="E92" s="3"/>
      <c r="F92" s="3"/>
      <c r="N92" s="1"/>
      <c r="Q92" s="1"/>
      <c r="R92" s="1"/>
      <c r="S92" s="1"/>
    </row>
  </sheetData>
  <mergeCells count="8">
    <mergeCell ref="C1:N1"/>
    <mergeCell ref="P77:Q77"/>
    <mergeCell ref="P82:Q82"/>
    <mergeCell ref="C60:E60"/>
    <mergeCell ref="F60:J60"/>
    <mergeCell ref="K60:N60"/>
    <mergeCell ref="F62:J62"/>
    <mergeCell ref="F65:J65"/>
  </mergeCells>
  <conditionalFormatting sqref="N62:N64">
    <cfRule type="cellIs" dxfId="17" priority="4" stopIfTrue="1" operator="greaterThan">
      <formula>0.375</formula>
    </cfRule>
  </conditionalFormatting>
  <conditionalFormatting sqref="N62:N76">
    <cfRule type="cellIs" dxfId="16" priority="2" operator="greaterThan">
      <formula>0.375</formula>
    </cfRule>
  </conditionalFormatting>
  <conditionalFormatting sqref="O62:O63">
    <cfRule type="cellIs" dxfId="15" priority="3" operator="greaterThan">
      <formula>0.333333333333333</formula>
    </cfRule>
  </conditionalFormatting>
  <conditionalFormatting sqref="O62:O66 O68:O70 O72:O75">
    <cfRule type="cellIs" dxfId="14" priority="1" operator="greaterThan">
      <formula>0.354166666666667</formula>
    </cfRule>
  </conditionalFormatting>
  <conditionalFormatting sqref="O74:O75">
    <cfRule type="cellIs" dxfId="13" priority="5" operator="greaterThan">
      <formula>0.333333333333333</formula>
    </cfRule>
  </conditionalFormatting>
  <dataValidations count="1">
    <dataValidation allowBlank="1" showErrorMessage="1" errorTitle="Incorrect Value" error="Please enter a time of the form HH:MM" sqref="H41:H42 K24:K27 H15:I26 J25:J28 G12:G26 F17:F52 K45:L54 L31:L44 J7:M11 I4:I11 D15 L15:L29 I2 D7:D10 I12:M13 G27:I28 H14:M14 I41:J54 E7:E15 E27:E54 D16:E52 K30:K40 G29:J40 G41:G52 M15:M20 H5" xr:uid="{00000000-0002-0000-0000-000000000000}"/>
  </dataValidations>
  <pageMargins left="0.7" right="0.7" top="0.75" bottom="0.75" header="0.3" footer="0.3"/>
  <pageSetup paperSize="8" scale="5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pageSetUpPr fitToPage="1"/>
  </sheetPr>
  <dimension ref="A1:W86"/>
  <sheetViews>
    <sheetView topLeftCell="D63" zoomScale="70" workbookViewId="0">
      <selection activeCell="A62" sqref="A62"/>
    </sheetView>
  </sheetViews>
  <sheetFormatPr defaultColWidth="9.1796875" defaultRowHeight="15.5" x14ac:dyDescent="0.35"/>
  <cols>
    <col min="1" max="1" width="15.90625" style="1" bestFit="1" customWidth="1"/>
    <col min="2" max="2" width="10.08984375" style="299" customWidth="1"/>
    <col min="3" max="4" width="19.26953125" style="299" bestFit="1" customWidth="1"/>
    <col min="5" max="5" width="16.36328125" style="299" bestFit="1" customWidth="1"/>
    <col min="6" max="6" width="14.26953125" style="299" bestFit="1" customWidth="1"/>
    <col min="7" max="7" width="16.36328125" style="299" bestFit="1" customWidth="1"/>
    <col min="8" max="9" width="14.26953125" style="299" bestFit="1" customWidth="1"/>
    <col min="10" max="10" width="15.90625" style="1" bestFit="1" customWidth="1"/>
    <col min="11" max="11" width="15.90625" style="1" customWidth="1"/>
    <col min="12" max="12" width="16.36328125" style="1" bestFit="1" customWidth="1"/>
    <col min="13" max="13" width="19.26953125" style="1" bestFit="1" customWidth="1"/>
    <col min="14" max="14" width="20.81640625" style="1" bestFit="1" customWidth="1"/>
    <col min="15" max="15" width="10.7265625" style="1" customWidth="1"/>
    <col min="16" max="16" width="10.6328125" style="4" bestFit="1" customWidth="1"/>
    <col min="17" max="18" width="10.6328125" style="4" customWidth="1"/>
    <col min="19" max="19" width="10.7265625" style="1" bestFit="1" customWidth="1"/>
    <col min="20" max="20" width="9.1796875" style="1"/>
    <col min="21" max="21" width="10.6328125" style="1" bestFit="1" customWidth="1"/>
    <col min="22" max="22" width="10.6328125" style="300" bestFit="1" customWidth="1"/>
    <col min="23" max="23" width="9.1796875" style="1"/>
    <col min="24" max="24" width="12.26953125" style="1" customWidth="1"/>
    <col min="25" max="16384" width="9.1796875" style="1"/>
  </cols>
  <sheetData>
    <row r="1" spans="3:22" x14ac:dyDescent="0.35">
      <c r="C1" s="301" t="s">
        <v>99</v>
      </c>
      <c r="D1" s="302"/>
      <c r="E1" s="302"/>
      <c r="F1" s="303"/>
      <c r="G1" s="303"/>
      <c r="H1" s="302"/>
      <c r="I1" s="302"/>
      <c r="J1" s="302"/>
      <c r="K1" s="303"/>
      <c r="L1" s="302"/>
      <c r="M1" s="303"/>
      <c r="N1" s="304"/>
      <c r="O1" s="5"/>
      <c r="P1" s="5"/>
      <c r="Q1" s="5"/>
      <c r="R1" s="1"/>
      <c r="V1" s="1"/>
    </row>
    <row r="2" spans="3:22" x14ac:dyDescent="0.35">
      <c r="C2" s="305"/>
      <c r="D2" s="306"/>
      <c r="E2" s="307"/>
      <c r="F2" s="308" t="s">
        <v>12</v>
      </c>
      <c r="G2" s="308" t="s">
        <v>18</v>
      </c>
      <c r="H2" s="309"/>
      <c r="I2" s="306"/>
      <c r="J2" s="307"/>
      <c r="K2" s="308" t="s">
        <v>17</v>
      </c>
      <c r="M2" s="308" t="s">
        <v>16</v>
      </c>
      <c r="N2" s="310"/>
      <c r="O2" s="5"/>
      <c r="P2" s="5"/>
      <c r="Q2" s="311"/>
      <c r="R2" s="1"/>
      <c r="V2" s="1"/>
    </row>
    <row r="3" spans="3:22" x14ac:dyDescent="0.35">
      <c r="C3" s="17" t="s">
        <v>10</v>
      </c>
      <c r="D3" s="312"/>
      <c r="E3" s="313"/>
      <c r="F3" s="314" t="s">
        <v>100</v>
      </c>
      <c r="G3" s="314" t="s">
        <v>9</v>
      </c>
      <c r="H3" s="315"/>
      <c r="I3" s="306"/>
      <c r="J3" s="313"/>
      <c r="K3" s="314" t="s">
        <v>8</v>
      </c>
      <c r="L3" s="316"/>
      <c r="M3" s="314" t="s">
        <v>101</v>
      </c>
      <c r="N3" s="15" t="s">
        <v>10</v>
      </c>
      <c r="O3" s="4"/>
      <c r="Q3" s="311"/>
      <c r="R3" s="1"/>
      <c r="V3" s="1"/>
    </row>
    <row r="4" spans="3:22" x14ac:dyDescent="0.35">
      <c r="C4" s="17" t="s">
        <v>27</v>
      </c>
      <c r="D4" s="312"/>
      <c r="E4" s="312"/>
      <c r="F4" s="317" t="s">
        <v>102</v>
      </c>
      <c r="G4" s="318" t="s">
        <v>103</v>
      </c>
      <c r="H4" s="312"/>
      <c r="I4" s="306"/>
      <c r="J4" s="319"/>
      <c r="K4" s="318" t="s">
        <v>104</v>
      </c>
      <c r="L4" s="320"/>
      <c r="M4" s="318" t="s">
        <v>24</v>
      </c>
      <c r="N4" s="26" t="s">
        <v>27</v>
      </c>
      <c r="O4" s="4"/>
      <c r="Q4" s="311"/>
      <c r="R4" s="1"/>
      <c r="V4" s="1"/>
    </row>
    <row r="5" spans="3:22" x14ac:dyDescent="0.35">
      <c r="C5" s="35"/>
      <c r="D5" s="312"/>
      <c r="E5" s="312"/>
      <c r="F5" s="321">
        <v>0.23263888888888887</v>
      </c>
      <c r="G5" s="321">
        <v>0.25</v>
      </c>
      <c r="H5" s="312"/>
      <c r="I5" s="306"/>
      <c r="J5" s="322">
        <v>0.22569444444444445</v>
      </c>
      <c r="K5" s="321"/>
      <c r="L5" s="319">
        <v>0.23611111111111113</v>
      </c>
      <c r="M5" s="321"/>
      <c r="N5" s="38"/>
      <c r="O5" s="323"/>
      <c r="P5" s="323"/>
      <c r="Q5" s="311"/>
      <c r="R5" s="1"/>
      <c r="V5" s="1"/>
    </row>
    <row r="6" spans="3:22" s="324" customFormat="1" x14ac:dyDescent="0.35">
      <c r="C6" s="31" t="s">
        <v>28</v>
      </c>
      <c r="D6" s="325"/>
      <c r="E6" s="325"/>
      <c r="F6" s="326">
        <f>F8-F5</f>
        <v>1.7361111111111133E-2</v>
      </c>
      <c r="G6" s="326">
        <f>G8-G5</f>
        <v>1.3888888888888895E-2</v>
      </c>
      <c r="H6" s="325"/>
      <c r="I6" s="306"/>
      <c r="J6" s="327">
        <f>K6-J5</f>
        <v>2.4305555555555552E-2</v>
      </c>
      <c r="K6" s="328">
        <v>0.25</v>
      </c>
      <c r="L6" s="329">
        <f>M6-L5</f>
        <v>2.7777777777777762E-2</v>
      </c>
      <c r="M6" s="328">
        <v>0.2638888888888889</v>
      </c>
      <c r="N6" s="34" t="s">
        <v>28</v>
      </c>
      <c r="O6" s="330"/>
      <c r="P6" s="330"/>
      <c r="Q6" s="311"/>
    </row>
    <row r="7" spans="3:22" x14ac:dyDescent="0.35">
      <c r="C7" s="17"/>
      <c r="D7" s="312"/>
      <c r="E7" s="312"/>
      <c r="F7" s="331"/>
      <c r="G7" s="332"/>
      <c r="H7" s="312"/>
      <c r="I7" s="306"/>
      <c r="J7" s="312"/>
      <c r="K7" s="332"/>
      <c r="L7" s="312"/>
      <c r="M7" s="331"/>
      <c r="N7" s="26"/>
      <c r="O7" s="4"/>
      <c r="Q7" s="311"/>
      <c r="R7" s="1"/>
      <c r="V7" s="1"/>
    </row>
    <row r="8" spans="3:22" x14ac:dyDescent="0.35">
      <c r="C8" s="35" t="s">
        <v>29</v>
      </c>
      <c r="D8" s="312"/>
      <c r="E8" s="312"/>
      <c r="F8" s="333">
        <v>0.25</v>
      </c>
      <c r="G8" s="333">
        <v>0.2638888888888889</v>
      </c>
      <c r="H8" s="312"/>
      <c r="I8" s="306"/>
      <c r="J8" s="312"/>
      <c r="K8" s="333">
        <v>0.27777777777777779</v>
      </c>
      <c r="L8" s="334"/>
      <c r="M8" s="333">
        <v>0.29166666666666669</v>
      </c>
      <c r="N8" s="38" t="s">
        <v>29</v>
      </c>
      <c r="O8" s="323"/>
      <c r="P8" s="323"/>
      <c r="Q8" s="311"/>
      <c r="R8" s="1"/>
      <c r="V8" s="1"/>
    </row>
    <row r="9" spans="3:22" x14ac:dyDescent="0.35">
      <c r="C9" s="17"/>
      <c r="D9" s="312"/>
      <c r="E9" s="312"/>
      <c r="F9" s="332"/>
      <c r="G9" s="332"/>
      <c r="H9" s="312"/>
      <c r="I9" s="306"/>
      <c r="J9" s="312"/>
      <c r="K9" s="332"/>
      <c r="L9" s="308" t="s">
        <v>11</v>
      </c>
      <c r="M9" s="332"/>
      <c r="N9" s="26"/>
      <c r="O9" s="4"/>
      <c r="Q9" s="311"/>
      <c r="R9" s="1"/>
      <c r="V9" s="1"/>
    </row>
    <row r="10" spans="3:22" s="324" customFormat="1" x14ac:dyDescent="0.35">
      <c r="C10" s="31" t="s">
        <v>28</v>
      </c>
      <c r="D10" s="325"/>
      <c r="E10" s="325"/>
      <c r="F10" s="328">
        <v>0.27777777777777779</v>
      </c>
      <c r="G10" s="328">
        <v>0.29166666666666669</v>
      </c>
      <c r="H10" s="325"/>
      <c r="I10" s="306"/>
      <c r="J10" s="325"/>
      <c r="K10" s="328">
        <v>0.30555555555555552</v>
      </c>
      <c r="L10" s="335" t="s">
        <v>2</v>
      </c>
      <c r="M10" s="328">
        <v>0.31944444444444448</v>
      </c>
      <c r="N10" s="34" t="s">
        <v>28</v>
      </c>
      <c r="O10" s="330"/>
      <c r="P10" s="330"/>
      <c r="Q10" s="311"/>
    </row>
    <row r="11" spans="3:22" x14ac:dyDescent="0.35">
      <c r="C11" s="17"/>
      <c r="D11" s="312"/>
      <c r="E11" s="312"/>
      <c r="F11" s="332"/>
      <c r="G11" s="332"/>
      <c r="H11" s="319"/>
      <c r="I11" s="306"/>
      <c r="J11" s="312"/>
      <c r="K11" s="332"/>
      <c r="L11" s="336" t="s">
        <v>105</v>
      </c>
      <c r="M11" s="332"/>
      <c r="N11" s="26"/>
      <c r="O11" s="4"/>
      <c r="Q11" s="311"/>
      <c r="R11" s="1"/>
      <c r="V11" s="1"/>
    </row>
    <row r="12" spans="3:22" x14ac:dyDescent="0.35">
      <c r="C12" s="35" t="s">
        <v>29</v>
      </c>
      <c r="D12" s="312"/>
      <c r="E12" s="312"/>
      <c r="F12" s="333">
        <v>0.30555555555555558</v>
      </c>
      <c r="G12" s="333">
        <v>0.31944444444444448</v>
      </c>
      <c r="H12" s="337"/>
      <c r="I12" s="306"/>
      <c r="J12" s="312"/>
      <c r="K12" s="333">
        <v>0.33333333333333337</v>
      </c>
      <c r="L12" s="333">
        <v>0.34722222222222227</v>
      </c>
      <c r="M12" s="338">
        <v>0.34722222222222227</v>
      </c>
      <c r="N12" s="38" t="s">
        <v>29</v>
      </c>
      <c r="O12" s="323"/>
      <c r="P12" s="323"/>
      <c r="Q12" s="311"/>
      <c r="R12" s="1"/>
      <c r="V12" s="1"/>
    </row>
    <row r="13" spans="3:22" x14ac:dyDescent="0.35">
      <c r="C13" s="17"/>
      <c r="D13" s="319"/>
      <c r="E13" s="319"/>
      <c r="F13" s="332"/>
      <c r="G13" s="339"/>
      <c r="H13" s="308" t="s">
        <v>15</v>
      </c>
      <c r="I13" s="309"/>
      <c r="J13" s="312"/>
      <c r="K13" s="326"/>
      <c r="L13" s="332"/>
      <c r="M13" s="340" t="s">
        <v>106</v>
      </c>
      <c r="N13" s="26"/>
      <c r="O13" s="4"/>
      <c r="Q13" s="311"/>
      <c r="R13" s="1"/>
      <c r="V13" s="1"/>
    </row>
    <row r="14" spans="3:22" s="324" customFormat="1" x14ac:dyDescent="0.35">
      <c r="C14" s="31" t="s">
        <v>28</v>
      </c>
      <c r="D14" s="341"/>
      <c r="E14" s="319"/>
      <c r="F14" s="328">
        <v>0.33333333333333331</v>
      </c>
      <c r="G14" s="342">
        <v>0.34722222222222227</v>
      </c>
      <c r="H14" s="335" t="s">
        <v>107</v>
      </c>
      <c r="I14" s="309"/>
      <c r="J14" s="343"/>
      <c r="K14" s="328">
        <v>0.3611111111111111</v>
      </c>
      <c r="L14" s="328">
        <v>0.375</v>
      </c>
      <c r="M14" s="344"/>
      <c r="N14" s="34" t="s">
        <v>28</v>
      </c>
      <c r="O14" s="330"/>
      <c r="P14" s="330"/>
      <c r="Q14" s="311"/>
    </row>
    <row r="15" spans="3:22" x14ac:dyDescent="0.35">
      <c r="C15" s="11"/>
      <c r="D15" s="308" t="s">
        <v>14</v>
      </c>
      <c r="E15" s="345"/>
      <c r="F15" s="332"/>
      <c r="G15" s="332"/>
      <c r="H15" s="318" t="s">
        <v>108</v>
      </c>
      <c r="I15" s="306"/>
      <c r="J15" s="312"/>
      <c r="K15" s="331"/>
      <c r="L15" s="332"/>
      <c r="M15" s="346"/>
      <c r="N15" s="26"/>
      <c r="O15" s="4"/>
      <c r="Q15" s="311"/>
      <c r="R15" s="1"/>
      <c r="V15" s="1"/>
    </row>
    <row r="16" spans="3:22" x14ac:dyDescent="0.35">
      <c r="C16" s="347" t="s">
        <v>29</v>
      </c>
      <c r="D16" s="335" t="s">
        <v>109</v>
      </c>
      <c r="E16" s="345"/>
      <c r="F16" s="333">
        <v>0.36111111111111116</v>
      </c>
      <c r="G16" s="333">
        <v>0.37500000000000006</v>
      </c>
      <c r="H16" s="348">
        <v>0.38541666666666674</v>
      </c>
      <c r="I16" s="306"/>
      <c r="J16" s="319"/>
      <c r="K16" s="333">
        <v>0.39583333333333343</v>
      </c>
      <c r="L16" s="333">
        <v>0.40625000000000011</v>
      </c>
      <c r="M16" s="306"/>
      <c r="N16" s="38" t="s">
        <v>29</v>
      </c>
      <c r="O16" s="323"/>
      <c r="P16" s="323"/>
      <c r="Q16" s="311"/>
      <c r="R16" s="1"/>
      <c r="V16" s="1"/>
    </row>
    <row r="17" spans="3:22" x14ac:dyDescent="0.35">
      <c r="C17" s="17"/>
      <c r="D17" s="317" t="s">
        <v>110</v>
      </c>
      <c r="E17" s="319"/>
      <c r="F17" s="326"/>
      <c r="G17" s="326"/>
      <c r="H17" s="349"/>
      <c r="I17" s="308" t="s">
        <v>13</v>
      </c>
      <c r="J17" s="312"/>
      <c r="K17" s="332"/>
      <c r="L17" s="326"/>
      <c r="M17" s="322"/>
      <c r="N17" s="26"/>
      <c r="O17" s="4"/>
      <c r="Q17" s="311"/>
      <c r="R17" s="1"/>
      <c r="V17" s="1"/>
    </row>
    <row r="18" spans="3:22" s="324" customFormat="1" x14ac:dyDescent="0.35">
      <c r="C18" s="31" t="s">
        <v>28</v>
      </c>
      <c r="D18" s="350">
        <v>0.38541666666666669</v>
      </c>
      <c r="E18" s="319"/>
      <c r="F18" s="351" t="s">
        <v>111</v>
      </c>
      <c r="G18" s="328">
        <v>0.40625</v>
      </c>
      <c r="H18" s="350">
        <v>0.41666666666666669</v>
      </c>
      <c r="I18" s="335" t="s">
        <v>112</v>
      </c>
      <c r="J18" s="312"/>
      <c r="K18" s="351" t="s">
        <v>113</v>
      </c>
      <c r="L18" s="328">
        <v>0.4375</v>
      </c>
      <c r="M18" s="352"/>
      <c r="N18" s="34" t="s">
        <v>28</v>
      </c>
      <c r="O18" s="330"/>
      <c r="P18" s="330"/>
      <c r="Q18" s="311"/>
    </row>
    <row r="19" spans="3:22" x14ac:dyDescent="0.35">
      <c r="C19" s="17"/>
      <c r="D19" s="349"/>
      <c r="E19" s="319"/>
      <c r="F19" s="349"/>
      <c r="G19" s="332"/>
      <c r="H19" s="349"/>
      <c r="I19" s="336" t="s">
        <v>114</v>
      </c>
      <c r="J19" s="312"/>
      <c r="K19" s="349"/>
      <c r="L19" s="339"/>
      <c r="M19" s="308" t="s">
        <v>39</v>
      </c>
      <c r="N19" s="15"/>
      <c r="O19" s="4"/>
      <c r="Q19" s="311"/>
      <c r="R19" s="1"/>
      <c r="V19" s="1"/>
    </row>
    <row r="20" spans="3:22" x14ac:dyDescent="0.35">
      <c r="C20" s="35" t="s">
        <v>29</v>
      </c>
      <c r="D20" s="348">
        <v>0.4166666666666668</v>
      </c>
      <c r="E20" s="319"/>
      <c r="F20" s="348">
        <v>0.42708333333333348</v>
      </c>
      <c r="G20" s="333">
        <v>0.43750000000000017</v>
      </c>
      <c r="H20" s="353" t="s">
        <v>115</v>
      </c>
      <c r="I20" s="333">
        <v>0.44791666666666685</v>
      </c>
      <c r="J20" s="354"/>
      <c r="K20" s="348">
        <v>0.45833333333333354</v>
      </c>
      <c r="L20" s="355">
        <v>0.46875000000000022</v>
      </c>
      <c r="M20" s="314" t="s">
        <v>116</v>
      </c>
      <c r="N20" s="356" t="s">
        <v>29</v>
      </c>
      <c r="O20" s="323"/>
      <c r="P20" s="323"/>
      <c r="Q20" s="311"/>
      <c r="R20" s="1"/>
      <c r="V20" s="1"/>
    </row>
    <row r="21" spans="3:22" x14ac:dyDescent="0.35">
      <c r="C21" s="17"/>
      <c r="D21" s="349"/>
      <c r="E21" s="319"/>
      <c r="F21" s="349"/>
      <c r="G21" s="357"/>
      <c r="H21" s="358" t="s">
        <v>117</v>
      </c>
      <c r="I21" s="359"/>
      <c r="J21" s="308" t="s">
        <v>46</v>
      </c>
      <c r="K21" s="360"/>
      <c r="L21" s="332"/>
      <c r="M21" s="317" t="s">
        <v>118</v>
      </c>
      <c r="N21" s="26"/>
      <c r="O21" s="4"/>
      <c r="P21" s="361"/>
      <c r="Q21" s="311"/>
      <c r="R21" s="1"/>
      <c r="V21" s="1"/>
    </row>
    <row r="22" spans="3:22" s="324" customFormat="1" x14ac:dyDescent="0.35">
      <c r="C22" s="31" t="s">
        <v>28</v>
      </c>
      <c r="D22" s="351" t="s">
        <v>119</v>
      </c>
      <c r="E22" s="319"/>
      <c r="F22" s="350">
        <v>0.45833333333333331</v>
      </c>
      <c r="G22" s="351" t="s">
        <v>120</v>
      </c>
      <c r="H22" s="306"/>
      <c r="I22" s="342">
        <v>0.47916666666666669</v>
      </c>
      <c r="J22" s="335" t="s">
        <v>121</v>
      </c>
      <c r="K22" s="362">
        <v>0.48958333333333331</v>
      </c>
      <c r="L22" s="351" t="s">
        <v>122</v>
      </c>
      <c r="M22" s="363">
        <v>0.51041666666666663</v>
      </c>
      <c r="N22" s="34" t="s">
        <v>28</v>
      </c>
      <c r="O22" s="330"/>
      <c r="P22" s="364"/>
      <c r="Q22" s="311"/>
    </row>
    <row r="23" spans="3:22" x14ac:dyDescent="0.35">
      <c r="C23" s="17"/>
      <c r="D23" s="332"/>
      <c r="E23" s="319"/>
      <c r="F23" s="349"/>
      <c r="G23" s="332"/>
      <c r="H23" s="306"/>
      <c r="I23" s="332"/>
      <c r="J23" s="318" t="s">
        <v>40</v>
      </c>
      <c r="K23" s="349"/>
      <c r="L23" s="365"/>
      <c r="M23" s="365"/>
      <c r="N23" s="26"/>
      <c r="O23" s="4"/>
      <c r="P23" s="361"/>
      <c r="Q23" s="311"/>
      <c r="R23" s="1"/>
      <c r="V23" s="1"/>
    </row>
    <row r="24" spans="3:22" x14ac:dyDescent="0.35">
      <c r="C24" s="35" t="s">
        <v>29</v>
      </c>
      <c r="D24" s="333">
        <v>0.47916666666666691</v>
      </c>
      <c r="E24" s="319"/>
      <c r="F24" s="348">
        <v>0.48958333333333359</v>
      </c>
      <c r="G24" s="333">
        <v>0.50000000000000022</v>
      </c>
      <c r="H24" s="306"/>
      <c r="I24" s="333">
        <v>0.51041666666666685</v>
      </c>
      <c r="J24" s="348">
        <v>0.52083333333333348</v>
      </c>
      <c r="K24" s="348">
        <v>0.53125000000000011</v>
      </c>
      <c r="L24" s="366">
        <v>0.54166666666666674</v>
      </c>
      <c r="M24" s="366">
        <v>0.55208333333333337</v>
      </c>
      <c r="N24" s="38" t="s">
        <v>29</v>
      </c>
      <c r="O24" s="323"/>
      <c r="P24" s="323"/>
      <c r="Q24" s="311"/>
      <c r="R24" s="1"/>
      <c r="V24" s="1"/>
    </row>
    <row r="25" spans="3:22" x14ac:dyDescent="0.35">
      <c r="C25" s="17"/>
      <c r="D25" s="326"/>
      <c r="E25" s="319"/>
      <c r="F25" s="367"/>
      <c r="G25" s="332"/>
      <c r="H25" s="346"/>
      <c r="I25" s="332"/>
      <c r="J25" s="349"/>
      <c r="K25" s="367"/>
      <c r="L25" s="368"/>
      <c r="M25" s="365"/>
      <c r="N25" s="26"/>
      <c r="O25" s="4"/>
      <c r="Q25" s="311"/>
      <c r="R25" s="1"/>
      <c r="V25" s="1"/>
    </row>
    <row r="26" spans="3:22" s="324" customFormat="1" x14ac:dyDescent="0.35">
      <c r="C26" s="31" t="s">
        <v>28</v>
      </c>
      <c r="D26" s="351" t="s">
        <v>123</v>
      </c>
      <c r="E26" s="319"/>
      <c r="F26" s="350">
        <v>0.53125</v>
      </c>
      <c r="G26" s="351" t="s">
        <v>124</v>
      </c>
      <c r="H26" s="344"/>
      <c r="I26" s="351" t="s">
        <v>125</v>
      </c>
      <c r="J26" s="350">
        <v>0.5625</v>
      </c>
      <c r="K26" s="350">
        <v>0.57291666666666663</v>
      </c>
      <c r="L26" s="363">
        <v>0.58333333333333337</v>
      </c>
      <c r="M26" s="363">
        <v>0.59375</v>
      </c>
      <c r="N26" s="34" t="s">
        <v>28</v>
      </c>
      <c r="O26" s="330"/>
      <c r="P26" s="330"/>
      <c r="Q26" s="311"/>
    </row>
    <row r="27" spans="3:22" x14ac:dyDescent="0.35">
      <c r="C27" s="17"/>
      <c r="D27" s="349"/>
      <c r="E27" s="319"/>
      <c r="F27" s="349"/>
      <c r="G27" s="332"/>
      <c r="H27" s="346"/>
      <c r="I27" s="365"/>
      <c r="J27" s="349"/>
      <c r="K27" s="349"/>
      <c r="L27" s="365"/>
      <c r="M27" s="365"/>
      <c r="N27" s="26"/>
      <c r="O27" s="4"/>
      <c r="Q27" s="311"/>
      <c r="R27" s="1"/>
      <c r="V27" s="1"/>
    </row>
    <row r="28" spans="3:22" x14ac:dyDescent="0.35">
      <c r="C28" s="35" t="s">
        <v>29</v>
      </c>
      <c r="D28" s="348">
        <v>0.5625</v>
      </c>
      <c r="E28" s="319"/>
      <c r="F28" s="348">
        <v>0.57291666666666663</v>
      </c>
      <c r="G28" s="333">
        <v>0.58333333333333326</v>
      </c>
      <c r="H28" s="306"/>
      <c r="I28" s="366">
        <v>0.59374999999999989</v>
      </c>
      <c r="J28" s="348">
        <v>0.60416666666666652</v>
      </c>
      <c r="K28" s="348">
        <v>0.61458333333333315</v>
      </c>
      <c r="L28" s="366">
        <v>0.62499999999999978</v>
      </c>
      <c r="M28" s="366">
        <v>0.63541666666666641</v>
      </c>
      <c r="N28" s="38" t="s">
        <v>29</v>
      </c>
      <c r="O28" s="323"/>
      <c r="P28" s="323"/>
      <c r="Q28" s="311"/>
      <c r="R28" s="1"/>
      <c r="V28" s="1"/>
    </row>
    <row r="29" spans="3:22" x14ac:dyDescent="0.35">
      <c r="C29" s="17"/>
      <c r="D29" s="349"/>
      <c r="E29" s="319"/>
      <c r="F29" s="349"/>
      <c r="G29" s="326"/>
      <c r="H29" s="319"/>
      <c r="I29" s="369"/>
      <c r="J29" s="367"/>
      <c r="K29" s="349"/>
      <c r="L29" s="365"/>
      <c r="M29" s="368"/>
      <c r="N29" s="26"/>
      <c r="O29" s="4"/>
      <c r="Q29" s="311"/>
      <c r="R29" s="1"/>
      <c r="V29" s="1"/>
    </row>
    <row r="30" spans="3:22" s="324" customFormat="1" x14ac:dyDescent="0.35">
      <c r="C30" s="31" t="s">
        <v>28</v>
      </c>
      <c r="D30" s="350">
        <v>0.60416666666666663</v>
      </c>
      <c r="E30" s="319"/>
      <c r="F30" s="351" t="s">
        <v>126</v>
      </c>
      <c r="G30" s="328">
        <v>0.625</v>
      </c>
      <c r="H30" s="370"/>
      <c r="I30" s="371" t="s">
        <v>127</v>
      </c>
      <c r="J30" s="350">
        <v>0.63541666666666663</v>
      </c>
      <c r="K30" s="351" t="s">
        <v>128</v>
      </c>
      <c r="L30" s="351" t="s">
        <v>129</v>
      </c>
      <c r="M30" s="351" t="s">
        <v>130</v>
      </c>
      <c r="N30" s="34" t="s">
        <v>28</v>
      </c>
      <c r="O30" s="330"/>
      <c r="P30" s="330"/>
      <c r="Q30" s="311"/>
    </row>
    <row r="31" spans="3:22" x14ac:dyDescent="0.35">
      <c r="C31" s="17"/>
      <c r="D31" s="349"/>
      <c r="E31" s="319"/>
      <c r="F31" s="372"/>
      <c r="G31" s="332"/>
      <c r="H31" s="373"/>
      <c r="I31" s="374" t="s">
        <v>131</v>
      </c>
      <c r="J31" s="349"/>
      <c r="K31" s="372"/>
      <c r="L31" s="372"/>
      <c r="M31" s="372"/>
      <c r="N31" s="26"/>
      <c r="O31" s="4"/>
      <c r="Q31" s="311"/>
      <c r="R31" s="1"/>
      <c r="V31" s="1"/>
    </row>
    <row r="32" spans="3:22" x14ac:dyDescent="0.35">
      <c r="C32" s="35" t="s">
        <v>29</v>
      </c>
      <c r="D32" s="348">
        <v>0.64583333333333304</v>
      </c>
      <c r="E32" s="375"/>
      <c r="F32" s="376">
        <v>0.65624999999999967</v>
      </c>
      <c r="G32" s="333">
        <v>0.6666666666666663</v>
      </c>
      <c r="H32" s="312"/>
      <c r="I32" s="312"/>
      <c r="J32" s="348">
        <v>0.67708333333333293</v>
      </c>
      <c r="K32" s="376">
        <v>0.68749999999999956</v>
      </c>
      <c r="L32" s="376">
        <v>0.69791666666666619</v>
      </c>
      <c r="M32" s="376">
        <v>0.70833333333333282</v>
      </c>
      <c r="N32" s="38" t="s">
        <v>29</v>
      </c>
      <c r="O32" s="323"/>
      <c r="P32" s="323"/>
      <c r="Q32" s="311"/>
      <c r="R32" s="1"/>
      <c r="V32" s="1"/>
    </row>
    <row r="33" spans="3:22" x14ac:dyDescent="0.35">
      <c r="C33" s="17"/>
      <c r="D33" s="377"/>
      <c r="E33" s="308" t="s">
        <v>65</v>
      </c>
      <c r="F33" s="378"/>
      <c r="G33" s="332"/>
      <c r="H33" s="312"/>
      <c r="I33" s="312"/>
      <c r="J33" s="349"/>
      <c r="K33" s="379"/>
      <c r="L33" s="379"/>
      <c r="M33" s="372"/>
      <c r="N33" s="26"/>
      <c r="O33" s="4"/>
      <c r="Q33" s="311"/>
      <c r="R33" s="1"/>
      <c r="V33" s="1"/>
    </row>
    <row r="34" spans="3:22" s="324" customFormat="1" x14ac:dyDescent="0.35">
      <c r="C34" s="31" t="s">
        <v>28</v>
      </c>
      <c r="D34" s="380">
        <v>0.67708333333333337</v>
      </c>
      <c r="E34" s="335" t="s">
        <v>132</v>
      </c>
      <c r="F34" s="381" t="s">
        <v>54</v>
      </c>
      <c r="G34" s="351" t="s">
        <v>133</v>
      </c>
      <c r="H34" s="312"/>
      <c r="I34" s="312"/>
      <c r="J34" s="351" t="s">
        <v>134</v>
      </c>
      <c r="K34" s="382">
        <v>0.71875</v>
      </c>
      <c r="L34" s="382">
        <v>0.72916666666666663</v>
      </c>
      <c r="M34" s="351" t="s">
        <v>135</v>
      </c>
      <c r="N34" s="34" t="s">
        <v>28</v>
      </c>
      <c r="O34" s="330"/>
      <c r="P34" s="330"/>
      <c r="Q34" s="311"/>
    </row>
    <row r="35" spans="3:22" x14ac:dyDescent="0.35">
      <c r="C35" s="17"/>
      <c r="D35" s="349"/>
      <c r="E35" s="317" t="s">
        <v>136</v>
      </c>
      <c r="F35" s="349"/>
      <c r="G35" s="365"/>
      <c r="H35" s="312"/>
      <c r="I35" s="312"/>
      <c r="J35" s="349"/>
      <c r="K35" s="372"/>
      <c r="L35" s="372"/>
      <c r="M35" s="365"/>
      <c r="N35" s="26"/>
      <c r="O35" s="4"/>
      <c r="Q35" s="311"/>
      <c r="R35" s="1"/>
      <c r="V35" s="1"/>
    </row>
    <row r="36" spans="3:22" x14ac:dyDescent="0.35">
      <c r="C36" s="35" t="s">
        <v>29</v>
      </c>
      <c r="D36" s="353" t="s">
        <v>137</v>
      </c>
      <c r="E36" s="366">
        <v>0.71874999999999944</v>
      </c>
      <c r="F36" s="348">
        <v>0.72916666666666607</v>
      </c>
      <c r="G36" s="366">
        <v>0.7395833333333327</v>
      </c>
      <c r="H36" s="312"/>
      <c r="I36" s="312"/>
      <c r="J36" s="348">
        <v>0.74999999999999933</v>
      </c>
      <c r="K36" s="376">
        <v>0.76041666666666596</v>
      </c>
      <c r="L36" s="376">
        <v>0.77083333333333259</v>
      </c>
      <c r="M36" s="366">
        <v>0.78124999999999922</v>
      </c>
      <c r="N36" s="38" t="s">
        <v>29</v>
      </c>
      <c r="O36" s="323"/>
      <c r="P36" s="323"/>
      <c r="Q36" s="311"/>
      <c r="R36" s="1"/>
      <c r="V36" s="1"/>
    </row>
    <row r="37" spans="3:22" x14ac:dyDescent="0.35">
      <c r="C37" s="17"/>
      <c r="D37" s="358">
        <v>0.73263888888888884</v>
      </c>
      <c r="E37" s="365"/>
      <c r="F37" s="349"/>
      <c r="G37" s="368"/>
      <c r="H37" s="312"/>
      <c r="I37" s="312"/>
      <c r="J37" s="367"/>
      <c r="K37" s="372"/>
      <c r="L37" s="372"/>
      <c r="M37" s="383"/>
      <c r="N37" s="26"/>
      <c r="O37" s="4"/>
      <c r="Q37" s="311"/>
      <c r="R37" s="1"/>
      <c r="V37" s="1"/>
    </row>
    <row r="38" spans="3:22" s="324" customFormat="1" x14ac:dyDescent="0.35">
      <c r="C38" s="31" t="s">
        <v>28</v>
      </c>
      <c r="D38" s="319"/>
      <c r="E38" s="363">
        <v>0.75</v>
      </c>
      <c r="F38" s="350">
        <v>0.76041666666666663</v>
      </c>
      <c r="G38" s="363">
        <v>0.77083333333333337</v>
      </c>
      <c r="H38" s="312"/>
      <c r="I38" s="312"/>
      <c r="J38" s="351" t="s">
        <v>138</v>
      </c>
      <c r="K38" s="382">
        <v>0.79166666666666663</v>
      </c>
      <c r="L38" s="351" t="s">
        <v>139</v>
      </c>
      <c r="M38" s="384" t="s">
        <v>140</v>
      </c>
      <c r="N38" s="34" t="s">
        <v>28</v>
      </c>
      <c r="O38" s="330"/>
      <c r="P38" s="330"/>
      <c r="Q38" s="311"/>
    </row>
    <row r="39" spans="3:22" x14ac:dyDescent="0.35">
      <c r="C39" s="17"/>
      <c r="D39" s="319"/>
      <c r="E39" s="365"/>
      <c r="F39" s="349"/>
      <c r="G39" s="385"/>
      <c r="H39" s="312"/>
      <c r="I39" s="312"/>
      <c r="J39" s="372"/>
      <c r="K39" s="372"/>
      <c r="L39" s="372"/>
      <c r="M39" s="386" t="s">
        <v>141</v>
      </c>
      <c r="N39" s="26"/>
      <c r="O39" s="4"/>
      <c r="Q39" s="311"/>
      <c r="R39" s="1"/>
      <c r="V39" s="1"/>
    </row>
    <row r="40" spans="3:22" x14ac:dyDescent="0.35">
      <c r="C40" s="35" t="s">
        <v>29</v>
      </c>
      <c r="D40" s="319"/>
      <c r="E40" s="366">
        <v>0.79166666666666585</v>
      </c>
      <c r="F40" s="387" t="s">
        <v>142</v>
      </c>
      <c r="G40" s="366">
        <v>0.80555555555555469</v>
      </c>
      <c r="H40" s="312"/>
      <c r="I40" s="312"/>
      <c r="J40" s="376">
        <v>0.81944444444444353</v>
      </c>
      <c r="K40" s="388" t="s">
        <v>143</v>
      </c>
      <c r="L40" s="376">
        <v>0.83333333333333237</v>
      </c>
      <c r="M40" s="312"/>
      <c r="N40" s="38" t="s">
        <v>29</v>
      </c>
      <c r="O40" s="323"/>
      <c r="P40" s="323"/>
      <c r="Q40" s="311"/>
      <c r="R40" s="1"/>
      <c r="V40" s="1"/>
    </row>
    <row r="41" spans="3:22" x14ac:dyDescent="0.35">
      <c r="C41" s="17"/>
      <c r="D41" s="319"/>
      <c r="E41" s="368"/>
      <c r="F41" s="387" t="s">
        <v>144</v>
      </c>
      <c r="G41" s="368"/>
      <c r="H41" s="312"/>
      <c r="I41" s="312"/>
      <c r="J41" s="372"/>
      <c r="K41" s="388" t="s">
        <v>141</v>
      </c>
      <c r="L41" s="379"/>
      <c r="M41" s="312"/>
      <c r="N41" s="26"/>
      <c r="O41" s="4"/>
      <c r="Q41" s="311"/>
      <c r="R41" s="1"/>
      <c r="V41" s="1"/>
    </row>
    <row r="42" spans="3:22" s="324" customFormat="1" x14ac:dyDescent="0.35">
      <c r="C42" s="31" t="s">
        <v>28</v>
      </c>
      <c r="D42" s="319"/>
      <c r="E42" s="363">
        <v>0.81944444444444453</v>
      </c>
      <c r="F42" s="325"/>
      <c r="G42" s="363">
        <v>0.83333333333333337</v>
      </c>
      <c r="H42" s="312"/>
      <c r="I42" s="312"/>
      <c r="J42" s="382">
        <v>0.84722222222222221</v>
      </c>
      <c r="K42" s="325"/>
      <c r="L42" s="382">
        <v>0.86111111111111116</v>
      </c>
      <c r="M42" s="325"/>
      <c r="N42" s="34" t="s">
        <v>28</v>
      </c>
      <c r="O42" s="330"/>
      <c r="P42" s="330"/>
      <c r="Q42" s="311"/>
    </row>
    <row r="43" spans="3:22" x14ac:dyDescent="0.35">
      <c r="C43" s="17"/>
      <c r="D43" s="319"/>
      <c r="E43" s="365"/>
      <c r="F43" s="312"/>
      <c r="G43" s="365"/>
      <c r="H43" s="312"/>
      <c r="I43" s="312"/>
      <c r="J43" s="372"/>
      <c r="K43" s="312"/>
      <c r="L43" s="372"/>
      <c r="M43" s="312"/>
      <c r="N43" s="26"/>
      <c r="O43" s="4"/>
      <c r="Q43" s="311"/>
      <c r="R43" s="1"/>
      <c r="V43" s="1"/>
    </row>
    <row r="44" spans="3:22" x14ac:dyDescent="0.35">
      <c r="C44" s="35" t="s">
        <v>29</v>
      </c>
      <c r="D44" s="375"/>
      <c r="E44" s="366">
        <v>0.84722222222222121</v>
      </c>
      <c r="F44" s="312"/>
      <c r="G44" s="366">
        <v>0.86111111111111005</v>
      </c>
      <c r="H44" s="312"/>
      <c r="I44" s="312"/>
      <c r="J44" s="376">
        <v>0.87499999999999889</v>
      </c>
      <c r="K44" s="312"/>
      <c r="L44" s="376">
        <v>0.88888888888888773</v>
      </c>
      <c r="M44" s="312"/>
      <c r="N44" s="38" t="s">
        <v>29</v>
      </c>
      <c r="O44" s="323"/>
      <c r="P44" s="323"/>
      <c r="Q44" s="311"/>
      <c r="R44" s="1"/>
      <c r="V44" s="1"/>
    </row>
    <row r="45" spans="3:22" x14ac:dyDescent="0.35">
      <c r="C45" s="11"/>
      <c r="D45" s="308" t="s">
        <v>145</v>
      </c>
      <c r="E45" s="389"/>
      <c r="F45" s="319"/>
      <c r="G45" s="365"/>
      <c r="H45" s="312"/>
      <c r="I45" s="312"/>
      <c r="J45" s="372"/>
      <c r="K45" s="312"/>
      <c r="L45" s="372"/>
      <c r="M45" s="312"/>
      <c r="N45" s="26"/>
      <c r="O45" s="4"/>
      <c r="Q45" s="311"/>
      <c r="R45" s="1"/>
      <c r="V45" s="1"/>
    </row>
    <row r="46" spans="3:22" s="324" customFormat="1" x14ac:dyDescent="0.35">
      <c r="C46" s="390" t="s">
        <v>28</v>
      </c>
      <c r="D46" s="335" t="s">
        <v>146</v>
      </c>
      <c r="E46" s="391">
        <v>0.875</v>
      </c>
      <c r="F46" s="319"/>
      <c r="G46" s="351" t="s">
        <v>147</v>
      </c>
      <c r="H46" s="312"/>
      <c r="I46" s="312"/>
      <c r="J46" s="382">
        <v>0.90277777777777779</v>
      </c>
      <c r="K46" s="325"/>
      <c r="L46" s="382">
        <v>0.91666666666666663</v>
      </c>
      <c r="M46" s="325"/>
      <c r="N46" s="34" t="s">
        <v>28</v>
      </c>
      <c r="O46" s="330"/>
      <c r="P46" s="330"/>
      <c r="Q46" s="311"/>
    </row>
    <row r="47" spans="3:22" x14ac:dyDescent="0.35">
      <c r="C47" s="17"/>
      <c r="D47" s="336" t="s">
        <v>148</v>
      </c>
      <c r="E47" s="365"/>
      <c r="F47" s="319"/>
      <c r="G47" s="372"/>
      <c r="H47" s="312"/>
      <c r="I47" s="312"/>
      <c r="J47" s="372"/>
      <c r="K47" s="312"/>
      <c r="L47" s="372"/>
      <c r="M47" s="312"/>
      <c r="N47" s="26"/>
      <c r="O47" s="4"/>
      <c r="Q47" s="311"/>
      <c r="R47" s="1"/>
      <c r="V47" s="1"/>
    </row>
    <row r="48" spans="3:22" x14ac:dyDescent="0.35">
      <c r="C48" s="35" t="s">
        <v>29</v>
      </c>
      <c r="D48" s="376">
        <v>0.90277777777777657</v>
      </c>
      <c r="E48" s="392">
        <v>0.90277777777777779</v>
      </c>
      <c r="F48" s="319"/>
      <c r="G48" s="376">
        <v>0.91666666666666541</v>
      </c>
      <c r="H48" s="312"/>
      <c r="I48" s="312"/>
      <c r="J48" s="376">
        <v>0.93055555555555425</v>
      </c>
      <c r="K48" s="312"/>
      <c r="L48" s="376">
        <v>0.94444444444444309</v>
      </c>
      <c r="M48" s="312"/>
      <c r="N48" s="38" t="s">
        <v>29</v>
      </c>
      <c r="O48" s="323"/>
      <c r="P48" s="323"/>
      <c r="Q48" s="311"/>
      <c r="R48" s="1"/>
      <c r="V48" s="1"/>
    </row>
    <row r="49" spans="1:23" x14ac:dyDescent="0.35">
      <c r="C49" s="17"/>
      <c r="D49" s="372"/>
      <c r="E49" s="393">
        <v>0.91666666666666663</v>
      </c>
      <c r="F49" s="319"/>
      <c r="G49" s="372"/>
      <c r="H49" s="312"/>
      <c r="I49" s="312"/>
      <c r="J49" s="372"/>
      <c r="K49" s="312"/>
      <c r="L49" s="372"/>
      <c r="M49" s="312"/>
      <c r="N49" s="26"/>
      <c r="O49" s="4"/>
      <c r="Q49" s="311"/>
      <c r="R49" s="1"/>
      <c r="V49" s="1"/>
    </row>
    <row r="50" spans="1:23" s="324" customFormat="1" x14ac:dyDescent="0.35">
      <c r="C50" s="31" t="s">
        <v>28</v>
      </c>
      <c r="D50" s="382">
        <v>0.93055555555555547</v>
      </c>
      <c r="E50" s="344"/>
      <c r="F50" s="319"/>
      <c r="G50" s="382">
        <v>0.94444444444444453</v>
      </c>
      <c r="H50" s="312"/>
      <c r="I50" s="312"/>
      <c r="J50" s="382">
        <v>0.95833333333333337</v>
      </c>
      <c r="K50" s="325"/>
      <c r="L50" s="382">
        <v>0.97916666666666663</v>
      </c>
      <c r="M50" s="325"/>
      <c r="N50" s="34" t="s">
        <v>28</v>
      </c>
      <c r="O50" s="330"/>
      <c r="P50" s="330"/>
      <c r="Q50" s="311"/>
    </row>
    <row r="51" spans="1:23" x14ac:dyDescent="0.35">
      <c r="C51" s="17"/>
      <c r="D51" s="372"/>
      <c r="E51" s="346"/>
      <c r="F51" s="319"/>
      <c r="G51" s="394"/>
      <c r="H51" s="312"/>
      <c r="I51" s="312"/>
      <c r="J51" s="372"/>
      <c r="K51" s="312"/>
      <c r="L51" s="394"/>
      <c r="M51" s="312"/>
      <c r="N51" s="26"/>
      <c r="O51" s="4"/>
      <c r="Q51" s="311"/>
      <c r="R51" s="1"/>
      <c r="V51" s="1"/>
    </row>
    <row r="52" spans="1:23" x14ac:dyDescent="0.35">
      <c r="C52" s="35" t="s">
        <v>29</v>
      </c>
      <c r="D52" s="376">
        <v>0.95833333333333193</v>
      </c>
      <c r="E52" s="306"/>
      <c r="F52" s="319"/>
      <c r="G52" s="376">
        <v>0.9791666666666653</v>
      </c>
      <c r="H52" s="306"/>
      <c r="I52" s="306"/>
      <c r="J52" s="388" t="s">
        <v>72</v>
      </c>
      <c r="K52" s="312"/>
      <c r="L52" s="388" t="s">
        <v>73</v>
      </c>
      <c r="M52" s="312"/>
      <c r="N52" s="38" t="s">
        <v>29</v>
      </c>
      <c r="O52" s="323"/>
      <c r="P52" s="323"/>
      <c r="Q52" s="311"/>
      <c r="R52" s="1"/>
      <c r="V52" s="1"/>
    </row>
    <row r="53" spans="1:23" x14ac:dyDescent="0.35">
      <c r="C53" s="17"/>
      <c r="D53" s="395"/>
      <c r="E53" s="319"/>
      <c r="F53" s="319"/>
      <c r="G53" s="395"/>
      <c r="H53" s="319"/>
      <c r="I53" s="319"/>
      <c r="J53" s="394"/>
      <c r="K53" s="312"/>
      <c r="L53" s="394"/>
      <c r="M53" s="312"/>
      <c r="N53" s="26"/>
      <c r="O53" s="4"/>
      <c r="Q53" s="311"/>
      <c r="R53" s="1"/>
      <c r="V53" s="1"/>
    </row>
    <row r="54" spans="1:23" s="324" customFormat="1" x14ac:dyDescent="0.35">
      <c r="C54" s="31" t="s">
        <v>28</v>
      </c>
      <c r="D54" s="396" t="s">
        <v>72</v>
      </c>
      <c r="E54" s="397"/>
      <c r="F54" s="319"/>
      <c r="G54" s="396" t="s">
        <v>73</v>
      </c>
      <c r="H54" s="397"/>
      <c r="I54" s="397"/>
      <c r="J54" s="398"/>
      <c r="K54" s="343"/>
      <c r="L54" s="399"/>
      <c r="M54" s="343"/>
      <c r="N54" s="34" t="s">
        <v>28</v>
      </c>
      <c r="O54" s="330"/>
      <c r="P54" s="330"/>
      <c r="Q54" s="311"/>
    </row>
    <row r="55" spans="1:23" x14ac:dyDescent="0.35">
      <c r="C55" s="17"/>
      <c r="D55" s="394"/>
      <c r="E55" s="312"/>
      <c r="F55" s="319"/>
      <c r="G55" s="394"/>
      <c r="H55" s="312"/>
      <c r="I55" s="312"/>
      <c r="J55" s="394"/>
      <c r="K55" s="312"/>
      <c r="L55" s="394"/>
      <c r="M55" s="312"/>
      <c r="N55" s="26"/>
      <c r="O55" s="4"/>
      <c r="Q55" s="311"/>
      <c r="R55" s="1"/>
      <c r="V55" s="1"/>
    </row>
    <row r="56" spans="1:23" x14ac:dyDescent="0.35">
      <c r="C56" s="69" t="s">
        <v>27</v>
      </c>
      <c r="D56" s="400" t="s">
        <v>78</v>
      </c>
      <c r="E56" s="401"/>
      <c r="F56" s="402"/>
      <c r="G56" s="400" t="s">
        <v>75</v>
      </c>
      <c r="H56" s="401"/>
      <c r="I56" s="401"/>
      <c r="J56" s="403" t="s">
        <v>76</v>
      </c>
      <c r="K56" s="404"/>
      <c r="L56" s="401" t="s">
        <v>149</v>
      </c>
      <c r="M56" s="405"/>
      <c r="N56" s="74" t="s">
        <v>27</v>
      </c>
      <c r="O56" s="4"/>
      <c r="Q56" s="311"/>
      <c r="R56" s="1"/>
      <c r="V56" s="1"/>
    </row>
    <row r="57" spans="1:23" x14ac:dyDescent="0.35">
      <c r="A57" s="324"/>
      <c r="B57" s="406"/>
      <c r="C57" s="407"/>
      <c r="D57" s="408"/>
      <c r="F57" s="409"/>
      <c r="G57" s="407"/>
      <c r="H57" s="406"/>
      <c r="I57" s="407"/>
      <c r="J57" s="324"/>
      <c r="K57" s="324"/>
      <c r="L57" s="324"/>
      <c r="M57" s="324"/>
      <c r="N57" s="324"/>
      <c r="O57" s="324"/>
      <c r="P57" s="324"/>
      <c r="Q57" s="311"/>
      <c r="R57" s="1"/>
      <c r="V57" s="1"/>
    </row>
    <row r="58" spans="1:23" s="410" customFormat="1" x14ac:dyDescent="0.35">
      <c r="A58" s="76" t="s">
        <v>150</v>
      </c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411"/>
      <c r="R58" s="361"/>
      <c r="S58" s="361"/>
      <c r="W58" s="412"/>
    </row>
    <row r="59" spans="1:23" s="410" customFormat="1" x14ac:dyDescent="0.35">
      <c r="A59" s="79"/>
      <c r="B59" s="80"/>
      <c r="C59" s="1557" t="s">
        <v>80</v>
      </c>
      <c r="D59" s="1559"/>
      <c r="E59" s="1558"/>
      <c r="F59" s="1560" t="s">
        <v>81</v>
      </c>
      <c r="G59" s="1561"/>
      <c r="H59" s="1561"/>
      <c r="I59" s="1561"/>
      <c r="J59" s="1562"/>
      <c r="K59" s="1560" t="s">
        <v>82</v>
      </c>
      <c r="L59" s="1561"/>
      <c r="M59" s="1562"/>
      <c r="N59" s="81"/>
      <c r="O59" s="81"/>
      <c r="P59" s="81"/>
      <c r="Q59" s="82"/>
      <c r="R59" s="413"/>
      <c r="S59" s="413"/>
      <c r="W59" s="412"/>
    </row>
    <row r="60" spans="1:23" x14ac:dyDescent="0.35">
      <c r="A60" s="83" t="s">
        <v>83</v>
      </c>
      <c r="B60" s="83" t="s">
        <v>84</v>
      </c>
      <c r="C60" s="91" t="s">
        <v>85</v>
      </c>
      <c r="D60" s="86" t="s">
        <v>86</v>
      </c>
      <c r="E60" s="87"/>
      <c r="F60" s="88" t="s">
        <v>80</v>
      </c>
      <c r="G60" s="89"/>
      <c r="H60" s="86" t="s">
        <v>82</v>
      </c>
      <c r="I60" s="85" t="s">
        <v>86</v>
      </c>
      <c r="J60" s="87"/>
      <c r="K60" s="91" t="s">
        <v>82</v>
      </c>
      <c r="L60" s="89"/>
      <c r="M60" s="414" t="s">
        <v>87</v>
      </c>
      <c r="N60" s="93" t="s">
        <v>88</v>
      </c>
      <c r="O60" s="83" t="s">
        <v>89</v>
      </c>
      <c r="P60" s="415" t="s">
        <v>90</v>
      </c>
      <c r="Q60" s="94" t="s">
        <v>91</v>
      </c>
      <c r="S60" s="4"/>
      <c r="V60" s="1"/>
      <c r="W60" s="300"/>
    </row>
    <row r="61" spans="1:23" x14ac:dyDescent="0.35">
      <c r="A61" s="416">
        <v>1</v>
      </c>
      <c r="B61" s="416">
        <v>251</v>
      </c>
      <c r="C61" s="417">
        <f t="shared" ref="C61:C66" si="0">SUM(D61-TIME( ,8, ))</f>
        <v>0.22013888888888888</v>
      </c>
      <c r="D61" s="418">
        <v>0.22569444444444445</v>
      </c>
      <c r="E61" s="419" t="s">
        <v>27</v>
      </c>
      <c r="F61" s="417">
        <v>0.42708333333333331</v>
      </c>
      <c r="G61" s="418" t="s">
        <v>93</v>
      </c>
      <c r="H61" s="418">
        <f>SUM(I61-TIME( ,0, ))</f>
        <v>0.46875</v>
      </c>
      <c r="I61" s="418">
        <v>0.46875</v>
      </c>
      <c r="J61" s="420" t="s">
        <v>93</v>
      </c>
      <c r="K61" s="417">
        <v>0.54166666666666663</v>
      </c>
      <c r="L61" s="418" t="s">
        <v>93</v>
      </c>
      <c r="M61" s="420">
        <f t="shared" ref="M61:M72" si="1">SUM(K61+TIME( ,0, ))</f>
        <v>0.54166666666666663</v>
      </c>
      <c r="N61" s="421">
        <f t="shared" ref="N61:N72" si="2">(M61-C61)</f>
        <v>0.32152777777777775</v>
      </c>
      <c r="O61" s="422">
        <f t="shared" ref="O61:O72" si="3">SUM(N61-P61)</f>
        <v>0.27986111111111106</v>
      </c>
      <c r="P61" s="423">
        <f>SUM(H61-F61)</f>
        <v>4.1666666666666685E-2</v>
      </c>
      <c r="Q61" s="424"/>
      <c r="R61" s="425"/>
      <c r="S61" s="425"/>
      <c r="V61" s="1"/>
      <c r="W61" s="300"/>
    </row>
    <row r="62" spans="1:23" x14ac:dyDescent="0.35">
      <c r="A62" s="426">
        <v>2</v>
      </c>
      <c r="B62" s="426">
        <v>252</v>
      </c>
      <c r="C62" s="427">
        <f t="shared" si="0"/>
        <v>0.2270833333333333</v>
      </c>
      <c r="D62" s="428">
        <v>0.23263888888888887</v>
      </c>
      <c r="E62" s="429" t="s">
        <v>27</v>
      </c>
      <c r="F62" s="427">
        <v>0.39583333333333331</v>
      </c>
      <c r="G62" s="428" t="s">
        <v>93</v>
      </c>
      <c r="H62" s="428">
        <f>SUM(I62-TIME( ,0, ))</f>
        <v>0.44791666666666669</v>
      </c>
      <c r="I62" s="430">
        <v>0.44791666666666669</v>
      </c>
      <c r="J62" s="431" t="s">
        <v>93</v>
      </c>
      <c r="K62" s="427">
        <v>0.52083333333333337</v>
      </c>
      <c r="L62" s="428" t="s">
        <v>93</v>
      </c>
      <c r="M62" s="431">
        <f t="shared" si="1"/>
        <v>0.52083333333333337</v>
      </c>
      <c r="N62" s="432">
        <f t="shared" si="2"/>
        <v>0.29375000000000007</v>
      </c>
      <c r="O62" s="433">
        <f t="shared" si="3"/>
        <v>0.2416666666666667</v>
      </c>
      <c r="P62" s="434">
        <f>SUM(H62-F62)</f>
        <v>5.208333333333337E-2</v>
      </c>
      <c r="Q62" s="435"/>
      <c r="R62" s="425"/>
      <c r="S62" s="425"/>
      <c r="V62" s="1"/>
      <c r="W62" s="300"/>
    </row>
    <row r="63" spans="1:23" x14ac:dyDescent="0.35">
      <c r="A63" s="426">
        <v>3</v>
      </c>
      <c r="B63" s="426">
        <v>253</v>
      </c>
      <c r="C63" s="427">
        <f t="shared" si="0"/>
        <v>0.23055555555555557</v>
      </c>
      <c r="D63" s="428">
        <v>0.23611111111111113</v>
      </c>
      <c r="E63" s="431" t="s">
        <v>27</v>
      </c>
      <c r="F63" s="427">
        <v>0.3611111111111111</v>
      </c>
      <c r="G63" s="428" t="s">
        <v>27</v>
      </c>
      <c r="H63" s="428">
        <f>I63-TIME( ,3, )</f>
        <v>0.42847222222222225</v>
      </c>
      <c r="I63" s="430">
        <v>0.43055555555555558</v>
      </c>
      <c r="J63" s="431" t="s">
        <v>27</v>
      </c>
      <c r="K63" s="427">
        <v>0.55208333333333337</v>
      </c>
      <c r="L63" s="428" t="s">
        <v>93</v>
      </c>
      <c r="M63" s="431">
        <f t="shared" si="1"/>
        <v>0.55208333333333337</v>
      </c>
      <c r="N63" s="432">
        <f t="shared" si="2"/>
        <v>0.3215277777777778</v>
      </c>
      <c r="O63" s="433">
        <f t="shared" si="3"/>
        <v>0.25416666666666665</v>
      </c>
      <c r="P63" s="434">
        <f>SUM(H63-F63)</f>
        <v>6.7361111111111149E-2</v>
      </c>
      <c r="Q63" s="436"/>
      <c r="R63" s="425"/>
      <c r="S63" s="425"/>
      <c r="V63" s="1"/>
      <c r="W63" s="300"/>
    </row>
    <row r="64" spans="1:23" x14ac:dyDescent="0.35">
      <c r="A64" s="426">
        <v>4</v>
      </c>
      <c r="B64" s="426">
        <v>254</v>
      </c>
      <c r="C64" s="427">
        <f t="shared" si="0"/>
        <v>0.24444444444444444</v>
      </c>
      <c r="D64" s="428">
        <v>0.25</v>
      </c>
      <c r="E64" s="431" t="s">
        <v>27</v>
      </c>
      <c r="F64" s="1571" t="s">
        <v>92</v>
      </c>
      <c r="G64" s="1572"/>
      <c r="H64" s="1572"/>
      <c r="I64" s="1572"/>
      <c r="J64" s="1573"/>
      <c r="K64" s="427">
        <v>0.46875</v>
      </c>
      <c r="L64" s="430" t="s">
        <v>93</v>
      </c>
      <c r="M64" s="431">
        <f t="shared" si="1"/>
        <v>0.46875</v>
      </c>
      <c r="N64" s="432">
        <f t="shared" si="2"/>
        <v>0.22430555555555556</v>
      </c>
      <c r="O64" s="433">
        <f t="shared" si="3"/>
        <v>0.22430555555555556</v>
      </c>
      <c r="P64" s="434">
        <v>0</v>
      </c>
      <c r="Q64" s="435"/>
      <c r="R64" s="425"/>
      <c r="S64" s="425"/>
      <c r="V64" s="1"/>
      <c r="W64" s="300"/>
    </row>
    <row r="65" spans="1:23" x14ac:dyDescent="0.35">
      <c r="A65" s="437">
        <v>5</v>
      </c>
      <c r="B65" s="437">
        <v>255</v>
      </c>
      <c r="C65" s="438">
        <f t="shared" si="0"/>
        <v>0.32430555555555557</v>
      </c>
      <c r="D65" s="439">
        <v>0.3298611111111111</v>
      </c>
      <c r="E65" s="440" t="s">
        <v>27</v>
      </c>
      <c r="F65" s="438">
        <v>0.5</v>
      </c>
      <c r="G65" s="441" t="s">
        <v>93</v>
      </c>
      <c r="H65" s="441">
        <f t="shared" ref="H65:H72" si="4">SUM(I65-TIME( ,0, ))</f>
        <v>0.54166666666666663</v>
      </c>
      <c r="I65" s="439">
        <v>0.54166666666666663</v>
      </c>
      <c r="J65" s="440" t="s">
        <v>93</v>
      </c>
      <c r="K65" s="438">
        <v>0.69791666666666663</v>
      </c>
      <c r="L65" s="439" t="s">
        <v>93</v>
      </c>
      <c r="M65" s="442">
        <f t="shared" si="1"/>
        <v>0.69791666666666663</v>
      </c>
      <c r="N65" s="443">
        <f t="shared" si="2"/>
        <v>0.37361111111111106</v>
      </c>
      <c r="O65" s="444">
        <f t="shared" si="3"/>
        <v>0.33194444444444443</v>
      </c>
      <c r="P65" s="445">
        <f t="shared" ref="P65:P72" si="5">SUM(H65-F65)</f>
        <v>4.166666666666663E-2</v>
      </c>
      <c r="Q65" s="446"/>
      <c r="R65" s="425"/>
      <c r="S65" s="425"/>
      <c r="V65" s="1"/>
      <c r="W65" s="300"/>
    </row>
    <row r="66" spans="1:23" x14ac:dyDescent="0.35">
      <c r="A66" s="447">
        <v>6</v>
      </c>
      <c r="B66" s="447">
        <v>256</v>
      </c>
      <c r="C66" s="135">
        <f t="shared" si="0"/>
        <v>0.48055555555555557</v>
      </c>
      <c r="D66" s="139">
        <v>0.4861111111111111</v>
      </c>
      <c r="E66" s="137" t="s">
        <v>27</v>
      </c>
      <c r="F66" s="135">
        <v>0.66666666666666663</v>
      </c>
      <c r="G66" s="136" t="s">
        <v>93</v>
      </c>
      <c r="H66" s="136">
        <f t="shared" si="4"/>
        <v>0.73958333333333337</v>
      </c>
      <c r="I66" s="139">
        <v>0.73958333333333337</v>
      </c>
      <c r="J66" s="137" t="s">
        <v>93</v>
      </c>
      <c r="K66" s="135">
        <v>0.83680555555555547</v>
      </c>
      <c r="L66" s="139" t="s">
        <v>27</v>
      </c>
      <c r="M66" s="448">
        <f t="shared" si="1"/>
        <v>0.83680555555555547</v>
      </c>
      <c r="N66" s="144">
        <f t="shared" si="2"/>
        <v>0.3562499999999999</v>
      </c>
      <c r="O66" s="145">
        <f t="shared" si="3"/>
        <v>0.28333333333333316</v>
      </c>
      <c r="P66" s="138">
        <f t="shared" si="5"/>
        <v>7.2916666666666741E-2</v>
      </c>
      <c r="Q66" s="449"/>
      <c r="R66" s="425"/>
      <c r="S66" s="425"/>
      <c r="V66" s="1"/>
      <c r="W66" s="300"/>
    </row>
    <row r="67" spans="1:23" x14ac:dyDescent="0.35">
      <c r="A67" s="450">
        <v>7</v>
      </c>
      <c r="B67" s="450">
        <v>257</v>
      </c>
      <c r="C67" s="148">
        <f t="shared" ref="C67:C72" si="6">SUM(D67-TIME( ,3, ))</f>
        <v>0.49791666666666667</v>
      </c>
      <c r="D67" s="153">
        <v>0.5</v>
      </c>
      <c r="E67" s="451" t="s">
        <v>93</v>
      </c>
      <c r="F67" s="148">
        <v>0.65625</v>
      </c>
      <c r="G67" s="149" t="s">
        <v>93</v>
      </c>
      <c r="H67" s="149">
        <f t="shared" si="4"/>
        <v>0.69791666666666663</v>
      </c>
      <c r="I67" s="153">
        <v>0.69791666666666663</v>
      </c>
      <c r="J67" s="451" t="s">
        <v>93</v>
      </c>
      <c r="K67" s="148">
        <v>0.88888888888888884</v>
      </c>
      <c r="L67" s="153" t="s">
        <v>93</v>
      </c>
      <c r="M67" s="452">
        <f t="shared" si="1"/>
        <v>0.88888888888888884</v>
      </c>
      <c r="N67" s="157">
        <f t="shared" si="2"/>
        <v>0.39097222222222217</v>
      </c>
      <c r="O67" s="158">
        <f t="shared" si="3"/>
        <v>0.34930555555555554</v>
      </c>
      <c r="P67" s="151">
        <f t="shared" si="5"/>
        <v>4.166666666666663E-2</v>
      </c>
      <c r="Q67" s="453"/>
      <c r="R67" s="425"/>
      <c r="S67" s="425"/>
      <c r="V67" s="1"/>
      <c r="W67" s="300"/>
    </row>
    <row r="68" spans="1:23" x14ac:dyDescent="0.35">
      <c r="A68" s="454">
        <v>8</v>
      </c>
      <c r="B68" s="454">
        <v>258</v>
      </c>
      <c r="C68" s="455">
        <f t="shared" si="6"/>
        <v>0.55000000000000004</v>
      </c>
      <c r="D68" s="164">
        <v>0.55208333333333337</v>
      </c>
      <c r="E68" s="456" t="s">
        <v>93</v>
      </c>
      <c r="F68" s="455">
        <v>0.65625</v>
      </c>
      <c r="G68" s="161" t="s">
        <v>27</v>
      </c>
      <c r="H68" s="161">
        <f>SUM(I68-TIME( ,3, ))</f>
        <v>0.70277777777777783</v>
      </c>
      <c r="I68" s="164">
        <v>0.70486111111111116</v>
      </c>
      <c r="J68" s="456" t="s">
        <v>27</v>
      </c>
      <c r="K68" s="455">
        <v>0.91666666666666663</v>
      </c>
      <c r="L68" s="164" t="s">
        <v>27</v>
      </c>
      <c r="M68" s="457">
        <f t="shared" si="1"/>
        <v>0.91666666666666663</v>
      </c>
      <c r="N68" s="458">
        <f t="shared" si="2"/>
        <v>0.36666666666666659</v>
      </c>
      <c r="O68" s="459">
        <f t="shared" si="3"/>
        <v>0.32013888888888875</v>
      </c>
      <c r="P68" s="460">
        <f t="shared" si="5"/>
        <v>4.6527777777777835E-2</v>
      </c>
      <c r="Q68" s="461"/>
      <c r="R68" s="425"/>
      <c r="S68" s="425"/>
      <c r="V68" s="1"/>
      <c r="W68" s="300"/>
    </row>
    <row r="69" spans="1:23" x14ac:dyDescent="0.35">
      <c r="A69" s="173">
        <v>9</v>
      </c>
      <c r="B69" s="173">
        <v>259</v>
      </c>
      <c r="C69" s="182">
        <f t="shared" si="6"/>
        <v>0.61250000000000004</v>
      </c>
      <c r="D69" s="180">
        <v>0.61458333333333337</v>
      </c>
      <c r="E69" s="462" t="s">
        <v>93</v>
      </c>
      <c r="F69" s="182">
        <v>0.6875</v>
      </c>
      <c r="G69" s="179" t="s">
        <v>93</v>
      </c>
      <c r="H69" s="179">
        <f t="shared" si="4"/>
        <v>0.78125</v>
      </c>
      <c r="I69" s="180">
        <v>0.78125</v>
      </c>
      <c r="J69" s="462" t="s">
        <v>93</v>
      </c>
      <c r="K69" s="182">
        <v>0.99652777777777779</v>
      </c>
      <c r="L69" s="180" t="s">
        <v>27</v>
      </c>
      <c r="M69" s="463">
        <f t="shared" si="1"/>
        <v>0.99652777777777779</v>
      </c>
      <c r="N69" s="184">
        <f t="shared" si="2"/>
        <v>0.38402777777777775</v>
      </c>
      <c r="O69" s="185">
        <f t="shared" si="3"/>
        <v>0.29027777777777775</v>
      </c>
      <c r="P69" s="464">
        <f t="shared" si="5"/>
        <v>9.375E-2</v>
      </c>
      <c r="Q69" s="465"/>
      <c r="R69" s="425"/>
      <c r="S69" s="425"/>
      <c r="V69" s="1"/>
      <c r="W69" s="300"/>
    </row>
    <row r="70" spans="1:23" x14ac:dyDescent="0.35">
      <c r="A70" s="187">
        <v>10</v>
      </c>
      <c r="B70" s="187">
        <v>260</v>
      </c>
      <c r="C70" s="189">
        <f t="shared" si="6"/>
        <v>0.64375000000000004</v>
      </c>
      <c r="D70" s="190">
        <v>0.64583333333333337</v>
      </c>
      <c r="E70" s="191" t="s">
        <v>93</v>
      </c>
      <c r="F70" s="189">
        <v>0.83680555555555547</v>
      </c>
      <c r="G70" s="192" t="s">
        <v>27</v>
      </c>
      <c r="H70" s="192">
        <f>SUM(I70-TIME( ,3, ))</f>
        <v>0.88680555555555551</v>
      </c>
      <c r="I70" s="190">
        <v>0.88888888888888884</v>
      </c>
      <c r="J70" s="191" t="s">
        <v>27</v>
      </c>
      <c r="K70" s="189">
        <v>1.0034722222222221</v>
      </c>
      <c r="L70" s="190" t="s">
        <v>27</v>
      </c>
      <c r="M70" s="466">
        <f t="shared" si="1"/>
        <v>1.0034722222222221</v>
      </c>
      <c r="N70" s="196">
        <f t="shared" si="2"/>
        <v>0.35972222222222205</v>
      </c>
      <c r="O70" s="197">
        <f t="shared" si="3"/>
        <v>0.30972222222222201</v>
      </c>
      <c r="P70" s="467">
        <f t="shared" si="5"/>
        <v>5.0000000000000044E-2</v>
      </c>
      <c r="Q70" s="468"/>
      <c r="R70" s="425"/>
      <c r="S70" s="425"/>
      <c r="V70" s="1"/>
      <c r="W70" s="300"/>
    </row>
    <row r="71" spans="1:23" x14ac:dyDescent="0.35">
      <c r="A71" s="187">
        <v>11</v>
      </c>
      <c r="B71" s="187">
        <v>261</v>
      </c>
      <c r="C71" s="189">
        <f t="shared" si="6"/>
        <v>0.65416666666666667</v>
      </c>
      <c r="D71" s="190">
        <v>0.65625</v>
      </c>
      <c r="E71" s="191" t="s">
        <v>93</v>
      </c>
      <c r="F71" s="189">
        <v>0.80555555555555547</v>
      </c>
      <c r="G71" s="192" t="s">
        <v>93</v>
      </c>
      <c r="H71" s="192">
        <f t="shared" si="4"/>
        <v>0.88888888888888884</v>
      </c>
      <c r="I71" s="190">
        <v>0.88888888888888884</v>
      </c>
      <c r="J71" s="191" t="s">
        <v>93</v>
      </c>
      <c r="K71" s="189">
        <v>1.0243055555555556</v>
      </c>
      <c r="L71" s="190" t="s">
        <v>27</v>
      </c>
      <c r="M71" s="466">
        <f t="shared" si="1"/>
        <v>1.0243055555555556</v>
      </c>
      <c r="N71" s="196">
        <f t="shared" si="2"/>
        <v>0.37013888888888891</v>
      </c>
      <c r="O71" s="197">
        <f t="shared" si="3"/>
        <v>0.28680555555555554</v>
      </c>
      <c r="P71" s="467">
        <f t="shared" si="5"/>
        <v>8.333333333333337E-2</v>
      </c>
      <c r="Q71" s="469"/>
      <c r="R71" s="425"/>
      <c r="S71" s="425"/>
      <c r="V71" s="1"/>
      <c r="W71" s="300"/>
    </row>
    <row r="72" spans="1:23" x14ac:dyDescent="0.35">
      <c r="A72" s="200">
        <v>12</v>
      </c>
      <c r="B72" s="200">
        <v>262</v>
      </c>
      <c r="C72" s="189">
        <f t="shared" si="6"/>
        <v>0.6645833333333333</v>
      </c>
      <c r="D72" s="202">
        <v>0.66666666666666663</v>
      </c>
      <c r="E72" s="203" t="s">
        <v>93</v>
      </c>
      <c r="F72" s="189">
        <v>0.73958333333333337</v>
      </c>
      <c r="G72" s="192" t="s">
        <v>93</v>
      </c>
      <c r="H72" s="192">
        <f t="shared" si="4"/>
        <v>0.80555555555555547</v>
      </c>
      <c r="I72" s="190">
        <v>0.80555555555555547</v>
      </c>
      <c r="J72" s="191" t="s">
        <v>93</v>
      </c>
      <c r="K72" s="219">
        <v>1.0173611111111112</v>
      </c>
      <c r="L72" s="220" t="s">
        <v>27</v>
      </c>
      <c r="M72" s="470">
        <f t="shared" si="1"/>
        <v>1.0173611111111112</v>
      </c>
      <c r="N72" s="207">
        <f t="shared" si="2"/>
        <v>0.35277777777777786</v>
      </c>
      <c r="O72" s="227">
        <f t="shared" si="3"/>
        <v>0.28680555555555576</v>
      </c>
      <c r="P72" s="467">
        <f t="shared" si="5"/>
        <v>6.5972222222222099E-2</v>
      </c>
      <c r="Q72" s="469"/>
      <c r="R72" s="425"/>
      <c r="S72" s="425"/>
      <c r="V72" s="1"/>
      <c r="W72" s="300"/>
    </row>
    <row r="73" spans="1:23" x14ac:dyDescent="0.35">
      <c r="A73" s="471"/>
      <c r="B73" s="293"/>
      <c r="C73" s="234"/>
      <c r="D73" s="234"/>
      <c r="E73" s="235"/>
      <c r="F73" s="234"/>
      <c r="G73" s="235"/>
      <c r="H73" s="235"/>
      <c r="I73" s="235"/>
      <c r="J73" s="236"/>
      <c r="K73" s="472"/>
      <c r="L73" s="236"/>
      <c r="M73" s="473"/>
      <c r="N73" s="474" t="s">
        <v>94</v>
      </c>
      <c r="O73" s="475">
        <f>AVERAGE(O61:O72)</f>
        <v>0.28819444444444442</v>
      </c>
      <c r="P73" s="1555"/>
      <c r="Q73" s="1556"/>
      <c r="R73" s="425"/>
      <c r="S73" s="425"/>
      <c r="V73" s="1"/>
      <c r="W73" s="300"/>
    </row>
    <row r="74" spans="1:23" x14ac:dyDescent="0.35">
      <c r="A74" s="476" t="s">
        <v>95</v>
      </c>
      <c r="B74" s="477">
        <v>281</v>
      </c>
      <c r="C74" s="478">
        <f>SUM(D74-TIME( ,8, ))</f>
        <v>0.35208333333333336</v>
      </c>
      <c r="D74" s="479">
        <v>0.3576388888888889</v>
      </c>
      <c r="E74" s="480" t="s">
        <v>27</v>
      </c>
      <c r="F74" s="481">
        <v>0.44791666666666669</v>
      </c>
      <c r="G74" s="482" t="s">
        <v>93</v>
      </c>
      <c r="H74" s="479">
        <f>I74-TIME( ,0, )</f>
        <v>0.52083333333333337</v>
      </c>
      <c r="I74" s="479">
        <v>0.52083333333333337</v>
      </c>
      <c r="J74" s="483" t="s">
        <v>93</v>
      </c>
      <c r="K74" s="481">
        <v>0.73263888888888884</v>
      </c>
      <c r="L74" s="484" t="s">
        <v>27</v>
      </c>
      <c r="M74" s="485">
        <f>SUM(K74+TIME( ,0, ))</f>
        <v>0.73263888888888884</v>
      </c>
      <c r="N74" s="486">
        <f>(M74-C74)</f>
        <v>0.38055555555555548</v>
      </c>
      <c r="O74" s="487">
        <f>SUM(N74-P74)</f>
        <v>0.3076388888888888</v>
      </c>
      <c r="P74" s="488">
        <f>SUM(H74-F74)</f>
        <v>7.2916666666666685E-2</v>
      </c>
      <c r="Q74" s="489"/>
      <c r="R74" s="425"/>
      <c r="S74" s="425"/>
      <c r="V74" s="1"/>
      <c r="W74" s="300"/>
    </row>
    <row r="75" spans="1:23" x14ac:dyDescent="0.35">
      <c r="A75" s="490" t="s">
        <v>96</v>
      </c>
      <c r="B75" s="491">
        <v>282</v>
      </c>
      <c r="C75" s="492">
        <f>SUM(D75-TIME( ,8, ))</f>
        <v>0.36250000000000004</v>
      </c>
      <c r="D75" s="493">
        <v>0.36805555555555558</v>
      </c>
      <c r="E75" s="494" t="s">
        <v>27</v>
      </c>
      <c r="F75" s="495">
        <v>0.45833333333333331</v>
      </c>
      <c r="G75" s="496" t="s">
        <v>27</v>
      </c>
      <c r="H75" s="493">
        <f>I75-TIME( ,3, )</f>
        <v>0.50138888888888888</v>
      </c>
      <c r="I75" s="493">
        <v>0.50347222222222221</v>
      </c>
      <c r="J75" s="497" t="s">
        <v>27</v>
      </c>
      <c r="K75" s="495">
        <v>0.70833333333333337</v>
      </c>
      <c r="L75" s="498" t="s">
        <v>93</v>
      </c>
      <c r="M75" s="499">
        <f>SUM(K75+TIME( ,0, ))</f>
        <v>0.70833333333333337</v>
      </c>
      <c r="N75" s="500">
        <f>(M75-C75)</f>
        <v>0.34583333333333333</v>
      </c>
      <c r="O75" s="501">
        <f>SUM(N75-P75)</f>
        <v>0.30277777777777776</v>
      </c>
      <c r="P75" s="502">
        <f>SUM(H75-F75)</f>
        <v>4.3055555555555569E-2</v>
      </c>
      <c r="Q75" s="503"/>
      <c r="R75" s="425"/>
      <c r="S75" s="425"/>
      <c r="V75" s="1"/>
      <c r="W75" s="300"/>
    </row>
    <row r="76" spans="1:23" x14ac:dyDescent="0.35">
      <c r="A76" s="490" t="s">
        <v>97</v>
      </c>
      <c r="B76" s="491">
        <v>283</v>
      </c>
      <c r="C76" s="492">
        <f>SUM(D76-TIME( ,3, ))</f>
        <v>0.39374999999999999</v>
      </c>
      <c r="D76" s="493">
        <v>0.39583333333333331</v>
      </c>
      <c r="E76" s="494" t="s">
        <v>93</v>
      </c>
      <c r="F76" s="495">
        <v>0.61458333333333337</v>
      </c>
      <c r="G76" s="496" t="s">
        <v>93</v>
      </c>
      <c r="H76" s="493">
        <f>I76-TIME( ,0, )</f>
        <v>0.70833333333333337</v>
      </c>
      <c r="I76" s="493">
        <v>0.70833333333333337</v>
      </c>
      <c r="J76" s="497" t="s">
        <v>93</v>
      </c>
      <c r="K76" s="495">
        <v>0.78125</v>
      </c>
      <c r="L76" s="498" t="s">
        <v>93</v>
      </c>
      <c r="M76" s="499">
        <f>SUM(K76+TIME( ,0, ))</f>
        <v>0.78125</v>
      </c>
      <c r="N76" s="500">
        <f>(M76-C76)</f>
        <v>0.38750000000000001</v>
      </c>
      <c r="O76" s="501">
        <f>SUM(N76-P76)</f>
        <v>0.29375000000000001</v>
      </c>
      <c r="P76" s="502">
        <f>SUM(H76-F76)</f>
        <v>9.375E-2</v>
      </c>
      <c r="Q76" s="504"/>
      <c r="R76" s="425"/>
      <c r="S76" s="425"/>
      <c r="V76" s="1"/>
      <c r="W76" s="300"/>
    </row>
    <row r="77" spans="1:23" x14ac:dyDescent="0.35">
      <c r="A77" s="505" t="s">
        <v>98</v>
      </c>
      <c r="B77" s="506">
        <v>284</v>
      </c>
      <c r="C77" s="492">
        <f>SUM(D77-TIME( ,3, ))</f>
        <v>0.42499999999999999</v>
      </c>
      <c r="D77" s="507">
        <v>0.42708333333333331</v>
      </c>
      <c r="E77" s="508" t="s">
        <v>93</v>
      </c>
      <c r="F77" s="509">
        <v>0.64583333333333337</v>
      </c>
      <c r="G77" s="510" t="s">
        <v>93</v>
      </c>
      <c r="H77" s="507">
        <f>I77-TIME( ,0, )</f>
        <v>0.6875</v>
      </c>
      <c r="I77" s="507">
        <v>0.6875</v>
      </c>
      <c r="J77" s="511" t="s">
        <v>93</v>
      </c>
      <c r="K77" s="509">
        <v>0.8125</v>
      </c>
      <c r="L77" s="512" t="s">
        <v>27</v>
      </c>
      <c r="M77" s="513">
        <f>SUM(K77+TIME( ,0, ))</f>
        <v>0.8125</v>
      </c>
      <c r="N77" s="514">
        <f>(M77-C77)</f>
        <v>0.38750000000000001</v>
      </c>
      <c r="O77" s="515">
        <f>SUM(N77-P77)</f>
        <v>0.34583333333333338</v>
      </c>
      <c r="P77" s="516">
        <f>SUM(H77-F77)</f>
        <v>4.166666666666663E-2</v>
      </c>
      <c r="Q77" s="517"/>
      <c r="R77" s="425"/>
      <c r="S77" s="425"/>
      <c r="V77" s="1"/>
      <c r="W77" s="300"/>
    </row>
    <row r="78" spans="1:23" x14ac:dyDescent="0.35">
      <c r="A78" s="290"/>
      <c r="B78" s="291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518"/>
      <c r="N78" s="295" t="s">
        <v>94</v>
      </c>
      <c r="O78" s="296">
        <f>AVERAGE(O74:O77)</f>
        <v>0.3125</v>
      </c>
      <c r="P78" s="1569"/>
      <c r="Q78" s="1570"/>
      <c r="S78" s="4"/>
      <c r="V78" s="1"/>
      <c r="W78" s="300"/>
    </row>
    <row r="85" spans="9:9" x14ac:dyDescent="0.35">
      <c r="I85" s="299">
        <f>13*45</f>
        <v>585</v>
      </c>
    </row>
    <row r="86" spans="9:9" x14ac:dyDescent="0.35">
      <c r="I86" s="299">
        <f>I85/60</f>
        <v>9.75</v>
      </c>
    </row>
  </sheetData>
  <mergeCells count="6">
    <mergeCell ref="P78:Q78"/>
    <mergeCell ref="P73:Q73"/>
    <mergeCell ref="C59:E59"/>
    <mergeCell ref="F59:J59"/>
    <mergeCell ref="K59:M59"/>
    <mergeCell ref="F64:J64"/>
  </mergeCells>
  <conditionalFormatting sqref="N61:N72">
    <cfRule type="cellIs" dxfId="12" priority="1" operator="greaterThan">
      <formula>0.375347222222222</formula>
    </cfRule>
  </conditionalFormatting>
  <conditionalFormatting sqref="O78">
    <cfRule type="cellIs" dxfId="11" priority="3" operator="greaterThan">
      <formula>0.368055555555556</formula>
    </cfRule>
  </conditionalFormatting>
  <conditionalFormatting sqref="R61:S77">
    <cfRule type="cellIs" dxfId="10" priority="2" operator="greaterThan">
      <formula>0.21875</formula>
    </cfRule>
  </conditionalFormatting>
  <dataValidations count="1">
    <dataValidation allowBlank="1" showErrorMessage="1" errorTitle="Incorrect Value" error="Please enter a time of the form HH:MM" sqref="M36:M39 K20:L31 L10:L19 K16:K19 L6:L8 L32:M35 M6:M18 I18:I31 J2 K32:K41 N2 J24:J52 M21:M31 I2:I16 D46 E34:E52 D16:D35 H33:I52 G36:G52 D48:D52 L36:L52 F36:F41 C2:E2 H2 H15:H19 F6:G35 H22:H31 K6:K14" xr:uid="{00000000-0002-0000-0100-000000000000}"/>
  </dataValidations>
  <pageMargins left="0.7" right="0.7" top="0.75" bottom="0.75" header="0.3" footer="0.3"/>
  <pageSetup paperSize="8" scale="56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pageSetUpPr fitToPage="1"/>
  </sheetPr>
  <dimension ref="A1:AV77"/>
  <sheetViews>
    <sheetView topLeftCell="D48" zoomScale="80" workbookViewId="0">
      <selection activeCell="A62" sqref="A62"/>
    </sheetView>
  </sheetViews>
  <sheetFormatPr defaultColWidth="9.1796875" defaultRowHeight="15.5" x14ac:dyDescent="0.35"/>
  <cols>
    <col min="1" max="1" width="20.7265625" style="1" customWidth="1"/>
    <col min="2" max="4" width="14.81640625" style="299" bestFit="1" customWidth="1"/>
    <col min="5" max="5" width="13.1796875" style="299" customWidth="1"/>
    <col min="6" max="6" width="14.81640625" style="299" bestFit="1" customWidth="1"/>
    <col min="7" max="7" width="14.6328125" style="299" customWidth="1"/>
    <col min="8" max="8" width="21.81640625" style="1" bestFit="1" customWidth="1"/>
    <col min="9" max="9" width="9.1796875" style="1" bestFit="1" customWidth="1"/>
    <col min="10" max="10" width="16.1796875" style="1" bestFit="1" customWidth="1"/>
    <col min="11" max="11" width="8.08984375" style="1" bestFit="1" customWidth="1"/>
    <col min="12" max="12" width="15.90625" style="1" customWidth="1"/>
    <col min="13" max="13" width="11.26953125" style="1" bestFit="1" customWidth="1"/>
    <col min="14" max="14" width="15.90625" style="1" customWidth="1"/>
    <col min="15" max="16" width="10.90625" style="1" bestFit="1" customWidth="1"/>
    <col min="17" max="17" width="11.7265625" style="1" customWidth="1"/>
    <col min="18" max="18" width="9.81640625" style="1" customWidth="1"/>
    <col min="19" max="20" width="15.90625" style="1" customWidth="1"/>
    <col min="21" max="21" width="7.90625" style="1" customWidth="1"/>
    <col min="22" max="24" width="15.90625" style="1" customWidth="1"/>
    <col min="25" max="25" width="15.1796875" style="1" bestFit="1" customWidth="1"/>
    <col min="26" max="26" width="15.08984375" style="1" customWidth="1"/>
    <col min="27" max="27" width="12.26953125" style="1" customWidth="1"/>
    <col min="28" max="29" width="7.08984375" style="1" customWidth="1"/>
    <col min="30" max="30" width="14" style="330" hidden="1" customWidth="1"/>
    <col min="31" max="31" width="8.7265625" style="1" hidden="1" customWidth="1"/>
    <col min="32" max="33" width="10.6328125" style="1" hidden="1" customWidth="1"/>
    <col min="34" max="34" width="9.1796875" style="1" hidden="1" customWidth="1"/>
    <col min="35" max="35" width="13.7265625" style="519" hidden="1" customWidth="1"/>
    <col min="36" max="36" width="12.90625" style="1" hidden="1" customWidth="1"/>
    <col min="37" max="37" width="11.26953125" style="1" hidden="1" customWidth="1"/>
    <col min="38" max="38" width="11.54296875" style="1" hidden="1" customWidth="1"/>
    <col min="39" max="39" width="9.1796875" style="1" customWidth="1"/>
    <col min="40" max="40" width="15.90625" style="1" customWidth="1"/>
    <col min="41" max="41" width="14" style="330" customWidth="1"/>
    <col min="42" max="42" width="8.90625" style="1" customWidth="1"/>
    <col min="43" max="45" width="10.6328125" style="1" customWidth="1"/>
    <col min="46" max="46" width="9.1796875" style="1" customWidth="1"/>
    <col min="47" max="47" width="13.7265625" style="519" bestFit="1" customWidth="1"/>
    <col min="48" max="48" width="12.90625" style="1" bestFit="1" customWidth="1"/>
    <col min="49" max="49" width="11.26953125" style="1" customWidth="1"/>
    <col min="50" max="50" width="11.54296875" style="1" customWidth="1"/>
    <col min="51" max="16384" width="9.1796875" style="1"/>
  </cols>
  <sheetData>
    <row r="1" spans="1:47" x14ac:dyDescent="0.35">
      <c r="A1" s="1574" t="s">
        <v>151</v>
      </c>
      <c r="B1" s="1575"/>
      <c r="C1" s="1575"/>
      <c r="D1" s="1575"/>
      <c r="E1" s="1575"/>
      <c r="F1" s="1575"/>
      <c r="G1" s="1575"/>
      <c r="H1" s="1576"/>
      <c r="I1" s="4"/>
      <c r="AD1" s="1"/>
      <c r="AI1" s="1"/>
      <c r="AO1" s="1"/>
      <c r="AU1" s="1"/>
    </row>
    <row r="2" spans="1:47" ht="18" customHeight="1" x14ac:dyDescent="0.35">
      <c r="A2" s="6"/>
      <c r="B2" s="7" t="s">
        <v>8</v>
      </c>
      <c r="C2" s="520"/>
      <c r="D2" s="520"/>
      <c r="E2" s="7" t="s">
        <v>7</v>
      </c>
      <c r="F2" s="520"/>
      <c r="G2" s="7" t="s">
        <v>100</v>
      </c>
      <c r="H2" s="521"/>
      <c r="I2" s="4"/>
      <c r="AD2" s="1"/>
      <c r="AI2" s="1"/>
      <c r="AO2" s="1"/>
      <c r="AU2" s="1"/>
    </row>
    <row r="3" spans="1:47" x14ac:dyDescent="0.35">
      <c r="A3" s="11" t="s">
        <v>10</v>
      </c>
      <c r="B3" s="12" t="s">
        <v>17</v>
      </c>
      <c r="C3" s="312"/>
      <c r="D3" s="312"/>
      <c r="E3" s="12" t="s">
        <v>16</v>
      </c>
      <c r="F3" s="312"/>
      <c r="G3" s="12" t="s">
        <v>12</v>
      </c>
      <c r="H3" s="26" t="s">
        <v>10</v>
      </c>
      <c r="I3" s="361"/>
      <c r="AD3" s="1"/>
      <c r="AI3" s="1"/>
      <c r="AO3" s="1"/>
      <c r="AU3" s="1"/>
    </row>
    <row r="4" spans="1:47" x14ac:dyDescent="0.35">
      <c r="A4" s="17" t="s">
        <v>27</v>
      </c>
      <c r="B4" s="317" t="s">
        <v>152</v>
      </c>
      <c r="C4" s="312"/>
      <c r="D4" s="312"/>
      <c r="E4" s="522" t="s">
        <v>153</v>
      </c>
      <c r="F4" s="312"/>
      <c r="G4" s="523" t="s">
        <v>154</v>
      </c>
      <c r="H4" s="26" t="s">
        <v>27</v>
      </c>
      <c r="I4" s="361"/>
      <c r="L4" s="22"/>
      <c r="M4" s="22"/>
      <c r="N4" s="22"/>
      <c r="O4" s="22"/>
      <c r="P4" s="22"/>
      <c r="AD4" s="1"/>
      <c r="AI4" s="1"/>
      <c r="AO4" s="1"/>
      <c r="AU4" s="1"/>
    </row>
    <row r="5" spans="1:47" x14ac:dyDescent="0.35">
      <c r="A5" s="35"/>
      <c r="B5" s="524"/>
      <c r="C5" s="319"/>
      <c r="D5" s="312"/>
      <c r="E5" s="525"/>
      <c r="F5" s="319"/>
      <c r="G5" s="524"/>
      <c r="H5" s="38"/>
      <c r="I5" s="361"/>
      <c r="L5" s="22"/>
      <c r="M5" s="22"/>
      <c r="N5" s="22"/>
      <c r="O5" s="22"/>
      <c r="P5" s="22"/>
      <c r="AD5" s="1"/>
      <c r="AI5" s="1"/>
      <c r="AO5" s="1"/>
      <c r="AU5" s="1"/>
    </row>
    <row r="6" spans="1:47" x14ac:dyDescent="0.35">
      <c r="A6" s="35" t="s">
        <v>29</v>
      </c>
      <c r="B6" s="524"/>
      <c r="C6" s="526"/>
      <c r="D6" s="527"/>
      <c r="E6" s="525"/>
      <c r="F6" s="344"/>
      <c r="G6" s="528">
        <v>0.31944444444444448</v>
      </c>
      <c r="H6" s="38" t="s">
        <v>29</v>
      </c>
      <c r="I6" s="361"/>
      <c r="AD6" s="1"/>
      <c r="AI6" s="1"/>
      <c r="AO6" s="1"/>
      <c r="AU6" s="1"/>
    </row>
    <row r="7" spans="1:47" x14ac:dyDescent="0.35">
      <c r="A7" s="17"/>
      <c r="B7" s="529"/>
      <c r="C7" s="527"/>
      <c r="D7" s="526"/>
      <c r="E7" s="530"/>
      <c r="F7" s="344"/>
      <c r="G7" s="530"/>
      <c r="H7" s="26"/>
      <c r="I7" s="361"/>
      <c r="AD7" s="1"/>
      <c r="AI7" s="1"/>
      <c r="AO7" s="1"/>
      <c r="AU7" s="1"/>
    </row>
    <row r="8" spans="1:47" x14ac:dyDescent="0.35">
      <c r="A8" s="31" t="s">
        <v>28</v>
      </c>
      <c r="B8" s="531">
        <v>0.3125</v>
      </c>
      <c r="C8" s="344"/>
      <c r="D8" s="526"/>
      <c r="E8" s="531">
        <v>0.33333333333333331</v>
      </c>
      <c r="F8" s="344"/>
      <c r="G8" s="531">
        <v>0.35416666666666669</v>
      </c>
      <c r="H8" s="34" t="s">
        <v>28</v>
      </c>
      <c r="I8" s="361"/>
      <c r="AD8" s="1"/>
      <c r="AI8" s="1"/>
      <c r="AO8" s="1"/>
      <c r="AU8" s="1"/>
    </row>
    <row r="9" spans="1:47" x14ac:dyDescent="0.35">
      <c r="A9" s="17"/>
      <c r="B9" s="529"/>
      <c r="C9" s="532"/>
      <c r="D9" s="526"/>
      <c r="E9" s="533"/>
      <c r="F9" s="344"/>
      <c r="G9" s="533"/>
      <c r="H9" s="26"/>
      <c r="I9" s="361"/>
      <c r="AD9" s="1"/>
      <c r="AI9" s="1"/>
      <c r="AO9" s="1"/>
      <c r="AU9" s="1"/>
    </row>
    <row r="10" spans="1:47" x14ac:dyDescent="0.35">
      <c r="A10" s="35" t="s">
        <v>29</v>
      </c>
      <c r="B10" s="528">
        <v>0.34027777777777773</v>
      </c>
      <c r="C10" s="312"/>
      <c r="D10" s="312"/>
      <c r="E10" s="528">
        <v>0.3611111111111111</v>
      </c>
      <c r="F10" s="344"/>
      <c r="G10" s="528">
        <v>0.38194444444444442</v>
      </c>
      <c r="H10" s="38" t="s">
        <v>29</v>
      </c>
      <c r="I10" s="361"/>
      <c r="AD10" s="1"/>
      <c r="AI10" s="1"/>
      <c r="AO10" s="1"/>
      <c r="AU10" s="1"/>
    </row>
    <row r="11" spans="1:47" x14ac:dyDescent="0.35">
      <c r="A11" s="17"/>
      <c r="B11" s="533"/>
      <c r="C11" s="312"/>
      <c r="D11" s="534" t="s">
        <v>9</v>
      </c>
      <c r="E11" s="531"/>
      <c r="F11" s="344"/>
      <c r="G11" s="535"/>
      <c r="H11" s="26"/>
      <c r="I11" s="361"/>
      <c r="AD11" s="1"/>
      <c r="AI11" s="1"/>
      <c r="AO11" s="1"/>
      <c r="AU11" s="1"/>
    </row>
    <row r="12" spans="1:47" x14ac:dyDescent="0.35">
      <c r="A12" s="31" t="s">
        <v>28</v>
      </c>
      <c r="B12" s="531">
        <v>0.375</v>
      </c>
      <c r="C12" s="312"/>
      <c r="D12" s="12" t="s">
        <v>18</v>
      </c>
      <c r="E12" s="344" t="s">
        <v>155</v>
      </c>
      <c r="F12" s="344"/>
      <c r="G12" s="531">
        <v>0.41666666666666657</v>
      </c>
      <c r="H12" s="34" t="s">
        <v>28</v>
      </c>
      <c r="I12" s="361"/>
      <c r="AD12" s="1"/>
      <c r="AI12" s="1"/>
      <c r="AO12" s="1"/>
      <c r="AU12" s="1"/>
    </row>
    <row r="13" spans="1:47" x14ac:dyDescent="0.35">
      <c r="A13" s="17"/>
      <c r="B13" s="533"/>
      <c r="C13" s="534" t="s">
        <v>2</v>
      </c>
      <c r="D13" s="523" t="s">
        <v>156</v>
      </c>
      <c r="E13" s="350"/>
      <c r="F13" s="344"/>
      <c r="G13" s="530"/>
      <c r="H13" s="26"/>
      <c r="I13" s="361"/>
      <c r="AD13" s="1"/>
      <c r="AI13" s="1"/>
      <c r="AO13" s="1"/>
      <c r="AU13" s="1"/>
    </row>
    <row r="14" spans="1:47" x14ac:dyDescent="0.35">
      <c r="A14" s="35" t="s">
        <v>29</v>
      </c>
      <c r="B14" s="528">
        <v>0.40277777777777773</v>
      </c>
      <c r="C14" s="12" t="s">
        <v>11</v>
      </c>
      <c r="D14" s="348">
        <v>0.4201388888888889</v>
      </c>
      <c r="E14" s="348">
        <v>0.43402777777777773</v>
      </c>
      <c r="F14" s="306"/>
      <c r="G14" s="528">
        <v>0.44791666666666669</v>
      </c>
      <c r="H14" s="38" t="s">
        <v>29</v>
      </c>
      <c r="I14" s="361"/>
      <c r="AD14" s="1"/>
      <c r="AI14" s="1"/>
      <c r="AO14" s="1"/>
      <c r="AU14" s="1"/>
    </row>
    <row r="15" spans="1:47" x14ac:dyDescent="0.35">
      <c r="A15" s="17"/>
      <c r="B15" s="529"/>
      <c r="C15" s="523" t="s">
        <v>157</v>
      </c>
      <c r="D15" s="348"/>
      <c r="E15" s="536"/>
      <c r="F15" s="534" t="s">
        <v>5</v>
      </c>
      <c r="G15" s="535"/>
      <c r="H15" s="26"/>
      <c r="I15" s="361"/>
      <c r="AD15" s="1"/>
      <c r="AI15" s="1"/>
      <c r="AO15" s="1"/>
      <c r="AU15" s="1"/>
    </row>
    <row r="16" spans="1:47" x14ac:dyDescent="0.35">
      <c r="A16" s="31" t="s">
        <v>28</v>
      </c>
      <c r="B16" s="531">
        <v>0.43055555555555547</v>
      </c>
      <c r="C16" s="350">
        <v>0.44444444444444436</v>
      </c>
      <c r="D16" s="350">
        <v>0.45833333333333326</v>
      </c>
      <c r="E16" s="350">
        <v>0.47222222222222199</v>
      </c>
      <c r="F16" s="12" t="s">
        <v>14</v>
      </c>
      <c r="G16" s="537" t="s">
        <v>158</v>
      </c>
      <c r="H16" s="34" t="s">
        <v>28</v>
      </c>
      <c r="I16" s="361"/>
      <c r="AD16" s="1"/>
      <c r="AI16" s="1"/>
      <c r="AO16" s="1"/>
      <c r="AU16" s="1"/>
    </row>
    <row r="17" spans="1:47" x14ac:dyDescent="0.35">
      <c r="A17" s="17"/>
      <c r="B17" s="535"/>
      <c r="C17" s="538"/>
      <c r="D17" s="348"/>
      <c r="E17" s="538"/>
      <c r="F17" s="523" t="s">
        <v>159</v>
      </c>
      <c r="G17" s="530"/>
      <c r="H17" s="26"/>
      <c r="I17" s="361"/>
      <c r="AD17" s="1"/>
      <c r="AI17" s="1"/>
      <c r="AO17" s="1"/>
      <c r="AU17" s="1"/>
    </row>
    <row r="18" spans="1:47" x14ac:dyDescent="0.35">
      <c r="A18" s="35" t="s">
        <v>29</v>
      </c>
      <c r="B18" s="528">
        <v>0.46180555555555558</v>
      </c>
      <c r="C18" s="348">
        <v>0.47569444444444442</v>
      </c>
      <c r="D18" s="348">
        <v>0.48958333333333331</v>
      </c>
      <c r="E18" s="348">
        <v>0.50347222222222199</v>
      </c>
      <c r="F18" s="366">
        <v>0.51736111111111105</v>
      </c>
      <c r="G18" s="528">
        <v>0.53125</v>
      </c>
      <c r="H18" s="38" t="s">
        <v>29</v>
      </c>
      <c r="I18" s="361"/>
      <c r="AD18" s="1"/>
      <c r="AI18" s="1"/>
      <c r="AO18" s="1"/>
      <c r="AU18" s="1"/>
    </row>
    <row r="19" spans="1:47" x14ac:dyDescent="0.35">
      <c r="A19" s="17"/>
      <c r="B19" s="533"/>
      <c r="C19" s="538"/>
      <c r="D19" s="536"/>
      <c r="E19" s="538"/>
      <c r="F19" s="539"/>
      <c r="G19" s="533"/>
      <c r="H19" s="26"/>
      <c r="I19" s="361"/>
      <c r="AD19" s="1"/>
      <c r="AI19" s="1"/>
      <c r="AO19" s="1"/>
      <c r="AU19" s="1"/>
    </row>
    <row r="20" spans="1:47" x14ac:dyDescent="0.35">
      <c r="A20" s="31" t="s">
        <v>28</v>
      </c>
      <c r="B20" s="351" t="s">
        <v>160</v>
      </c>
      <c r="C20" s="350">
        <v>0.51388888888888884</v>
      </c>
      <c r="D20" s="350">
        <v>0.52777777777777768</v>
      </c>
      <c r="E20" s="351" t="s">
        <v>161</v>
      </c>
      <c r="F20" s="363">
        <v>0.55555555555555503</v>
      </c>
      <c r="G20" s="531">
        <v>0.56944444444444398</v>
      </c>
      <c r="H20" s="34" t="s">
        <v>28</v>
      </c>
      <c r="I20" s="361"/>
      <c r="AD20" s="1"/>
      <c r="AI20" s="1"/>
      <c r="AO20" s="1"/>
      <c r="AU20" s="1"/>
    </row>
    <row r="21" spans="1:47" x14ac:dyDescent="0.35">
      <c r="A21" s="17"/>
      <c r="B21" s="539"/>
      <c r="C21" s="538"/>
      <c r="D21" s="348"/>
      <c r="E21" s="539"/>
      <c r="F21" s="539"/>
      <c r="G21" s="533"/>
      <c r="H21" s="26"/>
      <c r="I21" s="361"/>
      <c r="AD21" s="1"/>
      <c r="AI21" s="1"/>
      <c r="AO21" s="1"/>
      <c r="AU21" s="1"/>
    </row>
    <row r="22" spans="1:47" x14ac:dyDescent="0.35">
      <c r="A22" s="35" t="s">
        <v>29</v>
      </c>
      <c r="B22" s="366">
        <v>0.54513888888888895</v>
      </c>
      <c r="C22" s="348">
        <v>0.55902777777777701</v>
      </c>
      <c r="D22" s="348">
        <v>0.57291666666666596</v>
      </c>
      <c r="E22" s="366">
        <v>0.58680555555555503</v>
      </c>
      <c r="F22" s="366">
        <v>0.60069444444444398</v>
      </c>
      <c r="G22" s="528">
        <v>0.61458333333333304</v>
      </c>
      <c r="H22" s="38" t="s">
        <v>29</v>
      </c>
      <c r="I22" s="361"/>
      <c r="AD22" s="1"/>
      <c r="AI22" s="1"/>
      <c r="AO22" s="1"/>
      <c r="AU22" s="1"/>
    </row>
    <row r="23" spans="1:47" x14ac:dyDescent="0.35">
      <c r="A23" s="17"/>
      <c r="B23" s="540"/>
      <c r="C23" s="536"/>
      <c r="D23" s="348"/>
      <c r="E23" s="541"/>
      <c r="F23" s="541"/>
      <c r="G23" s="542"/>
      <c r="H23" s="26"/>
      <c r="I23" s="361"/>
      <c r="AD23" s="1"/>
      <c r="AI23" s="1"/>
      <c r="AO23" s="1"/>
      <c r="AU23" s="1"/>
    </row>
    <row r="24" spans="1:47" x14ac:dyDescent="0.35">
      <c r="A24" s="31" t="s">
        <v>28</v>
      </c>
      <c r="B24" s="363">
        <v>0.58333333333333304</v>
      </c>
      <c r="C24" s="351" t="s">
        <v>162</v>
      </c>
      <c r="D24" s="351" t="s">
        <v>163</v>
      </c>
      <c r="E24" s="363">
        <v>0.625</v>
      </c>
      <c r="F24" s="351" t="s">
        <v>164</v>
      </c>
      <c r="G24" s="351" t="s">
        <v>165</v>
      </c>
      <c r="H24" s="34" t="s">
        <v>28</v>
      </c>
      <c r="I24" s="361"/>
      <c r="AD24" s="1"/>
      <c r="AI24" s="1"/>
      <c r="AO24" s="1"/>
      <c r="AU24" s="1"/>
    </row>
    <row r="25" spans="1:47" x14ac:dyDescent="0.35">
      <c r="A25" s="17"/>
      <c r="B25" s="539"/>
      <c r="C25" s="538"/>
      <c r="D25" s="376"/>
      <c r="E25" s="539"/>
      <c r="F25" s="538"/>
      <c r="G25" s="543"/>
      <c r="H25" s="26"/>
      <c r="I25" s="361"/>
      <c r="AD25" s="1"/>
      <c r="AI25" s="1"/>
      <c r="AO25" s="1"/>
      <c r="AU25" s="1"/>
    </row>
    <row r="26" spans="1:47" x14ac:dyDescent="0.35">
      <c r="A26" s="35" t="s">
        <v>29</v>
      </c>
      <c r="B26" s="366">
        <v>0.62847222222222199</v>
      </c>
      <c r="C26" s="348">
        <v>0.64236111111111005</v>
      </c>
      <c r="D26" s="376">
        <v>0.656249999999998</v>
      </c>
      <c r="E26" s="366">
        <v>0.66666666666666663</v>
      </c>
      <c r="F26" s="348">
        <v>0.68055555555555547</v>
      </c>
      <c r="G26" s="376">
        <v>0.69444444444444453</v>
      </c>
      <c r="H26" s="38" t="s">
        <v>29</v>
      </c>
      <c r="I26" s="361"/>
      <c r="AD26" s="1"/>
      <c r="AI26" s="1"/>
      <c r="AO26" s="1"/>
      <c r="AU26" s="1"/>
    </row>
    <row r="27" spans="1:47" x14ac:dyDescent="0.35">
      <c r="A27" s="17"/>
      <c r="B27" s="539"/>
      <c r="C27" s="536"/>
      <c r="D27" s="544"/>
      <c r="E27" s="539"/>
      <c r="F27" s="538"/>
      <c r="G27" s="544"/>
      <c r="H27" s="26"/>
      <c r="I27" s="361"/>
      <c r="AD27" s="1"/>
      <c r="AI27" s="1"/>
      <c r="AO27" s="1"/>
      <c r="AU27" s="1"/>
    </row>
    <row r="28" spans="1:47" x14ac:dyDescent="0.35">
      <c r="A28" s="31" t="s">
        <v>28</v>
      </c>
      <c r="B28" s="351" t="s">
        <v>166</v>
      </c>
      <c r="C28" s="351" t="s">
        <v>167</v>
      </c>
      <c r="D28" s="382">
        <v>0.69444444444444375</v>
      </c>
      <c r="E28" s="351" t="s">
        <v>168</v>
      </c>
      <c r="F28" s="350">
        <v>0.72222222222222143</v>
      </c>
      <c r="G28" s="351" t="s">
        <v>169</v>
      </c>
      <c r="H28" s="34" t="s">
        <v>28</v>
      </c>
      <c r="I28" s="361"/>
      <c r="AD28" s="1"/>
      <c r="AI28" s="1"/>
      <c r="AO28" s="1"/>
      <c r="AU28" s="1"/>
    </row>
    <row r="29" spans="1:47" x14ac:dyDescent="0.35">
      <c r="A29" s="17"/>
      <c r="B29" s="538"/>
      <c r="C29" s="543"/>
      <c r="D29" s="543"/>
      <c r="E29" s="539"/>
      <c r="F29" s="538"/>
      <c r="G29" s="539"/>
      <c r="H29" s="26"/>
      <c r="I29" s="361"/>
      <c r="AD29" s="1"/>
      <c r="AI29" s="1"/>
      <c r="AO29" s="1"/>
      <c r="AU29" s="1"/>
    </row>
    <row r="30" spans="1:47" x14ac:dyDescent="0.35">
      <c r="A30" s="35" t="s">
        <v>29</v>
      </c>
      <c r="B30" s="348">
        <v>0.70833333333333259</v>
      </c>
      <c r="C30" s="376">
        <v>0.72222222222222143</v>
      </c>
      <c r="D30" s="376">
        <v>0.73611111111111027</v>
      </c>
      <c r="E30" s="366">
        <v>0.74999999999999911</v>
      </c>
      <c r="F30" s="353">
        <v>0.75694444444444453</v>
      </c>
      <c r="G30" s="366">
        <v>0.76388888888888795</v>
      </c>
      <c r="H30" s="38" t="s">
        <v>29</v>
      </c>
      <c r="I30" s="361"/>
      <c r="AD30" s="1"/>
      <c r="AI30" s="1"/>
      <c r="AO30" s="1"/>
      <c r="AU30" s="1"/>
    </row>
    <row r="31" spans="1:47" x14ac:dyDescent="0.35">
      <c r="A31" s="17"/>
      <c r="B31" s="538"/>
      <c r="C31" s="544"/>
      <c r="D31" s="543"/>
      <c r="E31" s="541"/>
      <c r="F31" s="536" t="s">
        <v>170</v>
      </c>
      <c r="G31" s="539"/>
      <c r="H31" s="26"/>
      <c r="I31" s="361"/>
      <c r="AD31" s="1"/>
      <c r="AI31" s="1"/>
      <c r="AO31" s="1"/>
      <c r="AU31" s="1"/>
    </row>
    <row r="32" spans="1:47" x14ac:dyDescent="0.35">
      <c r="A32" s="31" t="s">
        <v>28</v>
      </c>
      <c r="B32" s="353">
        <v>0.74305555555555547</v>
      </c>
      <c r="C32" s="382">
        <v>0.75</v>
      </c>
      <c r="D32" s="351" t="s">
        <v>171</v>
      </c>
      <c r="E32" s="363">
        <v>0.77777777777777701</v>
      </c>
      <c r="F32" s="344"/>
      <c r="G32" s="363">
        <v>0.79166666666666563</v>
      </c>
      <c r="H32" s="34" t="s">
        <v>28</v>
      </c>
      <c r="I32" s="361"/>
      <c r="AD32" s="1"/>
      <c r="AI32" s="1"/>
      <c r="AO32" s="1"/>
      <c r="AU32" s="1"/>
    </row>
    <row r="33" spans="1:47" x14ac:dyDescent="0.35">
      <c r="A33" s="17"/>
      <c r="B33" s="545" t="s">
        <v>172</v>
      </c>
      <c r="C33" s="543"/>
      <c r="D33" s="539"/>
      <c r="E33" s="539"/>
      <c r="F33" s="546"/>
      <c r="G33" s="547"/>
      <c r="H33" s="26"/>
      <c r="I33" s="361"/>
      <c r="AD33" s="1"/>
      <c r="AI33" s="1"/>
      <c r="AO33" s="1"/>
      <c r="AU33" s="1"/>
    </row>
    <row r="34" spans="1:47" x14ac:dyDescent="0.35">
      <c r="A34" s="35" t="s">
        <v>29</v>
      </c>
      <c r="B34" s="312"/>
      <c r="C34" s="376">
        <v>0.77777777777777679</v>
      </c>
      <c r="D34" s="366">
        <v>0.79166666666666563</v>
      </c>
      <c r="E34" s="366">
        <v>0.812499999999999</v>
      </c>
      <c r="F34" s="306"/>
      <c r="G34" s="392">
        <v>0.81944444444444453</v>
      </c>
      <c r="H34" s="38" t="s">
        <v>29</v>
      </c>
      <c r="I34" s="361"/>
      <c r="AD34" s="1"/>
      <c r="AI34" s="1"/>
      <c r="AO34" s="1"/>
      <c r="AU34" s="1"/>
    </row>
    <row r="35" spans="1:47" x14ac:dyDescent="0.35">
      <c r="A35" s="17"/>
      <c r="B35" s="319"/>
      <c r="C35" s="544"/>
      <c r="D35" s="541"/>
      <c r="E35" s="541"/>
      <c r="F35" s="546"/>
      <c r="G35" s="386" t="s">
        <v>141</v>
      </c>
      <c r="H35" s="26"/>
      <c r="I35" s="361"/>
      <c r="AD35" s="1"/>
      <c r="AI35" s="1"/>
      <c r="AO35" s="1"/>
      <c r="AU35" s="1"/>
    </row>
    <row r="36" spans="1:47" x14ac:dyDescent="0.35">
      <c r="A36" s="31" t="s">
        <v>28</v>
      </c>
      <c r="B36" s="319"/>
      <c r="C36" s="351" t="s">
        <v>173</v>
      </c>
      <c r="D36" s="363">
        <v>0.83333333333333204</v>
      </c>
      <c r="E36" s="351" t="s">
        <v>174</v>
      </c>
      <c r="F36" s="344"/>
      <c r="G36" s="344"/>
      <c r="H36" s="34" t="s">
        <v>28</v>
      </c>
      <c r="I36" s="361"/>
      <c r="AD36" s="1"/>
      <c r="AI36" s="1"/>
      <c r="AO36" s="1"/>
      <c r="AU36" s="1"/>
    </row>
    <row r="37" spans="1:47" x14ac:dyDescent="0.35">
      <c r="A37" s="17"/>
      <c r="B37" s="312"/>
      <c r="C37" s="543"/>
      <c r="D37" s="539"/>
      <c r="E37" s="543"/>
      <c r="F37" s="546"/>
      <c r="G37" s="546"/>
      <c r="H37" s="26"/>
      <c r="I37" s="361"/>
      <c r="AD37" s="1"/>
      <c r="AI37" s="1"/>
      <c r="AO37" s="1"/>
      <c r="AU37" s="1"/>
    </row>
    <row r="38" spans="1:47" x14ac:dyDescent="0.35">
      <c r="A38" s="35" t="s">
        <v>29</v>
      </c>
      <c r="B38" s="312"/>
      <c r="C38" s="376">
        <v>0.84027777777777779</v>
      </c>
      <c r="D38" s="366">
        <v>0.86111111111111116</v>
      </c>
      <c r="E38" s="376">
        <v>0.88194444444444453</v>
      </c>
      <c r="F38" s="306"/>
      <c r="G38" s="306"/>
      <c r="H38" s="38" t="s">
        <v>29</v>
      </c>
      <c r="I38" s="361"/>
      <c r="AD38" s="1"/>
      <c r="AI38" s="1"/>
      <c r="AO38" s="1"/>
      <c r="AU38" s="1"/>
    </row>
    <row r="39" spans="1:47" x14ac:dyDescent="0.35">
      <c r="A39" s="17"/>
      <c r="B39" s="312"/>
      <c r="C39" s="548"/>
      <c r="D39" s="549"/>
      <c r="E39" s="543"/>
      <c r="F39" s="546"/>
      <c r="G39" s="546"/>
      <c r="H39" s="26"/>
      <c r="I39" s="361"/>
      <c r="AD39" s="1"/>
      <c r="AI39" s="1"/>
      <c r="AO39" s="1"/>
      <c r="AU39" s="1"/>
    </row>
    <row r="40" spans="1:47" x14ac:dyDescent="0.35">
      <c r="A40" s="17"/>
      <c r="B40" s="312"/>
      <c r="C40" s="548"/>
      <c r="D40" s="541"/>
      <c r="E40" s="543"/>
      <c r="F40" s="546"/>
      <c r="G40" s="546"/>
      <c r="H40" s="26"/>
      <c r="I40" s="361"/>
      <c r="AD40" s="1"/>
      <c r="AI40" s="1"/>
      <c r="AO40" s="1"/>
      <c r="AU40" s="1"/>
    </row>
    <row r="41" spans="1:47" x14ac:dyDescent="0.35">
      <c r="A41" s="31" t="s">
        <v>28</v>
      </c>
      <c r="B41" s="312"/>
      <c r="C41" s="382">
        <v>0.875</v>
      </c>
      <c r="D41" s="351" t="s">
        <v>175</v>
      </c>
      <c r="E41" s="382">
        <v>0.91666666666666585</v>
      </c>
      <c r="F41" s="344"/>
      <c r="G41" s="344"/>
      <c r="H41" s="34" t="s">
        <v>28</v>
      </c>
      <c r="I41" s="361"/>
      <c r="AD41" s="1"/>
      <c r="AI41" s="1"/>
      <c r="AO41" s="1"/>
      <c r="AU41" s="1"/>
    </row>
    <row r="42" spans="1:47" x14ac:dyDescent="0.35">
      <c r="A42" s="17"/>
      <c r="B42" s="312"/>
      <c r="C42" s="550"/>
      <c r="D42" s="548"/>
      <c r="E42" s="550"/>
      <c r="F42" s="546"/>
      <c r="G42" s="546"/>
      <c r="H42" s="26"/>
      <c r="I42" s="361"/>
      <c r="AD42" s="1"/>
      <c r="AI42" s="1"/>
      <c r="AO42" s="1"/>
      <c r="AU42" s="1"/>
    </row>
    <row r="43" spans="1:47" x14ac:dyDescent="0.35">
      <c r="A43" s="35" t="s">
        <v>29</v>
      </c>
      <c r="B43" s="312"/>
      <c r="C43" s="376">
        <v>0.90277777777777779</v>
      </c>
      <c r="D43" s="376">
        <v>0.92361111111111116</v>
      </c>
      <c r="E43" s="376">
        <v>0.94444444444444453</v>
      </c>
      <c r="F43" s="306"/>
      <c r="G43" s="306"/>
      <c r="H43" s="38" t="s">
        <v>29</v>
      </c>
      <c r="I43" s="361"/>
      <c r="AD43" s="1"/>
      <c r="AI43" s="1"/>
      <c r="AO43" s="1"/>
      <c r="AU43" s="1"/>
    </row>
    <row r="44" spans="1:47" x14ac:dyDescent="0.35">
      <c r="A44" s="17"/>
      <c r="B44" s="312"/>
      <c r="C44" s="550"/>
      <c r="D44" s="551"/>
      <c r="E44" s="543"/>
      <c r="F44" s="546"/>
      <c r="G44" s="546"/>
      <c r="H44" s="26"/>
      <c r="I44" s="361"/>
      <c r="AD44" s="1"/>
      <c r="AI44" s="1"/>
      <c r="AO44" s="1"/>
      <c r="AU44" s="1"/>
    </row>
    <row r="45" spans="1:47" x14ac:dyDescent="0.35">
      <c r="A45" s="31" t="s">
        <v>28</v>
      </c>
      <c r="B45" s="312"/>
      <c r="C45" s="382">
        <v>0.9375</v>
      </c>
      <c r="D45" s="382">
        <v>0.95833333333333337</v>
      </c>
      <c r="E45" s="382">
        <v>0.97916666666666663</v>
      </c>
      <c r="F45" s="344"/>
      <c r="G45" s="344"/>
      <c r="H45" s="34" t="s">
        <v>28</v>
      </c>
      <c r="I45" s="4"/>
      <c r="AD45" s="1"/>
      <c r="AI45" s="1"/>
      <c r="AO45" s="1"/>
      <c r="AU45" s="1"/>
    </row>
    <row r="46" spans="1:47" x14ac:dyDescent="0.35">
      <c r="A46" s="17"/>
      <c r="B46" s="312"/>
      <c r="C46" s="551"/>
      <c r="D46" s="550"/>
      <c r="E46" s="543"/>
      <c r="F46" s="546"/>
      <c r="G46" s="546"/>
      <c r="H46" s="26"/>
      <c r="I46" s="330"/>
      <c r="AD46" s="1"/>
      <c r="AI46" s="1"/>
      <c r="AO46" s="1"/>
      <c r="AU46" s="1"/>
    </row>
    <row r="47" spans="1:47" x14ac:dyDescent="0.35">
      <c r="A47" s="35" t="s">
        <v>29</v>
      </c>
      <c r="B47" s="312"/>
      <c r="C47" s="376">
        <v>0.96527777777777779</v>
      </c>
      <c r="D47" s="376">
        <v>0.98611111111111116</v>
      </c>
      <c r="E47" s="552">
        <v>1.0034722222222221</v>
      </c>
      <c r="F47" s="306"/>
      <c r="G47" s="306"/>
      <c r="H47" s="38" t="s">
        <v>29</v>
      </c>
      <c r="I47" s="4"/>
      <c r="AD47" s="1"/>
      <c r="AI47" s="1"/>
      <c r="AO47" s="1"/>
      <c r="AU47" s="1"/>
    </row>
    <row r="48" spans="1:47" x14ac:dyDescent="0.35">
      <c r="A48" s="17"/>
      <c r="B48" s="312"/>
      <c r="C48" s="551"/>
      <c r="D48" s="551"/>
      <c r="E48" s="543"/>
      <c r="F48" s="546"/>
      <c r="G48" s="546"/>
      <c r="H48" s="26"/>
      <c r="I48" s="32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330"/>
      <c r="X48" s="330"/>
      <c r="AB48" s="323"/>
      <c r="AC48" s="330"/>
      <c r="AD48" s="1"/>
      <c r="AH48" s="519"/>
      <c r="AI48" s="1"/>
      <c r="AM48" s="323"/>
      <c r="AN48" s="330"/>
      <c r="AO48" s="1"/>
      <c r="AT48" s="519"/>
      <c r="AU48" s="1"/>
    </row>
    <row r="49" spans="1:48" x14ac:dyDescent="0.35">
      <c r="A49" s="31" t="s">
        <v>28</v>
      </c>
      <c r="B49" s="312"/>
      <c r="C49" s="553">
        <v>0.98958333333333337</v>
      </c>
      <c r="D49" s="553">
        <v>1.0104166666666667</v>
      </c>
      <c r="E49" s="382"/>
      <c r="F49" s="344"/>
      <c r="G49" s="344"/>
      <c r="H49" s="34" t="s">
        <v>28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AB49" s="4"/>
      <c r="AC49" s="330"/>
      <c r="AD49" s="1"/>
      <c r="AH49" s="519"/>
      <c r="AI49" s="1"/>
      <c r="AM49" s="4"/>
      <c r="AN49" s="330"/>
      <c r="AO49" s="1"/>
      <c r="AT49" s="519"/>
      <c r="AU49" s="1"/>
    </row>
    <row r="50" spans="1:48" x14ac:dyDescent="0.35">
      <c r="A50" s="17"/>
      <c r="B50" s="312"/>
      <c r="C50" s="394"/>
      <c r="D50" s="551"/>
      <c r="E50" s="543"/>
      <c r="F50" s="546"/>
      <c r="G50" s="546"/>
      <c r="H50" s="26"/>
      <c r="I50" s="330"/>
      <c r="J50" s="4"/>
      <c r="K50" s="4"/>
      <c r="L50" s="4"/>
      <c r="M50" s="4"/>
      <c r="N50" s="4"/>
      <c r="O50" s="4"/>
      <c r="P50" s="4"/>
      <c r="Q50" s="4"/>
      <c r="R50" s="4"/>
      <c r="S50" s="323"/>
      <c r="T50" s="323"/>
      <c r="U50" s="323"/>
      <c r="V50" s="323"/>
      <c r="W50" s="323"/>
      <c r="X50" s="323"/>
      <c r="Y50" s="323"/>
      <c r="Z50" s="323"/>
      <c r="AA50" s="323"/>
      <c r="AB50" s="330"/>
      <c r="AC50" s="330"/>
      <c r="AD50" s="1"/>
      <c r="AH50" s="519"/>
      <c r="AI50" s="1"/>
      <c r="AM50" s="330"/>
      <c r="AN50" s="330"/>
      <c r="AO50" s="1"/>
      <c r="AT50" s="519"/>
      <c r="AU50" s="1"/>
    </row>
    <row r="51" spans="1:48" x14ac:dyDescent="0.35">
      <c r="A51" s="35"/>
      <c r="B51" s="319"/>
      <c r="C51" s="376"/>
      <c r="D51" s="376"/>
      <c r="E51" s="554"/>
      <c r="F51" s="306"/>
      <c r="G51" s="306"/>
      <c r="H51" s="38"/>
      <c r="I51" s="4"/>
      <c r="J51" s="4"/>
      <c r="K51" s="4"/>
      <c r="L51" s="4"/>
      <c r="M51" s="4"/>
      <c r="N51" s="4"/>
      <c r="O51" s="4"/>
      <c r="P51" s="4"/>
      <c r="Q51" s="4"/>
      <c r="R51" s="4"/>
      <c r="S51" s="323"/>
      <c r="T51" s="323"/>
      <c r="U51" s="323"/>
      <c r="V51" s="323"/>
      <c r="W51" s="4"/>
      <c r="X51" s="4"/>
      <c r="Y51" s="4"/>
      <c r="Z51" s="4"/>
      <c r="AA51" s="4"/>
      <c r="AB51" s="4"/>
      <c r="AC51" s="330"/>
      <c r="AD51" s="1"/>
      <c r="AH51" s="519"/>
      <c r="AI51" s="1"/>
      <c r="AM51" s="4"/>
      <c r="AN51" s="330"/>
      <c r="AO51" s="1"/>
      <c r="AT51" s="519"/>
      <c r="AU51" s="1"/>
    </row>
    <row r="52" spans="1:48" x14ac:dyDescent="0.35">
      <c r="A52" s="35"/>
      <c r="B52" s="306"/>
      <c r="C52" s="376"/>
      <c r="D52" s="376"/>
      <c r="E52" s="554"/>
      <c r="F52" s="555"/>
      <c r="G52" s="555"/>
      <c r="H52" s="38"/>
      <c r="I52" s="32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323"/>
      <c r="AC52" s="330"/>
      <c r="AD52" s="1"/>
      <c r="AH52" s="519"/>
      <c r="AI52" s="1"/>
      <c r="AM52" s="323"/>
      <c r="AN52" s="330"/>
      <c r="AO52" s="1"/>
      <c r="AT52" s="519"/>
      <c r="AU52" s="1"/>
    </row>
    <row r="53" spans="1:48" x14ac:dyDescent="0.35">
      <c r="A53" s="35"/>
      <c r="B53" s="312"/>
      <c r="C53" s="394"/>
      <c r="D53" s="394"/>
      <c r="E53" s="394"/>
      <c r="F53" s="312"/>
      <c r="G53" s="312"/>
      <c r="H53" s="38"/>
      <c r="I53" s="4"/>
      <c r="J53" s="323"/>
      <c r="K53" s="323"/>
      <c r="L53" s="323"/>
      <c r="M53" s="323"/>
      <c r="N53" s="323"/>
      <c r="O53" s="323"/>
      <c r="P53" s="323"/>
      <c r="Q53" s="323"/>
      <c r="R53" s="323"/>
      <c r="S53" s="324"/>
      <c r="T53" s="324"/>
      <c r="U53" s="324"/>
      <c r="V53" s="324"/>
      <c r="W53" s="323"/>
      <c r="X53" s="323"/>
      <c r="Y53" s="323"/>
      <c r="Z53" s="323"/>
      <c r="AA53" s="323"/>
      <c r="AB53" s="4"/>
      <c r="AC53" s="330"/>
      <c r="AD53" s="1"/>
      <c r="AH53" s="519"/>
      <c r="AI53" s="1"/>
      <c r="AM53" s="4"/>
      <c r="AN53" s="330"/>
      <c r="AO53" s="1"/>
      <c r="AT53" s="519"/>
      <c r="AU53" s="1"/>
    </row>
    <row r="54" spans="1:48" x14ac:dyDescent="0.35">
      <c r="A54" s="69" t="s">
        <v>27</v>
      </c>
      <c r="B54" s="404"/>
      <c r="C54" s="556">
        <v>1.0138888888888888</v>
      </c>
      <c r="D54" s="557">
        <v>1.0347222222222221</v>
      </c>
      <c r="E54" s="403" t="s">
        <v>176</v>
      </c>
      <c r="F54" s="558"/>
      <c r="G54" s="558"/>
      <c r="H54" s="74" t="s">
        <v>27</v>
      </c>
      <c r="I54" s="4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410"/>
      <c r="U54" s="410"/>
      <c r="V54" s="410"/>
      <c r="W54" s="410"/>
      <c r="X54" s="323"/>
      <c r="Y54" s="323"/>
      <c r="Z54" s="323"/>
      <c r="AA54" s="323"/>
      <c r="AB54" s="323"/>
      <c r="AC54" s="324"/>
      <c r="AN54" s="324"/>
    </row>
    <row r="55" spans="1:48" x14ac:dyDescent="0.35">
      <c r="A55" s="324"/>
      <c r="B55" s="407"/>
      <c r="C55" s="407"/>
      <c r="D55" s="407"/>
      <c r="E55" s="407"/>
      <c r="F55" s="407"/>
      <c r="G55" s="407"/>
      <c r="H55" s="407"/>
      <c r="I55" s="324"/>
      <c r="J55" s="324"/>
      <c r="K55" s="323"/>
      <c r="L55" s="323"/>
      <c r="M55" s="323"/>
      <c r="N55" s="323"/>
      <c r="O55" s="323"/>
      <c r="P55" s="323"/>
      <c r="Q55" s="323"/>
      <c r="R55" s="75"/>
      <c r="S55" s="75"/>
      <c r="T55" s="75"/>
      <c r="U55" s="410"/>
      <c r="V55" s="410"/>
      <c r="W55" s="410"/>
      <c r="X55" s="410"/>
      <c r="Y55" s="4"/>
      <c r="Z55" s="4"/>
      <c r="AA55" s="4"/>
      <c r="AB55" s="4"/>
      <c r="AC55" s="4"/>
      <c r="AD55" s="410"/>
      <c r="AE55" s="330"/>
      <c r="AI55" s="1"/>
      <c r="AJ55" s="519"/>
      <c r="AO55" s="410"/>
      <c r="AP55" s="330"/>
      <c r="AU55" s="1"/>
      <c r="AV55" s="519"/>
    </row>
    <row r="56" spans="1:48" x14ac:dyDescent="0.35">
      <c r="A56" s="76" t="s">
        <v>177</v>
      </c>
      <c r="B56" s="77"/>
      <c r="C56" s="77"/>
      <c r="D56" s="77"/>
      <c r="E56" s="77"/>
      <c r="F56" s="77"/>
      <c r="G56" s="77" t="s">
        <v>178</v>
      </c>
      <c r="H56" s="77"/>
      <c r="I56" s="77"/>
      <c r="J56" s="77"/>
      <c r="K56" s="77"/>
      <c r="L56" s="77"/>
      <c r="M56" s="77"/>
      <c r="N56" s="77"/>
      <c r="O56" s="77"/>
      <c r="P56" s="77"/>
      <c r="Q56" s="559"/>
      <c r="R56" s="560"/>
      <c r="S56" s="560"/>
      <c r="T56" s="560"/>
      <c r="U56" s="410"/>
      <c r="V56" s="410"/>
      <c r="W56" s="410"/>
      <c r="X56" s="410"/>
      <c r="Y56" s="324"/>
      <c r="Z56" s="324"/>
      <c r="AA56" s="324"/>
      <c r="AB56" s="324"/>
      <c r="AC56" s="324"/>
      <c r="AD56" s="410"/>
      <c r="AE56" s="330"/>
      <c r="AI56" s="1"/>
      <c r="AJ56" s="519"/>
      <c r="AO56" s="410"/>
      <c r="AP56" s="330"/>
      <c r="AU56" s="1"/>
      <c r="AV56" s="519"/>
    </row>
    <row r="57" spans="1:48" ht="15" customHeight="1" x14ac:dyDescent="0.35">
      <c r="A57" s="561" t="s">
        <v>80</v>
      </c>
      <c r="B57" s="80"/>
      <c r="C57" s="76" t="s">
        <v>80</v>
      </c>
      <c r="D57" s="81"/>
      <c r="E57" s="82"/>
      <c r="F57" s="79" t="s">
        <v>81</v>
      </c>
      <c r="G57" s="80"/>
      <c r="H57" s="80"/>
      <c r="I57" s="80"/>
      <c r="J57" s="562"/>
      <c r="K57" s="79" t="s">
        <v>82</v>
      </c>
      <c r="L57" s="80"/>
      <c r="M57" s="562"/>
      <c r="N57" s="563"/>
      <c r="O57" s="81"/>
      <c r="P57" s="81"/>
      <c r="Q57" s="564"/>
      <c r="R57" s="565"/>
      <c r="S57" s="565"/>
      <c r="T57" s="565"/>
      <c r="U57" s="410"/>
      <c r="V57" s="410"/>
      <c r="W57" s="410"/>
      <c r="X57" s="410"/>
      <c r="Y57" s="410"/>
      <c r="Z57" s="410"/>
      <c r="AA57" s="410"/>
      <c r="AB57" s="410"/>
      <c r="AC57" s="410"/>
      <c r="AD57" s="410"/>
      <c r="AE57" s="330"/>
      <c r="AI57" s="1"/>
      <c r="AJ57" s="519"/>
      <c r="AO57" s="410"/>
      <c r="AP57" s="330"/>
      <c r="AU57" s="1"/>
      <c r="AV57" s="519"/>
    </row>
    <row r="58" spans="1:48" ht="15" customHeight="1" x14ac:dyDescent="0.35">
      <c r="A58" s="566" t="s">
        <v>83</v>
      </c>
      <c r="B58" s="567" t="s">
        <v>84</v>
      </c>
      <c r="C58" s="91" t="s">
        <v>85</v>
      </c>
      <c r="D58" s="86" t="s">
        <v>86</v>
      </c>
      <c r="E58" s="87"/>
      <c r="F58" s="88" t="s">
        <v>80</v>
      </c>
      <c r="G58" s="89"/>
      <c r="H58" s="86" t="s">
        <v>82</v>
      </c>
      <c r="I58" s="85" t="s">
        <v>86</v>
      </c>
      <c r="J58" s="87"/>
      <c r="K58" s="91" t="s">
        <v>82</v>
      </c>
      <c r="L58" s="89"/>
      <c r="M58" s="93" t="s">
        <v>87</v>
      </c>
      <c r="N58" s="415" t="s">
        <v>88</v>
      </c>
      <c r="O58" s="415" t="s">
        <v>89</v>
      </c>
      <c r="P58" s="567" t="s">
        <v>90</v>
      </c>
      <c r="Q58" s="568" t="s">
        <v>91</v>
      </c>
      <c r="R58" s="560"/>
      <c r="U58" s="75"/>
      <c r="Y58" s="410"/>
      <c r="Z58" s="410"/>
      <c r="AA58" s="410"/>
      <c r="AB58" s="410"/>
      <c r="AC58" s="410"/>
      <c r="AD58" s="410"/>
      <c r="AE58" s="330"/>
      <c r="AI58" s="1"/>
      <c r="AJ58" s="519"/>
      <c r="AO58" s="410"/>
      <c r="AP58" s="330"/>
      <c r="AU58" s="1"/>
      <c r="AV58" s="519"/>
    </row>
    <row r="59" spans="1:48" ht="15" customHeight="1" x14ac:dyDescent="0.35">
      <c r="A59" s="569">
        <v>1</v>
      </c>
      <c r="B59" s="569">
        <v>251</v>
      </c>
      <c r="C59" s="570">
        <f>SUM(D59-TIME( ,8, ))</f>
        <v>0.28263888888888894</v>
      </c>
      <c r="D59" s="97">
        <v>0.28819444444444448</v>
      </c>
      <c r="E59" s="571" t="s">
        <v>27</v>
      </c>
      <c r="F59" s="1577" t="s">
        <v>92</v>
      </c>
      <c r="G59" s="1578"/>
      <c r="H59" s="1578"/>
      <c r="I59" s="1578"/>
      <c r="J59" s="1579"/>
      <c r="K59" s="570">
        <v>0.5</v>
      </c>
      <c r="L59" s="572" t="s">
        <v>93</v>
      </c>
      <c r="M59" s="573">
        <f t="shared" ref="M59:M67" si="0">SUM(K59+TIME( ,0, ))</f>
        <v>0.5</v>
      </c>
      <c r="N59" s="574">
        <f t="shared" ref="N59:N67" si="1">(M59-C59)</f>
        <v>0.21736111111111106</v>
      </c>
      <c r="O59" s="575">
        <f t="shared" ref="O59:O63" si="2">SUM(N59-P59)</f>
        <v>0.21736111111111106</v>
      </c>
      <c r="P59" s="576">
        <v>0</v>
      </c>
      <c r="Q59" s="577"/>
      <c r="R59" s="578">
        <f>K59-D59</f>
        <v>0.21180555555555552</v>
      </c>
      <c r="S59" s="579"/>
      <c r="T59" s="579"/>
      <c r="U59" s="75"/>
      <c r="V59" s="75"/>
      <c r="W59" s="75"/>
      <c r="X59" s="75"/>
      <c r="Y59" s="410"/>
      <c r="Z59" s="410"/>
      <c r="AA59" s="410"/>
      <c r="AB59" s="410"/>
      <c r="AC59" s="410"/>
      <c r="AD59" s="1"/>
      <c r="AE59" s="330"/>
      <c r="AI59" s="1"/>
      <c r="AJ59" s="519"/>
      <c r="AO59" s="1"/>
      <c r="AP59" s="330"/>
      <c r="AU59" s="1"/>
      <c r="AV59" s="519"/>
    </row>
    <row r="60" spans="1:48" ht="15" customHeight="1" x14ac:dyDescent="0.35">
      <c r="A60" s="580">
        <v>2</v>
      </c>
      <c r="B60" s="580">
        <v>252</v>
      </c>
      <c r="C60" s="581">
        <f>SUM(D60-TIME( ,8, ))</f>
        <v>0.29652777777777778</v>
      </c>
      <c r="D60" s="108">
        <v>0.30208333333333331</v>
      </c>
      <c r="E60" s="582" t="s">
        <v>27</v>
      </c>
      <c r="F60" s="1580" t="s">
        <v>92</v>
      </c>
      <c r="G60" s="1581"/>
      <c r="H60" s="1581"/>
      <c r="I60" s="1581"/>
      <c r="J60" s="1582"/>
      <c r="K60" s="581">
        <v>0.4861111111111111</v>
      </c>
      <c r="L60" s="583" t="s">
        <v>93</v>
      </c>
      <c r="M60" s="584">
        <f t="shared" si="0"/>
        <v>0.4861111111111111</v>
      </c>
      <c r="N60" s="585">
        <f t="shared" si="1"/>
        <v>0.18958333333333333</v>
      </c>
      <c r="O60" s="586">
        <f t="shared" si="2"/>
        <v>0.18958333333333333</v>
      </c>
      <c r="P60" s="587">
        <v>0</v>
      </c>
      <c r="Q60" s="588"/>
      <c r="R60" s="578">
        <f>K60-D60</f>
        <v>0.18402777777777779</v>
      </c>
      <c r="S60" s="579"/>
      <c r="T60" s="579"/>
      <c r="U60" s="589"/>
      <c r="V60" s="589"/>
      <c r="W60" s="589"/>
      <c r="X60" s="589"/>
      <c r="Y60" s="410"/>
      <c r="Z60" s="410"/>
      <c r="AA60" s="410"/>
      <c r="AB60" s="410"/>
      <c r="AC60" s="410"/>
      <c r="AD60" s="75"/>
      <c r="AE60" s="330"/>
      <c r="AI60" s="1"/>
      <c r="AJ60" s="519"/>
      <c r="AO60" s="75"/>
      <c r="AP60" s="330"/>
      <c r="AU60" s="1"/>
      <c r="AV60" s="519"/>
    </row>
    <row r="61" spans="1:48" ht="15" customHeight="1" x14ac:dyDescent="0.35">
      <c r="A61" s="590">
        <v>3</v>
      </c>
      <c r="B61" s="590">
        <v>253</v>
      </c>
      <c r="C61" s="591">
        <f>SUM(D61-TIME( ,3, ))</f>
        <v>0.30694444444444446</v>
      </c>
      <c r="D61" s="592">
        <v>0.30902777777777779</v>
      </c>
      <c r="E61" s="593" t="s">
        <v>27</v>
      </c>
      <c r="F61" s="591">
        <v>0.39583333333333331</v>
      </c>
      <c r="G61" s="594" t="s">
        <v>93</v>
      </c>
      <c r="H61" s="592">
        <f>SUM(I61-TIME( ,0, ))</f>
        <v>0.4861111111111111</v>
      </c>
      <c r="I61" s="594">
        <v>0.4861111111111111</v>
      </c>
      <c r="J61" s="593" t="s">
        <v>93</v>
      </c>
      <c r="K61" s="591">
        <v>0.65277777777777779</v>
      </c>
      <c r="L61" s="594" t="s">
        <v>93</v>
      </c>
      <c r="M61" s="595">
        <f t="shared" si="0"/>
        <v>0.65277777777777779</v>
      </c>
      <c r="N61" s="596">
        <f t="shared" si="1"/>
        <v>0.34583333333333333</v>
      </c>
      <c r="O61" s="597">
        <f t="shared" si="2"/>
        <v>0.25555555555555554</v>
      </c>
      <c r="P61" s="598">
        <f t="shared" ref="P61:P67" si="3">SUM(H61-F61)</f>
        <v>9.027777777777779E-2</v>
      </c>
      <c r="Q61" s="599"/>
      <c r="R61" s="578">
        <f>F61-D61</f>
        <v>8.6805555555555525E-2</v>
      </c>
      <c r="S61" s="578">
        <f>K61-I61</f>
        <v>0.16666666666666669</v>
      </c>
      <c r="T61" s="579"/>
      <c r="U61" s="600"/>
      <c r="V61" s="600"/>
      <c r="W61" s="600"/>
      <c r="X61" s="600"/>
      <c r="AD61" s="589"/>
      <c r="AE61" s="330"/>
      <c r="AI61" s="1"/>
      <c r="AJ61" s="519"/>
      <c r="AO61" s="589"/>
      <c r="AP61" s="330"/>
      <c r="AU61" s="1"/>
      <c r="AV61" s="519"/>
    </row>
    <row r="62" spans="1:48" ht="15" customHeight="1" x14ac:dyDescent="0.35">
      <c r="A62" s="601">
        <v>4</v>
      </c>
      <c r="B62" s="601">
        <v>254</v>
      </c>
      <c r="C62" s="602">
        <f>SUM(D62-TIME( ,8, ))</f>
        <v>0.49444444444444446</v>
      </c>
      <c r="D62" s="603">
        <v>0.5</v>
      </c>
      <c r="E62" s="604" t="s">
        <v>27</v>
      </c>
      <c r="F62" s="602">
        <v>0.63888888888888895</v>
      </c>
      <c r="G62" s="603" t="s">
        <v>93</v>
      </c>
      <c r="H62" s="603">
        <f>SUM(I62-TIME( ,0, ))</f>
        <v>0.73611111111111116</v>
      </c>
      <c r="I62" s="605">
        <v>0.73611111111111116</v>
      </c>
      <c r="J62" s="606" t="s">
        <v>93</v>
      </c>
      <c r="K62" s="602">
        <v>0.83680555555555547</v>
      </c>
      <c r="L62" s="605" t="s">
        <v>27</v>
      </c>
      <c r="M62" s="607">
        <f t="shared" si="0"/>
        <v>0.83680555555555547</v>
      </c>
      <c r="N62" s="608">
        <f t="shared" si="1"/>
        <v>0.34236111111111101</v>
      </c>
      <c r="O62" s="609">
        <f t="shared" si="2"/>
        <v>0.2451388888888888</v>
      </c>
      <c r="P62" s="604">
        <f t="shared" si="3"/>
        <v>9.722222222222221E-2</v>
      </c>
      <c r="Q62" s="610"/>
      <c r="R62" s="578">
        <f t="shared" ref="R62:R71" si="4">F62-D62</f>
        <v>0.13888888888888895</v>
      </c>
      <c r="S62" s="578">
        <f t="shared" ref="S62:S71" si="5">K62-I62</f>
        <v>0.10069444444444431</v>
      </c>
      <c r="T62" s="579"/>
      <c r="U62" s="611"/>
      <c r="V62" s="611"/>
      <c r="W62" s="611"/>
      <c r="X62" s="611"/>
      <c r="Y62" s="589"/>
      <c r="Z62" s="589"/>
      <c r="AA62" s="589"/>
      <c r="AB62" s="589"/>
      <c r="AC62" s="589"/>
      <c r="AD62" s="612"/>
      <c r="AE62" s="330"/>
      <c r="AI62" s="1"/>
      <c r="AJ62" s="519"/>
      <c r="AO62" s="612"/>
      <c r="AP62" s="330"/>
      <c r="AU62" s="1"/>
      <c r="AV62" s="519"/>
    </row>
    <row r="63" spans="1:48" ht="15" customHeight="1" x14ac:dyDescent="0.35">
      <c r="A63" s="613">
        <v>5</v>
      </c>
      <c r="B63" s="613">
        <v>255</v>
      </c>
      <c r="C63" s="614">
        <f>SUM(D63-TIME( ,3, ))</f>
        <v>0.49791666666666667</v>
      </c>
      <c r="D63" s="615">
        <v>0.5</v>
      </c>
      <c r="E63" s="616" t="s">
        <v>93</v>
      </c>
      <c r="F63" s="614">
        <v>0.66666666666666663</v>
      </c>
      <c r="G63" s="617" t="s">
        <v>93</v>
      </c>
      <c r="H63" s="617">
        <f>SUM(I63-TIME( ,0, ))</f>
        <v>0.70833333333333337</v>
      </c>
      <c r="I63" s="615">
        <v>0.70833333333333337</v>
      </c>
      <c r="J63" s="616" t="s">
        <v>93</v>
      </c>
      <c r="K63" s="614">
        <v>0.85416666666666663</v>
      </c>
      <c r="L63" s="615" t="s">
        <v>93</v>
      </c>
      <c r="M63" s="618">
        <f t="shared" si="0"/>
        <v>0.85416666666666663</v>
      </c>
      <c r="N63" s="619">
        <f t="shared" si="1"/>
        <v>0.35624999999999996</v>
      </c>
      <c r="O63" s="620">
        <f t="shared" si="2"/>
        <v>0.31458333333333321</v>
      </c>
      <c r="P63" s="621">
        <f t="shared" si="3"/>
        <v>4.1666666666666741E-2</v>
      </c>
      <c r="Q63" s="622"/>
      <c r="R63" s="578">
        <f t="shared" si="4"/>
        <v>0.16666666666666663</v>
      </c>
      <c r="S63" s="578">
        <f t="shared" si="5"/>
        <v>0.14583333333333326</v>
      </c>
      <c r="T63" s="579"/>
      <c r="U63" s="611"/>
      <c r="V63" s="611"/>
      <c r="W63" s="611"/>
      <c r="X63" s="611"/>
      <c r="Y63" s="600"/>
      <c r="Z63" s="600"/>
      <c r="AA63" s="600"/>
      <c r="AB63" s="600"/>
      <c r="AC63" s="600"/>
      <c r="AD63" s="611"/>
      <c r="AE63" s="330"/>
      <c r="AI63" s="1"/>
      <c r="AJ63" s="519"/>
      <c r="AO63" s="611"/>
      <c r="AP63" s="330"/>
      <c r="AU63" s="1"/>
      <c r="AV63" s="519"/>
    </row>
    <row r="64" spans="1:48" ht="15" customHeight="1" x14ac:dyDescent="0.35">
      <c r="A64" s="623">
        <v>6</v>
      </c>
      <c r="B64" s="623">
        <v>256</v>
      </c>
      <c r="C64" s="624">
        <f>SUM(D64-TIME( ,8, ))</f>
        <v>0.53611111111111109</v>
      </c>
      <c r="D64" s="625">
        <v>0.54166666666666663</v>
      </c>
      <c r="E64" s="626" t="s">
        <v>93</v>
      </c>
      <c r="F64" s="163">
        <v>0.70833333333333337</v>
      </c>
      <c r="G64" s="627" t="s">
        <v>93</v>
      </c>
      <c r="H64" s="625">
        <f>SUM(I64-TIME( ,0, ))</f>
        <v>0.76388888888888884</v>
      </c>
      <c r="I64" s="625">
        <v>0.76388888888888884</v>
      </c>
      <c r="J64" s="628" t="s">
        <v>93</v>
      </c>
      <c r="K64" s="624">
        <v>0.89583333333333337</v>
      </c>
      <c r="L64" s="629" t="s">
        <v>93</v>
      </c>
      <c r="M64" s="630">
        <f>SUM(K64+TIME( ,0, ))</f>
        <v>0.89583333333333337</v>
      </c>
      <c r="N64" s="163">
        <f t="shared" si="1"/>
        <v>0.35972222222222228</v>
      </c>
      <c r="O64" s="631">
        <f>SUM(N64-P64)</f>
        <v>0.30416666666666681</v>
      </c>
      <c r="P64" s="632">
        <f t="shared" si="3"/>
        <v>5.5555555555555469E-2</v>
      </c>
      <c r="Q64" s="633"/>
      <c r="R64" s="578">
        <f t="shared" si="4"/>
        <v>0.16666666666666674</v>
      </c>
      <c r="S64" s="578">
        <f t="shared" si="5"/>
        <v>0.13194444444444453</v>
      </c>
      <c r="T64" s="579"/>
      <c r="U64" s="611"/>
      <c r="V64" s="611"/>
      <c r="W64" s="611"/>
      <c r="X64" s="611"/>
      <c r="Y64" s="611"/>
      <c r="Z64" s="611"/>
      <c r="AA64" s="611"/>
      <c r="AB64" s="611"/>
      <c r="AC64" s="611"/>
      <c r="AD64" s="611"/>
      <c r="AE64" s="330"/>
      <c r="AI64" s="1"/>
      <c r="AJ64" s="519"/>
      <c r="AO64" s="611"/>
      <c r="AP64" s="330"/>
      <c r="AU64" s="1"/>
      <c r="AV64" s="519"/>
    </row>
    <row r="65" spans="1:48" ht="15" customHeight="1" x14ac:dyDescent="0.35">
      <c r="A65" s="634">
        <v>7</v>
      </c>
      <c r="B65" s="635">
        <v>257</v>
      </c>
      <c r="C65" s="636">
        <f>SUM(D65-TIME( ,3, ))</f>
        <v>0.60902777777777772</v>
      </c>
      <c r="D65" s="637">
        <v>0.61111111111111105</v>
      </c>
      <c r="E65" s="638" t="s">
        <v>93</v>
      </c>
      <c r="F65" s="636">
        <v>0.76388888888888884</v>
      </c>
      <c r="G65" s="639" t="s">
        <v>93</v>
      </c>
      <c r="H65" s="639">
        <f>SUM(I65-TIME( ,0, ))</f>
        <v>0.85416666666666663</v>
      </c>
      <c r="I65" s="637">
        <v>0.85416666666666663</v>
      </c>
      <c r="J65" s="638" t="s">
        <v>93</v>
      </c>
      <c r="K65" s="636">
        <v>1.0208333333333333</v>
      </c>
      <c r="L65" s="637" t="s">
        <v>27</v>
      </c>
      <c r="M65" s="640">
        <f t="shared" si="0"/>
        <v>1.0208333333333333</v>
      </c>
      <c r="N65" s="641">
        <f t="shared" si="1"/>
        <v>0.41180555555555554</v>
      </c>
      <c r="O65" s="642">
        <f t="shared" ref="O65" si="6">SUM(N65-P65)</f>
        <v>0.32152777777777775</v>
      </c>
      <c r="P65" s="643">
        <f t="shared" si="3"/>
        <v>9.027777777777779E-2</v>
      </c>
      <c r="Q65" s="644"/>
      <c r="R65" s="578">
        <f t="shared" si="4"/>
        <v>0.15277777777777779</v>
      </c>
      <c r="S65" s="578">
        <f t="shared" si="5"/>
        <v>0.16666666666666663</v>
      </c>
      <c r="T65" s="579"/>
      <c r="U65" s="612"/>
      <c r="V65" s="612"/>
      <c r="W65" s="612"/>
      <c r="X65" s="612"/>
      <c r="Y65" s="75"/>
      <c r="Z65" s="75"/>
      <c r="AA65" s="75"/>
      <c r="AB65" s="75"/>
      <c r="AC65" s="75"/>
      <c r="AD65" s="600"/>
      <c r="AE65" s="330"/>
      <c r="AI65" s="1"/>
      <c r="AJ65" s="519"/>
      <c r="AO65" s="600"/>
      <c r="AP65" s="330"/>
      <c r="AU65" s="1"/>
      <c r="AV65" s="519"/>
    </row>
    <row r="66" spans="1:48" ht="15" customHeight="1" x14ac:dyDescent="0.35">
      <c r="A66" s="645">
        <v>8</v>
      </c>
      <c r="B66" s="646">
        <v>258</v>
      </c>
      <c r="C66" s="647">
        <f>SUM(D66-TIME( ,3, ))</f>
        <v>0.65069444444444446</v>
      </c>
      <c r="D66" s="648">
        <v>0.65277777777777779</v>
      </c>
      <c r="E66" s="649" t="s">
        <v>93</v>
      </c>
      <c r="F66" s="647">
        <v>0.73611111111111116</v>
      </c>
      <c r="G66" s="650" t="s">
        <v>93</v>
      </c>
      <c r="H66" s="648">
        <f t="shared" ref="H66" si="7">SUM(I66-TIME( ,0, ))</f>
        <v>0.8125</v>
      </c>
      <c r="I66" s="648">
        <v>0.8125</v>
      </c>
      <c r="J66" s="651" t="s">
        <v>93</v>
      </c>
      <c r="K66" s="647">
        <v>1.0138888888888888</v>
      </c>
      <c r="L66" s="652" t="s">
        <v>27</v>
      </c>
      <c r="M66" s="653">
        <f>SUM(K66+TIME( ,0, ))</f>
        <v>1.0138888888888888</v>
      </c>
      <c r="N66" s="654">
        <f t="shared" si="1"/>
        <v>0.36319444444444438</v>
      </c>
      <c r="O66" s="655">
        <f>SUM(N66-P66)</f>
        <v>0.28680555555555554</v>
      </c>
      <c r="P66" s="656">
        <f t="shared" si="3"/>
        <v>7.638888888888884E-2</v>
      </c>
      <c r="Q66" s="657"/>
      <c r="R66" s="578">
        <f t="shared" si="4"/>
        <v>8.333333333333337E-2</v>
      </c>
      <c r="S66" s="578">
        <f t="shared" si="5"/>
        <v>0.20138888888888884</v>
      </c>
      <c r="U66" s="611"/>
      <c r="V66" s="611"/>
      <c r="W66" s="611"/>
      <c r="X66" s="611"/>
      <c r="Y66" s="611"/>
      <c r="Z66" s="611"/>
      <c r="AA66" s="611"/>
      <c r="AB66" s="611"/>
      <c r="AC66" s="611"/>
      <c r="AD66" s="611"/>
      <c r="AE66" s="330"/>
      <c r="AI66" s="1"/>
      <c r="AJ66" s="519"/>
      <c r="AO66" s="611"/>
      <c r="AP66" s="330"/>
      <c r="AU66" s="1"/>
      <c r="AV66" s="519"/>
    </row>
    <row r="67" spans="1:48" ht="15" customHeight="1" x14ac:dyDescent="0.35">
      <c r="A67" s="658">
        <v>9</v>
      </c>
      <c r="B67" s="659">
        <v>259</v>
      </c>
      <c r="C67" s="660">
        <f>SUM(D67-TIME( ,3, ))</f>
        <v>0.67847222222222214</v>
      </c>
      <c r="D67" s="661">
        <v>0.68055555555555547</v>
      </c>
      <c r="E67" s="662" t="s">
        <v>93</v>
      </c>
      <c r="F67" s="660">
        <v>0.8125</v>
      </c>
      <c r="G67" s="663" t="s">
        <v>93</v>
      </c>
      <c r="H67" s="663">
        <f>SUM(I67-TIME( ,0, ))</f>
        <v>0.89583333333333337</v>
      </c>
      <c r="I67" s="661">
        <v>0.89583333333333337</v>
      </c>
      <c r="J67" s="662" t="s">
        <v>93</v>
      </c>
      <c r="K67" s="660">
        <v>1.0347222222222221</v>
      </c>
      <c r="L67" s="661" t="s">
        <v>27</v>
      </c>
      <c r="M67" s="664">
        <f t="shared" si="0"/>
        <v>1.0347222222222221</v>
      </c>
      <c r="N67" s="665">
        <f t="shared" si="1"/>
        <v>0.35624999999999996</v>
      </c>
      <c r="O67" s="666">
        <f>SUM(N67-P67)</f>
        <v>0.27291666666666659</v>
      </c>
      <c r="P67" s="667">
        <f t="shared" si="3"/>
        <v>8.333333333333337E-2</v>
      </c>
      <c r="Q67" s="668"/>
      <c r="R67" s="578">
        <f t="shared" si="4"/>
        <v>0.13194444444444453</v>
      </c>
      <c r="S67" s="578">
        <f t="shared" si="5"/>
        <v>0.13888888888888873</v>
      </c>
      <c r="T67" s="579"/>
      <c r="U67" s="611"/>
      <c r="V67" s="611"/>
      <c r="W67" s="611"/>
      <c r="X67" s="611"/>
      <c r="Y67" s="612"/>
      <c r="Z67" s="612"/>
      <c r="AA67" s="612"/>
      <c r="AB67" s="612"/>
      <c r="AC67" s="612"/>
      <c r="AD67" s="611"/>
      <c r="AE67" s="330"/>
      <c r="AI67" s="1"/>
      <c r="AJ67" s="519"/>
      <c r="AO67" s="611"/>
      <c r="AP67" s="330"/>
      <c r="AU67" s="1"/>
      <c r="AV67" s="519"/>
    </row>
    <row r="68" spans="1:48" ht="15" customHeight="1" x14ac:dyDescent="0.35">
      <c r="A68" s="230"/>
      <c r="B68" s="231"/>
      <c r="C68" s="232"/>
      <c r="D68" s="232"/>
      <c r="E68" s="233"/>
      <c r="F68" s="232"/>
      <c r="G68" s="233"/>
      <c r="H68" s="233"/>
      <c r="I68" s="233"/>
      <c r="J68" s="238"/>
      <c r="K68" s="472"/>
      <c r="L68" s="238"/>
      <c r="M68" s="669"/>
      <c r="N68" s="474" t="s">
        <v>94</v>
      </c>
      <c r="O68" s="241">
        <f>AVERAGE(O59:O65)</f>
        <v>0.26398809523809519</v>
      </c>
      <c r="P68" s="1555"/>
      <c r="Q68" s="1556"/>
      <c r="R68" s="578"/>
      <c r="S68" s="578"/>
      <c r="T68" s="579"/>
      <c r="U68" s="611"/>
      <c r="V68" s="611"/>
      <c r="W68" s="611"/>
      <c r="X68" s="611"/>
      <c r="Y68" s="611"/>
      <c r="Z68" s="611"/>
      <c r="AA68" s="611"/>
      <c r="AB68" s="611"/>
      <c r="AC68" s="611"/>
      <c r="AD68" s="670"/>
      <c r="AE68" s="330"/>
      <c r="AI68" s="1"/>
      <c r="AJ68" s="519"/>
      <c r="AO68" s="670"/>
      <c r="AP68" s="330"/>
      <c r="AU68" s="1"/>
      <c r="AV68" s="519"/>
    </row>
    <row r="69" spans="1:48" ht="15" customHeight="1" x14ac:dyDescent="0.35">
      <c r="A69" s="476" t="s">
        <v>179</v>
      </c>
      <c r="B69" s="477">
        <v>281</v>
      </c>
      <c r="C69" s="481">
        <f>SUM(D69-TIME( ,3, ))</f>
        <v>0.39374999999999999</v>
      </c>
      <c r="D69" s="479">
        <v>0.39583333333333331</v>
      </c>
      <c r="E69" s="482" t="s">
        <v>93</v>
      </c>
      <c r="F69" s="485">
        <v>0.54166666666666663</v>
      </c>
      <c r="G69" s="671" t="s">
        <v>93</v>
      </c>
      <c r="H69" s="479">
        <f>I69</f>
        <v>0.59722222222222221</v>
      </c>
      <c r="I69" s="479">
        <v>0.59722222222222221</v>
      </c>
      <c r="J69" s="672" t="s">
        <v>93</v>
      </c>
      <c r="K69" s="673">
        <v>0.68055555555555547</v>
      </c>
      <c r="L69" s="484" t="s">
        <v>93</v>
      </c>
      <c r="M69" s="485">
        <f>SUM(K69+TIME( ,0, ))</f>
        <v>0.68055555555555547</v>
      </c>
      <c r="N69" s="674">
        <f>(M69-C69)</f>
        <v>0.28680555555555548</v>
      </c>
      <c r="O69" s="675">
        <f>SUM(N69-P69)</f>
        <v>0.2312499999999999</v>
      </c>
      <c r="P69" s="676">
        <f>SUM(H69-F69)</f>
        <v>5.555555555555558E-2</v>
      </c>
      <c r="Q69" s="677"/>
      <c r="R69" s="578">
        <f t="shared" si="4"/>
        <v>0.14583333333333331</v>
      </c>
      <c r="S69" s="578">
        <f t="shared" si="5"/>
        <v>8.3333333333333259E-2</v>
      </c>
      <c r="T69" s="579"/>
      <c r="U69" s="670"/>
      <c r="V69" s="670"/>
      <c r="W69" s="670"/>
      <c r="X69" s="670"/>
      <c r="Y69" s="611"/>
      <c r="Z69" s="611"/>
      <c r="AA69" s="611"/>
      <c r="AB69" s="611"/>
      <c r="AC69" s="611"/>
      <c r="AD69" s="611"/>
      <c r="AE69" s="330"/>
      <c r="AI69" s="1"/>
      <c r="AJ69" s="519"/>
      <c r="AO69" s="611"/>
      <c r="AP69" s="330"/>
      <c r="AU69" s="1"/>
      <c r="AV69" s="519"/>
    </row>
    <row r="70" spans="1:48" ht="15" customHeight="1" x14ac:dyDescent="0.35">
      <c r="A70" s="490" t="s">
        <v>180</v>
      </c>
      <c r="B70" s="491">
        <v>282</v>
      </c>
      <c r="C70" s="495">
        <f>SUM(D70-TIME( ,8, ))</f>
        <v>0.39375000000000004</v>
      </c>
      <c r="D70" s="493">
        <v>0.39930555555555558</v>
      </c>
      <c r="E70" s="496" t="s">
        <v>27</v>
      </c>
      <c r="F70" s="499">
        <v>0.61111111111111105</v>
      </c>
      <c r="G70" s="678" t="s">
        <v>93</v>
      </c>
      <c r="H70" s="493">
        <f>I70</f>
        <v>0.66666666666666663</v>
      </c>
      <c r="I70" s="493">
        <v>0.66666666666666663</v>
      </c>
      <c r="J70" s="679" t="s">
        <v>93</v>
      </c>
      <c r="K70" s="680">
        <v>0.76736111111111116</v>
      </c>
      <c r="L70" s="498" t="s">
        <v>27</v>
      </c>
      <c r="M70" s="499">
        <f>SUM(K70+TIME( ,0, ))</f>
        <v>0.76736111111111116</v>
      </c>
      <c r="N70" s="681">
        <f>(M70-C70)</f>
        <v>0.37361111111111112</v>
      </c>
      <c r="O70" s="682">
        <f>SUM(N70-P70)</f>
        <v>0.31805555555555554</v>
      </c>
      <c r="P70" s="683">
        <f>SUM(H70-F70)</f>
        <v>5.555555555555558E-2</v>
      </c>
      <c r="Q70" s="684"/>
      <c r="R70" s="578">
        <f t="shared" si="4"/>
        <v>0.21180555555555547</v>
      </c>
      <c r="S70" s="578">
        <f t="shared" si="5"/>
        <v>0.10069444444444453</v>
      </c>
      <c r="T70" s="579"/>
      <c r="U70" s="611"/>
      <c r="V70" s="611"/>
      <c r="W70" s="611"/>
      <c r="X70" s="611"/>
      <c r="Y70" s="611"/>
      <c r="Z70" s="611"/>
      <c r="AA70" s="611"/>
      <c r="AB70" s="611"/>
      <c r="AC70" s="611"/>
      <c r="AD70" s="611"/>
      <c r="AE70" s="330"/>
      <c r="AI70" s="1"/>
      <c r="AJ70" s="519"/>
      <c r="AO70" s="611"/>
      <c r="AP70" s="330"/>
      <c r="AU70" s="1"/>
      <c r="AV70" s="519"/>
    </row>
    <row r="71" spans="1:48" ht="15" customHeight="1" x14ac:dyDescent="0.35">
      <c r="A71" s="505" t="s">
        <v>181</v>
      </c>
      <c r="B71" s="506">
        <v>283</v>
      </c>
      <c r="C71" s="509">
        <f>SUM(D71-TIME( ,8, ))</f>
        <v>0.41111111111111115</v>
      </c>
      <c r="D71" s="507">
        <v>0.41666666666666669</v>
      </c>
      <c r="E71" s="510" t="s">
        <v>27</v>
      </c>
      <c r="F71" s="513">
        <v>0.59722222222222221</v>
      </c>
      <c r="G71" s="685" t="s">
        <v>93</v>
      </c>
      <c r="H71" s="507">
        <f t="shared" ref="H71" si="8">SUM(I71-TIME( ,0, ))</f>
        <v>0.63888888888888895</v>
      </c>
      <c r="I71" s="507">
        <v>0.63888888888888895</v>
      </c>
      <c r="J71" s="686" t="s">
        <v>93</v>
      </c>
      <c r="K71" s="687">
        <v>0.77430555555555547</v>
      </c>
      <c r="L71" s="512" t="s">
        <v>27</v>
      </c>
      <c r="M71" s="513">
        <f>SUM(K71+TIME( ,0, ))</f>
        <v>0.77430555555555547</v>
      </c>
      <c r="N71" s="688">
        <f>(M71-C71)</f>
        <v>0.36319444444444432</v>
      </c>
      <c r="O71" s="689">
        <f t="shared" ref="O71" si="9">SUM(N71-P71)</f>
        <v>0.32152777777777758</v>
      </c>
      <c r="P71" s="690">
        <f>SUM(H71-F71)</f>
        <v>4.1666666666666741E-2</v>
      </c>
      <c r="Q71" s="691"/>
      <c r="R71" s="578">
        <f t="shared" si="4"/>
        <v>0.18055555555555552</v>
      </c>
      <c r="S71" s="578">
        <f t="shared" si="5"/>
        <v>0.13541666666666652</v>
      </c>
      <c r="T71" s="579"/>
      <c r="U71" s="611"/>
      <c r="V71" s="611"/>
      <c r="W71" s="611"/>
      <c r="X71" s="611"/>
      <c r="Y71" s="670"/>
      <c r="Z71" s="670"/>
      <c r="AA71" s="670"/>
      <c r="AB71" s="670"/>
      <c r="AC71" s="670"/>
      <c r="AD71" s="611"/>
      <c r="AE71" s="330"/>
      <c r="AI71" s="1"/>
      <c r="AJ71" s="519"/>
      <c r="AO71" s="611"/>
      <c r="AP71" s="330"/>
      <c r="AU71" s="1"/>
      <c r="AV71" s="519"/>
    </row>
    <row r="72" spans="1:48" x14ac:dyDescent="0.35">
      <c r="A72" s="290"/>
      <c r="B72" s="291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518"/>
      <c r="N72" s="692" t="s">
        <v>94</v>
      </c>
      <c r="O72" s="296">
        <f>AVERAGE(O69:O71)</f>
        <v>0.29027777777777769</v>
      </c>
      <c r="P72" s="1557"/>
      <c r="Q72" s="1558"/>
      <c r="R72" s="611"/>
      <c r="S72" s="611"/>
      <c r="T72" s="611"/>
      <c r="U72" s="565"/>
      <c r="V72" s="565"/>
      <c r="W72" s="565"/>
      <c r="X72" s="565"/>
      <c r="Y72" s="611"/>
      <c r="Z72" s="611"/>
      <c r="AA72" s="611"/>
      <c r="AB72" s="611"/>
      <c r="AC72" s="611"/>
      <c r="AD72" s="611"/>
      <c r="AE72" s="330"/>
      <c r="AI72" s="1"/>
      <c r="AJ72" s="519"/>
      <c r="AO72" s="611"/>
      <c r="AP72" s="330"/>
      <c r="AU72" s="1"/>
      <c r="AV72" s="519"/>
    </row>
    <row r="73" spans="1:48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Q73" s="611"/>
      <c r="R73" s="611"/>
      <c r="S73" s="611"/>
      <c r="X73" s="611"/>
      <c r="Y73" s="611"/>
      <c r="Z73" s="611"/>
      <c r="AA73" s="611"/>
      <c r="AB73" s="611"/>
      <c r="AC73" s="565"/>
      <c r="AN73" s="565"/>
    </row>
    <row r="74" spans="1:48" x14ac:dyDescent="0.35">
      <c r="A74" s="565"/>
      <c r="B74" s="611"/>
      <c r="C74" s="611"/>
      <c r="D74" s="670"/>
      <c r="E74" s="611"/>
      <c r="F74" s="611"/>
      <c r="G74" s="670"/>
      <c r="H74" s="611"/>
      <c r="I74" s="611"/>
      <c r="J74" s="611"/>
      <c r="K74" s="611"/>
      <c r="L74" s="611"/>
      <c r="M74" s="611"/>
      <c r="N74" s="611"/>
      <c r="O74" s="611"/>
      <c r="P74" s="611"/>
      <c r="Q74" s="611"/>
      <c r="R74" s="611"/>
      <c r="S74" s="611"/>
      <c r="X74" s="611"/>
      <c r="Y74" s="611"/>
      <c r="Z74" s="611"/>
      <c r="AA74" s="611"/>
      <c r="AB74" s="611"/>
    </row>
    <row r="75" spans="1:48" x14ac:dyDescent="0.35">
      <c r="A75" s="75"/>
      <c r="B75" s="565"/>
      <c r="C75" s="565"/>
      <c r="D75" s="565"/>
      <c r="E75" s="565"/>
      <c r="F75" s="565"/>
      <c r="G75" s="565"/>
      <c r="H75" s="565"/>
      <c r="I75" s="565"/>
      <c r="J75" s="611"/>
      <c r="K75" s="611"/>
      <c r="L75" s="611"/>
      <c r="M75" s="611"/>
      <c r="N75" s="611"/>
      <c r="O75" s="611"/>
      <c r="P75" s="611"/>
      <c r="Q75" s="565"/>
      <c r="R75" s="565"/>
      <c r="S75" s="565"/>
      <c r="X75" s="565"/>
      <c r="Y75" s="565"/>
      <c r="Z75" s="565"/>
      <c r="AA75" s="565"/>
      <c r="AB75" s="565"/>
    </row>
    <row r="76" spans="1:48" x14ac:dyDescent="0.35">
      <c r="B76" s="1"/>
      <c r="C76" s="1"/>
      <c r="D76" s="1"/>
      <c r="E76" s="1"/>
      <c r="F76" s="1"/>
      <c r="G76" s="1"/>
      <c r="J76" s="611"/>
      <c r="K76" s="611"/>
      <c r="L76" s="611"/>
      <c r="M76" s="611"/>
      <c r="N76" s="611"/>
      <c r="O76" s="611"/>
      <c r="P76" s="611"/>
    </row>
    <row r="77" spans="1:48" x14ac:dyDescent="0.35">
      <c r="J77" s="565"/>
      <c r="K77" s="565"/>
      <c r="L77" s="565"/>
      <c r="M77" s="565"/>
      <c r="N77" s="565"/>
      <c r="O77" s="565"/>
      <c r="P77" s="565"/>
    </row>
  </sheetData>
  <mergeCells count="5">
    <mergeCell ref="A1:H1"/>
    <mergeCell ref="P68:Q68"/>
    <mergeCell ref="P72:Q72"/>
    <mergeCell ref="F59:J59"/>
    <mergeCell ref="F60:J60"/>
  </mergeCells>
  <conditionalFormatting sqref="N59:N67">
    <cfRule type="cellIs" dxfId="9" priority="2" operator="greaterThan">
      <formula>0.374305555555556</formula>
    </cfRule>
  </conditionalFormatting>
  <conditionalFormatting sqref="O59:O72">
    <cfRule type="cellIs" dxfId="8" priority="3" operator="greaterThan">
      <formula>0.368055555555556</formula>
    </cfRule>
  </conditionalFormatting>
  <conditionalFormatting sqref="P59:P67 P69:P71">
    <cfRule type="cellIs" dxfId="7" priority="1" operator="lessThan">
      <formula>0.0416666666666667</formula>
    </cfRule>
  </conditionalFormatting>
  <pageMargins left="0.7" right="0.7" top="0.75" bottom="0.75" header="0.3" footer="0.3"/>
  <pageSetup paperSize="8" scale="66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Q81"/>
  <sheetViews>
    <sheetView tabSelected="1" zoomScale="75" zoomScaleNormal="75" workbookViewId="0">
      <selection activeCell="T24" sqref="T24"/>
    </sheetView>
  </sheetViews>
  <sheetFormatPr defaultColWidth="27.6328125" defaultRowHeight="14.5" x14ac:dyDescent="0.35"/>
  <cols>
    <col min="1" max="1" width="11.453125" style="1516" bestFit="1" customWidth="1"/>
    <col min="2" max="2" width="9.81640625" style="1516" bestFit="1" customWidth="1"/>
    <col min="3" max="3" width="19.453125" style="1516" customWidth="1"/>
    <col min="4" max="4" width="13.1796875" style="1516" bestFit="1" customWidth="1"/>
    <col min="5" max="5" width="18.1796875" style="1516" bestFit="1" customWidth="1"/>
    <col min="6" max="6" width="13.1796875" style="1516" bestFit="1" customWidth="1"/>
    <col min="7" max="7" width="18.1796875" style="1516" bestFit="1" customWidth="1"/>
    <col min="8" max="9" width="13.1796875" style="1516" bestFit="1" customWidth="1"/>
    <col min="10" max="10" width="18.1796875" style="1516" bestFit="1" customWidth="1"/>
    <col min="11" max="11" width="13.1796875" style="1516" bestFit="1" customWidth="1"/>
    <col min="12" max="12" width="18.1796875" style="1516" bestFit="1" customWidth="1"/>
    <col min="13" max="13" width="19.453125" style="1516" bestFit="1" customWidth="1"/>
    <col min="14" max="14" width="8.1796875" style="1516" customWidth="1"/>
    <col min="15" max="16" width="7.08984375" style="1516" bestFit="1" customWidth="1"/>
    <col min="17" max="17" width="14.54296875" style="1516" customWidth="1"/>
    <col min="18" max="16384" width="27.6328125" style="1516"/>
  </cols>
  <sheetData>
    <row r="1" spans="1:17" x14ac:dyDescent="0.35">
      <c r="A1" s="1513"/>
      <c r="B1" s="1513"/>
      <c r="C1" s="1588" t="s">
        <v>0</v>
      </c>
      <c r="D1" s="1589"/>
      <c r="E1" s="1589"/>
      <c r="F1" s="1514"/>
      <c r="G1" s="1514"/>
      <c r="H1" s="1514"/>
      <c r="I1" s="1514"/>
      <c r="J1" s="1514"/>
      <c r="K1" s="1514"/>
      <c r="L1" s="1514"/>
      <c r="M1" s="1515" t="s">
        <v>182</v>
      </c>
      <c r="N1" s="1513"/>
      <c r="O1" s="1513"/>
      <c r="P1" s="1513"/>
      <c r="Q1" s="1513"/>
    </row>
    <row r="2" spans="1:17" x14ac:dyDescent="0.35">
      <c r="A2" s="1513"/>
      <c r="B2" s="1513"/>
      <c r="C2" s="1517"/>
      <c r="D2" s="1518" t="s">
        <v>5</v>
      </c>
      <c r="E2" s="1518" t="s">
        <v>2</v>
      </c>
      <c r="F2" s="1518" t="s">
        <v>4</v>
      </c>
      <c r="G2" s="1518" t="s">
        <v>3</v>
      </c>
      <c r="H2" s="1518" t="s">
        <v>7</v>
      </c>
      <c r="I2" s="1518" t="s">
        <v>6</v>
      </c>
      <c r="J2" s="1517"/>
      <c r="K2" s="1518" t="s">
        <v>8</v>
      </c>
      <c r="L2" s="1518" t="s">
        <v>183</v>
      </c>
      <c r="M2" s="1517"/>
      <c r="N2" s="1513"/>
      <c r="O2" s="1513"/>
      <c r="P2" s="1513"/>
      <c r="Q2" s="1513"/>
    </row>
    <row r="3" spans="1:17" x14ac:dyDescent="0.35">
      <c r="A3" s="1513"/>
      <c r="B3" s="1513"/>
      <c r="C3" s="1519" t="s">
        <v>10</v>
      </c>
      <c r="D3" s="1520">
        <v>2925005</v>
      </c>
      <c r="E3" s="1520">
        <v>2925006</v>
      </c>
      <c r="F3" s="1520">
        <v>2925008</v>
      </c>
      <c r="G3" s="1520">
        <v>2925002</v>
      </c>
      <c r="H3" s="1520">
        <v>2925003</v>
      </c>
      <c r="I3" s="1520">
        <v>2925007</v>
      </c>
      <c r="J3" s="1517"/>
      <c r="K3" s="1520">
        <v>2925001</v>
      </c>
      <c r="L3" s="1520">
        <v>2925004</v>
      </c>
      <c r="M3" s="1519" t="s">
        <v>10</v>
      </c>
      <c r="N3" s="1513"/>
      <c r="O3" s="1513"/>
      <c r="P3" s="1513"/>
      <c r="Q3" s="1513"/>
    </row>
    <row r="4" spans="1:17" x14ac:dyDescent="0.35">
      <c r="A4" s="1513"/>
      <c r="B4" s="1513"/>
      <c r="C4" s="1519" t="s">
        <v>27</v>
      </c>
      <c r="D4" s="1521" t="s">
        <v>184</v>
      </c>
      <c r="E4" s="1521" t="s">
        <v>339</v>
      </c>
      <c r="F4" s="1522" t="s">
        <v>340</v>
      </c>
      <c r="G4" s="1521" t="s">
        <v>20</v>
      </c>
      <c r="H4" s="1521" t="s">
        <v>341</v>
      </c>
      <c r="I4" s="1522" t="s">
        <v>342</v>
      </c>
      <c r="J4" s="1517"/>
      <c r="K4" s="1521" t="s">
        <v>343</v>
      </c>
      <c r="L4" s="1521" t="s">
        <v>344</v>
      </c>
      <c r="M4" s="1519" t="s">
        <v>27</v>
      </c>
      <c r="N4" s="1513"/>
      <c r="O4" s="1513"/>
      <c r="P4" s="1513"/>
      <c r="Q4" s="1513"/>
    </row>
    <row r="5" spans="1:17" x14ac:dyDescent="0.35">
      <c r="A5" s="1513"/>
      <c r="B5" s="1513"/>
      <c r="C5" s="1517"/>
      <c r="D5" s="1523"/>
      <c r="E5" s="1523"/>
      <c r="F5" s="1524"/>
      <c r="G5" s="1523"/>
      <c r="H5" s="1523"/>
      <c r="I5" s="1524"/>
      <c r="J5" s="1517"/>
      <c r="K5" s="1523"/>
      <c r="L5" s="1523"/>
      <c r="M5" s="1517"/>
      <c r="N5" s="1513"/>
      <c r="O5" s="1513"/>
      <c r="P5" s="1513"/>
      <c r="Q5" s="1513"/>
    </row>
    <row r="6" spans="1:17" x14ac:dyDescent="0.35">
      <c r="A6" s="1513"/>
      <c r="B6" s="1513"/>
      <c r="C6" s="1525" t="s">
        <v>503</v>
      </c>
      <c r="D6" s="1523"/>
      <c r="E6" s="1523"/>
      <c r="F6" s="1524"/>
      <c r="G6" s="1523"/>
      <c r="H6" s="1523"/>
      <c r="I6" s="1524"/>
      <c r="J6" s="1517"/>
      <c r="K6" s="1526" t="s">
        <v>461</v>
      </c>
      <c r="L6" s="1523"/>
      <c r="M6" s="1525" t="s">
        <v>503</v>
      </c>
      <c r="N6" s="1513"/>
      <c r="O6" s="1513"/>
      <c r="P6" s="1513"/>
      <c r="Q6" s="1513"/>
    </row>
    <row r="7" spans="1:17" x14ac:dyDescent="0.35">
      <c r="A7" s="1513"/>
      <c r="B7" s="1513"/>
      <c r="C7" s="1517"/>
      <c r="D7" s="1523"/>
      <c r="E7" s="1523"/>
      <c r="F7" s="1524"/>
      <c r="G7" s="1523"/>
      <c r="H7" s="1523"/>
      <c r="I7" s="1524"/>
      <c r="J7" s="1517"/>
      <c r="K7" s="1523"/>
      <c r="L7" s="1523"/>
      <c r="M7" s="1517"/>
      <c r="N7" s="1513"/>
      <c r="O7" s="1513"/>
      <c r="P7" s="1513"/>
      <c r="Q7" s="1513"/>
    </row>
    <row r="8" spans="1:17" x14ac:dyDescent="0.35">
      <c r="A8" s="1513"/>
      <c r="B8" s="1513"/>
      <c r="C8" s="1527" t="s">
        <v>29</v>
      </c>
      <c r="D8" s="1523"/>
      <c r="E8" s="1523"/>
      <c r="F8" s="1524"/>
      <c r="G8" s="1528" t="s">
        <v>461</v>
      </c>
      <c r="H8" s="1523"/>
      <c r="I8" s="1524"/>
      <c r="J8" s="1517"/>
      <c r="K8" s="1528" t="s">
        <v>462</v>
      </c>
      <c r="L8" s="1528" t="s">
        <v>463</v>
      </c>
      <c r="M8" s="1527" t="s">
        <v>29</v>
      </c>
      <c r="N8" s="1513"/>
      <c r="O8" s="1513"/>
      <c r="P8" s="1513"/>
      <c r="Q8" s="1513"/>
    </row>
    <row r="9" spans="1:17" x14ac:dyDescent="0.35">
      <c r="A9" s="1513"/>
      <c r="B9" s="1513"/>
      <c r="C9" s="1517"/>
      <c r="D9" s="1523"/>
      <c r="E9" s="1523"/>
      <c r="F9" s="1524"/>
      <c r="G9" s="1523"/>
      <c r="H9" s="1523"/>
      <c r="I9" s="1524"/>
      <c r="J9" s="1517"/>
      <c r="K9" s="1523"/>
      <c r="L9" s="1523"/>
      <c r="M9" s="1517"/>
      <c r="N9" s="1513"/>
      <c r="O9" s="1513"/>
      <c r="P9" s="1513"/>
      <c r="Q9" s="1513"/>
    </row>
    <row r="10" spans="1:17" x14ac:dyDescent="0.35">
      <c r="A10" s="1513"/>
      <c r="B10" s="1513"/>
      <c r="C10" s="1525" t="s">
        <v>503</v>
      </c>
      <c r="D10" s="1523"/>
      <c r="E10" s="1523"/>
      <c r="F10" s="1524"/>
      <c r="G10" s="1526" t="s">
        <v>462</v>
      </c>
      <c r="H10" s="1526" t="s">
        <v>463</v>
      </c>
      <c r="I10" s="1524"/>
      <c r="J10" s="1517"/>
      <c r="K10" s="1526" t="s">
        <v>388</v>
      </c>
      <c r="L10" s="1526" t="s">
        <v>464</v>
      </c>
      <c r="M10" s="1525" t="s">
        <v>503</v>
      </c>
      <c r="N10" s="1513"/>
      <c r="O10" s="1513"/>
      <c r="P10" s="1513"/>
      <c r="Q10" s="1513"/>
    </row>
    <row r="11" spans="1:17" x14ac:dyDescent="0.35">
      <c r="A11" s="1513"/>
      <c r="B11" s="1513"/>
      <c r="C11" s="1517"/>
      <c r="D11" s="1523"/>
      <c r="E11" s="1523"/>
      <c r="F11" s="1524"/>
      <c r="G11" s="1523"/>
      <c r="H11" s="1523"/>
      <c r="I11" s="1524"/>
      <c r="J11" s="1517"/>
      <c r="K11" s="1523"/>
      <c r="L11" s="1529"/>
      <c r="M11" s="1517"/>
      <c r="N11" s="1513"/>
      <c r="O11" s="1513"/>
      <c r="P11" s="1513"/>
      <c r="Q11" s="1513"/>
    </row>
    <row r="12" spans="1:17" x14ac:dyDescent="0.35">
      <c r="A12" s="1513"/>
      <c r="B12" s="1513"/>
      <c r="C12" s="1527" t="s">
        <v>29</v>
      </c>
      <c r="D12" s="1523"/>
      <c r="E12" s="1528" t="s">
        <v>388</v>
      </c>
      <c r="F12" s="1524"/>
      <c r="G12" s="1528" t="s">
        <v>464</v>
      </c>
      <c r="H12" s="1528" t="s">
        <v>465</v>
      </c>
      <c r="I12" s="1531" t="s">
        <v>455</v>
      </c>
      <c r="J12" s="1517"/>
      <c r="K12" s="1528" t="s">
        <v>466</v>
      </c>
      <c r="L12" s="1528" t="s">
        <v>467</v>
      </c>
      <c r="M12" s="1527" t="s">
        <v>29</v>
      </c>
      <c r="N12" s="1513"/>
      <c r="O12" s="1513"/>
      <c r="P12" s="1513"/>
      <c r="Q12" s="1513"/>
    </row>
    <row r="13" spans="1:17" x14ac:dyDescent="0.35">
      <c r="A13" s="1513"/>
      <c r="B13" s="1513"/>
      <c r="C13" s="1517"/>
      <c r="D13" s="1523"/>
      <c r="E13" s="1523"/>
      <c r="F13" s="1524"/>
      <c r="G13" s="1523"/>
      <c r="H13" s="1523"/>
      <c r="I13" s="1524"/>
      <c r="J13" s="1517"/>
      <c r="K13" s="1523"/>
      <c r="L13" s="1523"/>
      <c r="M13" s="1517"/>
      <c r="N13" s="1513"/>
      <c r="O13" s="1513"/>
      <c r="P13" s="1513"/>
      <c r="Q13" s="1513"/>
    </row>
    <row r="14" spans="1:17" x14ac:dyDescent="0.35">
      <c r="A14" s="1513"/>
      <c r="B14" s="1513"/>
      <c r="C14" s="1525" t="s">
        <v>503</v>
      </c>
      <c r="D14" s="1526" t="s">
        <v>465</v>
      </c>
      <c r="E14" s="1526" t="s">
        <v>455</v>
      </c>
      <c r="F14" s="1530" t="s">
        <v>466</v>
      </c>
      <c r="G14" s="1526" t="s">
        <v>467</v>
      </c>
      <c r="H14" s="1526" t="s">
        <v>468</v>
      </c>
      <c r="I14" s="1530" t="s">
        <v>456</v>
      </c>
      <c r="J14" s="1517"/>
      <c r="K14" s="1526" t="s">
        <v>469</v>
      </c>
      <c r="L14" s="1526" t="s">
        <v>470</v>
      </c>
      <c r="M14" s="1525" t="s">
        <v>503</v>
      </c>
      <c r="N14" s="1513"/>
      <c r="O14" s="1513"/>
      <c r="P14" s="1513"/>
      <c r="Q14" s="1513"/>
    </row>
    <row r="15" spans="1:17" x14ac:dyDescent="0.35">
      <c r="A15" s="1513"/>
      <c r="B15" s="1513"/>
      <c r="C15" s="1517"/>
      <c r="D15" s="1523"/>
      <c r="E15" s="1523"/>
      <c r="F15" s="1524"/>
      <c r="G15" s="1523"/>
      <c r="H15" s="1523"/>
      <c r="I15" s="1524"/>
      <c r="J15" s="1517"/>
      <c r="K15" s="1523"/>
      <c r="L15" s="1523"/>
      <c r="M15" s="1517"/>
      <c r="N15" s="1513"/>
      <c r="O15" s="1513"/>
      <c r="P15" s="1513"/>
      <c r="Q15" s="1513"/>
    </row>
    <row r="16" spans="1:17" x14ac:dyDescent="0.35">
      <c r="A16" s="1513"/>
      <c r="B16" s="1513"/>
      <c r="C16" s="1527" t="s">
        <v>29</v>
      </c>
      <c r="D16" s="1528" t="s">
        <v>468</v>
      </c>
      <c r="E16" s="1528" t="s">
        <v>456</v>
      </c>
      <c r="F16" s="1531" t="s">
        <v>469</v>
      </c>
      <c r="G16" s="1528" t="s">
        <v>470</v>
      </c>
      <c r="H16" s="1528" t="s">
        <v>471</v>
      </c>
      <c r="I16" s="1531" t="s">
        <v>382</v>
      </c>
      <c r="J16" s="1517"/>
      <c r="K16" s="1528" t="s">
        <v>472</v>
      </c>
      <c r="L16" s="1528" t="s">
        <v>473</v>
      </c>
      <c r="M16" s="1527" t="s">
        <v>29</v>
      </c>
      <c r="N16" s="1513"/>
      <c r="O16" s="1513"/>
      <c r="P16" s="1513"/>
      <c r="Q16" s="1513"/>
    </row>
    <row r="17" spans="1:17" x14ac:dyDescent="0.35">
      <c r="A17" s="1513"/>
      <c r="B17" s="1513"/>
      <c r="C17" s="1517"/>
      <c r="D17" s="1523"/>
      <c r="E17" s="1523"/>
      <c r="F17" s="1524"/>
      <c r="G17" s="1523"/>
      <c r="H17" s="1523"/>
      <c r="I17" s="1524"/>
      <c r="J17" s="1517"/>
      <c r="K17" s="1523"/>
      <c r="L17" s="1523"/>
      <c r="M17" s="1517"/>
      <c r="N17" s="1513"/>
      <c r="O17" s="1513"/>
      <c r="P17" s="1513"/>
      <c r="Q17" s="1513"/>
    </row>
    <row r="18" spans="1:17" x14ac:dyDescent="0.35">
      <c r="A18" s="1513"/>
      <c r="B18" s="1513"/>
      <c r="C18" s="1525" t="s">
        <v>503</v>
      </c>
      <c r="D18" s="1526" t="s">
        <v>471</v>
      </c>
      <c r="E18" s="1530" t="s">
        <v>504</v>
      </c>
      <c r="F18" s="1530" t="s">
        <v>472</v>
      </c>
      <c r="G18" s="1526" t="s">
        <v>473</v>
      </c>
      <c r="H18" s="1526" t="s">
        <v>474</v>
      </c>
      <c r="I18" s="1521" t="s">
        <v>505</v>
      </c>
      <c r="J18" s="1517"/>
      <c r="K18" s="1532" t="s">
        <v>345</v>
      </c>
      <c r="L18" s="1522" t="s">
        <v>506</v>
      </c>
      <c r="M18" s="1525" t="s">
        <v>503</v>
      </c>
      <c r="N18" s="1513"/>
      <c r="O18" s="1513"/>
      <c r="P18" s="1513"/>
      <c r="Q18" s="1513"/>
    </row>
    <row r="19" spans="1:17" x14ac:dyDescent="0.35">
      <c r="A19" s="1513"/>
      <c r="B19" s="1513"/>
      <c r="C19" s="1517"/>
      <c r="D19" s="1523"/>
      <c r="E19" s="1524"/>
      <c r="F19" s="1524"/>
      <c r="G19" s="1523"/>
      <c r="H19" s="1523"/>
      <c r="I19" s="1523"/>
      <c r="J19" s="1517"/>
      <c r="K19" s="1521" t="s">
        <v>346</v>
      </c>
      <c r="L19" s="1524"/>
      <c r="M19" s="1517"/>
      <c r="N19" s="1513"/>
      <c r="O19" s="1513"/>
      <c r="P19" s="1513"/>
      <c r="Q19" s="1513"/>
    </row>
    <row r="20" spans="1:17" x14ac:dyDescent="0.35">
      <c r="A20" s="1513"/>
      <c r="B20" s="1513"/>
      <c r="C20" s="1527" t="s">
        <v>29</v>
      </c>
      <c r="D20" s="1528" t="s">
        <v>474</v>
      </c>
      <c r="E20" s="1531" t="s">
        <v>383</v>
      </c>
      <c r="F20" s="1531" t="s">
        <v>375</v>
      </c>
      <c r="G20" s="1532" t="s">
        <v>347</v>
      </c>
      <c r="H20" s="1528" t="s">
        <v>363</v>
      </c>
      <c r="I20" s="1528" t="s">
        <v>457</v>
      </c>
      <c r="J20" s="1517"/>
      <c r="K20" s="1517"/>
      <c r="L20" s="1531" t="s">
        <v>440</v>
      </c>
      <c r="M20" s="1527" t="s">
        <v>29</v>
      </c>
      <c r="N20" s="1513"/>
      <c r="O20" s="1513"/>
      <c r="P20" s="1513"/>
      <c r="Q20" s="1513"/>
    </row>
    <row r="21" spans="1:17" x14ac:dyDescent="0.35">
      <c r="A21" s="1513"/>
      <c r="B21" s="1513"/>
      <c r="C21" s="1517"/>
      <c r="D21" s="1523"/>
      <c r="E21" s="1524"/>
      <c r="F21" s="1524"/>
      <c r="G21" s="1521" t="s">
        <v>348</v>
      </c>
      <c r="H21" s="1523"/>
      <c r="I21" s="1523"/>
      <c r="J21" s="1518" t="s">
        <v>37</v>
      </c>
      <c r="K21" s="1517"/>
      <c r="L21" s="1524"/>
      <c r="M21" s="1517"/>
      <c r="N21" s="1513"/>
      <c r="O21" s="1513"/>
      <c r="P21" s="1513"/>
      <c r="Q21" s="1513"/>
    </row>
    <row r="22" spans="1:17" x14ac:dyDescent="0.35">
      <c r="A22" s="1513"/>
      <c r="B22" s="1513"/>
      <c r="C22" s="1525" t="s">
        <v>503</v>
      </c>
      <c r="D22" s="1526" t="s">
        <v>363</v>
      </c>
      <c r="E22" s="1530" t="s">
        <v>457</v>
      </c>
      <c r="F22" s="1522" t="s">
        <v>507</v>
      </c>
      <c r="G22" s="1517"/>
      <c r="H22" s="1521" t="s">
        <v>508</v>
      </c>
      <c r="I22" s="1526" t="s">
        <v>458</v>
      </c>
      <c r="J22" s="1520">
        <v>2925010</v>
      </c>
      <c r="K22" s="1517"/>
      <c r="L22" s="1530" t="s">
        <v>475</v>
      </c>
      <c r="M22" s="1525" t="s">
        <v>503</v>
      </c>
      <c r="N22" s="1513"/>
      <c r="O22" s="1513"/>
      <c r="P22" s="1513"/>
      <c r="Q22" s="1513"/>
    </row>
    <row r="23" spans="1:17" x14ac:dyDescent="0.35">
      <c r="A23" s="1513"/>
      <c r="B23" s="1513"/>
      <c r="C23" s="1517"/>
      <c r="D23" s="1523"/>
      <c r="E23" s="1524"/>
      <c r="F23" s="1524"/>
      <c r="G23" s="1517"/>
      <c r="H23" s="1523"/>
      <c r="I23" s="1523"/>
      <c r="J23" s="1533" t="s">
        <v>187</v>
      </c>
      <c r="K23" s="1517"/>
      <c r="L23" s="1524"/>
      <c r="M23" s="1517"/>
      <c r="N23" s="1513"/>
      <c r="O23" s="1513"/>
      <c r="P23" s="1513"/>
      <c r="Q23" s="1513"/>
    </row>
    <row r="24" spans="1:17" x14ac:dyDescent="0.35">
      <c r="A24" s="1513"/>
      <c r="B24" s="1513"/>
      <c r="C24" s="1527" t="s">
        <v>29</v>
      </c>
      <c r="D24" s="1528" t="s">
        <v>371</v>
      </c>
      <c r="E24" s="1531" t="s">
        <v>458</v>
      </c>
      <c r="F24" s="1531" t="s">
        <v>475</v>
      </c>
      <c r="G24" s="1517"/>
      <c r="H24" s="1528" t="s">
        <v>389</v>
      </c>
      <c r="I24" s="1528" t="s">
        <v>397</v>
      </c>
      <c r="J24" s="1534" t="s">
        <v>476</v>
      </c>
      <c r="K24" s="1517"/>
      <c r="L24" s="1531" t="s">
        <v>376</v>
      </c>
      <c r="M24" s="1527" t="s">
        <v>29</v>
      </c>
      <c r="N24" s="1513"/>
      <c r="O24" s="1513"/>
      <c r="P24" s="1513"/>
      <c r="Q24" s="1513"/>
    </row>
    <row r="25" spans="1:17" x14ac:dyDescent="0.35">
      <c r="A25" s="1513"/>
      <c r="B25" s="1513"/>
      <c r="C25" s="1517"/>
      <c r="D25" s="1523"/>
      <c r="E25" s="1524"/>
      <c r="F25" s="1524"/>
      <c r="G25" s="1517"/>
      <c r="H25" s="1523"/>
      <c r="I25" s="1523"/>
      <c r="J25" s="1535"/>
      <c r="K25" s="1517"/>
      <c r="L25" s="1524"/>
      <c r="M25" s="1517"/>
      <c r="N25" s="1513"/>
      <c r="O25" s="1513"/>
      <c r="P25" s="1513"/>
      <c r="Q25" s="1513"/>
    </row>
    <row r="26" spans="1:17" x14ac:dyDescent="0.35">
      <c r="A26" s="1513"/>
      <c r="B26" s="1513"/>
      <c r="C26" s="1525" t="s">
        <v>503</v>
      </c>
      <c r="D26" s="1522" t="s">
        <v>509</v>
      </c>
      <c r="E26" s="1533" t="s">
        <v>510</v>
      </c>
      <c r="F26" s="1530" t="s">
        <v>476</v>
      </c>
      <c r="G26" s="1517"/>
      <c r="H26" s="1533" t="s">
        <v>511</v>
      </c>
      <c r="I26" s="1526" t="s">
        <v>477</v>
      </c>
      <c r="J26" s="1536" t="s">
        <v>459</v>
      </c>
      <c r="K26" s="1517"/>
      <c r="L26" s="1522" t="s">
        <v>512</v>
      </c>
      <c r="M26" s="1525" t="s">
        <v>503</v>
      </c>
      <c r="N26" s="1513"/>
      <c r="O26" s="1513"/>
      <c r="P26" s="1513"/>
      <c r="Q26" s="1513"/>
    </row>
    <row r="27" spans="1:17" x14ac:dyDescent="0.35">
      <c r="A27" s="1513"/>
      <c r="B27" s="1513"/>
      <c r="C27" s="1517"/>
      <c r="D27" s="1524"/>
      <c r="E27" s="1535"/>
      <c r="F27" s="1524"/>
      <c r="G27" s="1517"/>
      <c r="H27" s="1535"/>
      <c r="I27" s="1523"/>
      <c r="J27" s="1535"/>
      <c r="K27" s="1518" t="s">
        <v>189</v>
      </c>
      <c r="L27" s="1524"/>
      <c r="M27" s="1517"/>
      <c r="N27" s="1513"/>
      <c r="O27" s="1513"/>
      <c r="P27" s="1513"/>
      <c r="Q27" s="1513"/>
    </row>
    <row r="28" spans="1:17" x14ac:dyDescent="0.35">
      <c r="A28" s="1513"/>
      <c r="B28" s="1513"/>
      <c r="C28" s="1527" t="s">
        <v>29</v>
      </c>
      <c r="D28" s="1531" t="s">
        <v>477</v>
      </c>
      <c r="E28" s="1534" t="s">
        <v>459</v>
      </c>
      <c r="F28" s="1531" t="s">
        <v>448</v>
      </c>
      <c r="G28" s="1517"/>
      <c r="H28" s="1534" t="s">
        <v>478</v>
      </c>
      <c r="I28" s="1528" t="s">
        <v>460</v>
      </c>
      <c r="J28" s="1534" t="s">
        <v>479</v>
      </c>
      <c r="K28" s="1520">
        <v>2925011</v>
      </c>
      <c r="L28" s="1531" t="s">
        <v>480</v>
      </c>
      <c r="M28" s="1527" t="s">
        <v>29</v>
      </c>
      <c r="N28" s="1513"/>
      <c r="O28" s="1513"/>
      <c r="P28" s="1513"/>
      <c r="Q28" s="1513"/>
    </row>
    <row r="29" spans="1:17" x14ac:dyDescent="0.35">
      <c r="A29" s="1513"/>
      <c r="B29" s="1513"/>
      <c r="C29" s="1517"/>
      <c r="D29" s="1524"/>
      <c r="E29" s="1535"/>
      <c r="F29" s="1524"/>
      <c r="G29" s="1517"/>
      <c r="H29" s="1535"/>
      <c r="I29" s="1523"/>
      <c r="J29" s="1535"/>
      <c r="K29" s="1537" t="s">
        <v>47</v>
      </c>
      <c r="L29" s="1524"/>
      <c r="M29" s="1517"/>
      <c r="N29" s="1513"/>
      <c r="O29" s="1513"/>
      <c r="P29" s="1513"/>
      <c r="Q29" s="1513"/>
    </row>
    <row r="30" spans="1:17" x14ac:dyDescent="0.35">
      <c r="A30" s="1513"/>
      <c r="B30" s="1513"/>
      <c r="C30" s="1525" t="s">
        <v>503</v>
      </c>
      <c r="D30" s="1530" t="s">
        <v>478</v>
      </c>
      <c r="E30" s="1536" t="s">
        <v>460</v>
      </c>
      <c r="F30" s="1530" t="s">
        <v>479</v>
      </c>
      <c r="G30" s="1517"/>
      <c r="H30" s="1536" t="s">
        <v>480</v>
      </c>
      <c r="I30" s="1537" t="s">
        <v>513</v>
      </c>
      <c r="J30" s="1537" t="s">
        <v>514</v>
      </c>
      <c r="K30" s="1538" t="s">
        <v>481</v>
      </c>
      <c r="L30" s="1530" t="s">
        <v>482</v>
      </c>
      <c r="M30" s="1525" t="s">
        <v>503</v>
      </c>
      <c r="N30" s="1513"/>
      <c r="O30" s="1513"/>
      <c r="P30" s="1513"/>
      <c r="Q30" s="1513"/>
    </row>
    <row r="31" spans="1:17" x14ac:dyDescent="0.35">
      <c r="A31" s="1513"/>
      <c r="B31" s="1513"/>
      <c r="C31" s="1517"/>
      <c r="D31" s="1524"/>
      <c r="E31" s="1535"/>
      <c r="F31" s="1524"/>
      <c r="G31" s="1517"/>
      <c r="H31" s="1535"/>
      <c r="I31" s="1539"/>
      <c r="J31" s="1539"/>
      <c r="K31" s="1539"/>
      <c r="L31" s="1524"/>
      <c r="M31" s="1517"/>
      <c r="N31" s="1513"/>
      <c r="O31" s="1513"/>
      <c r="P31" s="1513"/>
      <c r="Q31" s="1513"/>
    </row>
    <row r="32" spans="1:17" x14ac:dyDescent="0.35">
      <c r="A32" s="1513"/>
      <c r="B32" s="1513"/>
      <c r="C32" s="1527" t="s">
        <v>29</v>
      </c>
      <c r="D32" s="1531" t="s">
        <v>384</v>
      </c>
      <c r="E32" s="1534" t="s">
        <v>392</v>
      </c>
      <c r="F32" s="1531" t="s">
        <v>481</v>
      </c>
      <c r="G32" s="1517"/>
      <c r="H32" s="1534" t="s">
        <v>482</v>
      </c>
      <c r="I32" s="1540" t="s">
        <v>426</v>
      </c>
      <c r="J32" s="1540" t="s">
        <v>393</v>
      </c>
      <c r="K32" s="1540" t="s">
        <v>430</v>
      </c>
      <c r="L32" s="1531" t="s">
        <v>403</v>
      </c>
      <c r="M32" s="1527" t="s">
        <v>29</v>
      </c>
      <c r="N32" s="1513"/>
      <c r="O32" s="1513"/>
      <c r="P32" s="1513"/>
      <c r="Q32" s="1513"/>
    </row>
    <row r="33" spans="1:17" x14ac:dyDescent="0.35">
      <c r="A33" s="1513"/>
      <c r="B33" s="1513"/>
      <c r="C33" s="1517"/>
      <c r="D33" s="1524"/>
      <c r="E33" s="1535"/>
      <c r="F33" s="1524"/>
      <c r="G33" s="1517"/>
      <c r="H33" s="1535"/>
      <c r="I33" s="1539"/>
      <c r="J33" s="1539"/>
      <c r="K33" s="1539"/>
      <c r="L33" s="1524"/>
      <c r="M33" s="1517"/>
      <c r="N33" s="1513"/>
      <c r="O33" s="1513"/>
      <c r="P33" s="1513"/>
      <c r="Q33" s="1513"/>
    </row>
    <row r="34" spans="1:17" x14ac:dyDescent="0.35">
      <c r="A34" s="1513"/>
      <c r="B34" s="1513"/>
      <c r="C34" s="1525" t="s">
        <v>503</v>
      </c>
      <c r="D34" s="1537" t="s">
        <v>515</v>
      </c>
      <c r="E34" s="1533" t="s">
        <v>516</v>
      </c>
      <c r="F34" s="1537" t="s">
        <v>517</v>
      </c>
      <c r="G34" s="1517"/>
      <c r="H34" s="1522" t="s">
        <v>518</v>
      </c>
      <c r="I34" s="1538" t="s">
        <v>483</v>
      </c>
      <c r="J34" s="1538" t="s">
        <v>484</v>
      </c>
      <c r="K34" s="1538" t="s">
        <v>485</v>
      </c>
      <c r="L34" s="1533" t="s">
        <v>519</v>
      </c>
      <c r="M34" s="1525" t="s">
        <v>503</v>
      </c>
      <c r="N34" s="1513"/>
      <c r="O34" s="1513"/>
      <c r="P34" s="1513"/>
      <c r="Q34" s="1513"/>
    </row>
    <row r="35" spans="1:17" x14ac:dyDescent="0.35">
      <c r="A35" s="1513"/>
      <c r="B35" s="1513"/>
      <c r="C35" s="1517"/>
      <c r="D35" s="1539"/>
      <c r="E35" s="1535"/>
      <c r="F35" s="1539"/>
      <c r="G35" s="1517"/>
      <c r="H35" s="1524"/>
      <c r="I35" s="1539"/>
      <c r="J35" s="1539"/>
      <c r="K35" s="1539"/>
      <c r="L35" s="1535"/>
      <c r="M35" s="1517"/>
      <c r="N35" s="1513"/>
      <c r="O35" s="1513"/>
      <c r="P35" s="1513"/>
      <c r="Q35" s="1513"/>
    </row>
    <row r="36" spans="1:17" x14ac:dyDescent="0.35">
      <c r="A36" s="1513"/>
      <c r="B36" s="1513"/>
      <c r="C36" s="1527" t="s">
        <v>29</v>
      </c>
      <c r="D36" s="1540" t="s">
        <v>483</v>
      </c>
      <c r="E36" s="1534" t="s">
        <v>484</v>
      </c>
      <c r="F36" s="1540" t="s">
        <v>485</v>
      </c>
      <c r="G36" s="1517"/>
      <c r="H36" s="1531" t="s">
        <v>398</v>
      </c>
      <c r="I36" s="1540" t="s">
        <v>404</v>
      </c>
      <c r="J36" s="1540" t="s">
        <v>486</v>
      </c>
      <c r="K36" s="1540" t="s">
        <v>487</v>
      </c>
      <c r="L36" s="1534" t="s">
        <v>488</v>
      </c>
      <c r="M36" s="1527" t="s">
        <v>29</v>
      </c>
      <c r="N36" s="1513"/>
      <c r="O36" s="1513"/>
      <c r="P36" s="1513"/>
      <c r="Q36" s="1513"/>
    </row>
    <row r="37" spans="1:17" x14ac:dyDescent="0.35">
      <c r="A37" s="1513"/>
      <c r="B37" s="1513"/>
      <c r="C37" s="1517"/>
      <c r="D37" s="1539"/>
      <c r="E37" s="1535"/>
      <c r="F37" s="1539"/>
      <c r="G37" s="1517"/>
      <c r="H37" s="1524"/>
      <c r="I37" s="1539"/>
      <c r="J37" s="1539"/>
      <c r="K37" s="1539"/>
      <c r="L37" s="1535"/>
      <c r="M37" s="1517"/>
      <c r="N37" s="1513"/>
      <c r="O37" s="1513"/>
      <c r="P37" s="1513"/>
      <c r="Q37" s="1513"/>
    </row>
    <row r="38" spans="1:17" x14ac:dyDescent="0.35">
      <c r="A38" s="1513"/>
      <c r="B38" s="1513"/>
      <c r="C38" s="1525" t="s">
        <v>503</v>
      </c>
      <c r="D38" s="1533" t="s">
        <v>520</v>
      </c>
      <c r="E38" s="1536" t="s">
        <v>486</v>
      </c>
      <c r="F38" s="1538" t="s">
        <v>487</v>
      </c>
      <c r="G38" s="1517"/>
      <c r="H38" s="1530" t="s">
        <v>488</v>
      </c>
      <c r="I38" s="1538" t="s">
        <v>521</v>
      </c>
      <c r="J38" s="1540" t="s">
        <v>522</v>
      </c>
      <c r="K38" s="1541" t="s">
        <v>59</v>
      </c>
      <c r="L38" s="1536" t="s">
        <v>489</v>
      </c>
      <c r="M38" s="1525" t="s">
        <v>503</v>
      </c>
      <c r="N38" s="1513"/>
      <c r="O38" s="1513"/>
      <c r="P38" s="1513"/>
      <c r="Q38" s="1513"/>
    </row>
    <row r="39" spans="1:17" x14ac:dyDescent="0.35">
      <c r="A39" s="1513"/>
      <c r="B39" s="1513"/>
      <c r="C39" s="1517"/>
      <c r="D39" s="1535"/>
      <c r="E39" s="1535"/>
      <c r="F39" s="1539"/>
      <c r="G39" s="1517"/>
      <c r="H39" s="1524"/>
      <c r="I39" s="1539"/>
      <c r="J39" s="1539"/>
      <c r="K39" s="1537" t="s">
        <v>60</v>
      </c>
      <c r="L39" s="1535"/>
      <c r="M39" s="1517"/>
      <c r="N39" s="1513"/>
      <c r="O39" s="1513"/>
      <c r="P39" s="1513"/>
      <c r="Q39" s="1513"/>
    </row>
    <row r="40" spans="1:17" x14ac:dyDescent="0.35">
      <c r="A40" s="1513"/>
      <c r="B40" s="1513"/>
      <c r="C40" s="1527" t="s">
        <v>29</v>
      </c>
      <c r="D40" s="1534" t="s">
        <v>417</v>
      </c>
      <c r="E40" s="1534" t="s">
        <v>422</v>
      </c>
      <c r="F40" s="1540" t="s">
        <v>489</v>
      </c>
      <c r="G40" s="1517"/>
      <c r="H40" s="1542" t="s">
        <v>349</v>
      </c>
      <c r="I40" s="1540" t="s">
        <v>490</v>
      </c>
      <c r="J40" s="1540" t="s">
        <v>394</v>
      </c>
      <c r="K40" s="1517"/>
      <c r="L40" s="1534" t="s">
        <v>423</v>
      </c>
      <c r="M40" s="1527" t="s">
        <v>29</v>
      </c>
      <c r="N40" s="1513"/>
      <c r="O40" s="1513"/>
      <c r="P40" s="1513"/>
      <c r="Q40" s="1513"/>
    </row>
    <row r="41" spans="1:17" x14ac:dyDescent="0.35">
      <c r="A41" s="1513"/>
      <c r="B41" s="1513"/>
      <c r="C41" s="1517"/>
      <c r="D41" s="1535"/>
      <c r="E41" s="1535"/>
      <c r="F41" s="1539"/>
      <c r="G41" s="1517"/>
      <c r="H41" s="1522" t="s">
        <v>350</v>
      </c>
      <c r="I41" s="1539"/>
      <c r="J41" s="1539"/>
      <c r="K41" s="1518" t="s">
        <v>198</v>
      </c>
      <c r="L41" s="1535"/>
      <c r="M41" s="1517"/>
      <c r="N41" s="1513"/>
      <c r="O41" s="1513"/>
      <c r="P41" s="1513"/>
      <c r="Q41" s="1513"/>
    </row>
    <row r="42" spans="1:17" x14ac:dyDescent="0.35">
      <c r="A42" s="1513"/>
      <c r="B42" s="1513"/>
      <c r="C42" s="1525" t="s">
        <v>503</v>
      </c>
      <c r="D42" s="1536" t="s">
        <v>490</v>
      </c>
      <c r="E42" s="1537" t="s">
        <v>523</v>
      </c>
      <c r="F42" s="1537" t="s">
        <v>524</v>
      </c>
      <c r="G42" s="1517"/>
      <c r="H42" s="1517"/>
      <c r="I42" s="1538" t="s">
        <v>491</v>
      </c>
      <c r="J42" s="1538" t="s">
        <v>492</v>
      </c>
      <c r="K42" s="1520">
        <v>2925012</v>
      </c>
      <c r="L42" s="1536" t="s">
        <v>493</v>
      </c>
      <c r="M42" s="1525" t="s">
        <v>503</v>
      </c>
      <c r="N42" s="1513"/>
      <c r="O42" s="1513"/>
      <c r="P42" s="1513"/>
      <c r="Q42" s="1513"/>
    </row>
    <row r="43" spans="1:17" x14ac:dyDescent="0.35">
      <c r="A43" s="1513"/>
      <c r="B43" s="1513"/>
      <c r="C43" s="1517"/>
      <c r="D43" s="1535"/>
      <c r="E43" s="1539"/>
      <c r="F43" s="1539"/>
      <c r="G43" s="1517"/>
      <c r="H43" s="1517"/>
      <c r="I43" s="1539"/>
      <c r="J43" s="1539"/>
      <c r="K43" s="1537" t="s">
        <v>351</v>
      </c>
      <c r="L43" s="1535"/>
      <c r="M43" s="1517"/>
      <c r="N43" s="1513"/>
      <c r="O43" s="1513"/>
      <c r="P43" s="1513"/>
      <c r="Q43" s="1513"/>
    </row>
    <row r="44" spans="1:17" x14ac:dyDescent="0.35">
      <c r="A44" s="1513"/>
      <c r="B44" s="1513"/>
      <c r="C44" s="1527" t="s">
        <v>29</v>
      </c>
      <c r="D44" s="1534" t="s">
        <v>491</v>
      </c>
      <c r="E44" s="1540" t="s">
        <v>492</v>
      </c>
      <c r="F44" s="1540" t="s">
        <v>493</v>
      </c>
      <c r="G44" s="1517"/>
      <c r="H44" s="1517"/>
      <c r="I44" s="1540" t="s">
        <v>405</v>
      </c>
      <c r="J44" s="1540" t="s">
        <v>494</v>
      </c>
      <c r="K44" s="1540" t="s">
        <v>495</v>
      </c>
      <c r="L44" s="1543" t="s">
        <v>352</v>
      </c>
      <c r="M44" s="1527" t="s">
        <v>29</v>
      </c>
      <c r="N44" s="1513"/>
      <c r="O44" s="1513"/>
      <c r="P44" s="1513"/>
      <c r="Q44" s="1513"/>
    </row>
    <row r="45" spans="1:17" x14ac:dyDescent="0.35">
      <c r="A45" s="1513"/>
      <c r="B45" s="1513"/>
      <c r="C45" s="1517"/>
      <c r="D45" s="1535"/>
      <c r="E45" s="1539"/>
      <c r="F45" s="1539"/>
      <c r="G45" s="1517"/>
      <c r="H45" s="1517"/>
      <c r="I45" s="1539"/>
      <c r="J45" s="1539"/>
      <c r="K45" s="1539"/>
      <c r="L45" s="1533" t="s">
        <v>353</v>
      </c>
      <c r="M45" s="1517"/>
      <c r="N45" s="1513"/>
      <c r="O45" s="1513"/>
      <c r="P45" s="1513"/>
      <c r="Q45" s="1513"/>
    </row>
    <row r="46" spans="1:17" x14ac:dyDescent="0.35">
      <c r="A46" s="1513"/>
      <c r="B46" s="1513"/>
      <c r="C46" s="1525" t="s">
        <v>503</v>
      </c>
      <c r="D46" s="1537" t="s">
        <v>525</v>
      </c>
      <c r="E46" s="1544">
        <v>0.88541666666666663</v>
      </c>
      <c r="F46" s="1538" t="s">
        <v>495</v>
      </c>
      <c r="G46" s="1517"/>
      <c r="H46" s="1517"/>
      <c r="I46" s="1538" t="s">
        <v>496</v>
      </c>
      <c r="J46" s="1538" t="s">
        <v>497</v>
      </c>
      <c r="K46" s="1538" t="s">
        <v>498</v>
      </c>
      <c r="L46" s="1517"/>
      <c r="M46" s="1525" t="s">
        <v>503</v>
      </c>
      <c r="N46" s="1513"/>
      <c r="O46" s="1513"/>
      <c r="P46" s="1513"/>
      <c r="Q46" s="1513"/>
    </row>
    <row r="47" spans="1:17" x14ac:dyDescent="0.35">
      <c r="A47" s="1513"/>
      <c r="B47" s="1513"/>
      <c r="C47" s="1517"/>
      <c r="D47" s="1539"/>
      <c r="E47" s="1539"/>
      <c r="F47" s="1539"/>
      <c r="G47" s="1517"/>
      <c r="H47" s="1517"/>
      <c r="I47" s="1539"/>
      <c r="J47" s="1539"/>
      <c r="K47" s="1539"/>
      <c r="L47" s="1517"/>
      <c r="M47" s="1517"/>
      <c r="N47" s="1513"/>
      <c r="O47" s="1513"/>
      <c r="P47" s="1513"/>
      <c r="Q47" s="1513"/>
    </row>
    <row r="48" spans="1:17" x14ac:dyDescent="0.35">
      <c r="A48" s="1513"/>
      <c r="B48" s="1513"/>
      <c r="C48" s="1527" t="s">
        <v>29</v>
      </c>
      <c r="D48" s="1540" t="s">
        <v>496</v>
      </c>
      <c r="E48" s="1540" t="s">
        <v>497</v>
      </c>
      <c r="F48" s="1540" t="s">
        <v>498</v>
      </c>
      <c r="G48" s="1517"/>
      <c r="H48" s="1517"/>
      <c r="I48" s="1540" t="s">
        <v>499</v>
      </c>
      <c r="J48" s="1540" t="s">
        <v>500</v>
      </c>
      <c r="K48" s="1540" t="s">
        <v>501</v>
      </c>
      <c r="L48" s="1517"/>
      <c r="M48" s="1527" t="s">
        <v>29</v>
      </c>
      <c r="N48" s="1513"/>
      <c r="O48" s="1513"/>
      <c r="P48" s="1513"/>
      <c r="Q48" s="1513"/>
    </row>
    <row r="49" spans="1:17" x14ac:dyDescent="0.35">
      <c r="A49" s="1513"/>
      <c r="B49" s="1513"/>
      <c r="C49" s="1517"/>
      <c r="D49" s="1539"/>
      <c r="E49" s="1539"/>
      <c r="F49" s="1539"/>
      <c r="G49" s="1517"/>
      <c r="H49" s="1517"/>
      <c r="I49" s="1539"/>
      <c r="J49" s="1539"/>
      <c r="K49" s="1539"/>
      <c r="L49" s="1517"/>
      <c r="M49" s="1517"/>
      <c r="N49" s="1513"/>
      <c r="O49" s="1513"/>
      <c r="P49" s="1513"/>
      <c r="Q49" s="1513"/>
    </row>
    <row r="50" spans="1:17" x14ac:dyDescent="0.35">
      <c r="A50" s="1513"/>
      <c r="B50" s="1513"/>
      <c r="C50" s="1525" t="s">
        <v>503</v>
      </c>
      <c r="D50" s="1538" t="s">
        <v>499</v>
      </c>
      <c r="E50" s="1538" t="s">
        <v>500</v>
      </c>
      <c r="F50" s="1538" t="s">
        <v>501</v>
      </c>
      <c r="G50" s="1517"/>
      <c r="H50" s="1517"/>
      <c r="I50" s="1541" t="s">
        <v>354</v>
      </c>
      <c r="J50" s="1538" t="s">
        <v>502</v>
      </c>
      <c r="K50" s="1541" t="s">
        <v>355</v>
      </c>
      <c r="L50" s="1517"/>
      <c r="M50" s="1525" t="s">
        <v>503</v>
      </c>
      <c r="N50" s="1513"/>
      <c r="O50" s="1513"/>
      <c r="P50" s="1513"/>
      <c r="Q50" s="1513"/>
    </row>
    <row r="51" spans="1:17" x14ac:dyDescent="0.35">
      <c r="A51" s="1513"/>
      <c r="B51" s="1513"/>
      <c r="C51" s="1517"/>
      <c r="D51" s="1539"/>
      <c r="E51" s="1539"/>
      <c r="F51" s="1539"/>
      <c r="G51" s="1517"/>
      <c r="H51" s="1517"/>
      <c r="I51" s="1539"/>
      <c r="J51" s="1539"/>
      <c r="K51" s="1539"/>
      <c r="L51" s="1517"/>
      <c r="M51" s="1517"/>
      <c r="N51" s="1513"/>
      <c r="O51" s="1513"/>
      <c r="P51" s="1513"/>
      <c r="Q51" s="1513"/>
    </row>
    <row r="52" spans="1:17" x14ac:dyDescent="0.35">
      <c r="A52" s="1513"/>
      <c r="B52" s="1513"/>
      <c r="C52" s="1527" t="s">
        <v>29</v>
      </c>
      <c r="D52" s="1540" t="s">
        <v>502</v>
      </c>
      <c r="E52" s="1541" t="s">
        <v>356</v>
      </c>
      <c r="F52" s="1541" t="s">
        <v>355</v>
      </c>
      <c r="G52" s="1517"/>
      <c r="H52" s="1517"/>
      <c r="I52" s="1539"/>
      <c r="J52" s="1541" t="s">
        <v>357</v>
      </c>
      <c r="K52" s="1539"/>
      <c r="L52" s="1517"/>
      <c r="M52" s="1527" t="s">
        <v>29</v>
      </c>
      <c r="N52" s="1513"/>
      <c r="O52" s="1513"/>
      <c r="P52" s="1513"/>
      <c r="Q52" s="1513"/>
    </row>
    <row r="53" spans="1:17" x14ac:dyDescent="0.35">
      <c r="A53" s="1513"/>
      <c r="B53" s="1513"/>
      <c r="C53" s="1517"/>
      <c r="D53" s="1539"/>
      <c r="E53" s="1539"/>
      <c r="F53" s="1539"/>
      <c r="G53" s="1517"/>
      <c r="H53" s="1517"/>
      <c r="I53" s="1539"/>
      <c r="J53" s="1539"/>
      <c r="K53" s="1539"/>
      <c r="L53" s="1517"/>
      <c r="M53" s="1517"/>
      <c r="N53" s="1513"/>
      <c r="O53" s="1513"/>
      <c r="P53" s="1513"/>
      <c r="Q53" s="1513"/>
    </row>
    <row r="54" spans="1:17" x14ac:dyDescent="0.35">
      <c r="A54" s="1513"/>
      <c r="B54" s="1513"/>
      <c r="C54" s="1525" t="s">
        <v>503</v>
      </c>
      <c r="D54" s="1541" t="s">
        <v>357</v>
      </c>
      <c r="E54" s="1539"/>
      <c r="F54" s="1539"/>
      <c r="G54" s="1517"/>
      <c r="H54" s="1517"/>
      <c r="I54" s="1539"/>
      <c r="J54" s="1539"/>
      <c r="K54" s="1539"/>
      <c r="L54" s="1517"/>
      <c r="M54" s="1525" t="s">
        <v>503</v>
      </c>
      <c r="N54" s="1513"/>
      <c r="O54" s="1513"/>
      <c r="P54" s="1513"/>
      <c r="Q54" s="1513"/>
    </row>
    <row r="55" spans="1:17" x14ac:dyDescent="0.35">
      <c r="A55" s="1513"/>
      <c r="B55" s="1513"/>
      <c r="C55" s="1517"/>
      <c r="D55" s="1539"/>
      <c r="E55" s="1539"/>
      <c r="F55" s="1539"/>
      <c r="G55" s="1517"/>
      <c r="H55" s="1517"/>
      <c r="I55" s="1539"/>
      <c r="J55" s="1539"/>
      <c r="K55" s="1539"/>
      <c r="L55" s="1517"/>
      <c r="M55" s="1517"/>
      <c r="N55" s="1513"/>
      <c r="O55" s="1513"/>
      <c r="P55" s="1513"/>
      <c r="Q55" s="1513"/>
    </row>
    <row r="56" spans="1:17" x14ac:dyDescent="0.35">
      <c r="A56" s="1513"/>
      <c r="B56" s="1513"/>
      <c r="C56" s="1519" t="s">
        <v>27</v>
      </c>
      <c r="D56" s="1537" t="s">
        <v>358</v>
      </c>
      <c r="E56" s="1537" t="s">
        <v>206</v>
      </c>
      <c r="F56" s="1537" t="s">
        <v>76</v>
      </c>
      <c r="G56" s="1517"/>
      <c r="H56" s="1517"/>
      <c r="I56" s="1537" t="s">
        <v>359</v>
      </c>
      <c r="J56" s="1537" t="s">
        <v>149</v>
      </c>
      <c r="K56" s="1537" t="s">
        <v>360</v>
      </c>
      <c r="L56" s="1517"/>
      <c r="M56" s="1519" t="s">
        <v>27</v>
      </c>
      <c r="N56" s="1513"/>
      <c r="O56" s="1513"/>
      <c r="P56" s="1513"/>
      <c r="Q56" s="1513"/>
    </row>
    <row r="57" spans="1:17" x14ac:dyDescent="0.35">
      <c r="A57" s="1513"/>
      <c r="B57" s="1513"/>
      <c r="C57" s="1513"/>
      <c r="D57" s="1513"/>
      <c r="E57" s="1513"/>
      <c r="F57" s="1513"/>
      <c r="G57" s="1513"/>
      <c r="H57" s="1513"/>
      <c r="I57" s="1513"/>
      <c r="J57" s="1513"/>
      <c r="K57" s="1513"/>
      <c r="L57" s="1513"/>
      <c r="M57" s="1513"/>
      <c r="N57" s="1513"/>
      <c r="O57" s="1513"/>
      <c r="P57" s="1513"/>
      <c r="Q57" s="1513"/>
    </row>
    <row r="58" spans="1:17" x14ac:dyDescent="0.35">
      <c r="A58" s="1588" t="s">
        <v>526</v>
      </c>
      <c r="B58" s="1589"/>
      <c r="C58" s="1589"/>
      <c r="D58" s="1589"/>
      <c r="E58" s="1589"/>
      <c r="F58" s="1589"/>
      <c r="G58" s="1589"/>
      <c r="H58" s="1589"/>
      <c r="I58" s="1589"/>
      <c r="J58" s="1589"/>
      <c r="K58" s="1589"/>
      <c r="L58" s="1589"/>
      <c r="M58" s="1589"/>
      <c r="N58" s="1589"/>
      <c r="O58" s="1589"/>
      <c r="P58" s="1589"/>
      <c r="Q58" s="1590"/>
    </row>
    <row r="59" spans="1:17" x14ac:dyDescent="0.35">
      <c r="A59" s="1586"/>
      <c r="B59" s="1587"/>
      <c r="C59" s="1588" t="s">
        <v>80</v>
      </c>
      <c r="D59" s="1589"/>
      <c r="E59" s="1590"/>
      <c r="F59" s="1588" t="s">
        <v>81</v>
      </c>
      <c r="G59" s="1589"/>
      <c r="H59" s="1589"/>
      <c r="I59" s="1589"/>
      <c r="J59" s="1590"/>
      <c r="K59" s="1588" t="s">
        <v>82</v>
      </c>
      <c r="L59" s="1589"/>
      <c r="M59" s="1589"/>
      <c r="N59" s="1589"/>
      <c r="O59" s="1589"/>
      <c r="P59" s="1589"/>
      <c r="Q59" s="1590"/>
    </row>
    <row r="60" spans="1:17" x14ac:dyDescent="0.35">
      <c r="A60" s="1545" t="s">
        <v>83</v>
      </c>
      <c r="B60" s="1545" t="s">
        <v>84</v>
      </c>
      <c r="C60" s="1545" t="s">
        <v>85</v>
      </c>
      <c r="D60" s="1545" t="s">
        <v>86</v>
      </c>
      <c r="E60" s="1546"/>
      <c r="F60" s="1545" t="s">
        <v>80</v>
      </c>
      <c r="G60" s="1546"/>
      <c r="H60" s="1545" t="s">
        <v>82</v>
      </c>
      <c r="I60" s="1545" t="s">
        <v>86</v>
      </c>
      <c r="J60" s="1546"/>
      <c r="K60" s="1545" t="s">
        <v>82</v>
      </c>
      <c r="L60" s="1546"/>
      <c r="M60" s="1545" t="s">
        <v>87</v>
      </c>
      <c r="N60" s="1545" t="s">
        <v>88</v>
      </c>
      <c r="O60" s="1545" t="s">
        <v>89</v>
      </c>
      <c r="P60" s="1545" t="s">
        <v>90</v>
      </c>
      <c r="Q60" s="1545" t="s">
        <v>91</v>
      </c>
    </row>
    <row r="61" spans="1:17" x14ac:dyDescent="0.35">
      <c r="A61" s="1547">
        <v>1</v>
      </c>
      <c r="B61" s="1548">
        <v>251</v>
      </c>
      <c r="C61" s="1519" t="s">
        <v>361</v>
      </c>
      <c r="D61" s="1519" t="s">
        <v>362</v>
      </c>
      <c r="E61" s="1519" t="s">
        <v>27</v>
      </c>
      <c r="F61" s="1583" t="s">
        <v>92</v>
      </c>
      <c r="G61" s="1584"/>
      <c r="H61" s="1584"/>
      <c r="I61" s="1584"/>
      <c r="J61" s="1585"/>
      <c r="K61" s="1519" t="s">
        <v>363</v>
      </c>
      <c r="L61" s="1519" t="s">
        <v>27</v>
      </c>
      <c r="M61" s="1519" t="s">
        <v>363</v>
      </c>
      <c r="N61" s="1519" t="s">
        <v>364</v>
      </c>
      <c r="O61" s="1519" t="s">
        <v>364</v>
      </c>
      <c r="P61" s="1519" t="s">
        <v>365</v>
      </c>
      <c r="Q61" s="1517"/>
    </row>
    <row r="62" spans="1:17" x14ac:dyDescent="0.35">
      <c r="A62" s="1547">
        <v>2</v>
      </c>
      <c r="B62" s="1548">
        <v>252</v>
      </c>
      <c r="C62" s="1519" t="s">
        <v>366</v>
      </c>
      <c r="D62" s="1519" t="s">
        <v>367</v>
      </c>
      <c r="E62" s="1519" t="s">
        <v>27</v>
      </c>
      <c r="F62" s="1583" t="s">
        <v>92</v>
      </c>
      <c r="G62" s="1584"/>
      <c r="H62" s="1584"/>
      <c r="I62" s="1584"/>
      <c r="J62" s="1585"/>
      <c r="K62" s="1519" t="s">
        <v>368</v>
      </c>
      <c r="L62" s="1519" t="s">
        <v>27</v>
      </c>
      <c r="M62" s="1519" t="s">
        <v>368</v>
      </c>
      <c r="N62" s="1519" t="s">
        <v>364</v>
      </c>
      <c r="O62" s="1519" t="s">
        <v>364</v>
      </c>
      <c r="P62" s="1519" t="s">
        <v>365</v>
      </c>
      <c r="Q62" s="1517"/>
    </row>
    <row r="63" spans="1:17" x14ac:dyDescent="0.35">
      <c r="A63" s="1547">
        <v>3</v>
      </c>
      <c r="B63" s="1548">
        <v>253</v>
      </c>
      <c r="C63" s="1519" t="s">
        <v>369</v>
      </c>
      <c r="D63" s="1519" t="s">
        <v>370</v>
      </c>
      <c r="E63" s="1519" t="s">
        <v>27</v>
      </c>
      <c r="F63" s="1583" t="s">
        <v>92</v>
      </c>
      <c r="G63" s="1584"/>
      <c r="H63" s="1584"/>
      <c r="I63" s="1584"/>
      <c r="J63" s="1585"/>
      <c r="K63" s="1519" t="s">
        <v>371</v>
      </c>
      <c r="L63" s="1519" t="s">
        <v>372</v>
      </c>
      <c r="M63" s="1519" t="s">
        <v>371</v>
      </c>
      <c r="N63" s="1519" t="s">
        <v>364</v>
      </c>
      <c r="O63" s="1519" t="s">
        <v>364</v>
      </c>
      <c r="P63" s="1519" t="s">
        <v>365</v>
      </c>
      <c r="Q63" s="1517"/>
    </row>
    <row r="64" spans="1:17" x14ac:dyDescent="0.35">
      <c r="A64" s="1547">
        <v>4</v>
      </c>
      <c r="B64" s="1548">
        <v>254</v>
      </c>
      <c r="C64" s="1519" t="s">
        <v>373</v>
      </c>
      <c r="D64" s="1519" t="s">
        <v>374</v>
      </c>
      <c r="E64" s="1519" t="s">
        <v>27</v>
      </c>
      <c r="F64" s="1519" t="s">
        <v>375</v>
      </c>
      <c r="G64" s="1519" t="s">
        <v>372</v>
      </c>
      <c r="H64" s="1519" t="s">
        <v>371</v>
      </c>
      <c r="I64" s="1519" t="s">
        <v>371</v>
      </c>
      <c r="J64" s="1519" t="s">
        <v>372</v>
      </c>
      <c r="K64" s="1519" t="s">
        <v>376</v>
      </c>
      <c r="L64" s="1519" t="s">
        <v>372</v>
      </c>
      <c r="M64" s="1519" t="s">
        <v>376</v>
      </c>
      <c r="N64" s="1519" t="s">
        <v>377</v>
      </c>
      <c r="O64" s="1519" t="s">
        <v>378</v>
      </c>
      <c r="P64" s="1519" t="s">
        <v>379</v>
      </c>
      <c r="Q64" s="1517"/>
    </row>
    <row r="65" spans="1:17" x14ac:dyDescent="0.35">
      <c r="A65" s="1547">
        <v>5</v>
      </c>
      <c r="B65" s="1548">
        <v>255</v>
      </c>
      <c r="C65" s="1519" t="s">
        <v>380</v>
      </c>
      <c r="D65" s="1519" t="s">
        <v>381</v>
      </c>
      <c r="E65" s="1519" t="s">
        <v>27</v>
      </c>
      <c r="F65" s="1519" t="s">
        <v>382</v>
      </c>
      <c r="G65" s="1519" t="s">
        <v>372</v>
      </c>
      <c r="H65" s="1519" t="s">
        <v>383</v>
      </c>
      <c r="I65" s="1519" t="s">
        <v>383</v>
      </c>
      <c r="J65" s="1519" t="s">
        <v>372</v>
      </c>
      <c r="K65" s="1519" t="s">
        <v>384</v>
      </c>
      <c r="L65" s="1519" t="s">
        <v>372</v>
      </c>
      <c r="M65" s="1519" t="s">
        <v>384</v>
      </c>
      <c r="N65" s="1519" t="s">
        <v>385</v>
      </c>
      <c r="O65" s="1519" t="s">
        <v>386</v>
      </c>
      <c r="P65" s="1519" t="s">
        <v>379</v>
      </c>
      <c r="Q65" s="1517"/>
    </row>
    <row r="66" spans="1:17" x14ac:dyDescent="0.35">
      <c r="A66" s="1547">
        <v>6</v>
      </c>
      <c r="B66" s="1548">
        <v>256</v>
      </c>
      <c r="C66" s="1519" t="s">
        <v>387</v>
      </c>
      <c r="D66" s="1519" t="s">
        <v>388</v>
      </c>
      <c r="E66" s="1519" t="s">
        <v>27</v>
      </c>
      <c r="F66" s="1583" t="s">
        <v>92</v>
      </c>
      <c r="G66" s="1584"/>
      <c r="H66" s="1584"/>
      <c r="I66" s="1584"/>
      <c r="J66" s="1585"/>
      <c r="K66" s="1519" t="s">
        <v>389</v>
      </c>
      <c r="L66" s="1519" t="s">
        <v>372</v>
      </c>
      <c r="M66" s="1519" t="s">
        <v>389</v>
      </c>
      <c r="N66" s="1519" t="s">
        <v>364</v>
      </c>
      <c r="O66" s="1519" t="s">
        <v>364</v>
      </c>
      <c r="P66" s="1519" t="s">
        <v>365</v>
      </c>
      <c r="Q66" s="1517"/>
    </row>
    <row r="67" spans="1:17" x14ac:dyDescent="0.35">
      <c r="A67" s="1549">
        <v>7</v>
      </c>
      <c r="B67" s="1548">
        <v>257</v>
      </c>
      <c r="C67" s="1519" t="s">
        <v>390</v>
      </c>
      <c r="D67" s="1519" t="s">
        <v>391</v>
      </c>
      <c r="E67" s="1519" t="s">
        <v>27</v>
      </c>
      <c r="F67" s="1519" t="s">
        <v>392</v>
      </c>
      <c r="G67" s="1519" t="s">
        <v>372</v>
      </c>
      <c r="H67" s="1519" t="s">
        <v>393</v>
      </c>
      <c r="I67" s="1519" t="s">
        <v>393</v>
      </c>
      <c r="J67" s="1519" t="s">
        <v>372</v>
      </c>
      <c r="K67" s="1519" t="s">
        <v>394</v>
      </c>
      <c r="L67" s="1519" t="s">
        <v>372</v>
      </c>
      <c r="M67" s="1519" t="s">
        <v>394</v>
      </c>
      <c r="N67" s="1519" t="s">
        <v>386</v>
      </c>
      <c r="O67" s="1519" t="s">
        <v>395</v>
      </c>
      <c r="P67" s="1519" t="s">
        <v>379</v>
      </c>
      <c r="Q67" s="1517"/>
    </row>
    <row r="68" spans="1:17" x14ac:dyDescent="0.35">
      <c r="A68" s="1549">
        <v>8</v>
      </c>
      <c r="B68" s="1548">
        <v>258</v>
      </c>
      <c r="C68" s="1519" t="s">
        <v>396</v>
      </c>
      <c r="D68" s="1519" t="s">
        <v>397</v>
      </c>
      <c r="E68" s="1519" t="s">
        <v>372</v>
      </c>
      <c r="F68" s="1519" t="s">
        <v>393</v>
      </c>
      <c r="G68" s="1519" t="s">
        <v>372</v>
      </c>
      <c r="H68" s="1519" t="s">
        <v>398</v>
      </c>
      <c r="I68" s="1519" t="s">
        <v>398</v>
      </c>
      <c r="J68" s="1519" t="s">
        <v>372</v>
      </c>
      <c r="K68" s="1519" t="s">
        <v>399</v>
      </c>
      <c r="L68" s="1519" t="s">
        <v>27</v>
      </c>
      <c r="M68" s="1519" t="s">
        <v>399</v>
      </c>
      <c r="N68" s="1550" t="s">
        <v>527</v>
      </c>
      <c r="O68" s="1519" t="s">
        <v>400</v>
      </c>
      <c r="P68" s="1519" t="s">
        <v>401</v>
      </c>
      <c r="Q68" s="1517"/>
    </row>
    <row r="69" spans="1:17" x14ac:dyDescent="0.35">
      <c r="A69" s="1549">
        <v>9</v>
      </c>
      <c r="B69" s="1548">
        <v>259</v>
      </c>
      <c r="C69" s="1519" t="s">
        <v>402</v>
      </c>
      <c r="D69" s="1519" t="s">
        <v>376</v>
      </c>
      <c r="E69" s="1519" t="s">
        <v>372</v>
      </c>
      <c r="F69" s="1519" t="s">
        <v>403</v>
      </c>
      <c r="G69" s="1519" t="s">
        <v>372</v>
      </c>
      <c r="H69" s="1519" t="s">
        <v>404</v>
      </c>
      <c r="I69" s="1519" t="s">
        <v>404</v>
      </c>
      <c r="J69" s="1519" t="s">
        <v>372</v>
      </c>
      <c r="K69" s="1519" t="s">
        <v>405</v>
      </c>
      <c r="L69" s="1519" t="s">
        <v>372</v>
      </c>
      <c r="M69" s="1519" t="s">
        <v>405</v>
      </c>
      <c r="N69" s="1519" t="s">
        <v>406</v>
      </c>
      <c r="O69" s="1519" t="s">
        <v>407</v>
      </c>
      <c r="P69" s="1519" t="s">
        <v>408</v>
      </c>
      <c r="Q69" s="1517"/>
    </row>
    <row r="70" spans="1:17" x14ac:dyDescent="0.35">
      <c r="A70" s="1551">
        <v>10</v>
      </c>
      <c r="B70" s="1548">
        <v>260</v>
      </c>
      <c r="C70" s="1519" t="s">
        <v>409</v>
      </c>
      <c r="D70" s="1519" t="s">
        <v>410</v>
      </c>
      <c r="E70" s="1519" t="s">
        <v>27</v>
      </c>
      <c r="F70" s="1519" t="s">
        <v>394</v>
      </c>
      <c r="G70" s="1519" t="s">
        <v>27</v>
      </c>
      <c r="H70" s="1519" t="s">
        <v>411</v>
      </c>
      <c r="I70" s="1519" t="s">
        <v>412</v>
      </c>
      <c r="J70" s="1519" t="s">
        <v>27</v>
      </c>
      <c r="K70" s="1519" t="s">
        <v>413</v>
      </c>
      <c r="L70" s="1519" t="s">
        <v>27</v>
      </c>
      <c r="M70" s="1519" t="s">
        <v>413</v>
      </c>
      <c r="N70" s="1550" t="s">
        <v>527</v>
      </c>
      <c r="O70" s="1519" t="s">
        <v>414</v>
      </c>
      <c r="P70" s="1519" t="s">
        <v>415</v>
      </c>
      <c r="Q70" s="1517"/>
    </row>
    <row r="71" spans="1:17" x14ac:dyDescent="0.35">
      <c r="A71" s="1551">
        <v>11</v>
      </c>
      <c r="B71" s="1548">
        <v>261</v>
      </c>
      <c r="C71" s="1519" t="s">
        <v>416</v>
      </c>
      <c r="D71" s="1519" t="s">
        <v>384</v>
      </c>
      <c r="E71" s="1519" t="s">
        <v>372</v>
      </c>
      <c r="F71" s="1519" t="s">
        <v>417</v>
      </c>
      <c r="G71" s="1519" t="s">
        <v>372</v>
      </c>
      <c r="H71" s="1519" t="s">
        <v>394</v>
      </c>
      <c r="I71" s="1519" t="s">
        <v>394</v>
      </c>
      <c r="J71" s="1519" t="s">
        <v>372</v>
      </c>
      <c r="K71" s="1519" t="s">
        <v>418</v>
      </c>
      <c r="L71" s="1519" t="s">
        <v>27</v>
      </c>
      <c r="M71" s="1519" t="s">
        <v>418</v>
      </c>
      <c r="N71" s="1519" t="s">
        <v>419</v>
      </c>
      <c r="O71" s="1519" t="s">
        <v>420</v>
      </c>
      <c r="P71" s="1519" t="s">
        <v>379</v>
      </c>
      <c r="Q71" s="1517"/>
    </row>
    <row r="72" spans="1:17" x14ac:dyDescent="0.35">
      <c r="A72" s="1551">
        <v>12</v>
      </c>
      <c r="B72" s="1548">
        <v>262</v>
      </c>
      <c r="C72" s="1519" t="s">
        <v>421</v>
      </c>
      <c r="D72" s="1519" t="s">
        <v>392</v>
      </c>
      <c r="E72" s="1519" t="s">
        <v>372</v>
      </c>
      <c r="F72" s="1519" t="s">
        <v>422</v>
      </c>
      <c r="G72" s="1519" t="s">
        <v>372</v>
      </c>
      <c r="H72" s="1519" t="s">
        <v>423</v>
      </c>
      <c r="I72" s="1519" t="s">
        <v>423</v>
      </c>
      <c r="J72" s="1519" t="s">
        <v>372</v>
      </c>
      <c r="K72" s="1519" t="s">
        <v>424</v>
      </c>
      <c r="L72" s="1519" t="s">
        <v>27</v>
      </c>
      <c r="M72" s="1519" t="s">
        <v>424</v>
      </c>
      <c r="N72" s="1519" t="s">
        <v>419</v>
      </c>
      <c r="O72" s="1519" t="s">
        <v>420</v>
      </c>
      <c r="P72" s="1519" t="s">
        <v>379</v>
      </c>
      <c r="Q72" s="1517"/>
    </row>
    <row r="73" spans="1:17" x14ac:dyDescent="0.35">
      <c r="A73" s="1551">
        <v>13</v>
      </c>
      <c r="B73" s="1548">
        <v>263</v>
      </c>
      <c r="C73" s="1519" t="s">
        <v>425</v>
      </c>
      <c r="D73" s="1519" t="s">
        <v>426</v>
      </c>
      <c r="E73" s="1519" t="s">
        <v>372</v>
      </c>
      <c r="F73" s="1519" t="s">
        <v>404</v>
      </c>
      <c r="G73" s="1519" t="s">
        <v>372</v>
      </c>
      <c r="H73" s="1519" t="s">
        <v>417</v>
      </c>
      <c r="I73" s="1519" t="s">
        <v>417</v>
      </c>
      <c r="J73" s="1519" t="s">
        <v>372</v>
      </c>
      <c r="K73" s="1519" t="s">
        <v>427</v>
      </c>
      <c r="L73" s="1519" t="s">
        <v>27</v>
      </c>
      <c r="M73" s="1519" t="s">
        <v>427</v>
      </c>
      <c r="N73" s="1519" t="s">
        <v>428</v>
      </c>
      <c r="O73" s="1519" t="s">
        <v>407</v>
      </c>
      <c r="P73" s="1519" t="s">
        <v>379</v>
      </c>
      <c r="Q73" s="1517"/>
    </row>
    <row r="74" spans="1:17" x14ac:dyDescent="0.35">
      <c r="A74" s="1551">
        <v>14</v>
      </c>
      <c r="B74" s="1548">
        <v>264</v>
      </c>
      <c r="C74" s="1519" t="s">
        <v>429</v>
      </c>
      <c r="D74" s="1519" t="s">
        <v>430</v>
      </c>
      <c r="E74" s="1519" t="s">
        <v>372</v>
      </c>
      <c r="F74" s="1519" t="s">
        <v>423</v>
      </c>
      <c r="G74" s="1519" t="s">
        <v>372</v>
      </c>
      <c r="H74" s="1519" t="s">
        <v>405</v>
      </c>
      <c r="I74" s="1519" t="s">
        <v>405</v>
      </c>
      <c r="J74" s="1519" t="s">
        <v>372</v>
      </c>
      <c r="K74" s="1519" t="s">
        <v>431</v>
      </c>
      <c r="L74" s="1519" t="s">
        <v>27</v>
      </c>
      <c r="M74" s="1519" t="s">
        <v>431</v>
      </c>
      <c r="N74" s="1519" t="s">
        <v>432</v>
      </c>
      <c r="O74" s="1519" t="s">
        <v>433</v>
      </c>
      <c r="P74" s="1519" t="s">
        <v>379</v>
      </c>
      <c r="Q74" s="1517"/>
    </row>
    <row r="75" spans="1:17" x14ac:dyDescent="0.35">
      <c r="A75" s="1551">
        <v>15</v>
      </c>
      <c r="B75" s="1548">
        <v>265</v>
      </c>
      <c r="C75" s="1519" t="s">
        <v>434</v>
      </c>
      <c r="D75" s="1519" t="s">
        <v>422</v>
      </c>
      <c r="E75" s="1519" t="s">
        <v>372</v>
      </c>
      <c r="F75" s="1583" t="s">
        <v>92</v>
      </c>
      <c r="G75" s="1584"/>
      <c r="H75" s="1584"/>
      <c r="I75" s="1584"/>
      <c r="J75" s="1585"/>
      <c r="K75" s="1519" t="s">
        <v>435</v>
      </c>
      <c r="L75" s="1519" t="s">
        <v>27</v>
      </c>
      <c r="M75" s="1519" t="s">
        <v>435</v>
      </c>
      <c r="N75" s="1519" t="s">
        <v>436</v>
      </c>
      <c r="O75" s="1519" t="s">
        <v>436</v>
      </c>
      <c r="P75" s="1519" t="s">
        <v>365</v>
      </c>
      <c r="Q75" s="1517"/>
    </row>
    <row r="76" spans="1:17" x14ac:dyDescent="0.35">
      <c r="A76" s="1588" t="s">
        <v>94</v>
      </c>
      <c r="B76" s="1589"/>
      <c r="C76" s="1589"/>
      <c r="D76" s="1589"/>
      <c r="E76" s="1589"/>
      <c r="F76" s="1589"/>
      <c r="G76" s="1589"/>
      <c r="H76" s="1589"/>
      <c r="I76" s="1589"/>
      <c r="J76" s="1589"/>
      <c r="K76" s="1589"/>
      <c r="L76" s="1589"/>
      <c r="M76" s="1589"/>
      <c r="N76" s="1590"/>
      <c r="O76" s="1519" t="s">
        <v>437</v>
      </c>
      <c r="P76" s="1586"/>
      <c r="Q76" s="1587"/>
    </row>
    <row r="77" spans="1:17" x14ac:dyDescent="0.35">
      <c r="A77" s="1522" t="s">
        <v>95</v>
      </c>
      <c r="B77" s="1548">
        <v>281</v>
      </c>
      <c r="C77" s="1519" t="s">
        <v>438</v>
      </c>
      <c r="D77" s="1519" t="s">
        <v>439</v>
      </c>
      <c r="E77" s="1519" t="s">
        <v>27</v>
      </c>
      <c r="F77" s="1519" t="s">
        <v>440</v>
      </c>
      <c r="G77" s="1519" t="s">
        <v>372</v>
      </c>
      <c r="H77" s="1519" t="s">
        <v>389</v>
      </c>
      <c r="I77" s="1519" t="s">
        <v>389</v>
      </c>
      <c r="J77" s="1519" t="s">
        <v>372</v>
      </c>
      <c r="K77" s="1519" t="s">
        <v>426</v>
      </c>
      <c r="L77" s="1519" t="s">
        <v>372</v>
      </c>
      <c r="M77" s="1519" t="s">
        <v>426</v>
      </c>
      <c r="N77" s="1519" t="s">
        <v>441</v>
      </c>
      <c r="O77" s="1519" t="s">
        <v>442</v>
      </c>
      <c r="P77" s="1519" t="s">
        <v>379</v>
      </c>
      <c r="Q77" s="1517"/>
    </row>
    <row r="78" spans="1:17" x14ac:dyDescent="0.35">
      <c r="A78" s="1522" t="s">
        <v>96</v>
      </c>
      <c r="B78" s="1548">
        <v>282</v>
      </c>
      <c r="C78" s="1519" t="s">
        <v>443</v>
      </c>
      <c r="D78" s="1519" t="s">
        <v>444</v>
      </c>
      <c r="E78" s="1519" t="s">
        <v>27</v>
      </c>
      <c r="F78" s="1519" t="s">
        <v>383</v>
      </c>
      <c r="G78" s="1519" t="s">
        <v>372</v>
      </c>
      <c r="H78" s="1519" t="s">
        <v>440</v>
      </c>
      <c r="I78" s="1519" t="s">
        <v>440</v>
      </c>
      <c r="J78" s="1519" t="s">
        <v>372</v>
      </c>
      <c r="K78" s="1519" t="s">
        <v>430</v>
      </c>
      <c r="L78" s="1519" t="s">
        <v>372</v>
      </c>
      <c r="M78" s="1519" t="s">
        <v>430</v>
      </c>
      <c r="N78" s="1519" t="s">
        <v>445</v>
      </c>
      <c r="O78" s="1519" t="s">
        <v>446</v>
      </c>
      <c r="P78" s="1519" t="s">
        <v>379</v>
      </c>
      <c r="Q78" s="1517"/>
    </row>
    <row r="79" spans="1:17" x14ac:dyDescent="0.35">
      <c r="A79" s="1522" t="s">
        <v>97</v>
      </c>
      <c r="B79" s="1548">
        <v>283</v>
      </c>
      <c r="C79" s="1519" t="s">
        <v>447</v>
      </c>
      <c r="D79" s="1519" t="s">
        <v>382</v>
      </c>
      <c r="E79" s="1519" t="s">
        <v>372</v>
      </c>
      <c r="F79" s="1519" t="s">
        <v>397</v>
      </c>
      <c r="G79" s="1519" t="s">
        <v>372</v>
      </c>
      <c r="H79" s="1519" t="s">
        <v>448</v>
      </c>
      <c r="I79" s="1519" t="s">
        <v>448</v>
      </c>
      <c r="J79" s="1519" t="s">
        <v>372</v>
      </c>
      <c r="K79" s="1519" t="s">
        <v>398</v>
      </c>
      <c r="L79" s="1519" t="s">
        <v>372</v>
      </c>
      <c r="M79" s="1519" t="s">
        <v>398</v>
      </c>
      <c r="N79" s="1519" t="s">
        <v>432</v>
      </c>
      <c r="O79" s="1519" t="s">
        <v>449</v>
      </c>
      <c r="P79" s="1519" t="s">
        <v>408</v>
      </c>
      <c r="Q79" s="1517"/>
    </row>
    <row r="80" spans="1:17" x14ac:dyDescent="0.35">
      <c r="A80" s="1522" t="s">
        <v>98</v>
      </c>
      <c r="B80" s="1548">
        <v>284</v>
      </c>
      <c r="C80" s="1519" t="s">
        <v>450</v>
      </c>
      <c r="D80" s="1519" t="s">
        <v>375</v>
      </c>
      <c r="E80" s="1519" t="s">
        <v>372</v>
      </c>
      <c r="F80" s="1519" t="s">
        <v>448</v>
      </c>
      <c r="G80" s="1519" t="s">
        <v>372</v>
      </c>
      <c r="H80" s="1519" t="s">
        <v>403</v>
      </c>
      <c r="I80" s="1519" t="s">
        <v>403</v>
      </c>
      <c r="J80" s="1519" t="s">
        <v>372</v>
      </c>
      <c r="K80" s="1519" t="s">
        <v>451</v>
      </c>
      <c r="L80" s="1519" t="s">
        <v>27</v>
      </c>
      <c r="M80" s="1519" t="s">
        <v>451</v>
      </c>
      <c r="N80" s="1519" t="s">
        <v>445</v>
      </c>
      <c r="O80" s="1519" t="s">
        <v>452</v>
      </c>
      <c r="P80" s="1519" t="s">
        <v>453</v>
      </c>
      <c r="Q80" s="1517"/>
    </row>
    <row r="81" spans="1:17" x14ac:dyDescent="0.35">
      <c r="A81" s="1588" t="s">
        <v>94</v>
      </c>
      <c r="B81" s="1589"/>
      <c r="C81" s="1589"/>
      <c r="D81" s="1589"/>
      <c r="E81" s="1589"/>
      <c r="F81" s="1589"/>
      <c r="G81" s="1589"/>
      <c r="H81" s="1589"/>
      <c r="I81" s="1589"/>
      <c r="J81" s="1589"/>
      <c r="K81" s="1589"/>
      <c r="L81" s="1589"/>
      <c r="M81" s="1589"/>
      <c r="N81" s="1590"/>
      <c r="O81" s="1519" t="s">
        <v>454</v>
      </c>
      <c r="P81" s="1586"/>
      <c r="Q81" s="1587"/>
    </row>
  </sheetData>
  <mergeCells count="15">
    <mergeCell ref="C1:E1"/>
    <mergeCell ref="C59:E59"/>
    <mergeCell ref="A58:Q58"/>
    <mergeCell ref="A59:B59"/>
    <mergeCell ref="F75:J75"/>
    <mergeCell ref="P81:Q81"/>
    <mergeCell ref="F59:J59"/>
    <mergeCell ref="F61:J61"/>
    <mergeCell ref="F66:J66"/>
    <mergeCell ref="K59:Q59"/>
    <mergeCell ref="A76:N76"/>
    <mergeCell ref="P76:Q76"/>
    <mergeCell ref="A81:N81"/>
    <mergeCell ref="F62:J62"/>
    <mergeCell ref="F63:J63"/>
  </mergeCells>
  <phoneticPr fontId="56" type="noConversion"/>
  <pageMargins left="0.7" right="0.7" top="0.75" bottom="0.75" header="0.3" footer="0.3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AI83"/>
  <sheetViews>
    <sheetView zoomScale="70" workbookViewId="0">
      <selection activeCell="F20" sqref="F20:F21"/>
    </sheetView>
  </sheetViews>
  <sheetFormatPr defaultColWidth="9.1796875" defaultRowHeight="15.5" x14ac:dyDescent="0.35"/>
  <cols>
    <col min="1" max="1" width="14.36328125" style="1" customWidth="1"/>
    <col min="2" max="2" width="11.7265625" style="1" bestFit="1" customWidth="1"/>
    <col min="3" max="3" width="21.81640625" style="1" bestFit="1" customWidth="1"/>
    <col min="4" max="4" width="15.36328125" style="1" bestFit="1" customWidth="1"/>
    <col min="5" max="5" width="20.1796875" style="1" bestFit="1" customWidth="1"/>
    <col min="6" max="6" width="15.36328125" style="1" bestFit="1" customWidth="1"/>
    <col min="7" max="7" width="20.1796875" style="1" bestFit="1" customWidth="1"/>
    <col min="8" max="9" width="15.36328125" style="1" bestFit="1" customWidth="1"/>
    <col min="10" max="10" width="20.1796875" style="1" bestFit="1" customWidth="1"/>
    <col min="11" max="11" width="15.36328125" style="1" bestFit="1" customWidth="1"/>
    <col min="12" max="12" width="20.1796875" style="1" bestFit="1" customWidth="1"/>
    <col min="13" max="13" width="15.36328125" style="1" bestFit="1" customWidth="1"/>
    <col min="14" max="14" width="25.453125" style="2" bestFit="1" customWidth="1"/>
    <col min="15" max="15" width="13.81640625" style="1" customWidth="1"/>
    <col min="16" max="16" width="14.6328125" style="1" customWidth="1"/>
    <col min="17" max="17" width="13.7265625" style="3" customWidth="1"/>
    <col min="18" max="18" width="13.54296875" style="3" customWidth="1"/>
    <col min="19" max="19" width="9.1796875" style="3"/>
    <col min="20" max="20" width="22.90625" style="1" customWidth="1"/>
    <col min="21" max="21" width="18.54296875" style="1" customWidth="1"/>
    <col min="22" max="22" width="14.6328125" style="1" customWidth="1"/>
    <col min="23" max="23" width="13.26953125" style="1" customWidth="1"/>
    <col min="24" max="24" width="8.6328125" style="1" bestFit="1" customWidth="1"/>
    <col min="25" max="25" width="9.1796875" style="1"/>
    <col min="26" max="26" width="13.81640625" style="1" customWidth="1"/>
    <col min="27" max="27" width="16.26953125" style="1" customWidth="1"/>
    <col min="28" max="28" width="13.1796875" style="1" customWidth="1"/>
    <col min="29" max="29" width="13" style="1" customWidth="1"/>
    <col min="30" max="32" width="9.1796875" style="1"/>
    <col min="33" max="33" width="18.453125" style="1" customWidth="1"/>
    <col min="34" max="34" width="12" style="1" customWidth="1"/>
    <col min="35" max="16384" width="9.1796875" style="1"/>
  </cols>
  <sheetData>
    <row r="1" spans="3:35" ht="18" x14ac:dyDescent="0.4">
      <c r="C1" s="1591" t="s">
        <v>0</v>
      </c>
      <c r="D1" s="1592"/>
      <c r="E1" s="1592"/>
      <c r="F1" s="1592"/>
      <c r="G1" s="1592"/>
      <c r="H1" s="1593"/>
      <c r="I1" s="1593"/>
      <c r="J1" s="1593"/>
      <c r="K1" s="1593"/>
      <c r="L1" s="1593"/>
      <c r="M1" s="1593"/>
      <c r="N1" s="1594"/>
      <c r="U1" s="2"/>
      <c r="X1" s="3"/>
      <c r="Y1" s="3"/>
      <c r="AA1" s="4"/>
      <c r="AD1" s="5"/>
      <c r="AH1" s="5" t="s">
        <v>1</v>
      </c>
      <c r="AI1" s="5" t="str">
        <f>+AH1</f>
        <v>L25</v>
      </c>
    </row>
    <row r="2" spans="3:35" ht="15.75" customHeight="1" x14ac:dyDescent="0.35">
      <c r="C2" s="747"/>
      <c r="D2" s="748" t="s">
        <v>5</v>
      </c>
      <c r="E2" s="748" t="s">
        <v>3</v>
      </c>
      <c r="F2" s="748" t="s">
        <v>4</v>
      </c>
      <c r="G2" s="748" t="s">
        <v>2</v>
      </c>
      <c r="H2" s="694" t="s">
        <v>6</v>
      </c>
      <c r="I2" s="693" t="s">
        <v>7</v>
      </c>
      <c r="J2" s="703"/>
      <c r="K2" s="703"/>
      <c r="L2" s="693" t="s">
        <v>8</v>
      </c>
      <c r="M2" s="693" t="s">
        <v>183</v>
      </c>
      <c r="N2" s="10"/>
    </row>
    <row r="3" spans="3:35" x14ac:dyDescent="0.35">
      <c r="C3" s="11" t="s">
        <v>10</v>
      </c>
      <c r="D3" s="695" t="s">
        <v>11</v>
      </c>
      <c r="E3" s="695" t="s">
        <v>12</v>
      </c>
      <c r="F3" s="695" t="s">
        <v>13</v>
      </c>
      <c r="G3" s="695" t="s">
        <v>14</v>
      </c>
      <c r="H3" s="696" t="s">
        <v>15</v>
      </c>
      <c r="I3" s="695" t="s">
        <v>16</v>
      </c>
      <c r="J3" s="697"/>
      <c r="K3" s="698"/>
      <c r="L3" s="695" t="s">
        <v>17</v>
      </c>
      <c r="M3" s="695" t="s">
        <v>18</v>
      </c>
      <c r="N3" s="15" t="s">
        <v>10</v>
      </c>
      <c r="S3" s="16"/>
    </row>
    <row r="4" spans="3:35" x14ac:dyDescent="0.35">
      <c r="C4" s="699" t="s">
        <v>27</v>
      </c>
      <c r="D4" s="700" t="s">
        <v>184</v>
      </c>
      <c r="E4" s="701" t="s">
        <v>20</v>
      </c>
      <c r="F4" s="702" t="s">
        <v>21</v>
      </c>
      <c r="G4" s="701" t="s">
        <v>19</v>
      </c>
      <c r="H4" s="702" t="s">
        <v>23</v>
      </c>
      <c r="I4" s="702" t="s">
        <v>24</v>
      </c>
      <c r="J4" s="703"/>
      <c r="K4" s="703"/>
      <c r="L4" s="702" t="s">
        <v>25</v>
      </c>
      <c r="M4" s="704" t="s">
        <v>26</v>
      </c>
      <c r="N4" s="15" t="s">
        <v>27</v>
      </c>
      <c r="O4" s="22"/>
      <c r="S4" s="16"/>
    </row>
    <row r="5" spans="3:35" x14ac:dyDescent="0.35">
      <c r="C5" s="705"/>
      <c r="D5" s="706"/>
      <c r="E5" s="698"/>
      <c r="F5" s="698"/>
      <c r="G5" s="698"/>
      <c r="H5" s="698"/>
      <c r="I5" s="698"/>
      <c r="J5" s="697"/>
      <c r="K5" s="698"/>
      <c r="L5" s="697"/>
      <c r="M5" s="707"/>
      <c r="N5" s="708"/>
      <c r="O5" s="27"/>
      <c r="S5" s="16"/>
    </row>
    <row r="6" spans="3:35" x14ac:dyDescent="0.35">
      <c r="C6" s="709" t="s">
        <v>28</v>
      </c>
      <c r="D6" s="710"/>
      <c r="E6" s="697"/>
      <c r="F6" s="697"/>
      <c r="G6" s="697"/>
      <c r="H6" s="697"/>
      <c r="I6" s="697"/>
      <c r="J6" s="703"/>
      <c r="K6" s="703"/>
      <c r="L6" s="703">
        <v>0.22916666666666666</v>
      </c>
      <c r="M6" s="711"/>
      <c r="N6" s="712" t="s">
        <v>28</v>
      </c>
      <c r="O6" s="22"/>
      <c r="S6" s="16"/>
    </row>
    <row r="7" spans="3:35" x14ac:dyDescent="0.35">
      <c r="C7" s="699"/>
      <c r="D7" s="710"/>
      <c r="E7" s="697"/>
      <c r="F7" s="697"/>
      <c r="G7" s="697"/>
      <c r="H7" s="697"/>
      <c r="I7" s="697"/>
      <c r="J7" s="697"/>
      <c r="K7" s="697"/>
      <c r="L7" s="697"/>
      <c r="M7" s="713"/>
      <c r="N7" s="15"/>
      <c r="O7" s="22"/>
      <c r="P7" s="22"/>
      <c r="Q7" s="16"/>
      <c r="R7" s="16"/>
      <c r="S7" s="16"/>
    </row>
    <row r="8" spans="3:35" x14ac:dyDescent="0.35">
      <c r="C8" s="714" t="s">
        <v>29</v>
      </c>
      <c r="D8" s="710"/>
      <c r="E8" s="715">
        <v>0.22916666666666666</v>
      </c>
      <c r="F8" s="697"/>
      <c r="G8" s="697"/>
      <c r="H8" s="697"/>
      <c r="I8" s="715"/>
      <c r="J8" s="715"/>
      <c r="K8" s="715"/>
      <c r="L8" s="715">
        <v>0.25</v>
      </c>
      <c r="M8" s="716">
        <v>0.26041666666666669</v>
      </c>
      <c r="N8" s="356" t="s">
        <v>29</v>
      </c>
      <c r="O8" s="22"/>
      <c r="S8" s="16"/>
    </row>
    <row r="9" spans="3:35" x14ac:dyDescent="0.35">
      <c r="C9" s="699"/>
      <c r="D9" s="710"/>
      <c r="E9" s="697"/>
      <c r="F9" s="697"/>
      <c r="G9" s="697"/>
      <c r="H9" s="697"/>
      <c r="I9" s="697"/>
      <c r="J9" s="697"/>
      <c r="K9" s="697"/>
      <c r="L9" s="697"/>
      <c r="M9" s="713"/>
      <c r="N9" s="15"/>
      <c r="O9" s="22"/>
      <c r="S9" s="16"/>
    </row>
    <row r="10" spans="3:35" x14ac:dyDescent="0.35">
      <c r="C10" s="709" t="s">
        <v>28</v>
      </c>
      <c r="D10" s="710"/>
      <c r="E10" s="703">
        <v>0.25</v>
      </c>
      <c r="F10" s="697"/>
      <c r="G10" s="697"/>
      <c r="H10" s="697"/>
      <c r="I10" s="703">
        <v>0.26041666666666669</v>
      </c>
      <c r="J10" s="703"/>
      <c r="K10" s="703"/>
      <c r="L10" s="703">
        <v>0.27083333333333331</v>
      </c>
      <c r="M10" s="711">
        <v>0.28125</v>
      </c>
      <c r="N10" s="712" t="s">
        <v>28</v>
      </c>
      <c r="O10" s="22"/>
      <c r="S10" s="16"/>
    </row>
    <row r="11" spans="3:35" x14ac:dyDescent="0.35">
      <c r="C11" s="699"/>
      <c r="D11" s="710"/>
      <c r="E11" s="697"/>
      <c r="F11" s="697"/>
      <c r="G11" s="697"/>
      <c r="H11" s="697"/>
      <c r="I11" s="697"/>
      <c r="J11" s="697"/>
      <c r="K11" s="697"/>
      <c r="L11" s="697"/>
      <c r="M11" s="713"/>
      <c r="N11" s="15"/>
      <c r="O11" s="22"/>
      <c r="P11" s="22"/>
      <c r="Q11" s="39"/>
      <c r="R11" s="39"/>
      <c r="S11" s="16"/>
    </row>
    <row r="12" spans="3:35" x14ac:dyDescent="0.35">
      <c r="C12" s="714" t="s">
        <v>29</v>
      </c>
      <c r="D12" s="710"/>
      <c r="E12" s="715">
        <v>0.27083333333333331</v>
      </c>
      <c r="F12" s="697"/>
      <c r="G12" s="715">
        <v>0.28125000000000006</v>
      </c>
      <c r="H12" s="697"/>
      <c r="I12" s="715">
        <v>0.29166666666666674</v>
      </c>
      <c r="J12" s="715"/>
      <c r="K12" s="715"/>
      <c r="L12" s="715">
        <v>0.30208333333333343</v>
      </c>
      <c r="M12" s="716">
        <v>0.31250000000000011</v>
      </c>
      <c r="N12" s="356" t="s">
        <v>29</v>
      </c>
      <c r="O12" s="22"/>
      <c r="P12" s="27"/>
      <c r="S12" s="16"/>
    </row>
    <row r="13" spans="3:35" x14ac:dyDescent="0.35">
      <c r="C13" s="699"/>
      <c r="D13" s="710"/>
      <c r="E13" s="697"/>
      <c r="F13" s="697"/>
      <c r="G13" s="697"/>
      <c r="H13" s="697"/>
      <c r="I13" s="697"/>
      <c r="J13" s="697"/>
      <c r="K13" s="697"/>
      <c r="L13" s="697"/>
      <c r="M13" s="713"/>
      <c r="N13" s="15"/>
      <c r="O13" s="22"/>
      <c r="P13" s="16"/>
      <c r="S13" s="16"/>
    </row>
    <row r="14" spans="3:35" x14ac:dyDescent="0.35">
      <c r="C14" s="709" t="s">
        <v>28</v>
      </c>
      <c r="D14" s="717">
        <v>0.29166666666666669</v>
      </c>
      <c r="E14" s="703">
        <v>0.30208333333333331</v>
      </c>
      <c r="F14" s="697"/>
      <c r="G14" s="703">
        <v>0.3125</v>
      </c>
      <c r="H14" s="703">
        <v>0.32291666666666669</v>
      </c>
      <c r="I14" s="703" t="s">
        <v>30</v>
      </c>
      <c r="J14" s="697"/>
      <c r="K14" s="697"/>
      <c r="L14" s="703">
        <v>0.34375</v>
      </c>
      <c r="M14" s="711">
        <v>0.35416666666666669</v>
      </c>
      <c r="N14" s="712" t="s">
        <v>28</v>
      </c>
      <c r="P14" s="22"/>
      <c r="S14" s="16"/>
    </row>
    <row r="15" spans="3:35" x14ac:dyDescent="0.35">
      <c r="C15" s="699"/>
      <c r="D15" s="710"/>
      <c r="E15" s="697"/>
      <c r="F15" s="697"/>
      <c r="G15" s="715"/>
      <c r="H15" s="697"/>
      <c r="I15" s="697"/>
      <c r="J15" s="697"/>
      <c r="K15" s="697"/>
      <c r="L15" s="697"/>
      <c r="M15" s="713"/>
      <c r="N15" s="15"/>
      <c r="S15" s="16"/>
    </row>
    <row r="16" spans="3:35" x14ac:dyDescent="0.35">
      <c r="C16" s="714" t="s">
        <v>29</v>
      </c>
      <c r="D16" s="718">
        <v>0.3229166666666668</v>
      </c>
      <c r="E16" s="715">
        <v>0.33333333333333348</v>
      </c>
      <c r="F16" s="715">
        <v>0.34375000000000017</v>
      </c>
      <c r="G16" s="715">
        <v>0.35416666666666685</v>
      </c>
      <c r="H16" s="715">
        <v>0.36458333333333354</v>
      </c>
      <c r="I16" s="715">
        <v>0.37500000000000022</v>
      </c>
      <c r="J16" s="697"/>
      <c r="K16" s="697"/>
      <c r="L16" s="715">
        <v>0.38541666666666691</v>
      </c>
      <c r="M16" s="716">
        <v>0.39583333333333331</v>
      </c>
      <c r="N16" s="356" t="s">
        <v>29</v>
      </c>
      <c r="P16" s="22"/>
      <c r="S16" s="16"/>
    </row>
    <row r="17" spans="3:19" x14ac:dyDescent="0.35">
      <c r="C17" s="699"/>
      <c r="D17" s="719"/>
      <c r="E17" s="720"/>
      <c r="F17" s="697"/>
      <c r="G17" s="697"/>
      <c r="H17" s="720"/>
      <c r="I17" s="720"/>
      <c r="J17" s="697"/>
      <c r="K17" s="697"/>
      <c r="L17" s="720"/>
      <c r="M17" s="721"/>
      <c r="N17" s="15"/>
      <c r="P17" s="22"/>
      <c r="S17" s="16"/>
    </row>
    <row r="18" spans="3:19" x14ac:dyDescent="0.35">
      <c r="C18" s="709" t="s">
        <v>28</v>
      </c>
      <c r="D18" s="717">
        <v>0.36458333333333331</v>
      </c>
      <c r="E18" s="703" t="s">
        <v>32</v>
      </c>
      <c r="F18" s="703">
        <v>0.38541666666666669</v>
      </c>
      <c r="G18" s="703">
        <v>0.39583333333333331</v>
      </c>
      <c r="H18" s="703" t="s">
        <v>185</v>
      </c>
      <c r="I18" s="703">
        <v>0.41666666666666669</v>
      </c>
      <c r="J18" s="697"/>
      <c r="K18" s="697"/>
      <c r="L18" s="703" t="s">
        <v>34</v>
      </c>
      <c r="M18" s="722" t="s">
        <v>186</v>
      </c>
      <c r="N18" s="712" t="s">
        <v>28</v>
      </c>
      <c r="P18" s="22"/>
      <c r="Q18" s="16"/>
      <c r="S18" s="16"/>
    </row>
    <row r="19" spans="3:19" x14ac:dyDescent="0.35">
      <c r="C19" s="699"/>
      <c r="D19" s="710"/>
      <c r="E19" s="697"/>
      <c r="F19" s="697"/>
      <c r="G19" s="697"/>
      <c r="H19" s="697"/>
      <c r="I19" s="697"/>
      <c r="J19" s="697"/>
      <c r="K19" s="697"/>
      <c r="L19" s="723"/>
      <c r="M19" s="724" t="s">
        <v>36</v>
      </c>
      <c r="N19" s="15"/>
      <c r="S19" s="16"/>
    </row>
    <row r="20" spans="3:19" x14ac:dyDescent="0.35">
      <c r="C20" s="714" t="s">
        <v>29</v>
      </c>
      <c r="D20" s="718">
        <v>0.40625000000000028</v>
      </c>
      <c r="E20" s="715">
        <v>0.41666666666666696</v>
      </c>
      <c r="F20" s="725" t="s">
        <v>186</v>
      </c>
      <c r="G20" s="715">
        <v>0.42708333333333331</v>
      </c>
      <c r="H20" s="715">
        <v>0.43750000000000033</v>
      </c>
      <c r="I20" s="715">
        <v>0.44791666666666702</v>
      </c>
      <c r="J20" s="726"/>
      <c r="K20" s="697"/>
      <c r="L20" s="715">
        <v>0.4583333333333337</v>
      </c>
      <c r="M20" s="713"/>
      <c r="N20" s="356" t="s">
        <v>29</v>
      </c>
      <c r="S20" s="16"/>
    </row>
    <row r="21" spans="3:19" x14ac:dyDescent="0.35">
      <c r="C21" s="699"/>
      <c r="D21" s="710"/>
      <c r="E21" s="697"/>
      <c r="F21" s="720" t="s">
        <v>36</v>
      </c>
      <c r="G21" s="720"/>
      <c r="H21" s="697"/>
      <c r="I21" s="727"/>
      <c r="J21" s="728" t="s">
        <v>37</v>
      </c>
      <c r="K21" s="729"/>
      <c r="L21" s="697"/>
      <c r="M21" s="713"/>
      <c r="N21" s="15"/>
      <c r="S21" s="16"/>
    </row>
    <row r="22" spans="3:19" x14ac:dyDescent="0.35">
      <c r="C22" s="709" t="s">
        <v>28</v>
      </c>
      <c r="D22" s="717">
        <v>0.4375</v>
      </c>
      <c r="E22" s="703">
        <v>0.44791666666666669</v>
      </c>
      <c r="F22" s="697"/>
      <c r="G22" s="703" t="s">
        <v>38</v>
      </c>
      <c r="H22" s="703">
        <v>0.46875</v>
      </c>
      <c r="I22" s="730">
        <v>0.47916666666666669</v>
      </c>
      <c r="J22" s="731" t="s">
        <v>39</v>
      </c>
      <c r="K22" s="729"/>
      <c r="L22" s="703">
        <v>0.48958333333333331</v>
      </c>
      <c r="M22" s="713"/>
      <c r="N22" s="712" t="s">
        <v>28</v>
      </c>
      <c r="S22" s="16"/>
    </row>
    <row r="23" spans="3:19" x14ac:dyDescent="0.35">
      <c r="C23" s="699"/>
      <c r="D23" s="710"/>
      <c r="E23" s="697"/>
      <c r="F23" s="697"/>
      <c r="G23" s="697"/>
      <c r="H23" s="697"/>
      <c r="I23" s="697"/>
      <c r="J23" s="732" t="s">
        <v>40</v>
      </c>
      <c r="K23" s="697"/>
      <c r="L23" s="697"/>
      <c r="M23" s="713"/>
      <c r="N23" s="15"/>
      <c r="S23" s="16"/>
    </row>
    <row r="24" spans="3:19" x14ac:dyDescent="0.35">
      <c r="C24" s="714" t="s">
        <v>29</v>
      </c>
      <c r="D24" s="718">
        <v>0.46875000000000039</v>
      </c>
      <c r="E24" s="715">
        <v>0.47916666666666707</v>
      </c>
      <c r="F24" s="697"/>
      <c r="G24" s="715">
        <v>0.48958333333333376</v>
      </c>
      <c r="H24" s="715">
        <v>0.50000000000000044</v>
      </c>
      <c r="I24" s="715">
        <v>0.51041666666666707</v>
      </c>
      <c r="J24" s="715">
        <v>0.52083333333333337</v>
      </c>
      <c r="K24" s="715"/>
      <c r="L24" s="715">
        <v>0.53125</v>
      </c>
      <c r="M24" s="713"/>
      <c r="N24" s="356" t="s">
        <v>29</v>
      </c>
      <c r="S24" s="16"/>
    </row>
    <row r="25" spans="3:19" x14ac:dyDescent="0.35">
      <c r="C25" s="699"/>
      <c r="D25" s="719"/>
      <c r="E25" s="720"/>
      <c r="F25" s="697"/>
      <c r="G25" s="720"/>
      <c r="H25" s="697"/>
      <c r="I25" s="720"/>
      <c r="J25" s="697"/>
      <c r="K25" s="697"/>
      <c r="L25" s="720"/>
      <c r="M25" s="713"/>
      <c r="N25" s="15"/>
      <c r="S25" s="16"/>
    </row>
    <row r="26" spans="3:19" x14ac:dyDescent="0.35">
      <c r="C26" s="709" t="s">
        <v>28</v>
      </c>
      <c r="D26" s="717" t="s">
        <v>188</v>
      </c>
      <c r="E26" s="703" t="s">
        <v>42</v>
      </c>
      <c r="F26" s="697"/>
      <c r="G26" s="703">
        <v>0.52083333333333337</v>
      </c>
      <c r="H26" s="703">
        <v>0.53125</v>
      </c>
      <c r="I26" s="703" t="s">
        <v>43</v>
      </c>
      <c r="J26" s="703">
        <v>0.55208333333333337</v>
      </c>
      <c r="K26" s="734"/>
      <c r="L26" s="703" t="s">
        <v>44</v>
      </c>
      <c r="M26" s="713"/>
      <c r="N26" s="712" t="s">
        <v>28</v>
      </c>
      <c r="S26" s="16"/>
    </row>
    <row r="27" spans="3:19" x14ac:dyDescent="0.35">
      <c r="C27" s="699"/>
      <c r="D27" s="710"/>
      <c r="E27" s="697"/>
      <c r="F27" s="697"/>
      <c r="G27" s="697"/>
      <c r="H27" s="697"/>
      <c r="I27" s="697"/>
      <c r="J27" s="727"/>
      <c r="K27" s="728" t="s">
        <v>45</v>
      </c>
      <c r="L27" s="729"/>
      <c r="M27" s="713"/>
      <c r="N27" s="15"/>
      <c r="S27" s="16"/>
    </row>
    <row r="28" spans="3:19" x14ac:dyDescent="0.35">
      <c r="C28" s="714" t="s">
        <v>29</v>
      </c>
      <c r="D28" s="718">
        <v>0.54166666666666696</v>
      </c>
      <c r="E28" s="715">
        <v>0.55208333333333359</v>
      </c>
      <c r="F28" s="697"/>
      <c r="G28" s="715">
        <v>0.56250000000000022</v>
      </c>
      <c r="H28" s="715">
        <v>0.57291666666666685</v>
      </c>
      <c r="I28" s="715">
        <v>0.58333333333333348</v>
      </c>
      <c r="J28" s="735">
        <v>0.59375</v>
      </c>
      <c r="K28" s="731" t="s">
        <v>46</v>
      </c>
      <c r="L28" s="736">
        <v>0.60416666666666674</v>
      </c>
      <c r="M28" s="713"/>
      <c r="N28" s="356" t="s">
        <v>29</v>
      </c>
      <c r="S28" s="16"/>
    </row>
    <row r="29" spans="3:19" x14ac:dyDescent="0.35">
      <c r="C29" s="699"/>
      <c r="D29" s="710"/>
      <c r="E29" s="697"/>
      <c r="F29" s="697"/>
      <c r="G29" s="697"/>
      <c r="H29" s="720"/>
      <c r="I29" s="697"/>
      <c r="J29" s="720"/>
      <c r="K29" s="737" t="s">
        <v>47</v>
      </c>
      <c r="L29" s="697"/>
      <c r="M29" s="713"/>
      <c r="N29" s="15"/>
      <c r="S29" s="16"/>
    </row>
    <row r="30" spans="3:19" x14ac:dyDescent="0.35">
      <c r="C30" s="709" t="s">
        <v>28</v>
      </c>
      <c r="D30" s="717">
        <v>0.57291666666666663</v>
      </c>
      <c r="E30" s="703">
        <v>0.58333333333333337</v>
      </c>
      <c r="F30" s="697"/>
      <c r="G30" s="703">
        <v>0.59375</v>
      </c>
      <c r="H30" s="703" t="s">
        <v>48</v>
      </c>
      <c r="I30" s="703" t="s">
        <v>49</v>
      </c>
      <c r="J30" s="703" t="s">
        <v>190</v>
      </c>
      <c r="K30" s="703">
        <v>0.63541666666666663</v>
      </c>
      <c r="L30" s="703" t="s">
        <v>191</v>
      </c>
      <c r="M30" s="713"/>
      <c r="N30" s="712" t="s">
        <v>28</v>
      </c>
      <c r="S30" s="16"/>
    </row>
    <row r="31" spans="3:19" x14ac:dyDescent="0.35">
      <c r="C31" s="699"/>
      <c r="D31" s="710"/>
      <c r="E31" s="697"/>
      <c r="F31" s="697"/>
      <c r="G31" s="697"/>
      <c r="H31" s="697"/>
      <c r="I31" s="697"/>
      <c r="J31" s="697"/>
      <c r="K31" s="697"/>
      <c r="L31" s="697"/>
      <c r="M31" s="713"/>
      <c r="N31" s="15"/>
      <c r="S31" s="16"/>
    </row>
    <row r="32" spans="3:19" x14ac:dyDescent="0.35">
      <c r="C32" s="714" t="s">
        <v>29</v>
      </c>
      <c r="D32" s="718">
        <v>0.61458333333333337</v>
      </c>
      <c r="E32" s="715">
        <v>0.625</v>
      </c>
      <c r="F32" s="697"/>
      <c r="G32" s="715">
        <v>0.63541666666666663</v>
      </c>
      <c r="H32" s="715">
        <v>0.64583333333333326</v>
      </c>
      <c r="I32" s="715">
        <v>0.65624999999999989</v>
      </c>
      <c r="J32" s="715">
        <v>0.66666666666666652</v>
      </c>
      <c r="K32" s="715">
        <v>0.67708333333333315</v>
      </c>
      <c r="L32" s="715">
        <v>0.68749999999999978</v>
      </c>
      <c r="M32" s="713"/>
      <c r="N32" s="356" t="s">
        <v>29</v>
      </c>
      <c r="S32" s="16"/>
    </row>
    <row r="33" spans="3:19" x14ac:dyDescent="0.35">
      <c r="C33" s="699"/>
      <c r="D33" s="719"/>
      <c r="E33" s="720"/>
      <c r="F33" s="697"/>
      <c r="G33" s="720"/>
      <c r="H33" s="697"/>
      <c r="I33" s="720"/>
      <c r="J33" s="697"/>
      <c r="K33" s="697"/>
      <c r="L33" s="720"/>
      <c r="M33" s="713"/>
      <c r="N33" s="15"/>
      <c r="S33" s="16"/>
    </row>
    <row r="34" spans="3:19" x14ac:dyDescent="0.35">
      <c r="C34" s="709" t="s">
        <v>28</v>
      </c>
      <c r="D34" s="717" t="s">
        <v>192</v>
      </c>
      <c r="E34" s="703" t="s">
        <v>52</v>
      </c>
      <c r="F34" s="697"/>
      <c r="G34" s="703" t="s">
        <v>193</v>
      </c>
      <c r="H34" s="703" t="s">
        <v>54</v>
      </c>
      <c r="I34" s="703">
        <v>0.69791666666666663</v>
      </c>
      <c r="J34" s="703" t="s">
        <v>194</v>
      </c>
      <c r="K34" s="703">
        <v>0.71875</v>
      </c>
      <c r="L34" s="703" t="s">
        <v>195</v>
      </c>
      <c r="M34" s="713"/>
      <c r="N34" s="712" t="s">
        <v>28</v>
      </c>
      <c r="S34" s="16"/>
    </row>
    <row r="35" spans="3:19" x14ac:dyDescent="0.35">
      <c r="C35" s="699"/>
      <c r="D35" s="710"/>
      <c r="E35" s="697"/>
      <c r="F35" s="697"/>
      <c r="G35" s="697"/>
      <c r="H35" s="697"/>
      <c r="I35" s="697"/>
      <c r="J35" s="697"/>
      <c r="K35" s="697"/>
      <c r="L35" s="697"/>
      <c r="M35" s="713"/>
      <c r="N35" s="15"/>
      <c r="S35" s="16"/>
    </row>
    <row r="36" spans="3:19" x14ac:dyDescent="0.35">
      <c r="C36" s="714" t="s">
        <v>29</v>
      </c>
      <c r="D36" s="718">
        <v>0.69791666666666641</v>
      </c>
      <c r="E36" s="715">
        <v>0.70833333333333304</v>
      </c>
      <c r="F36" s="697"/>
      <c r="G36" s="715">
        <v>0.71874999999999967</v>
      </c>
      <c r="H36" s="715">
        <v>0.72916666666666663</v>
      </c>
      <c r="I36" s="715">
        <v>0.73958333333333293</v>
      </c>
      <c r="J36" s="715">
        <v>0.74999999999999956</v>
      </c>
      <c r="K36" s="715">
        <v>0.76041666666666619</v>
      </c>
      <c r="L36" s="715">
        <v>0.77083333333333282</v>
      </c>
      <c r="M36" s="713"/>
      <c r="N36" s="356" t="s">
        <v>29</v>
      </c>
      <c r="S36" s="16"/>
    </row>
    <row r="37" spans="3:19" x14ac:dyDescent="0.35">
      <c r="C37" s="699"/>
      <c r="D37" s="710"/>
      <c r="E37" s="697"/>
      <c r="F37" s="697"/>
      <c r="G37" s="720"/>
      <c r="H37" s="697"/>
      <c r="I37" s="697"/>
      <c r="J37" s="697"/>
      <c r="K37" s="697"/>
      <c r="L37" s="697"/>
      <c r="M37" s="713"/>
      <c r="N37" s="15"/>
      <c r="S37" s="16"/>
    </row>
    <row r="38" spans="3:19" x14ac:dyDescent="0.35">
      <c r="C38" s="709" t="s">
        <v>28</v>
      </c>
      <c r="D38" s="717">
        <v>0.73958333333333337</v>
      </c>
      <c r="E38" s="703">
        <v>0.75</v>
      </c>
      <c r="F38" s="697"/>
      <c r="G38" s="703">
        <v>0.76041666666666663</v>
      </c>
      <c r="H38" s="703">
        <v>0.77083333333333337</v>
      </c>
      <c r="I38" s="703" t="s">
        <v>196</v>
      </c>
      <c r="J38" s="703">
        <v>0.79166666666666663</v>
      </c>
      <c r="K38" s="725" t="s">
        <v>59</v>
      </c>
      <c r="L38" s="703">
        <v>0.80208333333333337</v>
      </c>
      <c r="M38" s="713"/>
      <c r="N38" s="712" t="s">
        <v>28</v>
      </c>
      <c r="S38" s="16"/>
    </row>
    <row r="39" spans="3:19" x14ac:dyDescent="0.35">
      <c r="C39" s="699"/>
      <c r="D39" s="710"/>
      <c r="E39" s="697"/>
      <c r="F39" s="697"/>
      <c r="G39" s="697"/>
      <c r="H39" s="697"/>
      <c r="I39" s="697"/>
      <c r="J39" s="697"/>
      <c r="K39" s="720" t="s">
        <v>60</v>
      </c>
      <c r="L39" s="697"/>
      <c r="M39" s="713"/>
      <c r="N39" s="15"/>
      <c r="S39" s="16"/>
    </row>
    <row r="40" spans="3:19" x14ac:dyDescent="0.35">
      <c r="C40" s="714" t="s">
        <v>29</v>
      </c>
      <c r="D40" s="718">
        <v>0.78124999999999944</v>
      </c>
      <c r="E40" s="715">
        <v>0.79166666666666607</v>
      </c>
      <c r="F40" s="697"/>
      <c r="G40" s="715">
        <v>0.8020833333333327</v>
      </c>
      <c r="H40" s="725" t="s">
        <v>197</v>
      </c>
      <c r="I40" s="715">
        <v>0.81249999999999933</v>
      </c>
      <c r="J40" s="715">
        <v>0.82291666666666596</v>
      </c>
      <c r="K40" s="697"/>
      <c r="L40" s="715">
        <v>0.83333333333333259</v>
      </c>
      <c r="M40" s="713"/>
      <c r="N40" s="356" t="s">
        <v>29</v>
      </c>
      <c r="S40" s="16"/>
    </row>
    <row r="41" spans="3:19" x14ac:dyDescent="0.35">
      <c r="C41" s="699"/>
      <c r="D41" s="719"/>
      <c r="E41" s="720"/>
      <c r="F41" s="697"/>
      <c r="G41" s="697"/>
      <c r="H41" s="720" t="s">
        <v>61</v>
      </c>
      <c r="I41" s="697"/>
      <c r="J41" s="720"/>
      <c r="K41" s="728" t="s">
        <v>62</v>
      </c>
      <c r="L41" s="720"/>
      <c r="M41" s="713"/>
      <c r="N41" s="15"/>
      <c r="S41" s="16"/>
    </row>
    <row r="42" spans="3:19" x14ac:dyDescent="0.35">
      <c r="C42" s="709" t="s">
        <v>28</v>
      </c>
      <c r="D42" s="717" t="s">
        <v>199</v>
      </c>
      <c r="E42" s="703">
        <v>0.82291666666666663</v>
      </c>
      <c r="F42" s="697"/>
      <c r="G42" s="703" t="s">
        <v>64</v>
      </c>
      <c r="H42" s="697"/>
      <c r="I42" s="703">
        <v>0.84375</v>
      </c>
      <c r="J42" s="703">
        <v>0.85416666666666663</v>
      </c>
      <c r="K42" s="731" t="s">
        <v>65</v>
      </c>
      <c r="L42" s="703" t="s">
        <v>200</v>
      </c>
      <c r="M42" s="713"/>
      <c r="N42" s="712" t="s">
        <v>28</v>
      </c>
      <c r="S42" s="16"/>
    </row>
    <row r="43" spans="3:19" x14ac:dyDescent="0.35">
      <c r="C43" s="699"/>
      <c r="D43" s="710"/>
      <c r="E43" s="697"/>
      <c r="F43" s="697"/>
      <c r="G43" s="697"/>
      <c r="H43" s="697"/>
      <c r="I43" s="697"/>
      <c r="J43" s="697"/>
      <c r="K43" s="720" t="s">
        <v>201</v>
      </c>
      <c r="L43" s="697"/>
      <c r="M43" s="713"/>
      <c r="N43" s="15"/>
      <c r="S43" s="16"/>
    </row>
    <row r="44" spans="3:19" x14ac:dyDescent="0.35">
      <c r="C44" s="714" t="s">
        <v>29</v>
      </c>
      <c r="D44" s="718">
        <v>0.84374999999999922</v>
      </c>
      <c r="E44" s="715">
        <v>0.85416666666666585</v>
      </c>
      <c r="F44" s="697"/>
      <c r="G44" s="715">
        <v>0.86458333333333248</v>
      </c>
      <c r="H44" s="697"/>
      <c r="I44" s="715">
        <v>0.87499999999999911</v>
      </c>
      <c r="J44" s="697" t="s">
        <v>68</v>
      </c>
      <c r="K44" s="715">
        <v>0.88541666666666574</v>
      </c>
      <c r="L44" s="715">
        <v>0.89583333333333237</v>
      </c>
      <c r="M44" s="713"/>
      <c r="N44" s="356" t="s">
        <v>29</v>
      </c>
      <c r="S44" s="16"/>
    </row>
    <row r="45" spans="3:19" x14ac:dyDescent="0.35">
      <c r="C45" s="699"/>
      <c r="D45" s="710"/>
      <c r="E45" s="697"/>
      <c r="F45" s="697"/>
      <c r="G45" s="720"/>
      <c r="H45" s="697"/>
      <c r="I45" s="720"/>
      <c r="J45" s="720" t="s">
        <v>69</v>
      </c>
      <c r="K45" s="697"/>
      <c r="L45" s="697"/>
      <c r="M45" s="713"/>
      <c r="N45" s="15"/>
      <c r="S45" s="16"/>
    </row>
    <row r="46" spans="3:19" x14ac:dyDescent="0.35">
      <c r="C46" s="709" t="s">
        <v>28</v>
      </c>
      <c r="D46" s="717">
        <v>0.875</v>
      </c>
      <c r="E46" s="703" t="s">
        <v>202</v>
      </c>
      <c r="F46" s="697"/>
      <c r="G46" s="703">
        <v>0.89583333333333337</v>
      </c>
      <c r="H46" s="697"/>
      <c r="I46" s="703">
        <v>0.90625</v>
      </c>
      <c r="J46" s="697"/>
      <c r="K46" s="703">
        <v>0.91666666666666663</v>
      </c>
      <c r="L46" s="703">
        <v>0.92708333333333337</v>
      </c>
      <c r="M46" s="713"/>
      <c r="N46" s="712" t="s">
        <v>28</v>
      </c>
      <c r="S46" s="16"/>
    </row>
    <row r="47" spans="3:19" x14ac:dyDescent="0.35">
      <c r="C47" s="699"/>
      <c r="D47" s="710"/>
      <c r="E47" s="697"/>
      <c r="F47" s="697"/>
      <c r="G47" s="697"/>
      <c r="H47" s="697"/>
      <c r="I47" s="697"/>
      <c r="J47" s="697"/>
      <c r="K47" s="697"/>
      <c r="L47" s="697"/>
      <c r="M47" s="713"/>
      <c r="N47" s="15"/>
      <c r="S47" s="16"/>
    </row>
    <row r="48" spans="3:19" x14ac:dyDescent="0.35">
      <c r="C48" s="714" t="s">
        <v>29</v>
      </c>
      <c r="D48" s="718">
        <v>0.906249999999999</v>
      </c>
      <c r="E48" s="715">
        <v>0.91666666666666563</v>
      </c>
      <c r="F48" s="697"/>
      <c r="G48" s="715">
        <v>0.92708333333333226</v>
      </c>
      <c r="H48" s="697"/>
      <c r="I48" s="715">
        <v>0.93749999999999889</v>
      </c>
      <c r="J48" s="697"/>
      <c r="K48" s="715">
        <v>0.94791666666666552</v>
      </c>
      <c r="L48" s="715">
        <v>0.95833333333333215</v>
      </c>
      <c r="M48" s="713"/>
      <c r="N48" s="356" t="s">
        <v>29</v>
      </c>
      <c r="S48" s="16"/>
    </row>
    <row r="49" spans="1:19" x14ac:dyDescent="0.35">
      <c r="C49" s="699"/>
      <c r="D49" s="710"/>
      <c r="E49" s="697"/>
      <c r="F49" s="697"/>
      <c r="G49" s="697"/>
      <c r="H49" s="697"/>
      <c r="I49" s="697"/>
      <c r="J49" s="697"/>
      <c r="K49" s="697"/>
      <c r="L49" s="697"/>
      <c r="M49" s="713"/>
      <c r="N49" s="15"/>
      <c r="S49" s="16"/>
    </row>
    <row r="50" spans="1:19" x14ac:dyDescent="0.35">
      <c r="C50" s="709" t="s">
        <v>28</v>
      </c>
      <c r="D50" s="717">
        <v>0.9375</v>
      </c>
      <c r="E50" s="703">
        <v>0.94791666666666663</v>
      </c>
      <c r="F50" s="697"/>
      <c r="G50" s="703">
        <v>0.95833333333333337</v>
      </c>
      <c r="H50" s="697"/>
      <c r="I50" s="725" t="s">
        <v>71</v>
      </c>
      <c r="J50" s="697"/>
      <c r="K50" s="703">
        <v>0.97916666666666663</v>
      </c>
      <c r="L50" s="725" t="s">
        <v>72</v>
      </c>
      <c r="M50" s="713"/>
      <c r="N50" s="712" t="s">
        <v>28</v>
      </c>
      <c r="S50" s="16"/>
    </row>
    <row r="51" spans="1:19" x14ac:dyDescent="0.35">
      <c r="C51" s="699"/>
      <c r="D51" s="710"/>
      <c r="E51" s="697"/>
      <c r="F51" s="697"/>
      <c r="G51" s="697"/>
      <c r="H51" s="697"/>
      <c r="I51" s="697"/>
      <c r="J51" s="697"/>
      <c r="K51" s="697"/>
      <c r="L51" s="697"/>
      <c r="M51" s="713"/>
      <c r="N51" s="15"/>
      <c r="S51" s="16"/>
    </row>
    <row r="52" spans="1:19" x14ac:dyDescent="0.35">
      <c r="C52" s="714" t="s">
        <v>29</v>
      </c>
      <c r="D52" s="738" t="s">
        <v>71</v>
      </c>
      <c r="E52" s="715">
        <v>0.97916666666666663</v>
      </c>
      <c r="F52" s="697"/>
      <c r="G52" s="733" t="s">
        <v>72</v>
      </c>
      <c r="H52" s="697"/>
      <c r="I52" s="697"/>
      <c r="J52" s="697"/>
      <c r="K52" s="725" t="s">
        <v>73</v>
      </c>
      <c r="L52" s="697"/>
      <c r="M52" s="713"/>
      <c r="N52" s="356" t="s">
        <v>29</v>
      </c>
      <c r="S52" s="16"/>
    </row>
    <row r="53" spans="1:19" x14ac:dyDescent="0.35">
      <c r="C53" s="699"/>
      <c r="D53" s="710"/>
      <c r="E53" s="697"/>
      <c r="F53" s="697"/>
      <c r="G53" s="697"/>
      <c r="H53" s="697"/>
      <c r="I53" s="697"/>
      <c r="J53" s="697"/>
      <c r="K53" s="697"/>
      <c r="L53" s="697"/>
      <c r="M53" s="713"/>
      <c r="N53" s="15"/>
      <c r="S53" s="16"/>
    </row>
    <row r="54" spans="1:19" x14ac:dyDescent="0.35">
      <c r="C54" s="709" t="s">
        <v>28</v>
      </c>
      <c r="D54" s="710"/>
      <c r="E54" s="725" t="s">
        <v>73</v>
      </c>
      <c r="F54" s="697"/>
      <c r="G54" s="697"/>
      <c r="H54" s="697"/>
      <c r="I54" s="697"/>
      <c r="J54" s="697"/>
      <c r="K54" s="697"/>
      <c r="L54" s="697"/>
      <c r="M54" s="713"/>
      <c r="N54" s="712" t="s">
        <v>28</v>
      </c>
      <c r="S54" s="16"/>
    </row>
    <row r="55" spans="1:19" x14ac:dyDescent="0.35">
      <c r="C55" s="11"/>
      <c r="D55" s="710"/>
      <c r="E55" s="697"/>
      <c r="F55" s="697"/>
      <c r="G55" s="697"/>
      <c r="H55" s="697"/>
      <c r="I55" s="697"/>
      <c r="J55" s="697"/>
      <c r="K55" s="697"/>
      <c r="L55" s="697"/>
      <c r="M55" s="713"/>
      <c r="N55" s="15"/>
      <c r="S55" s="16"/>
    </row>
    <row r="56" spans="1:19" x14ac:dyDescent="0.35">
      <c r="C56" s="739" t="s">
        <v>27</v>
      </c>
      <c r="D56" s="740" t="s">
        <v>203</v>
      </c>
      <c r="E56" s="742" t="s">
        <v>204</v>
      </c>
      <c r="F56" s="741"/>
      <c r="G56" s="742" t="s">
        <v>205</v>
      </c>
      <c r="H56" s="741"/>
      <c r="I56" s="743" t="s">
        <v>206</v>
      </c>
      <c r="J56" s="741"/>
      <c r="K56" s="742" t="s">
        <v>77</v>
      </c>
      <c r="L56" s="744" t="s">
        <v>207</v>
      </c>
      <c r="M56" s="745"/>
      <c r="N56" s="746" t="s">
        <v>27</v>
      </c>
      <c r="S56" s="16"/>
    </row>
    <row r="57" spans="1:19" x14ac:dyDescent="0.35">
      <c r="M57" s="75"/>
      <c r="S57" s="16"/>
    </row>
    <row r="58" spans="1:19" x14ac:dyDescent="0.35">
      <c r="A58" s="749" t="s">
        <v>79</v>
      </c>
      <c r="B58" s="750"/>
      <c r="C58" s="750"/>
      <c r="D58" s="750"/>
      <c r="E58" s="750"/>
      <c r="F58" s="750"/>
      <c r="G58" s="750"/>
      <c r="H58" s="750"/>
      <c r="I58" s="750"/>
      <c r="J58" s="750"/>
      <c r="K58" s="750"/>
      <c r="L58" s="750"/>
      <c r="M58" s="750"/>
      <c r="N58" s="750"/>
      <c r="O58" s="750"/>
      <c r="P58" s="77"/>
      <c r="Q58" s="78"/>
      <c r="R58" s="1"/>
      <c r="S58" s="16"/>
    </row>
    <row r="59" spans="1:19" x14ac:dyDescent="0.35">
      <c r="A59" s="79"/>
      <c r="B59" s="80"/>
      <c r="C59" s="1557" t="s">
        <v>80</v>
      </c>
      <c r="D59" s="1559"/>
      <c r="E59" s="1558"/>
      <c r="F59" s="1560" t="s">
        <v>81</v>
      </c>
      <c r="G59" s="1561"/>
      <c r="H59" s="1561"/>
      <c r="I59" s="1561"/>
      <c r="J59" s="1562"/>
      <c r="K59" s="1560" t="s">
        <v>82</v>
      </c>
      <c r="L59" s="1561"/>
      <c r="M59" s="1561"/>
      <c r="N59" s="1561"/>
      <c r="O59" s="81"/>
      <c r="P59" s="81"/>
      <c r="Q59" s="82"/>
      <c r="R59" s="1"/>
      <c r="S59" s="16"/>
    </row>
    <row r="60" spans="1:19" x14ac:dyDescent="0.35">
      <c r="A60" s="83" t="s">
        <v>83</v>
      </c>
      <c r="B60" s="83" t="s">
        <v>84</v>
      </c>
      <c r="C60" s="85" t="s">
        <v>85</v>
      </c>
      <c r="D60" s="86" t="s">
        <v>86</v>
      </c>
      <c r="E60" s="87"/>
      <c r="F60" s="88" t="s">
        <v>80</v>
      </c>
      <c r="G60" s="89"/>
      <c r="H60" s="86" t="s">
        <v>82</v>
      </c>
      <c r="I60" s="85" t="s">
        <v>86</v>
      </c>
      <c r="J60" s="90"/>
      <c r="K60" s="91" t="s">
        <v>82</v>
      </c>
      <c r="L60" s="89"/>
      <c r="M60" s="414" t="s">
        <v>87</v>
      </c>
      <c r="N60" s="93" t="s">
        <v>88</v>
      </c>
      <c r="O60" s="83" t="s">
        <v>89</v>
      </c>
      <c r="P60" s="83" t="s">
        <v>90</v>
      </c>
      <c r="Q60" s="94" t="s">
        <v>91</v>
      </c>
      <c r="R60" s="1"/>
      <c r="S60" s="16"/>
    </row>
    <row r="61" spans="1:19" x14ac:dyDescent="0.35">
      <c r="A61" s="751">
        <v>1</v>
      </c>
      <c r="B61" s="752">
        <v>251</v>
      </c>
      <c r="C61" s="753">
        <f>SUM(D61-TIME( ,8, ))</f>
        <v>0.1958333333333333</v>
      </c>
      <c r="D61" s="754">
        <v>0.20138888888888887</v>
      </c>
      <c r="E61" s="755" t="s">
        <v>27</v>
      </c>
      <c r="F61" s="1599" t="s">
        <v>92</v>
      </c>
      <c r="G61" s="1600"/>
      <c r="H61" s="1600"/>
      <c r="I61" s="1600"/>
      <c r="J61" s="1601"/>
      <c r="K61" s="753">
        <v>0.42708333333333331</v>
      </c>
      <c r="L61" s="756" t="s">
        <v>93</v>
      </c>
      <c r="M61" s="757">
        <f>SUM(K61+TIME( ,0, ))</f>
        <v>0.42708333333333331</v>
      </c>
      <c r="N61" s="758">
        <f>(M61-C61)</f>
        <v>0.23125000000000001</v>
      </c>
      <c r="O61" s="759">
        <f t="shared" ref="O61:O71" si="0">SUM(N61-P61)</f>
        <v>0.23125000000000001</v>
      </c>
      <c r="P61" s="760">
        <v>0</v>
      </c>
      <c r="Q61" s="761"/>
      <c r="R61" s="1"/>
      <c r="S61" s="16"/>
    </row>
    <row r="62" spans="1:19" x14ac:dyDescent="0.35">
      <c r="A62" s="762">
        <v>2</v>
      </c>
      <c r="B62" s="763">
        <v>252</v>
      </c>
      <c r="C62" s="764">
        <f t="shared" ref="C62:C64" si="1">SUM(D62-TIME( ,8, ))</f>
        <v>0.20972222222222223</v>
      </c>
      <c r="D62" s="765">
        <v>0.21527777777777779</v>
      </c>
      <c r="E62" s="766" t="s">
        <v>27</v>
      </c>
      <c r="F62" s="767">
        <v>0.375</v>
      </c>
      <c r="G62" s="765" t="s">
        <v>93</v>
      </c>
      <c r="H62" s="765">
        <f t="shared" ref="H62:H63" si="2">SUM(I62-TIME( ,0, ))</f>
        <v>0.42708333333333331</v>
      </c>
      <c r="I62" s="765">
        <v>0.42708333333333331</v>
      </c>
      <c r="J62" s="768" t="s">
        <v>93</v>
      </c>
      <c r="K62" s="764">
        <v>0.5625</v>
      </c>
      <c r="L62" s="769" t="s">
        <v>93</v>
      </c>
      <c r="M62" s="770">
        <f t="shared" ref="M62:M71" si="3">SUM(K62+TIME( ,0, ))</f>
        <v>0.5625</v>
      </c>
      <c r="N62" s="771">
        <f t="shared" ref="N62:N71" si="4">(M62-C62)</f>
        <v>0.35277777777777775</v>
      </c>
      <c r="O62" s="772">
        <f t="shared" si="0"/>
        <v>0.30069444444444443</v>
      </c>
      <c r="P62" s="773">
        <f t="shared" ref="P62:P71" si="5">SUM(H62-F62)</f>
        <v>5.2083333333333315E-2</v>
      </c>
      <c r="Q62" s="774"/>
      <c r="R62" s="1"/>
      <c r="S62" s="16"/>
    </row>
    <row r="63" spans="1:19" x14ac:dyDescent="0.35">
      <c r="A63" s="762">
        <v>3</v>
      </c>
      <c r="B63" s="763">
        <v>253</v>
      </c>
      <c r="C63" s="764">
        <f t="shared" si="1"/>
        <v>0.23055555555555557</v>
      </c>
      <c r="D63" s="765">
        <v>0.23611111111111113</v>
      </c>
      <c r="E63" s="766" t="s">
        <v>27</v>
      </c>
      <c r="F63" s="767">
        <v>0.33333333333333331</v>
      </c>
      <c r="G63" s="765" t="s">
        <v>93</v>
      </c>
      <c r="H63" s="765">
        <f t="shared" si="2"/>
        <v>0.375</v>
      </c>
      <c r="I63" s="765">
        <v>0.375</v>
      </c>
      <c r="J63" s="768" t="s">
        <v>93</v>
      </c>
      <c r="K63" s="764">
        <v>0.51041666666666663</v>
      </c>
      <c r="L63" s="769" t="s">
        <v>93</v>
      </c>
      <c r="M63" s="770">
        <f>SUM(K63+TIME( ,0, ))</f>
        <v>0.51041666666666663</v>
      </c>
      <c r="N63" s="771">
        <f>(M63-C63)</f>
        <v>0.27986111111111106</v>
      </c>
      <c r="O63" s="772">
        <f>SUM(N63-P63)</f>
        <v>0.23819444444444438</v>
      </c>
      <c r="P63" s="773">
        <f>SUM(H63-F63)</f>
        <v>4.1666666666666685E-2</v>
      </c>
      <c r="Q63" s="774"/>
      <c r="R63" s="1"/>
      <c r="S63" s="16"/>
    </row>
    <row r="64" spans="1:19" x14ac:dyDescent="0.35">
      <c r="A64" s="762">
        <v>4</v>
      </c>
      <c r="B64" s="763">
        <v>254</v>
      </c>
      <c r="C64" s="764">
        <f t="shared" si="1"/>
        <v>0.23749999999999999</v>
      </c>
      <c r="D64" s="765">
        <v>0.24305555555555555</v>
      </c>
      <c r="E64" s="766" t="s">
        <v>27</v>
      </c>
      <c r="F64" s="1602" t="s">
        <v>92</v>
      </c>
      <c r="G64" s="1603"/>
      <c r="H64" s="1603"/>
      <c r="I64" s="1603"/>
      <c r="J64" s="1604"/>
      <c r="K64" s="764">
        <v>0.44791666666666669</v>
      </c>
      <c r="L64" s="769" t="s">
        <v>27</v>
      </c>
      <c r="M64" s="770">
        <f t="shared" si="3"/>
        <v>0.44791666666666669</v>
      </c>
      <c r="N64" s="771">
        <f t="shared" si="4"/>
        <v>0.2104166666666667</v>
      </c>
      <c r="O64" s="772">
        <f t="shared" si="0"/>
        <v>0.2104166666666667</v>
      </c>
      <c r="P64" s="773">
        <v>0</v>
      </c>
      <c r="Q64" s="774"/>
      <c r="R64" s="1"/>
      <c r="S64" s="16"/>
    </row>
    <row r="65" spans="1:31" x14ac:dyDescent="0.35">
      <c r="A65" s="762">
        <v>5</v>
      </c>
      <c r="B65" s="763">
        <v>255</v>
      </c>
      <c r="C65" s="764">
        <f>SUM(D65-TIME( ,8, ))</f>
        <v>0.25833333333333336</v>
      </c>
      <c r="D65" s="765">
        <v>0.2638888888888889</v>
      </c>
      <c r="E65" s="766" t="s">
        <v>27</v>
      </c>
      <c r="F65" s="767">
        <v>0.45833333333333331</v>
      </c>
      <c r="G65" s="769" t="s">
        <v>93</v>
      </c>
      <c r="H65" s="765">
        <f>SUM(I65-TIME( ,0, ))</f>
        <v>0.5</v>
      </c>
      <c r="I65" s="769">
        <v>0.5</v>
      </c>
      <c r="J65" s="775" t="s">
        <v>93</v>
      </c>
      <c r="K65" s="764">
        <v>0.65625</v>
      </c>
      <c r="L65" s="769" t="s">
        <v>93</v>
      </c>
      <c r="M65" s="770">
        <f>SUM(K65+TIME( ,0, ))</f>
        <v>0.65625</v>
      </c>
      <c r="N65" s="771">
        <f>(M65-C65)</f>
        <v>0.39791666666666664</v>
      </c>
      <c r="O65" s="772">
        <f>SUM(N65-P65)</f>
        <v>0.35624999999999996</v>
      </c>
      <c r="P65" s="773">
        <f>SUM(H65-F65)</f>
        <v>4.1666666666666685E-2</v>
      </c>
      <c r="Q65" s="776"/>
      <c r="R65" s="1"/>
      <c r="S65" s="16"/>
    </row>
    <row r="66" spans="1:31" x14ac:dyDescent="0.35">
      <c r="A66" s="777">
        <v>6</v>
      </c>
      <c r="B66" s="778">
        <v>256</v>
      </c>
      <c r="C66" s="779">
        <f>SUM(D66-TIME( ,8, ))</f>
        <v>0.26527777777777778</v>
      </c>
      <c r="D66" s="780">
        <v>0.27083333333333331</v>
      </c>
      <c r="E66" s="781" t="s">
        <v>27</v>
      </c>
      <c r="F66" s="1596" t="s">
        <v>92</v>
      </c>
      <c r="G66" s="1597"/>
      <c r="H66" s="1597"/>
      <c r="I66" s="1597"/>
      <c r="J66" s="1598"/>
      <c r="K66" s="779">
        <v>0.5</v>
      </c>
      <c r="L66" s="782" t="s">
        <v>93</v>
      </c>
      <c r="M66" s="783">
        <f>SUM(K66+TIME( ,0, ))</f>
        <v>0.5</v>
      </c>
      <c r="N66" s="784">
        <f>(M66-C66)</f>
        <v>0.23472222222222222</v>
      </c>
      <c r="O66" s="785">
        <f>SUM(N66-P66)</f>
        <v>0.23472222222222222</v>
      </c>
      <c r="P66" s="786">
        <v>0</v>
      </c>
      <c r="Q66" s="774"/>
      <c r="R66" s="1"/>
      <c r="S66" s="16"/>
    </row>
    <row r="67" spans="1:31" x14ac:dyDescent="0.35">
      <c r="A67" s="787">
        <v>7</v>
      </c>
      <c r="B67" s="787">
        <v>257</v>
      </c>
      <c r="C67" s="788">
        <f t="shared" ref="C67:C71" si="6">SUM(D67-TIME( ,3, ))</f>
        <v>0.5083333333333333</v>
      </c>
      <c r="D67" s="789">
        <v>0.51041666666666663</v>
      </c>
      <c r="E67" s="790" t="s">
        <v>93</v>
      </c>
      <c r="F67" s="788">
        <v>0.66666666666666663</v>
      </c>
      <c r="G67" s="791" t="s">
        <v>93</v>
      </c>
      <c r="H67" s="789">
        <f t="shared" ref="H67:H71" si="7">SUM(I67-TIME( ,0, ))</f>
        <v>0.72916666666666663</v>
      </c>
      <c r="I67" s="791">
        <v>0.72916666666666663</v>
      </c>
      <c r="J67" s="792" t="s">
        <v>93</v>
      </c>
      <c r="K67" s="788">
        <v>0.86458333333333337</v>
      </c>
      <c r="L67" s="791" t="s">
        <v>93</v>
      </c>
      <c r="M67" s="793">
        <f>SUM(K67+TIME( ,0, ))</f>
        <v>0.86458333333333337</v>
      </c>
      <c r="N67" s="794">
        <f t="shared" si="4"/>
        <v>0.35625000000000007</v>
      </c>
      <c r="O67" s="795">
        <f t="shared" si="0"/>
        <v>0.29375000000000007</v>
      </c>
      <c r="P67" s="794">
        <f t="shared" si="5"/>
        <v>6.25E-2</v>
      </c>
      <c r="Q67" s="761"/>
      <c r="R67" s="1"/>
      <c r="S67" s="16"/>
    </row>
    <row r="68" spans="1:31" ht="17.5" customHeight="1" x14ac:dyDescent="0.35">
      <c r="A68" s="796">
        <v>8</v>
      </c>
      <c r="B68" s="796">
        <v>258</v>
      </c>
      <c r="C68" s="764">
        <f t="shared" si="6"/>
        <v>0.5395833333333333</v>
      </c>
      <c r="D68" s="765">
        <v>0.54166666666666663</v>
      </c>
      <c r="E68" s="797" t="s">
        <v>93</v>
      </c>
      <c r="F68" s="764">
        <v>0.61458333333333337</v>
      </c>
      <c r="G68" s="798" t="s">
        <v>93</v>
      </c>
      <c r="H68" s="765">
        <f>SUM(I68-TIME( ,0, ))</f>
        <v>0.66666666666666663</v>
      </c>
      <c r="I68" s="769">
        <v>0.66666666666666663</v>
      </c>
      <c r="J68" s="766" t="s">
        <v>93</v>
      </c>
      <c r="K68" s="764">
        <v>0.88541666666666663</v>
      </c>
      <c r="L68" s="769" t="s">
        <v>93</v>
      </c>
      <c r="M68" s="770">
        <f>SUM(K68+TIME( ,0, ))</f>
        <v>0.88541666666666663</v>
      </c>
      <c r="N68" s="772">
        <f t="shared" si="4"/>
        <v>0.34583333333333333</v>
      </c>
      <c r="O68" s="799">
        <f>SUM(N68-P68)</f>
        <v>0.29375000000000007</v>
      </c>
      <c r="P68" s="772">
        <f>SUM(H68-F68)</f>
        <v>5.2083333333333259E-2</v>
      </c>
      <c r="Q68" s="774"/>
      <c r="R68" s="1"/>
      <c r="S68" s="16"/>
    </row>
    <row r="69" spans="1:31" x14ac:dyDescent="0.35">
      <c r="A69" s="800">
        <v>9</v>
      </c>
      <c r="B69" s="800">
        <v>259</v>
      </c>
      <c r="C69" s="801">
        <f t="shared" si="6"/>
        <v>0.56041666666666667</v>
      </c>
      <c r="D69" s="802">
        <v>0.5625</v>
      </c>
      <c r="E69" s="803" t="s">
        <v>93</v>
      </c>
      <c r="F69" s="804">
        <v>0.64583333333333337</v>
      </c>
      <c r="G69" s="805" t="s">
        <v>93</v>
      </c>
      <c r="H69" s="806">
        <f>SUM(I69-TIME( ,0, ))</f>
        <v>0.70833333333333337</v>
      </c>
      <c r="I69" s="805">
        <v>0.70833333333333337</v>
      </c>
      <c r="J69" s="807" t="s">
        <v>93</v>
      </c>
      <c r="K69" s="808">
        <v>0.89930555555555547</v>
      </c>
      <c r="L69" s="809" t="s">
        <v>27</v>
      </c>
      <c r="M69" s="810">
        <f t="shared" ref="M69" si="8">SUM(K69+TIME( ,0, ))</f>
        <v>0.89930555555555547</v>
      </c>
      <c r="N69" s="811">
        <f t="shared" si="4"/>
        <v>0.3388888888888888</v>
      </c>
      <c r="O69" s="804">
        <f>SUM(N69-P69)</f>
        <v>0.2763888888888888</v>
      </c>
      <c r="P69" s="811">
        <f>SUM(H69-F69)</f>
        <v>6.25E-2</v>
      </c>
      <c r="Q69" s="812"/>
      <c r="R69" s="1"/>
      <c r="S69" s="16"/>
    </row>
    <row r="70" spans="1:31" x14ac:dyDescent="0.35">
      <c r="A70" s="751">
        <v>10</v>
      </c>
      <c r="B70" s="752">
        <v>260</v>
      </c>
      <c r="C70" s="753">
        <f>SUM(D70-TIME( ,3, ))</f>
        <v>0.60555555555555562</v>
      </c>
      <c r="D70" s="756">
        <v>0.60763888888888895</v>
      </c>
      <c r="E70" s="755" t="s">
        <v>27</v>
      </c>
      <c r="F70" s="813">
        <v>0.82291666666666663</v>
      </c>
      <c r="G70" s="754" t="s">
        <v>27</v>
      </c>
      <c r="H70" s="754">
        <f>I70-TIME( ,3, )</f>
        <v>0.86597222222222214</v>
      </c>
      <c r="I70" s="756">
        <v>0.86805555555555547</v>
      </c>
      <c r="J70" s="814" t="s">
        <v>27</v>
      </c>
      <c r="K70" s="753">
        <v>1.0138888888888888</v>
      </c>
      <c r="L70" s="756" t="s">
        <v>27</v>
      </c>
      <c r="M70" s="757">
        <f>SUM(K70+TIME( ,0, ))</f>
        <v>1.0138888888888888</v>
      </c>
      <c r="N70" s="758">
        <f>(M70-C70)</f>
        <v>0.40833333333333321</v>
      </c>
      <c r="O70" s="759">
        <f>SUM(N70-P70)</f>
        <v>0.3652777777777777</v>
      </c>
      <c r="P70" s="760">
        <f>SUM(H70-F70)</f>
        <v>4.3055555555555514E-2</v>
      </c>
      <c r="Q70" s="815"/>
      <c r="R70" s="1"/>
      <c r="S70" s="16"/>
      <c r="T70" s="16"/>
      <c r="Z70" s="16"/>
    </row>
    <row r="71" spans="1:31" x14ac:dyDescent="0.35">
      <c r="A71" s="762">
        <v>11</v>
      </c>
      <c r="B71" s="763">
        <v>261</v>
      </c>
      <c r="C71" s="764">
        <f t="shared" si="6"/>
        <v>0.61250000000000004</v>
      </c>
      <c r="D71" s="769">
        <v>0.61458333333333337</v>
      </c>
      <c r="E71" s="766" t="s">
        <v>93</v>
      </c>
      <c r="F71" s="767">
        <v>0.78125</v>
      </c>
      <c r="G71" s="765" t="s">
        <v>93</v>
      </c>
      <c r="H71" s="765">
        <f t="shared" si="7"/>
        <v>0.83333333333333337</v>
      </c>
      <c r="I71" s="769">
        <v>0.83333333333333337</v>
      </c>
      <c r="J71" s="816" t="s">
        <v>93</v>
      </c>
      <c r="K71" s="817">
        <v>1</v>
      </c>
      <c r="L71" s="769" t="s">
        <v>27</v>
      </c>
      <c r="M71" s="770">
        <f t="shared" si="3"/>
        <v>1</v>
      </c>
      <c r="N71" s="771">
        <f t="shared" si="4"/>
        <v>0.38749999999999996</v>
      </c>
      <c r="O71" s="772">
        <f t="shared" si="0"/>
        <v>0.33541666666666659</v>
      </c>
      <c r="P71" s="773">
        <f t="shared" si="5"/>
        <v>5.208333333333337E-2</v>
      </c>
      <c r="Q71" s="774"/>
      <c r="R71" s="1"/>
      <c r="S71" s="16"/>
      <c r="U71" s="2"/>
      <c r="X71" s="3"/>
      <c r="Y71" s="16"/>
      <c r="AD71" s="5"/>
    </row>
    <row r="72" spans="1:31" x14ac:dyDescent="0.35">
      <c r="A72" s="762">
        <v>12</v>
      </c>
      <c r="B72" s="763">
        <v>262</v>
      </c>
      <c r="C72" s="764">
        <f>SUM(D72-TIME( ,3, ))</f>
        <v>0.62291666666666667</v>
      </c>
      <c r="D72" s="769">
        <v>0.625</v>
      </c>
      <c r="E72" s="770" t="s">
        <v>93</v>
      </c>
      <c r="F72" s="818">
        <v>0.70833333333333337</v>
      </c>
      <c r="G72" s="765" t="s">
        <v>93</v>
      </c>
      <c r="H72" s="765">
        <f>SUM(I72-TIME( ,0, ))</f>
        <v>0.78125</v>
      </c>
      <c r="I72" s="769">
        <v>0.78125</v>
      </c>
      <c r="J72" s="816" t="s">
        <v>93</v>
      </c>
      <c r="K72" s="764">
        <v>0.98611111111111116</v>
      </c>
      <c r="L72" s="769" t="s">
        <v>27</v>
      </c>
      <c r="M72" s="770">
        <f>SUM(K72+TIME( ,0, ))</f>
        <v>0.98611111111111116</v>
      </c>
      <c r="N72" s="771">
        <f>(M72-C72)</f>
        <v>0.36319444444444449</v>
      </c>
      <c r="O72" s="772">
        <f>SUM(N72-P72)</f>
        <v>0.29027777777777786</v>
      </c>
      <c r="P72" s="773">
        <f>SUM(H72-F72)</f>
        <v>7.291666666666663E-2</v>
      </c>
      <c r="Q72" s="819"/>
      <c r="R72" s="1"/>
      <c r="S72" s="16"/>
    </row>
    <row r="73" spans="1:31" x14ac:dyDescent="0.35">
      <c r="A73" s="762">
        <v>13</v>
      </c>
      <c r="B73" s="763">
        <v>263</v>
      </c>
      <c r="C73" s="764">
        <f>SUM(D73-TIME( ,3, ))</f>
        <v>0.64375000000000004</v>
      </c>
      <c r="D73" s="769">
        <v>0.64583333333333337</v>
      </c>
      <c r="E73" s="766" t="s">
        <v>93</v>
      </c>
      <c r="F73" s="818">
        <v>0.72916666666666663</v>
      </c>
      <c r="G73" s="820" t="s">
        <v>93</v>
      </c>
      <c r="H73" s="765">
        <f>SUM(I73-TIME( ,0, ))</f>
        <v>0.8125</v>
      </c>
      <c r="I73" s="769">
        <v>0.8125</v>
      </c>
      <c r="J73" s="816" t="s">
        <v>93</v>
      </c>
      <c r="K73" s="764">
        <v>0.97916666666666663</v>
      </c>
      <c r="L73" s="769" t="s">
        <v>27</v>
      </c>
      <c r="M73" s="770">
        <f t="shared" ref="M73" si="9">SUM(K73+TIME( ,0, ))</f>
        <v>0.97916666666666663</v>
      </c>
      <c r="N73" s="771">
        <f>(M73-C73)</f>
        <v>0.33541666666666659</v>
      </c>
      <c r="O73" s="772">
        <f>SUM(N73-P73)</f>
        <v>0.25208333333333321</v>
      </c>
      <c r="P73" s="773">
        <f>SUM(H73-F73)</f>
        <v>8.333333333333337E-2</v>
      </c>
      <c r="Q73" s="821"/>
      <c r="R73" s="1"/>
      <c r="S73" s="16"/>
      <c r="T73" s="16"/>
      <c r="V73" s="2"/>
      <c r="Y73" s="3"/>
      <c r="Z73" s="16"/>
      <c r="AE73" s="5"/>
    </row>
    <row r="74" spans="1:31" x14ac:dyDescent="0.35">
      <c r="A74" s="762">
        <v>14</v>
      </c>
      <c r="B74" s="763">
        <v>264</v>
      </c>
      <c r="C74" s="764">
        <f>SUM(D74-TIME( ,3, ))</f>
        <v>0.65416666666666667</v>
      </c>
      <c r="D74" s="769">
        <v>0.65625</v>
      </c>
      <c r="E74" s="766" t="s">
        <v>93</v>
      </c>
      <c r="F74" s="818">
        <v>0.8125</v>
      </c>
      <c r="G74" s="765" t="s">
        <v>93</v>
      </c>
      <c r="H74" s="765">
        <f>SUM(I74-TIME( ,0, ))</f>
        <v>0.86458333333333337</v>
      </c>
      <c r="I74" s="769">
        <v>0.86458333333333337</v>
      </c>
      <c r="J74" s="816" t="s">
        <v>93</v>
      </c>
      <c r="K74" s="764">
        <v>1.0069444444444444</v>
      </c>
      <c r="L74" s="769" t="s">
        <v>27</v>
      </c>
      <c r="M74" s="770">
        <f>SUM(K74+TIME( ,0, ))</f>
        <v>1.0069444444444444</v>
      </c>
      <c r="N74" s="771">
        <f>(M74-C74)</f>
        <v>0.35277777777777775</v>
      </c>
      <c r="O74" s="772">
        <f>SUM(N74-P74)</f>
        <v>0.30069444444444438</v>
      </c>
      <c r="P74" s="773">
        <f>SUM(H74-F74)</f>
        <v>5.208333333333337E-2</v>
      </c>
      <c r="Q74" s="822"/>
      <c r="R74" s="1"/>
      <c r="S74" s="16"/>
      <c r="T74" s="16"/>
      <c r="Z74" s="16"/>
    </row>
    <row r="75" spans="1:31" x14ac:dyDescent="0.35">
      <c r="A75" s="777">
        <v>15</v>
      </c>
      <c r="B75" s="778">
        <v>265</v>
      </c>
      <c r="C75" s="779">
        <f>SUM(D75-TIME( ,3, ))</f>
        <v>0.67500000000000004</v>
      </c>
      <c r="D75" s="780">
        <v>0.67708333333333337</v>
      </c>
      <c r="E75" s="781" t="s">
        <v>93</v>
      </c>
      <c r="F75" s="823">
        <v>0.83333333333333337</v>
      </c>
      <c r="G75" s="782" t="s">
        <v>93</v>
      </c>
      <c r="H75" s="780">
        <f>SUM(I75-TIME( ,0, ))</f>
        <v>0.88541666666666663</v>
      </c>
      <c r="I75" s="780">
        <v>0.88541666666666663</v>
      </c>
      <c r="J75" s="824" t="s">
        <v>93</v>
      </c>
      <c r="K75" s="779">
        <v>1.0277777777777779</v>
      </c>
      <c r="L75" s="825" t="s">
        <v>27</v>
      </c>
      <c r="M75" s="783">
        <f>SUM(K75+TIME( ,0, ))</f>
        <v>1.0277777777777779</v>
      </c>
      <c r="N75" s="784">
        <f>(M75-C75)</f>
        <v>0.35277777777777786</v>
      </c>
      <c r="O75" s="785">
        <f>SUM(N75-P75)</f>
        <v>0.3006944444444446</v>
      </c>
      <c r="P75" s="786">
        <f>SUM(H75-F75)</f>
        <v>5.2083333333333259E-2</v>
      </c>
      <c r="Q75" s="216"/>
      <c r="R75" s="1"/>
      <c r="S75" s="16"/>
      <c r="T75" s="16"/>
      <c r="Z75" s="16"/>
    </row>
    <row r="76" spans="1:31" x14ac:dyDescent="0.35">
      <c r="A76" s="230"/>
      <c r="B76" s="231"/>
      <c r="C76" s="232"/>
      <c r="D76" s="232"/>
      <c r="E76" s="233"/>
      <c r="F76" s="826"/>
      <c r="G76" s="827"/>
      <c r="H76" s="827"/>
      <c r="I76" s="827"/>
      <c r="J76" s="828"/>
      <c r="K76" s="237"/>
      <c r="L76" s="238"/>
      <c r="M76" s="829"/>
      <c r="N76" s="240" t="s">
        <v>94</v>
      </c>
      <c r="O76" s="241">
        <f>AVERAGE(O61:O75)</f>
        <v>0.28532407407407406</v>
      </c>
      <c r="P76" s="1595"/>
      <c r="Q76" s="1556"/>
      <c r="R76" s="1"/>
      <c r="S76" s="16"/>
      <c r="T76" s="16"/>
      <c r="Z76" s="16"/>
    </row>
    <row r="77" spans="1:31" x14ac:dyDescent="0.35">
      <c r="A77" s="830" t="s">
        <v>95</v>
      </c>
      <c r="B77" s="830">
        <v>281</v>
      </c>
      <c r="C77" s="831">
        <f>SUM(D77-TIME( ,8, ))</f>
        <v>0.28958333333333336</v>
      </c>
      <c r="D77" s="832">
        <v>0.2951388888888889</v>
      </c>
      <c r="E77" s="833" t="s">
        <v>27</v>
      </c>
      <c r="F77" s="834">
        <v>0.40625</v>
      </c>
      <c r="G77" s="835" t="s">
        <v>93</v>
      </c>
      <c r="H77" s="832">
        <f>SUM(I77-TIME( ,0, ))</f>
        <v>0.45833333333333331</v>
      </c>
      <c r="I77" s="835">
        <v>0.45833333333333331</v>
      </c>
      <c r="J77" s="836" t="s">
        <v>93</v>
      </c>
      <c r="K77" s="837">
        <v>0.67708333333333337</v>
      </c>
      <c r="L77" s="756" t="s">
        <v>93</v>
      </c>
      <c r="M77" s="838">
        <f>SUM(K77+TIME( ,0, ))</f>
        <v>0.67708333333333337</v>
      </c>
      <c r="N77" s="837">
        <f>(M77-C77)</f>
        <v>0.38750000000000001</v>
      </c>
      <c r="O77" s="839">
        <f>SUM(N77-P77)</f>
        <v>0.3354166666666667</v>
      </c>
      <c r="P77" s="838">
        <f>SUM(H77-F77)</f>
        <v>5.2083333333333315E-2</v>
      </c>
      <c r="Q77" s="254"/>
      <c r="R77" s="1"/>
      <c r="S77" s="16"/>
      <c r="T77" s="16"/>
      <c r="Z77" s="16"/>
    </row>
    <row r="78" spans="1:31" x14ac:dyDescent="0.35">
      <c r="A78" s="796" t="s">
        <v>96</v>
      </c>
      <c r="B78" s="796">
        <v>282</v>
      </c>
      <c r="C78" s="764">
        <f>SUM(D78-TIME( ,8, ))</f>
        <v>0.32083333333333336</v>
      </c>
      <c r="D78" s="765">
        <v>0.3263888888888889</v>
      </c>
      <c r="E78" s="840" t="s">
        <v>27</v>
      </c>
      <c r="F78" s="767">
        <v>0.44791666666666669</v>
      </c>
      <c r="G78" s="769" t="s">
        <v>27</v>
      </c>
      <c r="H78" s="765">
        <f>SUM(I78-TIME( ,3, ))</f>
        <v>0.50138888888888888</v>
      </c>
      <c r="I78" s="765">
        <v>0.50347222222222221</v>
      </c>
      <c r="J78" s="797" t="s">
        <v>27</v>
      </c>
      <c r="K78" s="799">
        <v>0.625</v>
      </c>
      <c r="L78" s="791" t="s">
        <v>93</v>
      </c>
      <c r="M78" s="773">
        <f>SUM(K78+TIME( ,0, ))</f>
        <v>0.625</v>
      </c>
      <c r="N78" s="799">
        <f>(M78-C78)</f>
        <v>0.30416666666666664</v>
      </c>
      <c r="O78" s="772">
        <f>SUM(N78-P78)</f>
        <v>0.25069444444444444</v>
      </c>
      <c r="P78" s="773">
        <f>SUM(H78-F78)</f>
        <v>5.3472222222222199E-2</v>
      </c>
      <c r="Q78" s="267"/>
      <c r="R78" s="1"/>
      <c r="S78" s="16"/>
      <c r="T78" s="16"/>
      <c r="Z78" s="16"/>
    </row>
    <row r="79" spans="1:31" x14ac:dyDescent="0.35">
      <c r="A79" s="841" t="s">
        <v>97</v>
      </c>
      <c r="B79" s="841">
        <v>283</v>
      </c>
      <c r="C79" s="842">
        <f>SUM(D79-TIME( ,3, ))</f>
        <v>0.33124999999999999</v>
      </c>
      <c r="D79" s="802">
        <v>0.33333333333333331</v>
      </c>
      <c r="E79" s="843" t="s">
        <v>93</v>
      </c>
      <c r="F79" s="844">
        <v>0.54166666666666663</v>
      </c>
      <c r="G79" s="805" t="s">
        <v>93</v>
      </c>
      <c r="H79" s="802">
        <f>SUM(I79-TIME( ,0, ))</f>
        <v>0.60416666666666663</v>
      </c>
      <c r="I79" s="802">
        <v>0.60416666666666663</v>
      </c>
      <c r="J79" s="845" t="s">
        <v>93</v>
      </c>
      <c r="K79" s="804">
        <v>0.6875</v>
      </c>
      <c r="L79" s="846" t="s">
        <v>93</v>
      </c>
      <c r="M79" s="847">
        <f t="shared" ref="M79" si="10">SUM(K79+TIME( ,0, ))</f>
        <v>0.6875</v>
      </c>
      <c r="N79" s="804">
        <f>(M79-C79)</f>
        <v>0.35625000000000001</v>
      </c>
      <c r="O79" s="811">
        <f>SUM(N79-P79)</f>
        <v>0.29375000000000001</v>
      </c>
      <c r="P79" s="847">
        <f>SUM(H79-F79)</f>
        <v>6.25E-2</v>
      </c>
      <c r="Q79" s="216"/>
      <c r="R79" s="1"/>
      <c r="S79" s="16"/>
      <c r="T79" s="16"/>
      <c r="Z79" s="16"/>
    </row>
    <row r="80" spans="1:31" x14ac:dyDescent="0.35">
      <c r="A80" s="848" t="s">
        <v>98</v>
      </c>
      <c r="B80" s="848">
        <v>284</v>
      </c>
      <c r="C80" s="779">
        <f>SUM(D80-TIME( ,3, ))</f>
        <v>0.40416666666666667</v>
      </c>
      <c r="D80" s="780">
        <v>0.40625</v>
      </c>
      <c r="E80" s="781" t="s">
        <v>93</v>
      </c>
      <c r="F80" s="823">
        <v>0.60416666666666663</v>
      </c>
      <c r="G80" s="782" t="s">
        <v>93</v>
      </c>
      <c r="H80" s="780">
        <f>SUM(I80-TIME( ,0, ))</f>
        <v>0.6875</v>
      </c>
      <c r="I80" s="780">
        <v>0.6875</v>
      </c>
      <c r="J80" s="849" t="s">
        <v>93</v>
      </c>
      <c r="K80" s="779">
        <v>0.82638888888888884</v>
      </c>
      <c r="L80" s="780" t="s">
        <v>27</v>
      </c>
      <c r="M80" s="786">
        <f>SUM(K80+TIME( ,0, ))</f>
        <v>0.82638888888888884</v>
      </c>
      <c r="N80" s="850">
        <f>(M80-C80)</f>
        <v>0.42222222222222217</v>
      </c>
      <c r="O80" s="785">
        <f>SUM(N80-P80)</f>
        <v>0.3388888888888888</v>
      </c>
      <c r="P80" s="847">
        <f>SUM(H80-F80)</f>
        <v>8.333333333333337E-2</v>
      </c>
      <c r="Q80" s="216"/>
      <c r="R80" s="1"/>
      <c r="S80" s="16"/>
      <c r="T80" s="16"/>
      <c r="Z80" s="16"/>
    </row>
    <row r="81" spans="1:20" x14ac:dyDescent="0.35">
      <c r="A81" s="290"/>
      <c r="B81" s="291"/>
      <c r="C81" s="292"/>
      <c r="D81" s="292"/>
      <c r="E81" s="292"/>
      <c r="F81" s="293"/>
      <c r="G81" s="293"/>
      <c r="H81" s="293"/>
      <c r="I81" s="293"/>
      <c r="J81" s="293"/>
      <c r="K81" s="292"/>
      <c r="L81" s="292"/>
      <c r="M81" s="294"/>
      <c r="N81" s="295" t="s">
        <v>94</v>
      </c>
      <c r="O81" s="296">
        <f>AVERAGE(O77:O80)</f>
        <v>0.3046875</v>
      </c>
      <c r="P81" s="1557"/>
      <c r="Q81" s="1558"/>
      <c r="R81" s="1"/>
      <c r="S81" s="16"/>
      <c r="T81" s="3"/>
    </row>
    <row r="82" spans="1:20" x14ac:dyDescent="0.35">
      <c r="N82" s="1"/>
      <c r="P82" s="2"/>
      <c r="Q82" s="1"/>
      <c r="R82" s="1"/>
      <c r="S82" s="16"/>
    </row>
    <row r="83" spans="1:20" x14ac:dyDescent="0.35">
      <c r="B83" s="2"/>
      <c r="E83" s="3"/>
      <c r="F83" s="3"/>
      <c r="N83" s="1"/>
      <c r="Q83" s="1"/>
      <c r="R83" s="1"/>
      <c r="S83" s="16"/>
    </row>
  </sheetData>
  <mergeCells count="9">
    <mergeCell ref="C1:N1"/>
    <mergeCell ref="P76:Q76"/>
    <mergeCell ref="P81:Q81"/>
    <mergeCell ref="F66:J66"/>
    <mergeCell ref="C59:E59"/>
    <mergeCell ref="F59:J59"/>
    <mergeCell ref="K59:N59"/>
    <mergeCell ref="F61:J61"/>
    <mergeCell ref="F64:J64"/>
  </mergeCells>
  <conditionalFormatting sqref="N77:N80">
    <cfRule type="cellIs" dxfId="6" priority="2" operator="greaterThan">
      <formula>0.458333333333333</formula>
    </cfRule>
  </conditionalFormatting>
  <conditionalFormatting sqref="O77:O80">
    <cfRule type="cellIs" dxfId="5" priority="3" operator="greaterThan">
      <formula>0.368055555555556</formula>
    </cfRule>
  </conditionalFormatting>
  <conditionalFormatting sqref="P77:P80">
    <cfRule type="cellIs" dxfId="4" priority="1" operator="lessThan">
      <formula>0.0347222222222222</formula>
    </cfRule>
  </conditionalFormatting>
  <dataValidations count="1">
    <dataValidation allowBlank="1" showErrorMessage="1" errorTitle="Incorrect Value" error="Please enter a time of the form HH:MM" sqref="M14:M19 I40:J53 H40:H41 G40:G51 G28:J39 K29:K39 F16:F51 K44:L53 E26:E53 I4:I10 J6:M10 D14 L14:L28 J3:K3 D6:D9 I2 I11:M12 G26:I27 L30:L43 H14:I25 G11:G25 J24:J27 H13:M13 K23:K26 E6:E14 D15:E51" xr:uid="{00000000-0002-0000-0400-000000000000}"/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pageSetUpPr fitToPage="1"/>
  </sheetPr>
  <dimension ref="A1:W88"/>
  <sheetViews>
    <sheetView zoomScale="70" workbookViewId="0">
      <selection activeCell="P4" sqref="P4"/>
    </sheetView>
  </sheetViews>
  <sheetFormatPr defaultColWidth="9.1796875" defaultRowHeight="15.5" x14ac:dyDescent="0.35"/>
  <cols>
    <col min="1" max="1" width="16.1796875" style="1" bestFit="1" customWidth="1"/>
    <col min="2" max="2" width="11.453125" style="299" customWidth="1"/>
    <col min="3" max="3" width="20.7265625" style="299" customWidth="1"/>
    <col min="4" max="4" width="19.36328125" style="299" bestFit="1" customWidth="1"/>
    <col min="5" max="5" width="18.453125" style="299" customWidth="1"/>
    <col min="6" max="6" width="14.90625" style="299" bestFit="1" customWidth="1"/>
    <col min="7" max="7" width="18.7265625" style="299" customWidth="1"/>
    <col min="8" max="9" width="14.90625" style="299" bestFit="1" customWidth="1"/>
    <col min="10" max="10" width="17.36328125" style="1" customWidth="1"/>
    <col min="11" max="11" width="15.90625" style="1" customWidth="1"/>
    <col min="12" max="12" width="17.6328125" style="1" customWidth="1"/>
    <col min="13" max="13" width="19.36328125" style="1" bestFit="1" customWidth="1"/>
    <col min="14" max="14" width="21.08984375" style="1" bestFit="1" customWidth="1"/>
    <col min="15" max="15" width="15.08984375" style="297" customWidth="1"/>
    <col min="16" max="16" width="14.90625" style="851" bestFit="1" customWidth="1"/>
    <col min="17" max="17" width="16.6328125" style="851" customWidth="1"/>
    <col min="18" max="18" width="10.6328125" style="851" customWidth="1"/>
    <col min="19" max="19" width="10.7265625" style="297" bestFit="1" customWidth="1"/>
    <col min="20" max="20" width="9.1796875" style="297"/>
    <col min="21" max="21" width="10.6328125" style="297" bestFit="1" customWidth="1"/>
    <col min="22" max="22" width="10.6328125" style="852" bestFit="1" customWidth="1"/>
    <col min="23" max="23" width="9.1796875" style="1"/>
    <col min="24" max="24" width="12.26953125" style="1" customWidth="1"/>
    <col min="25" max="16384" width="9.1796875" style="1"/>
  </cols>
  <sheetData>
    <row r="1" spans="2:22" ht="18" x14ac:dyDescent="0.4">
      <c r="C1" s="853" t="s">
        <v>208</v>
      </c>
      <c r="D1" s="303"/>
      <c r="E1" s="303"/>
      <c r="F1" s="303"/>
      <c r="G1" s="303"/>
      <c r="H1" s="303"/>
      <c r="I1" s="303"/>
      <c r="J1" s="303"/>
      <c r="K1" s="303"/>
      <c r="L1" s="303"/>
      <c r="M1" s="1575" t="s">
        <v>182</v>
      </c>
      <c r="N1" s="1576"/>
      <c r="O1" s="854"/>
      <c r="P1" s="854"/>
      <c r="Q1" s="854"/>
      <c r="R1" s="297"/>
      <c r="V1" s="297"/>
    </row>
    <row r="2" spans="2:22" x14ac:dyDescent="0.35">
      <c r="C2" s="855"/>
      <c r="D2" s="856"/>
      <c r="E2" s="857"/>
      <c r="F2" s="858" t="s">
        <v>12</v>
      </c>
      <c r="G2" s="858" t="s">
        <v>18</v>
      </c>
      <c r="H2" s="857"/>
      <c r="I2" s="857"/>
      <c r="J2" s="857"/>
      <c r="K2" s="858" t="s">
        <v>17</v>
      </c>
      <c r="L2" s="859"/>
      <c r="M2" s="860" t="s">
        <v>16</v>
      </c>
      <c r="N2" s="310"/>
      <c r="O2" s="854"/>
      <c r="P2" s="854"/>
      <c r="Q2" s="861"/>
      <c r="R2" s="297"/>
      <c r="V2" s="297"/>
    </row>
    <row r="3" spans="2:22" x14ac:dyDescent="0.35">
      <c r="C3" s="11" t="s">
        <v>10</v>
      </c>
      <c r="D3" s="862"/>
      <c r="E3" s="312"/>
      <c r="F3" s="863" t="s">
        <v>100</v>
      </c>
      <c r="G3" s="863" t="s">
        <v>9</v>
      </c>
      <c r="H3" s="312"/>
      <c r="I3" s="306"/>
      <c r="J3" s="312"/>
      <c r="K3" s="863" t="s">
        <v>8</v>
      </c>
      <c r="L3" s="312"/>
      <c r="M3" s="864" t="s">
        <v>101</v>
      </c>
      <c r="N3" s="15" t="s">
        <v>10</v>
      </c>
      <c r="O3" s="851"/>
      <c r="P3" s="1327" t="s">
        <v>321</v>
      </c>
      <c r="Q3" s="861"/>
      <c r="R3" s="297"/>
      <c r="V3" s="297"/>
    </row>
    <row r="4" spans="2:22" x14ac:dyDescent="0.35">
      <c r="C4" s="11" t="s">
        <v>27</v>
      </c>
      <c r="D4" s="862"/>
      <c r="E4" s="865"/>
      <c r="F4" s="1269" t="s">
        <v>102</v>
      </c>
      <c r="G4" s="1249" t="s">
        <v>103</v>
      </c>
      <c r="H4" s="865"/>
      <c r="I4" s="866"/>
      <c r="J4" s="867"/>
      <c r="K4" s="1249" t="s">
        <v>104</v>
      </c>
      <c r="L4" s="868"/>
      <c r="M4" s="1258" t="s">
        <v>24</v>
      </c>
      <c r="N4" s="15" t="s">
        <v>27</v>
      </c>
      <c r="O4" s="851"/>
      <c r="Q4" s="861"/>
      <c r="R4" s="297"/>
      <c r="V4" s="297"/>
    </row>
    <row r="5" spans="2:22" x14ac:dyDescent="0.35">
      <c r="C5" s="714"/>
      <c r="D5" s="862"/>
      <c r="E5" s="865"/>
      <c r="F5" s="1250"/>
      <c r="G5" s="1250"/>
      <c r="H5" s="865"/>
      <c r="I5" s="866"/>
      <c r="J5" s="869"/>
      <c r="K5" s="1250"/>
      <c r="L5" s="867"/>
      <c r="M5" s="1259"/>
      <c r="N5" s="356"/>
      <c r="O5" s="851"/>
      <c r="Q5" s="861"/>
      <c r="R5" s="297"/>
      <c r="V5" s="297"/>
    </row>
    <row r="6" spans="2:22" s="324" customFormat="1" x14ac:dyDescent="0.35">
      <c r="B6" s="299"/>
      <c r="C6" s="1136" t="s">
        <v>28</v>
      </c>
      <c r="D6" s="870"/>
      <c r="E6" s="871"/>
      <c r="F6" s="1255"/>
      <c r="G6" s="1251"/>
      <c r="H6" s="871"/>
      <c r="I6" s="866"/>
      <c r="J6" s="871"/>
      <c r="K6" s="1254">
        <v>0.25</v>
      </c>
      <c r="L6" s="872"/>
      <c r="M6" s="1260">
        <v>0.2638888888888889</v>
      </c>
      <c r="N6" s="1137" t="s">
        <v>28</v>
      </c>
      <c r="O6" s="851"/>
      <c r="P6" s="851"/>
      <c r="Q6" s="861"/>
      <c r="R6" s="297"/>
      <c r="S6" s="297"/>
      <c r="T6" s="297"/>
      <c r="U6" s="297"/>
      <c r="V6" s="297"/>
    </row>
    <row r="7" spans="2:22" x14ac:dyDescent="0.35">
      <c r="C7" s="699"/>
      <c r="D7" s="875"/>
      <c r="E7" s="865"/>
      <c r="F7" s="1256"/>
      <c r="G7" s="1252"/>
      <c r="H7" s="865"/>
      <c r="I7" s="866"/>
      <c r="J7" s="865"/>
      <c r="K7" s="1252"/>
      <c r="L7" s="865"/>
      <c r="M7" s="1261"/>
      <c r="N7" s="15"/>
      <c r="O7" s="851"/>
      <c r="Q7" s="861"/>
      <c r="R7" s="297"/>
      <c r="V7" s="297"/>
    </row>
    <row r="8" spans="2:22" x14ac:dyDescent="0.35">
      <c r="C8" s="1124" t="s">
        <v>29</v>
      </c>
      <c r="D8" s="875"/>
      <c r="E8" s="865"/>
      <c r="F8" s="1253">
        <v>0.25</v>
      </c>
      <c r="G8" s="1253">
        <v>0.2638888888888889</v>
      </c>
      <c r="H8" s="865"/>
      <c r="I8" s="866"/>
      <c r="J8" s="865"/>
      <c r="K8" s="1253">
        <v>0.27777777777777779</v>
      </c>
      <c r="L8" s="866"/>
      <c r="M8" s="1262">
        <v>0.29166666666666669</v>
      </c>
      <c r="N8" s="1125" t="s">
        <v>29</v>
      </c>
      <c r="O8" s="851"/>
      <c r="Q8" s="861"/>
      <c r="R8" s="297"/>
      <c r="V8" s="297"/>
    </row>
    <row r="9" spans="2:22" x14ac:dyDescent="0.35">
      <c r="C9" s="699"/>
      <c r="D9" s="875"/>
      <c r="E9" s="865"/>
      <c r="F9" s="1252"/>
      <c r="G9" s="1252"/>
      <c r="H9" s="865"/>
      <c r="I9" s="866"/>
      <c r="J9" s="865"/>
      <c r="K9" s="1252"/>
      <c r="L9" s="879" t="s">
        <v>11</v>
      </c>
      <c r="M9" s="1263"/>
      <c r="N9" s="15"/>
      <c r="O9" s="851"/>
      <c r="Q9" s="861"/>
      <c r="R9" s="297"/>
      <c r="V9" s="297"/>
    </row>
    <row r="10" spans="2:22" s="324" customFormat="1" x14ac:dyDescent="0.35">
      <c r="B10" s="299"/>
      <c r="C10" s="1136" t="s">
        <v>28</v>
      </c>
      <c r="D10" s="870"/>
      <c r="E10" s="871"/>
      <c r="F10" s="1254">
        <v>0.27777777777777779</v>
      </c>
      <c r="G10" s="1254">
        <v>0.29166666666666669</v>
      </c>
      <c r="H10" s="871"/>
      <c r="I10" s="866"/>
      <c r="J10" s="871"/>
      <c r="K10" s="1254">
        <v>0.30555555555555552</v>
      </c>
      <c r="L10" s="881" t="s">
        <v>2</v>
      </c>
      <c r="M10" s="1260">
        <v>0.31944444444444448</v>
      </c>
      <c r="N10" s="1137" t="s">
        <v>28</v>
      </c>
      <c r="O10" s="851"/>
      <c r="P10" s="851"/>
      <c r="Q10" s="861"/>
      <c r="R10" s="297"/>
      <c r="S10" s="297"/>
      <c r="T10" s="297"/>
      <c r="U10" s="297"/>
      <c r="V10" s="297"/>
    </row>
    <row r="11" spans="2:22" x14ac:dyDescent="0.35">
      <c r="C11" s="699"/>
      <c r="D11" s="862"/>
      <c r="E11" s="865"/>
      <c r="F11" s="1252"/>
      <c r="G11" s="1252"/>
      <c r="H11" s="867"/>
      <c r="I11" s="866"/>
      <c r="J11" s="865"/>
      <c r="K11" s="1252"/>
      <c r="L11" s="1257" t="s">
        <v>105</v>
      </c>
      <c r="M11" s="1263"/>
      <c r="N11" s="15"/>
      <c r="O11" s="851"/>
      <c r="Q11" s="861"/>
      <c r="R11" s="297"/>
      <c r="V11" s="297"/>
    </row>
    <row r="12" spans="2:22" x14ac:dyDescent="0.35">
      <c r="C12" s="1124" t="s">
        <v>29</v>
      </c>
      <c r="D12" s="862"/>
      <c r="E12" s="865"/>
      <c r="F12" s="1253">
        <v>0.30555555555555558</v>
      </c>
      <c r="G12" s="1253">
        <v>0.31944444444444448</v>
      </c>
      <c r="H12" s="869"/>
      <c r="I12" s="866"/>
      <c r="J12" s="865"/>
      <c r="K12" s="1253">
        <v>0.33333333333333337</v>
      </c>
      <c r="L12" s="1253">
        <v>0.34722222222222227</v>
      </c>
      <c r="M12" s="1264">
        <v>0.34722222222222227</v>
      </c>
      <c r="N12" s="1125" t="s">
        <v>29</v>
      </c>
      <c r="O12" s="851"/>
      <c r="Q12" s="861"/>
      <c r="R12" s="297"/>
      <c r="V12" s="297"/>
    </row>
    <row r="13" spans="2:22" x14ac:dyDescent="0.35">
      <c r="C13" s="699"/>
      <c r="D13" s="882"/>
      <c r="E13" s="867"/>
      <c r="F13" s="1252"/>
      <c r="G13" s="1252"/>
      <c r="H13" s="879" t="s">
        <v>15</v>
      </c>
      <c r="I13" s="866"/>
      <c r="J13" s="865"/>
      <c r="K13" s="1255"/>
      <c r="L13" s="1252"/>
      <c r="M13" s="1265" t="s">
        <v>106</v>
      </c>
      <c r="N13" s="15"/>
      <c r="O13" s="851"/>
      <c r="Q13" s="861"/>
      <c r="R13" s="297"/>
      <c r="V13" s="297"/>
    </row>
    <row r="14" spans="2:22" s="324" customFormat="1" x14ac:dyDescent="0.35">
      <c r="B14" s="299"/>
      <c r="C14" s="1136" t="s">
        <v>28</v>
      </c>
      <c r="D14" s="883"/>
      <c r="E14" s="867"/>
      <c r="F14" s="1254">
        <v>0.33333333333333331</v>
      </c>
      <c r="G14" s="1254">
        <v>0.34722222222222227</v>
      </c>
      <c r="H14" s="881" t="s">
        <v>107</v>
      </c>
      <c r="I14" s="866"/>
      <c r="J14" s="884"/>
      <c r="K14" s="1254">
        <v>0.3611111111111111</v>
      </c>
      <c r="L14" s="1254">
        <v>0.375</v>
      </c>
      <c r="M14" s="874"/>
      <c r="N14" s="1137" t="s">
        <v>28</v>
      </c>
      <c r="O14" s="851"/>
      <c r="P14" s="851"/>
      <c r="Q14" s="861"/>
      <c r="R14" s="297"/>
      <c r="S14" s="297"/>
      <c r="T14" s="297"/>
      <c r="U14" s="297"/>
      <c r="V14" s="297"/>
    </row>
    <row r="15" spans="2:22" x14ac:dyDescent="0.35">
      <c r="C15" s="699"/>
      <c r="D15" s="885" t="s">
        <v>14</v>
      </c>
      <c r="E15" s="867"/>
      <c r="F15" s="1252"/>
      <c r="G15" s="1252"/>
      <c r="H15" s="1296" t="s">
        <v>108</v>
      </c>
      <c r="I15" s="866"/>
      <c r="J15" s="865"/>
      <c r="K15" s="1256"/>
      <c r="L15" s="1252"/>
      <c r="M15" s="880"/>
      <c r="N15" s="15"/>
      <c r="O15" s="851"/>
      <c r="Q15" s="861"/>
      <c r="R15" s="297"/>
      <c r="V15" s="297"/>
    </row>
    <row r="16" spans="2:22" x14ac:dyDescent="0.35">
      <c r="C16" s="1124" t="s">
        <v>29</v>
      </c>
      <c r="D16" s="886" t="s">
        <v>109</v>
      </c>
      <c r="E16" s="867"/>
      <c r="F16" s="1253">
        <v>0.36111111111111116</v>
      </c>
      <c r="G16" s="1253">
        <v>0.37500000000000006</v>
      </c>
      <c r="H16" s="1288">
        <v>0.38541666666666674</v>
      </c>
      <c r="I16" s="866"/>
      <c r="J16" s="867"/>
      <c r="K16" s="1253">
        <v>0.39583333333333343</v>
      </c>
      <c r="L16" s="1253">
        <v>0.40625000000000011</v>
      </c>
      <c r="M16" s="878"/>
      <c r="N16" s="1125" t="s">
        <v>29</v>
      </c>
      <c r="O16" s="851"/>
      <c r="Q16" s="861"/>
      <c r="R16" s="297"/>
      <c r="V16" s="297"/>
    </row>
    <row r="17" spans="2:22" x14ac:dyDescent="0.35">
      <c r="C17" s="699"/>
      <c r="D17" s="1284" t="s">
        <v>110</v>
      </c>
      <c r="E17" s="867"/>
      <c r="F17" s="1255"/>
      <c r="G17" s="1255"/>
      <c r="H17" s="1289"/>
      <c r="I17" s="879" t="s">
        <v>13</v>
      </c>
      <c r="J17" s="865"/>
      <c r="K17" s="1252"/>
      <c r="L17" s="1255"/>
      <c r="M17" s="887"/>
      <c r="N17" s="15"/>
      <c r="O17" s="851"/>
      <c r="Q17" s="861"/>
      <c r="R17" s="297"/>
      <c r="V17" s="297"/>
    </row>
    <row r="18" spans="2:22" s="324" customFormat="1" x14ac:dyDescent="0.35">
      <c r="B18" s="299"/>
      <c r="C18" s="1136" t="s">
        <v>28</v>
      </c>
      <c r="D18" s="1285">
        <v>0.38541666666666669</v>
      </c>
      <c r="E18" s="867"/>
      <c r="F18" s="1288" t="s">
        <v>304</v>
      </c>
      <c r="G18" s="1254">
        <v>0.40625</v>
      </c>
      <c r="H18" s="1290">
        <v>0.41666666666666669</v>
      </c>
      <c r="I18" s="881" t="s">
        <v>112</v>
      </c>
      <c r="J18" s="865"/>
      <c r="K18" s="1288" t="s">
        <v>314</v>
      </c>
      <c r="L18" s="1254">
        <v>0.4375</v>
      </c>
      <c r="M18" s="874"/>
      <c r="N18" s="1137" t="s">
        <v>28</v>
      </c>
      <c r="O18" s="851"/>
      <c r="P18" s="851"/>
      <c r="Q18" s="861"/>
      <c r="R18" s="297"/>
      <c r="S18" s="297"/>
      <c r="T18" s="297"/>
      <c r="U18" s="297"/>
      <c r="V18" s="297"/>
    </row>
    <row r="19" spans="2:22" x14ac:dyDescent="0.35">
      <c r="C19" s="699"/>
      <c r="D19" s="1286"/>
      <c r="E19" s="867"/>
      <c r="F19" s="1289"/>
      <c r="G19" s="1252"/>
      <c r="H19" s="1289"/>
      <c r="I19" s="1257" t="s">
        <v>114</v>
      </c>
      <c r="J19" s="865"/>
      <c r="K19" s="1289"/>
      <c r="L19" s="1252"/>
      <c r="M19" s="888" t="s">
        <v>39</v>
      </c>
      <c r="N19" s="15"/>
      <c r="O19" s="851"/>
      <c r="Q19" s="861"/>
      <c r="R19" s="297"/>
      <c r="V19" s="297"/>
    </row>
    <row r="20" spans="2:22" x14ac:dyDescent="0.35">
      <c r="C20" s="1124" t="s">
        <v>29</v>
      </c>
      <c r="D20" s="1287">
        <v>0.4166666666666668</v>
      </c>
      <c r="E20" s="867"/>
      <c r="F20" s="1288">
        <v>0.42708333333333348</v>
      </c>
      <c r="G20" s="1253">
        <v>0.43750000000000017</v>
      </c>
      <c r="H20" s="1297" t="s">
        <v>115</v>
      </c>
      <c r="I20" s="1253">
        <v>0.44791666666666685</v>
      </c>
      <c r="J20" s="865"/>
      <c r="K20" s="1288">
        <v>0.45833333333333354</v>
      </c>
      <c r="L20" s="1253">
        <v>0.46875000000000022</v>
      </c>
      <c r="M20" s="864" t="s">
        <v>116</v>
      </c>
      <c r="N20" s="1125" t="s">
        <v>29</v>
      </c>
      <c r="O20" s="851"/>
      <c r="Q20" s="861"/>
      <c r="R20" s="297"/>
      <c r="V20" s="297"/>
    </row>
    <row r="21" spans="2:22" x14ac:dyDescent="0.35">
      <c r="C21" s="699"/>
      <c r="D21" s="1286"/>
      <c r="E21" s="867"/>
      <c r="F21" s="1289"/>
      <c r="G21" s="1252"/>
      <c r="H21" s="1298" t="s">
        <v>117</v>
      </c>
      <c r="I21" s="1255"/>
      <c r="J21" s="879" t="s">
        <v>46</v>
      </c>
      <c r="K21" s="1291"/>
      <c r="L21" s="1252"/>
      <c r="M21" s="1277" t="s">
        <v>118</v>
      </c>
      <c r="N21" s="15"/>
      <c r="O21" s="851"/>
      <c r="P21" s="889"/>
      <c r="Q21" s="861"/>
      <c r="R21" s="297"/>
      <c r="V21" s="297"/>
    </row>
    <row r="22" spans="2:22" s="324" customFormat="1" x14ac:dyDescent="0.35">
      <c r="B22" s="299"/>
      <c r="C22" s="1136" t="s">
        <v>28</v>
      </c>
      <c r="D22" s="1266" t="s">
        <v>302</v>
      </c>
      <c r="E22" s="867"/>
      <c r="F22" s="1290">
        <v>0.45833333333333331</v>
      </c>
      <c r="G22" s="1253" t="s">
        <v>307</v>
      </c>
      <c r="H22" s="866"/>
      <c r="I22" s="1254">
        <v>0.47916666666666669</v>
      </c>
      <c r="J22" s="881" t="s">
        <v>121</v>
      </c>
      <c r="K22" s="1290">
        <v>0.48958333333333331</v>
      </c>
      <c r="L22" s="1270" t="s">
        <v>316</v>
      </c>
      <c r="M22" s="1278">
        <v>0.51041666666666663</v>
      </c>
      <c r="N22" s="1137" t="s">
        <v>28</v>
      </c>
      <c r="O22" s="851"/>
      <c r="P22" s="889"/>
      <c r="Q22" s="861"/>
      <c r="R22" s="297"/>
      <c r="S22" s="297"/>
      <c r="T22" s="297"/>
      <c r="U22" s="297"/>
      <c r="V22" s="297"/>
    </row>
    <row r="23" spans="2:22" x14ac:dyDescent="0.35">
      <c r="C23" s="699"/>
      <c r="D23" s="1267"/>
      <c r="E23" s="867"/>
      <c r="F23" s="1289"/>
      <c r="G23" s="1252"/>
      <c r="H23" s="866"/>
      <c r="I23" s="1252"/>
      <c r="J23" s="1296" t="s">
        <v>40</v>
      </c>
      <c r="K23" s="1289"/>
      <c r="L23" s="1271"/>
      <c r="M23" s="1279"/>
      <c r="N23" s="15"/>
      <c r="O23" s="851"/>
      <c r="P23" s="889"/>
      <c r="Q23" s="861"/>
      <c r="R23" s="297"/>
      <c r="V23" s="297"/>
    </row>
    <row r="24" spans="2:22" x14ac:dyDescent="0.35">
      <c r="C24" s="1124" t="s">
        <v>29</v>
      </c>
      <c r="D24" s="1266">
        <v>0.47916666666666691</v>
      </c>
      <c r="E24" s="867"/>
      <c r="F24" s="1288">
        <v>0.48958333333333359</v>
      </c>
      <c r="G24" s="1253">
        <v>0.50000000000000022</v>
      </c>
      <c r="H24" s="866"/>
      <c r="I24" s="1253">
        <v>0.51041666666666685</v>
      </c>
      <c r="J24" s="1288">
        <v>0.52083333333333348</v>
      </c>
      <c r="K24" s="1288">
        <v>0.53125000000000011</v>
      </c>
      <c r="L24" s="1270">
        <v>0.54166666666666674</v>
      </c>
      <c r="M24" s="1280">
        <v>0.55208333333333337</v>
      </c>
      <c r="N24" s="1125" t="s">
        <v>29</v>
      </c>
      <c r="O24" s="851"/>
      <c r="Q24" s="861"/>
      <c r="R24" s="297"/>
      <c r="V24" s="297"/>
    </row>
    <row r="25" spans="2:22" x14ac:dyDescent="0.35">
      <c r="C25" s="699"/>
      <c r="D25" s="1268"/>
      <c r="E25" s="867"/>
      <c r="F25" s="1291"/>
      <c r="G25" s="1252"/>
      <c r="H25" s="876"/>
      <c r="I25" s="1252"/>
      <c r="J25" s="1289"/>
      <c r="K25" s="1291"/>
      <c r="L25" s="1275"/>
      <c r="M25" s="1279"/>
      <c r="N25" s="15"/>
      <c r="O25" s="851"/>
      <c r="Q25" s="861"/>
      <c r="R25" s="297"/>
      <c r="V25" s="297"/>
    </row>
    <row r="26" spans="2:22" s="324" customFormat="1" x14ac:dyDescent="0.35">
      <c r="B26" s="299"/>
      <c r="C26" s="1136" t="s">
        <v>28</v>
      </c>
      <c r="D26" s="1287" t="s">
        <v>303</v>
      </c>
      <c r="E26" s="867"/>
      <c r="F26" s="1290">
        <v>0.53125</v>
      </c>
      <c r="G26" s="1253" t="s">
        <v>308</v>
      </c>
      <c r="H26" s="873"/>
      <c r="I26" s="1270" t="s">
        <v>311</v>
      </c>
      <c r="J26" s="1290">
        <v>0.5625</v>
      </c>
      <c r="K26" s="1290">
        <v>0.57291666666666663</v>
      </c>
      <c r="L26" s="1276">
        <v>0.58333333333333337</v>
      </c>
      <c r="M26" s="1278">
        <v>0.59375</v>
      </c>
      <c r="N26" s="1137" t="s">
        <v>28</v>
      </c>
      <c r="O26" s="851"/>
      <c r="P26" s="851"/>
      <c r="Q26" s="861"/>
      <c r="R26" s="297"/>
      <c r="S26" s="297"/>
      <c r="T26" s="297"/>
      <c r="U26" s="297"/>
      <c r="V26" s="297"/>
    </row>
    <row r="27" spans="2:22" x14ac:dyDescent="0.35">
      <c r="C27" s="699"/>
      <c r="D27" s="1286"/>
      <c r="E27" s="867"/>
      <c r="F27" s="1289"/>
      <c r="G27" s="1252"/>
      <c r="H27" s="876"/>
      <c r="I27" s="1271"/>
      <c r="J27" s="1289"/>
      <c r="K27" s="1289"/>
      <c r="L27" s="1271"/>
      <c r="M27" s="1279"/>
      <c r="N27" s="15"/>
      <c r="O27" s="851"/>
      <c r="Q27" s="861"/>
      <c r="R27" s="297"/>
      <c r="V27" s="297"/>
    </row>
    <row r="28" spans="2:22" x14ac:dyDescent="0.35">
      <c r="C28" s="1124" t="s">
        <v>29</v>
      </c>
      <c r="D28" s="1287">
        <v>0.5625</v>
      </c>
      <c r="E28" s="867"/>
      <c r="F28" s="1288">
        <v>0.57291666666666663</v>
      </c>
      <c r="G28" s="1253">
        <v>0.58333333333333326</v>
      </c>
      <c r="H28" s="866"/>
      <c r="I28" s="1270">
        <v>0.59374999999999989</v>
      </c>
      <c r="J28" s="1288">
        <v>0.60416666666666652</v>
      </c>
      <c r="K28" s="1288">
        <v>0.61458333333333315</v>
      </c>
      <c r="L28" s="1270">
        <v>0.62499999999999978</v>
      </c>
      <c r="M28" s="1280">
        <v>0.63541666666666641</v>
      </c>
      <c r="N28" s="1125" t="s">
        <v>29</v>
      </c>
      <c r="O28" s="851"/>
      <c r="Q28" s="861"/>
      <c r="R28" s="297"/>
      <c r="V28" s="297"/>
    </row>
    <row r="29" spans="2:22" x14ac:dyDescent="0.35">
      <c r="C29" s="699"/>
      <c r="D29" s="1286"/>
      <c r="E29" s="867"/>
      <c r="F29" s="1289"/>
      <c r="G29" s="1255"/>
      <c r="H29" s="867"/>
      <c r="I29" s="1272"/>
      <c r="J29" s="1291"/>
      <c r="K29" s="1289"/>
      <c r="L29" s="1271"/>
      <c r="M29" s="1281"/>
      <c r="N29" s="15"/>
      <c r="O29" s="851"/>
      <c r="Q29" s="861"/>
      <c r="R29" s="297"/>
      <c r="V29" s="297"/>
    </row>
    <row r="30" spans="2:22" s="324" customFormat="1" x14ac:dyDescent="0.35">
      <c r="B30" s="299"/>
      <c r="C30" s="1136" t="s">
        <v>28</v>
      </c>
      <c r="D30" s="1285">
        <v>0.60416666666666663</v>
      </c>
      <c r="E30" s="867"/>
      <c r="F30" s="1299" t="s">
        <v>305</v>
      </c>
      <c r="G30" s="1254">
        <v>0.625</v>
      </c>
      <c r="H30" s="890"/>
      <c r="I30" s="1273" t="s">
        <v>127</v>
      </c>
      <c r="J30" s="1290">
        <v>0.63541666666666663</v>
      </c>
      <c r="K30" s="1299" t="s">
        <v>315</v>
      </c>
      <c r="L30" s="1299" t="s">
        <v>317</v>
      </c>
      <c r="M30" s="1321" t="s">
        <v>319</v>
      </c>
      <c r="N30" s="1137" t="s">
        <v>28</v>
      </c>
      <c r="O30" s="851"/>
      <c r="P30" s="851"/>
      <c r="Q30" s="861"/>
      <c r="R30" s="297"/>
      <c r="S30" s="297"/>
      <c r="T30" s="297"/>
      <c r="U30" s="297"/>
      <c r="V30" s="297"/>
    </row>
    <row r="31" spans="2:22" x14ac:dyDescent="0.35">
      <c r="C31" s="699"/>
      <c r="D31" s="1286"/>
      <c r="E31" s="867"/>
      <c r="F31" s="1300"/>
      <c r="G31" s="1252"/>
      <c r="H31" s="891"/>
      <c r="I31" s="1274" t="s">
        <v>131</v>
      </c>
      <c r="J31" s="1289"/>
      <c r="K31" s="1300"/>
      <c r="L31" s="1300"/>
      <c r="M31" s="1322"/>
      <c r="N31" s="15"/>
      <c r="O31" s="851"/>
      <c r="Q31" s="861"/>
      <c r="R31" s="297"/>
      <c r="V31" s="297"/>
    </row>
    <row r="32" spans="2:22" x14ac:dyDescent="0.35">
      <c r="C32" s="1124" t="s">
        <v>29</v>
      </c>
      <c r="D32" s="1287">
        <v>0.64583333333333304</v>
      </c>
      <c r="E32" s="867"/>
      <c r="F32" s="1299">
        <v>0.65624999999999967</v>
      </c>
      <c r="G32" s="1253">
        <v>0.6666666666666663</v>
      </c>
      <c r="H32" s="867"/>
      <c r="I32" s="865"/>
      <c r="J32" s="1288">
        <v>0.67708333333333293</v>
      </c>
      <c r="K32" s="1299">
        <v>0.68749999999999956</v>
      </c>
      <c r="L32" s="1299">
        <v>0.69791666666666619</v>
      </c>
      <c r="M32" s="1321">
        <v>0.70833333333333282</v>
      </c>
      <c r="N32" s="1125" t="s">
        <v>29</v>
      </c>
      <c r="O32" s="851"/>
      <c r="Q32" s="861"/>
      <c r="R32" s="297"/>
      <c r="V32" s="297"/>
    </row>
    <row r="33" spans="2:22" x14ac:dyDescent="0.35">
      <c r="C33" s="699"/>
      <c r="D33" s="1294"/>
      <c r="E33" s="879" t="s">
        <v>65</v>
      </c>
      <c r="F33" s="1301"/>
      <c r="G33" s="1252"/>
      <c r="H33" s="867"/>
      <c r="I33" s="865"/>
      <c r="J33" s="1289"/>
      <c r="K33" s="1301"/>
      <c r="L33" s="1301"/>
      <c r="M33" s="1322"/>
      <c r="N33" s="15"/>
      <c r="O33" s="851"/>
      <c r="Q33" s="861"/>
      <c r="R33" s="297"/>
      <c r="V33" s="297"/>
    </row>
    <row r="34" spans="2:22" s="324" customFormat="1" x14ac:dyDescent="0.35">
      <c r="B34" s="299"/>
      <c r="C34" s="1136" t="s">
        <v>28</v>
      </c>
      <c r="D34" s="1285">
        <v>0.67708333333333337</v>
      </c>
      <c r="E34" s="881" t="s">
        <v>132</v>
      </c>
      <c r="F34" s="1288" t="s">
        <v>306</v>
      </c>
      <c r="G34" s="1270" t="s">
        <v>309</v>
      </c>
      <c r="H34" s="865"/>
      <c r="I34" s="865"/>
      <c r="J34" s="1288" t="s">
        <v>312</v>
      </c>
      <c r="K34" s="1310">
        <v>0.71875</v>
      </c>
      <c r="L34" s="1310">
        <v>0.72916666666666663</v>
      </c>
      <c r="M34" s="1280" t="s">
        <v>320</v>
      </c>
      <c r="N34" s="1137" t="s">
        <v>28</v>
      </c>
      <c r="O34" s="851"/>
      <c r="P34" s="851"/>
      <c r="Q34" s="861"/>
      <c r="R34" s="297"/>
      <c r="S34" s="297"/>
      <c r="T34" s="297"/>
      <c r="U34" s="297"/>
      <c r="V34" s="297"/>
    </row>
    <row r="35" spans="2:22" x14ac:dyDescent="0.35">
      <c r="C35" s="699"/>
      <c r="D35" s="1286"/>
      <c r="E35" s="1282" t="s">
        <v>136</v>
      </c>
      <c r="F35" s="1289"/>
      <c r="G35" s="1271"/>
      <c r="H35" s="865"/>
      <c r="I35" s="865"/>
      <c r="J35" s="1289"/>
      <c r="K35" s="1300"/>
      <c r="L35" s="1300"/>
      <c r="M35" s="1279"/>
      <c r="N35" s="15"/>
      <c r="O35" s="851"/>
      <c r="Q35" s="861"/>
      <c r="R35" s="297"/>
      <c r="V35" s="297"/>
    </row>
    <row r="36" spans="2:22" x14ac:dyDescent="0.35">
      <c r="C36" s="1124" t="s">
        <v>29</v>
      </c>
      <c r="D36" s="1295" t="s">
        <v>137</v>
      </c>
      <c r="E36" s="1270">
        <v>0.71874999999999944</v>
      </c>
      <c r="F36" s="1288">
        <v>0.72916666666666607</v>
      </c>
      <c r="G36" s="1270">
        <v>0.7395833333333327</v>
      </c>
      <c r="H36" s="865"/>
      <c r="I36" s="865"/>
      <c r="J36" s="1288">
        <v>0.74999999999999933</v>
      </c>
      <c r="K36" s="1299">
        <v>0.76041666666666596</v>
      </c>
      <c r="L36" s="1299">
        <v>0.77083333333333259</v>
      </c>
      <c r="M36" s="1280">
        <v>0.78124999999999922</v>
      </c>
      <c r="N36" s="1125" t="s">
        <v>29</v>
      </c>
      <c r="O36" s="851"/>
      <c r="Q36" s="861"/>
      <c r="R36" s="297"/>
      <c r="V36" s="297"/>
    </row>
    <row r="37" spans="2:22" x14ac:dyDescent="0.35">
      <c r="C37" s="699"/>
      <c r="D37" s="1284" t="s">
        <v>209</v>
      </c>
      <c r="E37" s="1271"/>
      <c r="F37" s="1289"/>
      <c r="G37" s="1275"/>
      <c r="H37" s="865"/>
      <c r="I37" s="865"/>
      <c r="J37" s="1291"/>
      <c r="K37" s="1300"/>
      <c r="L37" s="1300"/>
      <c r="M37" s="1323"/>
      <c r="N37" s="15"/>
      <c r="O37" s="851"/>
      <c r="Q37" s="861"/>
      <c r="R37" s="297"/>
      <c r="V37" s="297"/>
    </row>
    <row r="38" spans="2:22" s="324" customFormat="1" x14ac:dyDescent="0.35">
      <c r="B38" s="299"/>
      <c r="C38" s="1136" t="s">
        <v>28</v>
      </c>
      <c r="D38" s="882"/>
      <c r="E38" s="1276">
        <v>0.75</v>
      </c>
      <c r="F38" s="1290">
        <v>0.76041666666666663</v>
      </c>
      <c r="G38" s="1276">
        <v>0.77083333333333337</v>
      </c>
      <c r="H38" s="865"/>
      <c r="I38" s="865"/>
      <c r="J38" s="1299" t="s">
        <v>313</v>
      </c>
      <c r="K38" s="1310">
        <v>0.79166666666666663</v>
      </c>
      <c r="L38" s="1299" t="s">
        <v>318</v>
      </c>
      <c r="M38" s="1324" t="s">
        <v>140</v>
      </c>
      <c r="N38" s="1137" t="s">
        <v>28</v>
      </c>
      <c r="O38" s="851"/>
      <c r="P38" s="851"/>
      <c r="Q38" s="861"/>
      <c r="R38" s="297"/>
      <c r="S38" s="297"/>
      <c r="T38" s="297"/>
      <c r="U38" s="297"/>
      <c r="V38" s="297"/>
    </row>
    <row r="39" spans="2:22" x14ac:dyDescent="0.35">
      <c r="C39" s="699"/>
      <c r="D39" s="882"/>
      <c r="E39" s="1271"/>
      <c r="F39" s="1289"/>
      <c r="G39" s="1315"/>
      <c r="H39" s="865"/>
      <c r="I39" s="865"/>
      <c r="J39" s="1300"/>
      <c r="K39" s="1300"/>
      <c r="L39" s="1300"/>
      <c r="M39" s="1325" t="s">
        <v>141</v>
      </c>
      <c r="N39" s="15"/>
      <c r="O39" s="851"/>
      <c r="Q39" s="861"/>
      <c r="R39" s="297"/>
      <c r="V39" s="297"/>
    </row>
    <row r="40" spans="2:22" x14ac:dyDescent="0.35">
      <c r="C40" s="1124" t="s">
        <v>29</v>
      </c>
      <c r="D40" s="882"/>
      <c r="E40" s="1270">
        <v>0.79166666666666585</v>
      </c>
      <c r="F40" s="1292" t="s">
        <v>142</v>
      </c>
      <c r="G40" s="1270">
        <v>0.80555555555555469</v>
      </c>
      <c r="H40" s="865"/>
      <c r="I40" s="865"/>
      <c r="J40" s="1299">
        <v>0.81944444444444353</v>
      </c>
      <c r="K40" s="1316" t="s">
        <v>143</v>
      </c>
      <c r="L40" s="1299">
        <v>0.83333333333333237</v>
      </c>
      <c r="M40" s="877"/>
      <c r="N40" s="1125" t="s">
        <v>29</v>
      </c>
      <c r="O40" s="851"/>
      <c r="Q40" s="861"/>
      <c r="R40" s="297"/>
      <c r="V40" s="297"/>
    </row>
    <row r="41" spans="2:22" x14ac:dyDescent="0.35">
      <c r="C41" s="699"/>
      <c r="D41" s="882"/>
      <c r="E41" s="1275"/>
      <c r="F41" s="1293" t="s">
        <v>144</v>
      </c>
      <c r="G41" s="1275"/>
      <c r="H41" s="865"/>
      <c r="I41" s="865"/>
      <c r="J41" s="1300"/>
      <c r="K41" s="1319" t="s">
        <v>141</v>
      </c>
      <c r="L41" s="1301"/>
      <c r="M41" s="877"/>
      <c r="N41" s="15"/>
      <c r="O41" s="851"/>
      <c r="Q41" s="861"/>
      <c r="R41" s="297"/>
      <c r="V41" s="297"/>
    </row>
    <row r="42" spans="2:22" s="324" customFormat="1" x14ac:dyDescent="0.35">
      <c r="B42" s="299"/>
      <c r="C42" s="1136" t="s">
        <v>28</v>
      </c>
      <c r="D42" s="882"/>
      <c r="E42" s="1276">
        <v>0.81944444444444453</v>
      </c>
      <c r="F42" s="871"/>
      <c r="G42" s="1276">
        <v>0.83333333333333337</v>
      </c>
      <c r="H42" s="865"/>
      <c r="I42" s="865"/>
      <c r="J42" s="1310">
        <v>0.84722222222222221</v>
      </c>
      <c r="K42" s="871"/>
      <c r="L42" s="1310">
        <v>0.86111111111111116</v>
      </c>
      <c r="M42" s="892"/>
      <c r="N42" s="1137" t="s">
        <v>28</v>
      </c>
      <c r="O42" s="851"/>
      <c r="P42" s="851"/>
      <c r="Q42" s="861"/>
      <c r="R42" s="297"/>
      <c r="S42" s="297"/>
      <c r="T42" s="297"/>
      <c r="U42" s="297"/>
      <c r="V42" s="297"/>
    </row>
    <row r="43" spans="2:22" x14ac:dyDescent="0.35">
      <c r="C43" s="699"/>
      <c r="D43" s="882"/>
      <c r="E43" s="1271"/>
      <c r="F43" s="865"/>
      <c r="G43" s="1271"/>
      <c r="H43" s="865"/>
      <c r="I43" s="865"/>
      <c r="J43" s="1300"/>
      <c r="K43" s="865"/>
      <c r="L43" s="1300"/>
      <c r="M43" s="877"/>
      <c r="N43" s="15"/>
      <c r="O43" s="851"/>
      <c r="Q43" s="861"/>
      <c r="R43" s="297"/>
      <c r="V43" s="297"/>
    </row>
    <row r="44" spans="2:22" x14ac:dyDescent="0.35">
      <c r="C44" s="1124" t="s">
        <v>29</v>
      </c>
      <c r="D44" s="882"/>
      <c r="E44" s="1270">
        <v>0.84722222222222121</v>
      </c>
      <c r="F44" s="865"/>
      <c r="G44" s="1270">
        <v>0.86111111111111005</v>
      </c>
      <c r="H44" s="865"/>
      <c r="I44" s="865"/>
      <c r="J44" s="1299">
        <v>0.87499999999999889</v>
      </c>
      <c r="K44" s="865"/>
      <c r="L44" s="1299">
        <v>0.88888888888888773</v>
      </c>
      <c r="M44" s="877"/>
      <c r="N44" s="1125" t="s">
        <v>29</v>
      </c>
      <c r="O44" s="851"/>
      <c r="Q44" s="861"/>
      <c r="R44" s="297"/>
      <c r="V44" s="297"/>
    </row>
    <row r="45" spans="2:22" x14ac:dyDescent="0.35">
      <c r="C45" s="699"/>
      <c r="D45" s="885" t="s">
        <v>145</v>
      </c>
      <c r="E45" s="1271"/>
      <c r="F45" s="867"/>
      <c r="G45" s="1271"/>
      <c r="H45" s="865"/>
      <c r="I45" s="865"/>
      <c r="J45" s="1300"/>
      <c r="K45" s="865"/>
      <c r="L45" s="1300"/>
      <c r="M45" s="877"/>
      <c r="N45" s="15"/>
      <c r="O45" s="851"/>
      <c r="Q45" s="861"/>
      <c r="R45" s="297"/>
      <c r="V45" s="297"/>
    </row>
    <row r="46" spans="2:22" s="324" customFormat="1" x14ac:dyDescent="0.35">
      <c r="B46" s="299"/>
      <c r="C46" s="1136" t="s">
        <v>28</v>
      </c>
      <c r="D46" s="886" t="s">
        <v>146</v>
      </c>
      <c r="E46" s="1276">
        <v>0.875</v>
      </c>
      <c r="F46" s="867"/>
      <c r="G46" s="1299" t="s">
        <v>310</v>
      </c>
      <c r="H46" s="865"/>
      <c r="I46" s="865"/>
      <c r="J46" s="1310">
        <v>0.90277777777777779</v>
      </c>
      <c r="K46" s="871"/>
      <c r="L46" s="1310">
        <v>0.91666666666666663</v>
      </c>
      <c r="M46" s="892"/>
      <c r="N46" s="1137" t="s">
        <v>28</v>
      </c>
      <c r="O46" s="851"/>
      <c r="P46" s="851"/>
      <c r="Q46" s="861"/>
      <c r="R46" s="297"/>
      <c r="S46" s="297"/>
      <c r="T46" s="297"/>
      <c r="U46" s="297"/>
      <c r="V46" s="297"/>
    </row>
    <row r="47" spans="2:22" x14ac:dyDescent="0.35">
      <c r="C47" s="699"/>
      <c r="D47" s="1302" t="s">
        <v>148</v>
      </c>
      <c r="E47" s="1271"/>
      <c r="F47" s="867"/>
      <c r="G47" s="1300"/>
      <c r="H47" s="865"/>
      <c r="I47" s="865"/>
      <c r="J47" s="1300"/>
      <c r="K47" s="865"/>
      <c r="L47" s="1300"/>
      <c r="M47" s="877"/>
      <c r="N47" s="15"/>
      <c r="O47" s="851"/>
      <c r="Q47" s="861"/>
      <c r="R47" s="297"/>
      <c r="V47" s="297"/>
    </row>
    <row r="48" spans="2:22" x14ac:dyDescent="0.35">
      <c r="C48" s="1124" t="s">
        <v>29</v>
      </c>
      <c r="D48" s="1303">
        <v>0.90277777777777657</v>
      </c>
      <c r="E48" s="1283" t="s">
        <v>210</v>
      </c>
      <c r="F48" s="867"/>
      <c r="G48" s="1299">
        <v>0.91666666666666541</v>
      </c>
      <c r="H48" s="865"/>
      <c r="I48" s="865"/>
      <c r="J48" s="1299">
        <v>0.93055555555555425</v>
      </c>
      <c r="K48" s="865"/>
      <c r="L48" s="1299">
        <v>0.94444444444444309</v>
      </c>
      <c r="M48" s="877"/>
      <c r="N48" s="1125" t="s">
        <v>29</v>
      </c>
      <c r="O48" s="851"/>
      <c r="Q48" s="861"/>
      <c r="R48" s="297"/>
      <c r="V48" s="297"/>
    </row>
    <row r="49" spans="1:23" x14ac:dyDescent="0.35">
      <c r="C49" s="699"/>
      <c r="D49" s="1304"/>
      <c r="E49" s="1282" t="s">
        <v>211</v>
      </c>
      <c r="F49" s="867"/>
      <c r="G49" s="1300"/>
      <c r="H49" s="865"/>
      <c r="I49" s="865"/>
      <c r="J49" s="1300"/>
      <c r="K49" s="865"/>
      <c r="L49" s="1300"/>
      <c r="M49" s="877"/>
      <c r="N49" s="15"/>
      <c r="O49" s="851"/>
      <c r="Q49" s="861"/>
      <c r="R49" s="297"/>
      <c r="V49" s="297"/>
    </row>
    <row r="50" spans="1:23" s="324" customFormat="1" x14ac:dyDescent="0.35">
      <c r="B50" s="299"/>
      <c r="C50" s="1136" t="s">
        <v>28</v>
      </c>
      <c r="D50" s="1305">
        <v>0.93055555555555547</v>
      </c>
      <c r="E50" s="873"/>
      <c r="F50" s="867"/>
      <c r="G50" s="1310">
        <v>0.94444444444444453</v>
      </c>
      <c r="H50" s="865"/>
      <c r="I50" s="865"/>
      <c r="J50" s="1310">
        <v>0.95833333333333337</v>
      </c>
      <c r="K50" s="871"/>
      <c r="L50" s="1310">
        <v>0.97916666666666663</v>
      </c>
      <c r="M50" s="892"/>
      <c r="N50" s="1137" t="s">
        <v>28</v>
      </c>
      <c r="O50" s="851"/>
      <c r="P50" s="851"/>
      <c r="Q50" s="861"/>
      <c r="R50" s="297"/>
      <c r="S50" s="297"/>
      <c r="T50" s="297"/>
      <c r="U50" s="297"/>
      <c r="V50" s="297"/>
    </row>
    <row r="51" spans="1:23" x14ac:dyDescent="0.35">
      <c r="C51" s="699"/>
      <c r="D51" s="1304"/>
      <c r="E51" s="876"/>
      <c r="F51" s="867"/>
      <c r="G51" s="1311"/>
      <c r="H51" s="865"/>
      <c r="I51" s="865"/>
      <c r="J51" s="1300"/>
      <c r="K51" s="865"/>
      <c r="L51" s="1311"/>
      <c r="M51" s="877"/>
      <c r="N51" s="15"/>
      <c r="O51" s="851"/>
      <c r="Q51" s="861"/>
      <c r="R51" s="297"/>
      <c r="V51" s="297"/>
    </row>
    <row r="52" spans="1:23" x14ac:dyDescent="0.35">
      <c r="C52" s="1124" t="s">
        <v>29</v>
      </c>
      <c r="D52" s="1303">
        <v>0.95833333333333193</v>
      </c>
      <c r="E52" s="866"/>
      <c r="F52" s="867"/>
      <c r="G52" s="1299">
        <v>0.9791666666666653</v>
      </c>
      <c r="H52" s="866"/>
      <c r="I52" s="866"/>
      <c r="J52" s="1316" t="s">
        <v>72</v>
      </c>
      <c r="K52" s="865"/>
      <c r="L52" s="1316" t="s">
        <v>73</v>
      </c>
      <c r="M52" s="877"/>
      <c r="N52" s="1125" t="s">
        <v>29</v>
      </c>
      <c r="O52" s="851"/>
      <c r="Q52" s="861"/>
      <c r="R52" s="297"/>
      <c r="V52" s="297"/>
    </row>
    <row r="53" spans="1:23" x14ac:dyDescent="0.35">
      <c r="C53" s="699"/>
      <c r="D53" s="1306"/>
      <c r="E53" s="867"/>
      <c r="F53" s="867"/>
      <c r="G53" s="1312"/>
      <c r="H53" s="867"/>
      <c r="I53" s="867"/>
      <c r="J53" s="1311"/>
      <c r="K53" s="865"/>
      <c r="L53" s="1311"/>
      <c r="M53" s="877"/>
      <c r="N53" s="15"/>
      <c r="O53" s="851"/>
      <c r="Q53" s="861"/>
      <c r="R53" s="297"/>
      <c r="V53" s="297"/>
    </row>
    <row r="54" spans="1:23" s="324" customFormat="1" x14ac:dyDescent="0.35">
      <c r="B54" s="299"/>
      <c r="C54" s="1136" t="s">
        <v>28</v>
      </c>
      <c r="D54" s="1307" t="s">
        <v>72</v>
      </c>
      <c r="E54" s="893"/>
      <c r="F54" s="867"/>
      <c r="G54" s="1313" t="s">
        <v>73</v>
      </c>
      <c r="H54" s="893"/>
      <c r="I54" s="893"/>
      <c r="J54" s="1317"/>
      <c r="K54" s="884"/>
      <c r="L54" s="1320"/>
      <c r="M54" s="894"/>
      <c r="N54" s="1137" t="s">
        <v>28</v>
      </c>
      <c r="O54" s="851"/>
      <c r="P54" s="851"/>
      <c r="Q54" s="861"/>
      <c r="R54" s="297"/>
      <c r="S54" s="297"/>
      <c r="T54" s="297"/>
      <c r="U54" s="297"/>
      <c r="V54" s="297"/>
    </row>
    <row r="55" spans="1:23" x14ac:dyDescent="0.35">
      <c r="C55" s="895"/>
      <c r="D55" s="1308"/>
      <c r="E55" s="865"/>
      <c r="F55" s="867"/>
      <c r="G55" s="1311"/>
      <c r="H55" s="865"/>
      <c r="I55" s="865"/>
      <c r="J55" s="1311"/>
      <c r="K55" s="865"/>
      <c r="L55" s="1311"/>
      <c r="M55" s="877"/>
      <c r="N55" s="15"/>
      <c r="O55" s="851"/>
      <c r="Q55" s="861"/>
      <c r="R55" s="297"/>
      <c r="V55" s="297"/>
    </row>
    <row r="56" spans="1:23" x14ac:dyDescent="0.35">
      <c r="C56" s="739" t="s">
        <v>27</v>
      </c>
      <c r="D56" s="1309" t="s">
        <v>78</v>
      </c>
      <c r="E56" s="896"/>
      <c r="F56" s="897"/>
      <c r="G56" s="1314" t="s">
        <v>75</v>
      </c>
      <c r="H56" s="896"/>
      <c r="I56" s="896"/>
      <c r="J56" s="1318" t="s">
        <v>76</v>
      </c>
      <c r="K56" s="898"/>
      <c r="L56" s="1314" t="s">
        <v>149</v>
      </c>
      <c r="M56" s="899"/>
      <c r="N56" s="746" t="s">
        <v>27</v>
      </c>
      <c r="O56" s="851"/>
      <c r="Q56" s="861"/>
      <c r="R56" s="297"/>
      <c r="V56" s="297"/>
    </row>
    <row r="57" spans="1:23" x14ac:dyDescent="0.35">
      <c r="A57" s="324"/>
      <c r="B57" s="406"/>
      <c r="C57" s="407"/>
      <c r="D57" s="408"/>
      <c r="F57" s="409"/>
      <c r="G57" s="407"/>
      <c r="H57" s="406"/>
      <c r="I57" s="407"/>
      <c r="J57" s="324"/>
      <c r="K57" s="324"/>
      <c r="L57" s="324"/>
      <c r="M57" s="324"/>
      <c r="N57" s="324"/>
      <c r="P57" s="297"/>
      <c r="Q57" s="861"/>
      <c r="R57" s="297"/>
      <c r="V57" s="297"/>
    </row>
    <row r="58" spans="1:23" s="1131" customFormat="1" ht="49.75" customHeight="1" x14ac:dyDescent="0.95">
      <c r="A58" s="1128" t="s">
        <v>150</v>
      </c>
      <c r="B58" s="1129"/>
      <c r="C58" s="1129"/>
      <c r="D58" s="1129"/>
      <c r="E58" s="1129"/>
      <c r="F58" s="1129"/>
      <c r="G58" s="1129"/>
      <c r="H58" s="1129"/>
      <c r="I58" s="1129"/>
      <c r="J58" s="1129"/>
      <c r="K58" s="1129"/>
      <c r="L58" s="1129"/>
      <c r="M58" s="1129"/>
      <c r="N58" s="1129"/>
      <c r="O58" s="1129"/>
      <c r="P58" s="1608" t="s">
        <v>182</v>
      </c>
      <c r="Q58" s="1609"/>
      <c r="R58" s="1130"/>
      <c r="S58" s="1130"/>
      <c r="W58" s="1132"/>
    </row>
    <row r="59" spans="1:23" s="1134" customFormat="1" ht="49.75" customHeight="1" x14ac:dyDescent="0.45">
      <c r="A59" s="1138"/>
      <c r="B59" s="1139"/>
      <c r="C59" s="1612" t="s">
        <v>80</v>
      </c>
      <c r="D59" s="1613"/>
      <c r="E59" s="1614"/>
      <c r="F59" s="1605" t="s">
        <v>81</v>
      </c>
      <c r="G59" s="1606"/>
      <c r="H59" s="1606"/>
      <c r="I59" s="1606"/>
      <c r="J59" s="1607"/>
      <c r="K59" s="1605" t="s">
        <v>82</v>
      </c>
      <c r="L59" s="1606"/>
      <c r="M59" s="1607"/>
      <c r="N59" s="1140"/>
      <c r="O59" s="1140"/>
      <c r="P59" s="1140"/>
      <c r="Q59" s="1141"/>
      <c r="R59" s="1133"/>
      <c r="S59" s="1133"/>
      <c r="W59" s="1135"/>
    </row>
    <row r="60" spans="1:23" s="1134" customFormat="1" ht="49.75" customHeight="1" x14ac:dyDescent="0.45">
      <c r="A60" s="1142" t="s">
        <v>83</v>
      </c>
      <c r="B60" s="1142" t="s">
        <v>84</v>
      </c>
      <c r="C60" s="1143" t="s">
        <v>85</v>
      </c>
      <c r="D60" s="1144" t="s">
        <v>86</v>
      </c>
      <c r="E60" s="1145"/>
      <c r="F60" s="1146" t="s">
        <v>80</v>
      </c>
      <c r="G60" s="1147"/>
      <c r="H60" s="1144" t="s">
        <v>82</v>
      </c>
      <c r="I60" s="1148" t="s">
        <v>86</v>
      </c>
      <c r="J60" s="1145"/>
      <c r="K60" s="1143" t="s">
        <v>82</v>
      </c>
      <c r="L60" s="1147"/>
      <c r="M60" s="1149" t="s">
        <v>87</v>
      </c>
      <c r="N60" s="1150" t="s">
        <v>88</v>
      </c>
      <c r="O60" s="1151" t="s">
        <v>89</v>
      </c>
      <c r="P60" s="1152" t="s">
        <v>90</v>
      </c>
      <c r="Q60" s="1153" t="s">
        <v>91</v>
      </c>
      <c r="R60" s="1133"/>
      <c r="S60" s="1133"/>
      <c r="W60" s="1135"/>
    </row>
    <row r="61" spans="1:23" s="1134" customFormat="1" ht="49.75" customHeight="1" x14ac:dyDescent="0.45">
      <c r="A61" s="1239">
        <v>1</v>
      </c>
      <c r="B61" s="1154">
        <v>251</v>
      </c>
      <c r="C61" s="1155">
        <f t="shared" ref="C61:C65" si="0">SUM(D61-TIME( ,8, ))</f>
        <v>0.22013888888888888</v>
      </c>
      <c r="D61" s="1156">
        <v>0.22569444444444445</v>
      </c>
      <c r="E61" s="1157" t="s">
        <v>27</v>
      </c>
      <c r="F61" s="1155">
        <v>0.42708333333333331</v>
      </c>
      <c r="G61" s="1158" t="s">
        <v>93</v>
      </c>
      <c r="H61" s="1156">
        <f>SUM(I61-TIME( ,0, ))</f>
        <v>0.46875</v>
      </c>
      <c r="I61" s="1156">
        <v>0.46875</v>
      </c>
      <c r="J61" s="1159" t="s">
        <v>93</v>
      </c>
      <c r="K61" s="1155">
        <v>0.54166666666666663</v>
      </c>
      <c r="L61" s="1158" t="s">
        <v>93</v>
      </c>
      <c r="M61" s="1160">
        <f t="shared" ref="M61:M70" si="1">SUM(K61+TIME( ,0, ))</f>
        <v>0.54166666666666663</v>
      </c>
      <c r="N61" s="1161">
        <f t="shared" ref="N61:N70" si="2">(M61-C61)</f>
        <v>0.32152777777777775</v>
      </c>
      <c r="O61" s="1161">
        <f t="shared" ref="O61:O70" si="3">SUM(N61-P61)</f>
        <v>0.27986111111111106</v>
      </c>
      <c r="P61" s="1162">
        <f>SUM(H61-F61)</f>
        <v>4.1666666666666685E-2</v>
      </c>
      <c r="Q61" s="1163"/>
      <c r="R61" s="1133"/>
      <c r="S61" s="1133"/>
      <c r="W61" s="1135"/>
    </row>
    <row r="62" spans="1:23" s="1134" customFormat="1" ht="49.75" customHeight="1" x14ac:dyDescent="0.45">
      <c r="A62" s="1240">
        <v>2</v>
      </c>
      <c r="B62" s="1164">
        <v>252</v>
      </c>
      <c r="C62" s="1165">
        <f t="shared" si="0"/>
        <v>0.2270833333333333</v>
      </c>
      <c r="D62" s="1166">
        <v>0.23263888888888887</v>
      </c>
      <c r="E62" s="1167" t="s">
        <v>27</v>
      </c>
      <c r="F62" s="1165">
        <v>0.39583333333333331</v>
      </c>
      <c r="G62" s="1168" t="s">
        <v>93</v>
      </c>
      <c r="H62" s="1166">
        <f>SUM(I62-TIME( ,0, ))</f>
        <v>0.44791666666666669</v>
      </c>
      <c r="I62" s="1169">
        <v>0.44791666666666669</v>
      </c>
      <c r="J62" s="1170" t="s">
        <v>93</v>
      </c>
      <c r="K62" s="1165">
        <v>0.52083333333333337</v>
      </c>
      <c r="L62" s="1168" t="s">
        <v>93</v>
      </c>
      <c r="M62" s="1171">
        <f t="shared" si="1"/>
        <v>0.52083333333333337</v>
      </c>
      <c r="N62" s="1172">
        <f t="shared" si="2"/>
        <v>0.29375000000000007</v>
      </c>
      <c r="O62" s="1172">
        <f t="shared" si="3"/>
        <v>0.2416666666666667</v>
      </c>
      <c r="P62" s="1173">
        <f>SUM(H62-F62)</f>
        <v>5.208333333333337E-2</v>
      </c>
      <c r="Q62" s="1174"/>
      <c r="R62" s="1133"/>
      <c r="S62" s="1133"/>
      <c r="W62" s="1135"/>
    </row>
    <row r="63" spans="1:23" s="1134" customFormat="1" ht="49.75" customHeight="1" x14ac:dyDescent="0.45">
      <c r="A63" s="1240">
        <v>3</v>
      </c>
      <c r="B63" s="1164">
        <v>253</v>
      </c>
      <c r="C63" s="1165">
        <f t="shared" si="0"/>
        <v>0.23055555555555557</v>
      </c>
      <c r="D63" s="1166">
        <v>0.23611111111111113</v>
      </c>
      <c r="E63" s="1171" t="s">
        <v>27</v>
      </c>
      <c r="F63" s="1165">
        <v>0.3611111111111111</v>
      </c>
      <c r="G63" s="1168" t="s">
        <v>27</v>
      </c>
      <c r="H63" s="1166">
        <f>I63-TIME( ,5, )</f>
        <v>0.42708333333333337</v>
      </c>
      <c r="I63" s="1169">
        <v>0.43055555555555558</v>
      </c>
      <c r="J63" s="1170" t="s">
        <v>27</v>
      </c>
      <c r="K63" s="1165">
        <v>0.55208333333333337</v>
      </c>
      <c r="L63" s="1168" t="s">
        <v>93</v>
      </c>
      <c r="M63" s="1171">
        <f t="shared" si="1"/>
        <v>0.55208333333333337</v>
      </c>
      <c r="N63" s="1172">
        <f t="shared" si="2"/>
        <v>0.3215277777777778</v>
      </c>
      <c r="O63" s="1172">
        <f t="shared" si="3"/>
        <v>0.25555555555555554</v>
      </c>
      <c r="P63" s="1173">
        <f>SUM(H63-F63)</f>
        <v>6.5972222222222265E-2</v>
      </c>
      <c r="Q63" s="1175"/>
      <c r="R63" s="1133"/>
      <c r="S63" s="1133"/>
      <c r="W63" s="1135"/>
    </row>
    <row r="64" spans="1:23" s="1134" customFormat="1" ht="49.75" customHeight="1" x14ac:dyDescent="0.45">
      <c r="A64" s="1240">
        <v>4</v>
      </c>
      <c r="B64" s="1164">
        <v>254</v>
      </c>
      <c r="C64" s="1165">
        <f t="shared" si="0"/>
        <v>0.24444444444444444</v>
      </c>
      <c r="D64" s="1166">
        <v>0.25</v>
      </c>
      <c r="E64" s="1171" t="s">
        <v>27</v>
      </c>
      <c r="F64" s="1615" t="s">
        <v>92</v>
      </c>
      <c r="G64" s="1616"/>
      <c r="H64" s="1616"/>
      <c r="I64" s="1616"/>
      <c r="J64" s="1617"/>
      <c r="K64" s="1165">
        <v>0.46875</v>
      </c>
      <c r="L64" s="1177" t="s">
        <v>93</v>
      </c>
      <c r="M64" s="1171">
        <f t="shared" si="1"/>
        <v>0.46875</v>
      </c>
      <c r="N64" s="1172">
        <f t="shared" si="2"/>
        <v>0.22430555555555556</v>
      </c>
      <c r="O64" s="1172">
        <f t="shared" si="3"/>
        <v>0.22430555555555556</v>
      </c>
      <c r="P64" s="1173">
        <v>0</v>
      </c>
      <c r="Q64" s="1174"/>
      <c r="R64" s="1133"/>
      <c r="S64" s="1133"/>
      <c r="W64" s="1135"/>
    </row>
    <row r="65" spans="1:23" s="1134" customFormat="1" ht="49.75" customHeight="1" x14ac:dyDescent="0.45">
      <c r="A65" s="1238">
        <v>5</v>
      </c>
      <c r="B65" s="1178">
        <v>255</v>
      </c>
      <c r="C65" s="1179">
        <f t="shared" si="0"/>
        <v>0.32430555555555557</v>
      </c>
      <c r="D65" s="1180">
        <v>0.3298611111111111</v>
      </c>
      <c r="E65" s="1181" t="s">
        <v>27</v>
      </c>
      <c r="F65" s="1179">
        <v>0.5</v>
      </c>
      <c r="G65" s="1182" t="s">
        <v>93</v>
      </c>
      <c r="H65" s="1183">
        <f t="shared" ref="H65:H69" si="4">SUM(I65-TIME( ,0, ))</f>
        <v>0.54166666666666663</v>
      </c>
      <c r="I65" s="1180">
        <v>0.54166666666666663</v>
      </c>
      <c r="J65" s="1184" t="s">
        <v>93</v>
      </c>
      <c r="K65" s="1179">
        <v>0.69791666666666663</v>
      </c>
      <c r="L65" s="1185" t="s">
        <v>93</v>
      </c>
      <c r="M65" s="1186">
        <f t="shared" si="1"/>
        <v>0.69791666666666663</v>
      </c>
      <c r="N65" s="1187">
        <f t="shared" si="2"/>
        <v>0.37361111111111106</v>
      </c>
      <c r="O65" s="1187">
        <f t="shared" si="3"/>
        <v>0.33194444444444443</v>
      </c>
      <c r="P65" s="1188">
        <f t="shared" ref="P65:P70" si="5">SUM(H65-F65)</f>
        <v>4.166666666666663E-2</v>
      </c>
      <c r="Q65" s="1189"/>
      <c r="R65" s="1133"/>
      <c r="S65" s="1133"/>
      <c r="W65" s="1135"/>
    </row>
    <row r="66" spans="1:23" s="1134" customFormat="1" ht="49.75" customHeight="1" x14ac:dyDescent="0.45">
      <c r="A66" s="1241">
        <v>6</v>
      </c>
      <c r="B66" s="1154">
        <v>256</v>
      </c>
      <c r="C66" s="1155">
        <f>SUM(D66-TIME( ,3, ))</f>
        <v>0.48402777777777778</v>
      </c>
      <c r="D66" s="1190">
        <v>0.4861111111111111</v>
      </c>
      <c r="E66" s="1157" t="s">
        <v>27</v>
      </c>
      <c r="F66" s="1155">
        <v>0.66666666666666663</v>
      </c>
      <c r="G66" s="1158" t="s">
        <v>93</v>
      </c>
      <c r="H66" s="1156">
        <f t="shared" si="4"/>
        <v>0.73958333333333337</v>
      </c>
      <c r="I66" s="1190">
        <v>0.73958333333333337</v>
      </c>
      <c r="J66" s="1191" t="s">
        <v>93</v>
      </c>
      <c r="K66" s="1155">
        <v>0.83680555555555547</v>
      </c>
      <c r="L66" s="1192" t="s">
        <v>27</v>
      </c>
      <c r="M66" s="1160">
        <f t="shared" si="1"/>
        <v>0.83680555555555547</v>
      </c>
      <c r="N66" s="1161">
        <f t="shared" si="2"/>
        <v>0.35277777777777769</v>
      </c>
      <c r="O66" s="1162">
        <f t="shared" si="3"/>
        <v>0.27986111111111095</v>
      </c>
      <c r="P66" s="1162">
        <f t="shared" si="5"/>
        <v>7.2916666666666741E-2</v>
      </c>
      <c r="Q66" s="1193"/>
      <c r="R66" s="1133"/>
      <c r="S66" s="1133"/>
      <c r="W66" s="1135"/>
    </row>
    <row r="67" spans="1:23" s="1134" customFormat="1" ht="49.75" customHeight="1" x14ac:dyDescent="0.45">
      <c r="A67" s="1242">
        <v>7</v>
      </c>
      <c r="B67" s="1164">
        <v>257</v>
      </c>
      <c r="C67" s="1165">
        <f t="shared" ref="C67:C70" si="6">SUM(D67-TIME( ,3, ))</f>
        <v>0.49791666666666667</v>
      </c>
      <c r="D67" s="1169">
        <v>0.5</v>
      </c>
      <c r="E67" s="1194" t="s">
        <v>93</v>
      </c>
      <c r="F67" s="1165">
        <v>0.65625</v>
      </c>
      <c r="G67" s="1168" t="s">
        <v>93</v>
      </c>
      <c r="H67" s="1166">
        <f t="shared" si="4"/>
        <v>0.69791666666666663</v>
      </c>
      <c r="I67" s="1169">
        <v>0.69791666666666663</v>
      </c>
      <c r="J67" s="1194" t="s">
        <v>93</v>
      </c>
      <c r="K67" s="1165">
        <v>0.88888888888888884</v>
      </c>
      <c r="L67" s="1177" t="s">
        <v>93</v>
      </c>
      <c r="M67" s="1171">
        <f t="shared" si="1"/>
        <v>0.88888888888888884</v>
      </c>
      <c r="N67" s="1172">
        <f t="shared" si="2"/>
        <v>0.39097222222222217</v>
      </c>
      <c r="O67" s="1173">
        <f t="shared" si="3"/>
        <v>0.34930555555555554</v>
      </c>
      <c r="P67" s="1173">
        <f t="shared" si="5"/>
        <v>4.166666666666663E-2</v>
      </c>
      <c r="Q67" s="1195" t="s">
        <v>91</v>
      </c>
      <c r="R67" s="1133"/>
      <c r="S67" s="1133"/>
      <c r="W67" s="1135"/>
    </row>
    <row r="68" spans="1:23" s="1134" customFormat="1" ht="49.75" customHeight="1" x14ac:dyDescent="0.45">
      <c r="A68" s="1243">
        <v>8</v>
      </c>
      <c r="B68" s="1178">
        <v>258</v>
      </c>
      <c r="C68" s="1179">
        <f t="shared" si="6"/>
        <v>0.55000000000000004</v>
      </c>
      <c r="D68" s="1180">
        <v>0.55208333333333337</v>
      </c>
      <c r="E68" s="1184" t="s">
        <v>93</v>
      </c>
      <c r="F68" s="1179">
        <v>0.65625</v>
      </c>
      <c r="G68" s="1182" t="s">
        <v>27</v>
      </c>
      <c r="H68" s="1183">
        <f>SUM(I68-TIME( ,3, ))</f>
        <v>0.70277777777777783</v>
      </c>
      <c r="I68" s="1180">
        <v>0.70486111111111116</v>
      </c>
      <c r="J68" s="1184" t="s">
        <v>27</v>
      </c>
      <c r="K68" s="1196">
        <v>0.91666666666666663</v>
      </c>
      <c r="L68" s="1197" t="s">
        <v>27</v>
      </c>
      <c r="M68" s="1198">
        <f t="shared" si="1"/>
        <v>0.91666666666666663</v>
      </c>
      <c r="N68" s="1187">
        <f t="shared" si="2"/>
        <v>0.36666666666666659</v>
      </c>
      <c r="O68" s="1188">
        <f t="shared" si="3"/>
        <v>0.32013888888888875</v>
      </c>
      <c r="P68" s="1188">
        <f t="shared" si="5"/>
        <v>4.6527777777777835E-2</v>
      </c>
      <c r="Q68" s="1199" t="s">
        <v>91</v>
      </c>
      <c r="R68" s="1133"/>
      <c r="S68" s="1133"/>
      <c r="W68" s="1135"/>
    </row>
    <row r="69" spans="1:23" s="1134" customFormat="1" ht="49.75" customHeight="1" x14ac:dyDescent="0.45">
      <c r="A69" s="1244">
        <v>9</v>
      </c>
      <c r="B69" s="1200">
        <v>259</v>
      </c>
      <c r="C69" s="1155">
        <f t="shared" si="6"/>
        <v>0.61250000000000004</v>
      </c>
      <c r="D69" s="1190">
        <v>0.61458333333333337</v>
      </c>
      <c r="E69" s="1191" t="s">
        <v>93</v>
      </c>
      <c r="F69" s="1155">
        <v>0.6875</v>
      </c>
      <c r="G69" s="1158" t="s">
        <v>93</v>
      </c>
      <c r="H69" s="1156">
        <f t="shared" si="4"/>
        <v>0.78125</v>
      </c>
      <c r="I69" s="1190">
        <v>0.78125</v>
      </c>
      <c r="J69" s="1191" t="s">
        <v>93</v>
      </c>
      <c r="K69" s="1155">
        <v>0.99652777777777779</v>
      </c>
      <c r="L69" s="1190" t="s">
        <v>27</v>
      </c>
      <c r="M69" s="1160">
        <f t="shared" si="1"/>
        <v>0.99652777777777779</v>
      </c>
      <c r="N69" s="1162">
        <f t="shared" si="2"/>
        <v>0.38402777777777775</v>
      </c>
      <c r="O69" s="1162">
        <f t="shared" si="3"/>
        <v>0.29027777777777775</v>
      </c>
      <c r="P69" s="1162">
        <f t="shared" si="5"/>
        <v>9.375E-2</v>
      </c>
      <c r="Q69" s="1154" t="s">
        <v>91</v>
      </c>
      <c r="R69" s="1133"/>
      <c r="S69" s="1133"/>
      <c r="W69" s="1135"/>
    </row>
    <row r="70" spans="1:23" s="1134" customFormat="1" ht="49.75" customHeight="1" x14ac:dyDescent="0.45">
      <c r="A70" s="1245">
        <v>10</v>
      </c>
      <c r="B70" s="1201">
        <v>260</v>
      </c>
      <c r="C70" s="1165">
        <f t="shared" si="6"/>
        <v>0.64375000000000004</v>
      </c>
      <c r="D70" s="1169">
        <v>0.64583333333333337</v>
      </c>
      <c r="E70" s="1194" t="s">
        <v>93</v>
      </c>
      <c r="F70" s="1165">
        <v>0.83680555555555547</v>
      </c>
      <c r="G70" s="1168" t="s">
        <v>27</v>
      </c>
      <c r="H70" s="1166">
        <f>SUM(I70-TIME( ,3, ))</f>
        <v>0.88680555555555551</v>
      </c>
      <c r="I70" s="1169">
        <v>0.88888888888888884</v>
      </c>
      <c r="J70" s="1194" t="s">
        <v>27</v>
      </c>
      <c r="K70" s="1165">
        <v>1.0034722222222221</v>
      </c>
      <c r="L70" s="1169" t="s">
        <v>27</v>
      </c>
      <c r="M70" s="1171">
        <f t="shared" si="1"/>
        <v>1.0034722222222221</v>
      </c>
      <c r="N70" s="1173">
        <f t="shared" si="2"/>
        <v>0.35972222222222205</v>
      </c>
      <c r="O70" s="1173">
        <f t="shared" si="3"/>
        <v>0.30972222222222201</v>
      </c>
      <c r="P70" s="1173">
        <f t="shared" si="5"/>
        <v>5.0000000000000044E-2</v>
      </c>
      <c r="Q70" s="1202"/>
      <c r="R70" s="1133"/>
      <c r="S70" s="1133"/>
      <c r="W70" s="1135"/>
    </row>
    <row r="71" spans="1:23" s="1134" customFormat="1" ht="49.75" customHeight="1" x14ac:dyDescent="0.45">
      <c r="A71" s="1244">
        <v>11</v>
      </c>
      <c r="B71" s="1200">
        <v>261</v>
      </c>
      <c r="C71" s="1165">
        <f>SUM(D71-TIME( ,3, ))</f>
        <v>0.65416666666666667</v>
      </c>
      <c r="D71" s="1169">
        <v>0.65625</v>
      </c>
      <c r="E71" s="1194" t="s">
        <v>93</v>
      </c>
      <c r="F71" s="1165">
        <v>0.80555555555555547</v>
      </c>
      <c r="G71" s="1168" t="s">
        <v>93</v>
      </c>
      <c r="H71" s="1166">
        <f>SUM(I71-TIME( ,0, ))</f>
        <v>0.88888888888888884</v>
      </c>
      <c r="I71" s="1169">
        <v>0.88888888888888884</v>
      </c>
      <c r="J71" s="1194" t="s">
        <v>93</v>
      </c>
      <c r="K71" s="1165">
        <v>1.0243055555555556</v>
      </c>
      <c r="L71" s="1169" t="s">
        <v>27</v>
      </c>
      <c r="M71" s="1171">
        <f>SUM(K71+TIME( ,0, ))</f>
        <v>1.0243055555555556</v>
      </c>
      <c r="N71" s="1173">
        <f>(M71-C71)</f>
        <v>0.37013888888888891</v>
      </c>
      <c r="O71" s="1173">
        <f>SUM(N71-P71)</f>
        <v>0.28680555555555554</v>
      </c>
      <c r="P71" s="1173">
        <f>SUM(H71-F71)</f>
        <v>8.333333333333337E-2</v>
      </c>
      <c r="Q71" s="1202"/>
      <c r="R71" s="1133"/>
      <c r="S71" s="1133"/>
      <c r="W71" s="1135"/>
    </row>
    <row r="72" spans="1:23" s="1134" customFormat="1" ht="49.75" customHeight="1" x14ac:dyDescent="0.45">
      <c r="A72" s="1245">
        <v>12</v>
      </c>
      <c r="B72" s="1201">
        <v>262</v>
      </c>
      <c r="C72" s="1179">
        <f>SUM(D72-TIME( ,3, ))</f>
        <v>0.6645833333333333</v>
      </c>
      <c r="D72" s="1180">
        <v>0.66666666666666663</v>
      </c>
      <c r="E72" s="1184" t="s">
        <v>93</v>
      </c>
      <c r="F72" s="1179">
        <v>0.73958333333333337</v>
      </c>
      <c r="G72" s="1182" t="s">
        <v>93</v>
      </c>
      <c r="H72" s="1183">
        <f>SUM(I72-TIME( ,0, ))</f>
        <v>0.80555555555555547</v>
      </c>
      <c r="I72" s="1180">
        <v>0.80555555555555547</v>
      </c>
      <c r="J72" s="1184" t="s">
        <v>93</v>
      </c>
      <c r="K72" s="1179">
        <v>1.0173611111111112</v>
      </c>
      <c r="L72" s="1180" t="s">
        <v>27</v>
      </c>
      <c r="M72" s="1186">
        <f>SUM(K72+TIME( ,0, ))</f>
        <v>1.0173611111111112</v>
      </c>
      <c r="N72" s="1188">
        <f>(M72-C72)</f>
        <v>0.35277777777777786</v>
      </c>
      <c r="O72" s="1188">
        <f>SUM(N72-P72)</f>
        <v>0.28680555555555576</v>
      </c>
      <c r="P72" s="1188">
        <f>SUM(H72-F72)</f>
        <v>6.5972222222222099E-2</v>
      </c>
      <c r="Q72" s="1203"/>
      <c r="R72" s="1133"/>
      <c r="S72" s="1133"/>
      <c r="W72" s="1135"/>
    </row>
    <row r="73" spans="1:23" s="1134" customFormat="1" ht="49.75" customHeight="1" x14ac:dyDescent="0.45">
      <c r="A73" s="1204"/>
      <c r="B73" s="1205"/>
      <c r="C73" s="1206"/>
      <c r="D73" s="1206"/>
      <c r="E73" s="1207"/>
      <c r="F73" s="1206"/>
      <c r="G73" s="1207"/>
      <c r="H73" s="1207"/>
      <c r="I73" s="1207"/>
      <c r="J73" s="1207"/>
      <c r="K73" s="1206"/>
      <c r="L73" s="1207"/>
      <c r="M73" s="1206"/>
      <c r="N73" s="1208" t="s">
        <v>94</v>
      </c>
      <c r="O73" s="1209">
        <f>AVERAGE(O61:O72)</f>
        <v>0.28802083333333323</v>
      </c>
      <c r="P73" s="1618"/>
      <c r="Q73" s="1619"/>
      <c r="R73" s="1133"/>
      <c r="S73" s="1133"/>
      <c r="W73" s="1135"/>
    </row>
    <row r="74" spans="1:23" s="1134" customFormat="1" ht="49.75" customHeight="1" x14ac:dyDescent="0.45">
      <c r="A74" s="1246" t="s">
        <v>95</v>
      </c>
      <c r="B74" s="1210">
        <v>281</v>
      </c>
      <c r="C74" s="1155">
        <f>SUM(D74-TIME( ,8, ))</f>
        <v>0.35208333333333336</v>
      </c>
      <c r="D74" s="1156">
        <v>0.3576388888888889</v>
      </c>
      <c r="E74" s="1191" t="s">
        <v>27</v>
      </c>
      <c r="F74" s="1211">
        <v>0.44791666666666669</v>
      </c>
      <c r="G74" s="1192" t="s">
        <v>93</v>
      </c>
      <c r="H74" s="1156">
        <f>I74-TIME( ,0, )</f>
        <v>0.52083333333333337</v>
      </c>
      <c r="I74" s="1156">
        <v>0.52083333333333337</v>
      </c>
      <c r="J74" s="1212" t="s">
        <v>93</v>
      </c>
      <c r="K74" s="1155">
        <v>0.73263888888888884</v>
      </c>
      <c r="L74" s="1213" t="s">
        <v>27</v>
      </c>
      <c r="M74" s="1160">
        <f>SUM(K74+TIME( ,0, ))</f>
        <v>0.73263888888888884</v>
      </c>
      <c r="N74" s="1214">
        <f>(M74-C74)</f>
        <v>0.38055555555555548</v>
      </c>
      <c r="O74" s="1215">
        <f>SUM(N74-P74)</f>
        <v>0.3076388888888888</v>
      </c>
      <c r="P74" s="1216">
        <f>SUM(H74-F74)</f>
        <v>7.2916666666666685E-2</v>
      </c>
      <c r="Q74" s="1217"/>
      <c r="R74" s="1133"/>
      <c r="S74" s="1133"/>
      <c r="W74" s="1135"/>
    </row>
    <row r="75" spans="1:23" s="1134" customFormat="1" ht="49.75" customHeight="1" x14ac:dyDescent="0.45">
      <c r="A75" s="1247" t="s">
        <v>96</v>
      </c>
      <c r="B75" s="1218">
        <v>282</v>
      </c>
      <c r="C75" s="1165">
        <f>SUM(D75-TIME( ,8, ))</f>
        <v>0.36250000000000004</v>
      </c>
      <c r="D75" s="1166">
        <v>0.36805555555555558</v>
      </c>
      <c r="E75" s="1194" t="s">
        <v>27</v>
      </c>
      <c r="F75" s="1219">
        <v>0.45833333333333331</v>
      </c>
      <c r="G75" s="1177" t="s">
        <v>27</v>
      </c>
      <c r="H75" s="1166">
        <f>I75-TIME( ,3, )</f>
        <v>0.50138888888888888</v>
      </c>
      <c r="I75" s="1166">
        <v>0.50347222222222221</v>
      </c>
      <c r="J75" s="1220" t="s">
        <v>27</v>
      </c>
      <c r="K75" s="1165">
        <v>0.70833333333333337</v>
      </c>
      <c r="L75" s="1221" t="s">
        <v>93</v>
      </c>
      <c r="M75" s="1171">
        <f>SUM(K75+TIME( ,0, ))</f>
        <v>0.70833333333333337</v>
      </c>
      <c r="N75" s="1176">
        <f>(M75-C75)</f>
        <v>0.34583333333333333</v>
      </c>
      <c r="O75" s="1222">
        <f>SUM(N75-P75)</f>
        <v>0.30277777777777776</v>
      </c>
      <c r="P75" s="1223">
        <f>SUM(H75-F75)</f>
        <v>4.3055555555555569E-2</v>
      </c>
      <c r="Q75" s="1224"/>
      <c r="R75" s="1133"/>
      <c r="S75" s="1133"/>
      <c r="W75" s="1135"/>
    </row>
    <row r="76" spans="1:23" s="1134" customFormat="1" ht="49.75" customHeight="1" x14ac:dyDescent="0.45">
      <c r="A76" s="1247" t="s">
        <v>97</v>
      </c>
      <c r="B76" s="1218">
        <v>283</v>
      </c>
      <c r="C76" s="1165">
        <f>SUM(D76-TIME( ,3, ))</f>
        <v>0.39374999999999999</v>
      </c>
      <c r="D76" s="1166">
        <v>0.39583333333333331</v>
      </c>
      <c r="E76" s="1194" t="s">
        <v>93</v>
      </c>
      <c r="F76" s="1219">
        <v>0.61458333333333337</v>
      </c>
      <c r="G76" s="1177" t="s">
        <v>93</v>
      </c>
      <c r="H76" s="1166">
        <f>I76-TIME( ,0, )</f>
        <v>0.6875</v>
      </c>
      <c r="I76" s="1166">
        <v>0.6875</v>
      </c>
      <c r="J76" s="1220" t="s">
        <v>93</v>
      </c>
      <c r="K76" s="1165">
        <v>0.8125</v>
      </c>
      <c r="L76" s="1221" t="s">
        <v>27</v>
      </c>
      <c r="M76" s="1171">
        <f>SUM(K76+TIME( ,0, ))</f>
        <v>0.8125</v>
      </c>
      <c r="N76" s="1176">
        <f>(M76-C76)</f>
        <v>0.41875000000000001</v>
      </c>
      <c r="O76" s="1222">
        <f>SUM(N76-P76)</f>
        <v>0.34583333333333338</v>
      </c>
      <c r="P76" s="1223">
        <f>SUM(H76-F76)</f>
        <v>7.291666666666663E-2</v>
      </c>
      <c r="Q76" s="1225"/>
      <c r="R76" s="1133"/>
      <c r="S76" s="1133"/>
      <c r="W76" s="1135"/>
    </row>
    <row r="77" spans="1:23" s="1134" customFormat="1" ht="49.75" customHeight="1" x14ac:dyDescent="0.45">
      <c r="A77" s="1248" t="s">
        <v>98</v>
      </c>
      <c r="B77" s="1226">
        <v>284</v>
      </c>
      <c r="C77" s="1179">
        <f>SUM(D77-TIME( ,3, ))</f>
        <v>0.42499999999999999</v>
      </c>
      <c r="D77" s="1183">
        <v>0.42708333333333331</v>
      </c>
      <c r="E77" s="1184" t="s">
        <v>93</v>
      </c>
      <c r="F77" s="1227">
        <v>0.64583333333333337</v>
      </c>
      <c r="G77" s="1185" t="s">
        <v>93</v>
      </c>
      <c r="H77" s="1183">
        <f>I77-TIME( ,0, )</f>
        <v>0.70833333333333337</v>
      </c>
      <c r="I77" s="1183">
        <v>0.70833333333333337</v>
      </c>
      <c r="J77" s="1228" t="s">
        <v>93</v>
      </c>
      <c r="K77" s="1179">
        <v>0.78125</v>
      </c>
      <c r="L77" s="1229" t="s">
        <v>93</v>
      </c>
      <c r="M77" s="1186">
        <f>SUM(K77+TIME( ,0, ))</f>
        <v>0.78125</v>
      </c>
      <c r="N77" s="1230">
        <f>(M77-C77)</f>
        <v>0.35625000000000001</v>
      </c>
      <c r="O77" s="1231">
        <f>SUM(N77-P77)</f>
        <v>0.29375000000000001</v>
      </c>
      <c r="P77" s="1232">
        <f>SUM(H77-F77)</f>
        <v>6.25E-2</v>
      </c>
      <c r="Q77" s="1233"/>
      <c r="R77" s="1133"/>
      <c r="S77" s="1133"/>
      <c r="W77" s="1135"/>
    </row>
    <row r="78" spans="1:23" s="1134" customFormat="1" ht="49.75" customHeight="1" x14ac:dyDescent="0.45">
      <c r="A78" s="1234"/>
      <c r="B78" s="1235"/>
      <c r="C78" s="1236"/>
      <c r="D78" s="1236"/>
      <c r="E78" s="1236"/>
      <c r="F78" s="1236"/>
      <c r="G78" s="1236"/>
      <c r="H78" s="1236"/>
      <c r="I78" s="1236"/>
      <c r="J78" s="1236"/>
      <c r="K78" s="1236"/>
      <c r="L78" s="1236"/>
      <c r="M78" s="1236"/>
      <c r="N78" s="1237" t="s">
        <v>94</v>
      </c>
      <c r="O78" s="1209">
        <f>AVERAGE(O74:O77)</f>
        <v>0.3125</v>
      </c>
      <c r="P78" s="1610"/>
      <c r="Q78" s="1611"/>
      <c r="W78" s="1135"/>
    </row>
    <row r="79" spans="1:23" s="297" customFormat="1" x14ac:dyDescent="0.35">
      <c r="B79" s="900"/>
      <c r="C79" s="900"/>
      <c r="D79" s="900"/>
      <c r="E79" s="900"/>
      <c r="F79" s="900"/>
      <c r="G79" s="900"/>
      <c r="H79" s="900"/>
      <c r="I79" s="900"/>
      <c r="P79" s="851"/>
      <c r="Q79" s="851"/>
      <c r="R79" s="851"/>
      <c r="V79" s="852"/>
    </row>
    <row r="80" spans="1:23" s="297" customFormat="1" x14ac:dyDescent="0.35">
      <c r="B80" s="900"/>
      <c r="C80" s="900"/>
      <c r="D80" s="900"/>
      <c r="E80" s="900"/>
      <c r="F80" s="900"/>
      <c r="G80" s="900"/>
      <c r="H80" s="900"/>
      <c r="I80" s="900"/>
      <c r="P80" s="851"/>
      <c r="Q80" s="851"/>
      <c r="R80" s="851"/>
      <c r="V80" s="852"/>
    </row>
    <row r="81" spans="2:22" s="297" customFormat="1" x14ac:dyDescent="0.35">
      <c r="B81" s="900"/>
      <c r="C81" s="900"/>
      <c r="D81" s="900"/>
      <c r="E81" s="900"/>
      <c r="F81" s="900"/>
      <c r="G81" s="900"/>
      <c r="H81" s="900"/>
      <c r="I81" s="900"/>
      <c r="P81" s="851"/>
      <c r="Q81" s="851"/>
      <c r="R81" s="851"/>
      <c r="V81" s="852"/>
    </row>
    <row r="82" spans="2:22" s="297" customFormat="1" x14ac:dyDescent="0.35">
      <c r="B82" s="900"/>
      <c r="C82" s="900"/>
      <c r="D82" s="900"/>
      <c r="E82" s="900"/>
      <c r="F82" s="900"/>
      <c r="G82" s="900"/>
      <c r="H82" s="900"/>
      <c r="I82" s="900"/>
      <c r="P82" s="851"/>
      <c r="Q82" s="851"/>
      <c r="R82" s="851"/>
      <c r="V82" s="852"/>
    </row>
    <row r="83" spans="2:22" s="297" customFormat="1" x14ac:dyDescent="0.35">
      <c r="B83" s="900"/>
      <c r="C83" s="900"/>
      <c r="D83" s="900"/>
      <c r="E83" s="900"/>
      <c r="F83" s="900"/>
      <c r="G83" s="900"/>
      <c r="H83" s="900"/>
      <c r="I83" s="900"/>
      <c r="K83" s="901"/>
      <c r="P83" s="851"/>
      <c r="Q83" s="851"/>
      <c r="R83" s="851"/>
      <c r="V83" s="852"/>
    </row>
    <row r="84" spans="2:22" s="297" customFormat="1" x14ac:dyDescent="0.35">
      <c r="B84" s="900"/>
      <c r="C84" s="900"/>
      <c r="D84" s="900"/>
      <c r="E84" s="900"/>
      <c r="F84" s="900"/>
      <c r="G84" s="900"/>
      <c r="H84" s="900"/>
      <c r="I84" s="900"/>
      <c r="K84" s="901"/>
      <c r="P84" s="851"/>
      <c r="Q84" s="851"/>
      <c r="R84" s="851"/>
      <c r="V84" s="852"/>
    </row>
    <row r="85" spans="2:22" x14ac:dyDescent="0.35">
      <c r="I85" s="900"/>
    </row>
    <row r="86" spans="2:22" x14ac:dyDescent="0.35">
      <c r="I86" s="900"/>
    </row>
    <row r="87" spans="2:22" x14ac:dyDescent="0.35">
      <c r="I87" s="900"/>
    </row>
    <row r="88" spans="2:22" x14ac:dyDescent="0.35">
      <c r="I88" s="900"/>
    </row>
  </sheetData>
  <mergeCells count="8">
    <mergeCell ref="M1:N1"/>
    <mergeCell ref="K59:M59"/>
    <mergeCell ref="P58:Q58"/>
    <mergeCell ref="P78:Q78"/>
    <mergeCell ref="C59:E59"/>
    <mergeCell ref="F59:J59"/>
    <mergeCell ref="F64:J64"/>
    <mergeCell ref="P73:Q73"/>
  </mergeCells>
  <conditionalFormatting sqref="N61 N71">
    <cfRule type="cellIs" dxfId="3" priority="3" operator="greaterThan">
      <formula>0.375347222222222</formula>
    </cfRule>
  </conditionalFormatting>
  <conditionalFormatting sqref="O61 O71 O74:O78">
    <cfRule type="cellIs" dxfId="2" priority="2" operator="greaterThan">
      <formula>0.368055555555556</formula>
    </cfRule>
  </conditionalFormatting>
  <conditionalFormatting sqref="P61 P71 P74:P77">
    <cfRule type="cellIs" dxfId="1" priority="1" operator="lessThan">
      <formula>0.0416666666666667</formula>
    </cfRule>
  </conditionalFormatting>
  <dataValidations count="1">
    <dataValidation allowBlank="1" showErrorMessage="1" errorTitle="Incorrect Value" error="Please enter a time of the form HH:MM" sqref="L36:L52 K20:L31 L10:L19 K16:K19 L6:L8 M36:M39 M6:M18 I18:I31 J2 K32:K41 N2 D46 E34:E52 G36:G52 D16:D35 H2 J24:J52 M21:M31 I2:I16 C2:E2 F36:F41 H22:H31 F7:G35 F6 H15:H19 D48:D52 H33:I52 L32:M35 K6:K14" xr:uid="{00000000-0002-0000-0500-000000000000}"/>
  </dataValidations>
  <pageMargins left="0.7" right="0.7" top="0.75" bottom="0.75" header="0.3" footer="0.3"/>
  <pageSetup paperSize="9" scale="24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  <pageSetUpPr fitToPage="1"/>
  </sheetPr>
  <dimension ref="A1:AV77"/>
  <sheetViews>
    <sheetView zoomScale="98" workbookViewId="0">
      <selection activeCell="J4" sqref="J4"/>
    </sheetView>
  </sheetViews>
  <sheetFormatPr defaultColWidth="9.1796875" defaultRowHeight="15.5" x14ac:dyDescent="0.35"/>
  <cols>
    <col min="1" max="1" width="20.7265625" style="1" customWidth="1"/>
    <col min="2" max="3" width="17.7265625" style="299" bestFit="1" customWidth="1"/>
    <col min="4" max="4" width="18.1796875" style="299" bestFit="1" customWidth="1"/>
    <col min="5" max="5" width="17.08984375" style="299" bestFit="1" customWidth="1"/>
    <col min="6" max="6" width="17.7265625" style="299" bestFit="1" customWidth="1"/>
    <col min="7" max="7" width="16.81640625" style="299" customWidth="1"/>
    <col min="8" max="8" width="21.90625" style="1" bestFit="1" customWidth="1"/>
    <col min="9" max="9" width="19.7265625" style="1" bestFit="1" customWidth="1"/>
    <col min="10" max="10" width="19.6328125" style="1" bestFit="1" customWidth="1"/>
    <col min="11" max="11" width="14" style="1" bestFit="1" customWidth="1"/>
    <col min="12" max="12" width="15.90625" style="1" customWidth="1"/>
    <col min="13" max="13" width="14" style="1" bestFit="1" customWidth="1"/>
    <col min="14" max="14" width="15.90625" style="1" customWidth="1"/>
    <col min="15" max="16" width="14" style="1" bestFit="1" customWidth="1"/>
    <col min="17" max="17" width="11.7265625" style="1" customWidth="1"/>
    <col min="18" max="18" width="7.08984375" style="1" bestFit="1" customWidth="1"/>
    <col min="19" max="20" width="15.90625" style="1" customWidth="1"/>
    <col min="21" max="21" width="7.90625" style="1" customWidth="1"/>
    <col min="22" max="24" width="15.90625" style="1" customWidth="1"/>
    <col min="25" max="25" width="15.1796875" style="1" bestFit="1" customWidth="1"/>
    <col min="26" max="26" width="15.08984375" style="1" customWidth="1"/>
    <col min="27" max="27" width="12.26953125" style="1" customWidth="1"/>
    <col min="28" max="29" width="7.08984375" style="1" customWidth="1"/>
    <col min="30" max="30" width="14" style="330" hidden="1" customWidth="1"/>
    <col min="31" max="31" width="8.7265625" style="1" hidden="1" customWidth="1"/>
    <col min="32" max="33" width="10.6328125" style="1" hidden="1" customWidth="1"/>
    <col min="34" max="34" width="9.1796875" style="1" hidden="1" customWidth="1"/>
    <col min="35" max="35" width="13.7265625" style="519" hidden="1" customWidth="1"/>
    <col min="36" max="36" width="12.90625" style="1" hidden="1" customWidth="1"/>
    <col min="37" max="37" width="11.26953125" style="1" hidden="1" customWidth="1"/>
    <col min="38" max="38" width="11.54296875" style="1" hidden="1" customWidth="1"/>
    <col min="39" max="39" width="9.1796875" style="1"/>
    <col min="40" max="40" width="15.90625" style="1" customWidth="1"/>
    <col min="41" max="41" width="14" style="330" customWidth="1"/>
    <col min="42" max="42" width="8.90625" style="1" customWidth="1"/>
    <col min="43" max="45" width="10.6328125" style="1" customWidth="1"/>
    <col min="46" max="46" width="9.1796875" style="1"/>
    <col min="47" max="47" width="13.7265625" style="519" bestFit="1" customWidth="1"/>
    <col min="48" max="48" width="12.90625" style="1" bestFit="1" customWidth="1"/>
    <col min="49" max="49" width="11.26953125" style="1" customWidth="1"/>
    <col min="50" max="50" width="11.54296875" style="1" customWidth="1"/>
    <col min="51" max="16384" width="9.1796875" style="1"/>
  </cols>
  <sheetData>
    <row r="1" spans="1:47" x14ac:dyDescent="0.35">
      <c r="A1" s="301" t="s">
        <v>212</v>
      </c>
      <c r="B1" s="302"/>
      <c r="C1" s="302"/>
      <c r="D1" s="302"/>
      <c r="E1" s="302"/>
      <c r="F1" s="302"/>
      <c r="G1" s="302"/>
      <c r="H1" s="902" t="s">
        <v>182</v>
      </c>
      <c r="I1" s="4"/>
      <c r="AD1" s="1"/>
      <c r="AI1" s="1"/>
      <c r="AO1" s="1"/>
      <c r="AU1" s="1"/>
    </row>
    <row r="2" spans="1:47" ht="18" customHeight="1" x14ac:dyDescent="0.35">
      <c r="A2" s="6"/>
      <c r="B2" s="7" t="s">
        <v>8</v>
      </c>
      <c r="C2" s="520"/>
      <c r="D2" s="520"/>
      <c r="E2" s="7" t="s">
        <v>7</v>
      </c>
      <c r="F2" s="520"/>
      <c r="G2" s="7" t="s">
        <v>100</v>
      </c>
      <c r="H2" s="521"/>
      <c r="I2" s="4"/>
      <c r="AD2" s="1"/>
      <c r="AI2" s="1"/>
      <c r="AO2" s="1"/>
      <c r="AU2" s="1"/>
    </row>
    <row r="3" spans="1:47" x14ac:dyDescent="0.35">
      <c r="A3" s="11" t="s">
        <v>10</v>
      </c>
      <c r="B3" s="12" t="s">
        <v>17</v>
      </c>
      <c r="C3" s="312"/>
      <c r="D3" s="312"/>
      <c r="E3" s="12" t="s">
        <v>16</v>
      </c>
      <c r="F3" s="312"/>
      <c r="G3" s="12" t="s">
        <v>12</v>
      </c>
      <c r="H3" s="26" t="s">
        <v>10</v>
      </c>
      <c r="I3" s="1512"/>
      <c r="J3" s="1326" t="s">
        <v>338</v>
      </c>
      <c r="AD3" s="1"/>
      <c r="AI3" s="1"/>
      <c r="AO3" s="1"/>
      <c r="AU3" s="1"/>
    </row>
    <row r="4" spans="1:47" x14ac:dyDescent="0.35">
      <c r="A4" s="17" t="s">
        <v>27</v>
      </c>
      <c r="B4" s="1487" t="s">
        <v>152</v>
      </c>
      <c r="C4" s="312"/>
      <c r="D4" s="312"/>
      <c r="E4" s="1127" t="s">
        <v>153</v>
      </c>
      <c r="F4" s="312"/>
      <c r="G4" s="1249" t="s">
        <v>154</v>
      </c>
      <c r="H4" s="26" t="s">
        <v>27</v>
      </c>
      <c r="I4" s="361"/>
      <c r="L4" s="22"/>
      <c r="M4" s="22"/>
      <c r="N4" s="22"/>
      <c r="O4" s="22"/>
      <c r="P4" s="22"/>
      <c r="AD4" s="1"/>
      <c r="AI4" s="1"/>
      <c r="AO4" s="1"/>
      <c r="AU4" s="1"/>
    </row>
    <row r="5" spans="1:47" x14ac:dyDescent="0.35">
      <c r="A5" s="35"/>
      <c r="B5" s="1256"/>
      <c r="C5" s="319"/>
      <c r="D5" s="312"/>
      <c r="E5" s="1489"/>
      <c r="F5" s="312"/>
      <c r="G5" s="1256"/>
      <c r="H5" s="38"/>
      <c r="I5" s="361"/>
      <c r="L5" s="22"/>
      <c r="M5" s="22"/>
      <c r="N5" s="22"/>
      <c r="O5" s="22"/>
      <c r="P5" s="22"/>
      <c r="AD5" s="1"/>
      <c r="AI5" s="1"/>
      <c r="AO5" s="1"/>
      <c r="AU5" s="1"/>
    </row>
    <row r="6" spans="1:47" x14ac:dyDescent="0.35">
      <c r="A6" s="1343" t="s">
        <v>29</v>
      </c>
      <c r="B6" s="1256"/>
      <c r="C6" s="526"/>
      <c r="D6" s="527"/>
      <c r="E6" s="1489"/>
      <c r="F6" s="344"/>
      <c r="G6" s="1253">
        <v>0.31944444444444448</v>
      </c>
      <c r="H6" s="1344" t="s">
        <v>29</v>
      </c>
      <c r="I6" s="361"/>
      <c r="AD6" s="1"/>
      <c r="AI6" s="1"/>
      <c r="AO6" s="1"/>
      <c r="AU6" s="1"/>
    </row>
    <row r="7" spans="1:47" x14ac:dyDescent="0.35">
      <c r="A7" s="17"/>
      <c r="B7" s="1256"/>
      <c r="C7" s="527"/>
      <c r="D7" s="526"/>
      <c r="E7" s="1489"/>
      <c r="F7" s="344"/>
      <c r="G7" s="1489"/>
      <c r="H7" s="26"/>
      <c r="I7" s="361"/>
      <c r="AD7" s="1"/>
      <c r="AI7" s="1"/>
      <c r="AO7" s="1"/>
      <c r="AU7" s="1"/>
    </row>
    <row r="8" spans="1:47" x14ac:dyDescent="0.35">
      <c r="A8" s="1341" t="s">
        <v>28</v>
      </c>
      <c r="B8" s="1254">
        <v>0.3125</v>
      </c>
      <c r="C8" s="344"/>
      <c r="D8" s="526"/>
      <c r="E8" s="1254">
        <v>0.33333333333333331</v>
      </c>
      <c r="F8" s="344"/>
      <c r="G8" s="1254">
        <v>0.35416666666666669</v>
      </c>
      <c r="H8" s="1342" t="s">
        <v>28</v>
      </c>
      <c r="I8" s="361"/>
      <c r="AD8" s="1"/>
      <c r="AI8" s="1"/>
      <c r="AO8" s="1"/>
      <c r="AU8" s="1"/>
    </row>
    <row r="9" spans="1:47" x14ac:dyDescent="0.35">
      <c r="A9" s="17"/>
      <c r="B9" s="1256"/>
      <c r="C9" s="532"/>
      <c r="D9" s="526"/>
      <c r="E9" s="1488"/>
      <c r="F9" s="344"/>
      <c r="G9" s="1488"/>
      <c r="H9" s="26"/>
      <c r="I9" s="361"/>
      <c r="AD9" s="1"/>
      <c r="AI9" s="1"/>
      <c r="AO9" s="1"/>
      <c r="AU9" s="1"/>
    </row>
    <row r="10" spans="1:47" x14ac:dyDescent="0.35">
      <c r="A10" s="1343" t="s">
        <v>29</v>
      </c>
      <c r="B10" s="1253">
        <v>0.34027777777777773</v>
      </c>
      <c r="C10" s="312"/>
      <c r="D10" s="312"/>
      <c r="E10" s="1253">
        <v>0.3611111111111111</v>
      </c>
      <c r="F10" s="344"/>
      <c r="G10" s="1253">
        <v>0.38194444444444442</v>
      </c>
      <c r="H10" s="1344" t="s">
        <v>29</v>
      </c>
      <c r="I10" s="361"/>
      <c r="AD10" s="1"/>
      <c r="AI10" s="1"/>
      <c r="AO10" s="1"/>
      <c r="AU10" s="1"/>
    </row>
    <row r="11" spans="1:47" x14ac:dyDescent="0.35">
      <c r="A11" s="17"/>
      <c r="B11" s="1488"/>
      <c r="C11" s="312"/>
      <c r="D11" s="534" t="s">
        <v>9</v>
      </c>
      <c r="E11" s="1490"/>
      <c r="F11" s="344"/>
      <c r="G11" s="1249"/>
      <c r="H11" s="26"/>
      <c r="I11" s="361"/>
      <c r="AD11" s="1"/>
      <c r="AI11" s="1"/>
      <c r="AO11" s="1"/>
      <c r="AU11" s="1"/>
    </row>
    <row r="12" spans="1:47" x14ac:dyDescent="0.35">
      <c r="A12" s="1341" t="s">
        <v>28</v>
      </c>
      <c r="B12" s="1254">
        <v>0.375</v>
      </c>
      <c r="C12" s="312"/>
      <c r="D12" s="12" t="s">
        <v>18</v>
      </c>
      <c r="E12" s="1288" t="s">
        <v>330</v>
      </c>
      <c r="F12" s="344"/>
      <c r="G12" s="1254">
        <v>0.41666666666666657</v>
      </c>
      <c r="H12" s="1342" t="s">
        <v>28</v>
      </c>
      <c r="I12" s="361"/>
      <c r="AD12" s="1"/>
      <c r="AI12" s="1"/>
      <c r="AO12" s="1"/>
      <c r="AU12" s="1"/>
    </row>
    <row r="13" spans="1:47" x14ac:dyDescent="0.35">
      <c r="A13" s="17"/>
      <c r="B13" s="1488"/>
      <c r="C13" s="534" t="s">
        <v>2</v>
      </c>
      <c r="D13" s="1296" t="s">
        <v>156</v>
      </c>
      <c r="E13" s="1511"/>
      <c r="F13" s="344"/>
      <c r="G13" s="1489"/>
      <c r="H13" s="26"/>
      <c r="I13" s="361"/>
      <c r="AD13" s="1"/>
      <c r="AI13" s="1"/>
      <c r="AO13" s="1"/>
      <c r="AU13" s="1"/>
    </row>
    <row r="14" spans="1:47" x14ac:dyDescent="0.35">
      <c r="A14" s="1343" t="s">
        <v>29</v>
      </c>
      <c r="B14" s="1253">
        <v>0.40277777777777773</v>
      </c>
      <c r="C14" s="12" t="s">
        <v>11</v>
      </c>
      <c r="D14" s="1288">
        <v>0.4201388888888889</v>
      </c>
      <c r="E14" s="1288">
        <v>0.43402777777777773</v>
      </c>
      <c r="F14" s="306"/>
      <c r="G14" s="1253">
        <v>0.44791666666666669</v>
      </c>
      <c r="H14" s="1344" t="s">
        <v>29</v>
      </c>
      <c r="I14" s="361"/>
      <c r="AD14" s="1"/>
      <c r="AI14" s="1"/>
      <c r="AO14" s="1"/>
      <c r="AU14" s="1"/>
    </row>
    <row r="15" spans="1:47" x14ac:dyDescent="0.35">
      <c r="A15" s="17"/>
      <c r="B15" s="1256"/>
      <c r="C15" s="1296" t="s">
        <v>157</v>
      </c>
      <c r="D15" s="1510"/>
      <c r="E15" s="1509"/>
      <c r="F15" s="534" t="s">
        <v>5</v>
      </c>
      <c r="G15" s="1249"/>
      <c r="H15" s="26"/>
      <c r="I15" s="361"/>
      <c r="AD15" s="1"/>
      <c r="AI15" s="1"/>
      <c r="AO15" s="1"/>
      <c r="AU15" s="1"/>
    </row>
    <row r="16" spans="1:47" x14ac:dyDescent="0.35">
      <c r="A16" s="1341" t="s">
        <v>28</v>
      </c>
      <c r="B16" s="1254">
        <v>0.43055555555555547</v>
      </c>
      <c r="C16" s="1290">
        <v>0.44444444444444436</v>
      </c>
      <c r="D16" s="1290">
        <v>0.45833333333333326</v>
      </c>
      <c r="E16" s="1290">
        <v>0.47222222222222199</v>
      </c>
      <c r="F16" s="12" t="s">
        <v>14</v>
      </c>
      <c r="G16" s="1126" t="s">
        <v>335</v>
      </c>
      <c r="H16" s="1342" t="s">
        <v>28</v>
      </c>
      <c r="I16" s="361"/>
      <c r="AD16" s="1"/>
      <c r="AI16" s="1"/>
      <c r="AO16" s="1"/>
      <c r="AU16" s="1"/>
    </row>
    <row r="17" spans="1:47" x14ac:dyDescent="0.35">
      <c r="A17" s="17"/>
      <c r="B17" s="1249"/>
      <c r="C17" s="1508"/>
      <c r="D17" s="1510"/>
      <c r="E17" s="1508"/>
      <c r="F17" s="1495" t="s">
        <v>159</v>
      </c>
      <c r="G17" s="1489"/>
      <c r="H17" s="26"/>
      <c r="I17" s="361"/>
      <c r="AD17" s="1"/>
      <c r="AI17" s="1"/>
      <c r="AO17" s="1"/>
      <c r="AU17" s="1"/>
    </row>
    <row r="18" spans="1:47" x14ac:dyDescent="0.35">
      <c r="A18" s="1343" t="s">
        <v>29</v>
      </c>
      <c r="B18" s="1253">
        <v>0.46180555555555558</v>
      </c>
      <c r="C18" s="1288">
        <v>0.47569444444444442</v>
      </c>
      <c r="D18" s="1288">
        <v>0.48958333333333331</v>
      </c>
      <c r="E18" s="1288">
        <v>0.50347222222222199</v>
      </c>
      <c r="F18" s="1270">
        <v>0.51736111111111105</v>
      </c>
      <c r="G18" s="1253">
        <v>0.53125</v>
      </c>
      <c r="H18" s="1344" t="s">
        <v>29</v>
      </c>
      <c r="I18" s="361"/>
      <c r="AD18" s="1"/>
      <c r="AI18" s="1"/>
      <c r="AO18" s="1"/>
      <c r="AU18" s="1"/>
    </row>
    <row r="19" spans="1:47" x14ac:dyDescent="0.35">
      <c r="A19" s="17"/>
      <c r="B19" s="1488"/>
      <c r="C19" s="1508"/>
      <c r="D19" s="1509"/>
      <c r="E19" s="1508"/>
      <c r="F19" s="1491"/>
      <c r="G19" s="1488"/>
      <c r="H19" s="26"/>
      <c r="I19" s="361"/>
      <c r="AD19" s="1"/>
      <c r="AI19" s="1"/>
      <c r="AO19" s="1"/>
      <c r="AU19" s="1"/>
    </row>
    <row r="20" spans="1:47" x14ac:dyDescent="0.35">
      <c r="A20" s="1341" t="s">
        <v>28</v>
      </c>
      <c r="B20" s="1270" t="s">
        <v>322</v>
      </c>
      <c r="C20" s="1290">
        <v>0.51388888888888884</v>
      </c>
      <c r="D20" s="1290">
        <v>0.52777777777777768</v>
      </c>
      <c r="E20" s="1270" t="s">
        <v>331</v>
      </c>
      <c r="F20" s="1276">
        <v>0.55555555555555503</v>
      </c>
      <c r="G20" s="1254">
        <v>0.56944444444444398</v>
      </c>
      <c r="H20" s="1342" t="s">
        <v>28</v>
      </c>
      <c r="I20" s="361"/>
      <c r="AD20" s="1"/>
      <c r="AI20" s="1"/>
      <c r="AO20" s="1"/>
      <c r="AU20" s="1"/>
    </row>
    <row r="21" spans="1:47" x14ac:dyDescent="0.35">
      <c r="A21" s="17"/>
      <c r="B21" s="1491"/>
      <c r="C21" s="1508"/>
      <c r="D21" s="1510"/>
      <c r="E21" s="1491"/>
      <c r="F21" s="1491"/>
      <c r="G21" s="1488"/>
      <c r="H21" s="26"/>
      <c r="I21" s="361"/>
      <c r="AD21" s="1"/>
      <c r="AI21" s="1"/>
      <c r="AO21" s="1"/>
      <c r="AU21" s="1"/>
    </row>
    <row r="22" spans="1:47" x14ac:dyDescent="0.35">
      <c r="A22" s="1343" t="s">
        <v>29</v>
      </c>
      <c r="B22" s="1270">
        <v>0.54513888888888895</v>
      </c>
      <c r="C22" s="1288">
        <v>0.55902777777777701</v>
      </c>
      <c r="D22" s="1288">
        <v>0.57291666666666596</v>
      </c>
      <c r="E22" s="1270">
        <v>0.58680555555555503</v>
      </c>
      <c r="F22" s="1270">
        <v>0.60069444444444398</v>
      </c>
      <c r="G22" s="1253">
        <v>0.61458333333333304</v>
      </c>
      <c r="H22" s="1344" t="s">
        <v>29</v>
      </c>
      <c r="I22" s="361"/>
      <c r="AD22" s="1"/>
      <c r="AI22" s="1"/>
      <c r="AO22" s="1"/>
      <c r="AU22" s="1"/>
    </row>
    <row r="23" spans="1:47" x14ac:dyDescent="0.35">
      <c r="A23" s="17"/>
      <c r="B23" s="1492"/>
      <c r="C23" s="1509"/>
      <c r="D23" s="1510"/>
      <c r="E23" s="1493"/>
      <c r="F23" s="1493"/>
      <c r="G23" s="1257"/>
      <c r="H23" s="26"/>
      <c r="I23" s="361"/>
      <c r="AD23" s="1"/>
      <c r="AI23" s="1"/>
      <c r="AO23" s="1"/>
      <c r="AU23" s="1"/>
    </row>
    <row r="24" spans="1:47" x14ac:dyDescent="0.35">
      <c r="A24" s="1341" t="s">
        <v>28</v>
      </c>
      <c r="B24" s="1276">
        <v>0.58333333333333304</v>
      </c>
      <c r="C24" s="1288" t="s">
        <v>324</v>
      </c>
      <c r="D24" s="1299" t="s">
        <v>327</v>
      </c>
      <c r="E24" s="1276">
        <v>0.625</v>
      </c>
      <c r="F24" s="1288" t="s">
        <v>334</v>
      </c>
      <c r="G24" s="1299" t="s">
        <v>336</v>
      </c>
      <c r="H24" s="1342" t="s">
        <v>28</v>
      </c>
      <c r="I24" s="361"/>
      <c r="AD24" s="1"/>
      <c r="AI24" s="1"/>
      <c r="AO24" s="1"/>
      <c r="AU24" s="1"/>
    </row>
    <row r="25" spans="1:47" x14ac:dyDescent="0.35">
      <c r="A25" s="17"/>
      <c r="B25" s="1491"/>
      <c r="C25" s="1508"/>
      <c r="D25" s="1503"/>
      <c r="E25" s="1491"/>
      <c r="F25" s="1508"/>
      <c r="G25" s="1497"/>
      <c r="H25" s="26"/>
      <c r="I25" s="361"/>
      <c r="AD25" s="1"/>
      <c r="AI25" s="1"/>
      <c r="AO25" s="1"/>
      <c r="AU25" s="1"/>
    </row>
    <row r="26" spans="1:47" x14ac:dyDescent="0.35">
      <c r="A26" s="1343" t="s">
        <v>29</v>
      </c>
      <c r="B26" s="1270">
        <v>0.62847222222222199</v>
      </c>
      <c r="C26" s="1288">
        <v>0.64236111111111005</v>
      </c>
      <c r="D26" s="1299">
        <v>0.656249999999998</v>
      </c>
      <c r="E26" s="1270">
        <v>0.66666666666666663</v>
      </c>
      <c r="F26" s="1288">
        <v>0.68055555555555547</v>
      </c>
      <c r="G26" s="1299">
        <v>0.69444444444444453</v>
      </c>
      <c r="H26" s="1344" t="s">
        <v>29</v>
      </c>
      <c r="I26" s="361"/>
      <c r="AD26" s="1"/>
      <c r="AI26" s="1"/>
      <c r="AO26" s="1"/>
      <c r="AU26" s="1"/>
    </row>
    <row r="27" spans="1:47" x14ac:dyDescent="0.35">
      <c r="A27" s="17"/>
      <c r="B27" s="1491"/>
      <c r="C27" s="1509"/>
      <c r="D27" s="1498"/>
      <c r="E27" s="1491"/>
      <c r="F27" s="1508"/>
      <c r="G27" s="1498"/>
      <c r="H27" s="26"/>
      <c r="I27" s="361"/>
      <c r="AD27" s="1"/>
      <c r="AI27" s="1"/>
      <c r="AO27" s="1"/>
      <c r="AU27" s="1"/>
    </row>
    <row r="28" spans="1:47" x14ac:dyDescent="0.35">
      <c r="A28" s="1341" t="s">
        <v>28</v>
      </c>
      <c r="B28" s="1288" t="s">
        <v>323</v>
      </c>
      <c r="C28" s="1299" t="s">
        <v>325</v>
      </c>
      <c r="D28" s="1310">
        <v>0.69444444444444375</v>
      </c>
      <c r="E28" s="1270" t="s">
        <v>332</v>
      </c>
      <c r="F28" s="1290">
        <v>0.72222222222222143</v>
      </c>
      <c r="G28" s="1270" t="s">
        <v>337</v>
      </c>
      <c r="H28" s="1342" t="s">
        <v>28</v>
      </c>
      <c r="I28" s="361"/>
      <c r="AD28" s="1"/>
      <c r="AI28" s="1"/>
      <c r="AO28" s="1"/>
      <c r="AU28" s="1"/>
    </row>
    <row r="29" spans="1:47" x14ac:dyDescent="0.35">
      <c r="A29" s="17"/>
      <c r="B29" s="1508"/>
      <c r="C29" s="1497"/>
      <c r="D29" s="1497"/>
      <c r="E29" s="1491"/>
      <c r="F29" s="1508"/>
      <c r="G29" s="1491"/>
      <c r="H29" s="26"/>
      <c r="I29" s="361"/>
      <c r="AD29" s="1"/>
      <c r="AI29" s="1"/>
      <c r="AO29" s="1"/>
      <c r="AU29" s="1"/>
    </row>
    <row r="30" spans="1:47" x14ac:dyDescent="0.35">
      <c r="A30" s="1343" t="s">
        <v>29</v>
      </c>
      <c r="B30" s="1288">
        <v>0.70833333333333259</v>
      </c>
      <c r="C30" s="1299">
        <v>0.72222222222222143</v>
      </c>
      <c r="D30" s="1299">
        <v>0.73611111111111027</v>
      </c>
      <c r="E30" s="1270">
        <v>0.74999999999999911</v>
      </c>
      <c r="F30" s="1297">
        <v>0.75694444444444453</v>
      </c>
      <c r="G30" s="1270">
        <v>0.76388888888888795</v>
      </c>
      <c r="H30" s="1344" t="s">
        <v>29</v>
      </c>
      <c r="I30" s="361"/>
      <c r="AD30" s="1"/>
      <c r="AI30" s="1"/>
      <c r="AO30" s="1"/>
      <c r="AU30" s="1"/>
    </row>
    <row r="31" spans="1:47" x14ac:dyDescent="0.35">
      <c r="A31" s="17"/>
      <c r="B31" s="1508"/>
      <c r="C31" s="1498"/>
      <c r="D31" s="1497"/>
      <c r="E31" s="1493"/>
      <c r="F31" s="1509" t="s">
        <v>170</v>
      </c>
      <c r="G31" s="1491"/>
      <c r="H31" s="26"/>
      <c r="I31" s="361"/>
      <c r="AD31" s="1"/>
      <c r="AI31" s="1"/>
      <c r="AO31" s="1"/>
      <c r="AU31" s="1"/>
    </row>
    <row r="32" spans="1:47" x14ac:dyDescent="0.35">
      <c r="A32" s="1341" t="s">
        <v>28</v>
      </c>
      <c r="B32" s="1297">
        <v>0.74305555555555547</v>
      </c>
      <c r="C32" s="1310">
        <v>0.75</v>
      </c>
      <c r="D32" s="1270" t="s">
        <v>328</v>
      </c>
      <c r="E32" s="1276">
        <v>0.77777777777777701</v>
      </c>
      <c r="F32" s="344"/>
      <c r="G32" s="1276">
        <v>0.79166666666666563</v>
      </c>
      <c r="H32" s="1342" t="s">
        <v>28</v>
      </c>
      <c r="I32" s="361"/>
      <c r="AD32" s="1"/>
      <c r="AI32" s="1"/>
      <c r="AO32" s="1"/>
      <c r="AU32" s="1"/>
    </row>
    <row r="33" spans="1:47" x14ac:dyDescent="0.35">
      <c r="A33" s="17"/>
      <c r="B33" s="1296" t="s">
        <v>172</v>
      </c>
      <c r="C33" s="1497"/>
      <c r="D33" s="1491"/>
      <c r="E33" s="1491"/>
      <c r="F33" s="546"/>
      <c r="G33" s="1496"/>
      <c r="H33" s="26"/>
      <c r="I33" s="361"/>
      <c r="AD33" s="1"/>
      <c r="AI33" s="1"/>
      <c r="AO33" s="1"/>
      <c r="AU33" s="1"/>
    </row>
    <row r="34" spans="1:47" x14ac:dyDescent="0.35">
      <c r="A34" s="1343" t="s">
        <v>29</v>
      </c>
      <c r="B34" s="312"/>
      <c r="C34" s="1299">
        <v>0.77777777777777679</v>
      </c>
      <c r="D34" s="1270">
        <v>0.79166666666666563</v>
      </c>
      <c r="E34" s="1270">
        <v>0.812499999999999</v>
      </c>
      <c r="F34" s="306"/>
      <c r="G34" s="1283">
        <v>0.81944444444444453</v>
      </c>
      <c r="H34" s="1344" t="s">
        <v>29</v>
      </c>
      <c r="I34" s="361"/>
      <c r="AD34" s="1"/>
      <c r="AI34" s="1"/>
      <c r="AO34" s="1"/>
      <c r="AU34" s="1"/>
    </row>
    <row r="35" spans="1:47" x14ac:dyDescent="0.35">
      <c r="A35" s="17"/>
      <c r="B35" s="319"/>
      <c r="C35" s="1498"/>
      <c r="D35" s="1493"/>
      <c r="E35" s="1493"/>
      <c r="F35" s="546"/>
      <c r="G35" s="1495" t="s">
        <v>141</v>
      </c>
      <c r="H35" s="26"/>
      <c r="I35" s="361"/>
      <c r="AD35" s="1"/>
      <c r="AI35" s="1"/>
      <c r="AO35" s="1"/>
      <c r="AU35" s="1"/>
    </row>
    <row r="36" spans="1:47" x14ac:dyDescent="0.35">
      <c r="A36" s="1341" t="s">
        <v>28</v>
      </c>
      <c r="B36" s="319"/>
      <c r="C36" s="1299" t="s">
        <v>326</v>
      </c>
      <c r="D36" s="1276">
        <v>0.83333333333333204</v>
      </c>
      <c r="E36" s="1299" t="s">
        <v>333</v>
      </c>
      <c r="F36" s="344"/>
      <c r="G36" s="344"/>
      <c r="H36" s="1342" t="s">
        <v>28</v>
      </c>
      <c r="I36" s="361"/>
      <c r="AD36" s="1"/>
      <c r="AI36" s="1"/>
      <c r="AO36" s="1"/>
      <c r="AU36" s="1"/>
    </row>
    <row r="37" spans="1:47" x14ac:dyDescent="0.35">
      <c r="A37" s="17"/>
      <c r="B37" s="312"/>
      <c r="C37" s="1497"/>
      <c r="D37" s="1491"/>
      <c r="E37" s="1497"/>
      <c r="F37" s="546"/>
      <c r="G37" s="546"/>
      <c r="H37" s="26"/>
      <c r="I37" s="361"/>
      <c r="AD37" s="1"/>
      <c r="AI37" s="1"/>
      <c r="AO37" s="1"/>
      <c r="AU37" s="1"/>
    </row>
    <row r="38" spans="1:47" x14ac:dyDescent="0.35">
      <c r="A38" s="1343" t="s">
        <v>29</v>
      </c>
      <c r="B38" s="312"/>
      <c r="C38" s="1299">
        <v>0.84027777777777779</v>
      </c>
      <c r="D38" s="1270">
        <v>0.86111111111111116</v>
      </c>
      <c r="E38" s="1299">
        <v>0.88194444444444453</v>
      </c>
      <c r="F38" s="306"/>
      <c r="G38" s="306"/>
      <c r="H38" s="1344" t="s">
        <v>29</v>
      </c>
      <c r="I38" s="361"/>
      <c r="AD38" s="1"/>
      <c r="AI38" s="1"/>
      <c r="AO38" s="1"/>
      <c r="AU38" s="1"/>
    </row>
    <row r="39" spans="1:47" x14ac:dyDescent="0.35">
      <c r="A39" s="17"/>
      <c r="B39" s="312"/>
      <c r="C39" s="1499"/>
      <c r="D39" s="1494"/>
      <c r="E39" s="1497"/>
      <c r="F39" s="546"/>
      <c r="G39" s="546"/>
      <c r="H39" s="26"/>
      <c r="I39" s="361"/>
      <c r="AD39" s="1"/>
      <c r="AI39" s="1"/>
      <c r="AO39" s="1"/>
      <c r="AU39" s="1"/>
    </row>
    <row r="40" spans="1:47" x14ac:dyDescent="0.35">
      <c r="A40" s="17"/>
      <c r="B40" s="312"/>
      <c r="C40" s="1499"/>
      <c r="D40" s="1493"/>
      <c r="E40" s="1497"/>
      <c r="F40" s="546"/>
      <c r="G40" s="546"/>
      <c r="H40" s="26"/>
      <c r="I40" s="361"/>
      <c r="AD40" s="1"/>
      <c r="AI40" s="1"/>
      <c r="AO40" s="1"/>
      <c r="AU40" s="1"/>
    </row>
    <row r="41" spans="1:47" x14ac:dyDescent="0.35">
      <c r="A41" s="1341" t="s">
        <v>28</v>
      </c>
      <c r="B41" s="312"/>
      <c r="C41" s="1310">
        <v>0.875</v>
      </c>
      <c r="D41" s="1299" t="s">
        <v>329</v>
      </c>
      <c r="E41" s="1310">
        <v>0.91666666666666585</v>
      </c>
      <c r="F41" s="344"/>
      <c r="G41" s="344"/>
      <c r="H41" s="1342" t="s">
        <v>28</v>
      </c>
      <c r="I41" s="361"/>
      <c r="AD41" s="1"/>
      <c r="AI41" s="1"/>
      <c r="AO41" s="1"/>
      <c r="AU41" s="1"/>
    </row>
    <row r="42" spans="1:47" x14ac:dyDescent="0.35">
      <c r="A42" s="17"/>
      <c r="B42" s="312"/>
      <c r="C42" s="1500"/>
      <c r="D42" s="1499"/>
      <c r="E42" s="1500"/>
      <c r="F42" s="546"/>
      <c r="G42" s="546"/>
      <c r="H42" s="26"/>
      <c r="I42" s="361"/>
      <c r="AD42" s="1"/>
      <c r="AI42" s="1"/>
      <c r="AO42" s="1"/>
      <c r="AU42" s="1"/>
    </row>
    <row r="43" spans="1:47" x14ac:dyDescent="0.35">
      <c r="A43" s="1343" t="s">
        <v>29</v>
      </c>
      <c r="B43" s="312"/>
      <c r="C43" s="1299">
        <v>0.90277777777777779</v>
      </c>
      <c r="D43" s="1299">
        <v>0.92361111111111116</v>
      </c>
      <c r="E43" s="1299">
        <v>0.94444444444444453</v>
      </c>
      <c r="F43" s="306"/>
      <c r="G43" s="306"/>
      <c r="H43" s="1344" t="s">
        <v>29</v>
      </c>
      <c r="I43" s="361"/>
      <c r="AD43" s="1"/>
      <c r="AI43" s="1"/>
      <c r="AO43" s="1"/>
      <c r="AU43" s="1"/>
    </row>
    <row r="44" spans="1:47" x14ac:dyDescent="0.35">
      <c r="A44" s="17"/>
      <c r="B44" s="312"/>
      <c r="C44" s="1500"/>
      <c r="D44" s="1501"/>
      <c r="E44" s="1497"/>
      <c r="F44" s="546"/>
      <c r="G44" s="546"/>
      <c r="H44" s="26"/>
      <c r="I44" s="361"/>
      <c r="AD44" s="1"/>
      <c r="AI44" s="1"/>
      <c r="AO44" s="1"/>
      <c r="AU44" s="1"/>
    </row>
    <row r="45" spans="1:47" x14ac:dyDescent="0.35">
      <c r="A45" s="1341" t="s">
        <v>28</v>
      </c>
      <c r="B45" s="312"/>
      <c r="C45" s="1310">
        <v>0.9375</v>
      </c>
      <c r="D45" s="1310">
        <v>0.95833333333333337</v>
      </c>
      <c r="E45" s="1310">
        <v>0.97916666666666663</v>
      </c>
      <c r="F45" s="344"/>
      <c r="G45" s="344"/>
      <c r="H45" s="1342" t="s">
        <v>28</v>
      </c>
      <c r="I45" s="4"/>
      <c r="AD45" s="1"/>
      <c r="AI45" s="1"/>
      <c r="AO45" s="1"/>
      <c r="AU45" s="1"/>
    </row>
    <row r="46" spans="1:47" x14ac:dyDescent="0.35">
      <c r="A46" s="17"/>
      <c r="B46" s="312"/>
      <c r="C46" s="1501"/>
      <c r="D46" s="1500"/>
      <c r="E46" s="1497"/>
      <c r="F46" s="546"/>
      <c r="G46" s="546"/>
      <c r="H46" s="26"/>
      <c r="I46" s="330"/>
      <c r="AD46" s="1"/>
      <c r="AI46" s="1"/>
      <c r="AO46" s="1"/>
      <c r="AU46" s="1"/>
    </row>
    <row r="47" spans="1:47" x14ac:dyDescent="0.35">
      <c r="A47" s="1343" t="s">
        <v>29</v>
      </c>
      <c r="B47" s="312"/>
      <c r="C47" s="1299">
        <v>0.96527777777777779</v>
      </c>
      <c r="D47" s="1299">
        <v>0.98611111111111116</v>
      </c>
      <c r="E47" s="1506">
        <v>1.0034722222222221</v>
      </c>
      <c r="F47" s="306"/>
      <c r="G47" s="306"/>
      <c r="H47" s="1344" t="s">
        <v>29</v>
      </c>
      <c r="I47" s="4"/>
      <c r="AD47" s="1"/>
      <c r="AI47" s="1"/>
      <c r="AO47" s="1"/>
      <c r="AU47" s="1"/>
    </row>
    <row r="48" spans="1:47" x14ac:dyDescent="0.35">
      <c r="A48" s="17"/>
      <c r="B48" s="312"/>
      <c r="C48" s="1501"/>
      <c r="D48" s="1501"/>
      <c r="E48" s="1497"/>
      <c r="F48" s="546"/>
      <c r="G48" s="546"/>
      <c r="H48" s="26"/>
      <c r="I48" s="32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330"/>
      <c r="X48" s="330"/>
      <c r="AB48" s="323"/>
      <c r="AC48" s="330"/>
      <c r="AD48" s="1"/>
      <c r="AH48" s="519"/>
      <c r="AI48" s="1"/>
      <c r="AM48" s="323"/>
      <c r="AN48" s="330"/>
      <c r="AO48" s="1"/>
      <c r="AT48" s="519"/>
      <c r="AU48" s="1"/>
    </row>
    <row r="49" spans="1:48" x14ac:dyDescent="0.35">
      <c r="A49" s="1341" t="s">
        <v>28</v>
      </c>
      <c r="B49" s="312"/>
      <c r="C49" s="1502">
        <v>0.98958333333333337</v>
      </c>
      <c r="D49" s="1502">
        <v>1.0104166666666667</v>
      </c>
      <c r="E49" s="1507"/>
      <c r="F49" s="344"/>
      <c r="G49" s="344"/>
      <c r="H49" s="1342" t="s">
        <v>28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AB49" s="4"/>
      <c r="AC49" s="330"/>
      <c r="AD49" s="1"/>
      <c r="AH49" s="519"/>
      <c r="AI49" s="1"/>
      <c r="AM49" s="4"/>
      <c r="AN49" s="330"/>
      <c r="AO49" s="1"/>
      <c r="AT49" s="519"/>
      <c r="AU49" s="1"/>
    </row>
    <row r="50" spans="1:48" x14ac:dyDescent="0.35">
      <c r="A50" s="17"/>
      <c r="B50" s="312"/>
      <c r="C50" s="1311"/>
      <c r="D50" s="1501"/>
      <c r="E50" s="1497"/>
      <c r="F50" s="546"/>
      <c r="G50" s="546"/>
      <c r="H50" s="26"/>
      <c r="I50" s="330"/>
      <c r="J50" s="4"/>
      <c r="K50" s="4"/>
      <c r="L50" s="4"/>
      <c r="M50" s="4"/>
      <c r="N50" s="4"/>
      <c r="O50" s="4"/>
      <c r="P50" s="4"/>
      <c r="Q50" s="4"/>
      <c r="R50" s="4"/>
      <c r="S50" s="323"/>
      <c r="T50" s="323"/>
      <c r="U50" s="323"/>
      <c r="V50" s="323"/>
      <c r="W50" s="323"/>
      <c r="X50" s="323"/>
      <c r="Y50" s="323"/>
      <c r="Z50" s="323"/>
      <c r="AA50" s="323"/>
      <c r="AB50" s="330"/>
      <c r="AC50" s="330"/>
      <c r="AD50" s="1"/>
      <c r="AH50" s="519"/>
      <c r="AI50" s="1"/>
      <c r="AM50" s="330"/>
      <c r="AN50" s="330"/>
      <c r="AO50" s="1"/>
      <c r="AT50" s="519"/>
      <c r="AU50" s="1"/>
    </row>
    <row r="51" spans="1:48" x14ac:dyDescent="0.35">
      <c r="A51" s="35"/>
      <c r="B51" s="319"/>
      <c r="C51" s="1503"/>
      <c r="D51" s="1503"/>
      <c r="E51" s="1313"/>
      <c r="F51" s="306"/>
      <c r="G51" s="306"/>
      <c r="H51" s="38"/>
      <c r="I51" s="4"/>
      <c r="J51" s="4"/>
      <c r="K51" s="4"/>
      <c r="L51" s="4"/>
      <c r="M51" s="4"/>
      <c r="N51" s="4"/>
      <c r="O51" s="4"/>
      <c r="P51" s="4"/>
      <c r="Q51" s="4"/>
      <c r="R51" s="4"/>
      <c r="S51" s="323"/>
      <c r="T51" s="323"/>
      <c r="U51" s="323"/>
      <c r="V51" s="323"/>
      <c r="W51" s="4"/>
      <c r="X51" s="4"/>
      <c r="Y51" s="4"/>
      <c r="Z51" s="4"/>
      <c r="AA51" s="4"/>
      <c r="AB51" s="4"/>
      <c r="AC51" s="330"/>
      <c r="AD51" s="1"/>
      <c r="AH51" s="519"/>
      <c r="AI51" s="1"/>
      <c r="AM51" s="4"/>
      <c r="AN51" s="330"/>
      <c r="AO51" s="1"/>
      <c r="AT51" s="519"/>
      <c r="AU51" s="1"/>
    </row>
    <row r="52" spans="1:48" x14ac:dyDescent="0.35">
      <c r="A52" s="35"/>
      <c r="B52" s="306"/>
      <c r="C52" s="1503"/>
      <c r="D52" s="1503"/>
      <c r="E52" s="1313"/>
      <c r="F52" s="555"/>
      <c r="G52" s="555"/>
      <c r="H52" s="38"/>
      <c r="I52" s="32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323"/>
      <c r="AC52" s="330"/>
      <c r="AD52" s="1"/>
      <c r="AH52" s="519"/>
      <c r="AI52" s="1"/>
      <c r="AM52" s="323"/>
      <c r="AN52" s="330"/>
      <c r="AO52" s="1"/>
      <c r="AT52" s="519"/>
      <c r="AU52" s="1"/>
    </row>
    <row r="53" spans="1:48" x14ac:dyDescent="0.35">
      <c r="A53" s="35"/>
      <c r="B53" s="312"/>
      <c r="C53" s="1311"/>
      <c r="D53" s="1311"/>
      <c r="E53" s="1311"/>
      <c r="F53" s="312"/>
      <c r="G53" s="312"/>
      <c r="H53" s="38"/>
      <c r="I53" s="4"/>
      <c r="J53" s="323"/>
      <c r="K53" s="323"/>
      <c r="L53" s="323"/>
      <c r="M53" s="323"/>
      <c r="N53" s="323"/>
      <c r="O53" s="323"/>
      <c r="P53" s="323"/>
      <c r="Q53" s="323"/>
      <c r="R53" s="323"/>
      <c r="S53" s="324"/>
      <c r="T53" s="324"/>
      <c r="U53" s="324"/>
      <c r="V53" s="324"/>
      <c r="W53" s="323"/>
      <c r="X53" s="323"/>
      <c r="Y53" s="323"/>
      <c r="Z53" s="323"/>
      <c r="AA53" s="323"/>
      <c r="AB53" s="4"/>
      <c r="AC53" s="330"/>
      <c r="AD53" s="1"/>
      <c r="AH53" s="519"/>
      <c r="AI53" s="1"/>
      <c r="AM53" s="4"/>
      <c r="AN53" s="330"/>
      <c r="AO53" s="1"/>
      <c r="AT53" s="519"/>
      <c r="AU53" s="1"/>
    </row>
    <row r="54" spans="1:48" x14ac:dyDescent="0.35">
      <c r="A54" s="69" t="s">
        <v>27</v>
      </c>
      <c r="B54" s="404"/>
      <c r="C54" s="1504">
        <v>1.0138888888888888</v>
      </c>
      <c r="D54" s="1505">
        <v>1.0347222222222221</v>
      </c>
      <c r="E54" s="1318" t="s">
        <v>176</v>
      </c>
      <c r="F54" s="558"/>
      <c r="G54" s="558"/>
      <c r="H54" s="74" t="s">
        <v>27</v>
      </c>
      <c r="I54" s="4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410"/>
      <c r="U54" s="410"/>
      <c r="V54" s="410"/>
      <c r="W54" s="410"/>
      <c r="X54" s="323"/>
      <c r="Y54" s="323"/>
      <c r="Z54" s="323"/>
      <c r="AA54" s="323"/>
      <c r="AB54" s="323"/>
      <c r="AC54" s="324"/>
      <c r="AN54" s="324"/>
    </row>
    <row r="55" spans="1:48" x14ac:dyDescent="0.35">
      <c r="A55" s="324"/>
      <c r="B55" s="407"/>
      <c r="C55" s="407"/>
      <c r="D55" s="407"/>
      <c r="E55" s="407"/>
      <c r="F55" s="407"/>
      <c r="G55" s="407"/>
      <c r="H55" s="407"/>
      <c r="I55" s="324"/>
      <c r="J55" s="324"/>
      <c r="K55" s="323"/>
      <c r="L55" s="323"/>
      <c r="M55" s="323"/>
      <c r="N55" s="323"/>
      <c r="O55" s="323"/>
      <c r="P55" s="323"/>
      <c r="Q55" s="323"/>
      <c r="R55" s="75"/>
      <c r="S55" s="75"/>
      <c r="T55" s="75"/>
      <c r="U55" s="410"/>
      <c r="V55" s="410"/>
      <c r="W55" s="410"/>
      <c r="X55" s="410"/>
      <c r="Y55" s="4"/>
      <c r="Z55" s="4"/>
      <c r="AA55" s="4"/>
      <c r="AB55" s="4"/>
      <c r="AC55" s="4"/>
      <c r="AD55" s="410"/>
      <c r="AE55" s="330"/>
      <c r="AI55" s="1"/>
      <c r="AJ55" s="519"/>
      <c r="AO55" s="410"/>
      <c r="AP55" s="330"/>
      <c r="AU55" s="1"/>
      <c r="AV55" s="519"/>
    </row>
    <row r="56" spans="1:48" s="1329" customFormat="1" ht="25.9" customHeight="1" x14ac:dyDescent="0.7">
      <c r="A56" s="1345" t="s">
        <v>177</v>
      </c>
      <c r="B56" s="1346"/>
      <c r="C56" s="1346"/>
      <c r="D56" s="1346"/>
      <c r="E56" s="1346"/>
      <c r="F56" s="1346"/>
      <c r="G56" s="1346" t="s">
        <v>178</v>
      </c>
      <c r="H56" s="1346"/>
      <c r="I56" s="1346"/>
      <c r="J56" s="1346"/>
      <c r="K56" s="1346"/>
      <c r="L56" s="1346"/>
      <c r="M56" s="1346"/>
      <c r="N56" s="1346"/>
      <c r="O56" s="1346"/>
      <c r="P56" s="1630" t="s">
        <v>182</v>
      </c>
      <c r="Q56" s="1631"/>
      <c r="R56" s="1328"/>
      <c r="S56" s="1328"/>
      <c r="T56" s="1328"/>
      <c r="AE56" s="1330"/>
      <c r="AJ56" s="1330"/>
      <c r="AP56" s="1330"/>
      <c r="AV56" s="1330"/>
    </row>
    <row r="57" spans="1:48" s="1332" customFormat="1" ht="25.9" customHeight="1" x14ac:dyDescent="0.6">
      <c r="A57" s="1347" t="s">
        <v>80</v>
      </c>
      <c r="B57" s="1348"/>
      <c r="C57" s="1349" t="s">
        <v>80</v>
      </c>
      <c r="D57" s="1350"/>
      <c r="E57" s="1351"/>
      <c r="F57" s="1352" t="s">
        <v>81</v>
      </c>
      <c r="G57" s="1348"/>
      <c r="H57" s="1348"/>
      <c r="I57" s="1348"/>
      <c r="J57" s="1353"/>
      <c r="K57" s="1352" t="s">
        <v>82</v>
      </c>
      <c r="L57" s="1348"/>
      <c r="M57" s="1353"/>
      <c r="N57" s="1354"/>
      <c r="O57" s="1350"/>
      <c r="P57" s="1350"/>
      <c r="Q57" s="1355"/>
      <c r="R57" s="1331"/>
      <c r="S57" s="1331"/>
      <c r="T57" s="1331"/>
      <c r="AE57" s="1333"/>
      <c r="AJ57" s="1333"/>
      <c r="AP57" s="1333"/>
      <c r="AV57" s="1333"/>
    </row>
    <row r="58" spans="1:48" s="1332" customFormat="1" ht="25.9" customHeight="1" x14ac:dyDescent="0.6">
      <c r="A58" s="1356" t="s">
        <v>83</v>
      </c>
      <c r="B58" s="1357" t="s">
        <v>84</v>
      </c>
      <c r="C58" s="1358" t="s">
        <v>85</v>
      </c>
      <c r="D58" s="1359" t="s">
        <v>86</v>
      </c>
      <c r="E58" s="1360"/>
      <c r="F58" s="1361" t="s">
        <v>80</v>
      </c>
      <c r="G58" s="1362"/>
      <c r="H58" s="1359" t="s">
        <v>82</v>
      </c>
      <c r="I58" s="1363" t="s">
        <v>86</v>
      </c>
      <c r="J58" s="1360"/>
      <c r="K58" s="1358" t="s">
        <v>82</v>
      </c>
      <c r="L58" s="1362"/>
      <c r="M58" s="1364" t="s">
        <v>87</v>
      </c>
      <c r="N58" s="1365" t="s">
        <v>88</v>
      </c>
      <c r="O58" s="1365" t="s">
        <v>89</v>
      </c>
      <c r="P58" s="1357" t="s">
        <v>90</v>
      </c>
      <c r="Q58" s="1366" t="s">
        <v>91</v>
      </c>
      <c r="R58" s="1334"/>
      <c r="U58" s="1335"/>
      <c r="AE58" s="1333"/>
      <c r="AJ58" s="1333"/>
      <c r="AP58" s="1333"/>
      <c r="AV58" s="1333"/>
    </row>
    <row r="59" spans="1:48" s="1332" customFormat="1" ht="25.9" customHeight="1" x14ac:dyDescent="0.6">
      <c r="A59" s="1475">
        <v>1</v>
      </c>
      <c r="B59" s="1367">
        <v>251</v>
      </c>
      <c r="C59" s="1368">
        <f>SUM(D59-TIME( ,8, ))</f>
        <v>0.28263888888888894</v>
      </c>
      <c r="D59" s="1369">
        <v>0.28819444444444448</v>
      </c>
      <c r="E59" s="1370" t="s">
        <v>27</v>
      </c>
      <c r="F59" s="1620" t="s">
        <v>92</v>
      </c>
      <c r="G59" s="1621"/>
      <c r="H59" s="1621"/>
      <c r="I59" s="1621"/>
      <c r="J59" s="1622"/>
      <c r="K59" s="1368">
        <v>0.5</v>
      </c>
      <c r="L59" s="1371" t="s">
        <v>93</v>
      </c>
      <c r="M59" s="1372">
        <f t="shared" ref="M59:M67" si="0">SUM(K59+TIME( ,0, ))</f>
        <v>0.5</v>
      </c>
      <c r="N59" s="1373">
        <f t="shared" ref="N59:N67" si="1">(M59-C59)</f>
        <v>0.21736111111111106</v>
      </c>
      <c r="O59" s="1374">
        <f t="shared" ref="O59:O63" si="2">SUM(N59-P59)</f>
        <v>0.21736111111111106</v>
      </c>
      <c r="P59" s="1375">
        <v>0</v>
      </c>
      <c r="Q59" s="1376"/>
      <c r="R59" s="1334"/>
      <c r="S59" s="1336"/>
      <c r="T59" s="1336"/>
      <c r="U59" s="1335"/>
      <c r="V59" s="1335"/>
      <c r="W59" s="1335"/>
      <c r="X59" s="1335"/>
      <c r="AE59" s="1333"/>
      <c r="AJ59" s="1333"/>
      <c r="AP59" s="1333"/>
      <c r="AV59" s="1333"/>
    </row>
    <row r="60" spans="1:48" s="1332" customFormat="1" ht="25.9" customHeight="1" x14ac:dyDescent="0.6">
      <c r="A60" s="1476">
        <v>2</v>
      </c>
      <c r="B60" s="1377">
        <v>252</v>
      </c>
      <c r="C60" s="1378">
        <f>SUM(D60-TIME( ,8, ))</f>
        <v>0.29652777777777778</v>
      </c>
      <c r="D60" s="1379">
        <v>0.30208333333333331</v>
      </c>
      <c r="E60" s="1380" t="s">
        <v>27</v>
      </c>
      <c r="F60" s="1627" t="s">
        <v>92</v>
      </c>
      <c r="G60" s="1628"/>
      <c r="H60" s="1628"/>
      <c r="I60" s="1628"/>
      <c r="J60" s="1629"/>
      <c r="K60" s="1378">
        <v>0.4861111111111111</v>
      </c>
      <c r="L60" s="1381" t="s">
        <v>93</v>
      </c>
      <c r="M60" s="1382">
        <f t="shared" si="0"/>
        <v>0.4861111111111111</v>
      </c>
      <c r="N60" s="1383">
        <f t="shared" si="1"/>
        <v>0.18958333333333333</v>
      </c>
      <c r="O60" s="1384">
        <f t="shared" si="2"/>
        <v>0.18958333333333333</v>
      </c>
      <c r="P60" s="1385">
        <v>0</v>
      </c>
      <c r="Q60" s="1386"/>
      <c r="R60" s="1334"/>
      <c r="S60" s="1336"/>
      <c r="T60" s="1336"/>
      <c r="U60" s="1337"/>
      <c r="V60" s="1337"/>
      <c r="W60" s="1337"/>
      <c r="X60" s="1337"/>
      <c r="AD60" s="1335"/>
      <c r="AE60" s="1333"/>
      <c r="AJ60" s="1333"/>
      <c r="AO60" s="1335"/>
      <c r="AP60" s="1333"/>
      <c r="AV60" s="1333"/>
    </row>
    <row r="61" spans="1:48" s="1332" customFormat="1" ht="25.9" customHeight="1" x14ac:dyDescent="0.6">
      <c r="A61" s="1477">
        <v>3</v>
      </c>
      <c r="B61" s="1387">
        <v>253</v>
      </c>
      <c r="C61" s="1388">
        <f>SUM(D61-TIME( ,8, ))</f>
        <v>0.30347222222222225</v>
      </c>
      <c r="D61" s="1389">
        <v>0.30902777777777779</v>
      </c>
      <c r="E61" s="1390" t="s">
        <v>27</v>
      </c>
      <c r="F61" s="1388">
        <v>0.39583333333333331</v>
      </c>
      <c r="G61" s="1391" t="s">
        <v>93</v>
      </c>
      <c r="H61" s="1389">
        <f>SUM(I61-TIME( ,0, ))</f>
        <v>0.4861111111111111</v>
      </c>
      <c r="I61" s="1392">
        <v>0.4861111111111111</v>
      </c>
      <c r="J61" s="1390" t="s">
        <v>93</v>
      </c>
      <c r="K61" s="1388">
        <v>0.65277777777777779</v>
      </c>
      <c r="L61" s="1391" t="s">
        <v>93</v>
      </c>
      <c r="M61" s="1393">
        <f t="shared" si="0"/>
        <v>0.65277777777777779</v>
      </c>
      <c r="N61" s="1394">
        <f t="shared" si="1"/>
        <v>0.34930555555555554</v>
      </c>
      <c r="O61" s="1395">
        <f t="shared" si="2"/>
        <v>0.25902777777777775</v>
      </c>
      <c r="P61" s="1396">
        <f t="shared" ref="P61:P67" si="3">SUM(H61-F61)</f>
        <v>9.027777777777779E-2</v>
      </c>
      <c r="Q61" s="1397"/>
      <c r="R61" s="1334"/>
      <c r="S61" s="1336"/>
      <c r="T61" s="1336"/>
      <c r="U61" s="1338"/>
      <c r="V61" s="1338"/>
      <c r="W61" s="1338"/>
      <c r="X61" s="1338"/>
      <c r="AD61" s="1337"/>
      <c r="AE61" s="1333"/>
      <c r="AJ61" s="1333"/>
      <c r="AO61" s="1337"/>
      <c r="AP61" s="1333"/>
      <c r="AV61" s="1333"/>
    </row>
    <row r="62" spans="1:48" s="1332" customFormat="1" ht="25.9" customHeight="1" x14ac:dyDescent="0.6">
      <c r="A62" s="1478">
        <v>4</v>
      </c>
      <c r="B62" s="1367">
        <v>254</v>
      </c>
      <c r="C62" s="1368">
        <f>SUM(D62-TIME( ,8, ))</f>
        <v>0.49444444444444446</v>
      </c>
      <c r="D62" s="1369">
        <v>0.5</v>
      </c>
      <c r="E62" s="1375" t="s">
        <v>27</v>
      </c>
      <c r="F62" s="1368">
        <v>0.63888888888888895</v>
      </c>
      <c r="G62" s="1398" t="s">
        <v>93</v>
      </c>
      <c r="H62" s="1369">
        <f>SUM(I62-TIME( ,0, ))</f>
        <v>0.73611111111111116</v>
      </c>
      <c r="I62" s="1399">
        <v>0.73611111111111116</v>
      </c>
      <c r="J62" s="1370" t="s">
        <v>93</v>
      </c>
      <c r="K62" s="1368">
        <v>0.83680555555555547</v>
      </c>
      <c r="L62" s="1399" t="s">
        <v>27</v>
      </c>
      <c r="M62" s="1372">
        <f t="shared" si="0"/>
        <v>0.83680555555555547</v>
      </c>
      <c r="N62" s="1373">
        <f t="shared" si="1"/>
        <v>0.34236111111111101</v>
      </c>
      <c r="O62" s="1374">
        <f t="shared" si="2"/>
        <v>0.2451388888888888</v>
      </c>
      <c r="P62" s="1375">
        <f t="shared" si="3"/>
        <v>9.722222222222221E-2</v>
      </c>
      <c r="Q62" s="1376"/>
      <c r="R62" s="1334"/>
      <c r="S62" s="1336"/>
      <c r="T62" s="1336"/>
      <c r="U62" s="1339"/>
      <c r="V62" s="1339"/>
      <c r="W62" s="1339"/>
      <c r="X62" s="1339"/>
      <c r="Y62" s="1337"/>
      <c r="Z62" s="1337"/>
      <c r="AA62" s="1337"/>
      <c r="AB62" s="1337"/>
      <c r="AC62" s="1337"/>
      <c r="AD62" s="1339"/>
      <c r="AE62" s="1333"/>
      <c r="AJ62" s="1333"/>
      <c r="AO62" s="1339"/>
      <c r="AP62" s="1333"/>
      <c r="AV62" s="1333"/>
    </row>
    <row r="63" spans="1:48" s="1332" customFormat="1" ht="25.9" customHeight="1" x14ac:dyDescent="0.6">
      <c r="A63" s="1479">
        <v>5</v>
      </c>
      <c r="B63" s="1400">
        <v>255</v>
      </c>
      <c r="C63" s="1401">
        <f>SUM(D63-TIME( ,3, ))</f>
        <v>0.49791666666666667</v>
      </c>
      <c r="D63" s="1402">
        <v>0.5</v>
      </c>
      <c r="E63" s="1403" t="s">
        <v>93</v>
      </c>
      <c r="F63" s="1401">
        <v>0.66666666666666663</v>
      </c>
      <c r="G63" s="1404" t="s">
        <v>93</v>
      </c>
      <c r="H63" s="1405">
        <f>SUM(I63-TIME( ,0, ))</f>
        <v>0.70833333333333337</v>
      </c>
      <c r="I63" s="1402">
        <v>0.70833333333333337</v>
      </c>
      <c r="J63" s="1403" t="s">
        <v>93</v>
      </c>
      <c r="K63" s="1401">
        <v>0.85416666666666663</v>
      </c>
      <c r="L63" s="1406" t="s">
        <v>93</v>
      </c>
      <c r="M63" s="1407">
        <f t="shared" si="0"/>
        <v>0.85416666666666663</v>
      </c>
      <c r="N63" s="1408">
        <f t="shared" si="1"/>
        <v>0.35624999999999996</v>
      </c>
      <c r="O63" s="1409">
        <f t="shared" si="2"/>
        <v>0.31458333333333321</v>
      </c>
      <c r="P63" s="1410">
        <f t="shared" si="3"/>
        <v>4.1666666666666741E-2</v>
      </c>
      <c r="Q63" s="1411" t="s">
        <v>91</v>
      </c>
      <c r="R63" s="1334"/>
      <c r="S63" s="1336"/>
      <c r="T63" s="1336"/>
      <c r="U63" s="1339"/>
      <c r="V63" s="1339"/>
      <c r="W63" s="1339"/>
      <c r="X63" s="1339"/>
      <c r="Y63" s="1338"/>
      <c r="Z63" s="1338"/>
      <c r="AA63" s="1338"/>
      <c r="AB63" s="1338"/>
      <c r="AC63" s="1338"/>
      <c r="AD63" s="1339"/>
      <c r="AE63" s="1333"/>
      <c r="AJ63" s="1333"/>
      <c r="AO63" s="1339"/>
      <c r="AP63" s="1333"/>
      <c r="AV63" s="1333"/>
    </row>
    <row r="64" spans="1:48" s="1332" customFormat="1" ht="25.9" customHeight="1" x14ac:dyDescent="0.6">
      <c r="A64" s="1480">
        <v>6</v>
      </c>
      <c r="B64" s="1412">
        <v>256</v>
      </c>
      <c r="C64" s="1413">
        <f>SUM(D64-TIME( ,3, ))</f>
        <v>0.5395833333333333</v>
      </c>
      <c r="D64" s="1414">
        <v>0.54166666666666663</v>
      </c>
      <c r="E64" s="1415" t="s">
        <v>93</v>
      </c>
      <c r="F64" s="1416">
        <v>0.70833333333333337</v>
      </c>
      <c r="G64" s="1417" t="s">
        <v>93</v>
      </c>
      <c r="H64" s="1414">
        <f>SUM(I64-TIME( ,0, ))</f>
        <v>0.76388888888888884</v>
      </c>
      <c r="I64" s="1414">
        <v>0.76388888888888884</v>
      </c>
      <c r="J64" s="1418" t="s">
        <v>93</v>
      </c>
      <c r="K64" s="1413">
        <v>0.89583333333333337</v>
      </c>
      <c r="L64" s="1419" t="s">
        <v>93</v>
      </c>
      <c r="M64" s="1420">
        <f>SUM(K64+TIME( ,0, ))</f>
        <v>0.89583333333333337</v>
      </c>
      <c r="N64" s="1416">
        <f t="shared" si="1"/>
        <v>0.35625000000000007</v>
      </c>
      <c r="O64" s="1421">
        <f>SUM(N64-P64)</f>
        <v>0.3006944444444446</v>
      </c>
      <c r="P64" s="1422">
        <f t="shared" si="3"/>
        <v>5.5555555555555469E-2</v>
      </c>
      <c r="Q64" s="1423" t="s">
        <v>91</v>
      </c>
      <c r="R64" s="1334"/>
      <c r="S64" s="1336"/>
      <c r="T64" s="1336"/>
      <c r="U64" s="1339"/>
      <c r="V64" s="1339"/>
      <c r="W64" s="1339"/>
      <c r="X64" s="1339"/>
      <c r="Y64" s="1339"/>
      <c r="Z64" s="1339"/>
      <c r="AA64" s="1339"/>
      <c r="AB64" s="1339"/>
      <c r="AC64" s="1339"/>
      <c r="AD64" s="1339"/>
      <c r="AE64" s="1333"/>
      <c r="AJ64" s="1333"/>
      <c r="AO64" s="1339"/>
      <c r="AP64" s="1333"/>
      <c r="AV64" s="1333"/>
    </row>
    <row r="65" spans="1:48" s="1332" customFormat="1" ht="25.9" customHeight="1" x14ac:dyDescent="0.6">
      <c r="A65" s="1481">
        <v>7</v>
      </c>
      <c r="B65" s="1424">
        <v>257</v>
      </c>
      <c r="C65" s="1425">
        <f>SUM(D65-TIME( ,3, ))</f>
        <v>0.60902777777777772</v>
      </c>
      <c r="D65" s="1426">
        <v>0.61111111111111105</v>
      </c>
      <c r="E65" s="1427" t="s">
        <v>93</v>
      </c>
      <c r="F65" s="1425">
        <v>0.76388888888888884</v>
      </c>
      <c r="G65" s="1428" t="s">
        <v>93</v>
      </c>
      <c r="H65" s="1429">
        <f>SUM(I65-TIME( ,0, ))</f>
        <v>0.85416666666666663</v>
      </c>
      <c r="I65" s="1426">
        <v>0.85416666666666663</v>
      </c>
      <c r="J65" s="1427" t="s">
        <v>93</v>
      </c>
      <c r="K65" s="1425">
        <v>1.0208333333333333</v>
      </c>
      <c r="L65" s="1426" t="s">
        <v>27</v>
      </c>
      <c r="M65" s="1430">
        <f t="shared" si="0"/>
        <v>1.0208333333333333</v>
      </c>
      <c r="N65" s="1431">
        <f t="shared" si="1"/>
        <v>0.41180555555555554</v>
      </c>
      <c r="O65" s="1432">
        <f t="shared" ref="O65" si="4">SUM(N65-P65)</f>
        <v>0.32152777777777775</v>
      </c>
      <c r="P65" s="1433">
        <f t="shared" si="3"/>
        <v>9.027777777777779E-2</v>
      </c>
      <c r="Q65" s="1434" t="s">
        <v>91</v>
      </c>
      <c r="R65" s="1334"/>
      <c r="S65" s="1336"/>
      <c r="T65" s="1336"/>
      <c r="U65" s="1339"/>
      <c r="V65" s="1339"/>
      <c r="W65" s="1339"/>
      <c r="X65" s="1339"/>
      <c r="Y65" s="1335"/>
      <c r="Z65" s="1335"/>
      <c r="AA65" s="1335"/>
      <c r="AB65" s="1335"/>
      <c r="AC65" s="1335"/>
      <c r="AD65" s="1338"/>
      <c r="AE65" s="1333"/>
      <c r="AJ65" s="1333"/>
      <c r="AO65" s="1338"/>
      <c r="AP65" s="1333"/>
      <c r="AV65" s="1333"/>
    </row>
    <row r="66" spans="1:48" s="1332" customFormat="1" ht="25.9" customHeight="1" x14ac:dyDescent="0.6">
      <c r="A66" s="1482">
        <v>8</v>
      </c>
      <c r="B66" s="1377">
        <v>258</v>
      </c>
      <c r="C66" s="1378">
        <f>SUM(D66-TIME( ,3, ))</f>
        <v>0.65069444444444446</v>
      </c>
      <c r="D66" s="1379">
        <v>0.65277777777777779</v>
      </c>
      <c r="E66" s="1435" t="s">
        <v>93</v>
      </c>
      <c r="F66" s="1378">
        <v>0.73611111111111116</v>
      </c>
      <c r="G66" s="1381" t="s">
        <v>93</v>
      </c>
      <c r="H66" s="1379">
        <f t="shared" ref="H66" si="5">SUM(I66-TIME( ,0, ))</f>
        <v>0.8125</v>
      </c>
      <c r="I66" s="1379">
        <v>0.8125</v>
      </c>
      <c r="J66" s="1436" t="s">
        <v>93</v>
      </c>
      <c r="K66" s="1378">
        <v>1.0138888888888888</v>
      </c>
      <c r="L66" s="1437" t="s">
        <v>27</v>
      </c>
      <c r="M66" s="1382">
        <f>SUM(K66+TIME( ,0, ))</f>
        <v>1.0138888888888888</v>
      </c>
      <c r="N66" s="1383">
        <f t="shared" si="1"/>
        <v>0.36319444444444438</v>
      </c>
      <c r="O66" s="1384">
        <f>SUM(N66-P66)</f>
        <v>0.28680555555555554</v>
      </c>
      <c r="P66" s="1385">
        <f t="shared" si="3"/>
        <v>7.638888888888884E-2</v>
      </c>
      <c r="Q66" s="1438"/>
      <c r="U66" s="1339"/>
      <c r="V66" s="1339"/>
      <c r="W66" s="1339"/>
      <c r="X66" s="1339"/>
      <c r="Y66" s="1339"/>
      <c r="Z66" s="1339"/>
      <c r="AA66" s="1339"/>
      <c r="AB66" s="1339"/>
      <c r="AC66" s="1339"/>
      <c r="AD66" s="1339"/>
      <c r="AE66" s="1333"/>
      <c r="AJ66" s="1333"/>
      <c r="AO66" s="1339"/>
      <c r="AP66" s="1333"/>
      <c r="AV66" s="1333"/>
    </row>
    <row r="67" spans="1:48" s="1332" customFormat="1" ht="25.9" customHeight="1" x14ac:dyDescent="0.6">
      <c r="A67" s="1483">
        <v>9</v>
      </c>
      <c r="B67" s="1387">
        <v>259</v>
      </c>
      <c r="C67" s="1388">
        <f>SUM(D67-TIME( ,3, ))</f>
        <v>0.67847222222222214</v>
      </c>
      <c r="D67" s="1392">
        <v>0.68055555555555547</v>
      </c>
      <c r="E67" s="1439" t="s">
        <v>93</v>
      </c>
      <c r="F67" s="1388">
        <v>0.8125</v>
      </c>
      <c r="G67" s="1440" t="s">
        <v>93</v>
      </c>
      <c r="H67" s="1389">
        <f>SUM(I67-TIME( ,0, ))</f>
        <v>0.89583333333333337</v>
      </c>
      <c r="I67" s="1392">
        <v>0.89583333333333337</v>
      </c>
      <c r="J67" s="1439" t="s">
        <v>93</v>
      </c>
      <c r="K67" s="1388">
        <v>1.0347222222222221</v>
      </c>
      <c r="L67" s="1392" t="s">
        <v>27</v>
      </c>
      <c r="M67" s="1393">
        <f t="shared" si="0"/>
        <v>1.0347222222222221</v>
      </c>
      <c r="N67" s="1394">
        <f t="shared" si="1"/>
        <v>0.35624999999999996</v>
      </c>
      <c r="O67" s="1395">
        <f>SUM(N67-P67)</f>
        <v>0.27291666666666659</v>
      </c>
      <c r="P67" s="1410">
        <f t="shared" si="3"/>
        <v>8.333333333333337E-2</v>
      </c>
      <c r="Q67" s="1441"/>
      <c r="R67" s="1331"/>
      <c r="S67" s="1336"/>
      <c r="T67" s="1336"/>
      <c r="U67" s="1339"/>
      <c r="V67" s="1339"/>
      <c r="W67" s="1339"/>
      <c r="X67" s="1339"/>
      <c r="Y67" s="1339"/>
      <c r="Z67" s="1339"/>
      <c r="AA67" s="1339"/>
      <c r="AB67" s="1339"/>
      <c r="AC67" s="1339"/>
      <c r="AD67" s="1339"/>
      <c r="AE67" s="1333"/>
      <c r="AJ67" s="1333"/>
      <c r="AO67" s="1339"/>
      <c r="AP67" s="1333"/>
      <c r="AV67" s="1333"/>
    </row>
    <row r="68" spans="1:48" s="1332" customFormat="1" ht="25.9" customHeight="1" x14ac:dyDescent="0.6">
      <c r="A68" s="1442"/>
      <c r="B68" s="1443"/>
      <c r="C68" s="1444"/>
      <c r="D68" s="1444"/>
      <c r="E68" s="1445"/>
      <c r="F68" s="1444"/>
      <c r="G68" s="1445"/>
      <c r="H68" s="1445"/>
      <c r="I68" s="1445"/>
      <c r="J68" s="1445"/>
      <c r="K68" s="1446"/>
      <c r="L68" s="1445"/>
      <c r="M68" s="1447"/>
      <c r="N68" s="1448" t="s">
        <v>94</v>
      </c>
      <c r="O68" s="1449">
        <f>AVERAGE(O59:O65)</f>
        <v>0.26398809523809519</v>
      </c>
      <c r="P68" s="1623"/>
      <c r="Q68" s="1624"/>
      <c r="R68" s="1331"/>
      <c r="S68" s="1336"/>
      <c r="T68" s="1336"/>
      <c r="U68" s="1339"/>
      <c r="V68" s="1339"/>
      <c r="W68" s="1339"/>
      <c r="X68" s="1339"/>
      <c r="Y68" s="1339"/>
      <c r="Z68" s="1339"/>
      <c r="AA68" s="1339"/>
      <c r="AB68" s="1339"/>
      <c r="AC68" s="1339"/>
      <c r="AD68" s="1340"/>
      <c r="AE68" s="1333"/>
      <c r="AJ68" s="1333"/>
      <c r="AO68" s="1340"/>
      <c r="AP68" s="1333"/>
      <c r="AV68" s="1333"/>
    </row>
    <row r="69" spans="1:48" s="1332" customFormat="1" ht="25.9" customHeight="1" x14ac:dyDescent="0.6">
      <c r="A69" s="1484" t="s">
        <v>179</v>
      </c>
      <c r="B69" s="1450">
        <v>281</v>
      </c>
      <c r="C69" s="1451">
        <f>SUM(D69-TIME( ,3, ))</f>
        <v>0.39374999999999999</v>
      </c>
      <c r="D69" s="1369">
        <v>0.39583333333333331</v>
      </c>
      <c r="E69" s="1371" t="s">
        <v>93</v>
      </c>
      <c r="F69" s="1372">
        <v>0.54166666666666663</v>
      </c>
      <c r="G69" s="1452" t="s">
        <v>93</v>
      </c>
      <c r="H69" s="1369">
        <f>I69</f>
        <v>0.59722222222222221</v>
      </c>
      <c r="I69" s="1369">
        <v>0.59722222222222221</v>
      </c>
      <c r="J69" s="1453" t="s">
        <v>93</v>
      </c>
      <c r="K69" s="1454">
        <v>0.68055555555555547</v>
      </c>
      <c r="L69" s="1455" t="s">
        <v>93</v>
      </c>
      <c r="M69" s="1372">
        <f>SUM(K69+TIME( ,0, ))</f>
        <v>0.68055555555555547</v>
      </c>
      <c r="N69" s="1373">
        <f>(M69-C69)</f>
        <v>0.28680555555555548</v>
      </c>
      <c r="O69" s="1374">
        <f>SUM(N69-P69)</f>
        <v>0.2312499999999999</v>
      </c>
      <c r="P69" s="1375">
        <f>SUM(H69-F69)</f>
        <v>5.555555555555558E-2</v>
      </c>
      <c r="Q69" s="1456"/>
      <c r="R69" s="1331"/>
      <c r="S69" s="1336"/>
      <c r="T69" s="1336"/>
      <c r="U69" s="1340"/>
      <c r="V69" s="1340"/>
      <c r="W69" s="1340"/>
      <c r="X69" s="1340"/>
      <c r="Y69" s="1339"/>
      <c r="Z69" s="1339"/>
      <c r="AA69" s="1339"/>
      <c r="AB69" s="1339"/>
      <c r="AC69" s="1339"/>
      <c r="AD69" s="1339"/>
      <c r="AE69" s="1333"/>
      <c r="AJ69" s="1333"/>
      <c r="AO69" s="1339"/>
      <c r="AP69" s="1333"/>
      <c r="AV69" s="1333"/>
    </row>
    <row r="70" spans="1:48" s="1332" customFormat="1" ht="25.9" customHeight="1" x14ac:dyDescent="0.6">
      <c r="A70" s="1485" t="s">
        <v>180</v>
      </c>
      <c r="B70" s="1457">
        <v>282</v>
      </c>
      <c r="C70" s="1458">
        <f>SUM(D70-TIME( ,8, ))</f>
        <v>0.39375000000000004</v>
      </c>
      <c r="D70" s="1379">
        <v>0.39930555555555558</v>
      </c>
      <c r="E70" s="1459" t="s">
        <v>27</v>
      </c>
      <c r="F70" s="1382">
        <v>0.61111111111111105</v>
      </c>
      <c r="G70" s="1460" t="s">
        <v>93</v>
      </c>
      <c r="H70" s="1379">
        <f>I70</f>
        <v>0.66666666666666663</v>
      </c>
      <c r="I70" s="1379">
        <v>0.66666666666666663</v>
      </c>
      <c r="J70" s="1461" t="s">
        <v>93</v>
      </c>
      <c r="K70" s="1462">
        <v>0.76736111111111116</v>
      </c>
      <c r="L70" s="1437" t="s">
        <v>27</v>
      </c>
      <c r="M70" s="1382">
        <f>SUM(K70+TIME( ,0, ))</f>
        <v>0.76736111111111116</v>
      </c>
      <c r="N70" s="1383">
        <f>(M70-C70)</f>
        <v>0.37361111111111112</v>
      </c>
      <c r="O70" s="1384">
        <f>SUM(N70-P70)</f>
        <v>0.31805555555555554</v>
      </c>
      <c r="P70" s="1385">
        <f>SUM(H70-F70)</f>
        <v>5.555555555555558E-2</v>
      </c>
      <c r="Q70" s="1463"/>
      <c r="R70" s="1331"/>
      <c r="S70" s="1336"/>
      <c r="T70" s="1336"/>
      <c r="U70" s="1339"/>
      <c r="V70" s="1339"/>
      <c r="W70" s="1339"/>
      <c r="X70" s="1339"/>
      <c r="Y70" s="1339"/>
      <c r="Z70" s="1339"/>
      <c r="AA70" s="1339"/>
      <c r="AB70" s="1339"/>
      <c r="AC70" s="1339"/>
      <c r="AD70" s="1339"/>
      <c r="AE70" s="1333"/>
      <c r="AJ70" s="1333"/>
      <c r="AO70" s="1339"/>
      <c r="AP70" s="1333"/>
      <c r="AV70" s="1333"/>
    </row>
    <row r="71" spans="1:48" s="1332" customFormat="1" ht="25.9" customHeight="1" x14ac:dyDescent="0.6">
      <c r="A71" s="1486" t="s">
        <v>181</v>
      </c>
      <c r="B71" s="1464">
        <v>283</v>
      </c>
      <c r="C71" s="1465">
        <f>SUM(D71-TIME( ,8, ))</f>
        <v>0.41111111111111115</v>
      </c>
      <c r="D71" s="1389">
        <v>0.41666666666666669</v>
      </c>
      <c r="E71" s="1392" t="s">
        <v>27</v>
      </c>
      <c r="F71" s="1393">
        <v>0.59722222222222221</v>
      </c>
      <c r="G71" s="1466" t="s">
        <v>93</v>
      </c>
      <c r="H71" s="1389">
        <f t="shared" ref="H71" si="6">SUM(I71-TIME( ,0, ))</f>
        <v>0.63888888888888895</v>
      </c>
      <c r="I71" s="1389">
        <v>0.63888888888888895</v>
      </c>
      <c r="J71" s="1467" t="s">
        <v>93</v>
      </c>
      <c r="K71" s="1468">
        <v>0.77430555555555547</v>
      </c>
      <c r="L71" s="1469" t="s">
        <v>27</v>
      </c>
      <c r="M71" s="1393">
        <f>SUM(K71+TIME( ,0, ))</f>
        <v>0.77430555555555547</v>
      </c>
      <c r="N71" s="1394">
        <f>(M71-C71)</f>
        <v>0.36319444444444432</v>
      </c>
      <c r="O71" s="1395">
        <f t="shared" ref="O71" si="7">SUM(N71-P71)</f>
        <v>0.32152777777777758</v>
      </c>
      <c r="P71" s="1396">
        <f>SUM(H71-F71)</f>
        <v>4.1666666666666741E-2</v>
      </c>
      <c r="Q71" s="1423"/>
      <c r="R71" s="1331"/>
      <c r="S71" s="1336"/>
      <c r="T71" s="1336"/>
      <c r="U71" s="1339"/>
      <c r="V71" s="1339"/>
      <c r="W71" s="1339"/>
      <c r="X71" s="1339"/>
      <c r="Y71" s="1340"/>
      <c r="Z71" s="1340"/>
      <c r="AA71" s="1340"/>
      <c r="AB71" s="1340"/>
      <c r="AC71" s="1340"/>
      <c r="AD71" s="1339"/>
      <c r="AE71" s="1333"/>
      <c r="AJ71" s="1333"/>
      <c r="AO71" s="1339"/>
      <c r="AP71" s="1333"/>
      <c r="AV71" s="1333"/>
    </row>
    <row r="72" spans="1:48" s="1332" customFormat="1" ht="25.9" customHeight="1" x14ac:dyDescent="0.6">
      <c r="A72" s="1470"/>
      <c r="B72" s="1471"/>
      <c r="C72" s="1472"/>
      <c r="D72" s="1472"/>
      <c r="E72" s="1472"/>
      <c r="F72" s="1472"/>
      <c r="G72" s="1472"/>
      <c r="H72" s="1472"/>
      <c r="I72" s="1472"/>
      <c r="J72" s="1472"/>
      <c r="K72" s="1472"/>
      <c r="L72" s="1472"/>
      <c r="M72" s="1472"/>
      <c r="N72" s="1473" t="s">
        <v>94</v>
      </c>
      <c r="O72" s="1474">
        <f>AVERAGE(O69:O71)</f>
        <v>0.29027777777777769</v>
      </c>
      <c r="P72" s="1625"/>
      <c r="Q72" s="1626"/>
      <c r="R72" s="1339"/>
      <c r="S72" s="1339"/>
      <c r="T72" s="1339"/>
      <c r="U72" s="1331"/>
      <c r="V72" s="1331"/>
      <c r="W72" s="1331"/>
      <c r="X72" s="1331"/>
      <c r="Y72" s="1339"/>
      <c r="Z72" s="1339"/>
      <c r="AA72" s="1339"/>
      <c r="AB72" s="1339"/>
      <c r="AC72" s="1339"/>
      <c r="AD72" s="1339"/>
      <c r="AE72" s="1333"/>
      <c r="AJ72" s="1333"/>
      <c r="AO72" s="1339"/>
      <c r="AP72" s="1333"/>
      <c r="AV72" s="1333"/>
    </row>
    <row r="73" spans="1:48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Q73" s="611"/>
      <c r="R73" s="611"/>
      <c r="S73" s="611"/>
      <c r="X73" s="611"/>
      <c r="Y73" s="611"/>
      <c r="Z73" s="611"/>
      <c r="AA73" s="611"/>
      <c r="AB73" s="611"/>
      <c r="AC73" s="565"/>
      <c r="AN73" s="565"/>
    </row>
    <row r="74" spans="1:48" x14ac:dyDescent="0.35">
      <c r="A74" s="565"/>
      <c r="B74" s="611"/>
      <c r="C74" s="611"/>
      <c r="D74" s="670"/>
      <c r="E74" s="611"/>
      <c r="F74" s="611"/>
      <c r="G74" s="670"/>
      <c r="H74" s="611"/>
      <c r="I74" s="611"/>
      <c r="J74" s="611"/>
      <c r="K74" s="611"/>
      <c r="L74" s="611"/>
      <c r="M74" s="611"/>
      <c r="N74" s="611"/>
      <c r="O74" s="611"/>
      <c r="P74" s="611"/>
      <c r="Q74" s="611"/>
      <c r="R74" s="611"/>
      <c r="S74" s="611"/>
      <c r="X74" s="611"/>
      <c r="Y74" s="611"/>
      <c r="Z74" s="611"/>
      <c r="AA74" s="611"/>
      <c r="AB74" s="611"/>
    </row>
    <row r="75" spans="1:48" x14ac:dyDescent="0.35">
      <c r="A75" s="75"/>
      <c r="B75" s="565"/>
      <c r="C75" s="565"/>
      <c r="D75" s="565"/>
      <c r="E75" s="565"/>
      <c r="F75" s="565"/>
      <c r="G75" s="565"/>
      <c r="H75" s="565"/>
      <c r="I75" s="565"/>
      <c r="J75" s="611"/>
      <c r="K75" s="611"/>
      <c r="L75" s="611"/>
      <c r="M75" s="611"/>
      <c r="N75" s="611"/>
      <c r="O75" s="611"/>
      <c r="P75" s="611"/>
      <c r="Q75" s="565"/>
      <c r="R75" s="565"/>
      <c r="S75" s="565"/>
      <c r="X75" s="565"/>
      <c r="Y75" s="565"/>
      <c r="Z75" s="565"/>
      <c r="AA75" s="565"/>
      <c r="AB75" s="565"/>
    </row>
    <row r="76" spans="1:48" x14ac:dyDescent="0.35">
      <c r="B76" s="1"/>
      <c r="C76" s="1"/>
      <c r="D76" s="1"/>
      <c r="E76" s="1"/>
      <c r="F76" s="1"/>
      <c r="G76" s="1"/>
      <c r="J76" s="611"/>
      <c r="K76" s="611"/>
      <c r="L76" s="611"/>
      <c r="M76" s="611"/>
      <c r="N76" s="611"/>
      <c r="O76" s="611"/>
      <c r="P76" s="611"/>
    </row>
    <row r="77" spans="1:48" x14ac:dyDescent="0.35">
      <c r="J77" s="565"/>
      <c r="K77" s="565"/>
      <c r="L77" s="565"/>
      <c r="M77" s="565"/>
      <c r="N77" s="565"/>
      <c r="O77" s="565"/>
      <c r="P77" s="565"/>
    </row>
  </sheetData>
  <mergeCells count="5">
    <mergeCell ref="F59:J59"/>
    <mergeCell ref="P68:Q68"/>
    <mergeCell ref="P72:Q72"/>
    <mergeCell ref="F60:J60"/>
    <mergeCell ref="P56:Q56"/>
  </mergeCells>
  <conditionalFormatting sqref="O59:O72">
    <cfRule type="cellIs" dxfId="0" priority="2" operator="greaterThan">
      <formula>0.368055555555556</formula>
    </cfRule>
  </conditionalFormatting>
  <pageMargins left="0.7" right="0.7" top="0.75" bottom="0.75" header="0.3" footer="0.3"/>
  <pageSetup paperSize="9" scale="26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U76"/>
  <sheetViews>
    <sheetView topLeftCell="A15" workbookViewId="0">
      <selection activeCell="J20" sqref="J20"/>
    </sheetView>
  </sheetViews>
  <sheetFormatPr defaultColWidth="9.90625" defaultRowHeight="14.5" x14ac:dyDescent="0.35"/>
  <cols>
    <col min="1" max="1" width="19.90625" customWidth="1"/>
    <col min="2" max="7" width="15.7265625" customWidth="1"/>
    <col min="8" max="8" width="20.54296875" bestFit="1" customWidth="1"/>
    <col min="9" max="17" width="15.7265625" customWidth="1"/>
  </cols>
  <sheetData>
    <row r="1" spans="1:21" ht="15.5" x14ac:dyDescent="0.35">
      <c r="A1" s="1632" t="s">
        <v>213</v>
      </c>
      <c r="B1" s="1633"/>
      <c r="C1" s="1633"/>
      <c r="D1" s="1633"/>
      <c r="E1" s="1633"/>
      <c r="F1" s="1633"/>
      <c r="G1" s="1633"/>
      <c r="H1" s="1634"/>
      <c r="I1" s="851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</row>
    <row r="2" spans="1:21" ht="15.5" x14ac:dyDescent="0.35">
      <c r="A2" s="903" t="s">
        <v>214</v>
      </c>
      <c r="B2" s="904" t="s">
        <v>214</v>
      </c>
      <c r="C2" s="905" t="s">
        <v>8</v>
      </c>
      <c r="D2" s="906" t="s">
        <v>214</v>
      </c>
      <c r="E2" s="905" t="s">
        <v>7</v>
      </c>
      <c r="F2" s="906" t="s">
        <v>214</v>
      </c>
      <c r="G2" s="905" t="s">
        <v>215</v>
      </c>
      <c r="H2" s="907" t="s">
        <v>214</v>
      </c>
      <c r="I2" s="851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</row>
    <row r="3" spans="1:21" ht="15.5" x14ac:dyDescent="0.35">
      <c r="A3" s="908" t="s">
        <v>10</v>
      </c>
      <c r="B3" s="909" t="s">
        <v>214</v>
      </c>
      <c r="C3" s="910">
        <v>2925001</v>
      </c>
      <c r="D3" s="911" t="s">
        <v>214</v>
      </c>
      <c r="E3" s="910">
        <v>2925003</v>
      </c>
      <c r="F3" s="911" t="s">
        <v>214</v>
      </c>
      <c r="G3" s="910">
        <v>2925002</v>
      </c>
      <c r="H3" s="907" t="s">
        <v>10</v>
      </c>
      <c r="I3" s="851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7"/>
      <c r="U3" s="297"/>
    </row>
    <row r="4" spans="1:21" ht="15.5" x14ac:dyDescent="0.35">
      <c r="A4" s="908" t="s">
        <v>27</v>
      </c>
      <c r="B4" s="909" t="s">
        <v>214</v>
      </c>
      <c r="C4" s="912" t="s">
        <v>152</v>
      </c>
      <c r="D4" s="913" t="s">
        <v>214</v>
      </c>
      <c r="E4" s="914" t="s">
        <v>216</v>
      </c>
      <c r="F4" s="913" t="s">
        <v>214</v>
      </c>
      <c r="G4" s="915" t="s">
        <v>154</v>
      </c>
      <c r="H4" s="907" t="s">
        <v>27</v>
      </c>
      <c r="I4" s="851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7"/>
      <c r="U4" s="297"/>
    </row>
    <row r="5" spans="1:21" ht="15.5" x14ac:dyDescent="0.35">
      <c r="A5" s="916" t="s">
        <v>214</v>
      </c>
      <c r="B5" s="909" t="s">
        <v>214</v>
      </c>
      <c r="C5" s="917" t="s">
        <v>214</v>
      </c>
      <c r="D5" s="913" t="s">
        <v>214</v>
      </c>
      <c r="E5" s="917" t="s">
        <v>214</v>
      </c>
      <c r="F5" s="913" t="s">
        <v>214</v>
      </c>
      <c r="G5" s="918" t="s">
        <v>214</v>
      </c>
      <c r="H5" s="919" t="s">
        <v>214</v>
      </c>
      <c r="I5" s="851"/>
      <c r="J5" s="297"/>
      <c r="K5" s="297"/>
      <c r="L5" s="297"/>
      <c r="M5" s="297"/>
      <c r="N5" s="297"/>
      <c r="O5" s="297"/>
      <c r="P5" s="297"/>
      <c r="Q5" s="297"/>
      <c r="R5" s="297"/>
      <c r="S5" s="297"/>
      <c r="T5" s="297"/>
      <c r="U5" s="297"/>
    </row>
    <row r="6" spans="1:21" ht="15.5" x14ac:dyDescent="0.35">
      <c r="A6" s="916" t="s">
        <v>29</v>
      </c>
      <c r="B6" s="920" t="s">
        <v>214</v>
      </c>
      <c r="C6" s="917" t="s">
        <v>214</v>
      </c>
      <c r="D6" s="921" t="s">
        <v>214</v>
      </c>
      <c r="E6" s="917" t="s">
        <v>214</v>
      </c>
      <c r="F6" s="922" t="s">
        <v>214</v>
      </c>
      <c r="G6" s="923">
        <v>0.31944444444444448</v>
      </c>
      <c r="H6" s="919" t="s">
        <v>29</v>
      </c>
      <c r="I6" s="851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</row>
    <row r="7" spans="1:21" ht="15.5" x14ac:dyDescent="0.35">
      <c r="A7" s="903" t="s">
        <v>214</v>
      </c>
      <c r="B7" s="920" t="s">
        <v>214</v>
      </c>
      <c r="C7" s="917" t="s">
        <v>214</v>
      </c>
      <c r="D7" s="921" t="s">
        <v>214</v>
      </c>
      <c r="E7" s="917" t="s">
        <v>214</v>
      </c>
      <c r="F7" s="922" t="s">
        <v>214</v>
      </c>
      <c r="G7" s="918" t="s">
        <v>214</v>
      </c>
      <c r="H7" s="907" t="s">
        <v>214</v>
      </c>
      <c r="I7" s="851"/>
      <c r="J7" s="297"/>
      <c r="K7" s="297"/>
      <c r="L7" s="297"/>
      <c r="M7" s="297"/>
      <c r="N7" s="297"/>
      <c r="O7" s="297"/>
      <c r="P7" s="297"/>
      <c r="Q7" s="297"/>
      <c r="R7" s="297"/>
      <c r="S7" s="297"/>
      <c r="T7" s="297"/>
      <c r="U7" s="297"/>
    </row>
    <row r="8" spans="1:21" ht="15.5" x14ac:dyDescent="0.35">
      <c r="A8" s="924" t="s">
        <v>28</v>
      </c>
      <c r="B8" s="925" t="s">
        <v>214</v>
      </c>
      <c r="C8" s="926">
        <v>0.3125</v>
      </c>
      <c r="D8" s="921" t="s">
        <v>214</v>
      </c>
      <c r="E8" s="926">
        <v>0.33333333333333331</v>
      </c>
      <c r="F8" s="922" t="s">
        <v>214</v>
      </c>
      <c r="G8" s="927">
        <v>0.35416666666666669</v>
      </c>
      <c r="H8" s="928" t="s">
        <v>28</v>
      </c>
      <c r="I8" s="851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</row>
    <row r="9" spans="1:21" ht="15.5" x14ac:dyDescent="0.35">
      <c r="A9" s="903" t="s">
        <v>214</v>
      </c>
      <c r="B9" s="929" t="s">
        <v>214</v>
      </c>
      <c r="C9" s="917" t="s">
        <v>214</v>
      </c>
      <c r="D9" s="921" t="s">
        <v>214</v>
      </c>
      <c r="E9" s="930" t="s">
        <v>214</v>
      </c>
      <c r="F9" s="922" t="s">
        <v>214</v>
      </c>
      <c r="G9" s="931" t="s">
        <v>214</v>
      </c>
      <c r="H9" s="907" t="s">
        <v>214</v>
      </c>
      <c r="I9" s="851"/>
      <c r="J9" s="297"/>
      <c r="K9" s="297"/>
      <c r="L9" s="297"/>
      <c r="M9" s="297"/>
      <c r="N9" s="297"/>
      <c r="O9" s="297"/>
      <c r="P9" s="297"/>
      <c r="Q9" s="297"/>
      <c r="R9" s="297"/>
      <c r="S9" s="297"/>
      <c r="T9" s="297"/>
      <c r="U9" s="297"/>
    </row>
    <row r="10" spans="1:21" ht="15.5" x14ac:dyDescent="0.35">
      <c r="A10" s="916" t="s">
        <v>29</v>
      </c>
      <c r="B10" s="920" t="s">
        <v>214</v>
      </c>
      <c r="C10" s="932">
        <v>0.34027777777777773</v>
      </c>
      <c r="D10" s="921" t="s">
        <v>214</v>
      </c>
      <c r="E10" s="932">
        <v>0.3611111111111111</v>
      </c>
      <c r="F10" s="922" t="s">
        <v>214</v>
      </c>
      <c r="G10" s="923">
        <v>0.38194444444444442</v>
      </c>
      <c r="H10" s="919" t="s">
        <v>29</v>
      </c>
      <c r="I10" s="851"/>
      <c r="J10" s="297"/>
      <c r="K10" s="297"/>
      <c r="L10" s="297"/>
      <c r="M10" s="297"/>
      <c r="N10" s="297"/>
      <c r="O10" s="297"/>
      <c r="P10" s="297"/>
      <c r="Q10" s="297"/>
      <c r="R10" s="297"/>
      <c r="S10" s="297"/>
      <c r="T10" s="297"/>
      <c r="U10" s="297"/>
    </row>
    <row r="11" spans="1:21" ht="15.5" x14ac:dyDescent="0.35">
      <c r="A11" s="903" t="s">
        <v>214</v>
      </c>
      <c r="B11" s="920" t="s">
        <v>214</v>
      </c>
      <c r="C11" s="930" t="s">
        <v>214</v>
      </c>
      <c r="D11" s="905" t="s">
        <v>9</v>
      </c>
      <c r="E11" s="933" t="s">
        <v>214</v>
      </c>
      <c r="F11" s="922" t="s">
        <v>214</v>
      </c>
      <c r="G11" s="934" t="s">
        <v>214</v>
      </c>
      <c r="H11" s="907" t="s">
        <v>214</v>
      </c>
      <c r="I11" s="851"/>
      <c r="J11" s="297"/>
      <c r="K11" s="297"/>
      <c r="L11" s="297"/>
      <c r="M11" s="297"/>
      <c r="N11" s="297"/>
      <c r="O11" s="297"/>
      <c r="P11" s="297"/>
      <c r="Q11" s="297"/>
      <c r="R11" s="297"/>
      <c r="S11" s="297"/>
      <c r="T11" s="297"/>
      <c r="U11" s="297"/>
    </row>
    <row r="12" spans="1:21" ht="15.5" x14ac:dyDescent="0.35">
      <c r="A12" s="924" t="s">
        <v>28</v>
      </c>
      <c r="B12" s="920" t="s">
        <v>214</v>
      </c>
      <c r="C12" s="926">
        <v>0.375</v>
      </c>
      <c r="D12" s="910">
        <v>2925004</v>
      </c>
      <c r="E12" s="935">
        <v>0.39583333333333331</v>
      </c>
      <c r="F12" s="922" t="s">
        <v>214</v>
      </c>
      <c r="G12" s="927">
        <v>0.41666666666666669</v>
      </c>
      <c r="H12" s="928" t="s">
        <v>28</v>
      </c>
      <c r="I12" s="851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</row>
    <row r="13" spans="1:21" ht="15.5" x14ac:dyDescent="0.35">
      <c r="A13" s="903" t="s">
        <v>214</v>
      </c>
      <c r="B13" s="905" t="s">
        <v>2</v>
      </c>
      <c r="C13" s="936" t="s">
        <v>214</v>
      </c>
      <c r="D13" s="937" t="s">
        <v>217</v>
      </c>
      <c r="E13" s="938" t="s">
        <v>214</v>
      </c>
      <c r="F13" s="922" t="s">
        <v>214</v>
      </c>
      <c r="G13" s="918" t="s">
        <v>214</v>
      </c>
      <c r="H13" s="907" t="s">
        <v>214</v>
      </c>
      <c r="I13" s="851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</row>
    <row r="14" spans="1:21" ht="15.5" x14ac:dyDescent="0.35">
      <c r="A14" s="916" t="s">
        <v>29</v>
      </c>
      <c r="B14" s="910">
        <v>2925005</v>
      </c>
      <c r="C14" s="939">
        <v>0.40277777777777773</v>
      </c>
      <c r="D14" s="932">
        <v>0.4201388888888889</v>
      </c>
      <c r="E14" s="932">
        <v>0.43402777777777773</v>
      </c>
      <c r="F14" s="940" t="s">
        <v>214</v>
      </c>
      <c r="G14" s="923">
        <v>0.44791666666666669</v>
      </c>
      <c r="H14" s="919" t="s">
        <v>29</v>
      </c>
      <c r="I14" s="851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</row>
    <row r="15" spans="1:21" ht="15.5" x14ac:dyDescent="0.35">
      <c r="A15" s="903" t="s">
        <v>214</v>
      </c>
      <c r="B15" s="941" t="s">
        <v>218</v>
      </c>
      <c r="C15" s="917" t="s">
        <v>214</v>
      </c>
      <c r="D15" s="942" t="s">
        <v>214</v>
      </c>
      <c r="E15" s="943" t="s">
        <v>214</v>
      </c>
      <c r="F15" s="905" t="s">
        <v>5</v>
      </c>
      <c r="G15" s="944" t="s">
        <v>214</v>
      </c>
      <c r="H15" s="907" t="s">
        <v>214</v>
      </c>
      <c r="I15" s="851"/>
      <c r="J15" s="297"/>
      <c r="K15" s="297"/>
      <c r="L15" s="297"/>
      <c r="M15" s="297"/>
      <c r="N15" s="297"/>
      <c r="O15" s="297"/>
      <c r="P15" s="297"/>
      <c r="Q15" s="297"/>
      <c r="R15" s="297"/>
      <c r="S15" s="297"/>
      <c r="T15" s="297"/>
      <c r="U15" s="297"/>
    </row>
    <row r="16" spans="1:21" ht="15.5" x14ac:dyDescent="0.35">
      <c r="A16" s="924" t="s">
        <v>28</v>
      </c>
      <c r="B16" s="945">
        <v>0.43055555555555558</v>
      </c>
      <c r="C16" s="926">
        <v>0.44444444444444442</v>
      </c>
      <c r="D16" s="926">
        <v>0.45833333333333331</v>
      </c>
      <c r="E16" s="926">
        <v>0.47222222222222227</v>
      </c>
      <c r="F16" s="910">
        <v>2925006</v>
      </c>
      <c r="G16" s="946" t="s">
        <v>219</v>
      </c>
      <c r="H16" s="928" t="s">
        <v>28</v>
      </c>
      <c r="I16" s="851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</row>
    <row r="17" spans="1:21" ht="15.5" x14ac:dyDescent="0.35">
      <c r="A17" s="903" t="s">
        <v>214</v>
      </c>
      <c r="B17" s="947" t="s">
        <v>214</v>
      </c>
      <c r="C17" s="930" t="s">
        <v>214</v>
      </c>
      <c r="D17" s="942" t="s">
        <v>214</v>
      </c>
      <c r="E17" s="930" t="s">
        <v>214</v>
      </c>
      <c r="F17" s="937" t="s">
        <v>220</v>
      </c>
      <c r="G17" s="918" t="s">
        <v>214</v>
      </c>
      <c r="H17" s="907" t="s">
        <v>214</v>
      </c>
      <c r="I17" s="851"/>
      <c r="J17" s="297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</row>
    <row r="18" spans="1:21" ht="15.5" x14ac:dyDescent="0.35">
      <c r="A18" s="916" t="s">
        <v>29</v>
      </c>
      <c r="B18" s="948">
        <v>0.46180555555555558</v>
      </c>
      <c r="C18" s="932">
        <v>0.47569444444444442</v>
      </c>
      <c r="D18" s="932">
        <v>0.48958333333333331</v>
      </c>
      <c r="E18" s="932">
        <v>0.50347222222222221</v>
      </c>
      <c r="F18" s="932">
        <v>0.51736111111111105</v>
      </c>
      <c r="G18" s="923">
        <v>0.53125</v>
      </c>
      <c r="H18" s="919" t="s">
        <v>29</v>
      </c>
      <c r="I18" s="851"/>
      <c r="J18" s="297"/>
      <c r="K18" s="297"/>
      <c r="L18" s="297"/>
      <c r="M18" s="297"/>
      <c r="N18" s="297"/>
      <c r="O18" s="297"/>
      <c r="P18" s="297"/>
      <c r="Q18" s="297"/>
      <c r="R18" s="297"/>
      <c r="S18" s="297"/>
      <c r="T18" s="297"/>
      <c r="U18" s="297"/>
    </row>
    <row r="19" spans="1:21" ht="15.5" x14ac:dyDescent="0.35">
      <c r="A19" s="903" t="s">
        <v>214</v>
      </c>
      <c r="B19" s="949" t="s">
        <v>214</v>
      </c>
      <c r="C19" s="930" t="s">
        <v>214</v>
      </c>
      <c r="D19" s="943" t="s">
        <v>214</v>
      </c>
      <c r="E19" s="930" t="s">
        <v>214</v>
      </c>
      <c r="F19" s="930" t="s">
        <v>214</v>
      </c>
      <c r="G19" s="931" t="s">
        <v>214</v>
      </c>
      <c r="H19" s="907" t="s">
        <v>214</v>
      </c>
      <c r="I19" s="851"/>
      <c r="J19" s="297"/>
      <c r="K19" s="297"/>
      <c r="L19" s="297"/>
      <c r="M19" s="297"/>
      <c r="N19" s="297"/>
      <c r="O19" s="297"/>
      <c r="P19" s="297"/>
      <c r="Q19" s="297"/>
      <c r="R19" s="297"/>
      <c r="S19" s="297"/>
      <c r="T19" s="297"/>
      <c r="U19" s="297"/>
    </row>
    <row r="20" spans="1:21" ht="15.5" x14ac:dyDescent="0.35">
      <c r="A20" s="924" t="s">
        <v>28</v>
      </c>
      <c r="B20" s="950" t="s">
        <v>221</v>
      </c>
      <c r="C20" s="951" t="s">
        <v>222</v>
      </c>
      <c r="D20" s="926">
        <v>0.52777777777777779</v>
      </c>
      <c r="E20" s="951" t="s">
        <v>223</v>
      </c>
      <c r="F20" s="926">
        <v>0.55555555555555558</v>
      </c>
      <c r="G20" s="927">
        <v>0.56944444444444442</v>
      </c>
      <c r="H20" s="928" t="s">
        <v>28</v>
      </c>
      <c r="I20" s="851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</row>
    <row r="21" spans="1:21" ht="15.5" x14ac:dyDescent="0.35">
      <c r="A21" s="903" t="s">
        <v>214</v>
      </c>
      <c r="B21" s="949" t="s">
        <v>214</v>
      </c>
      <c r="C21" s="930" t="s">
        <v>214</v>
      </c>
      <c r="D21" s="942" t="s">
        <v>214</v>
      </c>
      <c r="E21" s="930" t="s">
        <v>214</v>
      </c>
      <c r="F21" s="930" t="s">
        <v>214</v>
      </c>
      <c r="G21" s="931" t="s">
        <v>214</v>
      </c>
      <c r="H21" s="907" t="s">
        <v>214</v>
      </c>
      <c r="I21" s="851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</row>
    <row r="22" spans="1:21" ht="15.5" x14ac:dyDescent="0.35">
      <c r="A22" s="916" t="s">
        <v>29</v>
      </c>
      <c r="B22" s="948">
        <v>0.54513888888888895</v>
      </c>
      <c r="C22" s="932">
        <v>0.55902777777777779</v>
      </c>
      <c r="D22" s="932">
        <v>0.57291666666666663</v>
      </c>
      <c r="E22" s="932">
        <v>0.58680555555555558</v>
      </c>
      <c r="F22" s="932">
        <v>0.60069444444444442</v>
      </c>
      <c r="G22" s="923">
        <v>0.61458333333333337</v>
      </c>
      <c r="H22" s="919" t="s">
        <v>29</v>
      </c>
      <c r="I22" s="851"/>
      <c r="J22" s="297"/>
      <c r="K22" s="297"/>
      <c r="L22" s="297"/>
      <c r="M22" s="297"/>
      <c r="N22" s="297"/>
      <c r="O22" s="297"/>
      <c r="P22" s="297"/>
      <c r="Q22" s="297"/>
      <c r="R22" s="297"/>
      <c r="S22" s="297"/>
      <c r="T22" s="297"/>
      <c r="U22" s="297"/>
    </row>
    <row r="23" spans="1:21" ht="15.5" x14ac:dyDescent="0.35">
      <c r="A23" s="903" t="s">
        <v>214</v>
      </c>
      <c r="B23" s="952" t="s">
        <v>214</v>
      </c>
      <c r="C23" s="943" t="s">
        <v>214</v>
      </c>
      <c r="D23" s="942" t="s">
        <v>214</v>
      </c>
      <c r="E23" s="943" t="s">
        <v>214</v>
      </c>
      <c r="F23" s="943" t="s">
        <v>214</v>
      </c>
      <c r="G23" s="953" t="s">
        <v>214</v>
      </c>
      <c r="H23" s="907" t="s">
        <v>214</v>
      </c>
      <c r="I23" s="851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</row>
    <row r="24" spans="1:21" ht="15.5" x14ac:dyDescent="0.35">
      <c r="A24" s="924" t="s">
        <v>28</v>
      </c>
      <c r="B24" s="945">
        <v>0.58333333333333337</v>
      </c>
      <c r="C24" s="926">
        <v>0.59722222222222221</v>
      </c>
      <c r="D24" s="951" t="s">
        <v>224</v>
      </c>
      <c r="E24" s="926">
        <v>0.625</v>
      </c>
      <c r="F24" s="926">
        <v>0.63888888888888895</v>
      </c>
      <c r="G24" s="954" t="s">
        <v>225</v>
      </c>
      <c r="H24" s="928" t="s">
        <v>28</v>
      </c>
      <c r="I24" s="851"/>
      <c r="J24" s="297"/>
      <c r="K24" s="297"/>
      <c r="L24" s="297"/>
      <c r="M24" s="297"/>
      <c r="N24" s="297"/>
      <c r="O24" s="297"/>
      <c r="P24" s="297"/>
      <c r="Q24" s="297"/>
      <c r="R24" s="297"/>
      <c r="S24" s="297"/>
      <c r="T24" s="297"/>
      <c r="U24" s="297"/>
    </row>
    <row r="25" spans="1:21" ht="15.5" x14ac:dyDescent="0.35">
      <c r="A25" s="903" t="s">
        <v>214</v>
      </c>
      <c r="B25" s="949" t="s">
        <v>214</v>
      </c>
      <c r="C25" s="930" t="s">
        <v>214</v>
      </c>
      <c r="D25" s="942" t="s">
        <v>214</v>
      </c>
      <c r="E25" s="930" t="s">
        <v>214</v>
      </c>
      <c r="F25" s="930" t="s">
        <v>214</v>
      </c>
      <c r="G25" s="931" t="s">
        <v>214</v>
      </c>
      <c r="H25" s="907" t="s">
        <v>214</v>
      </c>
      <c r="I25" s="851"/>
      <c r="J25" s="297"/>
      <c r="K25" s="297"/>
      <c r="L25" s="297"/>
      <c r="M25" s="297"/>
      <c r="N25" s="297"/>
      <c r="O25" s="297"/>
      <c r="P25" s="297"/>
      <c r="Q25" s="297"/>
      <c r="R25" s="297"/>
      <c r="S25" s="297"/>
      <c r="T25" s="297"/>
      <c r="U25" s="297"/>
    </row>
    <row r="26" spans="1:21" ht="15.5" x14ac:dyDescent="0.35">
      <c r="A26" s="916" t="s">
        <v>29</v>
      </c>
      <c r="B26" s="948">
        <v>0.62847222222222221</v>
      </c>
      <c r="C26" s="932">
        <v>0.64236111111111105</v>
      </c>
      <c r="D26" s="932">
        <v>0.65625</v>
      </c>
      <c r="E26" s="932">
        <v>0.66666666666666663</v>
      </c>
      <c r="F26" s="932">
        <v>0.68055555555555547</v>
      </c>
      <c r="G26" s="923">
        <v>0.69444444444444453</v>
      </c>
      <c r="H26" s="919" t="s">
        <v>29</v>
      </c>
      <c r="I26" s="851"/>
      <c r="J26" s="297"/>
      <c r="K26" s="297"/>
      <c r="L26" s="297"/>
      <c r="M26" s="297"/>
      <c r="N26" s="297"/>
      <c r="O26" s="297"/>
      <c r="P26" s="297"/>
      <c r="Q26" s="297"/>
      <c r="R26" s="297"/>
      <c r="S26" s="297"/>
      <c r="T26" s="297"/>
      <c r="U26" s="297"/>
    </row>
    <row r="27" spans="1:21" ht="15.5" x14ac:dyDescent="0.35">
      <c r="A27" s="903" t="s">
        <v>214</v>
      </c>
      <c r="B27" s="949" t="s">
        <v>214</v>
      </c>
      <c r="C27" s="943" t="s">
        <v>214</v>
      </c>
      <c r="D27" s="943" t="s">
        <v>214</v>
      </c>
      <c r="E27" s="930" t="s">
        <v>214</v>
      </c>
      <c r="F27" s="930" t="s">
        <v>214</v>
      </c>
      <c r="G27" s="953" t="s">
        <v>214</v>
      </c>
      <c r="H27" s="907" t="s">
        <v>214</v>
      </c>
      <c r="I27" s="851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97"/>
      <c r="U27" s="297"/>
    </row>
    <row r="28" spans="1:21" ht="15.5" x14ac:dyDescent="0.35">
      <c r="A28" s="924" t="s">
        <v>28</v>
      </c>
      <c r="B28" s="950" t="s">
        <v>226</v>
      </c>
      <c r="C28" s="951" t="s">
        <v>227</v>
      </c>
      <c r="D28" s="926">
        <v>0.69444444444444453</v>
      </c>
      <c r="E28" s="951" t="s">
        <v>228</v>
      </c>
      <c r="F28" s="951" t="s">
        <v>229</v>
      </c>
      <c r="G28" s="927">
        <v>0.73611111111111116</v>
      </c>
      <c r="H28" s="928" t="s">
        <v>28</v>
      </c>
      <c r="I28" s="851"/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97"/>
      <c r="U28" s="297"/>
    </row>
    <row r="29" spans="1:21" ht="15.5" x14ac:dyDescent="0.35">
      <c r="A29" s="903" t="s">
        <v>214</v>
      </c>
      <c r="B29" s="949" t="s">
        <v>214</v>
      </c>
      <c r="C29" s="930" t="s">
        <v>214</v>
      </c>
      <c r="D29" s="930" t="s">
        <v>214</v>
      </c>
      <c r="E29" s="930" t="s">
        <v>214</v>
      </c>
      <c r="F29" s="930" t="s">
        <v>214</v>
      </c>
      <c r="G29" s="931" t="s">
        <v>214</v>
      </c>
      <c r="H29" s="907" t="s">
        <v>214</v>
      </c>
      <c r="I29" s="851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  <c r="U29" s="297"/>
    </row>
    <row r="30" spans="1:21" ht="15.5" x14ac:dyDescent="0.35">
      <c r="A30" s="916" t="s">
        <v>29</v>
      </c>
      <c r="B30" s="948">
        <v>0.70833333333333337</v>
      </c>
      <c r="C30" s="932">
        <v>0.72222222222222221</v>
      </c>
      <c r="D30" s="932">
        <v>0.73611111111111116</v>
      </c>
      <c r="E30" s="932">
        <v>0.75</v>
      </c>
      <c r="F30" s="932">
        <v>0.76388888888888884</v>
      </c>
      <c r="G30" s="955" t="s">
        <v>230</v>
      </c>
      <c r="H30" s="919" t="s">
        <v>29</v>
      </c>
      <c r="I30" s="851"/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97"/>
      <c r="U30" s="297"/>
    </row>
    <row r="31" spans="1:21" ht="15.5" x14ac:dyDescent="0.35">
      <c r="A31" s="903" t="s">
        <v>214</v>
      </c>
      <c r="B31" s="949" t="s">
        <v>214</v>
      </c>
      <c r="C31" s="943" t="s">
        <v>214</v>
      </c>
      <c r="D31" s="930" t="s">
        <v>214</v>
      </c>
      <c r="E31" s="943" t="s">
        <v>214</v>
      </c>
      <c r="F31" s="930" t="s">
        <v>214</v>
      </c>
      <c r="G31" s="953" t="s">
        <v>231</v>
      </c>
      <c r="H31" s="907" t="s">
        <v>214</v>
      </c>
      <c r="I31" s="851"/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97"/>
      <c r="U31" s="297"/>
    </row>
    <row r="32" spans="1:21" ht="15.5" x14ac:dyDescent="0.35">
      <c r="A32" s="924" t="s">
        <v>28</v>
      </c>
      <c r="B32" s="956" t="s">
        <v>232</v>
      </c>
      <c r="C32" s="926">
        <v>0.75</v>
      </c>
      <c r="D32" s="951" t="s">
        <v>233</v>
      </c>
      <c r="E32" s="926">
        <v>0.77777777777777779</v>
      </c>
      <c r="F32" s="926">
        <v>0.79166666666666663</v>
      </c>
      <c r="G32" s="957" t="s">
        <v>214</v>
      </c>
      <c r="H32" s="928" t="s">
        <v>28</v>
      </c>
      <c r="I32" s="851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</row>
    <row r="33" spans="1:21" ht="15.5" x14ac:dyDescent="0.35">
      <c r="A33" s="903" t="s">
        <v>214</v>
      </c>
      <c r="B33" s="947" t="s">
        <v>172</v>
      </c>
      <c r="C33" s="930" t="s">
        <v>214</v>
      </c>
      <c r="D33" s="930" t="s">
        <v>214</v>
      </c>
      <c r="E33" s="930" t="s">
        <v>214</v>
      </c>
      <c r="F33" s="917" t="s">
        <v>214</v>
      </c>
      <c r="G33" s="905" t="s">
        <v>215</v>
      </c>
      <c r="H33" s="907" t="s">
        <v>214</v>
      </c>
      <c r="I33" s="851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7"/>
    </row>
    <row r="34" spans="1:21" ht="15.5" x14ac:dyDescent="0.35">
      <c r="A34" s="916" t="s">
        <v>29</v>
      </c>
      <c r="B34" s="920" t="s">
        <v>214</v>
      </c>
      <c r="C34" s="932">
        <v>0.77777777777777779</v>
      </c>
      <c r="D34" s="932">
        <v>0.79166666666666663</v>
      </c>
      <c r="E34" s="932">
        <v>0.8125</v>
      </c>
      <c r="F34" s="958" t="s">
        <v>234</v>
      </c>
      <c r="G34" s="910">
        <v>2925007</v>
      </c>
      <c r="H34" s="919" t="s">
        <v>29</v>
      </c>
      <c r="I34" s="851"/>
      <c r="J34" s="297"/>
      <c r="K34" s="297"/>
      <c r="L34" s="297"/>
      <c r="M34" s="297"/>
      <c r="N34" s="297"/>
      <c r="O34" s="297"/>
      <c r="P34" s="297"/>
      <c r="Q34" s="297"/>
      <c r="R34" s="297"/>
      <c r="S34" s="297"/>
      <c r="T34" s="297"/>
      <c r="U34" s="297"/>
    </row>
    <row r="35" spans="1:21" ht="15.5" x14ac:dyDescent="0.35">
      <c r="A35" s="903" t="s">
        <v>214</v>
      </c>
      <c r="B35" s="920" t="s">
        <v>214</v>
      </c>
      <c r="C35" s="943" t="s">
        <v>214</v>
      </c>
      <c r="D35" s="943" t="s">
        <v>214</v>
      </c>
      <c r="E35" s="943" t="s">
        <v>214</v>
      </c>
      <c r="F35" s="959" t="s">
        <v>141</v>
      </c>
      <c r="G35" s="960" t="s">
        <v>235</v>
      </c>
      <c r="H35" s="907" t="s">
        <v>214</v>
      </c>
      <c r="I35" s="851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</row>
    <row r="36" spans="1:21" ht="15.5" x14ac:dyDescent="0.35">
      <c r="A36" s="924" t="s">
        <v>28</v>
      </c>
      <c r="B36" s="920" t="s">
        <v>214</v>
      </c>
      <c r="C36" s="951" t="s">
        <v>236</v>
      </c>
      <c r="D36" s="926">
        <v>0.83333333333333337</v>
      </c>
      <c r="E36" s="958" t="s">
        <v>237</v>
      </c>
      <c r="F36" s="922" t="s">
        <v>214</v>
      </c>
      <c r="G36" s="927">
        <v>0.85416666666666663</v>
      </c>
      <c r="H36" s="928" t="s">
        <v>28</v>
      </c>
      <c r="I36" s="851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</row>
    <row r="37" spans="1:21" ht="15.5" x14ac:dyDescent="0.35">
      <c r="A37" s="903" t="s">
        <v>214</v>
      </c>
      <c r="B37" s="920" t="s">
        <v>214</v>
      </c>
      <c r="C37" s="930" t="s">
        <v>214</v>
      </c>
      <c r="D37" s="930" t="s">
        <v>214</v>
      </c>
      <c r="E37" s="959" t="s">
        <v>238</v>
      </c>
      <c r="F37" s="961" t="s">
        <v>214</v>
      </c>
      <c r="G37" s="931" t="s">
        <v>214</v>
      </c>
      <c r="H37" s="907" t="s">
        <v>214</v>
      </c>
      <c r="I37" s="851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</row>
    <row r="38" spans="1:21" ht="15.5" x14ac:dyDescent="0.35">
      <c r="A38" s="916" t="s">
        <v>29</v>
      </c>
      <c r="B38" s="920" t="s">
        <v>214</v>
      </c>
      <c r="C38" s="932">
        <v>0.84027777777777779</v>
      </c>
      <c r="D38" s="932">
        <v>0.86111111111111116</v>
      </c>
      <c r="E38" s="940" t="s">
        <v>214</v>
      </c>
      <c r="F38" s="940" t="s">
        <v>214</v>
      </c>
      <c r="G38" s="923">
        <v>0.88194444444444453</v>
      </c>
      <c r="H38" s="919" t="s">
        <v>29</v>
      </c>
      <c r="I38" s="851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</row>
    <row r="39" spans="1:21" ht="15.5" x14ac:dyDescent="0.35">
      <c r="A39" s="903" t="s">
        <v>214</v>
      </c>
      <c r="B39" s="920" t="s">
        <v>214</v>
      </c>
      <c r="C39" s="959" t="s">
        <v>214</v>
      </c>
      <c r="D39" s="962" t="s">
        <v>214</v>
      </c>
      <c r="E39" s="961" t="s">
        <v>214</v>
      </c>
      <c r="F39" s="961" t="s">
        <v>214</v>
      </c>
      <c r="G39" s="931" t="s">
        <v>214</v>
      </c>
      <c r="H39" s="907" t="s">
        <v>214</v>
      </c>
      <c r="I39" s="851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</row>
    <row r="40" spans="1:21" ht="15.5" x14ac:dyDescent="0.35">
      <c r="A40" s="903" t="s">
        <v>214</v>
      </c>
      <c r="B40" s="920" t="s">
        <v>214</v>
      </c>
      <c r="C40" s="959" t="s">
        <v>214</v>
      </c>
      <c r="D40" s="943" t="s">
        <v>214</v>
      </c>
      <c r="E40" s="961" t="s">
        <v>214</v>
      </c>
      <c r="F40" s="961" t="s">
        <v>214</v>
      </c>
      <c r="G40" s="931" t="s">
        <v>214</v>
      </c>
      <c r="H40" s="907" t="s">
        <v>214</v>
      </c>
      <c r="I40" s="851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</row>
    <row r="41" spans="1:21" ht="15.5" x14ac:dyDescent="0.35">
      <c r="A41" s="924" t="s">
        <v>28</v>
      </c>
      <c r="B41" s="920" t="s">
        <v>214</v>
      </c>
      <c r="C41" s="926">
        <v>0.875</v>
      </c>
      <c r="D41" s="951" t="s">
        <v>239</v>
      </c>
      <c r="E41" s="922" t="s">
        <v>214</v>
      </c>
      <c r="F41" s="922" t="s">
        <v>214</v>
      </c>
      <c r="G41" s="927">
        <v>0.91666666666666663</v>
      </c>
      <c r="H41" s="928" t="s">
        <v>28</v>
      </c>
      <c r="I41" s="851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</row>
    <row r="42" spans="1:21" ht="15.5" x14ac:dyDescent="0.35">
      <c r="A42" s="903" t="s">
        <v>214</v>
      </c>
      <c r="B42" s="920" t="s">
        <v>214</v>
      </c>
      <c r="C42" s="917" t="s">
        <v>214</v>
      </c>
      <c r="D42" s="959" t="s">
        <v>214</v>
      </c>
      <c r="E42" s="961" t="s">
        <v>214</v>
      </c>
      <c r="F42" s="961" t="s">
        <v>214</v>
      </c>
      <c r="G42" s="918" t="s">
        <v>214</v>
      </c>
      <c r="H42" s="907" t="s">
        <v>214</v>
      </c>
      <c r="I42" s="851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</row>
    <row r="43" spans="1:21" ht="15.5" x14ac:dyDescent="0.35">
      <c r="A43" s="916" t="s">
        <v>29</v>
      </c>
      <c r="B43" s="920" t="s">
        <v>214</v>
      </c>
      <c r="C43" s="932">
        <v>0.90277777777777779</v>
      </c>
      <c r="D43" s="932">
        <v>0.92361111111111116</v>
      </c>
      <c r="E43" s="940" t="s">
        <v>214</v>
      </c>
      <c r="F43" s="940" t="s">
        <v>214</v>
      </c>
      <c r="G43" s="923">
        <v>0.94444444444444453</v>
      </c>
      <c r="H43" s="919" t="s">
        <v>29</v>
      </c>
      <c r="I43" s="851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</row>
    <row r="44" spans="1:21" ht="15.5" x14ac:dyDescent="0.35">
      <c r="A44" s="903" t="s">
        <v>214</v>
      </c>
      <c r="B44" s="920" t="s">
        <v>214</v>
      </c>
      <c r="C44" s="917" t="s">
        <v>214</v>
      </c>
      <c r="D44" s="917" t="s">
        <v>214</v>
      </c>
      <c r="E44" s="961" t="s">
        <v>214</v>
      </c>
      <c r="F44" s="961" t="s">
        <v>214</v>
      </c>
      <c r="G44" s="931" t="s">
        <v>214</v>
      </c>
      <c r="H44" s="907" t="s">
        <v>214</v>
      </c>
      <c r="I44" s="851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</row>
    <row r="45" spans="1:21" ht="15.5" x14ac:dyDescent="0.35">
      <c r="A45" s="924" t="s">
        <v>28</v>
      </c>
      <c r="B45" s="920" t="s">
        <v>214</v>
      </c>
      <c r="C45" s="926">
        <v>0.9375</v>
      </c>
      <c r="D45" s="926">
        <v>0.95833333333333337</v>
      </c>
      <c r="E45" s="922" t="s">
        <v>214</v>
      </c>
      <c r="F45" s="922" t="s">
        <v>214</v>
      </c>
      <c r="G45" s="927">
        <v>0.97916666666666663</v>
      </c>
      <c r="H45" s="928" t="s">
        <v>28</v>
      </c>
      <c r="I45" s="851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</row>
    <row r="46" spans="1:21" ht="15.5" x14ac:dyDescent="0.35">
      <c r="A46" s="903" t="s">
        <v>214</v>
      </c>
      <c r="B46" s="920" t="s">
        <v>214</v>
      </c>
      <c r="C46" s="917" t="s">
        <v>214</v>
      </c>
      <c r="D46" s="917" t="s">
        <v>214</v>
      </c>
      <c r="E46" s="961" t="s">
        <v>214</v>
      </c>
      <c r="F46" s="961" t="s">
        <v>214</v>
      </c>
      <c r="G46" s="931" t="s">
        <v>214</v>
      </c>
      <c r="H46" s="907" t="s">
        <v>214</v>
      </c>
      <c r="I46" s="330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</row>
    <row r="47" spans="1:21" ht="15.5" x14ac:dyDescent="0.35">
      <c r="A47" s="916" t="s">
        <v>29</v>
      </c>
      <c r="B47" s="920" t="s">
        <v>214</v>
      </c>
      <c r="C47" s="932">
        <v>0.96527777777777779</v>
      </c>
      <c r="D47" s="932">
        <v>0.98611111111111116</v>
      </c>
      <c r="E47" s="940" t="s">
        <v>214</v>
      </c>
      <c r="F47" s="940" t="s">
        <v>214</v>
      </c>
      <c r="G47" s="955" t="s">
        <v>73</v>
      </c>
      <c r="H47" s="919" t="s">
        <v>29</v>
      </c>
      <c r="I47" s="851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</row>
    <row r="48" spans="1:21" ht="15.5" x14ac:dyDescent="0.35">
      <c r="A48" s="903" t="s">
        <v>214</v>
      </c>
      <c r="B48" s="920" t="s">
        <v>214</v>
      </c>
      <c r="C48" s="917" t="s">
        <v>214</v>
      </c>
      <c r="D48" s="917" t="s">
        <v>214</v>
      </c>
      <c r="E48" s="961" t="s">
        <v>214</v>
      </c>
      <c r="F48" s="961" t="s">
        <v>214</v>
      </c>
      <c r="G48" s="931" t="s">
        <v>214</v>
      </c>
      <c r="H48" s="907" t="s">
        <v>214</v>
      </c>
      <c r="I48" s="323"/>
      <c r="J48" s="851"/>
      <c r="K48" s="851"/>
      <c r="L48" s="851"/>
      <c r="M48" s="851"/>
      <c r="N48" s="851"/>
      <c r="O48" s="851"/>
      <c r="P48" s="851"/>
      <c r="Q48" s="851"/>
      <c r="R48" s="851"/>
      <c r="S48" s="851"/>
      <c r="T48" s="851"/>
      <c r="U48" s="851"/>
    </row>
    <row r="49" spans="1:21" ht="15.5" x14ac:dyDescent="0.35">
      <c r="A49" s="924" t="s">
        <v>28</v>
      </c>
      <c r="B49" s="920" t="s">
        <v>214</v>
      </c>
      <c r="C49" s="958" t="s">
        <v>240</v>
      </c>
      <c r="D49" s="958" t="s">
        <v>241</v>
      </c>
      <c r="E49" s="922" t="s">
        <v>214</v>
      </c>
      <c r="F49" s="922" t="s">
        <v>214</v>
      </c>
      <c r="G49" s="963" t="s">
        <v>214</v>
      </c>
      <c r="H49" s="928" t="s">
        <v>28</v>
      </c>
      <c r="I49" s="851"/>
      <c r="J49" s="851"/>
      <c r="K49" s="851"/>
      <c r="L49" s="851"/>
      <c r="M49" s="851"/>
      <c r="N49" s="851"/>
      <c r="O49" s="851"/>
      <c r="P49" s="851"/>
      <c r="Q49" s="851"/>
      <c r="R49" s="851"/>
      <c r="S49" s="851"/>
      <c r="T49" s="851"/>
      <c r="U49" s="851"/>
    </row>
    <row r="50" spans="1:21" ht="15.5" x14ac:dyDescent="0.35">
      <c r="A50" s="903" t="s">
        <v>214</v>
      </c>
      <c r="B50" s="920" t="s">
        <v>214</v>
      </c>
      <c r="C50" s="917" t="s">
        <v>214</v>
      </c>
      <c r="D50" s="917" t="s">
        <v>214</v>
      </c>
      <c r="E50" s="961" t="s">
        <v>214</v>
      </c>
      <c r="F50" s="961" t="s">
        <v>214</v>
      </c>
      <c r="G50" s="931" t="s">
        <v>214</v>
      </c>
      <c r="H50" s="907" t="s">
        <v>214</v>
      </c>
      <c r="I50" s="330"/>
      <c r="J50" s="851"/>
      <c r="K50" s="851"/>
      <c r="L50" s="851"/>
      <c r="M50" s="851"/>
      <c r="N50" s="851"/>
      <c r="O50" s="851"/>
      <c r="P50" s="851"/>
      <c r="Q50" s="851"/>
      <c r="R50" s="851"/>
      <c r="S50" s="323"/>
      <c r="T50" s="323"/>
      <c r="U50" s="323"/>
    </row>
    <row r="51" spans="1:21" ht="15.5" x14ac:dyDescent="0.35">
      <c r="A51" s="916" t="s">
        <v>214</v>
      </c>
      <c r="B51" s="920" t="s">
        <v>214</v>
      </c>
      <c r="C51" s="942" t="s">
        <v>214</v>
      </c>
      <c r="D51" s="942" t="s">
        <v>214</v>
      </c>
      <c r="E51" s="940" t="s">
        <v>214</v>
      </c>
      <c r="F51" s="940" t="s">
        <v>214</v>
      </c>
      <c r="G51" s="964" t="s">
        <v>214</v>
      </c>
      <c r="H51" s="919" t="s">
        <v>214</v>
      </c>
      <c r="I51" s="851"/>
      <c r="J51" s="851"/>
      <c r="K51" s="851"/>
      <c r="L51" s="851"/>
      <c r="M51" s="851"/>
      <c r="N51" s="851"/>
      <c r="O51" s="851"/>
      <c r="P51" s="851"/>
      <c r="Q51" s="851"/>
      <c r="R51" s="851"/>
      <c r="S51" s="323"/>
      <c r="T51" s="323"/>
      <c r="U51" s="323"/>
    </row>
    <row r="52" spans="1:21" ht="15.5" x14ac:dyDescent="0.35">
      <c r="A52" s="916" t="s">
        <v>214</v>
      </c>
      <c r="B52" s="965" t="s">
        <v>214</v>
      </c>
      <c r="C52" s="942" t="s">
        <v>214</v>
      </c>
      <c r="D52" s="942" t="s">
        <v>214</v>
      </c>
      <c r="E52" s="966" t="s">
        <v>214</v>
      </c>
      <c r="F52" s="966" t="s">
        <v>214</v>
      </c>
      <c r="G52" s="964" t="s">
        <v>214</v>
      </c>
      <c r="H52" s="919" t="s">
        <v>214</v>
      </c>
      <c r="I52" s="323"/>
      <c r="J52" s="851"/>
      <c r="K52" s="851"/>
      <c r="L52" s="851"/>
      <c r="M52" s="851"/>
      <c r="N52" s="851"/>
      <c r="O52" s="851"/>
      <c r="P52" s="851"/>
      <c r="Q52" s="851"/>
      <c r="R52" s="851"/>
      <c r="S52" s="851"/>
      <c r="T52" s="851"/>
      <c r="U52" s="851"/>
    </row>
    <row r="53" spans="1:21" ht="15.5" x14ac:dyDescent="0.35">
      <c r="A53" s="916" t="s">
        <v>214</v>
      </c>
      <c r="B53" s="920" t="s">
        <v>214</v>
      </c>
      <c r="C53" s="917" t="s">
        <v>214</v>
      </c>
      <c r="D53" s="917" t="s">
        <v>214</v>
      </c>
      <c r="E53" s="921" t="s">
        <v>214</v>
      </c>
      <c r="F53" s="921" t="s">
        <v>214</v>
      </c>
      <c r="G53" s="918" t="s">
        <v>214</v>
      </c>
      <c r="H53" s="919" t="s">
        <v>214</v>
      </c>
      <c r="I53" s="851"/>
      <c r="J53" s="323"/>
      <c r="K53" s="323"/>
      <c r="L53" s="323"/>
      <c r="M53" s="323"/>
      <c r="N53" s="323"/>
      <c r="O53" s="323"/>
      <c r="P53" s="323"/>
      <c r="Q53" s="323"/>
      <c r="R53" s="323"/>
      <c r="S53" s="324"/>
      <c r="T53" s="324"/>
      <c r="U53" s="324"/>
    </row>
    <row r="54" spans="1:21" ht="15.5" x14ac:dyDescent="0.35">
      <c r="A54" s="967" t="s">
        <v>27</v>
      </c>
      <c r="B54" s="968" t="s">
        <v>214</v>
      </c>
      <c r="C54" s="969" t="s">
        <v>77</v>
      </c>
      <c r="D54" s="970" t="s">
        <v>242</v>
      </c>
      <c r="E54" s="971" t="s">
        <v>214</v>
      </c>
      <c r="F54" s="971" t="s">
        <v>214</v>
      </c>
      <c r="G54" s="972" t="s">
        <v>176</v>
      </c>
      <c r="H54" s="973" t="s">
        <v>27</v>
      </c>
      <c r="I54" s="851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974"/>
      <c r="U54" s="974"/>
    </row>
    <row r="55" spans="1:21" ht="15.5" x14ac:dyDescent="0.3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3"/>
      <c r="L55" s="323"/>
      <c r="M55" s="323"/>
      <c r="N55" s="323"/>
      <c r="O55" s="323"/>
      <c r="P55" s="323"/>
      <c r="Q55" s="323"/>
      <c r="R55" s="519"/>
      <c r="S55" s="519"/>
      <c r="T55" s="519"/>
      <c r="U55" s="974"/>
    </row>
    <row r="56" spans="1:21" ht="15.5" x14ac:dyDescent="0.35">
      <c r="A56" s="1637" t="s">
        <v>177</v>
      </c>
      <c r="B56" s="1638"/>
      <c r="C56" s="1638"/>
      <c r="D56" s="1638"/>
      <c r="E56" s="1638"/>
      <c r="F56" s="1638"/>
      <c r="G56" s="1638"/>
      <c r="H56" s="1638"/>
      <c r="I56" s="1638"/>
      <c r="J56" s="1638"/>
      <c r="K56" s="1638"/>
      <c r="L56" s="1638"/>
      <c r="M56" s="1638"/>
      <c r="N56" s="1638"/>
      <c r="O56" s="1638"/>
      <c r="P56" s="1639"/>
      <c r="Q56" s="975" t="s">
        <v>214</v>
      </c>
      <c r="R56" s="324"/>
      <c r="S56" s="324"/>
      <c r="T56" s="324"/>
      <c r="U56" s="974"/>
    </row>
    <row r="57" spans="1:21" ht="15.5" x14ac:dyDescent="0.35">
      <c r="A57" s="976" t="s">
        <v>80</v>
      </c>
      <c r="B57" s="977" t="s">
        <v>214</v>
      </c>
      <c r="C57" s="978" t="s">
        <v>80</v>
      </c>
      <c r="D57" s="979" t="s">
        <v>214</v>
      </c>
      <c r="E57" s="980" t="s">
        <v>214</v>
      </c>
      <c r="F57" s="977" t="s">
        <v>81</v>
      </c>
      <c r="G57" s="977" t="s">
        <v>214</v>
      </c>
      <c r="H57" s="977" t="s">
        <v>214</v>
      </c>
      <c r="I57" s="977" t="s">
        <v>214</v>
      </c>
      <c r="J57" s="981" t="s">
        <v>214</v>
      </c>
      <c r="K57" s="977" t="s">
        <v>82</v>
      </c>
      <c r="L57" s="977" t="s">
        <v>214</v>
      </c>
      <c r="M57" s="981" t="s">
        <v>214</v>
      </c>
      <c r="N57" s="979" t="s">
        <v>214</v>
      </c>
      <c r="O57" s="979" t="s">
        <v>214</v>
      </c>
      <c r="P57" s="979" t="s">
        <v>214</v>
      </c>
      <c r="Q57" s="982" t="s">
        <v>214</v>
      </c>
      <c r="R57" s="519"/>
      <c r="S57" s="519"/>
      <c r="T57" s="519"/>
      <c r="U57" s="974"/>
    </row>
    <row r="58" spans="1:21" ht="15.5" x14ac:dyDescent="0.35">
      <c r="A58" s="983" t="s">
        <v>83</v>
      </c>
      <c r="B58" s="984" t="s">
        <v>84</v>
      </c>
      <c r="C58" s="985" t="s">
        <v>85</v>
      </c>
      <c r="D58" s="986" t="s">
        <v>86</v>
      </c>
      <c r="E58" s="987" t="s">
        <v>214</v>
      </c>
      <c r="F58" s="986" t="s">
        <v>80</v>
      </c>
      <c r="G58" s="986" t="s">
        <v>214</v>
      </c>
      <c r="H58" s="986" t="s">
        <v>82</v>
      </c>
      <c r="I58" s="986" t="s">
        <v>86</v>
      </c>
      <c r="J58" s="987" t="s">
        <v>214</v>
      </c>
      <c r="K58" s="986" t="s">
        <v>82</v>
      </c>
      <c r="L58" s="986" t="s">
        <v>214</v>
      </c>
      <c r="M58" s="988" t="s">
        <v>87</v>
      </c>
      <c r="N58" s="987" t="s">
        <v>88</v>
      </c>
      <c r="O58" s="987" t="s">
        <v>89</v>
      </c>
      <c r="P58" s="988" t="s">
        <v>90</v>
      </c>
      <c r="Q58" s="989" t="s">
        <v>91</v>
      </c>
      <c r="R58" s="324"/>
      <c r="S58" s="297"/>
      <c r="T58" s="297"/>
      <c r="U58" s="519"/>
    </row>
    <row r="59" spans="1:21" ht="15" customHeight="1" x14ac:dyDescent="0.35">
      <c r="A59" s="990">
        <v>1</v>
      </c>
      <c r="B59" s="991">
        <v>251</v>
      </c>
      <c r="C59" s="992">
        <f>D59-TIME( ,8, )</f>
        <v>0.28263888888888894</v>
      </c>
      <c r="D59" s="993">
        <v>0.28819444444444448</v>
      </c>
      <c r="E59" s="994" t="s">
        <v>27</v>
      </c>
      <c r="F59" s="1640" t="s">
        <v>92</v>
      </c>
      <c r="G59" s="1640"/>
      <c r="H59" s="1640"/>
      <c r="I59" s="1640"/>
      <c r="J59" s="1641"/>
      <c r="K59" s="992">
        <v>0.51388888888888895</v>
      </c>
      <c r="L59" s="995" t="s">
        <v>93</v>
      </c>
      <c r="M59" s="996">
        <v>0.51388888888888895</v>
      </c>
      <c r="N59" s="992">
        <f t="shared" ref="N59" si="0">M59-C59</f>
        <v>0.23125000000000001</v>
      </c>
      <c r="O59" s="997">
        <f>N59-P59</f>
        <v>0.23125000000000001</v>
      </c>
      <c r="P59" s="998">
        <v>0</v>
      </c>
      <c r="Q59" s="999" t="s">
        <v>214</v>
      </c>
      <c r="R59" s="105"/>
      <c r="S59" s="324"/>
      <c r="T59" s="1000"/>
      <c r="U59" s="519"/>
    </row>
    <row r="60" spans="1:21" ht="15" customHeight="1" x14ac:dyDescent="0.35">
      <c r="A60" s="1001">
        <v>2</v>
      </c>
      <c r="B60" s="1002">
        <v>252</v>
      </c>
      <c r="C60" s="992">
        <f>D60-TIME( ,8, )</f>
        <v>0.29652777777777778</v>
      </c>
      <c r="D60" s="1003">
        <v>0.30208333333333331</v>
      </c>
      <c r="E60" s="1004" t="s">
        <v>27</v>
      </c>
      <c r="F60" s="1642" t="s">
        <v>92</v>
      </c>
      <c r="G60" s="1642"/>
      <c r="H60" s="1642"/>
      <c r="I60" s="1642"/>
      <c r="J60" s="1643"/>
      <c r="K60" s="1003">
        <v>0.4861111111111111</v>
      </c>
      <c r="L60" s="1005" t="s">
        <v>93</v>
      </c>
      <c r="M60" s="1006">
        <v>0.4861111111111111</v>
      </c>
      <c r="N60" s="1007">
        <f t="shared" ref="N60" si="1">M60-D60</f>
        <v>0.18402777777777779</v>
      </c>
      <c r="O60" s="1008">
        <f t="shared" ref="O60:O71" si="2">N60-P60</f>
        <v>0.18402777777777779</v>
      </c>
      <c r="P60" s="1009">
        <v>0</v>
      </c>
      <c r="Q60" s="1010" t="s">
        <v>214</v>
      </c>
      <c r="R60" s="105"/>
      <c r="S60" s="324"/>
      <c r="T60" s="1000"/>
      <c r="U60" s="519"/>
    </row>
    <row r="61" spans="1:21" ht="15" customHeight="1" x14ac:dyDescent="0.35">
      <c r="A61" s="1011">
        <v>3</v>
      </c>
      <c r="B61" s="1012">
        <v>253</v>
      </c>
      <c r="C61" s="992">
        <f>D61-TIME( ,8, )</f>
        <v>0.30694444444444446</v>
      </c>
      <c r="D61" s="1013">
        <v>0.3125</v>
      </c>
      <c r="E61" s="1014" t="s">
        <v>27</v>
      </c>
      <c r="F61" s="1644" t="s">
        <v>92</v>
      </c>
      <c r="G61" s="1644"/>
      <c r="H61" s="1644"/>
      <c r="I61" s="1644"/>
      <c r="J61" s="1645"/>
      <c r="K61" s="1015">
        <v>0.54166666666666663</v>
      </c>
      <c r="L61" s="1016" t="s">
        <v>93</v>
      </c>
      <c r="M61" s="1017">
        <v>0.54166666666666663</v>
      </c>
      <c r="N61" s="1018">
        <f>M61-C61</f>
        <v>0.23472222222222217</v>
      </c>
      <c r="O61" s="1019">
        <f t="shared" si="2"/>
        <v>0.23472222222222217</v>
      </c>
      <c r="P61" s="1020">
        <v>0</v>
      </c>
      <c r="Q61" s="1021" t="s">
        <v>214</v>
      </c>
      <c r="R61" s="105"/>
      <c r="S61" s="324"/>
      <c r="T61" s="1000"/>
      <c r="U61" s="519"/>
    </row>
    <row r="62" spans="1:21" ht="15.5" x14ac:dyDescent="0.35">
      <c r="A62" s="1022">
        <v>4</v>
      </c>
      <c r="B62" s="1023">
        <v>254</v>
      </c>
      <c r="C62" s="1024">
        <v>0.48402777777777778</v>
      </c>
      <c r="D62" s="1025">
        <v>0.4861111111111111</v>
      </c>
      <c r="E62" s="1026" t="s">
        <v>93</v>
      </c>
      <c r="F62" s="1027">
        <v>0.65277777777777779</v>
      </c>
      <c r="G62" s="1028" t="s">
        <v>93</v>
      </c>
      <c r="H62" s="1027">
        <v>0.72222222222222221</v>
      </c>
      <c r="I62" s="1027">
        <v>0.72222222222222221</v>
      </c>
      <c r="J62" s="1023" t="s">
        <v>93</v>
      </c>
      <c r="K62" s="1029">
        <v>0.83680555555555547</v>
      </c>
      <c r="L62" s="1030" t="s">
        <v>27</v>
      </c>
      <c r="M62" s="1031">
        <v>0.83680555555555547</v>
      </c>
      <c r="N62" s="992">
        <f t="shared" ref="N62:N68" si="3">M62-C62</f>
        <v>0.35277777777777769</v>
      </c>
      <c r="O62" s="997">
        <f t="shared" si="2"/>
        <v>0.28333333333333327</v>
      </c>
      <c r="P62" s="998">
        <f>H62-F62</f>
        <v>6.944444444444442E-2</v>
      </c>
      <c r="Q62" s="1032" t="s">
        <v>214</v>
      </c>
      <c r="R62" s="105"/>
      <c r="S62" s="105"/>
      <c r="T62" s="1000"/>
      <c r="U62" s="519"/>
    </row>
    <row r="63" spans="1:21" ht="15" customHeight="1" x14ac:dyDescent="0.35">
      <c r="A63" s="1033">
        <v>5</v>
      </c>
      <c r="B63" s="1034">
        <v>255</v>
      </c>
      <c r="C63" s="1007">
        <v>0.49444444444444446</v>
      </c>
      <c r="D63" s="1003">
        <v>0.5</v>
      </c>
      <c r="E63" s="1004" t="s">
        <v>27</v>
      </c>
      <c r="F63" s="1642" t="s">
        <v>92</v>
      </c>
      <c r="G63" s="1642"/>
      <c r="H63" s="1642"/>
      <c r="I63" s="1642"/>
      <c r="J63" s="1646"/>
      <c r="K63" s="1007">
        <v>0.72222222222222221</v>
      </c>
      <c r="L63" s="1005" t="s">
        <v>93</v>
      </c>
      <c r="M63" s="1006">
        <v>0.72222222222222221</v>
      </c>
      <c r="N63" s="1007">
        <f t="shared" si="3"/>
        <v>0.22777777777777775</v>
      </c>
      <c r="O63" s="1008">
        <f t="shared" si="2"/>
        <v>0.22777777777777775</v>
      </c>
      <c r="P63" s="1009">
        <v>0</v>
      </c>
      <c r="Q63" s="1035" t="s">
        <v>214</v>
      </c>
      <c r="R63" s="105"/>
      <c r="S63" s="324"/>
      <c r="T63" s="519"/>
      <c r="U63" s="519"/>
    </row>
    <row r="64" spans="1:21" ht="15.5" x14ac:dyDescent="0.35">
      <c r="A64" s="1001">
        <v>6</v>
      </c>
      <c r="B64" s="1002">
        <v>256</v>
      </c>
      <c r="C64" s="1036">
        <v>0.49791666666666662</v>
      </c>
      <c r="D64" s="1037">
        <v>0.5</v>
      </c>
      <c r="E64" s="1038" t="s">
        <v>93</v>
      </c>
      <c r="F64" s="1037">
        <v>0.66666666666666663</v>
      </c>
      <c r="G64" s="1039" t="s">
        <v>93</v>
      </c>
      <c r="H64" s="1037">
        <v>0.70833333333333337</v>
      </c>
      <c r="I64" s="1037">
        <v>0.70833333333333337</v>
      </c>
      <c r="J64" s="1002" t="s">
        <v>93</v>
      </c>
      <c r="K64" s="1036">
        <v>0.87152777777777779</v>
      </c>
      <c r="L64" s="1039" t="s">
        <v>27</v>
      </c>
      <c r="M64" s="1040">
        <v>0.87152777777777779</v>
      </c>
      <c r="N64" s="1007">
        <f t="shared" si="3"/>
        <v>0.37361111111111117</v>
      </c>
      <c r="O64" s="1008">
        <f t="shared" si="2"/>
        <v>0.33194444444444443</v>
      </c>
      <c r="P64" s="1009">
        <f t="shared" ref="P64:P68" si="4">H64-F64</f>
        <v>4.1666666666666741E-2</v>
      </c>
      <c r="Q64" s="1010" t="s">
        <v>214</v>
      </c>
      <c r="R64" s="105"/>
      <c r="S64" s="105"/>
      <c r="T64" s="1000"/>
      <c r="U64" s="519"/>
    </row>
    <row r="65" spans="1:21" ht="15.5" x14ac:dyDescent="0.35">
      <c r="A65" s="1011">
        <v>7</v>
      </c>
      <c r="B65" s="1012">
        <v>257</v>
      </c>
      <c r="C65" s="1015">
        <v>0.51180555555555551</v>
      </c>
      <c r="D65" s="1013">
        <v>0.51388888888888895</v>
      </c>
      <c r="E65" s="1014" t="s">
        <v>93</v>
      </c>
      <c r="F65" s="1013">
        <v>0.68055555555555547</v>
      </c>
      <c r="G65" s="1016" t="s">
        <v>93</v>
      </c>
      <c r="H65" s="1013">
        <v>0.76388888888888884</v>
      </c>
      <c r="I65" s="1013">
        <v>0.76388888888888884</v>
      </c>
      <c r="J65" s="1012" t="s">
        <v>93</v>
      </c>
      <c r="K65" s="1015">
        <v>0.89583333333333337</v>
      </c>
      <c r="L65" s="1016" t="s">
        <v>93</v>
      </c>
      <c r="M65" s="1017">
        <v>0.89583333333333337</v>
      </c>
      <c r="N65" s="1018">
        <f t="shared" si="3"/>
        <v>0.38402777777777786</v>
      </c>
      <c r="O65" s="1019">
        <f t="shared" si="2"/>
        <v>0.30069444444444449</v>
      </c>
      <c r="P65" s="1020">
        <f t="shared" si="4"/>
        <v>8.333333333333337E-2</v>
      </c>
      <c r="Q65" s="1041" t="s">
        <v>214</v>
      </c>
      <c r="R65" s="105"/>
      <c r="S65" s="105"/>
      <c r="T65" s="1000"/>
      <c r="U65" s="519"/>
    </row>
    <row r="66" spans="1:21" ht="15.5" x14ac:dyDescent="0.35">
      <c r="A66" s="1001">
        <v>8</v>
      </c>
      <c r="B66" s="1002">
        <v>258</v>
      </c>
      <c r="C66" s="1036">
        <v>0.60902777777777783</v>
      </c>
      <c r="D66" s="1037">
        <v>0.61111111111111105</v>
      </c>
      <c r="E66" s="1038" t="s">
        <v>93</v>
      </c>
      <c r="F66" s="1037">
        <v>0.76388888888888884</v>
      </c>
      <c r="G66" s="1039" t="s">
        <v>93</v>
      </c>
      <c r="H66" s="1037">
        <v>0.8125</v>
      </c>
      <c r="I66" s="1037">
        <v>0.8125</v>
      </c>
      <c r="J66" s="1002" t="s">
        <v>93</v>
      </c>
      <c r="K66" s="1036">
        <v>1.0138888888888888</v>
      </c>
      <c r="L66" s="1039" t="s">
        <v>27</v>
      </c>
      <c r="M66" s="1040">
        <f>K66</f>
        <v>1.0138888888888888</v>
      </c>
      <c r="N66" s="1036">
        <f t="shared" si="3"/>
        <v>0.40486111111111101</v>
      </c>
      <c r="O66" s="1042">
        <f t="shared" si="2"/>
        <v>0.35624999999999984</v>
      </c>
      <c r="P66" s="1043">
        <f t="shared" si="4"/>
        <v>4.861111111111116E-2</v>
      </c>
      <c r="Q66" s="1044" t="s">
        <v>214</v>
      </c>
      <c r="R66" s="105"/>
      <c r="S66" s="105"/>
      <c r="T66" s="297"/>
      <c r="U66" s="519"/>
    </row>
    <row r="67" spans="1:21" ht="15.5" x14ac:dyDescent="0.35">
      <c r="A67" s="1001">
        <v>9</v>
      </c>
      <c r="B67" s="1002">
        <v>259</v>
      </c>
      <c r="C67" s="1036">
        <v>0.65069444444444446</v>
      </c>
      <c r="D67" s="1037">
        <v>0.65277777777777779</v>
      </c>
      <c r="E67" s="1038" t="s">
        <v>93</v>
      </c>
      <c r="F67" s="1037">
        <v>0.78125</v>
      </c>
      <c r="G67" s="1039" t="s">
        <v>27</v>
      </c>
      <c r="H67" s="1037">
        <f>I67-TIME( ,3, )</f>
        <v>0.83125000000000004</v>
      </c>
      <c r="I67" s="1037">
        <v>0.83333333333333337</v>
      </c>
      <c r="J67" s="1002" t="s">
        <v>27</v>
      </c>
      <c r="K67" s="1036">
        <v>1.0208333333333333</v>
      </c>
      <c r="L67" s="1039" t="s">
        <v>27</v>
      </c>
      <c r="M67" s="1040">
        <f t="shared" ref="M67:M68" si="5">K67</f>
        <v>1.0208333333333333</v>
      </c>
      <c r="N67" s="1007">
        <f t="shared" si="3"/>
        <v>0.3701388888888888</v>
      </c>
      <c r="O67" s="1008">
        <f t="shared" si="2"/>
        <v>0.32013888888888875</v>
      </c>
      <c r="P67" s="1009">
        <f t="shared" si="4"/>
        <v>5.0000000000000044E-2</v>
      </c>
      <c r="Q67" s="1010" t="s">
        <v>214</v>
      </c>
      <c r="R67" s="105"/>
      <c r="S67" s="105"/>
      <c r="T67" s="1000"/>
      <c r="U67" s="1000"/>
    </row>
    <row r="68" spans="1:21" ht="15.5" x14ac:dyDescent="0.35">
      <c r="A68" s="1011">
        <v>10</v>
      </c>
      <c r="B68" s="1012">
        <v>260</v>
      </c>
      <c r="C68" s="1015">
        <v>0.67847222222222225</v>
      </c>
      <c r="D68" s="1013">
        <v>0.68055555555555547</v>
      </c>
      <c r="E68" s="1014" t="s">
        <v>93</v>
      </c>
      <c r="F68" s="1013">
        <v>0.8125</v>
      </c>
      <c r="G68" s="1016" t="s">
        <v>93</v>
      </c>
      <c r="H68" s="1013">
        <v>0.89583333333333337</v>
      </c>
      <c r="I68" s="1013">
        <v>0.89583333333333337</v>
      </c>
      <c r="J68" s="1012" t="s">
        <v>93</v>
      </c>
      <c r="K68" s="1015">
        <v>1.0347222222222221</v>
      </c>
      <c r="L68" s="1016" t="s">
        <v>27</v>
      </c>
      <c r="M68" s="1045">
        <f t="shared" si="5"/>
        <v>1.0347222222222221</v>
      </c>
      <c r="N68" s="1018">
        <f t="shared" si="3"/>
        <v>0.35624999999999984</v>
      </c>
      <c r="O68" s="1019">
        <f t="shared" si="2"/>
        <v>0.27291666666666647</v>
      </c>
      <c r="P68" s="1020">
        <f t="shared" si="4"/>
        <v>8.333333333333337E-2</v>
      </c>
      <c r="Q68" s="1021" t="s">
        <v>214</v>
      </c>
      <c r="R68" s="105"/>
      <c r="S68" s="105"/>
      <c r="T68" s="1000"/>
      <c r="U68" s="519"/>
    </row>
    <row r="69" spans="1:21" ht="15" customHeight="1" x14ac:dyDescent="0.35">
      <c r="A69" s="1046" t="s">
        <v>214</v>
      </c>
      <c r="B69" s="1047" t="s">
        <v>214</v>
      </c>
      <c r="C69" s="1047" t="s">
        <v>214</v>
      </c>
      <c r="D69" s="1047" t="s">
        <v>214</v>
      </c>
      <c r="E69" s="1047" t="s">
        <v>214</v>
      </c>
      <c r="F69" s="1047" t="s">
        <v>214</v>
      </c>
      <c r="G69" s="1047" t="s">
        <v>214</v>
      </c>
      <c r="H69" s="1047" t="s">
        <v>214</v>
      </c>
      <c r="I69" s="1047" t="s">
        <v>214</v>
      </c>
      <c r="J69" s="1048" t="s">
        <v>214</v>
      </c>
      <c r="K69" s="1048" t="s">
        <v>214</v>
      </c>
      <c r="L69" s="1048" t="s">
        <v>214</v>
      </c>
      <c r="M69" s="1049" t="s">
        <v>214</v>
      </c>
      <c r="N69" s="1050" t="s">
        <v>94</v>
      </c>
      <c r="O69" s="1051">
        <f>AVERAGE(O59:O68)</f>
        <v>0.27430555555555547</v>
      </c>
      <c r="P69" s="1647" t="s">
        <v>214</v>
      </c>
      <c r="Q69" s="1648"/>
      <c r="R69" s="324"/>
      <c r="S69" s="324"/>
      <c r="T69" s="1000"/>
      <c r="U69" s="519"/>
    </row>
    <row r="70" spans="1:21" ht="15.5" x14ac:dyDescent="0.35">
      <c r="A70" s="990" t="s">
        <v>95</v>
      </c>
      <c r="B70" s="991">
        <v>281</v>
      </c>
      <c r="C70" s="992">
        <f>D70-TIME( ,8, )</f>
        <v>0.39375000000000004</v>
      </c>
      <c r="D70" s="993">
        <v>0.39930555555555558</v>
      </c>
      <c r="E70" s="994" t="s">
        <v>27</v>
      </c>
      <c r="F70" s="993">
        <v>0.61111111111111105</v>
      </c>
      <c r="G70" s="1052" t="s">
        <v>93</v>
      </c>
      <c r="H70" s="993">
        <v>0.66666666666666663</v>
      </c>
      <c r="I70" s="993">
        <v>0.66666666666666663</v>
      </c>
      <c r="J70" s="1053" t="s">
        <v>93</v>
      </c>
      <c r="K70" s="992">
        <v>0.76736111111111116</v>
      </c>
      <c r="L70" s="995" t="s">
        <v>27</v>
      </c>
      <c r="M70" s="1054">
        <v>0.76736111111111116</v>
      </c>
      <c r="N70" s="992">
        <f t="shared" ref="N70:N71" si="6">M70-C70</f>
        <v>0.37361111111111112</v>
      </c>
      <c r="O70" s="997">
        <f t="shared" si="2"/>
        <v>0.31805555555555554</v>
      </c>
      <c r="P70" s="998">
        <f t="shared" ref="P70:P71" si="7">H70-F70</f>
        <v>5.555555555555558E-2</v>
      </c>
      <c r="Q70" s="1055" t="s">
        <v>214</v>
      </c>
      <c r="R70" s="105"/>
      <c r="S70" s="105"/>
      <c r="T70" s="1000"/>
      <c r="U70" s="519"/>
    </row>
    <row r="71" spans="1:21" ht="15.5" x14ac:dyDescent="0.35">
      <c r="A71" s="1022" t="s">
        <v>96</v>
      </c>
      <c r="B71" s="1023">
        <v>282</v>
      </c>
      <c r="C71" s="1018">
        <f>D71-TIME( ,8, )</f>
        <v>0.40416666666666673</v>
      </c>
      <c r="D71" s="1019">
        <v>0.40972222222222227</v>
      </c>
      <c r="E71" s="1056" t="s">
        <v>27</v>
      </c>
      <c r="F71" s="1027">
        <v>0.5</v>
      </c>
      <c r="G71" s="1057" t="s">
        <v>93</v>
      </c>
      <c r="H71" s="1058">
        <v>0.54166666666666663</v>
      </c>
      <c r="I71" s="1058">
        <v>0.54166666666666663</v>
      </c>
      <c r="J71" s="1023" t="s">
        <v>93</v>
      </c>
      <c r="K71" s="1024">
        <v>0.70833333333333337</v>
      </c>
      <c r="L71" s="1059" t="s">
        <v>27</v>
      </c>
      <c r="M71" s="1060">
        <v>0.70833333333333337</v>
      </c>
      <c r="N71" s="1018">
        <f t="shared" si="6"/>
        <v>0.30416666666666664</v>
      </c>
      <c r="O71" s="1019">
        <f t="shared" si="2"/>
        <v>0.26250000000000001</v>
      </c>
      <c r="P71" s="1020">
        <f t="shared" si="7"/>
        <v>4.166666666666663E-2</v>
      </c>
      <c r="Q71" s="1061" t="s">
        <v>214</v>
      </c>
      <c r="R71" s="105"/>
      <c r="S71" s="105"/>
      <c r="T71" s="1000"/>
      <c r="U71" s="519"/>
    </row>
    <row r="72" spans="1:21" ht="15" customHeight="1" x14ac:dyDescent="0.35">
      <c r="A72" s="1062" t="s">
        <v>214</v>
      </c>
      <c r="B72" s="1063" t="s">
        <v>214</v>
      </c>
      <c r="C72" s="1064" t="s">
        <v>214</v>
      </c>
      <c r="D72" s="1064" t="s">
        <v>214</v>
      </c>
      <c r="E72" s="1064" t="s">
        <v>214</v>
      </c>
      <c r="F72" s="1063" t="s">
        <v>214</v>
      </c>
      <c r="G72" s="1063" t="s">
        <v>214</v>
      </c>
      <c r="H72" s="1063" t="s">
        <v>214</v>
      </c>
      <c r="I72" s="1063" t="s">
        <v>214</v>
      </c>
      <c r="J72" s="1063" t="s">
        <v>214</v>
      </c>
      <c r="K72" s="1063" t="s">
        <v>214</v>
      </c>
      <c r="L72" s="1063" t="s">
        <v>214</v>
      </c>
      <c r="M72" s="1065" t="s">
        <v>214</v>
      </c>
      <c r="N72" s="1066" t="s">
        <v>94</v>
      </c>
      <c r="O72" s="1067">
        <f>AVERAGE(O70:O71)</f>
        <v>0.29027777777777775</v>
      </c>
      <c r="P72" s="1635" t="s">
        <v>214</v>
      </c>
      <c r="Q72" s="1636"/>
      <c r="R72" s="519"/>
      <c r="S72" s="519"/>
      <c r="T72" s="519"/>
      <c r="U72" s="519"/>
    </row>
    <row r="73" spans="1:21" ht="15.5" x14ac:dyDescent="0.35">
      <c r="A73" s="851"/>
      <c r="B73" s="851"/>
      <c r="C73" s="851"/>
      <c r="D73" s="851"/>
      <c r="E73" s="851"/>
      <c r="F73" s="851"/>
      <c r="G73" s="851"/>
      <c r="H73" s="851"/>
      <c r="I73" s="851"/>
      <c r="J73" s="851"/>
      <c r="K73" s="851"/>
      <c r="L73" s="851"/>
      <c r="M73" s="851"/>
      <c r="N73" s="851"/>
      <c r="O73" s="851"/>
      <c r="P73" s="297"/>
      <c r="Q73" s="519"/>
      <c r="R73" s="519"/>
      <c r="S73" s="519"/>
      <c r="T73" s="297"/>
      <c r="U73" s="297"/>
    </row>
    <row r="74" spans="1:21" ht="15.5" x14ac:dyDescent="0.35">
      <c r="A74" s="519"/>
      <c r="B74" s="519"/>
      <c r="C74" s="519"/>
      <c r="D74" s="519"/>
      <c r="E74" s="519"/>
      <c r="F74" s="519"/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297"/>
      <c r="U74" s="297"/>
    </row>
    <row r="75" spans="1:21" ht="15.5" x14ac:dyDescent="0.35">
      <c r="A75" s="519"/>
      <c r="B75" s="519"/>
      <c r="C75" s="519"/>
      <c r="D75" s="519"/>
      <c r="E75" s="519"/>
      <c r="F75" s="519"/>
      <c r="G75" s="519"/>
      <c r="H75" s="519"/>
      <c r="I75" s="519"/>
      <c r="J75" s="519"/>
      <c r="K75" s="519"/>
      <c r="L75" s="519"/>
      <c r="M75" s="519"/>
      <c r="N75" s="519"/>
      <c r="O75" s="519"/>
      <c r="P75" s="519"/>
      <c r="Q75" s="519"/>
      <c r="R75" s="519"/>
      <c r="S75" s="519"/>
      <c r="T75" s="297"/>
      <c r="U75" s="297"/>
    </row>
    <row r="76" spans="1:21" ht="15.5" x14ac:dyDescent="0.35">
      <c r="A76" s="297"/>
      <c r="B76" s="297"/>
      <c r="C76" s="297"/>
      <c r="D76" s="297"/>
      <c r="E76" s="297"/>
      <c r="F76" s="297"/>
      <c r="G76" s="297"/>
      <c r="H76" s="297"/>
      <c r="I76" s="297"/>
      <c r="J76" s="519"/>
      <c r="K76" s="519"/>
      <c r="L76" s="519"/>
      <c r="M76" s="519"/>
      <c r="N76" s="519"/>
      <c r="O76" s="519"/>
      <c r="P76" s="519"/>
      <c r="Q76" s="297"/>
      <c r="R76" s="297"/>
      <c r="S76" s="297"/>
      <c r="T76" s="297"/>
      <c r="U76" s="297"/>
    </row>
  </sheetData>
  <mergeCells count="8">
    <mergeCell ref="A1:H1"/>
    <mergeCell ref="P72:Q72"/>
    <mergeCell ref="A56:P56"/>
    <mergeCell ref="F59:J59"/>
    <mergeCell ref="F60:J60"/>
    <mergeCell ref="F61:J61"/>
    <mergeCell ref="F63:J63"/>
    <mergeCell ref="P69:Q6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51"/>
  <sheetViews>
    <sheetView workbookViewId="0">
      <selection activeCell="H11" sqref="H11"/>
    </sheetView>
  </sheetViews>
  <sheetFormatPr defaultColWidth="9.90625" defaultRowHeight="14.5" x14ac:dyDescent="0.35"/>
  <cols>
    <col min="1" max="1" width="12.6328125" customWidth="1"/>
    <col min="2" max="5" width="9.1796875" bestFit="1" customWidth="1"/>
    <col min="6" max="6" width="14.08984375" customWidth="1"/>
    <col min="7" max="10" width="9.1796875" bestFit="1" customWidth="1"/>
    <col min="11" max="11" width="12.81640625" style="1068" customWidth="1"/>
    <col min="12" max="12" width="9.1796875" bestFit="1" customWidth="1"/>
    <col min="13" max="14" width="9.1796875" customWidth="1"/>
    <col min="15" max="15" width="9.1796875" bestFit="1" customWidth="1"/>
    <col min="16" max="19" width="9.1796875" customWidth="1"/>
    <col min="20" max="20" width="14.26953125" style="1068" customWidth="1"/>
    <col min="21" max="22" width="9.1796875" bestFit="1" customWidth="1"/>
    <col min="23" max="23" width="11.7265625" customWidth="1"/>
    <col min="24" max="27" width="9.1796875" bestFit="1" customWidth="1"/>
    <col min="28" max="31" width="9.1796875" customWidth="1"/>
    <col min="32" max="32" width="11.54296875" customWidth="1"/>
    <col min="33" max="34" width="9.1796875" bestFit="1" customWidth="1"/>
    <col min="35" max="35" width="13.26953125" customWidth="1"/>
    <col min="36" max="40" width="9.1796875" bestFit="1" customWidth="1"/>
    <col min="41" max="41" width="9.1796875" customWidth="1"/>
    <col min="42" max="42" width="11.7265625" bestFit="1" customWidth="1"/>
  </cols>
  <sheetData>
    <row r="1" spans="1:44" ht="21" x14ac:dyDescent="0.5">
      <c r="A1" s="1662" t="s">
        <v>243</v>
      </c>
      <c r="B1" s="1662"/>
      <c r="C1" s="1662"/>
      <c r="D1" s="1662"/>
      <c r="F1" s="1663" t="s">
        <v>244</v>
      </c>
      <c r="G1" s="1664"/>
      <c r="H1" s="1664"/>
      <c r="I1" s="1665"/>
      <c r="K1" s="1654" t="s">
        <v>245</v>
      </c>
      <c r="L1" s="1655"/>
      <c r="M1" s="1655"/>
      <c r="N1" s="1655"/>
      <c r="O1" s="1655"/>
      <c r="P1" s="1655"/>
      <c r="Q1" s="1655"/>
      <c r="R1" s="1655"/>
      <c r="S1" s="1655"/>
      <c r="T1" s="1656"/>
      <c r="V1" s="1069"/>
      <c r="W1" s="1649" t="s">
        <v>246</v>
      </c>
      <c r="X1" s="1650"/>
      <c r="Y1" s="1650"/>
      <c r="Z1" s="1650"/>
      <c r="AA1" s="1650"/>
      <c r="AB1" s="1650"/>
      <c r="AC1" s="1650"/>
      <c r="AD1" s="1650"/>
      <c r="AE1" s="1650"/>
      <c r="AF1" s="1651"/>
      <c r="AG1" s="1069"/>
      <c r="AH1" s="1069"/>
      <c r="AI1" s="1652" t="s">
        <v>247</v>
      </c>
      <c r="AJ1" s="1653"/>
      <c r="AK1" s="1653"/>
      <c r="AL1" s="1653"/>
      <c r="AM1" s="1653"/>
      <c r="AN1" s="1653"/>
      <c r="AO1" s="1653"/>
      <c r="AP1" s="1653"/>
      <c r="AQ1" s="1069"/>
      <c r="AR1" s="1069"/>
    </row>
    <row r="2" spans="1:44" ht="18.5" x14ac:dyDescent="0.45">
      <c r="A2" s="1657" t="s">
        <v>248</v>
      </c>
      <c r="B2" s="1658"/>
      <c r="C2" s="1658"/>
      <c r="D2" s="1659"/>
      <c r="F2" s="1660" t="s">
        <v>248</v>
      </c>
      <c r="G2" s="1658"/>
      <c r="H2" s="1658"/>
      <c r="I2" s="1661"/>
      <c r="K2" s="1070" t="s">
        <v>249</v>
      </c>
      <c r="L2" s="1071" t="s">
        <v>8</v>
      </c>
      <c r="M2" s="1072" t="s">
        <v>100</v>
      </c>
      <c r="N2" s="1072" t="s">
        <v>7</v>
      </c>
      <c r="O2" s="1072" t="s">
        <v>9</v>
      </c>
      <c r="P2" s="1072" t="s">
        <v>2</v>
      </c>
      <c r="Q2" s="1072" t="s">
        <v>5</v>
      </c>
      <c r="R2" s="1072" t="s">
        <v>6</v>
      </c>
      <c r="S2" s="1072" t="s">
        <v>4</v>
      </c>
      <c r="T2" s="1073" t="s">
        <v>249</v>
      </c>
      <c r="V2" s="1069"/>
      <c r="W2" s="1074" t="s">
        <v>249</v>
      </c>
      <c r="X2" s="1075" t="s">
        <v>8</v>
      </c>
      <c r="Y2" s="1075" t="s">
        <v>100</v>
      </c>
      <c r="Z2" s="1075" t="s">
        <v>7</v>
      </c>
      <c r="AA2" s="1075" t="s">
        <v>9</v>
      </c>
      <c r="AB2" s="1075" t="s">
        <v>2</v>
      </c>
      <c r="AC2" s="1075" t="s">
        <v>5</v>
      </c>
      <c r="AD2" s="1075" t="s">
        <v>6</v>
      </c>
      <c r="AE2" s="1075" t="s">
        <v>4</v>
      </c>
      <c r="AF2" s="1076" t="s">
        <v>249</v>
      </c>
      <c r="AG2" s="1069"/>
      <c r="AH2" s="1069"/>
      <c r="AI2" s="1074" t="s">
        <v>249</v>
      </c>
      <c r="AJ2" s="1075" t="s">
        <v>8</v>
      </c>
      <c r="AK2" s="1075" t="s">
        <v>100</v>
      </c>
      <c r="AL2" s="1075" t="s">
        <v>7</v>
      </c>
      <c r="AM2" s="1075" t="s">
        <v>9</v>
      </c>
      <c r="AN2" s="1075" t="s">
        <v>2</v>
      </c>
      <c r="AO2" s="1075" t="s">
        <v>5</v>
      </c>
      <c r="AP2" s="1076" t="s">
        <v>249</v>
      </c>
      <c r="AQ2" s="1069"/>
      <c r="AR2" s="1069"/>
    </row>
    <row r="3" spans="1:44" x14ac:dyDescent="0.35">
      <c r="A3" s="1077" t="s">
        <v>249</v>
      </c>
      <c r="B3" s="1078" t="s">
        <v>250</v>
      </c>
      <c r="C3" s="1078" t="s">
        <v>251</v>
      </c>
      <c r="D3" s="1079" t="s">
        <v>252</v>
      </c>
      <c r="F3" s="1080" t="s">
        <v>249</v>
      </c>
      <c r="G3" s="1081" t="s">
        <v>250</v>
      </c>
      <c r="H3" s="1078" t="s">
        <v>251</v>
      </c>
      <c r="I3" s="1082" t="s">
        <v>252</v>
      </c>
      <c r="K3" s="1083" t="s">
        <v>253</v>
      </c>
      <c r="L3" s="1084"/>
      <c r="M3" s="1085"/>
      <c r="N3" s="1085"/>
      <c r="O3" s="1085"/>
      <c r="P3" s="1085"/>
      <c r="Q3" s="1085"/>
      <c r="R3" s="1085"/>
      <c r="S3" s="1086"/>
      <c r="T3" s="1087" t="s">
        <v>253</v>
      </c>
      <c r="U3">
        <f>SUM(L3:S3)</f>
        <v>0</v>
      </c>
      <c r="V3" s="1069"/>
      <c r="W3" s="1088" t="s">
        <v>253</v>
      </c>
      <c r="X3" s="1069"/>
      <c r="Y3" s="1069"/>
      <c r="Z3" s="1069"/>
      <c r="AA3" s="1069"/>
      <c r="AB3" s="1069"/>
      <c r="AC3" s="1069"/>
      <c r="AD3" s="1069"/>
      <c r="AE3" s="1069"/>
      <c r="AF3" s="1088" t="s">
        <v>253</v>
      </c>
      <c r="AG3" s="1069">
        <f>SUM(X3:AE3)</f>
        <v>0</v>
      </c>
      <c r="AH3" s="1069"/>
      <c r="AI3" s="1088" t="s">
        <v>253</v>
      </c>
      <c r="AJ3" s="1069"/>
      <c r="AK3" s="1069"/>
      <c r="AL3" s="1069"/>
      <c r="AM3" s="1069"/>
      <c r="AN3" s="1069"/>
      <c r="AO3" s="1069"/>
      <c r="AP3" s="1088" t="s">
        <v>253</v>
      </c>
      <c r="AQ3" s="1069">
        <f>SUM(AJ3:AO3)</f>
        <v>0</v>
      </c>
      <c r="AR3" s="1069"/>
    </row>
    <row r="4" spans="1:44" ht="15.5" x14ac:dyDescent="0.35">
      <c r="A4" s="1083" t="s">
        <v>253</v>
      </c>
      <c r="B4" s="1089">
        <f t="shared" ref="B4:D51" si="0">G4</f>
        <v>0</v>
      </c>
      <c r="C4" s="1089">
        <f t="shared" si="0"/>
        <v>0</v>
      </c>
      <c r="D4" s="1089">
        <f t="shared" si="0"/>
        <v>0</v>
      </c>
      <c r="F4" s="1090" t="s">
        <v>253</v>
      </c>
      <c r="G4" s="1091">
        <f t="shared" ref="G4:G51" si="1">U3</f>
        <v>0</v>
      </c>
      <c r="H4" s="1092">
        <f>AG3</f>
        <v>0</v>
      </c>
      <c r="I4" s="1093">
        <f t="shared" ref="I4:I51" si="2">AQ3</f>
        <v>0</v>
      </c>
      <c r="K4" s="1094" t="s">
        <v>254</v>
      </c>
      <c r="L4" s="1095">
        <v>1</v>
      </c>
      <c r="M4" s="1096"/>
      <c r="N4" s="1096"/>
      <c r="O4" s="1096"/>
      <c r="P4" s="1096"/>
      <c r="Q4" s="1096"/>
      <c r="R4" s="1096"/>
      <c r="S4" s="1097"/>
      <c r="T4" s="1098" t="s">
        <v>254</v>
      </c>
      <c r="U4">
        <f t="shared" ref="U4:U50" si="3">SUM(L4:S4)</f>
        <v>1</v>
      </c>
      <c r="V4" s="1069"/>
      <c r="W4" s="1088" t="s">
        <v>254</v>
      </c>
      <c r="X4" s="1069"/>
      <c r="Y4" s="1069"/>
      <c r="Z4" s="1069"/>
      <c r="AA4" s="1069"/>
      <c r="AB4" s="1069"/>
      <c r="AC4" s="1069"/>
      <c r="AD4" s="1069"/>
      <c r="AE4" s="1069"/>
      <c r="AF4" s="1088" t="s">
        <v>254</v>
      </c>
      <c r="AG4" s="1069">
        <f t="shared" ref="AG4:AG50" si="4">SUM(X4:AE4)</f>
        <v>0</v>
      </c>
      <c r="AH4" s="1069"/>
      <c r="AI4" s="1088" t="s">
        <v>254</v>
      </c>
      <c r="AJ4" s="1069"/>
      <c r="AK4" s="1069"/>
      <c r="AL4" s="1069"/>
      <c r="AM4" s="1069"/>
      <c r="AN4" s="1069"/>
      <c r="AO4" s="1069"/>
      <c r="AP4" s="1088" t="s">
        <v>254</v>
      </c>
      <c r="AQ4" s="1069">
        <f t="shared" ref="AQ4:AQ50" si="5">SUM(AJ4:AO4)</f>
        <v>0</v>
      </c>
      <c r="AR4" s="1069"/>
    </row>
    <row r="5" spans="1:44" ht="15.5" x14ac:dyDescent="0.35">
      <c r="A5" s="1094" t="s">
        <v>254</v>
      </c>
      <c r="B5" s="1089">
        <f t="shared" si="0"/>
        <v>1</v>
      </c>
      <c r="C5" s="1089">
        <f t="shared" si="0"/>
        <v>0</v>
      </c>
      <c r="D5" s="1089">
        <f t="shared" si="0"/>
        <v>0</v>
      </c>
      <c r="F5" s="1099" t="s">
        <v>254</v>
      </c>
      <c r="G5" s="1100">
        <f t="shared" si="1"/>
        <v>1</v>
      </c>
      <c r="H5" s="1101">
        <f t="shared" ref="H5:H10" si="6">AG4</f>
        <v>0</v>
      </c>
      <c r="I5" s="1102">
        <f t="shared" si="2"/>
        <v>0</v>
      </c>
      <c r="K5" s="1094" t="s">
        <v>255</v>
      </c>
      <c r="L5" s="1095">
        <v>1</v>
      </c>
      <c r="M5" s="1103">
        <v>1</v>
      </c>
      <c r="N5" s="1096"/>
      <c r="O5" s="1096"/>
      <c r="P5" s="1096"/>
      <c r="Q5" s="1096"/>
      <c r="R5" s="1096"/>
      <c r="S5" s="1097"/>
      <c r="T5" s="1098" t="s">
        <v>255</v>
      </c>
      <c r="U5">
        <f t="shared" si="3"/>
        <v>2</v>
      </c>
      <c r="V5" s="1069"/>
      <c r="W5" s="1088" t="s">
        <v>255</v>
      </c>
      <c r="X5" s="1069"/>
      <c r="Y5" s="1069"/>
      <c r="Z5" s="1069"/>
      <c r="AA5" s="1069"/>
      <c r="AB5" s="1069"/>
      <c r="AC5" s="1069"/>
      <c r="AD5" s="1069"/>
      <c r="AE5" s="1069"/>
      <c r="AF5" s="1088" t="s">
        <v>255</v>
      </c>
      <c r="AG5" s="1069">
        <f t="shared" si="4"/>
        <v>0</v>
      </c>
      <c r="AH5" s="1069"/>
      <c r="AI5" s="1088" t="s">
        <v>255</v>
      </c>
      <c r="AJ5" s="1069"/>
      <c r="AK5" s="1069"/>
      <c r="AL5" s="1069"/>
      <c r="AM5" s="1069"/>
      <c r="AN5" s="1069"/>
      <c r="AO5" s="1069"/>
      <c r="AP5" s="1088" t="s">
        <v>255</v>
      </c>
      <c r="AQ5" s="1069">
        <f t="shared" si="5"/>
        <v>0</v>
      </c>
      <c r="AR5" s="1069"/>
    </row>
    <row r="6" spans="1:44" ht="15.5" x14ac:dyDescent="0.35">
      <c r="A6" s="1094" t="s">
        <v>255</v>
      </c>
      <c r="B6" s="1089">
        <f t="shared" si="0"/>
        <v>2</v>
      </c>
      <c r="C6" s="1089">
        <f t="shared" si="0"/>
        <v>0</v>
      </c>
      <c r="D6" s="1089">
        <f t="shared" si="0"/>
        <v>0</v>
      </c>
      <c r="F6" s="1099" t="s">
        <v>255</v>
      </c>
      <c r="G6" s="1100">
        <f t="shared" si="1"/>
        <v>2</v>
      </c>
      <c r="H6" s="1101">
        <f t="shared" si="6"/>
        <v>0</v>
      </c>
      <c r="I6" s="1102">
        <f t="shared" si="2"/>
        <v>0</v>
      </c>
      <c r="K6" s="1104" t="s">
        <v>256</v>
      </c>
      <c r="L6" s="1095">
        <v>1</v>
      </c>
      <c r="M6" s="1103">
        <v>1</v>
      </c>
      <c r="N6" s="1103">
        <v>1</v>
      </c>
      <c r="O6" s="1103">
        <v>1</v>
      </c>
      <c r="P6" s="1096"/>
      <c r="Q6" s="1096"/>
      <c r="R6" s="1096"/>
      <c r="S6" s="1097"/>
      <c r="T6" s="1105" t="s">
        <v>256</v>
      </c>
      <c r="U6">
        <f t="shared" si="3"/>
        <v>4</v>
      </c>
      <c r="V6" s="1069"/>
      <c r="W6" s="1088" t="s">
        <v>256</v>
      </c>
      <c r="X6" s="1095">
        <v>1</v>
      </c>
      <c r="Y6" s="1103">
        <v>1</v>
      </c>
      <c r="Z6" s="1103">
        <v>1</v>
      </c>
      <c r="AA6" s="1069"/>
      <c r="AB6" s="1069"/>
      <c r="AC6" s="1069"/>
      <c r="AD6" s="1069"/>
      <c r="AE6" s="1069"/>
      <c r="AF6" s="1088" t="s">
        <v>256</v>
      </c>
      <c r="AG6" s="1069">
        <f t="shared" si="4"/>
        <v>3</v>
      </c>
      <c r="AH6" s="1069"/>
      <c r="AI6" s="1088" t="s">
        <v>256</v>
      </c>
      <c r="AJ6" s="1069"/>
      <c r="AK6" s="1069"/>
      <c r="AL6" s="1069"/>
      <c r="AM6" s="1069"/>
      <c r="AN6" s="1069"/>
      <c r="AO6" s="1069"/>
      <c r="AP6" s="1088" t="s">
        <v>256</v>
      </c>
      <c r="AQ6" s="1069">
        <f t="shared" si="5"/>
        <v>0</v>
      </c>
      <c r="AR6" s="1069"/>
    </row>
    <row r="7" spans="1:44" ht="15.5" x14ac:dyDescent="0.35">
      <c r="A7" s="1104" t="s">
        <v>256</v>
      </c>
      <c r="B7" s="1089">
        <f t="shared" si="0"/>
        <v>4</v>
      </c>
      <c r="C7" s="1089">
        <f t="shared" si="0"/>
        <v>3</v>
      </c>
      <c r="D7" s="1089">
        <f t="shared" si="0"/>
        <v>0</v>
      </c>
      <c r="F7" s="1106" t="s">
        <v>256</v>
      </c>
      <c r="G7" s="1100">
        <f t="shared" si="1"/>
        <v>4</v>
      </c>
      <c r="H7" s="1101">
        <f t="shared" si="6"/>
        <v>3</v>
      </c>
      <c r="I7" s="1102">
        <f t="shared" si="2"/>
        <v>0</v>
      </c>
      <c r="K7" s="1094" t="s">
        <v>257</v>
      </c>
      <c r="L7" s="1095">
        <v>1</v>
      </c>
      <c r="M7" s="1103">
        <v>1</v>
      </c>
      <c r="N7" s="1103">
        <v>1</v>
      </c>
      <c r="O7" s="1103">
        <v>1</v>
      </c>
      <c r="P7" s="1103">
        <v>1</v>
      </c>
      <c r="Q7" s="1096"/>
      <c r="R7" s="1096"/>
      <c r="S7" s="1097"/>
      <c r="T7" s="1098" t="s">
        <v>258</v>
      </c>
      <c r="U7">
        <f t="shared" si="3"/>
        <v>5</v>
      </c>
      <c r="V7" s="1069"/>
      <c r="W7" s="1088" t="s">
        <v>258</v>
      </c>
      <c r="X7" s="1095">
        <v>1</v>
      </c>
      <c r="Y7" s="1103">
        <v>1</v>
      </c>
      <c r="Z7" s="1103">
        <v>1</v>
      </c>
      <c r="AA7" s="1103">
        <v>1</v>
      </c>
      <c r="AB7" s="1069"/>
      <c r="AC7" s="1069"/>
      <c r="AD7" s="1069"/>
      <c r="AE7" s="1069"/>
      <c r="AF7" s="1088" t="s">
        <v>258</v>
      </c>
      <c r="AG7" s="1069">
        <f t="shared" si="4"/>
        <v>4</v>
      </c>
      <c r="AH7" s="1069"/>
      <c r="AI7" s="1088" t="s">
        <v>258</v>
      </c>
      <c r="AJ7" s="1069"/>
      <c r="AK7" s="1069"/>
      <c r="AL7" s="1069"/>
      <c r="AM7" s="1069"/>
      <c r="AN7" s="1069"/>
      <c r="AO7" s="1069"/>
      <c r="AP7" s="1088" t="s">
        <v>258</v>
      </c>
      <c r="AQ7" s="1069">
        <f t="shared" si="5"/>
        <v>0</v>
      </c>
      <c r="AR7" s="1069"/>
    </row>
    <row r="8" spans="1:44" ht="15.5" x14ac:dyDescent="0.35">
      <c r="A8" s="1094" t="s">
        <v>258</v>
      </c>
      <c r="B8" s="1089">
        <f t="shared" si="0"/>
        <v>5</v>
      </c>
      <c r="C8" s="1089">
        <f t="shared" si="0"/>
        <v>4</v>
      </c>
      <c r="D8" s="1089">
        <f t="shared" si="0"/>
        <v>0</v>
      </c>
      <c r="F8" s="1099" t="s">
        <v>258</v>
      </c>
      <c r="G8" s="1100">
        <f t="shared" si="1"/>
        <v>5</v>
      </c>
      <c r="H8" s="1101">
        <f t="shared" si="6"/>
        <v>4</v>
      </c>
      <c r="I8" s="1102">
        <f t="shared" si="2"/>
        <v>0</v>
      </c>
      <c r="K8" s="1094" t="s">
        <v>259</v>
      </c>
      <c r="L8" s="1095">
        <v>1</v>
      </c>
      <c r="M8" s="1103">
        <v>1</v>
      </c>
      <c r="N8" s="1103">
        <v>1</v>
      </c>
      <c r="O8" s="1103">
        <v>1</v>
      </c>
      <c r="P8" s="1103">
        <v>1</v>
      </c>
      <c r="Q8" s="1103">
        <v>1</v>
      </c>
      <c r="R8" s="1096"/>
      <c r="S8" s="1097"/>
      <c r="T8" s="1098" t="s">
        <v>259</v>
      </c>
      <c r="U8">
        <f t="shared" si="3"/>
        <v>6</v>
      </c>
      <c r="V8" s="1069"/>
      <c r="W8" s="1088" t="s">
        <v>259</v>
      </c>
      <c r="X8" s="1095">
        <v>1</v>
      </c>
      <c r="Y8" s="1103">
        <v>1</v>
      </c>
      <c r="Z8" s="1103">
        <v>1</v>
      </c>
      <c r="AA8" s="1103">
        <v>1</v>
      </c>
      <c r="AB8" s="1069"/>
      <c r="AC8" s="1069"/>
      <c r="AD8" s="1069"/>
      <c r="AE8" s="1069"/>
      <c r="AF8" s="1088" t="s">
        <v>259</v>
      </c>
      <c r="AG8" s="1069">
        <f t="shared" si="4"/>
        <v>4</v>
      </c>
      <c r="AH8" s="1069"/>
      <c r="AI8" s="1088" t="s">
        <v>259</v>
      </c>
      <c r="AJ8" s="1069"/>
      <c r="AK8" s="1069"/>
      <c r="AL8" s="1069"/>
      <c r="AM8" s="1069"/>
      <c r="AN8" s="1069"/>
      <c r="AO8" s="1069"/>
      <c r="AP8" s="1088" t="s">
        <v>259</v>
      </c>
      <c r="AQ8" s="1069">
        <f t="shared" si="5"/>
        <v>0</v>
      </c>
      <c r="AR8" s="1069"/>
    </row>
    <row r="9" spans="1:44" ht="15.5" x14ac:dyDescent="0.35">
      <c r="A9" s="1094" t="s">
        <v>259</v>
      </c>
      <c r="B9" s="1089">
        <f t="shared" si="0"/>
        <v>6</v>
      </c>
      <c r="C9" s="1089">
        <f t="shared" si="0"/>
        <v>4</v>
      </c>
      <c r="D9" s="1089">
        <f t="shared" si="0"/>
        <v>0</v>
      </c>
      <c r="F9" s="1099" t="s">
        <v>259</v>
      </c>
      <c r="G9" s="1100">
        <f t="shared" si="1"/>
        <v>6</v>
      </c>
      <c r="H9" s="1101">
        <f t="shared" si="6"/>
        <v>4</v>
      </c>
      <c r="I9" s="1102">
        <f t="shared" si="2"/>
        <v>0</v>
      </c>
      <c r="K9" s="1094" t="s">
        <v>260</v>
      </c>
      <c r="L9" s="1095">
        <v>1</v>
      </c>
      <c r="M9" s="1103">
        <v>1</v>
      </c>
      <c r="N9" s="1103">
        <v>1</v>
      </c>
      <c r="O9" s="1103">
        <v>1</v>
      </c>
      <c r="P9" s="1103">
        <v>1</v>
      </c>
      <c r="Q9" s="1103">
        <v>1</v>
      </c>
      <c r="R9" s="1103">
        <v>1</v>
      </c>
      <c r="S9" s="1097"/>
      <c r="T9" s="1098" t="s">
        <v>260</v>
      </c>
      <c r="U9">
        <f t="shared" si="3"/>
        <v>7</v>
      </c>
      <c r="V9" s="1069"/>
      <c r="W9" s="1088" t="s">
        <v>260</v>
      </c>
      <c r="X9" s="1095">
        <v>1</v>
      </c>
      <c r="Y9" s="1103">
        <v>1</v>
      </c>
      <c r="Z9" s="1103">
        <v>1</v>
      </c>
      <c r="AA9" s="1103">
        <v>1</v>
      </c>
      <c r="AB9" s="1069"/>
      <c r="AC9" s="1069"/>
      <c r="AD9" s="1069"/>
      <c r="AE9" s="1069"/>
      <c r="AF9" s="1088" t="s">
        <v>260</v>
      </c>
      <c r="AG9" s="1069">
        <f t="shared" si="4"/>
        <v>4</v>
      </c>
      <c r="AH9" s="1069"/>
      <c r="AI9" s="1088" t="s">
        <v>260</v>
      </c>
      <c r="AJ9" s="1069"/>
      <c r="AK9" s="1069"/>
      <c r="AL9" s="1069"/>
      <c r="AM9" s="1069"/>
      <c r="AN9" s="1069"/>
      <c r="AO9" s="1069"/>
      <c r="AP9" s="1088" t="s">
        <v>260</v>
      </c>
      <c r="AQ9" s="1069">
        <f t="shared" si="5"/>
        <v>0</v>
      </c>
      <c r="AR9" s="1069"/>
    </row>
    <row r="10" spans="1:44" ht="15.5" x14ac:dyDescent="0.35">
      <c r="A10" s="1094" t="s">
        <v>260</v>
      </c>
      <c r="B10" s="1089">
        <f t="shared" si="0"/>
        <v>7</v>
      </c>
      <c r="C10" s="1089">
        <f t="shared" si="0"/>
        <v>4</v>
      </c>
      <c r="D10" s="1089">
        <f t="shared" si="0"/>
        <v>0</v>
      </c>
      <c r="F10" s="1099" t="s">
        <v>260</v>
      </c>
      <c r="G10" s="1100">
        <f t="shared" si="1"/>
        <v>7</v>
      </c>
      <c r="H10" s="1101">
        <f t="shared" si="6"/>
        <v>4</v>
      </c>
      <c r="I10" s="1102">
        <f t="shared" si="2"/>
        <v>0</v>
      </c>
      <c r="K10" s="1094" t="s">
        <v>261</v>
      </c>
      <c r="L10" s="1095">
        <v>1</v>
      </c>
      <c r="M10" s="1103">
        <v>1</v>
      </c>
      <c r="N10" s="1103">
        <v>1</v>
      </c>
      <c r="O10" s="1103">
        <v>1</v>
      </c>
      <c r="P10" s="1103">
        <v>1</v>
      </c>
      <c r="Q10" s="1103">
        <v>1</v>
      </c>
      <c r="R10" s="1103">
        <v>1</v>
      </c>
      <c r="S10" s="1107">
        <v>1</v>
      </c>
      <c r="T10" s="1098" t="s">
        <v>261</v>
      </c>
      <c r="U10">
        <f t="shared" si="3"/>
        <v>8</v>
      </c>
      <c r="V10" s="1069"/>
      <c r="W10" s="1088" t="s">
        <v>261</v>
      </c>
      <c r="X10" s="1095">
        <v>1</v>
      </c>
      <c r="Y10" s="1103">
        <v>1</v>
      </c>
      <c r="Z10" s="1103">
        <v>1</v>
      </c>
      <c r="AA10" s="1103">
        <v>1</v>
      </c>
      <c r="AB10" s="1103">
        <v>1</v>
      </c>
      <c r="AC10" s="1069"/>
      <c r="AD10" s="1069"/>
      <c r="AE10" s="1069"/>
      <c r="AF10" s="1088" t="s">
        <v>261</v>
      </c>
      <c r="AG10" s="1069">
        <f t="shared" si="4"/>
        <v>5</v>
      </c>
      <c r="AH10" s="1069"/>
      <c r="AI10" s="1088" t="s">
        <v>261</v>
      </c>
      <c r="AJ10" s="1069"/>
      <c r="AK10" s="1069"/>
      <c r="AL10" s="1069"/>
      <c r="AM10" s="1069"/>
      <c r="AN10" s="1069"/>
      <c r="AO10" s="1069"/>
      <c r="AP10" s="1088" t="s">
        <v>261</v>
      </c>
      <c r="AQ10" s="1069">
        <f t="shared" si="5"/>
        <v>0</v>
      </c>
      <c r="AR10" s="1069"/>
    </row>
    <row r="11" spans="1:44" ht="15.5" x14ac:dyDescent="0.35">
      <c r="A11" s="1094" t="s">
        <v>261</v>
      </c>
      <c r="B11" s="1089">
        <f t="shared" si="0"/>
        <v>8</v>
      </c>
      <c r="C11" s="1089">
        <f t="shared" si="0"/>
        <v>5</v>
      </c>
      <c r="D11" s="1089">
        <f t="shared" si="0"/>
        <v>0</v>
      </c>
      <c r="F11" s="1099" t="s">
        <v>261</v>
      </c>
      <c r="G11" s="1100">
        <f t="shared" si="1"/>
        <v>8</v>
      </c>
      <c r="H11" s="1101">
        <f>AG10</f>
        <v>5</v>
      </c>
      <c r="I11" s="1102">
        <f t="shared" si="2"/>
        <v>0</v>
      </c>
      <c r="K11" s="1094" t="s">
        <v>262</v>
      </c>
      <c r="L11" s="1095">
        <v>1</v>
      </c>
      <c r="M11" s="1103">
        <v>1</v>
      </c>
      <c r="N11" s="1103">
        <v>1</v>
      </c>
      <c r="O11" s="1103">
        <v>1</v>
      </c>
      <c r="P11" s="1103">
        <v>1</v>
      </c>
      <c r="Q11" s="1103">
        <v>1</v>
      </c>
      <c r="R11" s="1103">
        <v>1</v>
      </c>
      <c r="S11" s="1107">
        <v>1</v>
      </c>
      <c r="T11" s="1098" t="s">
        <v>262</v>
      </c>
      <c r="U11">
        <f t="shared" si="3"/>
        <v>8</v>
      </c>
      <c r="V11" s="1069"/>
      <c r="W11" s="1088" t="s">
        <v>262</v>
      </c>
      <c r="X11" s="1095">
        <v>1</v>
      </c>
      <c r="Y11" s="1103">
        <v>1</v>
      </c>
      <c r="Z11" s="1103">
        <v>1</v>
      </c>
      <c r="AA11" s="1103">
        <v>1</v>
      </c>
      <c r="AB11" s="1103">
        <v>1</v>
      </c>
      <c r="AC11" s="1069"/>
      <c r="AD11" s="1069"/>
      <c r="AE11" s="1069"/>
      <c r="AF11" s="1088" t="s">
        <v>262</v>
      </c>
      <c r="AG11" s="1069">
        <f t="shared" si="4"/>
        <v>5</v>
      </c>
      <c r="AH11" s="1069"/>
      <c r="AI11" s="1088" t="s">
        <v>262</v>
      </c>
      <c r="AJ11" s="1069"/>
      <c r="AK11" s="1069"/>
      <c r="AL11" s="1069"/>
      <c r="AM11" s="1069"/>
      <c r="AN11" s="1069"/>
      <c r="AO11" s="1069"/>
      <c r="AP11" s="1088" t="s">
        <v>262</v>
      </c>
      <c r="AQ11" s="1069">
        <f t="shared" si="5"/>
        <v>0</v>
      </c>
      <c r="AR11" s="1069"/>
    </row>
    <row r="12" spans="1:44" ht="15.5" x14ac:dyDescent="0.35">
      <c r="A12" s="1094" t="s">
        <v>262</v>
      </c>
      <c r="B12" s="1089">
        <f t="shared" si="0"/>
        <v>8</v>
      </c>
      <c r="C12" s="1089">
        <f t="shared" si="0"/>
        <v>5</v>
      </c>
      <c r="D12" s="1089">
        <f t="shared" si="0"/>
        <v>0</v>
      </c>
      <c r="F12" s="1099" t="s">
        <v>262</v>
      </c>
      <c r="G12" s="1100">
        <f t="shared" si="1"/>
        <v>8</v>
      </c>
      <c r="H12" s="1101">
        <f t="shared" ref="H12:H51" si="7">AG11</f>
        <v>5</v>
      </c>
      <c r="I12" s="1102">
        <f t="shared" si="2"/>
        <v>0</v>
      </c>
      <c r="K12" s="1094" t="s">
        <v>263</v>
      </c>
      <c r="L12" s="1095">
        <v>1</v>
      </c>
      <c r="M12" s="1103">
        <v>1</v>
      </c>
      <c r="N12" s="1103">
        <v>1</v>
      </c>
      <c r="O12" s="1103">
        <v>1</v>
      </c>
      <c r="P12" s="1103">
        <v>1</v>
      </c>
      <c r="Q12" s="1103">
        <v>1</v>
      </c>
      <c r="R12" s="1103">
        <v>1</v>
      </c>
      <c r="S12" s="1107">
        <v>1</v>
      </c>
      <c r="T12" s="1098" t="s">
        <v>263</v>
      </c>
      <c r="U12">
        <f t="shared" si="3"/>
        <v>8</v>
      </c>
      <c r="V12" s="1069"/>
      <c r="W12" s="1088" t="s">
        <v>263</v>
      </c>
      <c r="X12" s="1095">
        <v>1</v>
      </c>
      <c r="Y12" s="1103">
        <v>1</v>
      </c>
      <c r="Z12" s="1103">
        <v>1</v>
      </c>
      <c r="AA12" s="1103">
        <v>1</v>
      </c>
      <c r="AB12" s="1103">
        <v>1</v>
      </c>
      <c r="AC12" s="1103">
        <v>1</v>
      </c>
      <c r="AD12" s="1103">
        <v>1</v>
      </c>
      <c r="AE12" s="1069"/>
      <c r="AF12" s="1088" t="s">
        <v>263</v>
      </c>
      <c r="AG12" s="1069">
        <f t="shared" si="4"/>
        <v>7</v>
      </c>
      <c r="AH12" s="1069"/>
      <c r="AI12" s="1088" t="s">
        <v>263</v>
      </c>
      <c r="AJ12" s="1108">
        <v>1</v>
      </c>
      <c r="AK12" s="1069"/>
      <c r="AL12" s="1069"/>
      <c r="AM12" s="1069"/>
      <c r="AN12" s="1069"/>
      <c r="AO12" s="1069"/>
      <c r="AP12" s="1088" t="s">
        <v>263</v>
      </c>
      <c r="AQ12" s="1069">
        <f t="shared" si="5"/>
        <v>1</v>
      </c>
      <c r="AR12" s="1069"/>
    </row>
    <row r="13" spans="1:44" ht="15.5" x14ac:dyDescent="0.35">
      <c r="A13" s="1094" t="s">
        <v>263</v>
      </c>
      <c r="B13" s="1089">
        <f t="shared" si="0"/>
        <v>8</v>
      </c>
      <c r="C13" s="1089">
        <f t="shared" si="0"/>
        <v>7</v>
      </c>
      <c r="D13" s="1089">
        <f t="shared" si="0"/>
        <v>1</v>
      </c>
      <c r="F13" s="1099" t="s">
        <v>263</v>
      </c>
      <c r="G13" s="1100">
        <f t="shared" si="1"/>
        <v>8</v>
      </c>
      <c r="H13" s="1101">
        <f t="shared" si="7"/>
        <v>7</v>
      </c>
      <c r="I13" s="1102">
        <f t="shared" si="2"/>
        <v>1</v>
      </c>
      <c r="K13" s="1094" t="s">
        <v>264</v>
      </c>
      <c r="L13" s="1095">
        <v>1</v>
      </c>
      <c r="M13" s="1103">
        <v>1</v>
      </c>
      <c r="N13" s="1103">
        <v>1</v>
      </c>
      <c r="O13" s="1103">
        <v>1</v>
      </c>
      <c r="P13" s="1103">
        <v>1</v>
      </c>
      <c r="Q13" s="1103">
        <v>1</v>
      </c>
      <c r="R13" s="1103">
        <v>1</v>
      </c>
      <c r="S13" s="1107">
        <v>1</v>
      </c>
      <c r="T13" s="1098" t="s">
        <v>264</v>
      </c>
      <c r="U13">
        <f t="shared" si="3"/>
        <v>8</v>
      </c>
      <c r="V13" s="1069"/>
      <c r="W13" s="1088" t="s">
        <v>264</v>
      </c>
      <c r="X13" s="1095">
        <v>1</v>
      </c>
      <c r="Y13" s="1103">
        <v>1</v>
      </c>
      <c r="Z13" s="1069"/>
      <c r="AA13" s="1103">
        <v>1</v>
      </c>
      <c r="AB13" s="1103">
        <v>1</v>
      </c>
      <c r="AC13" s="1103">
        <v>1</v>
      </c>
      <c r="AD13" s="1103">
        <v>1</v>
      </c>
      <c r="AE13" s="1069"/>
      <c r="AF13" s="1088" t="s">
        <v>264</v>
      </c>
      <c r="AG13" s="1069">
        <f t="shared" si="4"/>
        <v>6</v>
      </c>
      <c r="AH13" s="1069"/>
      <c r="AI13" s="1088" t="s">
        <v>264</v>
      </c>
      <c r="AJ13" s="1108">
        <v>1</v>
      </c>
      <c r="AK13" s="1109">
        <v>1</v>
      </c>
      <c r="AL13" s="1069"/>
      <c r="AM13" s="1069"/>
      <c r="AN13" s="1069"/>
      <c r="AO13" s="1069"/>
      <c r="AP13" s="1088" t="s">
        <v>264</v>
      </c>
      <c r="AQ13" s="1069">
        <f t="shared" si="5"/>
        <v>2</v>
      </c>
      <c r="AR13" s="1069"/>
    </row>
    <row r="14" spans="1:44" ht="15.5" x14ac:dyDescent="0.35">
      <c r="A14" s="1094" t="s">
        <v>264</v>
      </c>
      <c r="B14" s="1089">
        <f t="shared" si="0"/>
        <v>8</v>
      </c>
      <c r="C14" s="1089">
        <f t="shared" si="0"/>
        <v>6</v>
      </c>
      <c r="D14" s="1089">
        <f t="shared" si="0"/>
        <v>2</v>
      </c>
      <c r="F14" s="1099" t="s">
        <v>264</v>
      </c>
      <c r="G14" s="1100">
        <f t="shared" si="1"/>
        <v>8</v>
      </c>
      <c r="H14" s="1101">
        <f t="shared" si="7"/>
        <v>6</v>
      </c>
      <c r="I14" s="1102">
        <f t="shared" si="2"/>
        <v>2</v>
      </c>
      <c r="K14" s="1094" t="s">
        <v>265</v>
      </c>
      <c r="L14" s="1095">
        <v>1</v>
      </c>
      <c r="M14" s="1103">
        <v>1</v>
      </c>
      <c r="N14" s="1103">
        <v>1</v>
      </c>
      <c r="O14" s="1103">
        <v>1</v>
      </c>
      <c r="P14" s="1103">
        <v>1</v>
      </c>
      <c r="Q14" s="1103">
        <v>1</v>
      </c>
      <c r="R14" s="1103">
        <v>1</v>
      </c>
      <c r="S14" s="1107">
        <v>1</v>
      </c>
      <c r="T14" s="1098" t="s">
        <v>265</v>
      </c>
      <c r="U14">
        <f t="shared" si="3"/>
        <v>8</v>
      </c>
      <c r="V14" s="1069"/>
      <c r="W14" s="1088" t="s">
        <v>265</v>
      </c>
      <c r="X14" s="1095">
        <v>1</v>
      </c>
      <c r="Y14" s="1103">
        <v>1</v>
      </c>
      <c r="Z14" s="1069"/>
      <c r="AA14" s="1103">
        <v>1</v>
      </c>
      <c r="AB14" s="1103">
        <v>1</v>
      </c>
      <c r="AC14" s="1103">
        <v>1</v>
      </c>
      <c r="AD14" s="1103">
        <v>1</v>
      </c>
      <c r="AE14" s="1069"/>
      <c r="AF14" s="1088" t="s">
        <v>265</v>
      </c>
      <c r="AG14" s="1069">
        <f t="shared" si="4"/>
        <v>6</v>
      </c>
      <c r="AH14" s="1069"/>
      <c r="AI14" s="1088" t="s">
        <v>265</v>
      </c>
      <c r="AJ14" s="1108">
        <v>1</v>
      </c>
      <c r="AK14" s="1109">
        <v>1</v>
      </c>
      <c r="AL14" s="1109">
        <v>1</v>
      </c>
      <c r="AM14" s="1069"/>
      <c r="AN14" s="1069"/>
      <c r="AO14" s="1069"/>
      <c r="AP14" s="1088" t="s">
        <v>265</v>
      </c>
      <c r="AQ14" s="1069">
        <f t="shared" si="5"/>
        <v>3</v>
      </c>
      <c r="AR14" s="1069"/>
    </row>
    <row r="15" spans="1:44" ht="15.5" x14ac:dyDescent="0.35">
      <c r="A15" s="1094" t="s">
        <v>265</v>
      </c>
      <c r="B15" s="1089">
        <f t="shared" si="0"/>
        <v>8</v>
      </c>
      <c r="C15" s="1089">
        <f t="shared" si="0"/>
        <v>6</v>
      </c>
      <c r="D15" s="1089">
        <f t="shared" si="0"/>
        <v>3</v>
      </c>
      <c r="F15" s="1099" t="s">
        <v>265</v>
      </c>
      <c r="G15" s="1100">
        <f t="shared" si="1"/>
        <v>8</v>
      </c>
      <c r="H15" s="1101">
        <f t="shared" si="7"/>
        <v>6</v>
      </c>
      <c r="I15" s="1102">
        <f t="shared" si="2"/>
        <v>3</v>
      </c>
      <c r="K15" s="1094" t="s">
        <v>266</v>
      </c>
      <c r="L15" s="1095">
        <v>1</v>
      </c>
      <c r="M15" s="1103">
        <v>1</v>
      </c>
      <c r="N15" s="1103">
        <v>1</v>
      </c>
      <c r="O15" s="1103">
        <v>1</v>
      </c>
      <c r="P15" s="1103">
        <v>1</v>
      </c>
      <c r="Q15" s="1103">
        <v>1</v>
      </c>
      <c r="R15" s="1103">
        <v>1</v>
      </c>
      <c r="S15" s="1107">
        <v>1</v>
      </c>
      <c r="T15" s="1098" t="s">
        <v>266</v>
      </c>
      <c r="U15">
        <f t="shared" si="3"/>
        <v>8</v>
      </c>
      <c r="V15" s="1069"/>
      <c r="W15" s="1088" t="s">
        <v>266</v>
      </c>
      <c r="X15" s="1095">
        <v>1</v>
      </c>
      <c r="Y15" s="1103">
        <v>1</v>
      </c>
      <c r="Z15" s="1069"/>
      <c r="AA15" s="1103">
        <v>1</v>
      </c>
      <c r="AB15" s="1103">
        <v>1</v>
      </c>
      <c r="AC15" s="1103">
        <v>1</v>
      </c>
      <c r="AD15" s="1103">
        <v>1</v>
      </c>
      <c r="AE15" s="1103">
        <v>1</v>
      </c>
      <c r="AF15" s="1088" t="s">
        <v>266</v>
      </c>
      <c r="AG15" s="1069">
        <f t="shared" si="4"/>
        <v>7</v>
      </c>
      <c r="AH15" s="1069"/>
      <c r="AI15" s="1088" t="s">
        <v>266</v>
      </c>
      <c r="AJ15" s="1108">
        <v>1</v>
      </c>
      <c r="AK15" s="1109">
        <v>1</v>
      </c>
      <c r="AL15" s="1109">
        <v>1</v>
      </c>
      <c r="AM15" s="1069"/>
      <c r="AN15" s="1069"/>
      <c r="AO15" s="1069"/>
      <c r="AP15" s="1088" t="s">
        <v>266</v>
      </c>
      <c r="AQ15" s="1069">
        <f t="shared" si="5"/>
        <v>3</v>
      </c>
      <c r="AR15" s="1069"/>
    </row>
    <row r="16" spans="1:44" ht="15.5" x14ac:dyDescent="0.35">
      <c r="A16" s="1094" t="s">
        <v>266</v>
      </c>
      <c r="B16" s="1089">
        <f t="shared" si="0"/>
        <v>8</v>
      </c>
      <c r="C16" s="1089">
        <f t="shared" si="0"/>
        <v>7</v>
      </c>
      <c r="D16" s="1089">
        <f t="shared" si="0"/>
        <v>3</v>
      </c>
      <c r="F16" s="1099" t="s">
        <v>266</v>
      </c>
      <c r="G16" s="1100">
        <f t="shared" si="1"/>
        <v>8</v>
      </c>
      <c r="H16" s="1101">
        <f t="shared" si="7"/>
        <v>7</v>
      </c>
      <c r="I16" s="1102">
        <f t="shared" si="2"/>
        <v>3</v>
      </c>
      <c r="K16" s="1094" t="s">
        <v>267</v>
      </c>
      <c r="L16" s="1095">
        <v>1</v>
      </c>
      <c r="M16" s="1103">
        <v>1</v>
      </c>
      <c r="N16" s="1103">
        <v>1</v>
      </c>
      <c r="O16" s="1096"/>
      <c r="P16" s="1103">
        <v>1</v>
      </c>
      <c r="Q16" s="1103">
        <v>1</v>
      </c>
      <c r="R16" s="1103">
        <v>1</v>
      </c>
      <c r="S16" s="1107">
        <v>1</v>
      </c>
      <c r="T16" s="1098" t="s">
        <v>267</v>
      </c>
      <c r="U16">
        <f t="shared" si="3"/>
        <v>7</v>
      </c>
      <c r="V16" s="1069"/>
      <c r="W16" s="1088" t="s">
        <v>267</v>
      </c>
      <c r="X16" s="1095">
        <v>1</v>
      </c>
      <c r="Y16" s="1103">
        <v>1</v>
      </c>
      <c r="Z16" s="1069"/>
      <c r="AA16" s="1103">
        <v>1</v>
      </c>
      <c r="AB16" s="1103">
        <v>1</v>
      </c>
      <c r="AC16" s="1103">
        <v>1</v>
      </c>
      <c r="AD16" s="1103">
        <v>1</v>
      </c>
      <c r="AE16" s="1103">
        <v>1</v>
      </c>
      <c r="AF16" s="1088" t="s">
        <v>267</v>
      </c>
      <c r="AG16" s="1069">
        <f t="shared" si="4"/>
        <v>7</v>
      </c>
      <c r="AH16" s="1069"/>
      <c r="AI16" s="1088" t="s">
        <v>267</v>
      </c>
      <c r="AJ16" s="1108">
        <v>1</v>
      </c>
      <c r="AK16" s="1109">
        <v>1</v>
      </c>
      <c r="AL16" s="1109">
        <v>1</v>
      </c>
      <c r="AM16" s="1069"/>
      <c r="AN16" s="1069"/>
      <c r="AO16" s="1069"/>
      <c r="AP16" s="1088" t="s">
        <v>267</v>
      </c>
      <c r="AQ16" s="1069">
        <f t="shared" si="5"/>
        <v>3</v>
      </c>
      <c r="AR16" s="1069"/>
    </row>
    <row r="17" spans="1:44" ht="15.5" x14ac:dyDescent="0.35">
      <c r="A17" s="1094" t="s">
        <v>267</v>
      </c>
      <c r="B17" s="1089">
        <f t="shared" si="0"/>
        <v>7</v>
      </c>
      <c r="C17" s="1089">
        <f t="shared" si="0"/>
        <v>7</v>
      </c>
      <c r="D17" s="1089">
        <f t="shared" si="0"/>
        <v>3</v>
      </c>
      <c r="F17" s="1099" t="s">
        <v>267</v>
      </c>
      <c r="G17" s="1100">
        <f t="shared" si="1"/>
        <v>7</v>
      </c>
      <c r="H17" s="1101">
        <f t="shared" si="7"/>
        <v>7</v>
      </c>
      <c r="I17" s="1102">
        <f t="shared" si="2"/>
        <v>3</v>
      </c>
      <c r="K17" s="1094" t="s">
        <v>268</v>
      </c>
      <c r="L17" s="1095">
        <v>1</v>
      </c>
      <c r="M17" s="1103">
        <v>1</v>
      </c>
      <c r="N17" s="1103">
        <v>1</v>
      </c>
      <c r="O17" s="1096"/>
      <c r="P17" s="1103">
        <v>1</v>
      </c>
      <c r="Q17" s="1103">
        <v>1</v>
      </c>
      <c r="R17" s="1103">
        <v>1</v>
      </c>
      <c r="S17" s="1097"/>
      <c r="T17" s="1098" t="s">
        <v>268</v>
      </c>
      <c r="U17">
        <f t="shared" si="3"/>
        <v>6</v>
      </c>
      <c r="V17" s="1069"/>
      <c r="W17" s="1088" t="s">
        <v>268</v>
      </c>
      <c r="X17" s="1095">
        <v>1</v>
      </c>
      <c r="Y17" s="1103">
        <v>1</v>
      </c>
      <c r="Z17" s="1069"/>
      <c r="AA17" s="1103">
        <v>1</v>
      </c>
      <c r="AB17" s="1103">
        <v>1</v>
      </c>
      <c r="AC17" s="1103">
        <v>1</v>
      </c>
      <c r="AD17" s="1103">
        <v>1</v>
      </c>
      <c r="AE17" s="1103">
        <v>1</v>
      </c>
      <c r="AF17" s="1088" t="s">
        <v>268</v>
      </c>
      <c r="AG17" s="1069">
        <f t="shared" si="4"/>
        <v>7</v>
      </c>
      <c r="AH17" s="1069"/>
      <c r="AI17" s="1088" t="s">
        <v>268</v>
      </c>
      <c r="AJ17" s="1108">
        <v>1</v>
      </c>
      <c r="AK17" s="1109">
        <v>1</v>
      </c>
      <c r="AL17" s="1109">
        <v>1</v>
      </c>
      <c r="AM17" s="1069"/>
      <c r="AN17" s="1069"/>
      <c r="AO17" s="1069"/>
      <c r="AP17" s="1088" t="s">
        <v>268</v>
      </c>
      <c r="AQ17" s="1069">
        <f t="shared" si="5"/>
        <v>3</v>
      </c>
      <c r="AR17" s="1069"/>
    </row>
    <row r="18" spans="1:44" ht="15.5" x14ac:dyDescent="0.35">
      <c r="A18" s="1094" t="s">
        <v>268</v>
      </c>
      <c r="B18" s="1089">
        <f t="shared" si="0"/>
        <v>6</v>
      </c>
      <c r="C18" s="1089">
        <f t="shared" si="0"/>
        <v>7</v>
      </c>
      <c r="D18" s="1089">
        <f t="shared" si="0"/>
        <v>3</v>
      </c>
      <c r="F18" s="1099" t="s">
        <v>268</v>
      </c>
      <c r="G18" s="1100">
        <f t="shared" si="1"/>
        <v>6</v>
      </c>
      <c r="H18" s="1101">
        <f t="shared" si="7"/>
        <v>7</v>
      </c>
      <c r="I18" s="1102">
        <f t="shared" si="2"/>
        <v>3</v>
      </c>
      <c r="K18" s="1094" t="s">
        <v>269</v>
      </c>
      <c r="L18" s="1095">
        <v>1</v>
      </c>
      <c r="M18" s="1103">
        <v>1</v>
      </c>
      <c r="N18" s="1103">
        <v>1</v>
      </c>
      <c r="O18" s="1096"/>
      <c r="P18" s="1103">
        <v>1</v>
      </c>
      <c r="Q18" s="1103">
        <v>1</v>
      </c>
      <c r="R18" s="1103">
        <v>1</v>
      </c>
      <c r="S18" s="1097"/>
      <c r="T18" s="1098" t="s">
        <v>269</v>
      </c>
      <c r="U18">
        <f t="shared" si="3"/>
        <v>6</v>
      </c>
      <c r="V18" s="1069"/>
      <c r="W18" s="1088" t="s">
        <v>269</v>
      </c>
      <c r="X18" s="1095">
        <v>1</v>
      </c>
      <c r="Y18" s="1103">
        <v>1</v>
      </c>
      <c r="Z18" s="1103">
        <v>1</v>
      </c>
      <c r="AA18" s="1103">
        <v>1</v>
      </c>
      <c r="AB18" s="1103">
        <v>1</v>
      </c>
      <c r="AC18" s="1103">
        <v>1</v>
      </c>
      <c r="AD18" s="1069"/>
      <c r="AE18" s="1103">
        <v>1</v>
      </c>
      <c r="AF18" s="1088" t="s">
        <v>269</v>
      </c>
      <c r="AG18" s="1069">
        <f t="shared" si="4"/>
        <v>7</v>
      </c>
      <c r="AH18" s="1069"/>
      <c r="AI18" s="1088" t="s">
        <v>269</v>
      </c>
      <c r="AJ18" s="1108">
        <v>1</v>
      </c>
      <c r="AK18" s="1109">
        <v>1</v>
      </c>
      <c r="AL18" s="1109">
        <v>1</v>
      </c>
      <c r="AM18" s="1069"/>
      <c r="AN18" s="1069"/>
      <c r="AO18" s="1069"/>
      <c r="AP18" s="1088" t="s">
        <v>269</v>
      </c>
      <c r="AQ18" s="1069">
        <f t="shared" si="5"/>
        <v>3</v>
      </c>
      <c r="AR18" s="1069"/>
    </row>
    <row r="19" spans="1:44" ht="15.5" x14ac:dyDescent="0.35">
      <c r="A19" s="1094" t="s">
        <v>269</v>
      </c>
      <c r="B19" s="1089">
        <f t="shared" si="0"/>
        <v>6</v>
      </c>
      <c r="C19" s="1089">
        <f t="shared" si="0"/>
        <v>7</v>
      </c>
      <c r="D19" s="1089">
        <f t="shared" si="0"/>
        <v>3</v>
      </c>
      <c r="F19" s="1099" t="s">
        <v>269</v>
      </c>
      <c r="G19" s="1100">
        <f t="shared" si="1"/>
        <v>6</v>
      </c>
      <c r="H19" s="1101">
        <f t="shared" si="7"/>
        <v>7</v>
      </c>
      <c r="I19" s="1102">
        <f t="shared" si="2"/>
        <v>3</v>
      </c>
      <c r="K19" s="1094" t="s">
        <v>270</v>
      </c>
      <c r="L19" s="1095">
        <v>1</v>
      </c>
      <c r="M19" s="1103">
        <v>1</v>
      </c>
      <c r="N19" s="1103">
        <v>1</v>
      </c>
      <c r="O19" s="1096"/>
      <c r="P19" s="1103">
        <v>1</v>
      </c>
      <c r="Q19" s="1103">
        <v>1</v>
      </c>
      <c r="R19" s="1103">
        <v>1</v>
      </c>
      <c r="S19" s="1107">
        <v>1</v>
      </c>
      <c r="T19" s="1098" t="s">
        <v>270</v>
      </c>
      <c r="U19">
        <f t="shared" si="3"/>
        <v>7</v>
      </c>
      <c r="V19" s="1069"/>
      <c r="W19" s="1088" t="s">
        <v>270</v>
      </c>
      <c r="X19" s="1095">
        <v>1</v>
      </c>
      <c r="Y19" s="1103">
        <v>1</v>
      </c>
      <c r="Z19" s="1103">
        <v>1</v>
      </c>
      <c r="AA19" s="1103">
        <v>1</v>
      </c>
      <c r="AB19" s="1103">
        <v>1</v>
      </c>
      <c r="AC19" s="1103">
        <v>1</v>
      </c>
      <c r="AD19" s="1103">
        <v>1</v>
      </c>
      <c r="AE19" s="1103">
        <v>1</v>
      </c>
      <c r="AF19" s="1088" t="s">
        <v>270</v>
      </c>
      <c r="AG19" s="1069">
        <f t="shared" si="4"/>
        <v>8</v>
      </c>
      <c r="AH19" s="1069"/>
      <c r="AI19" s="1088" t="s">
        <v>270</v>
      </c>
      <c r="AJ19" s="1108">
        <v>1</v>
      </c>
      <c r="AK19" s="1109">
        <v>1</v>
      </c>
      <c r="AL19" s="1109">
        <v>1</v>
      </c>
      <c r="AM19" s="1069"/>
      <c r="AN19" s="1069"/>
      <c r="AO19" s="1069"/>
      <c r="AP19" s="1088" t="s">
        <v>270</v>
      </c>
      <c r="AQ19" s="1069">
        <f t="shared" si="5"/>
        <v>3</v>
      </c>
      <c r="AR19" s="1069"/>
    </row>
    <row r="20" spans="1:44" ht="15.5" x14ac:dyDescent="0.35">
      <c r="A20" s="1094" t="s">
        <v>270</v>
      </c>
      <c r="B20" s="1089">
        <f t="shared" si="0"/>
        <v>7</v>
      </c>
      <c r="C20" s="1089">
        <f t="shared" si="0"/>
        <v>8</v>
      </c>
      <c r="D20" s="1089">
        <f t="shared" si="0"/>
        <v>3</v>
      </c>
      <c r="F20" s="1099" t="s">
        <v>270</v>
      </c>
      <c r="G20" s="1100">
        <f t="shared" si="1"/>
        <v>7</v>
      </c>
      <c r="H20" s="1101">
        <f t="shared" si="7"/>
        <v>8</v>
      </c>
      <c r="I20" s="1102">
        <f t="shared" si="2"/>
        <v>3</v>
      </c>
      <c r="K20" s="1094" t="s">
        <v>271</v>
      </c>
      <c r="L20" s="1095">
        <v>1</v>
      </c>
      <c r="M20" s="1103">
        <v>1</v>
      </c>
      <c r="N20" s="1103">
        <v>1</v>
      </c>
      <c r="O20" s="1096"/>
      <c r="P20" s="1103">
        <v>1</v>
      </c>
      <c r="Q20" s="1103">
        <v>1</v>
      </c>
      <c r="R20" s="1103">
        <v>1</v>
      </c>
      <c r="S20" s="1107">
        <v>1</v>
      </c>
      <c r="T20" s="1098" t="s">
        <v>271</v>
      </c>
      <c r="U20">
        <f t="shared" si="3"/>
        <v>7</v>
      </c>
      <c r="V20" s="1069"/>
      <c r="W20" s="1088" t="s">
        <v>271</v>
      </c>
      <c r="X20" s="1095">
        <v>1</v>
      </c>
      <c r="Y20" s="1103">
        <v>1</v>
      </c>
      <c r="Z20" s="1103">
        <v>1</v>
      </c>
      <c r="AA20" s="1103">
        <v>1</v>
      </c>
      <c r="AB20" s="1103">
        <v>1</v>
      </c>
      <c r="AC20" s="1103">
        <v>1</v>
      </c>
      <c r="AD20" s="1103">
        <v>1</v>
      </c>
      <c r="AE20" s="1103">
        <v>1</v>
      </c>
      <c r="AF20" s="1088" t="s">
        <v>271</v>
      </c>
      <c r="AG20" s="1069">
        <f t="shared" si="4"/>
        <v>8</v>
      </c>
      <c r="AH20" s="1069"/>
      <c r="AI20" s="1088" t="s">
        <v>271</v>
      </c>
      <c r="AJ20" s="1108">
        <v>1</v>
      </c>
      <c r="AK20" s="1109">
        <v>1</v>
      </c>
      <c r="AL20" s="1109">
        <v>1</v>
      </c>
      <c r="AM20" s="1069"/>
      <c r="AN20" s="1069"/>
      <c r="AO20" s="1069"/>
      <c r="AP20" s="1088" t="s">
        <v>271</v>
      </c>
      <c r="AQ20" s="1069">
        <f t="shared" si="5"/>
        <v>3</v>
      </c>
      <c r="AR20" s="1069"/>
    </row>
    <row r="21" spans="1:44" ht="15.5" x14ac:dyDescent="0.35">
      <c r="A21" s="1094" t="s">
        <v>271</v>
      </c>
      <c r="B21" s="1089">
        <f t="shared" si="0"/>
        <v>7</v>
      </c>
      <c r="C21" s="1089">
        <f t="shared" si="0"/>
        <v>8</v>
      </c>
      <c r="D21" s="1089">
        <f t="shared" si="0"/>
        <v>3</v>
      </c>
      <c r="F21" s="1099" t="s">
        <v>271</v>
      </c>
      <c r="G21" s="1100">
        <f t="shared" si="1"/>
        <v>7</v>
      </c>
      <c r="H21" s="1101">
        <f t="shared" si="7"/>
        <v>8</v>
      </c>
      <c r="I21" s="1102">
        <f t="shared" si="2"/>
        <v>3</v>
      </c>
      <c r="K21" s="1094" t="s">
        <v>272</v>
      </c>
      <c r="L21" s="1095">
        <v>1</v>
      </c>
      <c r="M21" s="1103">
        <v>1</v>
      </c>
      <c r="N21" s="1103">
        <v>1</v>
      </c>
      <c r="O21" s="1096"/>
      <c r="P21" s="1103">
        <v>1</v>
      </c>
      <c r="Q21" s="1103">
        <v>1</v>
      </c>
      <c r="R21" s="1103">
        <v>1</v>
      </c>
      <c r="S21" s="1107">
        <v>1</v>
      </c>
      <c r="T21" s="1098" t="s">
        <v>272</v>
      </c>
      <c r="U21">
        <f t="shared" si="3"/>
        <v>7</v>
      </c>
      <c r="V21" s="1069"/>
      <c r="W21" s="1088" t="s">
        <v>272</v>
      </c>
      <c r="X21" s="1095">
        <v>1</v>
      </c>
      <c r="Y21" s="1103">
        <v>1</v>
      </c>
      <c r="Z21" s="1103">
        <v>1</v>
      </c>
      <c r="AA21" s="1103">
        <v>1</v>
      </c>
      <c r="AB21" s="1103">
        <v>1</v>
      </c>
      <c r="AC21" s="1103">
        <v>1</v>
      </c>
      <c r="AD21" s="1103">
        <v>1</v>
      </c>
      <c r="AE21" s="1103">
        <v>1</v>
      </c>
      <c r="AF21" s="1088" t="s">
        <v>272</v>
      </c>
      <c r="AG21" s="1069">
        <f t="shared" si="4"/>
        <v>8</v>
      </c>
      <c r="AH21" s="1069"/>
      <c r="AI21" s="1088" t="s">
        <v>272</v>
      </c>
      <c r="AJ21" s="1108">
        <v>1</v>
      </c>
      <c r="AK21" s="1109">
        <v>1</v>
      </c>
      <c r="AL21" s="1109">
        <v>1</v>
      </c>
      <c r="AM21" s="1069"/>
      <c r="AN21" s="1069"/>
      <c r="AO21" s="1069"/>
      <c r="AP21" s="1088" t="s">
        <v>272</v>
      </c>
      <c r="AQ21" s="1069">
        <f t="shared" si="5"/>
        <v>3</v>
      </c>
      <c r="AR21" s="1069"/>
    </row>
    <row r="22" spans="1:44" ht="15.5" x14ac:dyDescent="0.35">
      <c r="A22" s="1094" t="s">
        <v>272</v>
      </c>
      <c r="B22" s="1089">
        <f t="shared" si="0"/>
        <v>7</v>
      </c>
      <c r="C22" s="1089">
        <f t="shared" si="0"/>
        <v>8</v>
      </c>
      <c r="D22" s="1089">
        <f t="shared" si="0"/>
        <v>3</v>
      </c>
      <c r="F22" s="1099" t="s">
        <v>272</v>
      </c>
      <c r="G22" s="1100">
        <f t="shared" si="1"/>
        <v>7</v>
      </c>
      <c r="H22" s="1101">
        <f t="shared" si="7"/>
        <v>8</v>
      </c>
      <c r="I22" s="1102">
        <f t="shared" si="2"/>
        <v>3</v>
      </c>
      <c r="K22" s="1094" t="s">
        <v>273</v>
      </c>
      <c r="L22" s="1095">
        <v>1</v>
      </c>
      <c r="M22" s="1103">
        <v>1</v>
      </c>
      <c r="N22" s="1103">
        <v>1</v>
      </c>
      <c r="O22" s="1096"/>
      <c r="P22" s="1103">
        <v>1</v>
      </c>
      <c r="Q22" s="1103">
        <v>1</v>
      </c>
      <c r="R22" s="1103">
        <v>1</v>
      </c>
      <c r="S22" s="1107">
        <v>1</v>
      </c>
      <c r="T22" s="1098" t="s">
        <v>273</v>
      </c>
      <c r="U22">
        <f t="shared" si="3"/>
        <v>7</v>
      </c>
      <c r="V22" s="1069"/>
      <c r="W22" s="1088" t="s">
        <v>273</v>
      </c>
      <c r="X22" s="1095">
        <v>1</v>
      </c>
      <c r="Y22" s="1103">
        <v>1</v>
      </c>
      <c r="Z22" s="1103">
        <v>1</v>
      </c>
      <c r="AA22" s="1103">
        <v>1</v>
      </c>
      <c r="AB22" s="1103">
        <v>1</v>
      </c>
      <c r="AC22" s="1103">
        <v>1</v>
      </c>
      <c r="AD22" s="1103">
        <v>1</v>
      </c>
      <c r="AE22" s="1103">
        <v>1</v>
      </c>
      <c r="AF22" s="1088" t="s">
        <v>273</v>
      </c>
      <c r="AG22" s="1069">
        <f t="shared" si="4"/>
        <v>8</v>
      </c>
      <c r="AH22" s="1069"/>
      <c r="AI22" s="1088" t="s">
        <v>273</v>
      </c>
      <c r="AJ22" s="1108">
        <v>1</v>
      </c>
      <c r="AK22" s="1109">
        <v>1</v>
      </c>
      <c r="AL22" s="1109">
        <v>1</v>
      </c>
      <c r="AM22" s="1069"/>
      <c r="AN22" s="1069"/>
      <c r="AO22" s="1069"/>
      <c r="AP22" s="1088" t="s">
        <v>273</v>
      </c>
      <c r="AQ22" s="1069">
        <f t="shared" si="5"/>
        <v>3</v>
      </c>
      <c r="AR22" s="1069"/>
    </row>
    <row r="23" spans="1:44" ht="15.5" x14ac:dyDescent="0.35">
      <c r="A23" s="1094" t="s">
        <v>273</v>
      </c>
      <c r="B23" s="1089">
        <f t="shared" si="0"/>
        <v>7</v>
      </c>
      <c r="C23" s="1089">
        <f t="shared" si="0"/>
        <v>8</v>
      </c>
      <c r="D23" s="1089">
        <f t="shared" si="0"/>
        <v>3</v>
      </c>
      <c r="F23" s="1099" t="s">
        <v>273</v>
      </c>
      <c r="G23" s="1100">
        <f t="shared" si="1"/>
        <v>7</v>
      </c>
      <c r="H23" s="1101">
        <f t="shared" si="7"/>
        <v>8</v>
      </c>
      <c r="I23" s="1102">
        <f t="shared" si="2"/>
        <v>3</v>
      </c>
      <c r="K23" s="1094" t="s">
        <v>274</v>
      </c>
      <c r="L23" s="1095">
        <v>1</v>
      </c>
      <c r="M23" s="1103">
        <v>1</v>
      </c>
      <c r="N23" s="1103">
        <v>1</v>
      </c>
      <c r="O23" s="1096"/>
      <c r="P23" s="1103">
        <v>1</v>
      </c>
      <c r="Q23" s="1103">
        <v>1</v>
      </c>
      <c r="R23" s="1103">
        <v>1</v>
      </c>
      <c r="S23" s="1107">
        <v>1</v>
      </c>
      <c r="T23" s="1098" t="s">
        <v>274</v>
      </c>
      <c r="U23">
        <f t="shared" si="3"/>
        <v>7</v>
      </c>
      <c r="V23" s="1069"/>
      <c r="W23" s="1088" t="s">
        <v>274</v>
      </c>
      <c r="X23" s="1095">
        <v>1</v>
      </c>
      <c r="Y23" s="1103">
        <v>1</v>
      </c>
      <c r="Z23" s="1103">
        <v>1</v>
      </c>
      <c r="AA23" s="1103">
        <v>1</v>
      </c>
      <c r="AB23" s="1103">
        <v>1</v>
      </c>
      <c r="AC23" s="1103">
        <v>1</v>
      </c>
      <c r="AD23" s="1103">
        <v>1</v>
      </c>
      <c r="AE23" s="1103">
        <v>1</v>
      </c>
      <c r="AF23" s="1088" t="s">
        <v>274</v>
      </c>
      <c r="AG23" s="1069">
        <f t="shared" si="4"/>
        <v>8</v>
      </c>
      <c r="AH23" s="1069"/>
      <c r="AI23" s="1088" t="s">
        <v>274</v>
      </c>
      <c r="AJ23" s="1108">
        <v>1</v>
      </c>
      <c r="AK23" s="1109">
        <v>1</v>
      </c>
      <c r="AL23" s="1109">
        <v>1</v>
      </c>
      <c r="AM23" s="1109">
        <v>1</v>
      </c>
      <c r="AN23" s="1109">
        <v>1</v>
      </c>
      <c r="AO23" s="1109"/>
      <c r="AP23" s="1088" t="s">
        <v>274</v>
      </c>
      <c r="AQ23" s="1069">
        <f t="shared" si="5"/>
        <v>5</v>
      </c>
      <c r="AR23" s="1069"/>
    </row>
    <row r="24" spans="1:44" ht="15.5" x14ac:dyDescent="0.35">
      <c r="A24" s="1094" t="s">
        <v>274</v>
      </c>
      <c r="B24" s="1089">
        <f t="shared" si="0"/>
        <v>7</v>
      </c>
      <c r="C24" s="1089">
        <f t="shared" si="0"/>
        <v>8</v>
      </c>
      <c r="D24" s="1089">
        <f t="shared" si="0"/>
        <v>5</v>
      </c>
      <c r="F24" s="1099" t="s">
        <v>274</v>
      </c>
      <c r="G24" s="1100">
        <f t="shared" si="1"/>
        <v>7</v>
      </c>
      <c r="H24" s="1101">
        <f t="shared" si="7"/>
        <v>8</v>
      </c>
      <c r="I24" s="1102">
        <f t="shared" si="2"/>
        <v>5</v>
      </c>
      <c r="K24" s="1094" t="s">
        <v>275</v>
      </c>
      <c r="L24" s="1095">
        <v>1</v>
      </c>
      <c r="M24" s="1103">
        <v>1</v>
      </c>
      <c r="N24" s="1103">
        <v>1</v>
      </c>
      <c r="O24" s="1103">
        <v>1</v>
      </c>
      <c r="P24" s="1103">
        <v>1</v>
      </c>
      <c r="Q24" s="1103">
        <v>1</v>
      </c>
      <c r="R24" s="1103">
        <v>1</v>
      </c>
      <c r="S24" s="1107">
        <v>1</v>
      </c>
      <c r="T24" s="1098" t="s">
        <v>275</v>
      </c>
      <c r="U24">
        <f t="shared" si="3"/>
        <v>8</v>
      </c>
      <c r="V24" s="1069"/>
      <c r="W24" s="1088" t="s">
        <v>275</v>
      </c>
      <c r="X24" s="1095">
        <v>1</v>
      </c>
      <c r="Y24" s="1103">
        <v>1</v>
      </c>
      <c r="Z24" s="1103">
        <v>1</v>
      </c>
      <c r="AA24" s="1103">
        <v>1</v>
      </c>
      <c r="AB24" s="1103">
        <v>1</v>
      </c>
      <c r="AC24" s="1103">
        <v>1</v>
      </c>
      <c r="AD24" s="1103">
        <v>1</v>
      </c>
      <c r="AE24" s="1103">
        <v>1</v>
      </c>
      <c r="AF24" s="1088" t="s">
        <v>275</v>
      </c>
      <c r="AG24" s="1069">
        <f t="shared" si="4"/>
        <v>8</v>
      </c>
      <c r="AH24" s="1069"/>
      <c r="AI24" s="1088" t="s">
        <v>275</v>
      </c>
      <c r="AJ24" s="1108">
        <v>1</v>
      </c>
      <c r="AK24" s="1069"/>
      <c r="AL24" s="1109">
        <v>1</v>
      </c>
      <c r="AM24" s="1109">
        <v>1</v>
      </c>
      <c r="AN24" s="1109">
        <v>1</v>
      </c>
      <c r="AO24" s="1109"/>
      <c r="AP24" s="1088" t="s">
        <v>275</v>
      </c>
      <c r="AQ24" s="1069">
        <f t="shared" si="5"/>
        <v>4</v>
      </c>
      <c r="AR24" s="1069"/>
    </row>
    <row r="25" spans="1:44" ht="15.5" x14ac:dyDescent="0.35">
      <c r="A25" s="1094" t="s">
        <v>275</v>
      </c>
      <c r="B25" s="1089">
        <f t="shared" si="0"/>
        <v>8</v>
      </c>
      <c r="C25" s="1089">
        <f t="shared" si="0"/>
        <v>8</v>
      </c>
      <c r="D25" s="1089">
        <f t="shared" si="0"/>
        <v>4</v>
      </c>
      <c r="F25" s="1099" t="s">
        <v>275</v>
      </c>
      <c r="G25" s="1100">
        <f t="shared" si="1"/>
        <v>8</v>
      </c>
      <c r="H25" s="1101">
        <f t="shared" si="7"/>
        <v>8</v>
      </c>
      <c r="I25" s="1102">
        <f t="shared" si="2"/>
        <v>4</v>
      </c>
      <c r="K25" s="1094" t="s">
        <v>276</v>
      </c>
      <c r="L25" s="1095">
        <v>1</v>
      </c>
      <c r="M25" s="1103">
        <v>1</v>
      </c>
      <c r="N25" s="1103">
        <v>1</v>
      </c>
      <c r="O25" s="1103">
        <v>1</v>
      </c>
      <c r="P25" s="1103">
        <v>1</v>
      </c>
      <c r="Q25" s="1103">
        <v>1</v>
      </c>
      <c r="R25" s="1103">
        <v>1</v>
      </c>
      <c r="S25" s="1107">
        <v>1</v>
      </c>
      <c r="T25" s="1098" t="s">
        <v>276</v>
      </c>
      <c r="U25">
        <f t="shared" si="3"/>
        <v>8</v>
      </c>
      <c r="V25" s="1069"/>
      <c r="W25" s="1088" t="s">
        <v>276</v>
      </c>
      <c r="X25" s="1095">
        <v>1</v>
      </c>
      <c r="Y25" s="1103">
        <v>1</v>
      </c>
      <c r="Z25" s="1103">
        <v>1</v>
      </c>
      <c r="AA25" s="1103">
        <v>1</v>
      </c>
      <c r="AB25" s="1103">
        <v>1</v>
      </c>
      <c r="AC25" s="1103">
        <v>1</v>
      </c>
      <c r="AD25" s="1103">
        <v>1</v>
      </c>
      <c r="AE25" s="1103">
        <v>1</v>
      </c>
      <c r="AF25" s="1088" t="s">
        <v>276</v>
      </c>
      <c r="AG25" s="1069">
        <f t="shared" si="4"/>
        <v>8</v>
      </c>
      <c r="AH25" s="1069"/>
      <c r="AI25" s="1088" t="s">
        <v>276</v>
      </c>
      <c r="AJ25" s="1108">
        <v>1</v>
      </c>
      <c r="AK25" s="1069"/>
      <c r="AL25" s="1109">
        <v>1</v>
      </c>
      <c r="AM25" s="1109">
        <v>1</v>
      </c>
      <c r="AN25" s="1109">
        <v>1</v>
      </c>
      <c r="AO25" s="1109"/>
      <c r="AP25" s="1088" t="s">
        <v>276</v>
      </c>
      <c r="AQ25" s="1069">
        <f t="shared" si="5"/>
        <v>4</v>
      </c>
      <c r="AR25" s="1069"/>
    </row>
    <row r="26" spans="1:44" ht="15.5" x14ac:dyDescent="0.35">
      <c r="A26" s="1094" t="s">
        <v>276</v>
      </c>
      <c r="B26" s="1089">
        <f t="shared" si="0"/>
        <v>8</v>
      </c>
      <c r="C26" s="1089">
        <f t="shared" si="0"/>
        <v>8</v>
      </c>
      <c r="D26" s="1089">
        <f t="shared" si="0"/>
        <v>4</v>
      </c>
      <c r="F26" s="1099" t="s">
        <v>276</v>
      </c>
      <c r="G26" s="1100">
        <f t="shared" si="1"/>
        <v>8</v>
      </c>
      <c r="H26" s="1101">
        <f t="shared" si="7"/>
        <v>8</v>
      </c>
      <c r="I26" s="1102">
        <f t="shared" si="2"/>
        <v>4</v>
      </c>
      <c r="K26" s="1094" t="s">
        <v>277</v>
      </c>
      <c r="L26" s="1095">
        <v>1</v>
      </c>
      <c r="M26" s="1103">
        <v>1</v>
      </c>
      <c r="N26" s="1103">
        <v>1</v>
      </c>
      <c r="O26" s="1103">
        <v>1</v>
      </c>
      <c r="P26" s="1103">
        <v>1</v>
      </c>
      <c r="Q26" s="1103">
        <v>1</v>
      </c>
      <c r="R26" s="1103">
        <v>1</v>
      </c>
      <c r="S26" s="1107">
        <v>1</v>
      </c>
      <c r="T26" s="1098" t="s">
        <v>277</v>
      </c>
      <c r="U26">
        <f t="shared" si="3"/>
        <v>8</v>
      </c>
      <c r="V26" s="1069"/>
      <c r="W26" s="1088" t="s">
        <v>277</v>
      </c>
      <c r="X26" s="1095">
        <v>1</v>
      </c>
      <c r="Y26" s="1103">
        <v>1</v>
      </c>
      <c r="Z26" s="1103">
        <v>1</v>
      </c>
      <c r="AA26" s="1103">
        <v>1</v>
      </c>
      <c r="AB26" s="1103">
        <v>1</v>
      </c>
      <c r="AC26" s="1103">
        <v>1</v>
      </c>
      <c r="AD26" s="1103">
        <v>1</v>
      </c>
      <c r="AE26" s="1069"/>
      <c r="AF26" s="1088" t="s">
        <v>277</v>
      </c>
      <c r="AG26" s="1069">
        <f t="shared" si="4"/>
        <v>7</v>
      </c>
      <c r="AH26" s="1069"/>
      <c r="AI26" s="1088" t="s">
        <v>277</v>
      </c>
      <c r="AJ26" s="1108">
        <v>1</v>
      </c>
      <c r="AK26" s="1069"/>
      <c r="AL26" s="1109">
        <v>1</v>
      </c>
      <c r="AM26" s="1109">
        <v>1</v>
      </c>
      <c r="AN26" s="1109">
        <v>1</v>
      </c>
      <c r="AO26" s="1109"/>
      <c r="AP26" s="1088" t="s">
        <v>277</v>
      </c>
      <c r="AQ26" s="1069">
        <f t="shared" si="5"/>
        <v>4</v>
      </c>
      <c r="AR26" s="1069"/>
    </row>
    <row r="27" spans="1:44" ht="15.5" x14ac:dyDescent="0.35">
      <c r="A27" s="1094" t="s">
        <v>277</v>
      </c>
      <c r="B27" s="1089">
        <f t="shared" si="0"/>
        <v>8</v>
      </c>
      <c r="C27" s="1089">
        <f t="shared" si="0"/>
        <v>7</v>
      </c>
      <c r="D27" s="1089">
        <f t="shared" si="0"/>
        <v>4</v>
      </c>
      <c r="F27" s="1099" t="s">
        <v>277</v>
      </c>
      <c r="G27" s="1100">
        <f t="shared" si="1"/>
        <v>8</v>
      </c>
      <c r="H27" s="1101">
        <f t="shared" si="7"/>
        <v>7</v>
      </c>
      <c r="I27" s="1102">
        <f t="shared" si="2"/>
        <v>4</v>
      </c>
      <c r="K27" s="1094" t="s">
        <v>278</v>
      </c>
      <c r="L27" s="1095">
        <v>1</v>
      </c>
      <c r="M27" s="1103">
        <v>1</v>
      </c>
      <c r="N27" s="1103">
        <v>1</v>
      </c>
      <c r="O27" s="1103">
        <v>1</v>
      </c>
      <c r="P27" s="1103">
        <v>1</v>
      </c>
      <c r="Q27" s="1103">
        <v>1</v>
      </c>
      <c r="R27" s="1103">
        <v>1</v>
      </c>
      <c r="S27" s="1107">
        <v>1</v>
      </c>
      <c r="T27" s="1098" t="s">
        <v>278</v>
      </c>
      <c r="U27">
        <f t="shared" si="3"/>
        <v>8</v>
      </c>
      <c r="V27" s="1069"/>
      <c r="W27" s="1088" t="s">
        <v>278</v>
      </c>
      <c r="X27" s="1095">
        <v>1</v>
      </c>
      <c r="Y27" s="1103">
        <v>1</v>
      </c>
      <c r="Z27" s="1103">
        <v>1</v>
      </c>
      <c r="AA27" s="1103">
        <v>1</v>
      </c>
      <c r="AB27" s="1103">
        <v>1</v>
      </c>
      <c r="AC27" s="1103">
        <v>1</v>
      </c>
      <c r="AD27" s="1103">
        <v>1</v>
      </c>
      <c r="AE27" s="1069"/>
      <c r="AF27" s="1088" t="s">
        <v>278</v>
      </c>
      <c r="AG27" s="1069">
        <f t="shared" si="4"/>
        <v>7</v>
      </c>
      <c r="AH27" s="1069"/>
      <c r="AI27" s="1088" t="s">
        <v>278</v>
      </c>
      <c r="AJ27" s="1108">
        <v>1</v>
      </c>
      <c r="AK27" s="1069"/>
      <c r="AL27" s="1109">
        <v>1</v>
      </c>
      <c r="AM27" s="1109">
        <v>1</v>
      </c>
      <c r="AN27" s="1109">
        <v>1</v>
      </c>
      <c r="AO27" s="1109"/>
      <c r="AP27" s="1088" t="s">
        <v>278</v>
      </c>
      <c r="AQ27" s="1069">
        <f t="shared" si="5"/>
        <v>4</v>
      </c>
      <c r="AR27" s="1069"/>
    </row>
    <row r="28" spans="1:44" ht="15.5" x14ac:dyDescent="0.35">
      <c r="A28" s="1094" t="s">
        <v>278</v>
      </c>
      <c r="B28" s="1089">
        <f t="shared" si="0"/>
        <v>8</v>
      </c>
      <c r="C28" s="1089">
        <f t="shared" si="0"/>
        <v>7</v>
      </c>
      <c r="D28" s="1089">
        <f t="shared" si="0"/>
        <v>4</v>
      </c>
      <c r="F28" s="1099" t="s">
        <v>278</v>
      </c>
      <c r="G28" s="1100">
        <f t="shared" si="1"/>
        <v>8</v>
      </c>
      <c r="H28" s="1101">
        <f t="shared" si="7"/>
        <v>7</v>
      </c>
      <c r="I28" s="1102">
        <f t="shared" si="2"/>
        <v>4</v>
      </c>
      <c r="K28" s="1094" t="s">
        <v>279</v>
      </c>
      <c r="L28" s="1095">
        <v>1</v>
      </c>
      <c r="M28" s="1103">
        <v>1</v>
      </c>
      <c r="N28" s="1103">
        <v>1</v>
      </c>
      <c r="O28" s="1103">
        <v>1</v>
      </c>
      <c r="P28" s="1103">
        <v>1</v>
      </c>
      <c r="Q28" s="1103">
        <v>1</v>
      </c>
      <c r="R28" s="1103">
        <v>1</v>
      </c>
      <c r="S28" s="1107">
        <v>1</v>
      </c>
      <c r="T28" s="1098" t="s">
        <v>279</v>
      </c>
      <c r="U28">
        <f t="shared" si="3"/>
        <v>8</v>
      </c>
      <c r="V28" s="1069"/>
      <c r="W28" s="1088" t="s">
        <v>279</v>
      </c>
      <c r="X28" s="1095">
        <v>1</v>
      </c>
      <c r="Y28" s="1103">
        <v>1</v>
      </c>
      <c r="Z28" s="1103">
        <v>1</v>
      </c>
      <c r="AA28" s="1103">
        <v>1</v>
      </c>
      <c r="AB28" s="1103">
        <v>1</v>
      </c>
      <c r="AC28" s="1103">
        <v>1</v>
      </c>
      <c r="AD28" s="1103">
        <v>1</v>
      </c>
      <c r="AE28" s="1103">
        <v>1</v>
      </c>
      <c r="AF28" s="1088" t="s">
        <v>279</v>
      </c>
      <c r="AG28" s="1069">
        <f t="shared" si="4"/>
        <v>8</v>
      </c>
      <c r="AH28" s="1069"/>
      <c r="AI28" s="1088" t="s">
        <v>279</v>
      </c>
      <c r="AJ28" s="1108">
        <v>1</v>
      </c>
      <c r="AK28" s="1069"/>
      <c r="AL28" s="1109">
        <v>1</v>
      </c>
      <c r="AM28" s="1109">
        <v>1</v>
      </c>
      <c r="AN28" s="1109">
        <v>1</v>
      </c>
      <c r="AO28" s="1109"/>
      <c r="AP28" s="1088" t="s">
        <v>279</v>
      </c>
      <c r="AQ28" s="1069">
        <f t="shared" si="5"/>
        <v>4</v>
      </c>
      <c r="AR28" s="1069"/>
    </row>
    <row r="29" spans="1:44" ht="15.5" x14ac:dyDescent="0.35">
      <c r="A29" s="1094" t="s">
        <v>279</v>
      </c>
      <c r="B29" s="1089">
        <f t="shared" si="0"/>
        <v>8</v>
      </c>
      <c r="C29" s="1089">
        <f t="shared" si="0"/>
        <v>8</v>
      </c>
      <c r="D29" s="1089">
        <f t="shared" si="0"/>
        <v>4</v>
      </c>
      <c r="F29" s="1099" t="s">
        <v>279</v>
      </c>
      <c r="G29" s="1100">
        <f t="shared" si="1"/>
        <v>8</v>
      </c>
      <c r="H29" s="1101">
        <f t="shared" si="7"/>
        <v>8</v>
      </c>
      <c r="I29" s="1102">
        <f t="shared" si="2"/>
        <v>4</v>
      </c>
      <c r="K29" s="1094" t="s">
        <v>280</v>
      </c>
      <c r="L29" s="1095">
        <v>1</v>
      </c>
      <c r="M29" s="1103">
        <v>1</v>
      </c>
      <c r="N29" s="1103">
        <v>1</v>
      </c>
      <c r="O29" s="1103">
        <v>1</v>
      </c>
      <c r="P29" s="1103">
        <v>1</v>
      </c>
      <c r="Q29" s="1103">
        <v>1</v>
      </c>
      <c r="R29" s="1103">
        <v>1</v>
      </c>
      <c r="S29" s="1107">
        <v>1</v>
      </c>
      <c r="T29" s="1098" t="s">
        <v>280</v>
      </c>
      <c r="U29">
        <f t="shared" si="3"/>
        <v>8</v>
      </c>
      <c r="V29" s="1069"/>
      <c r="W29" s="1088" t="s">
        <v>280</v>
      </c>
      <c r="X29" s="1095">
        <v>1</v>
      </c>
      <c r="Y29" s="1103">
        <v>1</v>
      </c>
      <c r="Z29" s="1103">
        <v>1</v>
      </c>
      <c r="AA29" s="1103">
        <v>1</v>
      </c>
      <c r="AB29" s="1103">
        <v>1</v>
      </c>
      <c r="AC29" s="1103">
        <v>1</v>
      </c>
      <c r="AD29" s="1103">
        <v>1</v>
      </c>
      <c r="AE29" s="1103">
        <v>1</v>
      </c>
      <c r="AF29" s="1088" t="s">
        <v>280</v>
      </c>
      <c r="AG29" s="1069">
        <f t="shared" si="4"/>
        <v>8</v>
      </c>
      <c r="AH29" s="1069"/>
      <c r="AI29" s="1088" t="s">
        <v>280</v>
      </c>
      <c r="AJ29" s="1108">
        <v>1</v>
      </c>
      <c r="AK29" s="1069"/>
      <c r="AL29" s="1109">
        <v>1</v>
      </c>
      <c r="AM29" s="1109">
        <v>1</v>
      </c>
      <c r="AN29" s="1109">
        <v>1</v>
      </c>
      <c r="AO29" s="1109"/>
      <c r="AP29" s="1088" t="s">
        <v>280</v>
      </c>
      <c r="AQ29" s="1069">
        <f t="shared" si="5"/>
        <v>4</v>
      </c>
      <c r="AR29" s="1069"/>
    </row>
    <row r="30" spans="1:44" ht="15.5" x14ac:dyDescent="0.35">
      <c r="A30" s="1094" t="s">
        <v>280</v>
      </c>
      <c r="B30" s="1089">
        <f t="shared" si="0"/>
        <v>8</v>
      </c>
      <c r="C30" s="1089">
        <f t="shared" si="0"/>
        <v>8</v>
      </c>
      <c r="D30" s="1089">
        <f t="shared" si="0"/>
        <v>4</v>
      </c>
      <c r="F30" s="1099" t="s">
        <v>280</v>
      </c>
      <c r="G30" s="1100">
        <f t="shared" si="1"/>
        <v>8</v>
      </c>
      <c r="H30" s="1101">
        <f t="shared" si="7"/>
        <v>8</v>
      </c>
      <c r="I30" s="1102">
        <f t="shared" si="2"/>
        <v>4</v>
      </c>
      <c r="K30" s="1094" t="s">
        <v>281</v>
      </c>
      <c r="L30" s="1095">
        <v>1</v>
      </c>
      <c r="M30" s="1103">
        <v>1</v>
      </c>
      <c r="N30" s="1103">
        <v>1</v>
      </c>
      <c r="O30" s="1103">
        <v>1</v>
      </c>
      <c r="P30" s="1103">
        <v>1</v>
      </c>
      <c r="Q30" s="1103">
        <v>1</v>
      </c>
      <c r="R30" s="1103">
        <v>1</v>
      </c>
      <c r="S30" s="1107">
        <v>1</v>
      </c>
      <c r="T30" s="1098" t="s">
        <v>281</v>
      </c>
      <c r="U30">
        <f t="shared" si="3"/>
        <v>8</v>
      </c>
      <c r="V30" s="1069"/>
      <c r="W30" s="1088" t="s">
        <v>281</v>
      </c>
      <c r="X30" s="1095">
        <v>1</v>
      </c>
      <c r="Y30" s="1103">
        <v>1</v>
      </c>
      <c r="Z30" s="1103">
        <v>1</v>
      </c>
      <c r="AA30" s="1103">
        <v>1</v>
      </c>
      <c r="AB30" s="1103">
        <v>1</v>
      </c>
      <c r="AC30" s="1103">
        <v>1</v>
      </c>
      <c r="AD30" s="1103">
        <v>1</v>
      </c>
      <c r="AE30" s="1103">
        <v>1</v>
      </c>
      <c r="AF30" s="1088" t="s">
        <v>281</v>
      </c>
      <c r="AG30" s="1069">
        <f t="shared" si="4"/>
        <v>8</v>
      </c>
      <c r="AH30" s="1069"/>
      <c r="AI30" s="1088" t="s">
        <v>281</v>
      </c>
      <c r="AJ30" s="1108">
        <v>1</v>
      </c>
      <c r="AK30" s="1069"/>
      <c r="AL30" s="1109">
        <v>1</v>
      </c>
      <c r="AM30" s="1109">
        <v>1</v>
      </c>
      <c r="AN30" s="1109">
        <v>1</v>
      </c>
      <c r="AO30" s="1109"/>
      <c r="AP30" s="1088" t="s">
        <v>281</v>
      </c>
      <c r="AQ30" s="1069">
        <f t="shared" si="5"/>
        <v>4</v>
      </c>
      <c r="AR30" s="1069"/>
    </row>
    <row r="31" spans="1:44" ht="15.5" x14ac:dyDescent="0.35">
      <c r="A31" s="1094" t="s">
        <v>281</v>
      </c>
      <c r="B31" s="1089">
        <f t="shared" si="0"/>
        <v>8</v>
      </c>
      <c r="C31" s="1089">
        <f t="shared" si="0"/>
        <v>8</v>
      </c>
      <c r="D31" s="1089">
        <f t="shared" si="0"/>
        <v>4</v>
      </c>
      <c r="F31" s="1099" t="s">
        <v>281</v>
      </c>
      <c r="G31" s="1100">
        <f t="shared" si="1"/>
        <v>8</v>
      </c>
      <c r="H31" s="1101">
        <f t="shared" si="7"/>
        <v>8</v>
      </c>
      <c r="I31" s="1102">
        <f t="shared" si="2"/>
        <v>4</v>
      </c>
      <c r="K31" s="1094" t="s">
        <v>282</v>
      </c>
      <c r="L31" s="1095">
        <v>1</v>
      </c>
      <c r="M31" s="1103">
        <v>1</v>
      </c>
      <c r="N31" s="1103">
        <v>1</v>
      </c>
      <c r="O31" s="1103">
        <v>1</v>
      </c>
      <c r="P31" s="1103">
        <v>1</v>
      </c>
      <c r="Q31" s="1103">
        <v>1</v>
      </c>
      <c r="R31" s="1103">
        <v>1</v>
      </c>
      <c r="S31" s="1107">
        <v>1</v>
      </c>
      <c r="T31" s="1098" t="s">
        <v>282</v>
      </c>
      <c r="U31">
        <f t="shared" si="3"/>
        <v>8</v>
      </c>
      <c r="V31" s="1069"/>
      <c r="W31" s="1088" t="s">
        <v>282</v>
      </c>
      <c r="X31" s="1095">
        <v>1</v>
      </c>
      <c r="Y31" s="1103">
        <v>1</v>
      </c>
      <c r="Z31" s="1103">
        <v>1</v>
      </c>
      <c r="AA31" s="1103">
        <v>1</v>
      </c>
      <c r="AB31" s="1103">
        <v>1</v>
      </c>
      <c r="AC31" s="1069"/>
      <c r="AD31" s="1103">
        <v>1</v>
      </c>
      <c r="AE31" s="1103">
        <v>1</v>
      </c>
      <c r="AF31" s="1088" t="s">
        <v>282</v>
      </c>
      <c r="AG31" s="1069">
        <f t="shared" si="4"/>
        <v>7</v>
      </c>
      <c r="AH31" s="1069"/>
      <c r="AI31" s="1088" t="s">
        <v>282</v>
      </c>
      <c r="AJ31" s="1108">
        <v>1</v>
      </c>
      <c r="AK31" s="1069"/>
      <c r="AL31" s="1109">
        <v>1</v>
      </c>
      <c r="AM31" s="1109">
        <v>1</v>
      </c>
      <c r="AN31" s="1109">
        <v>1</v>
      </c>
      <c r="AO31" s="1109"/>
      <c r="AP31" s="1088" t="s">
        <v>282</v>
      </c>
      <c r="AQ31" s="1069">
        <f t="shared" si="5"/>
        <v>4</v>
      </c>
      <c r="AR31" s="1069"/>
    </row>
    <row r="32" spans="1:44" ht="15.5" x14ac:dyDescent="0.35">
      <c r="A32" s="1094" t="s">
        <v>282</v>
      </c>
      <c r="B32" s="1089">
        <f t="shared" si="0"/>
        <v>8</v>
      </c>
      <c r="C32" s="1089">
        <f t="shared" si="0"/>
        <v>7</v>
      </c>
      <c r="D32" s="1089">
        <f t="shared" si="0"/>
        <v>4</v>
      </c>
      <c r="F32" s="1099" t="s">
        <v>282</v>
      </c>
      <c r="G32" s="1100">
        <f t="shared" si="1"/>
        <v>8</v>
      </c>
      <c r="H32" s="1101">
        <f t="shared" si="7"/>
        <v>7</v>
      </c>
      <c r="I32" s="1102">
        <f t="shared" si="2"/>
        <v>4</v>
      </c>
      <c r="K32" s="1094" t="s">
        <v>283</v>
      </c>
      <c r="L32" s="1095">
        <v>1</v>
      </c>
      <c r="M32" s="1103">
        <v>1</v>
      </c>
      <c r="N32" s="1103">
        <v>1</v>
      </c>
      <c r="O32" s="1103">
        <v>1</v>
      </c>
      <c r="P32" s="1103">
        <v>1</v>
      </c>
      <c r="Q32" s="1103">
        <v>1</v>
      </c>
      <c r="R32" s="1103">
        <v>1</v>
      </c>
      <c r="S32" s="1107">
        <v>1</v>
      </c>
      <c r="T32" s="1098" t="s">
        <v>283</v>
      </c>
      <c r="U32">
        <f t="shared" si="3"/>
        <v>8</v>
      </c>
      <c r="V32" s="1069"/>
      <c r="W32" s="1088" t="s">
        <v>283</v>
      </c>
      <c r="X32" s="1095">
        <v>1</v>
      </c>
      <c r="Y32" s="1103">
        <v>1</v>
      </c>
      <c r="Z32" s="1103">
        <v>1</v>
      </c>
      <c r="AA32" s="1103">
        <v>1</v>
      </c>
      <c r="AB32" s="1103">
        <v>1</v>
      </c>
      <c r="AC32" s="1069"/>
      <c r="AD32" s="1103">
        <v>1</v>
      </c>
      <c r="AE32" s="1103">
        <v>1</v>
      </c>
      <c r="AF32" s="1088" t="s">
        <v>283</v>
      </c>
      <c r="AG32" s="1069">
        <f t="shared" si="4"/>
        <v>7</v>
      </c>
      <c r="AH32" s="1069"/>
      <c r="AI32" s="1088" t="s">
        <v>283</v>
      </c>
      <c r="AJ32" s="1108">
        <v>1</v>
      </c>
      <c r="AK32" s="1069"/>
      <c r="AL32" s="1109">
        <v>1</v>
      </c>
      <c r="AM32" s="1109">
        <v>1</v>
      </c>
      <c r="AN32" s="1109">
        <v>1</v>
      </c>
      <c r="AO32" s="1109"/>
      <c r="AP32" s="1088" t="s">
        <v>283</v>
      </c>
      <c r="AQ32" s="1069">
        <f t="shared" si="5"/>
        <v>4</v>
      </c>
      <c r="AR32" s="1069"/>
    </row>
    <row r="33" spans="1:44" ht="15.5" x14ac:dyDescent="0.35">
      <c r="A33" s="1094" t="s">
        <v>283</v>
      </c>
      <c r="B33" s="1089">
        <f t="shared" si="0"/>
        <v>8</v>
      </c>
      <c r="C33" s="1089">
        <f t="shared" si="0"/>
        <v>7</v>
      </c>
      <c r="D33" s="1089">
        <f t="shared" si="0"/>
        <v>4</v>
      </c>
      <c r="F33" s="1099" t="s">
        <v>283</v>
      </c>
      <c r="G33" s="1100">
        <f t="shared" si="1"/>
        <v>8</v>
      </c>
      <c r="H33" s="1101">
        <f t="shared" si="7"/>
        <v>7</v>
      </c>
      <c r="I33" s="1102">
        <f t="shared" si="2"/>
        <v>4</v>
      </c>
      <c r="K33" s="1094" t="s">
        <v>284</v>
      </c>
      <c r="L33" s="1095">
        <v>1</v>
      </c>
      <c r="M33" s="1103">
        <v>1</v>
      </c>
      <c r="N33" s="1103">
        <v>1</v>
      </c>
      <c r="O33" s="1103">
        <v>1</v>
      </c>
      <c r="P33" s="1103">
        <v>1</v>
      </c>
      <c r="Q33" s="1103">
        <v>1</v>
      </c>
      <c r="R33" s="1103">
        <v>1</v>
      </c>
      <c r="S33" s="1107">
        <v>1</v>
      </c>
      <c r="T33" s="1098" t="s">
        <v>284</v>
      </c>
      <c r="U33">
        <f t="shared" si="3"/>
        <v>8</v>
      </c>
      <c r="V33" s="1069"/>
      <c r="W33" s="1088" t="s">
        <v>284</v>
      </c>
      <c r="X33" s="1095">
        <v>1</v>
      </c>
      <c r="Y33" s="1103">
        <v>1</v>
      </c>
      <c r="Z33" s="1103">
        <v>1</v>
      </c>
      <c r="AA33" s="1103">
        <v>1</v>
      </c>
      <c r="AB33" s="1103">
        <v>1</v>
      </c>
      <c r="AC33" s="1069"/>
      <c r="AD33" s="1103">
        <v>1</v>
      </c>
      <c r="AE33" s="1103">
        <v>1</v>
      </c>
      <c r="AF33" s="1088" t="s">
        <v>284</v>
      </c>
      <c r="AG33" s="1069">
        <f t="shared" si="4"/>
        <v>7</v>
      </c>
      <c r="AH33" s="1069"/>
      <c r="AI33" s="1088" t="s">
        <v>284</v>
      </c>
      <c r="AJ33" s="1108">
        <v>1</v>
      </c>
      <c r="AK33" s="1069"/>
      <c r="AL33" s="1109">
        <v>1</v>
      </c>
      <c r="AM33" s="1109">
        <v>1</v>
      </c>
      <c r="AN33" s="1109">
        <v>1</v>
      </c>
      <c r="AO33" s="1109"/>
      <c r="AP33" s="1088" t="s">
        <v>284</v>
      </c>
      <c r="AQ33" s="1069">
        <f t="shared" si="5"/>
        <v>4</v>
      </c>
      <c r="AR33" s="1069"/>
    </row>
    <row r="34" spans="1:44" ht="15.5" x14ac:dyDescent="0.35">
      <c r="A34" s="1094" t="s">
        <v>284</v>
      </c>
      <c r="B34" s="1089">
        <f t="shared" si="0"/>
        <v>8</v>
      </c>
      <c r="C34" s="1089">
        <f t="shared" si="0"/>
        <v>7</v>
      </c>
      <c r="D34" s="1089">
        <f t="shared" si="0"/>
        <v>4</v>
      </c>
      <c r="F34" s="1099" t="s">
        <v>284</v>
      </c>
      <c r="G34" s="1100">
        <f t="shared" si="1"/>
        <v>8</v>
      </c>
      <c r="H34" s="1101">
        <f t="shared" si="7"/>
        <v>7</v>
      </c>
      <c r="I34" s="1102">
        <f t="shared" si="2"/>
        <v>4</v>
      </c>
      <c r="K34" s="1094" t="s">
        <v>285</v>
      </c>
      <c r="L34" s="1095">
        <v>1</v>
      </c>
      <c r="M34" s="1103">
        <v>1</v>
      </c>
      <c r="N34" s="1103">
        <v>1</v>
      </c>
      <c r="O34" s="1103">
        <v>1</v>
      </c>
      <c r="P34" s="1103">
        <v>1</v>
      </c>
      <c r="Q34" s="1103">
        <v>1</v>
      </c>
      <c r="R34" s="1103">
        <v>1</v>
      </c>
      <c r="S34" s="1107">
        <v>1</v>
      </c>
      <c r="T34" s="1098" t="s">
        <v>285</v>
      </c>
      <c r="U34">
        <f t="shared" si="3"/>
        <v>8</v>
      </c>
      <c r="V34" s="1069"/>
      <c r="W34" s="1088" t="s">
        <v>285</v>
      </c>
      <c r="X34" s="1095">
        <v>1</v>
      </c>
      <c r="Y34" s="1069"/>
      <c r="Z34" s="1103">
        <v>1</v>
      </c>
      <c r="AA34" s="1103">
        <v>1</v>
      </c>
      <c r="AB34" s="1103">
        <v>1</v>
      </c>
      <c r="AC34" s="1069"/>
      <c r="AD34" s="1103">
        <v>1</v>
      </c>
      <c r="AE34" s="1103">
        <v>1</v>
      </c>
      <c r="AF34" s="1088" t="s">
        <v>285</v>
      </c>
      <c r="AG34" s="1069">
        <f t="shared" si="4"/>
        <v>6</v>
      </c>
      <c r="AH34" s="1069"/>
      <c r="AI34" s="1088" t="s">
        <v>285</v>
      </c>
      <c r="AJ34" s="1108">
        <v>1</v>
      </c>
      <c r="AK34" s="1069"/>
      <c r="AL34" s="1109">
        <v>1</v>
      </c>
      <c r="AM34" s="1109">
        <v>1</v>
      </c>
      <c r="AN34" s="1109">
        <v>1</v>
      </c>
      <c r="AO34" s="1109"/>
      <c r="AP34" s="1088" t="s">
        <v>285</v>
      </c>
      <c r="AQ34" s="1069">
        <f t="shared" si="5"/>
        <v>4</v>
      </c>
      <c r="AR34" s="1069"/>
    </row>
    <row r="35" spans="1:44" ht="15.5" x14ac:dyDescent="0.35">
      <c r="A35" s="1094" t="s">
        <v>285</v>
      </c>
      <c r="B35" s="1089">
        <f t="shared" si="0"/>
        <v>8</v>
      </c>
      <c r="C35" s="1089">
        <f t="shared" si="0"/>
        <v>6</v>
      </c>
      <c r="D35" s="1089">
        <f t="shared" si="0"/>
        <v>4</v>
      </c>
      <c r="F35" s="1099" t="s">
        <v>285</v>
      </c>
      <c r="G35" s="1100">
        <f t="shared" si="1"/>
        <v>8</v>
      </c>
      <c r="H35" s="1101">
        <f t="shared" si="7"/>
        <v>6</v>
      </c>
      <c r="I35" s="1102">
        <f t="shared" si="2"/>
        <v>4</v>
      </c>
      <c r="K35" s="1094" t="s">
        <v>286</v>
      </c>
      <c r="L35" s="1095">
        <v>1</v>
      </c>
      <c r="M35" s="1103">
        <v>1</v>
      </c>
      <c r="N35" s="1103">
        <v>1</v>
      </c>
      <c r="O35" s="1103">
        <v>1</v>
      </c>
      <c r="P35" s="1103">
        <v>1</v>
      </c>
      <c r="Q35" s="1103">
        <v>1</v>
      </c>
      <c r="R35" s="1096"/>
      <c r="S35" s="1107">
        <v>1</v>
      </c>
      <c r="T35" s="1098" t="s">
        <v>286</v>
      </c>
      <c r="U35">
        <f t="shared" si="3"/>
        <v>7</v>
      </c>
      <c r="V35" s="1069"/>
      <c r="W35" s="1088" t="s">
        <v>286</v>
      </c>
      <c r="X35" s="1095">
        <v>1</v>
      </c>
      <c r="Y35" s="1069"/>
      <c r="Z35" s="1103">
        <v>1</v>
      </c>
      <c r="AA35" s="1103">
        <v>1</v>
      </c>
      <c r="AB35" s="1103">
        <v>1</v>
      </c>
      <c r="AC35" s="1069"/>
      <c r="AD35" s="1103">
        <v>1</v>
      </c>
      <c r="AE35" s="1103">
        <v>1</v>
      </c>
      <c r="AF35" s="1088" t="s">
        <v>286</v>
      </c>
      <c r="AG35" s="1069">
        <f t="shared" si="4"/>
        <v>6</v>
      </c>
      <c r="AH35" s="1069"/>
      <c r="AI35" s="1088" t="s">
        <v>286</v>
      </c>
      <c r="AJ35" s="1108">
        <v>1</v>
      </c>
      <c r="AK35" s="1069"/>
      <c r="AL35" s="1109">
        <v>1</v>
      </c>
      <c r="AM35" s="1109">
        <v>1</v>
      </c>
      <c r="AN35" s="1109">
        <v>1</v>
      </c>
      <c r="AO35" s="1109"/>
      <c r="AP35" s="1088" t="s">
        <v>286</v>
      </c>
      <c r="AQ35" s="1069">
        <f t="shared" si="5"/>
        <v>4</v>
      </c>
      <c r="AR35" s="1069"/>
    </row>
    <row r="36" spans="1:44" ht="15.5" x14ac:dyDescent="0.35">
      <c r="A36" s="1094" t="s">
        <v>286</v>
      </c>
      <c r="B36" s="1089">
        <f t="shared" si="0"/>
        <v>7</v>
      </c>
      <c r="C36" s="1089">
        <f t="shared" si="0"/>
        <v>6</v>
      </c>
      <c r="D36" s="1089">
        <f t="shared" si="0"/>
        <v>4</v>
      </c>
      <c r="F36" s="1099" t="s">
        <v>286</v>
      </c>
      <c r="G36" s="1100">
        <f t="shared" si="1"/>
        <v>7</v>
      </c>
      <c r="H36" s="1101">
        <f t="shared" si="7"/>
        <v>6</v>
      </c>
      <c r="I36" s="1102">
        <f t="shared" si="2"/>
        <v>4</v>
      </c>
      <c r="K36" s="1094" t="s">
        <v>287</v>
      </c>
      <c r="L36" s="1095">
        <v>1</v>
      </c>
      <c r="M36" s="1103">
        <v>1</v>
      </c>
      <c r="N36" s="1103">
        <v>1</v>
      </c>
      <c r="O36" s="1103">
        <v>1</v>
      </c>
      <c r="P36" s="1103">
        <v>1</v>
      </c>
      <c r="Q36" s="1103">
        <v>1</v>
      </c>
      <c r="R36" s="1096"/>
      <c r="S36" s="1107">
        <v>1</v>
      </c>
      <c r="T36" s="1098" t="s">
        <v>287</v>
      </c>
      <c r="U36">
        <f t="shared" si="3"/>
        <v>7</v>
      </c>
      <c r="V36" s="1069"/>
      <c r="W36" s="1088" t="s">
        <v>287</v>
      </c>
      <c r="X36" s="1069"/>
      <c r="Y36" s="1069"/>
      <c r="Z36" s="1069"/>
      <c r="AA36" s="1103">
        <v>1</v>
      </c>
      <c r="AB36" s="1103">
        <v>1</v>
      </c>
      <c r="AC36" s="1069"/>
      <c r="AD36" s="1103">
        <v>1</v>
      </c>
      <c r="AE36" s="1103">
        <v>1</v>
      </c>
      <c r="AF36" s="1088" t="s">
        <v>287</v>
      </c>
      <c r="AG36" s="1069">
        <f t="shared" si="4"/>
        <v>4</v>
      </c>
      <c r="AH36" s="1069"/>
      <c r="AI36" s="1088" t="s">
        <v>287</v>
      </c>
      <c r="AJ36" s="1108">
        <v>1</v>
      </c>
      <c r="AK36" s="1069"/>
      <c r="AL36" s="1109">
        <v>1</v>
      </c>
      <c r="AM36" s="1069"/>
      <c r="AN36" s="1109">
        <v>1</v>
      </c>
      <c r="AO36" s="1109"/>
      <c r="AP36" s="1088" t="s">
        <v>287</v>
      </c>
      <c r="AQ36" s="1069">
        <f t="shared" si="5"/>
        <v>3</v>
      </c>
      <c r="AR36" s="1069"/>
    </row>
    <row r="37" spans="1:44" ht="15.5" x14ac:dyDescent="0.35">
      <c r="A37" s="1094" t="s">
        <v>287</v>
      </c>
      <c r="B37" s="1089">
        <f t="shared" si="0"/>
        <v>7</v>
      </c>
      <c r="C37" s="1089">
        <f t="shared" si="0"/>
        <v>4</v>
      </c>
      <c r="D37" s="1089">
        <f t="shared" si="0"/>
        <v>3</v>
      </c>
      <c r="F37" s="1099" t="s">
        <v>287</v>
      </c>
      <c r="G37" s="1100">
        <f t="shared" si="1"/>
        <v>7</v>
      </c>
      <c r="H37" s="1101">
        <f t="shared" si="7"/>
        <v>4</v>
      </c>
      <c r="I37" s="1102">
        <f t="shared" si="2"/>
        <v>3</v>
      </c>
      <c r="K37" s="1094" t="s">
        <v>288</v>
      </c>
      <c r="L37" s="1095">
        <v>1</v>
      </c>
      <c r="M37" s="1103">
        <v>1</v>
      </c>
      <c r="N37" s="1103">
        <v>1</v>
      </c>
      <c r="O37" s="1103">
        <v>1</v>
      </c>
      <c r="P37" s="1103">
        <v>1</v>
      </c>
      <c r="Q37" s="1103">
        <v>1</v>
      </c>
      <c r="R37" s="1096"/>
      <c r="S37" s="1107">
        <v>1</v>
      </c>
      <c r="T37" s="1098" t="s">
        <v>288</v>
      </c>
      <c r="U37">
        <f t="shared" si="3"/>
        <v>7</v>
      </c>
      <c r="V37" s="1069"/>
      <c r="W37" s="1088" t="s">
        <v>288</v>
      </c>
      <c r="X37" s="1069"/>
      <c r="Y37" s="1069"/>
      <c r="Z37" s="1069"/>
      <c r="AA37" s="1103">
        <v>1</v>
      </c>
      <c r="AB37" s="1103">
        <v>1</v>
      </c>
      <c r="AC37" s="1103">
        <v>1</v>
      </c>
      <c r="AD37" s="1103">
        <v>1</v>
      </c>
      <c r="AE37" s="1103">
        <v>1</v>
      </c>
      <c r="AF37" s="1088" t="s">
        <v>288</v>
      </c>
      <c r="AG37" s="1069">
        <f t="shared" si="4"/>
        <v>5</v>
      </c>
      <c r="AH37" s="1069"/>
      <c r="AI37" s="1088" t="s">
        <v>288</v>
      </c>
      <c r="AJ37" s="1108">
        <v>1</v>
      </c>
      <c r="AK37" s="1069"/>
      <c r="AL37" s="1109">
        <v>1</v>
      </c>
      <c r="AM37" s="1069"/>
      <c r="AN37" s="1109">
        <v>1</v>
      </c>
      <c r="AO37" s="1109"/>
      <c r="AP37" s="1088" t="s">
        <v>288</v>
      </c>
      <c r="AQ37" s="1069">
        <f t="shared" si="5"/>
        <v>3</v>
      </c>
      <c r="AR37" s="1069"/>
    </row>
    <row r="38" spans="1:44" ht="15.5" x14ac:dyDescent="0.35">
      <c r="A38" s="1094" t="s">
        <v>288</v>
      </c>
      <c r="B38" s="1089">
        <f t="shared" si="0"/>
        <v>7</v>
      </c>
      <c r="C38" s="1089">
        <f t="shared" si="0"/>
        <v>5</v>
      </c>
      <c r="D38" s="1089">
        <f t="shared" si="0"/>
        <v>3</v>
      </c>
      <c r="F38" s="1099" t="s">
        <v>288</v>
      </c>
      <c r="G38" s="1100">
        <f t="shared" si="1"/>
        <v>7</v>
      </c>
      <c r="H38" s="1101">
        <f t="shared" si="7"/>
        <v>5</v>
      </c>
      <c r="I38" s="1102">
        <f t="shared" si="2"/>
        <v>3</v>
      </c>
      <c r="K38" s="1094" t="s">
        <v>289</v>
      </c>
      <c r="L38" s="1095">
        <v>1</v>
      </c>
      <c r="M38" s="1103">
        <v>1</v>
      </c>
      <c r="N38" s="1103">
        <v>1</v>
      </c>
      <c r="O38" s="1103">
        <v>1</v>
      </c>
      <c r="P38" s="1103">
        <v>1</v>
      </c>
      <c r="Q38" s="1103">
        <v>1</v>
      </c>
      <c r="R38" s="1096"/>
      <c r="S38" s="1107">
        <v>1</v>
      </c>
      <c r="T38" s="1098" t="s">
        <v>289</v>
      </c>
      <c r="U38">
        <f t="shared" si="3"/>
        <v>7</v>
      </c>
      <c r="V38" s="1069"/>
      <c r="W38" s="1088" t="s">
        <v>289</v>
      </c>
      <c r="X38" s="1069"/>
      <c r="Y38" s="1069"/>
      <c r="Z38" s="1069"/>
      <c r="AA38" s="1103">
        <v>1</v>
      </c>
      <c r="AB38" s="1103">
        <v>1</v>
      </c>
      <c r="AC38" s="1103">
        <v>1</v>
      </c>
      <c r="AD38" s="1103">
        <v>1</v>
      </c>
      <c r="AE38" s="1103">
        <v>1</v>
      </c>
      <c r="AF38" s="1088" t="s">
        <v>289</v>
      </c>
      <c r="AG38" s="1069">
        <f t="shared" si="4"/>
        <v>5</v>
      </c>
      <c r="AH38" s="1069"/>
      <c r="AI38" s="1088" t="s">
        <v>289</v>
      </c>
      <c r="AJ38" s="1108">
        <v>1</v>
      </c>
      <c r="AK38" s="1069"/>
      <c r="AL38" s="1109">
        <v>1</v>
      </c>
      <c r="AM38" s="1069"/>
      <c r="AN38" s="1109">
        <v>1</v>
      </c>
      <c r="AO38" s="1109"/>
      <c r="AP38" s="1088" t="s">
        <v>289</v>
      </c>
      <c r="AQ38" s="1069">
        <f t="shared" si="5"/>
        <v>3</v>
      </c>
      <c r="AR38" s="1069"/>
    </row>
    <row r="39" spans="1:44" ht="15.5" x14ac:dyDescent="0.35">
      <c r="A39" s="1094" t="s">
        <v>289</v>
      </c>
      <c r="B39" s="1089">
        <f t="shared" si="0"/>
        <v>7</v>
      </c>
      <c r="C39" s="1089">
        <f t="shared" si="0"/>
        <v>5</v>
      </c>
      <c r="D39" s="1089">
        <f t="shared" si="0"/>
        <v>3</v>
      </c>
      <c r="F39" s="1099" t="s">
        <v>289</v>
      </c>
      <c r="G39" s="1100">
        <f t="shared" si="1"/>
        <v>7</v>
      </c>
      <c r="H39" s="1101">
        <f t="shared" si="7"/>
        <v>5</v>
      </c>
      <c r="I39" s="1102">
        <f t="shared" si="2"/>
        <v>3</v>
      </c>
      <c r="K39" s="1094" t="s">
        <v>290</v>
      </c>
      <c r="L39" s="1095">
        <v>1</v>
      </c>
      <c r="M39" s="1103">
        <v>1</v>
      </c>
      <c r="N39" s="1103">
        <v>1</v>
      </c>
      <c r="O39" s="1096"/>
      <c r="P39" s="1103">
        <v>1</v>
      </c>
      <c r="Q39" s="1103">
        <v>1</v>
      </c>
      <c r="R39" s="1096"/>
      <c r="S39" s="1097"/>
      <c r="T39" s="1098" t="s">
        <v>290</v>
      </c>
      <c r="U39">
        <f t="shared" si="3"/>
        <v>5</v>
      </c>
      <c r="V39" s="1069"/>
      <c r="W39" s="1088" t="s">
        <v>290</v>
      </c>
      <c r="X39" s="1069"/>
      <c r="Y39" s="1069"/>
      <c r="Z39" s="1069"/>
      <c r="AA39" s="1103">
        <v>1</v>
      </c>
      <c r="AB39" s="1103">
        <v>1</v>
      </c>
      <c r="AC39" s="1103">
        <v>1</v>
      </c>
      <c r="AD39" s="1103">
        <v>1</v>
      </c>
      <c r="AE39" s="1069"/>
      <c r="AF39" s="1088" t="s">
        <v>290</v>
      </c>
      <c r="AG39" s="1069">
        <f t="shared" si="4"/>
        <v>4</v>
      </c>
      <c r="AH39" s="1069"/>
      <c r="AI39" s="1088" t="s">
        <v>290</v>
      </c>
      <c r="AJ39" s="1108">
        <v>1</v>
      </c>
      <c r="AK39" s="1069"/>
      <c r="AL39" s="1109">
        <v>1</v>
      </c>
      <c r="AM39" s="1069"/>
      <c r="AN39" s="1109">
        <v>1</v>
      </c>
      <c r="AO39" s="1109"/>
      <c r="AP39" s="1088" t="s">
        <v>290</v>
      </c>
      <c r="AQ39" s="1069">
        <f t="shared" si="5"/>
        <v>3</v>
      </c>
      <c r="AR39" s="1069"/>
    </row>
    <row r="40" spans="1:44" ht="15.5" x14ac:dyDescent="0.35">
      <c r="A40" s="1094" t="s">
        <v>290</v>
      </c>
      <c r="B40" s="1089">
        <f t="shared" si="0"/>
        <v>5</v>
      </c>
      <c r="C40" s="1089">
        <f t="shared" si="0"/>
        <v>4</v>
      </c>
      <c r="D40" s="1089">
        <f t="shared" si="0"/>
        <v>3</v>
      </c>
      <c r="F40" s="1099" t="s">
        <v>290</v>
      </c>
      <c r="G40" s="1100">
        <f t="shared" si="1"/>
        <v>5</v>
      </c>
      <c r="H40" s="1101">
        <f t="shared" si="7"/>
        <v>4</v>
      </c>
      <c r="I40" s="1102">
        <f t="shared" si="2"/>
        <v>3</v>
      </c>
      <c r="K40" s="1094" t="s">
        <v>291</v>
      </c>
      <c r="L40" s="1095">
        <v>1</v>
      </c>
      <c r="M40" s="1103">
        <v>1</v>
      </c>
      <c r="N40" s="1103">
        <v>1</v>
      </c>
      <c r="O40" s="1096"/>
      <c r="P40" s="1103">
        <v>1</v>
      </c>
      <c r="Q40" s="1103">
        <v>1</v>
      </c>
      <c r="R40" s="1096"/>
      <c r="S40" s="1097"/>
      <c r="T40" s="1098" t="s">
        <v>291</v>
      </c>
      <c r="U40">
        <f t="shared" si="3"/>
        <v>5</v>
      </c>
      <c r="V40" s="1069"/>
      <c r="W40" s="1088" t="s">
        <v>291</v>
      </c>
      <c r="X40" s="1069"/>
      <c r="Y40" s="1069"/>
      <c r="Z40" s="1069"/>
      <c r="AA40" s="1103">
        <v>1</v>
      </c>
      <c r="AB40" s="1103">
        <v>1</v>
      </c>
      <c r="AC40" s="1103">
        <v>1</v>
      </c>
      <c r="AD40" s="1103">
        <v>1</v>
      </c>
      <c r="AE40" s="1069"/>
      <c r="AF40" s="1088" t="s">
        <v>291</v>
      </c>
      <c r="AG40" s="1069">
        <f t="shared" si="4"/>
        <v>4</v>
      </c>
      <c r="AH40" s="1069"/>
      <c r="AI40" s="1088" t="s">
        <v>291</v>
      </c>
      <c r="AJ40" s="1108">
        <v>1</v>
      </c>
      <c r="AK40" s="1069"/>
      <c r="AL40" s="1109">
        <v>1</v>
      </c>
      <c r="AM40" s="1069"/>
      <c r="AN40" s="1109">
        <v>1</v>
      </c>
      <c r="AO40" s="1109"/>
      <c r="AP40" s="1088" t="s">
        <v>291</v>
      </c>
      <c r="AQ40" s="1069">
        <f t="shared" si="5"/>
        <v>3</v>
      </c>
      <c r="AR40" s="1069"/>
    </row>
    <row r="41" spans="1:44" ht="15.5" x14ac:dyDescent="0.35">
      <c r="A41" s="1094" t="s">
        <v>291</v>
      </c>
      <c r="B41" s="1089">
        <f t="shared" si="0"/>
        <v>5</v>
      </c>
      <c r="C41" s="1089">
        <f t="shared" si="0"/>
        <v>4</v>
      </c>
      <c r="D41" s="1089">
        <f t="shared" si="0"/>
        <v>3</v>
      </c>
      <c r="F41" s="1099" t="s">
        <v>291</v>
      </c>
      <c r="G41" s="1100">
        <f t="shared" si="1"/>
        <v>5</v>
      </c>
      <c r="H41" s="1101">
        <f t="shared" si="7"/>
        <v>4</v>
      </c>
      <c r="I41" s="1102">
        <f t="shared" si="2"/>
        <v>3</v>
      </c>
      <c r="K41" s="1094" t="s">
        <v>292</v>
      </c>
      <c r="L41" s="1095">
        <v>1</v>
      </c>
      <c r="M41" s="1103">
        <v>1</v>
      </c>
      <c r="N41" s="1103">
        <v>1</v>
      </c>
      <c r="O41" s="1096"/>
      <c r="P41" s="1103">
        <v>1</v>
      </c>
      <c r="Q41" s="1103">
        <v>1</v>
      </c>
      <c r="R41" s="1096"/>
      <c r="S41" s="1097"/>
      <c r="T41" s="1098" t="s">
        <v>292</v>
      </c>
      <c r="U41">
        <f t="shared" si="3"/>
        <v>5</v>
      </c>
      <c r="V41" s="1069"/>
      <c r="W41" s="1088" t="s">
        <v>292</v>
      </c>
      <c r="X41" s="1069"/>
      <c r="Y41" s="1069"/>
      <c r="Z41" s="1069"/>
      <c r="AA41" s="1103">
        <v>1</v>
      </c>
      <c r="AB41" s="1103">
        <v>1</v>
      </c>
      <c r="AC41" s="1103">
        <v>1</v>
      </c>
      <c r="AD41" s="1103">
        <v>1</v>
      </c>
      <c r="AE41" s="1069"/>
      <c r="AF41" s="1088" t="s">
        <v>292</v>
      </c>
      <c r="AG41" s="1069">
        <f t="shared" si="4"/>
        <v>4</v>
      </c>
      <c r="AH41" s="1069"/>
      <c r="AI41" s="1088" t="s">
        <v>292</v>
      </c>
      <c r="AJ41" s="1108">
        <v>1</v>
      </c>
      <c r="AK41" s="1069"/>
      <c r="AL41" s="1109">
        <v>1</v>
      </c>
      <c r="AM41" s="1069"/>
      <c r="AN41" s="1109">
        <v>1</v>
      </c>
      <c r="AO41" s="1109"/>
      <c r="AP41" s="1088" t="s">
        <v>292</v>
      </c>
      <c r="AQ41" s="1069">
        <f t="shared" si="5"/>
        <v>3</v>
      </c>
      <c r="AR41" s="1069"/>
    </row>
    <row r="42" spans="1:44" ht="15.5" x14ac:dyDescent="0.35">
      <c r="A42" s="1094" t="s">
        <v>292</v>
      </c>
      <c r="B42" s="1089">
        <f t="shared" si="0"/>
        <v>5</v>
      </c>
      <c r="C42" s="1089">
        <f t="shared" si="0"/>
        <v>4</v>
      </c>
      <c r="D42" s="1089">
        <f t="shared" si="0"/>
        <v>3</v>
      </c>
      <c r="F42" s="1099" t="s">
        <v>292</v>
      </c>
      <c r="G42" s="1100">
        <f t="shared" si="1"/>
        <v>5</v>
      </c>
      <c r="H42" s="1101">
        <f t="shared" si="7"/>
        <v>4</v>
      </c>
      <c r="I42" s="1102">
        <f t="shared" si="2"/>
        <v>3</v>
      </c>
      <c r="K42" s="1094" t="s">
        <v>293</v>
      </c>
      <c r="L42" s="1095">
        <v>1</v>
      </c>
      <c r="M42" s="1103">
        <v>1</v>
      </c>
      <c r="N42" s="1110"/>
      <c r="O42" s="1096"/>
      <c r="P42" s="1103">
        <v>1</v>
      </c>
      <c r="Q42" s="1096"/>
      <c r="R42" s="1096"/>
      <c r="S42" s="1097"/>
      <c r="T42" s="1098" t="s">
        <v>293</v>
      </c>
      <c r="U42">
        <f t="shared" si="3"/>
        <v>3</v>
      </c>
      <c r="V42" s="1069"/>
      <c r="W42" s="1088" t="s">
        <v>293</v>
      </c>
      <c r="X42" s="1069"/>
      <c r="Y42" s="1069"/>
      <c r="Z42" s="1069"/>
      <c r="AA42" s="1103">
        <v>1</v>
      </c>
      <c r="AB42" s="1103">
        <v>1</v>
      </c>
      <c r="AC42" s="1103">
        <v>1</v>
      </c>
      <c r="AD42" s="1103">
        <v>1</v>
      </c>
      <c r="AE42" s="1069"/>
      <c r="AF42" s="1088" t="s">
        <v>293</v>
      </c>
      <c r="AG42" s="1069">
        <f t="shared" si="4"/>
        <v>4</v>
      </c>
      <c r="AH42" s="1069"/>
      <c r="AI42" s="1088" t="s">
        <v>293</v>
      </c>
      <c r="AJ42" s="1108">
        <v>1</v>
      </c>
      <c r="AK42" s="1069"/>
      <c r="AL42" s="1109">
        <v>1</v>
      </c>
      <c r="AM42" s="1069"/>
      <c r="AN42" s="1109">
        <v>1</v>
      </c>
      <c r="AO42" s="1109"/>
      <c r="AP42" s="1088" t="s">
        <v>293</v>
      </c>
      <c r="AQ42" s="1069">
        <f t="shared" si="5"/>
        <v>3</v>
      </c>
      <c r="AR42" s="1069"/>
    </row>
    <row r="43" spans="1:44" ht="15.5" x14ac:dyDescent="0.35">
      <c r="A43" s="1094" t="s">
        <v>293</v>
      </c>
      <c r="B43" s="1089">
        <f t="shared" si="0"/>
        <v>3</v>
      </c>
      <c r="C43" s="1089">
        <f t="shared" si="0"/>
        <v>4</v>
      </c>
      <c r="D43" s="1089">
        <f t="shared" si="0"/>
        <v>3</v>
      </c>
      <c r="F43" s="1099" t="s">
        <v>293</v>
      </c>
      <c r="G43" s="1100">
        <f t="shared" si="1"/>
        <v>3</v>
      </c>
      <c r="H43" s="1101">
        <f t="shared" si="7"/>
        <v>4</v>
      </c>
      <c r="I43" s="1102">
        <f t="shared" si="2"/>
        <v>3</v>
      </c>
      <c r="K43" s="1094" t="s">
        <v>294</v>
      </c>
      <c r="L43" s="1095">
        <v>1</v>
      </c>
      <c r="M43" s="1103">
        <v>1</v>
      </c>
      <c r="N43" s="1110"/>
      <c r="O43" s="1096"/>
      <c r="P43" s="1096"/>
      <c r="Q43" s="1096"/>
      <c r="R43" s="1096"/>
      <c r="S43" s="1097"/>
      <c r="T43" s="1098" t="s">
        <v>294</v>
      </c>
      <c r="U43">
        <f t="shared" si="3"/>
        <v>2</v>
      </c>
      <c r="V43" s="1069"/>
      <c r="W43" s="1088" t="s">
        <v>294</v>
      </c>
      <c r="X43" s="1069"/>
      <c r="Y43" s="1069"/>
      <c r="Z43" s="1069"/>
      <c r="AA43" s="1103">
        <v>1</v>
      </c>
      <c r="AB43" s="1103">
        <v>1</v>
      </c>
      <c r="AC43" s="1103">
        <v>1</v>
      </c>
      <c r="AD43" s="1069"/>
      <c r="AE43" s="1069"/>
      <c r="AF43" s="1088" t="s">
        <v>294</v>
      </c>
      <c r="AG43" s="1069">
        <f t="shared" si="4"/>
        <v>3</v>
      </c>
      <c r="AH43" s="1069"/>
      <c r="AI43" s="1088" t="s">
        <v>294</v>
      </c>
      <c r="AJ43" s="1108">
        <v>1</v>
      </c>
      <c r="AK43" s="1069"/>
      <c r="AL43" s="1109">
        <v>1</v>
      </c>
      <c r="AM43" s="1069"/>
      <c r="AN43" s="1109">
        <v>1</v>
      </c>
      <c r="AO43" s="1109"/>
      <c r="AP43" s="1088" t="s">
        <v>294</v>
      </c>
      <c r="AQ43" s="1069">
        <f t="shared" si="5"/>
        <v>3</v>
      </c>
      <c r="AR43" s="1069"/>
    </row>
    <row r="44" spans="1:44" ht="15.5" x14ac:dyDescent="0.35">
      <c r="A44" s="1094" t="s">
        <v>294</v>
      </c>
      <c r="B44" s="1089">
        <f t="shared" si="0"/>
        <v>2</v>
      </c>
      <c r="C44" s="1089">
        <f t="shared" si="0"/>
        <v>3</v>
      </c>
      <c r="D44" s="1089">
        <f t="shared" si="0"/>
        <v>3</v>
      </c>
      <c r="F44" s="1099" t="s">
        <v>294</v>
      </c>
      <c r="G44" s="1100">
        <f t="shared" si="1"/>
        <v>2</v>
      </c>
      <c r="H44" s="1101">
        <f t="shared" si="7"/>
        <v>3</v>
      </c>
      <c r="I44" s="1102">
        <f t="shared" si="2"/>
        <v>3</v>
      </c>
      <c r="K44" s="1094" t="s">
        <v>295</v>
      </c>
      <c r="L44" s="1111"/>
      <c r="M44" s="1103">
        <v>1</v>
      </c>
      <c r="N44" s="1110"/>
      <c r="O44" s="1096"/>
      <c r="P44" s="1096"/>
      <c r="Q44" s="1096"/>
      <c r="R44" s="1096"/>
      <c r="S44" s="1097"/>
      <c r="T44" s="1098" t="s">
        <v>295</v>
      </c>
      <c r="U44">
        <f t="shared" si="3"/>
        <v>1</v>
      </c>
      <c r="V44" s="1069"/>
      <c r="W44" s="1088" t="s">
        <v>295</v>
      </c>
      <c r="X44" s="1069"/>
      <c r="Y44" s="1069"/>
      <c r="Z44" s="1069"/>
      <c r="AA44" s="1103">
        <v>1</v>
      </c>
      <c r="AB44" s="1069"/>
      <c r="AC44" s="1069"/>
      <c r="AD44" s="1069"/>
      <c r="AE44" s="1069"/>
      <c r="AF44" s="1088" t="s">
        <v>295</v>
      </c>
      <c r="AG44" s="1069">
        <f t="shared" si="4"/>
        <v>1</v>
      </c>
      <c r="AH44" s="1069"/>
      <c r="AI44" s="1088" t="s">
        <v>295</v>
      </c>
      <c r="AJ44" s="1069"/>
      <c r="AK44" s="1069"/>
      <c r="AL44" s="1109">
        <v>1</v>
      </c>
      <c r="AM44" s="1069"/>
      <c r="AN44" s="1069"/>
      <c r="AO44" s="1069"/>
      <c r="AP44" s="1088" t="s">
        <v>295</v>
      </c>
      <c r="AQ44" s="1069">
        <f t="shared" si="5"/>
        <v>1</v>
      </c>
      <c r="AR44" s="1069"/>
    </row>
    <row r="45" spans="1:44" ht="15.5" x14ac:dyDescent="0.35">
      <c r="A45" s="1094" t="s">
        <v>295</v>
      </c>
      <c r="B45" s="1089">
        <f t="shared" si="0"/>
        <v>1</v>
      </c>
      <c r="C45" s="1089">
        <f t="shared" si="0"/>
        <v>1</v>
      </c>
      <c r="D45" s="1089">
        <f t="shared" si="0"/>
        <v>1</v>
      </c>
      <c r="F45" s="1099" t="s">
        <v>295</v>
      </c>
      <c r="G45" s="1100">
        <f t="shared" si="1"/>
        <v>1</v>
      </c>
      <c r="H45" s="1101">
        <f t="shared" si="7"/>
        <v>1</v>
      </c>
      <c r="I45" s="1102">
        <f t="shared" si="2"/>
        <v>1</v>
      </c>
      <c r="K45" s="1094" t="s">
        <v>296</v>
      </c>
      <c r="L45" s="1111"/>
      <c r="M45" s="1096"/>
      <c r="N45" s="1110"/>
      <c r="O45" s="1096"/>
      <c r="P45" s="1096"/>
      <c r="Q45" s="1096"/>
      <c r="R45" s="1096"/>
      <c r="S45" s="1097"/>
      <c r="T45" s="1098" t="s">
        <v>296</v>
      </c>
      <c r="U45">
        <f t="shared" si="3"/>
        <v>0</v>
      </c>
      <c r="V45" s="1069"/>
      <c r="W45" s="1088" t="s">
        <v>296</v>
      </c>
      <c r="X45" s="1069"/>
      <c r="Y45" s="1069"/>
      <c r="Z45" s="1069"/>
      <c r="AA45" s="1069"/>
      <c r="AB45" s="1069"/>
      <c r="AC45" s="1069"/>
      <c r="AD45" s="1069"/>
      <c r="AE45" s="1069"/>
      <c r="AF45" s="1088" t="s">
        <v>296</v>
      </c>
      <c r="AG45" s="1069">
        <f t="shared" si="4"/>
        <v>0</v>
      </c>
      <c r="AH45" s="1069"/>
      <c r="AI45" s="1088" t="s">
        <v>296</v>
      </c>
      <c r="AJ45" s="1069"/>
      <c r="AK45" s="1069"/>
      <c r="AL45" s="1069"/>
      <c r="AM45" s="1069"/>
      <c r="AN45" s="1069"/>
      <c r="AO45" s="1069"/>
      <c r="AP45" s="1088" t="s">
        <v>296</v>
      </c>
      <c r="AQ45" s="1069">
        <f t="shared" si="5"/>
        <v>0</v>
      </c>
      <c r="AR45" s="1069"/>
    </row>
    <row r="46" spans="1:44" ht="15.5" x14ac:dyDescent="0.35">
      <c r="A46" s="1094" t="s">
        <v>296</v>
      </c>
      <c r="B46" s="1089">
        <f t="shared" si="0"/>
        <v>0</v>
      </c>
      <c r="C46" s="1089">
        <f t="shared" si="0"/>
        <v>0</v>
      </c>
      <c r="D46" s="1089">
        <f t="shared" si="0"/>
        <v>0</v>
      </c>
      <c r="F46" s="1099" t="s">
        <v>296</v>
      </c>
      <c r="G46" s="1100">
        <f t="shared" si="1"/>
        <v>0</v>
      </c>
      <c r="H46" s="1101">
        <f t="shared" si="7"/>
        <v>0</v>
      </c>
      <c r="I46" s="1102">
        <f t="shared" si="2"/>
        <v>0</v>
      </c>
      <c r="K46" s="1094" t="s">
        <v>297</v>
      </c>
      <c r="L46" s="1112"/>
      <c r="M46" s="1110"/>
      <c r="N46" s="1110"/>
      <c r="O46" s="1110"/>
      <c r="P46" s="1110"/>
      <c r="Q46" s="1096"/>
      <c r="R46" s="1096"/>
      <c r="S46" s="1097"/>
      <c r="T46" s="1098" t="s">
        <v>297</v>
      </c>
      <c r="U46">
        <f t="shared" si="3"/>
        <v>0</v>
      </c>
      <c r="V46" s="1069"/>
      <c r="W46" s="1088" t="s">
        <v>297</v>
      </c>
      <c r="X46" s="1069"/>
      <c r="Y46" s="1069"/>
      <c r="Z46" s="1069"/>
      <c r="AA46" s="1069"/>
      <c r="AB46" s="1069"/>
      <c r="AC46" s="1069"/>
      <c r="AD46" s="1069"/>
      <c r="AE46" s="1069"/>
      <c r="AF46" s="1088" t="s">
        <v>297</v>
      </c>
      <c r="AG46" s="1069">
        <f t="shared" si="4"/>
        <v>0</v>
      </c>
      <c r="AH46" s="1069"/>
      <c r="AI46" s="1088" t="s">
        <v>297</v>
      </c>
      <c r="AJ46" s="1069"/>
      <c r="AK46" s="1069"/>
      <c r="AL46" s="1069"/>
      <c r="AM46" s="1069"/>
      <c r="AN46" s="1069"/>
      <c r="AO46" s="1069"/>
      <c r="AP46" s="1088" t="s">
        <v>297</v>
      </c>
      <c r="AQ46" s="1069">
        <f t="shared" si="5"/>
        <v>0</v>
      </c>
      <c r="AR46" s="1069"/>
    </row>
    <row r="47" spans="1:44" ht="15.5" x14ac:dyDescent="0.35">
      <c r="A47" s="1094" t="s">
        <v>297</v>
      </c>
      <c r="B47" s="1089">
        <f t="shared" si="0"/>
        <v>0</v>
      </c>
      <c r="C47" s="1089">
        <f t="shared" si="0"/>
        <v>0</v>
      </c>
      <c r="D47" s="1089">
        <f t="shared" si="0"/>
        <v>0</v>
      </c>
      <c r="F47" s="1099" t="s">
        <v>297</v>
      </c>
      <c r="G47" s="1100">
        <f t="shared" si="1"/>
        <v>0</v>
      </c>
      <c r="H47" s="1101">
        <f t="shared" si="7"/>
        <v>0</v>
      </c>
      <c r="I47" s="1102">
        <f t="shared" si="2"/>
        <v>0</v>
      </c>
      <c r="K47" s="1094" t="s">
        <v>298</v>
      </c>
      <c r="L47" s="1112"/>
      <c r="M47" s="1110"/>
      <c r="N47" s="1110"/>
      <c r="O47" s="1110"/>
      <c r="P47" s="1110"/>
      <c r="Q47" s="1096"/>
      <c r="R47" s="1096"/>
      <c r="S47" s="1097"/>
      <c r="T47" s="1098" t="s">
        <v>298</v>
      </c>
      <c r="U47">
        <f t="shared" si="3"/>
        <v>0</v>
      </c>
      <c r="V47" s="1069"/>
      <c r="W47" s="1088" t="s">
        <v>298</v>
      </c>
      <c r="X47" s="1069"/>
      <c r="Y47" s="1069"/>
      <c r="Z47" s="1069"/>
      <c r="AA47" s="1069"/>
      <c r="AB47" s="1069"/>
      <c r="AC47" s="1069"/>
      <c r="AD47" s="1069"/>
      <c r="AE47" s="1069"/>
      <c r="AF47" s="1088" t="s">
        <v>298</v>
      </c>
      <c r="AG47" s="1069">
        <f t="shared" si="4"/>
        <v>0</v>
      </c>
      <c r="AH47" s="1069"/>
      <c r="AI47" s="1088" t="s">
        <v>298</v>
      </c>
      <c r="AJ47" s="1069"/>
      <c r="AK47" s="1069"/>
      <c r="AL47" s="1069"/>
      <c r="AM47" s="1069"/>
      <c r="AN47" s="1069"/>
      <c r="AO47" s="1069"/>
      <c r="AP47" s="1088" t="s">
        <v>298</v>
      </c>
      <c r="AQ47" s="1069">
        <f t="shared" si="5"/>
        <v>0</v>
      </c>
      <c r="AR47" s="1069"/>
    </row>
    <row r="48" spans="1:44" ht="15.5" x14ac:dyDescent="0.35">
      <c r="A48" s="1094" t="s">
        <v>298</v>
      </c>
      <c r="B48" s="1089">
        <f t="shared" si="0"/>
        <v>0</v>
      </c>
      <c r="C48" s="1089">
        <f t="shared" si="0"/>
        <v>0</v>
      </c>
      <c r="D48" s="1089">
        <f t="shared" si="0"/>
        <v>0</v>
      </c>
      <c r="F48" s="1099" t="s">
        <v>298</v>
      </c>
      <c r="G48" s="1100">
        <f t="shared" si="1"/>
        <v>0</v>
      </c>
      <c r="H48" s="1101">
        <f t="shared" si="7"/>
        <v>0</v>
      </c>
      <c r="I48" s="1102">
        <f t="shared" si="2"/>
        <v>0</v>
      </c>
      <c r="K48" s="1094" t="s">
        <v>299</v>
      </c>
      <c r="L48" s="1112"/>
      <c r="M48" s="1110"/>
      <c r="N48" s="1110"/>
      <c r="O48" s="1110"/>
      <c r="P48" s="1110"/>
      <c r="Q48" s="1096"/>
      <c r="R48" s="1096"/>
      <c r="S48" s="1097"/>
      <c r="T48" s="1098" t="s">
        <v>299</v>
      </c>
      <c r="U48">
        <f t="shared" si="3"/>
        <v>0</v>
      </c>
      <c r="V48" s="1069"/>
      <c r="W48" s="1088" t="s">
        <v>299</v>
      </c>
      <c r="X48" s="1069"/>
      <c r="Y48" s="1069"/>
      <c r="Z48" s="1069"/>
      <c r="AA48" s="1069"/>
      <c r="AB48" s="1069"/>
      <c r="AC48" s="1069"/>
      <c r="AD48" s="1069"/>
      <c r="AE48" s="1069"/>
      <c r="AF48" s="1088" t="s">
        <v>299</v>
      </c>
      <c r="AG48" s="1069">
        <f t="shared" si="4"/>
        <v>0</v>
      </c>
      <c r="AH48" s="1069"/>
      <c r="AI48" s="1088" t="s">
        <v>299</v>
      </c>
      <c r="AJ48" s="1069"/>
      <c r="AK48" s="1069"/>
      <c r="AL48" s="1069"/>
      <c r="AM48" s="1069"/>
      <c r="AN48" s="1069"/>
      <c r="AO48" s="1069"/>
      <c r="AP48" s="1088" t="s">
        <v>299</v>
      </c>
      <c r="AQ48" s="1069">
        <f t="shared" si="5"/>
        <v>0</v>
      </c>
      <c r="AR48" s="1069"/>
    </row>
    <row r="49" spans="1:44" ht="15.5" x14ac:dyDescent="0.35">
      <c r="A49" s="1094" t="s">
        <v>299</v>
      </c>
      <c r="B49" s="1089">
        <f t="shared" si="0"/>
        <v>0</v>
      </c>
      <c r="C49" s="1089">
        <f t="shared" si="0"/>
        <v>0</v>
      </c>
      <c r="D49" s="1089">
        <f t="shared" si="0"/>
        <v>0</v>
      </c>
      <c r="F49" s="1099" t="s">
        <v>299</v>
      </c>
      <c r="G49" s="1100">
        <f t="shared" si="1"/>
        <v>0</v>
      </c>
      <c r="H49" s="1101">
        <f t="shared" si="7"/>
        <v>0</v>
      </c>
      <c r="I49" s="1102">
        <f t="shared" si="2"/>
        <v>0</v>
      </c>
      <c r="K49" s="1094" t="s">
        <v>300</v>
      </c>
      <c r="L49" s="1112"/>
      <c r="M49" s="1110"/>
      <c r="N49" s="1110"/>
      <c r="O49" s="1110"/>
      <c r="P49" s="1110"/>
      <c r="Q49" s="1110"/>
      <c r="R49" s="1110"/>
      <c r="S49" s="1113"/>
      <c r="T49" s="1098" t="s">
        <v>300</v>
      </c>
      <c r="U49">
        <f t="shared" si="3"/>
        <v>0</v>
      </c>
      <c r="V49" s="1069"/>
      <c r="W49" s="1088" t="s">
        <v>300</v>
      </c>
      <c r="X49" s="1069"/>
      <c r="Y49" s="1069"/>
      <c r="Z49" s="1069"/>
      <c r="AA49" s="1069"/>
      <c r="AB49" s="1069"/>
      <c r="AC49" s="1069"/>
      <c r="AD49" s="1069"/>
      <c r="AE49" s="1069"/>
      <c r="AF49" s="1088" t="s">
        <v>300</v>
      </c>
      <c r="AG49" s="1069">
        <f t="shared" si="4"/>
        <v>0</v>
      </c>
      <c r="AH49" s="1069"/>
      <c r="AI49" s="1088" t="s">
        <v>300</v>
      </c>
      <c r="AJ49" s="1069"/>
      <c r="AK49" s="1069"/>
      <c r="AL49" s="1069"/>
      <c r="AM49" s="1069"/>
      <c r="AN49" s="1069"/>
      <c r="AO49" s="1069"/>
      <c r="AP49" s="1088" t="s">
        <v>300</v>
      </c>
      <c r="AQ49" s="1069">
        <f t="shared" si="5"/>
        <v>0</v>
      </c>
      <c r="AR49" s="1069"/>
    </row>
    <row r="50" spans="1:44" ht="15.5" x14ac:dyDescent="0.35">
      <c r="A50" s="1094" t="s">
        <v>300</v>
      </c>
      <c r="B50" s="1089">
        <f t="shared" si="0"/>
        <v>0</v>
      </c>
      <c r="C50" s="1089">
        <f t="shared" si="0"/>
        <v>0</v>
      </c>
      <c r="D50" s="1089">
        <f t="shared" si="0"/>
        <v>0</v>
      </c>
      <c r="F50" s="1099" t="s">
        <v>300</v>
      </c>
      <c r="G50" s="1100">
        <f t="shared" si="1"/>
        <v>0</v>
      </c>
      <c r="H50" s="1101">
        <f t="shared" si="7"/>
        <v>0</v>
      </c>
      <c r="I50" s="1102">
        <f t="shared" si="2"/>
        <v>0</v>
      </c>
      <c r="K50" s="1114" t="s">
        <v>301</v>
      </c>
      <c r="L50" s="1115"/>
      <c r="M50" s="1116"/>
      <c r="N50" s="1116"/>
      <c r="O50" s="1116"/>
      <c r="P50" s="1116"/>
      <c r="Q50" s="1116"/>
      <c r="R50" s="1116"/>
      <c r="S50" s="1117"/>
      <c r="T50" s="1118" t="s">
        <v>301</v>
      </c>
      <c r="U50">
        <f t="shared" si="3"/>
        <v>0</v>
      </c>
      <c r="V50" s="1069"/>
      <c r="W50" s="1119" t="s">
        <v>301</v>
      </c>
      <c r="X50" s="1120" t="s">
        <v>214</v>
      </c>
      <c r="Y50" s="1120" t="s">
        <v>214</v>
      </c>
      <c r="Z50" s="1120" t="s">
        <v>214</v>
      </c>
      <c r="AA50" s="1120" t="s">
        <v>214</v>
      </c>
      <c r="AB50" s="1120"/>
      <c r="AC50" s="1120"/>
      <c r="AD50" s="1120"/>
      <c r="AE50" s="1120"/>
      <c r="AF50" s="1119" t="s">
        <v>301</v>
      </c>
      <c r="AG50" s="1069">
        <f t="shared" si="4"/>
        <v>0</v>
      </c>
      <c r="AH50" s="1069"/>
      <c r="AI50" s="1119" t="s">
        <v>301</v>
      </c>
      <c r="AJ50" s="1120" t="s">
        <v>214</v>
      </c>
      <c r="AK50" s="1120" t="s">
        <v>214</v>
      </c>
      <c r="AL50" s="1120" t="s">
        <v>214</v>
      </c>
      <c r="AM50" s="1120" t="s">
        <v>214</v>
      </c>
      <c r="AN50" s="1120" t="s">
        <v>214</v>
      </c>
      <c r="AO50" s="1120"/>
      <c r="AP50" s="1119" t="s">
        <v>301</v>
      </c>
      <c r="AQ50" s="1069">
        <f t="shared" si="5"/>
        <v>0</v>
      </c>
      <c r="AR50" s="1069"/>
    </row>
    <row r="51" spans="1:44" ht="15.5" x14ac:dyDescent="0.35">
      <c r="A51" s="1114" t="s">
        <v>301</v>
      </c>
      <c r="B51" s="1089">
        <f t="shared" si="0"/>
        <v>0</v>
      </c>
      <c r="C51" s="1089">
        <f t="shared" si="0"/>
        <v>0</v>
      </c>
      <c r="D51" s="1089">
        <f t="shared" si="0"/>
        <v>0</v>
      </c>
      <c r="F51" s="1121" t="s">
        <v>301</v>
      </c>
      <c r="G51" s="1122">
        <f t="shared" si="1"/>
        <v>0</v>
      </c>
      <c r="H51" s="1101">
        <f t="shared" si="7"/>
        <v>0</v>
      </c>
      <c r="I51" s="1123">
        <f t="shared" si="2"/>
        <v>0</v>
      </c>
    </row>
  </sheetData>
  <mergeCells count="7">
    <mergeCell ref="W1:AF1"/>
    <mergeCell ref="AI1:AP1"/>
    <mergeCell ref="K1:T1"/>
    <mergeCell ref="A2:D2"/>
    <mergeCell ref="F2:I2"/>
    <mergeCell ref="A1:D1"/>
    <mergeCell ref="F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1046C4ED645A4F87F9CCA87DB8E93B" ma:contentTypeVersion="14" ma:contentTypeDescription="Create a new document." ma:contentTypeScope="" ma:versionID="78410782f413524c328853c5cfd6846f">
  <xsd:schema xmlns:xsd="http://www.w3.org/2001/XMLSchema" xmlns:xs="http://www.w3.org/2001/XMLSchema" xmlns:p="http://schemas.microsoft.com/office/2006/metadata/properties" xmlns:ns2="097d0603-769b-46d2-a228-77e5d4da285f" xmlns:ns3="ca9c7546-c202-4f84-986d-115a7f6191ca" targetNamespace="http://schemas.microsoft.com/office/2006/metadata/properties" ma:root="true" ma:fieldsID="1e547153e0054c2596e7f1e620230471" ns2:_="" ns3:_="">
    <xsd:import namespace="097d0603-769b-46d2-a228-77e5d4da285f"/>
    <xsd:import namespace="ca9c7546-c202-4f84-986d-115a7f6191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d0603-769b-46d2-a228-77e5d4da28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8ec70d-cc1e-41e3-8539-785565649f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9c7546-c202-4f84-986d-115a7f6191c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f92628a-1ee8-4aad-9bdc-98c8cff31871}" ma:internalName="TaxCatchAll" ma:showField="CatchAllData" ma:web="ca9c7546-c202-4f84-986d-115a7f619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9c7546-c202-4f84-986d-115a7f6191ca" xsi:nil="true"/>
    <lcf76f155ced4ddcb4097134ff3c332f xmlns="097d0603-769b-46d2-a228-77e5d4da28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6EE899-91E4-4DD5-9F7F-457803E2D7B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97d0603-769b-46d2-a228-77e5d4da285f"/>
    <ds:schemaRef ds:uri="ca9c7546-c202-4f84-986d-115a7f6191c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022C6C-6F8B-4A13-BD0D-0A73178622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7CFBF6-7B98-41D8-9119-F611DEA770EA}">
  <ds:schemaRefs>
    <ds:schemaRef ds:uri="http://schemas.microsoft.com/office/2006/metadata/properties"/>
    <ds:schemaRef ds:uri="http://www.w3.org/2000/xmlns/"/>
    <ds:schemaRef ds:uri="ca9c7546-c202-4f84-986d-115a7f6191ca"/>
    <ds:schemaRef ds:uri="http://www.w3.org/2001/XMLSchema-instance"/>
    <ds:schemaRef ds:uri="097d0603-769b-46d2-a228-77e5d4da285f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L25 M-F Meeting 1</vt:lpstr>
      <vt:lpstr>L25 SAT Meeting 1</vt:lpstr>
      <vt:lpstr>L25 Sunday  Meeting 1</vt:lpstr>
      <vt:lpstr>L25 M-F Meeting 2 V2</vt:lpstr>
      <vt:lpstr>L25 M-F Meeting 2</vt:lpstr>
      <vt:lpstr>L25 SAT Meeting 2</vt:lpstr>
      <vt:lpstr>L25 Sunday  Meeting 2 </vt:lpstr>
      <vt:lpstr>L25 Sunday Meeting 2 Alt</vt:lpstr>
      <vt:lpstr>Bus Out</vt:lpstr>
      <vt:lpstr>'L25 M-F Meeting 1'!Print_Area</vt:lpstr>
      <vt:lpstr>'L25 SAT Meeting 1'!Print_Area</vt:lpstr>
      <vt:lpstr>'L25 SAT Meeting 2'!Print_Area</vt:lpstr>
      <vt:lpstr>'L25 Sunday  Meeting 1'!Print_Area</vt:lpstr>
      <vt:lpstr>'L25 Sunday  Meeting 2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 Stephen</dc:creator>
  <cp:lastModifiedBy>mikey Hynes</cp:lastModifiedBy>
  <dcterms:created xsi:type="dcterms:W3CDTF">2023-07-26T11:03:32Z</dcterms:created>
  <dcterms:modified xsi:type="dcterms:W3CDTF">2024-10-08T21:00:45Z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0x010100021046C4ED645A4F87F9CCA87DB8E93B</vt:lpwstr>
  </property>
  <property fmtid="{D5CDD505-2E9C-101B-9397-08002B2CF9AE}" pid="3" name="ICV">
    <vt:lpwstr>bfcbca1361ec4bc3b92160aa699f12f4</vt:lpwstr>
  </property>
</Properties>
</file>